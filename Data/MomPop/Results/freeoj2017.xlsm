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freeoj\Results\"/>
    </mc:Choice>
  </mc:AlternateContent>
  <bookViews>
    <workbookView xWindow="0" yWindow="45" windowWidth="15480" windowHeight="1164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19" r:id="rId6"/>
    <sheet name="grove" sheetId="18" r:id="rId7"/>
    <sheet name="P07" sheetId="17" r:id="rId8"/>
    <sheet name="S44" sheetId="16" r:id="rId9"/>
    <sheet name="S51" sheetId="15" r:id="rId10"/>
    <sheet name="S68" sheetId="14" r:id="rId11"/>
    <sheet name="ORA" sheetId="13" r:id="rId12"/>
    <sheet name="POJ" sheetId="12" r:id="rId13"/>
    <sheet name="ROJ" sheetId="11" r:id="rId14"/>
    <sheet name="FCOJ" sheetId="10" r:id="rId15"/>
    <sheet name="market" sheetId="9" r:id="rId16"/>
  </sheets>
  <definedNames>
    <definedName name="AddColumn1">shipping_manufacturing!$H$4:$H$12</definedName>
    <definedName name="AddColumn2">shipping_manufacturing!$E$16:$E$20</definedName>
    <definedName name="AddColumn3">shipping_manufacturing!$F$24:$F$31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/>
</workbook>
</file>

<file path=xl/calcChain.xml><?xml version="1.0" encoding="utf-8"?>
<calcChain xmlns="http://schemas.openxmlformats.org/spreadsheetml/2006/main">
  <c r="S37" i="19" l="1"/>
  <c r="S16" i="19"/>
  <c r="S15" i="19"/>
  <c r="S14" i="19"/>
  <c r="H40" i="19"/>
  <c r="H39" i="19"/>
  <c r="S39" i="19" s="1"/>
  <c r="H38" i="19"/>
  <c r="H35" i="19"/>
  <c r="S42" i="19" s="1"/>
  <c r="H34" i="19"/>
  <c r="H33" i="19"/>
  <c r="H30" i="19"/>
  <c r="H29" i="19"/>
  <c r="H28" i="19"/>
  <c r="H27" i="19"/>
  <c r="H24" i="19"/>
  <c r="H23" i="19"/>
  <c r="H15" i="19"/>
  <c r="H14" i="19"/>
  <c r="H13" i="19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T25" i="19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S9" i="19" s="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H8" i="19" s="1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S8" i="19" s="1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S7" i="19" s="1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Y260" i="14"/>
  <c r="AZ14" i="14"/>
  <c r="AY259" i="14" s="1"/>
  <c r="AY181" i="14"/>
  <c r="AY179" i="14"/>
  <c r="AY177" i="14"/>
  <c r="AY175" i="14"/>
  <c r="AX259" i="14"/>
  <c r="AY14" i="14"/>
  <c r="AX181" i="14"/>
  <c r="AX179" i="14"/>
  <c r="AX177" i="14"/>
  <c r="AX260" i="14" s="1"/>
  <c r="AX175" i="14"/>
  <c r="AX14" i="14"/>
  <c r="AW259" i="14" s="1"/>
  <c r="AW181" i="14"/>
  <c r="AW179" i="14"/>
  <c r="AW177" i="14"/>
  <c r="AW175" i="14"/>
  <c r="AW260" i="14" s="1"/>
  <c r="AW14" i="14"/>
  <c r="AV259" i="14" s="1"/>
  <c r="AV181" i="14"/>
  <c r="AV179" i="14"/>
  <c r="AV177" i="14"/>
  <c r="AV175" i="14"/>
  <c r="AU260" i="14"/>
  <c r="AV14" i="14"/>
  <c r="AU259" i="14" s="1"/>
  <c r="AU181" i="14"/>
  <c r="AU179" i="14"/>
  <c r="AU177" i="14"/>
  <c r="AU175" i="14"/>
  <c r="AT259" i="14"/>
  <c r="AU14" i="14"/>
  <c r="AT181" i="14"/>
  <c r="AT179" i="14"/>
  <c r="AT177" i="14"/>
  <c r="AT260" i="14" s="1"/>
  <c r="AT175" i="14"/>
  <c r="AT14" i="14"/>
  <c r="AS259" i="14" s="1"/>
  <c r="AS181" i="14"/>
  <c r="AS179" i="14"/>
  <c r="AS177" i="14"/>
  <c r="AS175" i="14"/>
  <c r="AS260" i="14" s="1"/>
  <c r="AS14" i="14"/>
  <c r="AR259" i="14" s="1"/>
  <c r="AR181" i="14"/>
  <c r="AR179" i="14"/>
  <c r="AR177" i="14"/>
  <c r="AR175" i="14"/>
  <c r="AQ260" i="14"/>
  <c r="AR14" i="14"/>
  <c r="AQ259" i="14" s="1"/>
  <c r="AQ181" i="14"/>
  <c r="AQ179" i="14"/>
  <c r="AQ177" i="14"/>
  <c r="AQ175" i="14"/>
  <c r="AP259" i="14"/>
  <c r="AQ14" i="14"/>
  <c r="AP181" i="14"/>
  <c r="AP179" i="14"/>
  <c r="AP260" i="14" s="1"/>
  <c r="AP177" i="14"/>
  <c r="AP175" i="14"/>
  <c r="AP14" i="14"/>
  <c r="AO259" i="14" s="1"/>
  <c r="AO181" i="14"/>
  <c r="AO179" i="14"/>
  <c r="AO177" i="14"/>
  <c r="AO175" i="14"/>
  <c r="AO260" i="14" s="1"/>
  <c r="AO14" i="14"/>
  <c r="AN259" i="14" s="1"/>
  <c r="AN181" i="14"/>
  <c r="AN179" i="14"/>
  <c r="AN177" i="14"/>
  <c r="AN175" i="14"/>
  <c r="AN260" i="14" s="1"/>
  <c r="AN14" i="14"/>
  <c r="AM259" i="14" s="1"/>
  <c r="AM181" i="14"/>
  <c r="AM179" i="14"/>
  <c r="AM177" i="14"/>
  <c r="AM175" i="14"/>
  <c r="AL259" i="14"/>
  <c r="AM14" i="14"/>
  <c r="AL181" i="14"/>
  <c r="AL179" i="14"/>
  <c r="AL260" i="14" s="1"/>
  <c r="AL177" i="14"/>
  <c r="AL175" i="14"/>
  <c r="AL14" i="14"/>
  <c r="AK259" i="14" s="1"/>
  <c r="AK181" i="14"/>
  <c r="AK179" i="14"/>
  <c r="AK177" i="14"/>
  <c r="AK175" i="14"/>
  <c r="AK260" i="14" s="1"/>
  <c r="AK14" i="14"/>
  <c r="AJ259" i="14" s="1"/>
  <c r="AJ181" i="14"/>
  <c r="AJ179" i="14"/>
  <c r="AJ177" i="14"/>
  <c r="AJ175" i="14"/>
  <c r="AJ260" i="14" s="1"/>
  <c r="AJ14" i="14"/>
  <c r="AI259" i="14" s="1"/>
  <c r="AI181" i="14"/>
  <c r="AI179" i="14"/>
  <c r="AI177" i="14"/>
  <c r="AI175" i="14"/>
  <c r="AH259" i="14"/>
  <c r="AI14" i="14"/>
  <c r="AH181" i="14"/>
  <c r="AH179" i="14"/>
  <c r="AH260" i="14" s="1"/>
  <c r="AH177" i="14"/>
  <c r="AH175" i="14"/>
  <c r="AH14" i="14"/>
  <c r="AG259" i="14" s="1"/>
  <c r="AG181" i="14"/>
  <c r="AG179" i="14"/>
  <c r="AG177" i="14"/>
  <c r="AG175" i="14"/>
  <c r="AG260" i="14" s="1"/>
  <c r="AG14" i="14"/>
  <c r="AF259" i="14" s="1"/>
  <c r="AF181" i="14"/>
  <c r="AF179" i="14"/>
  <c r="AF177" i="14"/>
  <c r="AF175" i="14"/>
  <c r="AF260" i="14" s="1"/>
  <c r="AF14" i="14"/>
  <c r="AE259" i="14" s="1"/>
  <c r="AE181" i="14"/>
  <c r="AE179" i="14"/>
  <c r="AE260" i="14" s="1"/>
  <c r="AE177" i="14"/>
  <c r="AE175" i="14"/>
  <c r="AD259" i="14"/>
  <c r="AE14" i="14"/>
  <c r="AD181" i="14"/>
  <c r="AD179" i="14"/>
  <c r="AD177" i="14"/>
  <c r="AD260" i="14" s="1"/>
  <c r="AD175" i="14"/>
  <c r="AD14" i="14"/>
  <c r="AC259" i="14" s="1"/>
  <c r="AC181" i="14"/>
  <c r="AC179" i="14"/>
  <c r="AC177" i="14"/>
  <c r="AC175" i="14"/>
  <c r="AC260" i="14" s="1"/>
  <c r="AC14" i="14"/>
  <c r="AB259" i="14" s="1"/>
  <c r="AB181" i="14"/>
  <c r="AB179" i="14"/>
  <c r="AB177" i="14"/>
  <c r="AB175" i="14"/>
  <c r="AA260" i="14"/>
  <c r="AB14" i="14"/>
  <c r="AA259" i="14" s="1"/>
  <c r="AA181" i="14"/>
  <c r="AA179" i="14"/>
  <c r="AA177" i="14"/>
  <c r="AA175" i="14"/>
  <c r="Z259" i="14"/>
  <c r="AA14" i="14"/>
  <c r="Z181" i="14"/>
  <c r="Z179" i="14"/>
  <c r="Z260" i="14" s="1"/>
  <c r="Z177" i="14"/>
  <c r="Z175" i="14"/>
  <c r="Z14" i="14"/>
  <c r="Y259" i="14" s="1"/>
  <c r="Y181" i="14"/>
  <c r="Y179" i="14"/>
  <c r="Y177" i="14"/>
  <c r="Y175" i="14"/>
  <c r="Y260" i="14" s="1"/>
  <c r="Y14" i="14"/>
  <c r="X259" i="14" s="1"/>
  <c r="X181" i="14"/>
  <c r="X179" i="14"/>
  <c r="X177" i="14"/>
  <c r="X175" i="14"/>
  <c r="X260" i="14" s="1"/>
  <c r="X14" i="14"/>
  <c r="W259" i="14" s="1"/>
  <c r="W181" i="14"/>
  <c r="W179" i="14"/>
  <c r="W260" i="14" s="1"/>
  <c r="W177" i="14"/>
  <c r="W175" i="14"/>
  <c r="V259" i="14"/>
  <c r="W14" i="14"/>
  <c r="V181" i="14"/>
  <c r="V179" i="14"/>
  <c r="V177" i="14"/>
  <c r="V260" i="14" s="1"/>
  <c r="V175" i="14"/>
  <c r="V14" i="14"/>
  <c r="U259" i="14" s="1"/>
  <c r="U181" i="14"/>
  <c r="U179" i="14"/>
  <c r="U177" i="14"/>
  <c r="U175" i="14"/>
  <c r="U260" i="14" s="1"/>
  <c r="U14" i="14"/>
  <c r="T259" i="14" s="1"/>
  <c r="T181" i="14"/>
  <c r="T179" i="14"/>
  <c r="T177" i="14"/>
  <c r="T175" i="14"/>
  <c r="S260" i="14"/>
  <c r="T14" i="14"/>
  <c r="S259" i="14" s="1"/>
  <c r="S181" i="14"/>
  <c r="S179" i="14"/>
  <c r="S177" i="14"/>
  <c r="S175" i="14"/>
  <c r="R259" i="14"/>
  <c r="S14" i="14"/>
  <c r="R181" i="14"/>
  <c r="R179" i="14"/>
  <c r="R177" i="14"/>
  <c r="R260" i="14" s="1"/>
  <c r="R175" i="14"/>
  <c r="R14" i="14"/>
  <c r="Q259" i="14" s="1"/>
  <c r="Q181" i="14"/>
  <c r="Q179" i="14"/>
  <c r="Q177" i="14"/>
  <c r="Q175" i="14"/>
  <c r="Q260" i="14" s="1"/>
  <c r="Q14" i="14"/>
  <c r="P259" i="14" s="1"/>
  <c r="P181" i="14"/>
  <c r="P179" i="14"/>
  <c r="P177" i="14"/>
  <c r="P175" i="14"/>
  <c r="O260" i="14"/>
  <c r="P14" i="14"/>
  <c r="O259" i="14" s="1"/>
  <c r="O181" i="14"/>
  <c r="O179" i="14"/>
  <c r="O177" i="14"/>
  <c r="O175" i="14"/>
  <c r="N259" i="14"/>
  <c r="O14" i="14"/>
  <c r="N181" i="14"/>
  <c r="N179" i="14"/>
  <c r="N177" i="14"/>
  <c r="N260" i="14" s="1"/>
  <c r="N175" i="14"/>
  <c r="N14" i="14"/>
  <c r="M259" i="14" s="1"/>
  <c r="M181" i="14"/>
  <c r="M179" i="14"/>
  <c r="M177" i="14"/>
  <c r="M175" i="14"/>
  <c r="M260" i="14" s="1"/>
  <c r="M14" i="14"/>
  <c r="L259" i="14" s="1"/>
  <c r="L181" i="14"/>
  <c r="L179" i="14"/>
  <c r="L177" i="14"/>
  <c r="L175" i="14"/>
  <c r="L14" i="14"/>
  <c r="K259" i="14" s="1"/>
  <c r="K181" i="14"/>
  <c r="K260" i="14" s="1"/>
  <c r="K179" i="14"/>
  <c r="K177" i="14"/>
  <c r="K175" i="14"/>
  <c r="J259" i="14"/>
  <c r="K14" i="14"/>
  <c r="J181" i="14"/>
  <c r="J179" i="14"/>
  <c r="J260" i="14" s="1"/>
  <c r="J177" i="14"/>
  <c r="J175" i="14"/>
  <c r="J14" i="14"/>
  <c r="I259" i="14" s="1"/>
  <c r="I181" i="14"/>
  <c r="I179" i="14"/>
  <c r="I177" i="14"/>
  <c r="I175" i="14"/>
  <c r="I260" i="14" s="1"/>
  <c r="I14" i="14"/>
  <c r="H259" i="14" s="1"/>
  <c r="H181" i="14"/>
  <c r="H179" i="14"/>
  <c r="H177" i="14"/>
  <c r="H175" i="14"/>
  <c r="H260" i="14" s="1"/>
  <c r="H14" i="14"/>
  <c r="G259" i="14" s="1"/>
  <c r="G181" i="14"/>
  <c r="G179" i="14"/>
  <c r="G177" i="14"/>
  <c r="G175" i="14"/>
  <c r="F259" i="14"/>
  <c r="G14" i="14"/>
  <c r="F181" i="14"/>
  <c r="F179" i="14"/>
  <c r="F260" i="14" s="1"/>
  <c r="F177" i="14"/>
  <c r="F175" i="14"/>
  <c r="F14" i="14"/>
  <c r="E259" i="14" s="1"/>
  <c r="E181" i="14"/>
  <c r="E179" i="14"/>
  <c r="E177" i="14"/>
  <c r="E175" i="14"/>
  <c r="E260" i="14" s="1"/>
  <c r="E14" i="14"/>
  <c r="D259" i="14" s="1"/>
  <c r="D181" i="14"/>
  <c r="D179" i="14"/>
  <c r="D177" i="14"/>
  <c r="D175" i="14"/>
  <c r="D260" i="14" s="1"/>
  <c r="AZ14" i="15"/>
  <c r="AY259" i="15" s="1"/>
  <c r="AY181" i="15"/>
  <c r="AY179" i="15"/>
  <c r="AY177" i="15"/>
  <c r="AY175" i="15"/>
  <c r="AX259" i="15"/>
  <c r="AY14" i="15"/>
  <c r="AX181" i="15"/>
  <c r="AX179" i="15"/>
  <c r="AX260" i="15" s="1"/>
  <c r="AX177" i="15"/>
  <c r="AX175" i="15"/>
  <c r="AX14" i="15"/>
  <c r="AW259" i="15" s="1"/>
  <c r="AW181" i="15"/>
  <c r="AW179" i="15"/>
  <c r="AW177" i="15"/>
  <c r="AW175" i="15"/>
  <c r="AW260" i="15" s="1"/>
  <c r="AW14" i="15"/>
  <c r="AV259" i="15" s="1"/>
  <c r="AV181" i="15"/>
  <c r="AV179" i="15"/>
  <c r="AV177" i="15"/>
  <c r="AV175" i="15"/>
  <c r="AV260" i="15" s="1"/>
  <c r="AV14" i="15"/>
  <c r="AU259" i="15" s="1"/>
  <c r="AU181" i="15"/>
  <c r="AU179" i="15"/>
  <c r="AU260" i="15" s="1"/>
  <c r="AU177" i="15"/>
  <c r="AU175" i="15"/>
  <c r="AT259" i="15"/>
  <c r="AU14" i="15"/>
  <c r="AT181" i="15"/>
  <c r="AT179" i="15"/>
  <c r="AT177" i="15"/>
  <c r="AT260" i="15" s="1"/>
  <c r="AT175" i="15"/>
  <c r="AT14" i="15"/>
  <c r="AS259" i="15" s="1"/>
  <c r="AS181" i="15"/>
  <c r="AS179" i="15"/>
  <c r="AS177" i="15"/>
  <c r="AS175" i="15"/>
  <c r="AS260" i="15" s="1"/>
  <c r="AS14" i="15"/>
  <c r="AR259" i="15" s="1"/>
  <c r="AR181" i="15"/>
  <c r="AR179" i="15"/>
  <c r="AR177" i="15"/>
  <c r="AR175" i="15"/>
  <c r="AR14" i="15"/>
  <c r="AQ259" i="15" s="1"/>
  <c r="AQ181" i="15"/>
  <c r="AQ260" i="15" s="1"/>
  <c r="AQ179" i="15"/>
  <c r="AQ177" i="15"/>
  <c r="AQ175" i="15"/>
  <c r="AP259" i="15"/>
  <c r="AQ14" i="15"/>
  <c r="AP181" i="15"/>
  <c r="AP179" i="15"/>
  <c r="AP260" i="15" s="1"/>
  <c r="AP177" i="15"/>
  <c r="AP175" i="15"/>
  <c r="AP14" i="15"/>
  <c r="AO259" i="15" s="1"/>
  <c r="AO181" i="15"/>
  <c r="AO179" i="15"/>
  <c r="AO177" i="15"/>
  <c r="AO175" i="15"/>
  <c r="AO260" i="15" s="1"/>
  <c r="AO14" i="15"/>
  <c r="AN259" i="15" s="1"/>
  <c r="AN181" i="15"/>
  <c r="AN179" i="15"/>
  <c r="AN177" i="15"/>
  <c r="AN175" i="15"/>
  <c r="AN260" i="15" s="1"/>
  <c r="AN14" i="15"/>
  <c r="AM259" i="15" s="1"/>
  <c r="AM181" i="15"/>
  <c r="AM179" i="15"/>
  <c r="AM260" i="15" s="1"/>
  <c r="AM177" i="15"/>
  <c r="AM175" i="15"/>
  <c r="AL259" i="15"/>
  <c r="AM14" i="15"/>
  <c r="AL181" i="15"/>
  <c r="AL179" i="15"/>
  <c r="AL177" i="15"/>
  <c r="AL260" i="15" s="1"/>
  <c r="AL175" i="15"/>
  <c r="AL14" i="15"/>
  <c r="AK259" i="15" s="1"/>
  <c r="AK181" i="15"/>
  <c r="AK179" i="15"/>
  <c r="AK177" i="15"/>
  <c r="AK175" i="15"/>
  <c r="AK260" i="15" s="1"/>
  <c r="AK14" i="15"/>
  <c r="AJ259" i="15" s="1"/>
  <c r="AJ181" i="15"/>
  <c r="AJ179" i="15"/>
  <c r="AJ177" i="15"/>
  <c r="AJ175" i="15"/>
  <c r="AI260" i="15"/>
  <c r="AJ14" i="15"/>
  <c r="AI259" i="15" s="1"/>
  <c r="AI181" i="15"/>
  <c r="AI179" i="15"/>
  <c r="AI177" i="15"/>
  <c r="AI175" i="15"/>
  <c r="AH259" i="15"/>
  <c r="AI14" i="15"/>
  <c r="AH181" i="15"/>
  <c r="AH179" i="15"/>
  <c r="AH177" i="15"/>
  <c r="AH260" i="15" s="1"/>
  <c r="AH175" i="15"/>
  <c r="AH14" i="15"/>
  <c r="AG259" i="15" s="1"/>
  <c r="AG181" i="15"/>
  <c r="AG179" i="15"/>
  <c r="AG177" i="15"/>
  <c r="AG175" i="15"/>
  <c r="AG260" i="15" s="1"/>
  <c r="AG14" i="15"/>
  <c r="AF259" i="15" s="1"/>
  <c r="AF181" i="15"/>
  <c r="AF179" i="15"/>
  <c r="AF177" i="15"/>
  <c r="AF175" i="15"/>
  <c r="AE260" i="15"/>
  <c r="AF14" i="15"/>
  <c r="AE259" i="15" s="1"/>
  <c r="AE181" i="15"/>
  <c r="AE179" i="15"/>
  <c r="AE177" i="15"/>
  <c r="AE175" i="15"/>
  <c r="AD259" i="15"/>
  <c r="AE14" i="15"/>
  <c r="AD181" i="15"/>
  <c r="AD179" i="15"/>
  <c r="AD177" i="15"/>
  <c r="AD260" i="15" s="1"/>
  <c r="AD175" i="15"/>
  <c r="AD14" i="15"/>
  <c r="AC259" i="15" s="1"/>
  <c r="AC181" i="15"/>
  <c r="AC179" i="15"/>
  <c r="AC177" i="15"/>
  <c r="AC175" i="15"/>
  <c r="AC260" i="15" s="1"/>
  <c r="AC14" i="15"/>
  <c r="AB259" i="15" s="1"/>
  <c r="AB181" i="15"/>
  <c r="AB179" i="15"/>
  <c r="AB177" i="15"/>
  <c r="AB175" i="15"/>
  <c r="AA260" i="15"/>
  <c r="AB14" i="15"/>
  <c r="AA259" i="15" s="1"/>
  <c r="AA181" i="15"/>
  <c r="AA179" i="15"/>
  <c r="AA177" i="15"/>
  <c r="AA175" i="15"/>
  <c r="Z259" i="15"/>
  <c r="AA14" i="15"/>
  <c r="Z181" i="15"/>
  <c r="Z179" i="15"/>
  <c r="Z260" i="15" s="1"/>
  <c r="Z177" i="15"/>
  <c r="Z175" i="15"/>
  <c r="Z14" i="15"/>
  <c r="Y259" i="15" s="1"/>
  <c r="Y181" i="15"/>
  <c r="Y179" i="15"/>
  <c r="Y177" i="15"/>
  <c r="Y175" i="15"/>
  <c r="Y260" i="15" s="1"/>
  <c r="Y14" i="15"/>
  <c r="X259" i="15" s="1"/>
  <c r="X181" i="15"/>
  <c r="X179" i="15"/>
  <c r="X177" i="15"/>
  <c r="X175" i="15"/>
  <c r="X260" i="15" s="1"/>
  <c r="X14" i="15"/>
  <c r="W259" i="15" s="1"/>
  <c r="W181" i="15"/>
  <c r="W179" i="15"/>
  <c r="W177" i="15"/>
  <c r="W175" i="15"/>
  <c r="V259" i="15"/>
  <c r="W14" i="15"/>
  <c r="V181" i="15"/>
  <c r="V179" i="15"/>
  <c r="V260" i="15" s="1"/>
  <c r="V177" i="15"/>
  <c r="V175" i="15"/>
  <c r="V14" i="15"/>
  <c r="U259" i="15" s="1"/>
  <c r="U181" i="15"/>
  <c r="U179" i="15"/>
  <c r="U177" i="15"/>
  <c r="U175" i="15"/>
  <c r="U260" i="15" s="1"/>
  <c r="U14" i="15"/>
  <c r="T259" i="15" s="1"/>
  <c r="T181" i="15"/>
  <c r="T179" i="15"/>
  <c r="T177" i="15"/>
  <c r="T175" i="15"/>
  <c r="T260" i="15" s="1"/>
  <c r="T14" i="15"/>
  <c r="S259" i="15" s="1"/>
  <c r="S181" i="15"/>
  <c r="S179" i="15"/>
  <c r="S177" i="15"/>
  <c r="S175" i="15"/>
  <c r="R259" i="15"/>
  <c r="S14" i="15"/>
  <c r="R181" i="15"/>
  <c r="R179" i="15"/>
  <c r="R260" i="15" s="1"/>
  <c r="R177" i="15"/>
  <c r="R175" i="15"/>
  <c r="R14" i="15"/>
  <c r="Q259" i="15" s="1"/>
  <c r="Q181" i="15"/>
  <c r="Q179" i="15"/>
  <c r="Q177" i="15"/>
  <c r="Q175" i="15"/>
  <c r="Q260" i="15" s="1"/>
  <c r="Q14" i="15"/>
  <c r="P259" i="15" s="1"/>
  <c r="P181" i="15"/>
  <c r="P179" i="15"/>
  <c r="P177" i="15"/>
  <c r="P175" i="15"/>
  <c r="P260" i="15" s="1"/>
  <c r="P14" i="15"/>
  <c r="O259" i="15" s="1"/>
  <c r="O181" i="15"/>
  <c r="O179" i="15"/>
  <c r="O260" i="15" s="1"/>
  <c r="O177" i="15"/>
  <c r="O175" i="15"/>
  <c r="N259" i="15"/>
  <c r="O14" i="15"/>
  <c r="N181" i="15"/>
  <c r="N179" i="15"/>
  <c r="N177" i="15"/>
  <c r="N260" i="15" s="1"/>
  <c r="N175" i="15"/>
  <c r="N14" i="15"/>
  <c r="M259" i="15" s="1"/>
  <c r="M181" i="15"/>
  <c r="M179" i="15"/>
  <c r="M177" i="15"/>
  <c r="M175" i="15"/>
  <c r="M260" i="15" s="1"/>
  <c r="M14" i="15"/>
  <c r="L259" i="15" s="1"/>
  <c r="L181" i="15"/>
  <c r="L179" i="15"/>
  <c r="L177" i="15"/>
  <c r="L175" i="15"/>
  <c r="K260" i="15"/>
  <c r="L14" i="15"/>
  <c r="K259" i="15" s="1"/>
  <c r="K181" i="15"/>
  <c r="K179" i="15"/>
  <c r="K177" i="15"/>
  <c r="K175" i="15"/>
  <c r="J259" i="15"/>
  <c r="K14" i="15"/>
  <c r="J181" i="15"/>
  <c r="J179" i="15"/>
  <c r="J260" i="15" s="1"/>
  <c r="J177" i="15"/>
  <c r="J175" i="15"/>
  <c r="J14" i="15"/>
  <c r="I259" i="15" s="1"/>
  <c r="I181" i="15"/>
  <c r="I179" i="15"/>
  <c r="I177" i="15"/>
  <c r="I175" i="15"/>
  <c r="I260" i="15" s="1"/>
  <c r="I14" i="15"/>
  <c r="H259" i="15" s="1"/>
  <c r="H181" i="15"/>
  <c r="H179" i="15"/>
  <c r="H177" i="15"/>
  <c r="H175" i="15"/>
  <c r="H260" i="15" s="1"/>
  <c r="H14" i="15"/>
  <c r="G259" i="15" s="1"/>
  <c r="G181" i="15"/>
  <c r="G179" i="15"/>
  <c r="G260" i="15" s="1"/>
  <c r="G177" i="15"/>
  <c r="G175" i="15"/>
  <c r="F259" i="15"/>
  <c r="G14" i="15"/>
  <c r="F181" i="15"/>
  <c r="F179" i="15"/>
  <c r="F177" i="15"/>
  <c r="F260" i="15" s="1"/>
  <c r="F175" i="15"/>
  <c r="F14" i="15"/>
  <c r="E259" i="15" s="1"/>
  <c r="E181" i="15"/>
  <c r="E179" i="15"/>
  <c r="E177" i="15"/>
  <c r="E175" i="15"/>
  <c r="E260" i="15" s="1"/>
  <c r="E14" i="15"/>
  <c r="D181" i="15"/>
  <c r="D179" i="15"/>
  <c r="D177" i="15"/>
  <c r="D175" i="15"/>
  <c r="AY260" i="16"/>
  <c r="AZ14" i="16"/>
  <c r="AY259" i="16" s="1"/>
  <c r="AY181" i="16"/>
  <c r="AY179" i="16"/>
  <c r="AY177" i="16"/>
  <c r="AY175" i="16"/>
  <c r="AX259" i="16"/>
  <c r="AY14" i="16"/>
  <c r="AX181" i="16"/>
  <c r="AX179" i="16"/>
  <c r="AX177" i="16"/>
  <c r="AX260" i="16" s="1"/>
  <c r="AX175" i="16"/>
  <c r="AX14" i="16"/>
  <c r="AW259" i="16" s="1"/>
  <c r="AW181" i="16"/>
  <c r="AW179" i="16"/>
  <c r="AW177" i="16"/>
  <c r="AW175" i="16"/>
  <c r="AW260" i="16" s="1"/>
  <c r="AW14" i="16"/>
  <c r="AV259" i="16" s="1"/>
  <c r="AV181" i="16"/>
  <c r="AV179" i="16"/>
  <c r="AV177" i="16"/>
  <c r="AV175" i="16"/>
  <c r="AU260" i="16"/>
  <c r="AV14" i="16"/>
  <c r="AU259" i="16" s="1"/>
  <c r="AU181" i="16"/>
  <c r="AU179" i="16"/>
  <c r="AU177" i="16"/>
  <c r="AU175" i="16"/>
  <c r="AT259" i="16"/>
  <c r="AU14" i="16"/>
  <c r="AT181" i="16"/>
  <c r="AT179" i="16"/>
  <c r="AT177" i="16"/>
  <c r="AT260" i="16" s="1"/>
  <c r="AT175" i="16"/>
  <c r="AT14" i="16"/>
  <c r="AS259" i="16" s="1"/>
  <c r="AS181" i="16"/>
  <c r="AS179" i="16"/>
  <c r="AS177" i="16"/>
  <c r="AS175" i="16"/>
  <c r="AS260" i="16" s="1"/>
  <c r="AS14" i="16"/>
  <c r="AR259" i="16" s="1"/>
  <c r="AR181" i="16"/>
  <c r="AR179" i="16"/>
  <c r="AR177" i="16"/>
  <c r="AR175" i="16"/>
  <c r="AQ260" i="16"/>
  <c r="AR14" i="16"/>
  <c r="AQ259" i="16" s="1"/>
  <c r="AQ181" i="16"/>
  <c r="AQ179" i="16"/>
  <c r="AQ177" i="16"/>
  <c r="AQ175" i="16"/>
  <c r="AP259" i="16"/>
  <c r="AQ14" i="16"/>
  <c r="AP181" i="16"/>
  <c r="AP179" i="16"/>
  <c r="AP260" i="16" s="1"/>
  <c r="AP177" i="16"/>
  <c r="AP175" i="16"/>
  <c r="AP14" i="16"/>
  <c r="AO259" i="16" s="1"/>
  <c r="AO181" i="16"/>
  <c r="AO179" i="16"/>
  <c r="AO177" i="16"/>
  <c r="AO175" i="16"/>
  <c r="AO260" i="16" s="1"/>
  <c r="AO14" i="16"/>
  <c r="AN259" i="16" s="1"/>
  <c r="AN181" i="16"/>
  <c r="AN179" i="16"/>
  <c r="AN177" i="16"/>
  <c r="AN175" i="16"/>
  <c r="AN260" i="16" s="1"/>
  <c r="AN14" i="16"/>
  <c r="AM259" i="16" s="1"/>
  <c r="AM181" i="16"/>
  <c r="AM179" i="16"/>
  <c r="AM177" i="16"/>
  <c r="AM175" i="16"/>
  <c r="AL259" i="16"/>
  <c r="AM14" i="16"/>
  <c r="AL181" i="16"/>
  <c r="AL179" i="16"/>
  <c r="AL260" i="16" s="1"/>
  <c r="AL177" i="16"/>
  <c r="AL175" i="16"/>
  <c r="AL14" i="16"/>
  <c r="AK259" i="16" s="1"/>
  <c r="AK181" i="16"/>
  <c r="AK179" i="16"/>
  <c r="AK177" i="16"/>
  <c r="AK175" i="16"/>
  <c r="AK260" i="16" s="1"/>
  <c r="AK14" i="16"/>
  <c r="AJ259" i="16" s="1"/>
  <c r="AJ181" i="16"/>
  <c r="AJ179" i="16"/>
  <c r="AJ177" i="16"/>
  <c r="AJ175" i="16"/>
  <c r="AJ260" i="16" s="1"/>
  <c r="AJ14" i="16"/>
  <c r="AI259" i="16" s="1"/>
  <c r="AI181" i="16"/>
  <c r="AI179" i="16"/>
  <c r="AI177" i="16"/>
  <c r="AI175" i="16"/>
  <c r="AH259" i="16"/>
  <c r="AI14" i="16"/>
  <c r="AH181" i="16"/>
  <c r="AH179" i="16"/>
  <c r="AH260" i="16" s="1"/>
  <c r="AH177" i="16"/>
  <c r="AH175" i="16"/>
  <c r="AH14" i="16"/>
  <c r="AG259" i="16" s="1"/>
  <c r="AG181" i="16"/>
  <c r="AG179" i="16"/>
  <c r="AG177" i="16"/>
  <c r="AG175" i="16"/>
  <c r="AG260" i="16" s="1"/>
  <c r="AG14" i="16"/>
  <c r="AF259" i="16" s="1"/>
  <c r="AF181" i="16"/>
  <c r="AF179" i="16"/>
  <c r="AF177" i="16"/>
  <c r="AF175" i="16"/>
  <c r="AF260" i="16" s="1"/>
  <c r="AF14" i="16"/>
  <c r="AE259" i="16" s="1"/>
  <c r="AE181" i="16"/>
  <c r="AE179" i="16"/>
  <c r="AE260" i="16" s="1"/>
  <c r="AE177" i="16"/>
  <c r="AE175" i="16"/>
  <c r="AD259" i="16"/>
  <c r="AE14" i="16"/>
  <c r="AD181" i="16"/>
  <c r="AD179" i="16"/>
  <c r="AD177" i="16"/>
  <c r="AD260" i="16" s="1"/>
  <c r="AD175" i="16"/>
  <c r="AD14" i="16"/>
  <c r="AC259" i="16" s="1"/>
  <c r="AC181" i="16"/>
  <c r="AC179" i="16"/>
  <c r="AC177" i="16"/>
  <c r="AC175" i="16"/>
  <c r="AC260" i="16" s="1"/>
  <c r="AC14" i="16"/>
  <c r="AB259" i="16" s="1"/>
  <c r="AB181" i="16"/>
  <c r="AB179" i="16"/>
  <c r="AB177" i="16"/>
  <c r="AB175" i="16"/>
  <c r="AB14" i="16"/>
  <c r="AA259" i="16" s="1"/>
  <c r="AA181" i="16"/>
  <c r="AA260" i="16" s="1"/>
  <c r="AA179" i="16"/>
  <c r="AA177" i="16"/>
  <c r="AA175" i="16"/>
  <c r="Z259" i="16"/>
  <c r="AA14" i="16"/>
  <c r="Z181" i="16"/>
  <c r="Z179" i="16"/>
  <c r="Z260" i="16" s="1"/>
  <c r="Z177" i="16"/>
  <c r="Z175" i="16"/>
  <c r="Z14" i="16"/>
  <c r="Y259" i="16" s="1"/>
  <c r="Y181" i="16"/>
  <c r="Y179" i="16"/>
  <c r="Y177" i="16"/>
  <c r="Y175" i="16"/>
  <c r="Y260" i="16" s="1"/>
  <c r="Y14" i="16"/>
  <c r="X259" i="16" s="1"/>
  <c r="X181" i="16"/>
  <c r="X179" i="16"/>
  <c r="X177" i="16"/>
  <c r="X175" i="16"/>
  <c r="X260" i="16" s="1"/>
  <c r="X14" i="16"/>
  <c r="W259" i="16" s="1"/>
  <c r="W181" i="16"/>
  <c r="W179" i="16"/>
  <c r="W260" i="16" s="1"/>
  <c r="W177" i="16"/>
  <c r="W175" i="16"/>
  <c r="V259" i="16"/>
  <c r="W14" i="16"/>
  <c r="V181" i="16"/>
  <c r="V179" i="16"/>
  <c r="V177" i="16"/>
  <c r="V260" i="16" s="1"/>
  <c r="V175" i="16"/>
  <c r="V14" i="16"/>
  <c r="U259" i="16" s="1"/>
  <c r="U181" i="16"/>
  <c r="U179" i="16"/>
  <c r="U177" i="16"/>
  <c r="U175" i="16"/>
  <c r="U260" i="16" s="1"/>
  <c r="U14" i="16"/>
  <c r="T259" i="16" s="1"/>
  <c r="T181" i="16"/>
  <c r="T179" i="16"/>
  <c r="T177" i="16"/>
  <c r="T175" i="16"/>
  <c r="S260" i="16"/>
  <c r="T14" i="16"/>
  <c r="S259" i="16" s="1"/>
  <c r="S181" i="16"/>
  <c r="S179" i="16"/>
  <c r="S177" i="16"/>
  <c r="S175" i="16"/>
  <c r="R259" i="16"/>
  <c r="S14" i="16"/>
  <c r="R181" i="16"/>
  <c r="R179" i="16"/>
  <c r="R177" i="16"/>
  <c r="R260" i="16" s="1"/>
  <c r="R175" i="16"/>
  <c r="R14" i="16"/>
  <c r="Q259" i="16" s="1"/>
  <c r="Q181" i="16"/>
  <c r="Q179" i="16"/>
  <c r="Q177" i="16"/>
  <c r="Q175" i="16"/>
  <c r="Q260" i="16" s="1"/>
  <c r="Q14" i="16"/>
  <c r="P259" i="16" s="1"/>
  <c r="P181" i="16"/>
  <c r="P179" i="16"/>
  <c r="P177" i="16"/>
  <c r="P175" i="16"/>
  <c r="O260" i="16"/>
  <c r="P14" i="16"/>
  <c r="O259" i="16" s="1"/>
  <c r="O181" i="16"/>
  <c r="O179" i="16"/>
  <c r="O177" i="16"/>
  <c r="O175" i="16"/>
  <c r="N259" i="16"/>
  <c r="O14" i="16"/>
  <c r="N181" i="16"/>
  <c r="N179" i="16"/>
  <c r="N177" i="16"/>
  <c r="N260" i="16" s="1"/>
  <c r="N175" i="16"/>
  <c r="N14" i="16"/>
  <c r="M259" i="16" s="1"/>
  <c r="M181" i="16"/>
  <c r="M179" i="16"/>
  <c r="M177" i="16"/>
  <c r="M175" i="16"/>
  <c r="M260" i="16" s="1"/>
  <c r="M14" i="16"/>
  <c r="L259" i="16" s="1"/>
  <c r="L181" i="16"/>
  <c r="L179" i="16"/>
  <c r="L177" i="16"/>
  <c r="L175" i="16"/>
  <c r="L14" i="16"/>
  <c r="K259" i="16" s="1"/>
  <c r="K181" i="16"/>
  <c r="K260" i="16" s="1"/>
  <c r="K179" i="16"/>
  <c r="K177" i="16"/>
  <c r="K175" i="16"/>
  <c r="J259" i="16"/>
  <c r="K14" i="16"/>
  <c r="J181" i="16"/>
  <c r="J179" i="16"/>
  <c r="J260" i="16" s="1"/>
  <c r="J177" i="16"/>
  <c r="J175" i="16"/>
  <c r="J14" i="16"/>
  <c r="I259" i="16" s="1"/>
  <c r="I181" i="16"/>
  <c r="I179" i="16"/>
  <c r="I177" i="16"/>
  <c r="I175" i="16"/>
  <c r="I260" i="16" s="1"/>
  <c r="I14" i="16"/>
  <c r="H259" i="16" s="1"/>
  <c r="H181" i="16"/>
  <c r="H179" i="16"/>
  <c r="H177" i="16"/>
  <c r="H175" i="16"/>
  <c r="H260" i="16" s="1"/>
  <c r="H14" i="16"/>
  <c r="G259" i="16" s="1"/>
  <c r="G181" i="16"/>
  <c r="G179" i="16"/>
  <c r="G177" i="16"/>
  <c r="G175" i="16"/>
  <c r="F259" i="16"/>
  <c r="G14" i="16"/>
  <c r="F181" i="16"/>
  <c r="F179" i="16"/>
  <c r="F260" i="16" s="1"/>
  <c r="F177" i="16"/>
  <c r="F175" i="16"/>
  <c r="F14" i="16"/>
  <c r="E259" i="16" s="1"/>
  <c r="E181" i="16"/>
  <c r="E179" i="16"/>
  <c r="E177" i="16"/>
  <c r="E175" i="16"/>
  <c r="E260" i="16" s="1"/>
  <c r="E14" i="16"/>
  <c r="D181" i="16"/>
  <c r="D179" i="16"/>
  <c r="D177" i="16"/>
  <c r="D175" i="16"/>
  <c r="D260" i="16" s="1"/>
  <c r="AY14" i="17"/>
  <c r="AY15" i="17"/>
  <c r="AY16" i="17"/>
  <c r="AY10" i="17"/>
  <c r="AY13" i="17" s="1"/>
  <c r="AY17" i="17"/>
  <c r="AY29" i="17"/>
  <c r="AX14" i="17"/>
  <c r="AX15" i="17"/>
  <c r="AX16" i="17"/>
  <c r="AX17" i="17"/>
  <c r="AX29" i="17"/>
  <c r="AW16" i="17"/>
  <c r="AW21" i="17"/>
  <c r="AW22" i="17"/>
  <c r="AW29" i="17"/>
  <c r="AW44" i="17"/>
  <c r="AV14" i="17"/>
  <c r="AW15" i="17" s="1"/>
  <c r="AV15" i="17"/>
  <c r="AV16" i="17"/>
  <c r="AW17" i="17" s="1"/>
  <c r="AV10" i="17"/>
  <c r="AV13" i="17" s="1"/>
  <c r="AW14" i="17" s="1"/>
  <c r="AW10" i="17" s="1"/>
  <c r="AW13" i="17" s="1"/>
  <c r="AV17" i="17"/>
  <c r="AV21" i="17"/>
  <c r="AV29" i="17"/>
  <c r="AU14" i="17"/>
  <c r="AU10" i="17" s="1"/>
  <c r="AU15" i="17"/>
  <c r="AU16" i="17"/>
  <c r="AU13" i="17"/>
  <c r="AV22" i="17" s="1"/>
  <c r="AU17" i="17"/>
  <c r="AU29" i="17"/>
  <c r="AT14" i="17"/>
  <c r="AT10" i="17" s="1"/>
  <c r="AT15" i="17"/>
  <c r="AT16" i="17"/>
  <c r="AT13" i="17"/>
  <c r="AT17" i="17"/>
  <c r="AT29" i="17"/>
  <c r="AS14" i="17"/>
  <c r="AS15" i="17"/>
  <c r="AS16" i="17"/>
  <c r="AS10" i="17" s="1"/>
  <c r="AS13" i="17" s="1"/>
  <c r="AT21" i="17" s="1"/>
  <c r="AS17" i="17"/>
  <c r="AS29" i="17"/>
  <c r="AR14" i="17"/>
  <c r="AR10" i="17" s="1"/>
  <c r="AR13" i="17" s="1"/>
  <c r="AR15" i="17"/>
  <c r="AR16" i="17"/>
  <c r="AR17" i="17"/>
  <c r="AR29" i="17"/>
  <c r="AQ14" i="17"/>
  <c r="AQ10" i="17" s="1"/>
  <c r="AQ15" i="17"/>
  <c r="AQ16" i="17"/>
  <c r="AQ13" i="17"/>
  <c r="AQ17" i="17"/>
  <c r="AQ29" i="17"/>
  <c r="AP14" i="17"/>
  <c r="AP10" i="17" s="1"/>
  <c r="AP13" i="17" s="1"/>
  <c r="AP15" i="17"/>
  <c r="AP17" i="17"/>
  <c r="AP21" i="17"/>
  <c r="AP22" i="17"/>
  <c r="AP34" i="17" s="1"/>
  <c r="AP35" i="17" s="1"/>
  <c r="AP23" i="17"/>
  <c r="AP29" i="17"/>
  <c r="AP33" i="17"/>
  <c r="AP39" i="17"/>
  <c r="AP40" i="17"/>
  <c r="AP44" i="17"/>
  <c r="AP50" i="17"/>
  <c r="AP55" i="17"/>
  <c r="AP61" i="17" s="1"/>
  <c r="AO14" i="17"/>
  <c r="AO15" i="17"/>
  <c r="AP16" i="17" s="1"/>
  <c r="AO16" i="17"/>
  <c r="AO10" i="17"/>
  <c r="AO13" i="17" s="1"/>
  <c r="AO17" i="17"/>
  <c r="AO29" i="17"/>
  <c r="AN14" i="17"/>
  <c r="AN15" i="17"/>
  <c r="AN16" i="17"/>
  <c r="AN10" i="17"/>
  <c r="AN13" i="17" s="1"/>
  <c r="AN17" i="17"/>
  <c r="AN29" i="17"/>
  <c r="AM14" i="17"/>
  <c r="AM15" i="17"/>
  <c r="AM16" i="17"/>
  <c r="AM10" i="17"/>
  <c r="AM13" i="17" s="1"/>
  <c r="AM17" i="17"/>
  <c r="AM29" i="17"/>
  <c r="AL17" i="17"/>
  <c r="AL21" i="17"/>
  <c r="AL22" i="17"/>
  <c r="AL34" i="17" s="1"/>
  <c r="AL23" i="17"/>
  <c r="AL24" i="17"/>
  <c r="AL29" i="17"/>
  <c r="AL33" i="17"/>
  <c r="AL35" i="17"/>
  <c r="AL39" i="17"/>
  <c r="AL40" i="17"/>
  <c r="AL44" i="17"/>
  <c r="AL45" i="17"/>
  <c r="AL50" i="17"/>
  <c r="AL55" i="17"/>
  <c r="AL61" i="17" s="1"/>
  <c r="AL56" i="17"/>
  <c r="AK14" i="17"/>
  <c r="AK15" i="17"/>
  <c r="AL16" i="17" s="1"/>
  <c r="AK16" i="17"/>
  <c r="AK17" i="17"/>
  <c r="AK29" i="17"/>
  <c r="AJ14" i="17"/>
  <c r="AJ15" i="17"/>
  <c r="AJ16" i="17"/>
  <c r="AJ10" i="17"/>
  <c r="AJ13" i="17" s="1"/>
  <c r="AJ17" i="17"/>
  <c r="AJ29" i="17"/>
  <c r="AI14" i="17"/>
  <c r="AI10" i="17" s="1"/>
  <c r="AI13" i="17" s="1"/>
  <c r="AI15" i="17"/>
  <c r="AI16" i="17"/>
  <c r="AI17" i="17"/>
  <c r="AI29" i="17"/>
  <c r="AH14" i="17"/>
  <c r="AH15" i="17"/>
  <c r="AH16" i="17"/>
  <c r="AH10" i="17"/>
  <c r="AH13" i="17" s="1"/>
  <c r="AH17" i="17"/>
  <c r="AH29" i="17"/>
  <c r="AG14" i="17"/>
  <c r="AG10" i="17" s="1"/>
  <c r="AG13" i="17" s="1"/>
  <c r="AG15" i="17"/>
  <c r="AG16" i="17"/>
  <c r="AG17" i="17"/>
  <c r="AG29" i="17"/>
  <c r="AF14" i="17"/>
  <c r="AF15" i="17"/>
  <c r="AF16" i="17"/>
  <c r="AF10" i="17"/>
  <c r="AF13" i="17" s="1"/>
  <c r="AF17" i="17"/>
  <c r="AF29" i="17"/>
  <c r="AE14" i="17"/>
  <c r="AE15" i="17"/>
  <c r="AE16" i="17"/>
  <c r="AE10" i="17"/>
  <c r="AE13" i="17" s="1"/>
  <c r="AE17" i="17"/>
  <c r="AE29" i="17"/>
  <c r="AD14" i="17"/>
  <c r="AD15" i="17"/>
  <c r="AD10" i="17" s="1"/>
  <c r="AD13" i="17" s="1"/>
  <c r="AD16" i="17"/>
  <c r="AD17" i="17"/>
  <c r="AD29" i="17"/>
  <c r="AC15" i="17"/>
  <c r="AC17" i="17"/>
  <c r="AC21" i="17"/>
  <c r="AC22" i="17"/>
  <c r="AC34" i="17" s="1"/>
  <c r="AC23" i="17"/>
  <c r="AC24" i="17"/>
  <c r="AC29" i="17"/>
  <c r="AC33" i="17"/>
  <c r="AC35" i="17" s="1"/>
  <c r="AC39" i="17"/>
  <c r="AC40" i="17"/>
  <c r="AC44" i="17"/>
  <c r="AC45" i="17"/>
  <c r="AC51" i="17" s="1"/>
  <c r="AC46" i="17"/>
  <c r="AC50" i="17"/>
  <c r="AC55" i="17"/>
  <c r="AC61" i="17" s="1"/>
  <c r="AC56" i="17"/>
  <c r="AC62" i="17" s="1"/>
  <c r="AC57" i="17"/>
  <c r="AB14" i="17"/>
  <c r="AB10" i="17" s="1"/>
  <c r="AB15" i="17"/>
  <c r="AC16" i="17" s="1"/>
  <c r="AB16" i="17"/>
  <c r="AB13" i="17"/>
  <c r="AC14" i="17" s="1"/>
  <c r="AC10" i="17" s="1"/>
  <c r="AC13" i="17" s="1"/>
  <c r="AB17" i="17"/>
  <c r="AB29" i="17"/>
  <c r="AA14" i="17"/>
  <c r="AA10" i="17" s="1"/>
  <c r="AA13" i="17" s="1"/>
  <c r="AA15" i="17"/>
  <c r="AA16" i="17"/>
  <c r="AA17" i="17"/>
  <c r="AA29" i="17"/>
  <c r="Z15" i="17"/>
  <c r="Z17" i="17"/>
  <c r="Z21" i="17"/>
  <c r="Z22" i="17"/>
  <c r="Z34" i="17" s="1"/>
  <c r="Z23" i="17"/>
  <c r="Z24" i="17"/>
  <c r="Z29" i="17"/>
  <c r="Z33" i="17"/>
  <c r="Z35" i="17"/>
  <c r="Z39" i="17"/>
  <c r="Z40" i="17"/>
  <c r="Z44" i="17"/>
  <c r="Z45" i="17"/>
  <c r="Z50" i="17"/>
  <c r="Z55" i="17"/>
  <c r="Z61" i="17" s="1"/>
  <c r="Z56" i="17"/>
  <c r="Z57" i="17" s="1"/>
  <c r="Z62" i="17"/>
  <c r="Y14" i="17"/>
  <c r="Y15" i="17"/>
  <c r="Z16" i="17" s="1"/>
  <c r="Y16" i="17"/>
  <c r="Y10" i="17"/>
  <c r="Y13" i="17" s="1"/>
  <c r="Z14" i="17" s="1"/>
  <c r="Z10" i="17" s="1"/>
  <c r="Z13" i="17" s="1"/>
  <c r="AA21" i="17" s="1"/>
  <c r="Y17" i="17"/>
  <c r="Y29" i="17"/>
  <c r="X16" i="17"/>
  <c r="X21" i="17"/>
  <c r="X22" i="17"/>
  <c r="X24" i="17" s="1"/>
  <c r="X23" i="17"/>
  <c r="X29" i="17"/>
  <c r="X34" i="17"/>
  <c r="X40" i="17" s="1"/>
  <c r="X44" i="17"/>
  <c r="X50" i="17" s="1"/>
  <c r="X45" i="17"/>
  <c r="X46" i="17"/>
  <c r="X51" i="17"/>
  <c r="X56" i="17"/>
  <c r="X62" i="17" s="1"/>
  <c r="W14" i="17"/>
  <c r="W15" i="17"/>
  <c r="W16" i="17"/>
  <c r="X17" i="17" s="1"/>
  <c r="W17" i="17"/>
  <c r="W29" i="17"/>
  <c r="V14" i="17"/>
  <c r="V10" i="17" s="1"/>
  <c r="V13" i="17" s="1"/>
  <c r="W22" i="17" s="1"/>
  <c r="V15" i="17"/>
  <c r="V16" i="17"/>
  <c r="V17" i="17"/>
  <c r="V29" i="17"/>
  <c r="U14" i="17"/>
  <c r="U15" i="17"/>
  <c r="U16" i="17"/>
  <c r="U17" i="17"/>
  <c r="U29" i="17"/>
  <c r="T14" i="17"/>
  <c r="T15" i="17"/>
  <c r="T16" i="17"/>
  <c r="T17" i="17"/>
  <c r="T29" i="17"/>
  <c r="S14" i="17"/>
  <c r="S10" i="17" s="1"/>
  <c r="S13" i="17" s="1"/>
  <c r="S15" i="17"/>
  <c r="S16" i="17"/>
  <c r="S17" i="17"/>
  <c r="S29" i="17"/>
  <c r="R14" i="17"/>
  <c r="R10" i="17" s="1"/>
  <c r="R13" i="17" s="1"/>
  <c r="S22" i="17" s="1"/>
  <c r="R15" i="17"/>
  <c r="R16" i="17"/>
  <c r="R17" i="17"/>
  <c r="R29" i="17"/>
  <c r="Q14" i="17"/>
  <c r="Q15" i="17"/>
  <c r="Q16" i="17"/>
  <c r="Q17" i="17"/>
  <c r="Q29" i="17"/>
  <c r="P14" i="17"/>
  <c r="P15" i="17"/>
  <c r="P16" i="17"/>
  <c r="P17" i="17"/>
  <c r="P29" i="17"/>
  <c r="O14" i="17"/>
  <c r="O10" i="17" s="1"/>
  <c r="O13" i="17" s="1"/>
  <c r="O15" i="17"/>
  <c r="O16" i="17"/>
  <c r="O17" i="17"/>
  <c r="O29" i="17"/>
  <c r="N14" i="17"/>
  <c r="N10" i="17" s="1"/>
  <c r="N13" i="17" s="1"/>
  <c r="O22" i="17" s="1"/>
  <c r="N15" i="17"/>
  <c r="N16" i="17"/>
  <c r="N17" i="17"/>
  <c r="N29" i="17"/>
  <c r="M14" i="17"/>
  <c r="M15" i="17"/>
  <c r="M16" i="17"/>
  <c r="M17" i="17"/>
  <c r="M29" i="17"/>
  <c r="L14" i="17"/>
  <c r="L15" i="17"/>
  <c r="L16" i="17"/>
  <c r="L17" i="17"/>
  <c r="L29" i="17"/>
  <c r="K16" i="17"/>
  <c r="K21" i="17"/>
  <c r="K22" i="17"/>
  <c r="K23" i="17"/>
  <c r="K24" i="17"/>
  <c r="K29" i="17"/>
  <c r="K34" i="17"/>
  <c r="K40" i="17" s="1"/>
  <c r="K44" i="17"/>
  <c r="K50" i="17" s="1"/>
  <c r="K45" i="17"/>
  <c r="K51" i="17"/>
  <c r="K56" i="17"/>
  <c r="K62" i="17" s="1"/>
  <c r="J14" i="17"/>
  <c r="K15" i="17" s="1"/>
  <c r="J15" i="17"/>
  <c r="J16" i="17"/>
  <c r="K17" i="17" s="1"/>
  <c r="J10" i="17"/>
  <c r="J13" i="17" s="1"/>
  <c r="K14" i="17" s="1"/>
  <c r="K10" i="17" s="1"/>
  <c r="K13" i="17" s="1"/>
  <c r="J17" i="17"/>
  <c r="J22" i="17"/>
  <c r="J29" i="17"/>
  <c r="J55" i="17"/>
  <c r="I14" i="17"/>
  <c r="I15" i="17"/>
  <c r="I16" i="17"/>
  <c r="I10" i="17"/>
  <c r="I13" i="17" s="1"/>
  <c r="J21" i="17" s="1"/>
  <c r="I17" i="17"/>
  <c r="I29" i="17"/>
  <c r="H14" i="17"/>
  <c r="H15" i="17"/>
  <c r="H16" i="17"/>
  <c r="H10" i="17"/>
  <c r="H13" i="17" s="1"/>
  <c r="I21" i="17" s="1"/>
  <c r="H17" i="17"/>
  <c r="H29" i="17"/>
  <c r="G14" i="17"/>
  <c r="G15" i="17"/>
  <c r="G16" i="17"/>
  <c r="G10" i="17" s="1"/>
  <c r="G13" i="17" s="1"/>
  <c r="G17" i="17"/>
  <c r="G21" i="17"/>
  <c r="G55" i="17" s="1"/>
  <c r="G29" i="17"/>
  <c r="F14" i="17"/>
  <c r="F15" i="17"/>
  <c r="F16" i="17"/>
  <c r="F10" i="17"/>
  <c r="F13" i="17" s="1"/>
  <c r="G22" i="17" s="1"/>
  <c r="F17" i="17"/>
  <c r="F29" i="17"/>
  <c r="E14" i="17"/>
  <c r="E15" i="17"/>
  <c r="E16" i="17"/>
  <c r="E10" i="17"/>
  <c r="E13" i="17" s="1"/>
  <c r="F22" i="17" s="1"/>
  <c r="E17" i="17"/>
  <c r="E27" i="17"/>
  <c r="E30" i="17" s="1"/>
  <c r="E29" i="17"/>
  <c r="D14" i="17"/>
  <c r="D15" i="17"/>
  <c r="D16" i="17"/>
  <c r="D10" i="17" s="1"/>
  <c r="D17" i="17"/>
  <c r="D21" i="17"/>
  <c r="D22" i="17"/>
  <c r="D27" i="17"/>
  <c r="D30" i="17" s="1"/>
  <c r="D29" i="17"/>
  <c r="D55" i="17"/>
  <c r="B21" i="17"/>
  <c r="AX21" i="17" s="1"/>
  <c r="D127" i="18"/>
  <c r="E127" i="18"/>
  <c r="F127" i="18"/>
  <c r="G127" i="18"/>
  <c r="H127" i="18"/>
  <c r="I127" i="18"/>
  <c r="J127" i="18"/>
  <c r="K127" i="18"/>
  <c r="L127" i="18"/>
  <c r="M127" i="18"/>
  <c r="N127" i="18"/>
  <c r="O127" i="18"/>
  <c r="P127" i="18"/>
  <c r="Q127" i="18"/>
  <c r="R127" i="18"/>
  <c r="S127" i="18"/>
  <c r="T127" i="18"/>
  <c r="U127" i="18"/>
  <c r="V127" i="18"/>
  <c r="W127" i="18"/>
  <c r="X127" i="18"/>
  <c r="Y127" i="18"/>
  <c r="Z127" i="18"/>
  <c r="AA127" i="18"/>
  <c r="AB127" i="18"/>
  <c r="AC127" i="18"/>
  <c r="AD127" i="18"/>
  <c r="AE127" i="18"/>
  <c r="AF127" i="18"/>
  <c r="AG127" i="18"/>
  <c r="AH127" i="18"/>
  <c r="AI127" i="18"/>
  <c r="AJ127" i="18"/>
  <c r="AK127" i="18"/>
  <c r="AL127" i="18"/>
  <c r="AM127" i="18"/>
  <c r="AN127" i="18"/>
  <c r="AO127" i="18"/>
  <c r="AP127" i="18"/>
  <c r="AQ127" i="18"/>
  <c r="AR127" i="18"/>
  <c r="AS127" i="18"/>
  <c r="AT127" i="18"/>
  <c r="AU127" i="18"/>
  <c r="AV127" i="18"/>
  <c r="AW127" i="18"/>
  <c r="AX127" i="18"/>
  <c r="C127" i="18"/>
  <c r="D122" i="18"/>
  <c r="E122" i="18"/>
  <c r="F122" i="18"/>
  <c r="G122" i="18"/>
  <c r="H122" i="18"/>
  <c r="I122" i="18"/>
  <c r="J122" i="18"/>
  <c r="K122" i="18"/>
  <c r="L122" i="18"/>
  <c r="M122" i="18"/>
  <c r="N122" i="18"/>
  <c r="O122" i="18"/>
  <c r="P122" i="18"/>
  <c r="Q122" i="18"/>
  <c r="R122" i="18"/>
  <c r="S122" i="18"/>
  <c r="T122" i="18"/>
  <c r="U122" i="18"/>
  <c r="V122" i="18"/>
  <c r="W122" i="18"/>
  <c r="X122" i="18"/>
  <c r="Y122" i="18"/>
  <c r="Z122" i="18"/>
  <c r="AA122" i="18"/>
  <c r="AB122" i="18"/>
  <c r="AC122" i="18"/>
  <c r="AD122" i="18"/>
  <c r="AE122" i="18"/>
  <c r="AF122" i="18"/>
  <c r="AG122" i="18"/>
  <c r="AH122" i="18"/>
  <c r="AI122" i="18"/>
  <c r="AJ122" i="18"/>
  <c r="AK122" i="18"/>
  <c r="AL122" i="18"/>
  <c r="AM122" i="18"/>
  <c r="AN122" i="18"/>
  <c r="AO122" i="18"/>
  <c r="AP122" i="18"/>
  <c r="AQ122" i="18"/>
  <c r="AR122" i="18"/>
  <c r="AS122" i="18"/>
  <c r="AT122" i="18"/>
  <c r="AU122" i="18"/>
  <c r="AV122" i="18"/>
  <c r="AW122" i="18"/>
  <c r="AX122" i="18"/>
  <c r="C122" i="18"/>
  <c r="D117" i="18"/>
  <c r="E117" i="18"/>
  <c r="F117" i="18"/>
  <c r="G117" i="18"/>
  <c r="H117" i="18"/>
  <c r="I117" i="18"/>
  <c r="J117" i="18"/>
  <c r="K117" i="18"/>
  <c r="L117" i="18"/>
  <c r="M117" i="18"/>
  <c r="N117" i="18"/>
  <c r="O117" i="18"/>
  <c r="P117" i="18"/>
  <c r="Q117" i="18"/>
  <c r="R117" i="18"/>
  <c r="S117" i="18"/>
  <c r="T117" i="18"/>
  <c r="U117" i="18"/>
  <c r="V117" i="18"/>
  <c r="W117" i="18"/>
  <c r="X117" i="18"/>
  <c r="Y117" i="18"/>
  <c r="Z117" i="18"/>
  <c r="AA117" i="18"/>
  <c r="AB117" i="18"/>
  <c r="AC117" i="18"/>
  <c r="AD117" i="18"/>
  <c r="AE117" i="18"/>
  <c r="AF117" i="18"/>
  <c r="AG117" i="18"/>
  <c r="AH117" i="18"/>
  <c r="AI117" i="18"/>
  <c r="AJ117" i="18"/>
  <c r="AK117" i="18"/>
  <c r="AL117" i="18"/>
  <c r="AM117" i="18"/>
  <c r="AN117" i="18"/>
  <c r="AO117" i="18"/>
  <c r="AP117" i="18"/>
  <c r="AQ117" i="18"/>
  <c r="AR117" i="18"/>
  <c r="AS117" i="18"/>
  <c r="AT117" i="18"/>
  <c r="AU117" i="18"/>
  <c r="AV117" i="18"/>
  <c r="AW117" i="18"/>
  <c r="AX117" i="18"/>
  <c r="C117" i="18"/>
  <c r="D112" i="18"/>
  <c r="E112" i="18"/>
  <c r="F112" i="18"/>
  <c r="G112" i="18"/>
  <c r="H112" i="18"/>
  <c r="I112" i="18"/>
  <c r="J112" i="18"/>
  <c r="K112" i="18"/>
  <c r="L112" i="18"/>
  <c r="M112" i="18"/>
  <c r="N112" i="18"/>
  <c r="O112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C112" i="18"/>
  <c r="D107" i="18"/>
  <c r="E107" i="18"/>
  <c r="F107" i="18"/>
  <c r="G107" i="18"/>
  <c r="H107" i="18"/>
  <c r="I107" i="18"/>
  <c r="J107" i="18"/>
  <c r="K107" i="18"/>
  <c r="L107" i="18"/>
  <c r="M107" i="18"/>
  <c r="N107" i="18"/>
  <c r="O107" i="18"/>
  <c r="P107" i="18"/>
  <c r="Q107" i="18"/>
  <c r="R107" i="18"/>
  <c r="S107" i="18"/>
  <c r="T107" i="18"/>
  <c r="U107" i="18"/>
  <c r="V107" i="18"/>
  <c r="W107" i="18"/>
  <c r="X107" i="18"/>
  <c r="Y107" i="18"/>
  <c r="Z107" i="18"/>
  <c r="AA107" i="18"/>
  <c r="AB107" i="18"/>
  <c r="AC107" i="18"/>
  <c r="AD107" i="18"/>
  <c r="AE107" i="18"/>
  <c r="AF107" i="18"/>
  <c r="AG107" i="18"/>
  <c r="AH107" i="18"/>
  <c r="AI107" i="18"/>
  <c r="AJ107" i="18"/>
  <c r="AK107" i="18"/>
  <c r="AL107" i="18"/>
  <c r="AM107" i="18"/>
  <c r="AN107" i="18"/>
  <c r="AO107" i="18"/>
  <c r="AP107" i="18"/>
  <c r="AQ107" i="18"/>
  <c r="AR107" i="18"/>
  <c r="AS107" i="18"/>
  <c r="AT107" i="18"/>
  <c r="AU107" i="18"/>
  <c r="AV107" i="18"/>
  <c r="AW107" i="18"/>
  <c r="AX107" i="18"/>
  <c r="C107" i="18"/>
  <c r="D102" i="18"/>
  <c r="E102" i="18"/>
  <c r="F102" i="18"/>
  <c r="G102" i="18"/>
  <c r="H102" i="18"/>
  <c r="I102" i="18"/>
  <c r="J102" i="18"/>
  <c r="K102" i="18"/>
  <c r="L102" i="18"/>
  <c r="M102" i="18"/>
  <c r="N102" i="18"/>
  <c r="O102" i="18"/>
  <c r="P102" i="18"/>
  <c r="Q102" i="18"/>
  <c r="R102" i="18"/>
  <c r="S102" i="18"/>
  <c r="T102" i="18"/>
  <c r="U102" i="18"/>
  <c r="V102" i="18"/>
  <c r="W102" i="18"/>
  <c r="X102" i="18"/>
  <c r="Y102" i="18"/>
  <c r="Z102" i="18"/>
  <c r="AA102" i="18"/>
  <c r="AB102" i="18"/>
  <c r="AC102" i="18"/>
  <c r="AD102" i="18"/>
  <c r="AE102" i="18"/>
  <c r="AF102" i="18"/>
  <c r="AG102" i="18"/>
  <c r="AH102" i="18"/>
  <c r="AI102" i="18"/>
  <c r="AJ102" i="18"/>
  <c r="AK102" i="18"/>
  <c r="AL102" i="18"/>
  <c r="AM102" i="18"/>
  <c r="AN102" i="18"/>
  <c r="AO102" i="18"/>
  <c r="AP102" i="18"/>
  <c r="AQ102" i="18"/>
  <c r="AR102" i="18"/>
  <c r="AS102" i="18"/>
  <c r="AT102" i="18"/>
  <c r="AU102" i="18"/>
  <c r="AV102" i="18"/>
  <c r="AW102" i="18"/>
  <c r="AX102" i="18"/>
  <c r="C102" i="18"/>
  <c r="C88" i="18"/>
  <c r="D88" i="18"/>
  <c r="E88" i="18"/>
  <c r="F88" i="18"/>
  <c r="G88" i="18"/>
  <c r="H88" i="18"/>
  <c r="I88" i="18"/>
  <c r="J88" i="18"/>
  <c r="K88" i="18"/>
  <c r="L88" i="18"/>
  <c r="M88" i="18"/>
  <c r="N88" i="18"/>
  <c r="O88" i="18"/>
  <c r="P88" i="18"/>
  <c r="Q88" i="18"/>
  <c r="R88" i="18"/>
  <c r="S88" i="18"/>
  <c r="T88" i="18"/>
  <c r="U88" i="18"/>
  <c r="V88" i="18"/>
  <c r="W88" i="18"/>
  <c r="X88" i="18"/>
  <c r="Y88" i="18"/>
  <c r="Z88" i="18"/>
  <c r="AA88" i="18"/>
  <c r="AB88" i="18"/>
  <c r="AC88" i="18"/>
  <c r="AD88" i="18"/>
  <c r="AE88" i="18"/>
  <c r="AF88" i="18"/>
  <c r="AG88" i="18"/>
  <c r="AH88" i="18"/>
  <c r="AI88" i="18"/>
  <c r="AJ88" i="18"/>
  <c r="AK88" i="18"/>
  <c r="AL88" i="18"/>
  <c r="AM88" i="18"/>
  <c r="AN88" i="18"/>
  <c r="AO88" i="18"/>
  <c r="AP88" i="18"/>
  <c r="AQ88" i="18"/>
  <c r="AR88" i="18"/>
  <c r="AS88" i="18"/>
  <c r="AT88" i="18"/>
  <c r="AU88" i="18"/>
  <c r="AV88" i="18"/>
  <c r="AW88" i="18"/>
  <c r="AX88" i="18"/>
  <c r="C89" i="18"/>
  <c r="D89" i="18"/>
  <c r="E89" i="18"/>
  <c r="F89" i="18"/>
  <c r="G89" i="18"/>
  <c r="H89" i="18"/>
  <c r="I89" i="18"/>
  <c r="J89" i="18"/>
  <c r="K89" i="18"/>
  <c r="L89" i="18"/>
  <c r="M89" i="18"/>
  <c r="N89" i="18"/>
  <c r="O89" i="18"/>
  <c r="P89" i="18"/>
  <c r="Q89" i="18"/>
  <c r="R89" i="18"/>
  <c r="S89" i="18"/>
  <c r="T89" i="18"/>
  <c r="U89" i="18"/>
  <c r="V89" i="18"/>
  <c r="W89" i="18"/>
  <c r="X89" i="18"/>
  <c r="Y89" i="18"/>
  <c r="Z89" i="18"/>
  <c r="AA89" i="18"/>
  <c r="AB89" i="18"/>
  <c r="AC89" i="18"/>
  <c r="AD89" i="18"/>
  <c r="AE89" i="18"/>
  <c r="AF89" i="18"/>
  <c r="AG89" i="18"/>
  <c r="AH89" i="18"/>
  <c r="AI89" i="18"/>
  <c r="AJ89" i="18"/>
  <c r="AK89" i="18"/>
  <c r="AL89" i="18"/>
  <c r="AM89" i="18"/>
  <c r="AN89" i="18"/>
  <c r="AO89" i="18"/>
  <c r="AP89" i="18"/>
  <c r="AQ89" i="18"/>
  <c r="AR89" i="18"/>
  <c r="AS89" i="18"/>
  <c r="AT89" i="18"/>
  <c r="AU89" i="18"/>
  <c r="AV89" i="18"/>
  <c r="AW89" i="18"/>
  <c r="AX89" i="18"/>
  <c r="C90" i="18"/>
  <c r="D90" i="18"/>
  <c r="E90" i="18"/>
  <c r="F90" i="18"/>
  <c r="G90" i="18"/>
  <c r="H90" i="18"/>
  <c r="I90" i="18"/>
  <c r="J90" i="18"/>
  <c r="K90" i="18"/>
  <c r="L90" i="18"/>
  <c r="M90" i="18"/>
  <c r="N90" i="18"/>
  <c r="O90" i="18"/>
  <c r="P90" i="18"/>
  <c r="Q90" i="18"/>
  <c r="R90" i="18"/>
  <c r="S90" i="18"/>
  <c r="T90" i="18"/>
  <c r="U90" i="18"/>
  <c r="V90" i="18"/>
  <c r="W90" i="18"/>
  <c r="X90" i="18"/>
  <c r="Y90" i="18"/>
  <c r="Z90" i="18"/>
  <c r="AA90" i="18"/>
  <c r="AB90" i="18"/>
  <c r="AC90" i="18"/>
  <c r="AD90" i="18"/>
  <c r="AE90" i="18"/>
  <c r="AF90" i="18"/>
  <c r="AG90" i="18"/>
  <c r="AH90" i="18"/>
  <c r="AI90" i="18"/>
  <c r="AJ90" i="18"/>
  <c r="AK90" i="18"/>
  <c r="AL90" i="18"/>
  <c r="AM90" i="18"/>
  <c r="AN90" i="18"/>
  <c r="AO90" i="18"/>
  <c r="AP90" i="18"/>
  <c r="AQ90" i="18"/>
  <c r="AR90" i="18"/>
  <c r="AS90" i="18"/>
  <c r="AT90" i="18"/>
  <c r="AU90" i="18"/>
  <c r="AV90" i="18"/>
  <c r="AW90" i="18"/>
  <c r="AX90" i="18"/>
  <c r="C91" i="18"/>
  <c r="D91" i="18"/>
  <c r="E91" i="18"/>
  <c r="F91" i="18"/>
  <c r="G91" i="18"/>
  <c r="H91" i="18"/>
  <c r="I91" i="18"/>
  <c r="J91" i="18"/>
  <c r="K91" i="18"/>
  <c r="L91" i="18"/>
  <c r="M91" i="18"/>
  <c r="N91" i="18"/>
  <c r="O91" i="18"/>
  <c r="P91" i="18"/>
  <c r="Q91" i="18"/>
  <c r="R91" i="18"/>
  <c r="S91" i="18"/>
  <c r="T91" i="18"/>
  <c r="U91" i="18"/>
  <c r="V91" i="18"/>
  <c r="W91" i="18"/>
  <c r="X91" i="18"/>
  <c r="Y91" i="18"/>
  <c r="Z91" i="18"/>
  <c r="AA91" i="18"/>
  <c r="AB91" i="18"/>
  <c r="AC91" i="18"/>
  <c r="AD91" i="18"/>
  <c r="AE91" i="18"/>
  <c r="AF91" i="18"/>
  <c r="AG91" i="18"/>
  <c r="AH91" i="18"/>
  <c r="AI91" i="18"/>
  <c r="AJ91" i="18"/>
  <c r="AK91" i="18"/>
  <c r="AL91" i="18"/>
  <c r="AM91" i="18"/>
  <c r="AN91" i="18"/>
  <c r="AO91" i="18"/>
  <c r="AP91" i="18"/>
  <c r="AQ91" i="18"/>
  <c r="AR91" i="18"/>
  <c r="AS91" i="18"/>
  <c r="AT91" i="18"/>
  <c r="AU91" i="18"/>
  <c r="AV91" i="18"/>
  <c r="AW91" i="18"/>
  <c r="AX91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O92" i="18"/>
  <c r="P92" i="18"/>
  <c r="Q92" i="18"/>
  <c r="R92" i="18"/>
  <c r="S92" i="18"/>
  <c r="T92" i="18"/>
  <c r="U92" i="18"/>
  <c r="V92" i="18"/>
  <c r="W92" i="18"/>
  <c r="X92" i="18"/>
  <c r="Y92" i="18"/>
  <c r="Z92" i="18"/>
  <c r="AA92" i="18"/>
  <c r="AB92" i="18"/>
  <c r="AC92" i="18"/>
  <c r="AD92" i="18"/>
  <c r="AE92" i="18"/>
  <c r="AF92" i="18"/>
  <c r="AG92" i="18"/>
  <c r="AH92" i="18"/>
  <c r="AI92" i="18"/>
  <c r="AJ92" i="18"/>
  <c r="AK92" i="18"/>
  <c r="AL92" i="18"/>
  <c r="AM92" i="18"/>
  <c r="AN92" i="18"/>
  <c r="AO92" i="18"/>
  <c r="AP92" i="18"/>
  <c r="AQ92" i="18"/>
  <c r="AR92" i="18"/>
  <c r="AS92" i="18"/>
  <c r="AT92" i="18"/>
  <c r="AU92" i="18"/>
  <c r="AV92" i="18"/>
  <c r="AW92" i="18"/>
  <c r="AX92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O93" i="18"/>
  <c r="P93" i="18"/>
  <c r="Q93" i="18"/>
  <c r="R93" i="18"/>
  <c r="S93" i="18"/>
  <c r="T93" i="18"/>
  <c r="U93" i="18"/>
  <c r="V93" i="18"/>
  <c r="W93" i="18"/>
  <c r="X93" i="18"/>
  <c r="Y93" i="18"/>
  <c r="Z93" i="18"/>
  <c r="AA93" i="18"/>
  <c r="AB93" i="18"/>
  <c r="AC93" i="18"/>
  <c r="AD93" i="18"/>
  <c r="AE93" i="18"/>
  <c r="AF93" i="18"/>
  <c r="AG93" i="18"/>
  <c r="AH93" i="18"/>
  <c r="AI93" i="18"/>
  <c r="AJ93" i="18"/>
  <c r="AK93" i="18"/>
  <c r="AL93" i="18"/>
  <c r="AM93" i="18"/>
  <c r="AN93" i="18"/>
  <c r="AO93" i="18"/>
  <c r="AP93" i="18"/>
  <c r="AQ93" i="18"/>
  <c r="AR93" i="18"/>
  <c r="AS93" i="18"/>
  <c r="AT93" i="18"/>
  <c r="AU93" i="18"/>
  <c r="AV93" i="18"/>
  <c r="AW93" i="18"/>
  <c r="AX93" i="18"/>
  <c r="C19" i="18"/>
  <c r="C28" i="18" s="1"/>
  <c r="D19" i="18"/>
  <c r="D28" i="18" s="1"/>
  <c r="E19" i="18"/>
  <c r="E28" i="18" s="1"/>
  <c r="F19" i="18"/>
  <c r="F28" i="18" s="1"/>
  <c r="G19" i="18"/>
  <c r="G28" i="18" s="1"/>
  <c r="H19" i="18"/>
  <c r="H28" i="18" s="1"/>
  <c r="I19" i="18"/>
  <c r="I28" i="18" s="1"/>
  <c r="J19" i="18"/>
  <c r="J28" i="18" s="1"/>
  <c r="K19" i="18"/>
  <c r="K28" i="18" s="1"/>
  <c r="L19" i="18"/>
  <c r="L28" i="18" s="1"/>
  <c r="M19" i="18"/>
  <c r="M28" i="18" s="1"/>
  <c r="N19" i="18"/>
  <c r="N28" i="18" s="1"/>
  <c r="C20" i="18"/>
  <c r="C29" i="18" s="1"/>
  <c r="D20" i="18"/>
  <c r="D29" i="18" s="1"/>
  <c r="E20" i="18"/>
  <c r="E29" i="18" s="1"/>
  <c r="F20" i="18"/>
  <c r="F29" i="18" s="1"/>
  <c r="G20" i="18"/>
  <c r="G29" i="18" s="1"/>
  <c r="H20" i="18"/>
  <c r="H29" i="18" s="1"/>
  <c r="I20" i="18"/>
  <c r="I29" i="18" s="1"/>
  <c r="J20" i="18"/>
  <c r="J29" i="18" s="1"/>
  <c r="K20" i="18"/>
  <c r="K29" i="18" s="1"/>
  <c r="L20" i="18"/>
  <c r="L29" i="18" s="1"/>
  <c r="M20" i="18"/>
  <c r="M29" i="18" s="1"/>
  <c r="N20" i="18"/>
  <c r="N29" i="18" s="1"/>
  <c r="C21" i="18"/>
  <c r="C30" i="18" s="1"/>
  <c r="D21" i="18"/>
  <c r="D30" i="18" s="1"/>
  <c r="E21" i="18"/>
  <c r="E30" i="18" s="1"/>
  <c r="F21" i="18"/>
  <c r="F30" i="18" s="1"/>
  <c r="G21" i="18"/>
  <c r="G30" i="18" s="1"/>
  <c r="H21" i="18"/>
  <c r="H30" i="18" s="1"/>
  <c r="I21" i="18"/>
  <c r="I30" i="18" s="1"/>
  <c r="J21" i="18"/>
  <c r="J30" i="18" s="1"/>
  <c r="K21" i="18"/>
  <c r="K30" i="18" s="1"/>
  <c r="L21" i="18"/>
  <c r="L30" i="18" s="1"/>
  <c r="M21" i="18"/>
  <c r="M30" i="18" s="1"/>
  <c r="N21" i="18"/>
  <c r="N30" i="18" s="1"/>
  <c r="C22" i="18"/>
  <c r="C31" i="18" s="1"/>
  <c r="D22" i="18"/>
  <c r="D31" i="18" s="1"/>
  <c r="E22" i="18"/>
  <c r="E31" i="18" s="1"/>
  <c r="F22" i="18"/>
  <c r="F31" i="18" s="1"/>
  <c r="G22" i="18"/>
  <c r="G31" i="18" s="1"/>
  <c r="H22" i="18"/>
  <c r="H31" i="18" s="1"/>
  <c r="I22" i="18"/>
  <c r="I31" i="18" s="1"/>
  <c r="J22" i="18"/>
  <c r="J31" i="18" s="1"/>
  <c r="K22" i="18"/>
  <c r="K31" i="18" s="1"/>
  <c r="L22" i="18"/>
  <c r="L31" i="18" s="1"/>
  <c r="M22" i="18"/>
  <c r="M31" i="18" s="1"/>
  <c r="N22" i="18"/>
  <c r="N31" i="18" s="1"/>
  <c r="C23" i="18"/>
  <c r="C32" i="18" s="1"/>
  <c r="D23" i="18"/>
  <c r="D32" i="18" s="1"/>
  <c r="E23" i="18"/>
  <c r="E32" i="18" s="1"/>
  <c r="F23" i="18"/>
  <c r="F32" i="18" s="1"/>
  <c r="G23" i="18"/>
  <c r="G32" i="18" s="1"/>
  <c r="H23" i="18"/>
  <c r="H32" i="18" s="1"/>
  <c r="I23" i="18"/>
  <c r="I32" i="18" s="1"/>
  <c r="J23" i="18"/>
  <c r="J32" i="18" s="1"/>
  <c r="K23" i="18"/>
  <c r="K32" i="18" s="1"/>
  <c r="L23" i="18"/>
  <c r="L32" i="18" s="1"/>
  <c r="M23" i="18"/>
  <c r="M32" i="18" s="1"/>
  <c r="N23" i="18"/>
  <c r="N32" i="18" s="1"/>
  <c r="C24" i="18"/>
  <c r="C33" i="18" s="1"/>
  <c r="D24" i="18"/>
  <c r="D33" i="18" s="1"/>
  <c r="E24" i="18"/>
  <c r="E33" i="18" s="1"/>
  <c r="F24" i="18"/>
  <c r="F33" i="18" s="1"/>
  <c r="G24" i="18"/>
  <c r="G33" i="18" s="1"/>
  <c r="H24" i="18"/>
  <c r="H33" i="18" s="1"/>
  <c r="I24" i="18"/>
  <c r="I33" i="18" s="1"/>
  <c r="J24" i="18"/>
  <c r="J33" i="18" s="1"/>
  <c r="K24" i="18"/>
  <c r="K33" i="18" s="1"/>
  <c r="L24" i="18"/>
  <c r="L33" i="18" s="1"/>
  <c r="M24" i="18"/>
  <c r="M33" i="18" s="1"/>
  <c r="N24" i="18"/>
  <c r="N33" i="18" s="1"/>
  <c r="B22" i="17"/>
  <c r="D13" i="17" l="1"/>
  <c r="F56" i="17"/>
  <c r="F62" i="17" s="1"/>
  <c r="F24" i="17"/>
  <c r="F34" i="17"/>
  <c r="F40" i="17" s="1"/>
  <c r="F45" i="17"/>
  <c r="F51" i="17" s="1"/>
  <c r="AD21" i="17"/>
  <c r="AD22" i="17"/>
  <c r="G56" i="17"/>
  <c r="G62" i="17" s="1"/>
  <c r="G24" i="17"/>
  <c r="G45" i="17"/>
  <c r="G51" i="17" s="1"/>
  <c r="G34" i="17"/>
  <c r="G40" i="17" s="1"/>
  <c r="G57" i="17"/>
  <c r="G61" i="17"/>
  <c r="H21" i="17"/>
  <c r="H22" i="17"/>
  <c r="I23" i="17"/>
  <c r="I33" i="17"/>
  <c r="I44" i="17"/>
  <c r="J61" i="17"/>
  <c r="AL51" i="17"/>
  <c r="AL46" i="17"/>
  <c r="D23" i="17"/>
  <c r="D33" i="17"/>
  <c r="F27" i="17"/>
  <c r="I55" i="17"/>
  <c r="AA44" i="17"/>
  <c r="AA23" i="17"/>
  <c r="AA33" i="17"/>
  <c r="AA55" i="17"/>
  <c r="Z51" i="17"/>
  <c r="Z46" i="17"/>
  <c r="AA22" i="17"/>
  <c r="AB21" i="17"/>
  <c r="AB22" i="17"/>
  <c r="AF21" i="17"/>
  <c r="AF22" i="17"/>
  <c r="AV33" i="17"/>
  <c r="AV23" i="17"/>
  <c r="AV55" i="17"/>
  <c r="AV44" i="17"/>
  <c r="D61" i="17"/>
  <c r="D44" i="17"/>
  <c r="F21" i="17"/>
  <c r="J23" i="17"/>
  <c r="J33" i="17"/>
  <c r="J44" i="17"/>
  <c r="AE21" i="17"/>
  <c r="AE22" i="17"/>
  <c r="AH21" i="17"/>
  <c r="AH22" i="17"/>
  <c r="AI21" i="17"/>
  <c r="AI22" i="17"/>
  <c r="AQ21" i="17"/>
  <c r="AQ22" i="17"/>
  <c r="AS21" i="17"/>
  <c r="AS22" i="17"/>
  <c r="AV24" i="17"/>
  <c r="AV45" i="17"/>
  <c r="AV51" i="17" s="1"/>
  <c r="AV34" i="17"/>
  <c r="AV40" i="17" s="1"/>
  <c r="AV56" i="17"/>
  <c r="AV62" i="17" s="1"/>
  <c r="AW50" i="17"/>
  <c r="AW46" i="17"/>
  <c r="D56" i="17"/>
  <c r="D62" i="17" s="1"/>
  <c r="D24" i="17"/>
  <c r="G23" i="17"/>
  <c r="G33" i="17"/>
  <c r="J56" i="17"/>
  <c r="J62" i="17" s="1"/>
  <c r="J34" i="17"/>
  <c r="J40" i="17" s="1"/>
  <c r="J24" i="17"/>
  <c r="AK10" i="17"/>
  <c r="AK13" i="17" s="1"/>
  <c r="AL14" i="17" s="1"/>
  <c r="AL10" i="17" s="1"/>
  <c r="AL13" i="17" s="1"/>
  <c r="AL15" i="17"/>
  <c r="AU21" i="17"/>
  <c r="AU22" i="17"/>
  <c r="AX33" i="17"/>
  <c r="AX23" i="17"/>
  <c r="AX44" i="17"/>
  <c r="AX55" i="17"/>
  <c r="D34" i="17"/>
  <c r="D40" i="17" s="1"/>
  <c r="I22" i="17"/>
  <c r="J45" i="17"/>
  <c r="J51" i="17" s="1"/>
  <c r="D45" i="17"/>
  <c r="D51" i="17" s="1"/>
  <c r="G44" i="17"/>
  <c r="L22" i="17"/>
  <c r="L21" i="17"/>
  <c r="O45" i="17"/>
  <c r="O51" i="17" s="1"/>
  <c r="O24" i="17"/>
  <c r="O34" i="17"/>
  <c r="O40" i="17" s="1"/>
  <c r="O56" i="17"/>
  <c r="O62" i="17" s="1"/>
  <c r="O21" i="17"/>
  <c r="P22" i="17"/>
  <c r="P21" i="17"/>
  <c r="S45" i="17"/>
  <c r="S51" i="17" s="1"/>
  <c r="S24" i="17"/>
  <c r="S34" i="17"/>
  <c r="S40" i="17" s="1"/>
  <c r="S56" i="17"/>
  <c r="S62" i="17" s="1"/>
  <c r="S21" i="17"/>
  <c r="T22" i="17"/>
  <c r="T21" i="17"/>
  <c r="W45" i="17"/>
  <c r="W51" i="17" s="1"/>
  <c r="W24" i="17"/>
  <c r="W34" i="17"/>
  <c r="W40" i="17" s="1"/>
  <c r="W56" i="17"/>
  <c r="W62" i="17" s="1"/>
  <c r="W21" i="17"/>
  <c r="AT33" i="17"/>
  <c r="AT44" i="17"/>
  <c r="AT55" i="17"/>
  <c r="AT23" i="17"/>
  <c r="W10" i="17"/>
  <c r="W13" i="17" s="1"/>
  <c r="X14" i="17" s="1"/>
  <c r="X15" i="17"/>
  <c r="AG21" i="17"/>
  <c r="AG22" i="17"/>
  <c r="AN21" i="17"/>
  <c r="AN22" i="17"/>
  <c r="AW33" i="17"/>
  <c r="AW23" i="17"/>
  <c r="S31" i="19"/>
  <c r="T32" i="19" s="1"/>
  <c r="T11" i="19"/>
  <c r="T45" i="19" s="1"/>
  <c r="AZ17" i="17"/>
  <c r="K55" i="17"/>
  <c r="K33" i="17"/>
  <c r="L10" i="17"/>
  <c r="L13" i="17" s="1"/>
  <c r="P10" i="17"/>
  <c r="P13" i="17" s="1"/>
  <c r="T10" i="17"/>
  <c r="T13" i="17" s="1"/>
  <c r="AJ21" i="17"/>
  <c r="AJ22" i="17"/>
  <c r="AK21" i="17"/>
  <c r="AK22" i="17"/>
  <c r="AX22" i="17"/>
  <c r="AZ259" i="14"/>
  <c r="AL62" i="17"/>
  <c r="AL57" i="17"/>
  <c r="AO21" i="17"/>
  <c r="AO22" i="17"/>
  <c r="H7" i="19"/>
  <c r="K46" i="17"/>
  <c r="M10" i="17"/>
  <c r="M13" i="17" s="1"/>
  <c r="Q10" i="17"/>
  <c r="Q13" i="17" s="1"/>
  <c r="U10" i="17"/>
  <c r="U13" i="17" s="1"/>
  <c r="X55" i="17"/>
  <c r="X33" i="17"/>
  <c r="AR21" i="17"/>
  <c r="AR22" i="17"/>
  <c r="AT22" i="17"/>
  <c r="AW55" i="17"/>
  <c r="D259" i="16"/>
  <c r="AZ259" i="16" s="1"/>
  <c r="BA14" i="16"/>
  <c r="BA14" i="14"/>
  <c r="AP56" i="17"/>
  <c r="AP45" i="17"/>
  <c r="AP24" i="17"/>
  <c r="AX10" i="17"/>
  <c r="AX13" i="17" s="1"/>
  <c r="T260" i="16"/>
  <c r="S260" i="15"/>
  <c r="AJ260" i="15"/>
  <c r="AI260" i="14"/>
  <c r="AI260" i="16"/>
  <c r="D260" i="15"/>
  <c r="D259" i="15"/>
  <c r="AZ259" i="15" s="1"/>
  <c r="BA14" i="15"/>
  <c r="AY260" i="15"/>
  <c r="T260" i="14"/>
  <c r="AW24" i="17"/>
  <c r="AW34" i="17"/>
  <c r="AW40" i="17" s="1"/>
  <c r="AW45" i="17"/>
  <c r="AW51" i="17" s="1"/>
  <c r="AW56" i="17"/>
  <c r="AW62" i="17" s="1"/>
  <c r="G260" i="16"/>
  <c r="AZ260" i="16" s="1"/>
  <c r="P260" i="16"/>
  <c r="AM260" i="16"/>
  <c r="AV260" i="16"/>
  <c r="W260" i="15"/>
  <c r="AF260" i="15"/>
  <c r="G260" i="14"/>
  <c r="P260" i="14"/>
  <c r="AM260" i="14"/>
  <c r="AV260" i="14"/>
  <c r="L260" i="16"/>
  <c r="AB260" i="16"/>
  <c r="AR260" i="16"/>
  <c r="L260" i="15"/>
  <c r="AB260" i="15"/>
  <c r="AR260" i="15"/>
  <c r="L260" i="14"/>
  <c r="AB260" i="14"/>
  <c r="AZ260" i="14" s="1"/>
  <c r="AR260" i="14"/>
  <c r="H9" i="19"/>
  <c r="S10" i="19"/>
  <c r="H10" i="19"/>
  <c r="S40" i="19"/>
  <c r="T19" i="19"/>
  <c r="S36" i="19"/>
  <c r="T43" i="19" s="1"/>
  <c r="AY21" i="17" l="1"/>
  <c r="AY22" i="17"/>
  <c r="N22" i="17"/>
  <c r="N21" i="17"/>
  <c r="AO44" i="17"/>
  <c r="AO33" i="17"/>
  <c r="AO23" i="17"/>
  <c r="AO55" i="17"/>
  <c r="AN34" i="17"/>
  <c r="AN40" i="17" s="1"/>
  <c r="AN45" i="17"/>
  <c r="AN51" i="17" s="1"/>
  <c r="AN24" i="17"/>
  <c r="AN56" i="17"/>
  <c r="AN62" i="17" s="1"/>
  <c r="AT50" i="17"/>
  <c r="T45" i="17"/>
  <c r="T51" i="17" s="1"/>
  <c r="T24" i="17"/>
  <c r="T56" i="17"/>
  <c r="T62" i="17" s="1"/>
  <c r="T34" i="17"/>
  <c r="T40" i="17" s="1"/>
  <c r="AU24" i="17"/>
  <c r="AU56" i="17"/>
  <c r="AU62" i="17" s="1"/>
  <c r="AU34" i="17"/>
  <c r="AU40" i="17" s="1"/>
  <c r="AU45" i="17"/>
  <c r="AU51" i="17" s="1"/>
  <c r="AQ24" i="17"/>
  <c r="AQ34" i="17"/>
  <c r="AQ40" i="17" s="1"/>
  <c r="AQ56" i="17"/>
  <c r="AQ62" i="17" s="1"/>
  <c r="AQ45" i="17"/>
  <c r="AQ51" i="17" s="1"/>
  <c r="AV57" i="17"/>
  <c r="AV61" i="17"/>
  <c r="H23" i="17"/>
  <c r="H33" i="17"/>
  <c r="H55" i="17"/>
  <c r="H44" i="17"/>
  <c r="AN44" i="17"/>
  <c r="AN55" i="17"/>
  <c r="AN23" i="17"/>
  <c r="AN33" i="17"/>
  <c r="AT35" i="17"/>
  <c r="AT39" i="17"/>
  <c r="S55" i="17"/>
  <c r="S33" i="17"/>
  <c r="S23" i="17"/>
  <c r="S44" i="17"/>
  <c r="AU33" i="17"/>
  <c r="AU44" i="17"/>
  <c r="AU23" i="17"/>
  <c r="AU55" i="17"/>
  <c r="AH44" i="17"/>
  <c r="AH55" i="17"/>
  <c r="AH23" i="17"/>
  <c r="AH33" i="17"/>
  <c r="J39" i="17"/>
  <c r="J35" i="17"/>
  <c r="D46" i="17"/>
  <c r="D50" i="17"/>
  <c r="AA50" i="17"/>
  <c r="AA46" i="17"/>
  <c r="AP62" i="17"/>
  <c r="AP57" i="17"/>
  <c r="AR33" i="17"/>
  <c r="AR23" i="17"/>
  <c r="AR44" i="17"/>
  <c r="AR55" i="17"/>
  <c r="R22" i="17"/>
  <c r="R21" i="17"/>
  <c r="AO34" i="17"/>
  <c r="AO40" i="17" s="1"/>
  <c r="AO24" i="17"/>
  <c r="AO56" i="17"/>
  <c r="AO62" i="17" s="1"/>
  <c r="AO45" i="17"/>
  <c r="AO51" i="17" s="1"/>
  <c r="AK44" i="17"/>
  <c r="AK23" i="17"/>
  <c r="AK33" i="17"/>
  <c r="AK55" i="17"/>
  <c r="Q22" i="17"/>
  <c r="Q21" i="17"/>
  <c r="AW35" i="17"/>
  <c r="AW39" i="17"/>
  <c r="AG44" i="17"/>
  <c r="AG55" i="17"/>
  <c r="AG33" i="17"/>
  <c r="AG23" i="17"/>
  <c r="AT61" i="17"/>
  <c r="T55" i="17"/>
  <c r="T33" i="17"/>
  <c r="T44" i="17"/>
  <c r="T23" i="17"/>
  <c r="P45" i="17"/>
  <c r="P51" i="17" s="1"/>
  <c r="P24" i="17"/>
  <c r="P56" i="17"/>
  <c r="P62" i="17" s="1"/>
  <c r="P34" i="17"/>
  <c r="P40" i="17" s="1"/>
  <c r="G46" i="17"/>
  <c r="G50" i="17"/>
  <c r="AX39" i="17"/>
  <c r="AM21" i="17"/>
  <c r="AM22" i="17"/>
  <c r="G39" i="17"/>
  <c r="G35" i="17"/>
  <c r="AS33" i="17"/>
  <c r="AS23" i="17"/>
  <c r="AS44" i="17"/>
  <c r="AS55" i="17"/>
  <c r="AI44" i="17"/>
  <c r="AI23" i="17"/>
  <c r="AI33" i="17"/>
  <c r="AI55" i="17"/>
  <c r="AE44" i="17"/>
  <c r="AE55" i="17"/>
  <c r="AE23" i="17"/>
  <c r="AE33" i="17"/>
  <c r="F23" i="17"/>
  <c r="F33" i="17"/>
  <c r="F55" i="17"/>
  <c r="F44" i="17"/>
  <c r="AV50" i="17"/>
  <c r="AV46" i="17"/>
  <c r="AF34" i="17"/>
  <c r="AF40" i="17" s="1"/>
  <c r="AF24" i="17"/>
  <c r="AF45" i="17"/>
  <c r="AF51" i="17" s="1"/>
  <c r="AF56" i="17"/>
  <c r="AF62" i="17" s="1"/>
  <c r="AA34" i="17"/>
  <c r="AA40" i="17" s="1"/>
  <c r="AA45" i="17"/>
  <c r="AA51" i="17" s="1"/>
  <c r="AA56" i="17"/>
  <c r="AA62" i="17" s="1"/>
  <c r="AA24" i="17"/>
  <c r="AA39" i="17"/>
  <c r="AA35" i="17"/>
  <c r="F30" i="17"/>
  <c r="G27" i="17"/>
  <c r="I50" i="17"/>
  <c r="H56" i="17"/>
  <c r="H62" i="17" s="1"/>
  <c r="H24" i="17"/>
  <c r="H34" i="17"/>
  <c r="H40" i="17" s="1"/>
  <c r="H45" i="17"/>
  <c r="H51" i="17" s="1"/>
  <c r="AD34" i="17"/>
  <c r="AD40" i="17" s="1"/>
  <c r="AD24" i="17"/>
  <c r="AD56" i="17"/>
  <c r="AD62" i="17" s="1"/>
  <c r="AD45" i="17"/>
  <c r="AD51" i="17" s="1"/>
  <c r="AW57" i="17"/>
  <c r="AW61" i="17"/>
  <c r="X35" i="17"/>
  <c r="X39" i="17"/>
  <c r="AJ34" i="17"/>
  <c r="AJ40" i="17" s="1"/>
  <c r="AJ45" i="17"/>
  <c r="AJ51" i="17" s="1"/>
  <c r="AJ24" i="17"/>
  <c r="AJ56" i="17"/>
  <c r="AJ62" i="17" s="1"/>
  <c r="M22" i="17"/>
  <c r="M21" i="17"/>
  <c r="O55" i="17"/>
  <c r="O33" i="17"/>
  <c r="O23" i="17"/>
  <c r="O44" i="17"/>
  <c r="AX61" i="17"/>
  <c r="AH34" i="17"/>
  <c r="AH40" i="17" s="1"/>
  <c r="AH45" i="17"/>
  <c r="AH51" i="17" s="1"/>
  <c r="AH24" i="17"/>
  <c r="AH56" i="17"/>
  <c r="AH62" i="17" s="1"/>
  <c r="J46" i="17"/>
  <c r="J50" i="17"/>
  <c r="AF44" i="17"/>
  <c r="AF55" i="17"/>
  <c r="AF23" i="17"/>
  <c r="AF33" i="17"/>
  <c r="D39" i="17"/>
  <c r="D35" i="17"/>
  <c r="I39" i="17"/>
  <c r="I35" i="17"/>
  <c r="AD44" i="17"/>
  <c r="AD55" i="17"/>
  <c r="AD33" i="17"/>
  <c r="AD23" i="17"/>
  <c r="AT24" i="17"/>
  <c r="AT45" i="17"/>
  <c r="AT51" i="17" s="1"/>
  <c r="AT34" i="17"/>
  <c r="AT40" i="17" s="1"/>
  <c r="AT56" i="17"/>
  <c r="AT62" i="17" s="1"/>
  <c r="X57" i="17"/>
  <c r="X61" i="17"/>
  <c r="AX24" i="17"/>
  <c r="AX34" i="17"/>
  <c r="AX40" i="17" s="1"/>
  <c r="AX56" i="17"/>
  <c r="AX62" i="17" s="1"/>
  <c r="AX45" i="17"/>
  <c r="AX51" i="17" s="1"/>
  <c r="AJ44" i="17"/>
  <c r="AJ55" i="17"/>
  <c r="AJ33" i="17"/>
  <c r="AJ23" i="17"/>
  <c r="K35" i="17"/>
  <c r="K39" i="17"/>
  <c r="X10" i="17"/>
  <c r="X13" i="17" s="1"/>
  <c r="L55" i="17"/>
  <c r="L33" i="17"/>
  <c r="L44" i="17"/>
  <c r="L23" i="17"/>
  <c r="AX50" i="17"/>
  <c r="AX46" i="17"/>
  <c r="AQ33" i="17"/>
  <c r="AQ23" i="17"/>
  <c r="AQ55" i="17"/>
  <c r="AQ44" i="17"/>
  <c r="AB34" i="17"/>
  <c r="AB40" i="17" s="1"/>
  <c r="AB45" i="17"/>
  <c r="AB51" i="17" s="1"/>
  <c r="AB56" i="17"/>
  <c r="AB62" i="17" s="1"/>
  <c r="AB24" i="17"/>
  <c r="E21" i="17"/>
  <c r="E22" i="17"/>
  <c r="AZ260" i="15"/>
  <c r="AP51" i="17"/>
  <c r="AP46" i="17"/>
  <c r="AR24" i="17"/>
  <c r="AR45" i="17"/>
  <c r="AR51" i="17" s="1"/>
  <c r="AR34" i="17"/>
  <c r="AR40" i="17" s="1"/>
  <c r="AR56" i="17"/>
  <c r="AR62" i="17" s="1"/>
  <c r="V22" i="17"/>
  <c r="V21" i="17"/>
  <c r="AK34" i="17"/>
  <c r="AK40" i="17" s="1"/>
  <c r="AK45" i="17"/>
  <c r="AK51" i="17" s="1"/>
  <c r="AK56" i="17"/>
  <c r="AK62" i="17" s="1"/>
  <c r="AK24" i="17"/>
  <c r="U22" i="17"/>
  <c r="U21" i="17"/>
  <c r="K57" i="17"/>
  <c r="K61" i="17"/>
  <c r="AG34" i="17"/>
  <c r="AG40" i="17" s="1"/>
  <c r="AG24" i="17"/>
  <c r="AG56" i="17"/>
  <c r="AG62" i="17" s="1"/>
  <c r="AG45" i="17"/>
  <c r="AG51" i="17" s="1"/>
  <c r="W55" i="17"/>
  <c r="W33" i="17"/>
  <c r="W23" i="17"/>
  <c r="W44" i="17"/>
  <c r="P55" i="17"/>
  <c r="P33" i="17"/>
  <c r="P44" i="17"/>
  <c r="P23" i="17"/>
  <c r="L45" i="17"/>
  <c r="L51" i="17" s="1"/>
  <c r="L24" i="17"/>
  <c r="L56" i="17"/>
  <c r="L62" i="17" s="1"/>
  <c r="L34" i="17"/>
  <c r="L40" i="17" s="1"/>
  <c r="I56" i="17"/>
  <c r="I62" i="17" s="1"/>
  <c r="I34" i="17"/>
  <c r="I40" i="17" s="1"/>
  <c r="I24" i="17"/>
  <c r="I45" i="17"/>
  <c r="I51" i="17" s="1"/>
  <c r="AS24" i="17"/>
  <c r="AS34" i="17"/>
  <c r="AS40" i="17" s="1"/>
  <c r="AS45" i="17"/>
  <c r="AS51" i="17" s="1"/>
  <c r="AS56" i="17"/>
  <c r="AS62" i="17" s="1"/>
  <c r="AI34" i="17"/>
  <c r="AI40" i="17" s="1"/>
  <c r="AI45" i="17"/>
  <c r="AI51" i="17" s="1"/>
  <c r="AI56" i="17"/>
  <c r="AI62" i="17" s="1"/>
  <c r="AI24" i="17"/>
  <c r="AE34" i="17"/>
  <c r="AE40" i="17" s="1"/>
  <c r="AE24" i="17"/>
  <c r="AE45" i="17"/>
  <c r="AE51" i="17" s="1"/>
  <c r="AE56" i="17"/>
  <c r="AE62" i="17" s="1"/>
  <c r="AV35" i="17"/>
  <c r="AV39" i="17"/>
  <c r="AB44" i="17"/>
  <c r="AB23" i="17"/>
  <c r="AB33" i="17"/>
  <c r="AB55" i="17"/>
  <c r="AA61" i="17"/>
  <c r="AA57" i="17"/>
  <c r="I61" i="17"/>
  <c r="J57" i="17"/>
  <c r="D57" i="17"/>
  <c r="AZ10" i="17"/>
  <c r="AB39" i="17" l="1"/>
  <c r="AB35" i="17"/>
  <c r="W57" i="17"/>
  <c r="W61" i="17"/>
  <c r="U45" i="17"/>
  <c r="U51" i="17" s="1"/>
  <c r="U24" i="17"/>
  <c r="U34" i="17"/>
  <c r="U40" i="17" s="1"/>
  <c r="U56" i="17"/>
  <c r="U62" i="17" s="1"/>
  <c r="AF35" i="17"/>
  <c r="AF39" i="17"/>
  <c r="M55" i="17"/>
  <c r="M33" i="17"/>
  <c r="M44" i="17"/>
  <c r="M23" i="17"/>
  <c r="F39" i="17"/>
  <c r="F35" i="17"/>
  <c r="T35" i="17"/>
  <c r="T39" i="17"/>
  <c r="R55" i="17"/>
  <c r="R33" i="17"/>
  <c r="R23" i="17"/>
  <c r="R44" i="17"/>
  <c r="AH61" i="17"/>
  <c r="AH57" i="17"/>
  <c r="AN50" i="17"/>
  <c r="AN46" i="17"/>
  <c r="AO46" i="17"/>
  <c r="AO50" i="17"/>
  <c r="W50" i="17"/>
  <c r="W46" i="17"/>
  <c r="AQ50" i="17"/>
  <c r="AQ46" i="17"/>
  <c r="AJ50" i="17"/>
  <c r="AJ46" i="17"/>
  <c r="P57" i="17"/>
  <c r="P61" i="17"/>
  <c r="AQ39" i="17"/>
  <c r="AQ35" i="17"/>
  <c r="L50" i="17"/>
  <c r="L46" i="17"/>
  <c r="AJ61" i="17"/>
  <c r="AJ57" i="17"/>
  <c r="O50" i="17"/>
  <c r="O46" i="17"/>
  <c r="G30" i="17"/>
  <c r="H27" i="17"/>
  <c r="AE61" i="17"/>
  <c r="AE57" i="17"/>
  <c r="AM34" i="17"/>
  <c r="AM40" i="17" s="1"/>
  <c r="AM24" i="17"/>
  <c r="AM45" i="17"/>
  <c r="AM51" i="17" s="1"/>
  <c r="AM56" i="17"/>
  <c r="AM62" i="17" s="1"/>
  <c r="AK61" i="17"/>
  <c r="AK57" i="17"/>
  <c r="AY33" i="17"/>
  <c r="AY55" i="17"/>
  <c r="AY23" i="17"/>
  <c r="AY44" i="17"/>
  <c r="V55" i="17"/>
  <c r="V33" i="17"/>
  <c r="V23" i="17"/>
  <c r="V44" i="17"/>
  <c r="L35" i="17"/>
  <c r="L39" i="17"/>
  <c r="AD35" i="17"/>
  <c r="AD39" i="17"/>
  <c r="M45" i="17"/>
  <c r="M51" i="17" s="1"/>
  <c r="M24" i="17"/>
  <c r="M34" i="17"/>
  <c r="M40" i="17" s="1"/>
  <c r="M56" i="17"/>
  <c r="M62" i="17" s="1"/>
  <c r="AE46" i="17"/>
  <c r="AE50" i="17"/>
  <c r="AI50" i="17"/>
  <c r="AI46" i="17"/>
  <c r="AS39" i="17"/>
  <c r="AS35" i="17"/>
  <c r="AM44" i="17"/>
  <c r="AM23" i="17"/>
  <c r="AM55" i="17"/>
  <c r="AM33" i="17"/>
  <c r="T57" i="17"/>
  <c r="T61" i="17"/>
  <c r="AG35" i="17"/>
  <c r="AG39" i="17"/>
  <c r="AK35" i="17"/>
  <c r="AK39" i="17"/>
  <c r="R45" i="17"/>
  <c r="R51" i="17" s="1"/>
  <c r="R24" i="17"/>
  <c r="R34" i="17"/>
  <c r="R40" i="17" s="1"/>
  <c r="R56" i="17"/>
  <c r="R62" i="17" s="1"/>
  <c r="AR35" i="17"/>
  <c r="AR39" i="17"/>
  <c r="AH50" i="17"/>
  <c r="AH46" i="17"/>
  <c r="AU50" i="17"/>
  <c r="AU46" i="17"/>
  <c r="S35" i="17"/>
  <c r="S39" i="17"/>
  <c r="AN35" i="17"/>
  <c r="AN39" i="17"/>
  <c r="H46" i="17"/>
  <c r="H50" i="17"/>
  <c r="AO61" i="17"/>
  <c r="AO57" i="17"/>
  <c r="N55" i="17"/>
  <c r="N33" i="17"/>
  <c r="N23" i="17"/>
  <c r="N44" i="17"/>
  <c r="AB50" i="17"/>
  <c r="AB46" i="17"/>
  <c r="P50" i="17"/>
  <c r="P46" i="17"/>
  <c r="V45" i="17"/>
  <c r="V51" i="17" s="1"/>
  <c r="V24" i="17"/>
  <c r="V34" i="17"/>
  <c r="V40" i="17" s="1"/>
  <c r="V56" i="17"/>
  <c r="V62" i="17" s="1"/>
  <c r="E56" i="17"/>
  <c r="E62" i="17" s="1"/>
  <c r="E24" i="17"/>
  <c r="E34" i="17"/>
  <c r="E40" i="17" s="1"/>
  <c r="E45" i="17"/>
  <c r="E51" i="17" s="1"/>
  <c r="AQ61" i="17"/>
  <c r="AQ57" i="17"/>
  <c r="L57" i="17"/>
  <c r="L61" i="17"/>
  <c r="AD61" i="17"/>
  <c r="AD57" i="17"/>
  <c r="AF61" i="17"/>
  <c r="AF57" i="17"/>
  <c r="O35" i="17"/>
  <c r="O39" i="17"/>
  <c r="F46" i="17"/>
  <c r="F50" i="17"/>
  <c r="AE35" i="17"/>
  <c r="AE39" i="17"/>
  <c r="AI61" i="17"/>
  <c r="AI57" i="17"/>
  <c r="AS57" i="17"/>
  <c r="AS61" i="17"/>
  <c r="AG61" i="17"/>
  <c r="AG57" i="17"/>
  <c r="Q55" i="17"/>
  <c r="Q33" i="17"/>
  <c r="Q44" i="17"/>
  <c r="Q23" i="17"/>
  <c r="AR57" i="17"/>
  <c r="AR61" i="17"/>
  <c r="AH39" i="17"/>
  <c r="AH35" i="17"/>
  <c r="AU39" i="17"/>
  <c r="AU35" i="17"/>
  <c r="S57" i="17"/>
  <c r="S61" i="17"/>
  <c r="H57" i="17"/>
  <c r="H61" i="17"/>
  <c r="N45" i="17"/>
  <c r="N51" i="17" s="1"/>
  <c r="N24" i="17"/>
  <c r="N34" i="17"/>
  <c r="N40" i="17" s="1"/>
  <c r="N56" i="17"/>
  <c r="N62" i="17" s="1"/>
  <c r="I57" i="17"/>
  <c r="AB61" i="17"/>
  <c r="AB57" i="17"/>
  <c r="P35" i="17"/>
  <c r="P39" i="17"/>
  <c r="W35" i="17"/>
  <c r="W39" i="17"/>
  <c r="U55" i="17"/>
  <c r="U33" i="17"/>
  <c r="U44" i="17"/>
  <c r="U23" i="17"/>
  <c r="E23" i="17"/>
  <c r="E33" i="17"/>
  <c r="E55" i="17"/>
  <c r="E44" i="17"/>
  <c r="AZ21" i="17"/>
  <c r="Y21" i="17"/>
  <c r="Y22" i="17"/>
  <c r="AJ39" i="17"/>
  <c r="AJ35" i="17"/>
  <c r="AD46" i="17"/>
  <c r="AD50" i="17"/>
  <c r="AF46" i="17"/>
  <c r="AF50" i="17"/>
  <c r="AX57" i="17"/>
  <c r="O57" i="17"/>
  <c r="O61" i="17"/>
  <c r="I46" i="17"/>
  <c r="F57" i="17"/>
  <c r="F61" i="17"/>
  <c r="AI35" i="17"/>
  <c r="AI39" i="17"/>
  <c r="AS50" i="17"/>
  <c r="AS46" i="17"/>
  <c r="AX35" i="17"/>
  <c r="T50" i="17"/>
  <c r="T46" i="17"/>
  <c r="AT57" i="17"/>
  <c r="AG46" i="17"/>
  <c r="AG50" i="17"/>
  <c r="Q45" i="17"/>
  <c r="Q51" i="17" s="1"/>
  <c r="Q24" i="17"/>
  <c r="Q34" i="17"/>
  <c r="Q40" i="17" s="1"/>
  <c r="Q56" i="17"/>
  <c r="Q62" i="17" s="1"/>
  <c r="AK50" i="17"/>
  <c r="AK46" i="17"/>
  <c r="AR50" i="17"/>
  <c r="AR46" i="17"/>
  <c r="AU57" i="17"/>
  <c r="AU61" i="17"/>
  <c r="S50" i="17"/>
  <c r="S46" i="17"/>
  <c r="AN61" i="17"/>
  <c r="AN57" i="17"/>
  <c r="H39" i="17"/>
  <c r="H35" i="17"/>
  <c r="AT46" i="17"/>
  <c r="AO35" i="17"/>
  <c r="AO39" i="17"/>
  <c r="AY24" i="17"/>
  <c r="AY34" i="17"/>
  <c r="AY40" i="17" s="1"/>
  <c r="AY45" i="17"/>
  <c r="AY51" i="17" s="1"/>
  <c r="AY56" i="17"/>
  <c r="AY62" i="17" s="1"/>
  <c r="Q35" i="17" l="1"/>
  <c r="Q39" i="17"/>
  <c r="AM61" i="17"/>
  <c r="AM57" i="17"/>
  <c r="R35" i="17"/>
  <c r="R39" i="17"/>
  <c r="M35" i="17"/>
  <c r="M39" i="17"/>
  <c r="E46" i="17"/>
  <c r="E50" i="17"/>
  <c r="Q57" i="17"/>
  <c r="Q61" i="17"/>
  <c r="N35" i="17"/>
  <c r="N39" i="17"/>
  <c r="R57" i="17"/>
  <c r="R61" i="17"/>
  <c r="M57" i="17"/>
  <c r="M61" i="17"/>
  <c r="Y34" i="17"/>
  <c r="Y40" i="17" s="1"/>
  <c r="Y24" i="17"/>
  <c r="AZ24" i="17" s="1"/>
  <c r="Y45" i="17"/>
  <c r="Y51" i="17" s="1"/>
  <c r="Y56" i="17"/>
  <c r="Y62" i="17" s="1"/>
  <c r="E57" i="17"/>
  <c r="E61" i="17"/>
  <c r="U50" i="17"/>
  <c r="U46" i="17"/>
  <c r="AZ22" i="17"/>
  <c r="N57" i="17"/>
  <c r="N61" i="17"/>
  <c r="AM46" i="17"/>
  <c r="AM50" i="17"/>
  <c r="V50" i="17"/>
  <c r="V46" i="17"/>
  <c r="AY50" i="17"/>
  <c r="AY46" i="17"/>
  <c r="H30" i="17"/>
  <c r="I27" i="17"/>
  <c r="R50" i="17"/>
  <c r="R46" i="17"/>
  <c r="U57" i="17"/>
  <c r="U61" i="17"/>
  <c r="V35" i="17"/>
  <c r="V39" i="17"/>
  <c r="AY57" i="17"/>
  <c r="AY61" i="17"/>
  <c r="V57" i="17"/>
  <c r="V61" i="17"/>
  <c r="AY35" i="17"/>
  <c r="AY39" i="17"/>
  <c r="Y44" i="17"/>
  <c r="Y55" i="17"/>
  <c r="Y23" i="17"/>
  <c r="AZ23" i="17" s="1"/>
  <c r="Y33" i="17"/>
  <c r="E39" i="17"/>
  <c r="E35" i="17"/>
  <c r="U35" i="17"/>
  <c r="U39" i="17"/>
  <c r="Q50" i="17"/>
  <c r="Q46" i="17"/>
  <c r="N50" i="17"/>
  <c r="N46" i="17"/>
  <c r="AM35" i="17"/>
  <c r="AM39" i="17"/>
  <c r="M50" i="17"/>
  <c r="M46" i="17"/>
  <c r="Y46" i="17" l="1"/>
  <c r="Y50" i="17"/>
  <c r="Y35" i="17"/>
  <c r="Y39" i="17"/>
  <c r="I30" i="17"/>
  <c r="J27" i="17"/>
  <c r="Y57" i="17"/>
  <c r="Y61" i="17"/>
  <c r="J30" i="17" l="1"/>
  <c r="K27" i="17"/>
  <c r="L27" i="17" l="1"/>
  <c r="K30" i="17"/>
  <c r="L30" i="17" l="1"/>
  <c r="M27" i="17"/>
  <c r="M30" i="17" l="1"/>
  <c r="N27" i="17"/>
  <c r="N30" i="17" l="1"/>
  <c r="O27" i="17"/>
  <c r="P27" i="17" l="1"/>
  <c r="O30" i="17"/>
  <c r="P30" i="17" l="1"/>
  <c r="Q27" i="17"/>
  <c r="Q30" i="17" l="1"/>
  <c r="R27" i="17"/>
  <c r="R30" i="17" l="1"/>
  <c r="S27" i="17"/>
  <c r="T27" i="17" l="1"/>
  <c r="S30" i="17"/>
  <c r="T30" i="17" l="1"/>
  <c r="U27" i="17"/>
  <c r="U30" i="17" l="1"/>
  <c r="V27" i="17"/>
  <c r="V30" i="17" l="1"/>
  <c r="W27" i="17"/>
  <c r="X27" i="17" l="1"/>
  <c r="W30" i="17"/>
  <c r="Y27" i="17" l="1"/>
  <c r="X30" i="17"/>
  <c r="Z27" i="17" l="1"/>
  <c r="Y30" i="17"/>
  <c r="AA27" i="17" l="1"/>
  <c r="Z30" i="17"/>
  <c r="AB27" i="17" l="1"/>
  <c r="AA30" i="17"/>
  <c r="AC27" i="17" l="1"/>
  <c r="AB30" i="17"/>
  <c r="AD27" i="17" l="1"/>
  <c r="AC30" i="17"/>
  <c r="AE27" i="17" l="1"/>
  <c r="AD30" i="17"/>
  <c r="AF27" i="17" l="1"/>
  <c r="AE30" i="17"/>
  <c r="AG27" i="17" l="1"/>
  <c r="AF30" i="17"/>
  <c r="AH27" i="17" l="1"/>
  <c r="AG30" i="17"/>
  <c r="AI27" i="17" l="1"/>
  <c r="AH30" i="17"/>
  <c r="AJ27" i="17" l="1"/>
  <c r="AI30" i="17"/>
  <c r="AK27" i="17" l="1"/>
  <c r="AJ30" i="17"/>
  <c r="AL27" i="17" l="1"/>
  <c r="AK30" i="17"/>
  <c r="AM27" i="17" l="1"/>
  <c r="AL30" i="17"/>
  <c r="AN27" i="17" l="1"/>
  <c r="AM30" i="17"/>
  <c r="AO27" i="17" l="1"/>
  <c r="AN30" i="17"/>
  <c r="AP27" i="17" l="1"/>
  <c r="AO30" i="17"/>
  <c r="AP30" i="17" l="1"/>
  <c r="AQ27" i="17"/>
  <c r="AR27" i="17" l="1"/>
  <c r="AQ30" i="17"/>
  <c r="AR30" i="17" l="1"/>
  <c r="AS27" i="17"/>
  <c r="AT27" i="17" l="1"/>
  <c r="AS30" i="17"/>
  <c r="AT30" i="17" l="1"/>
  <c r="AU27" i="17"/>
  <c r="AV27" i="17" l="1"/>
  <c r="AU30" i="17"/>
  <c r="AV30" i="17" l="1"/>
  <c r="AW27" i="17"/>
  <c r="AX27" i="17" l="1"/>
  <c r="AW30" i="17"/>
  <c r="AY27" i="17" l="1"/>
  <c r="AY30" i="17" s="1"/>
  <c r="AZ30" i="17" s="1"/>
  <c r="AX30" i="17"/>
  <c r="E30" i="7" l="1"/>
  <c r="D30" i="7"/>
  <c r="C30" i="7"/>
  <c r="D19" i="7"/>
  <c r="G11" i="7"/>
  <c r="G10" i="7"/>
  <c r="G9" i="7"/>
  <c r="G8" i="7"/>
  <c r="G7" i="7"/>
  <c r="G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<sst xmlns="http://schemas.openxmlformats.org/spreadsheetml/2006/main" count="2499" uniqueCount="416">
  <si>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</si>
  <si>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</si>
  <si>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</si>
  <si>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</si>
  <si>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</si>
  <si>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</si>
  <si>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</si>
  <si>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</si>
  <si>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</si>
  <si>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</si>
  <si>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</si>
  <si>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</si>
  <si>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</si>
  <si>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</si>
  <si>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</si>
  <si>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</si>
  <si>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</si>
  <si>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</si>
  <si>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</si>
  <si>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</si>
  <si>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</si>
  <si>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</si>
  <si>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</si>
  <si>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</si>
  <si>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</si>
  <si>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</si>
  <si>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</si>
  <si>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</si>
  <si>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</si>
  <si>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</si>
  <si>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</si>
  <si>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</si>
  <si>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</si>
  <si>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</si>
  <si>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</si>
  <si>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</si>
  <si>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</si>
  <si>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</si>
  <si>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</si>
  <si>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</si>
  <si>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</si>
  <si>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</si>
  <si>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</si>
  <si>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</si>
  <si>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</si>
  <si>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</si>
  <si>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</si>
  <si>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</si>
  <si>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</si>
  <si>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</si>
  <si>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</si>
  <si>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</si>
  <si>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</si>
  <si>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</si>
  <si>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</si>
  <si>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</si>
  <si>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</si>
  <si>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</si>
  <si>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</si>
  <si>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</si>
  <si>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</si>
  <si>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</si>
  <si>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</si>
  <si>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</si>
  <si>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</si>
  <si>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</si>
  <si>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</si>
  <si>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</si>
  <si>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</si>
  <si>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</si>
  <si>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</si>
  <si>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</si>
  <si>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</si>
  <si>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</si>
  <si>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</si>
  <si>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</si>
  <si>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</si>
  <si>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</si>
  <si>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</si>
  <si>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</si>
  <si>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</si>
  <si>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</si>
  <si>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</si>
  <si>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</si>
  <si>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</si>
  <si>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</si>
  <si>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</si>
  <si>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</si>
  <si>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</si>
  <si>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</si>
  <si>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</si>
  <si>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</si>
  <si>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</si>
  <si>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</si>
  <si>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</si>
  <si>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</si>
  <si>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</si>
  <si>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</si>
  <si>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</si>
  <si>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</si>
  <si>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</si>
  <si>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</si>
  <si>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</si>
  <si>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</si>
  <si>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</si>
  <si>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</si>
  <si>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</si>
  <si>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</si>
  <si>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</si>
  <si>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</si>
  <si>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</si>
  <si>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</si>
  <si>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</si>
  <si>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</si>
  <si>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</si>
  <si>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</si>
  <si>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</si>
  <si>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</si>
  <si>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</si>
  <si>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</si>
  <si>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</si>
  <si>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</si>
  <si>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</si>
  <si>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</si>
  <si>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</si>
  <si>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</si>
  <si>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</si>
  <si>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</si>
  <si>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</si>
  <si>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</si>
  <si>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</si>
  <si>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</si>
  <si>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</si>
  <si>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</si>
  <si>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</si>
  <si>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</si>
  <si>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</si>
  <si>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</si>
  <si>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</si>
  <si>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</si>
  <si>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</si>
  <si>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</si>
  <si>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</si>
  <si>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</si>
  <si>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</si>
  <si>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</si>
  <si>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</si>
  <si>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</si>
  <si>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</si>
  <si>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</si>
  <si>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</si>
  <si>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</si>
  <si>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</si>
  <si>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</si>
  <si>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</si>
  <si>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</si>
  <si>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</si>
  <si>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</si>
  <si>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</si>
  <si>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</si>
  <si>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</si>
  <si>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</si>
  <si>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</si>
  <si>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</si>
  <si>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</si>
  <si>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freeoj</t>
  </si>
  <si>
    <t/>
  </si>
  <si>
    <t>sold</t>
  </si>
  <si>
    <t>new</t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</si>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</sst>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12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0" borderId="4" xfId="0" applyNumberFormat="1" applyFill="1" applyBorder="1" applyAlignment="1" applyProtection="1">
      <alignment vertical="center"/>
      <protection locked="0"/>
    </xf>
    <xf numFmtId="0" fontId="0" fillId="0" borderId="15" xfId="0" applyNumberFormat="1" applyFill="1" applyBorder="1" applyAlignment="1" applyProtection="1">
      <alignment vertical="center"/>
      <protection locked="0"/>
    </xf>
    <xf numFmtId="0" fontId="0" fillId="0" borderId="14" xfId="0" applyNumberFormat="1" applyFill="1" applyBorder="1" applyAlignment="1" applyProtection="1">
      <alignment vertical="center"/>
      <protection locked="0"/>
    </xf>
    <xf numFmtId="0" fontId="0" fillId="0" borderId="5" xfId="0" applyNumberFormat="1" applyFill="1" applyBorder="1" applyAlignment="1" applyProtection="1">
      <alignment vertical="center"/>
      <protection locked="0"/>
    </xf>
    <xf numFmtId="0" fontId="0" fillId="0" borderId="5" xfId="0" applyNumberFormat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1" xfId="0" applyNumberFormat="1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103" t="s">
        <v>165</v>
      </c>
      <c r="E4" s="104"/>
      <c r="F4" s="105"/>
    </row>
    <row r="5" spans="2:6" x14ac:dyDescent="0.2">
      <c r="B5" s="6"/>
      <c r="C5" s="7" t="s">
        <v>111</v>
      </c>
      <c r="D5" s="106">
        <v>2017</v>
      </c>
      <c r="E5" s="107"/>
      <c r="F5" s="108"/>
    </row>
    <row r="6" spans="2:6" x14ac:dyDescent="0.2">
      <c r="B6" s="3"/>
      <c r="C6" s="3"/>
      <c r="D6" s="3"/>
      <c r="E6" s="3"/>
      <c r="F6" s="3"/>
    </row>
    <row r="8" spans="2:6" x14ac:dyDescent="0.2">
      <c r="B8">
        <v>1</v>
      </c>
      <c r="C8" t="s">
        <v>339</v>
      </c>
      <c r="D8">
        <v>3</v>
      </c>
      <c r="E8" t="s">
        <v>340</v>
      </c>
    </row>
    <row r="10" spans="2:6" x14ac:dyDescent="0.2">
      <c r="C10" t="s">
        <v>12</v>
      </c>
      <c r="E10" t="s">
        <v>42</v>
      </c>
    </row>
    <row r="11" spans="2:6" x14ac:dyDescent="0.2">
      <c r="E11" t="s">
        <v>49</v>
      </c>
    </row>
    <row r="12" spans="2:6" x14ac:dyDescent="0.2">
      <c r="E12" t="s">
        <v>66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topLeftCell="A83" workbookViewId="0">
      <selection activeCell="D34" sqref="D34"/>
    </sheetView>
  </sheetViews>
  <sheetFormatPr defaultColWidth="9.140625"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0</v>
      </c>
      <c r="E10" s="15" t="s">
        <v>166</v>
      </c>
      <c r="F10" s="15" t="s">
        <v>6</v>
      </c>
      <c r="G10" s="15">
        <f t="shared" si="0"/>
        <v>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/>
      <c r="D12" s="15">
        <v>1748</v>
      </c>
      <c r="E12" s="15" t="s">
        <v>166</v>
      </c>
      <c r="F12" s="15" t="s">
        <v>6</v>
      </c>
      <c r="G12" s="15">
        <f t="shared" si="0"/>
        <v>1748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1</v>
      </c>
      <c r="E16" s="21" t="s">
        <v>16</v>
      </c>
      <c r="F16" s="12"/>
      <c r="G16" s="21">
        <f>COUNTIF(G6:G15,"&gt;0")</f>
        <v>1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0</v>
      </c>
      <c r="E25" s="15"/>
      <c r="F25" s="15" t="s">
        <v>6</v>
      </c>
      <c r="G25" s="15">
        <f t="shared" si="2"/>
        <v>0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20</v>
      </c>
      <c r="E27" s="15"/>
      <c r="F27" s="15" t="s">
        <v>6</v>
      </c>
      <c r="G27" s="15">
        <f t="shared" si="2"/>
        <v>20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20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0</v>
      </c>
      <c r="E39" s="15" t="s">
        <v>167</v>
      </c>
      <c r="F39" s="15" t="s">
        <v>6</v>
      </c>
      <c r="G39" s="15">
        <f t="shared" si="3"/>
        <v>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>
        <v>800</v>
      </c>
      <c r="D59" s="14">
        <v>7684</v>
      </c>
      <c r="E59" s="15" t="s">
        <v>168</v>
      </c>
      <c r="F59" s="15" t="s">
        <v>6</v>
      </c>
      <c r="G59" s="15">
        <f t="shared" si="3"/>
        <v>8484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13204</v>
      </c>
      <c r="E66" s="15" t="s">
        <v>168</v>
      </c>
      <c r="F66" s="15" t="s">
        <v>6</v>
      </c>
      <c r="G66" s="15">
        <f t="shared" si="3"/>
        <v>13204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0</v>
      </c>
      <c r="E76" s="15" t="s">
        <v>167</v>
      </c>
      <c r="F76" s="15" t="s">
        <v>6</v>
      </c>
      <c r="G76" s="15">
        <f t="shared" si="5"/>
        <v>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5458</v>
      </c>
      <c r="E83" s="15" t="s">
        <v>168</v>
      </c>
      <c r="F83" s="15" t="s">
        <v>6</v>
      </c>
      <c r="G83" s="15">
        <f t="shared" si="5"/>
        <v>5458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topLeftCell="A21" workbookViewId="0">
      <selection activeCell="O47" sqref="O47"/>
    </sheetView>
  </sheetViews>
  <sheetFormatPr defaultColWidth="9.140625"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95">
        <v>3461.7937995164798</v>
      </c>
      <c r="D6" s="96">
        <v>3760.3976259350202</v>
      </c>
      <c r="E6" s="96">
        <v>9161.44507501931</v>
      </c>
      <c r="F6" s="96">
        <v>10992.227270376199</v>
      </c>
      <c r="G6" s="96">
        <v>0</v>
      </c>
      <c r="H6" s="96">
        <v>7548.5240031031599</v>
      </c>
      <c r="I6" s="96">
        <v>10769.506656009</v>
      </c>
      <c r="J6" s="96">
        <v>9671.6968556736701</v>
      </c>
      <c r="K6" s="96">
        <v>3385.8194847827199</v>
      </c>
      <c r="L6" s="96">
        <v>8877.7970060667903</v>
      </c>
      <c r="M6" s="96">
        <v>5727.4905567943197</v>
      </c>
      <c r="N6" s="96">
        <v>8344.7441571023101</v>
      </c>
    </row>
    <row r="7" spans="2:14" x14ac:dyDescent="0.2">
      <c r="B7" s="36" t="s">
        <v>105</v>
      </c>
      <c r="C7" s="97">
        <v>973</v>
      </c>
      <c r="D7" s="98">
        <v>0</v>
      </c>
      <c r="E7" s="98">
        <v>912</v>
      </c>
      <c r="F7" s="98">
        <v>709</v>
      </c>
      <c r="G7" s="98">
        <v>14856.4694334328</v>
      </c>
      <c r="H7" s="98">
        <v>0</v>
      </c>
      <c r="I7" s="98">
        <v>0</v>
      </c>
      <c r="J7" s="98">
        <v>751</v>
      </c>
      <c r="K7" s="98">
        <v>0</v>
      </c>
      <c r="L7" s="98">
        <v>728</v>
      </c>
      <c r="M7" s="98">
        <v>820</v>
      </c>
      <c r="N7" s="98">
        <v>982</v>
      </c>
    </row>
    <row r="8" spans="2:14" x14ac:dyDescent="0.2">
      <c r="B8" s="36" t="s">
        <v>106</v>
      </c>
      <c r="C8" s="97">
        <v>0</v>
      </c>
      <c r="D8" s="98">
        <v>0</v>
      </c>
      <c r="E8" s="98">
        <v>0</v>
      </c>
      <c r="F8" s="98">
        <v>0</v>
      </c>
      <c r="G8" s="98">
        <v>0</v>
      </c>
      <c r="H8" s="98">
        <v>3747</v>
      </c>
      <c r="I8" s="98">
        <v>0</v>
      </c>
      <c r="J8" s="98">
        <v>0</v>
      </c>
      <c r="K8" s="98">
        <v>3019</v>
      </c>
      <c r="L8" s="98">
        <v>2166</v>
      </c>
      <c r="M8" s="98">
        <v>0</v>
      </c>
      <c r="N8" s="98">
        <v>0</v>
      </c>
    </row>
    <row r="9" spans="2:14" x14ac:dyDescent="0.2">
      <c r="B9" s="36" t="s">
        <v>107</v>
      </c>
      <c r="C9" s="97">
        <v>0</v>
      </c>
      <c r="D9" s="98">
        <v>1515</v>
      </c>
      <c r="E9" s="98">
        <v>0</v>
      </c>
      <c r="F9" s="98">
        <v>0</v>
      </c>
      <c r="G9" s="98">
        <v>0</v>
      </c>
      <c r="H9" s="98">
        <v>878</v>
      </c>
      <c r="I9" s="98">
        <v>973</v>
      </c>
      <c r="J9" s="98">
        <v>0</v>
      </c>
      <c r="K9" s="98">
        <v>777</v>
      </c>
      <c r="L9" s="98">
        <v>0</v>
      </c>
      <c r="M9" s="98">
        <v>0</v>
      </c>
      <c r="N9" s="98">
        <v>0</v>
      </c>
    </row>
    <row r="10" spans="2:14" x14ac:dyDescent="0.2">
      <c r="B10" s="36" t="s">
        <v>108</v>
      </c>
      <c r="C10" s="97">
        <v>8749.4027749999896</v>
      </c>
      <c r="D10" s="98">
        <v>6491.3024974989003</v>
      </c>
      <c r="E10" s="98">
        <v>0</v>
      </c>
      <c r="F10" s="98">
        <v>0</v>
      </c>
      <c r="G10" s="98">
        <v>0</v>
      </c>
      <c r="H10" s="98">
        <v>0</v>
      </c>
      <c r="I10" s="98">
        <v>0</v>
      </c>
      <c r="J10" s="98">
        <v>0</v>
      </c>
      <c r="K10" s="98">
        <v>4994.0463057799998</v>
      </c>
      <c r="L10" s="98">
        <v>0</v>
      </c>
      <c r="M10" s="98">
        <v>0</v>
      </c>
      <c r="N10" s="98">
        <v>0</v>
      </c>
    </row>
    <row r="11" spans="2:14" x14ac:dyDescent="0.2">
      <c r="B11" s="37" t="s">
        <v>109</v>
      </c>
      <c r="C11" s="97">
        <v>0</v>
      </c>
      <c r="D11" s="98">
        <v>0</v>
      </c>
      <c r="E11" s="98">
        <v>0</v>
      </c>
      <c r="F11" s="98">
        <v>0</v>
      </c>
      <c r="G11" s="98">
        <v>0</v>
      </c>
      <c r="H11" s="98">
        <v>0</v>
      </c>
      <c r="I11" s="98">
        <v>0</v>
      </c>
      <c r="J11" s="98">
        <v>0</v>
      </c>
      <c r="K11" s="98">
        <v>0</v>
      </c>
      <c r="L11" s="98">
        <v>0</v>
      </c>
      <c r="M11" s="98">
        <v>0</v>
      </c>
      <c r="N11" s="98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87">
        <v>1</v>
      </c>
      <c r="D17" s="87">
        <v>0</v>
      </c>
      <c r="E17" s="87">
        <v>1</v>
      </c>
      <c r="F17" s="102">
        <v>0.90367320059652101</v>
      </c>
      <c r="G17" s="87">
        <v>0.5</v>
      </c>
      <c r="H17" s="102">
        <v>1.2327643696707</v>
      </c>
      <c r="I17" s="29" t="s">
        <v>110</v>
      </c>
    </row>
    <row r="18" spans="2:33" x14ac:dyDescent="0.2">
      <c r="B18" s="36" t="s">
        <v>105</v>
      </c>
      <c r="C18" s="88">
        <v>1</v>
      </c>
      <c r="D18" s="88">
        <v>0</v>
      </c>
      <c r="E18" s="88">
        <v>1</v>
      </c>
      <c r="F18" s="102">
        <v>0.805596049146861</v>
      </c>
      <c r="G18" s="87">
        <v>0.5</v>
      </c>
      <c r="H18" s="102">
        <v>1.0274178607328499</v>
      </c>
      <c r="I18" s="29" t="s">
        <v>110</v>
      </c>
    </row>
    <row r="19" spans="2:33" x14ac:dyDescent="0.2">
      <c r="B19" s="36" t="s">
        <v>106</v>
      </c>
      <c r="C19" s="88">
        <v>1</v>
      </c>
      <c r="D19" s="88">
        <v>0</v>
      </c>
      <c r="E19" s="88">
        <v>1</v>
      </c>
      <c r="F19" s="102">
        <v>0.80052064659107003</v>
      </c>
      <c r="G19" s="87">
        <v>0.5</v>
      </c>
      <c r="H19" s="102">
        <v>1.0543063566120701</v>
      </c>
      <c r="I19" s="29" t="s">
        <v>110</v>
      </c>
    </row>
    <row r="20" spans="2:33" x14ac:dyDescent="0.2">
      <c r="B20" s="36" t="s">
        <v>107</v>
      </c>
      <c r="C20" s="88">
        <v>1</v>
      </c>
      <c r="D20" s="88">
        <v>0</v>
      </c>
      <c r="E20" s="88">
        <v>1</v>
      </c>
      <c r="F20" s="102">
        <v>0.81644505221786801</v>
      </c>
      <c r="G20" s="87">
        <v>0.5</v>
      </c>
      <c r="H20" s="102">
        <v>1.1522020884626101</v>
      </c>
    </row>
    <row r="21" spans="2:33" x14ac:dyDescent="0.2">
      <c r="B21" s="36" t="s">
        <v>108</v>
      </c>
      <c r="C21" s="88">
        <v>1</v>
      </c>
      <c r="D21" s="88">
        <v>0</v>
      </c>
      <c r="E21" s="88">
        <v>1</v>
      </c>
      <c r="F21" s="102">
        <v>0.85422380820064503</v>
      </c>
      <c r="G21" s="87">
        <v>0.5</v>
      </c>
      <c r="H21" s="102">
        <v>0.92510663495370005</v>
      </c>
    </row>
    <row r="22" spans="2:33" x14ac:dyDescent="0.2">
      <c r="B22" s="37" t="s">
        <v>109</v>
      </c>
      <c r="C22" s="88">
        <v>1</v>
      </c>
      <c r="D22" s="88">
        <v>0</v>
      </c>
      <c r="E22" s="88">
        <v>1</v>
      </c>
      <c r="F22" s="102">
        <v>0.82784178535694142</v>
      </c>
      <c r="G22" s="87">
        <v>0.5</v>
      </c>
      <c r="H22" s="102">
        <v>1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2017</v>
      </c>
      <c r="D30" s="44">
        <v>0.67862145488531522</v>
      </c>
      <c r="E30" s="35">
        <v>0</v>
      </c>
      <c r="F30" s="47">
        <v>0.77144919455166439</v>
      </c>
      <c r="G30" s="46">
        <v>0</v>
      </c>
      <c r="H30" s="47">
        <v>0.74927989201390566</v>
      </c>
      <c r="I30" s="46">
        <v>0</v>
      </c>
      <c r="J30" s="47">
        <v>0.67403456532264949</v>
      </c>
      <c r="K30" s="46">
        <v>0</v>
      </c>
      <c r="L30" s="47">
        <v>0.9094305994382329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2">
      <c r="B31" s="36"/>
      <c r="C31" s="47">
        <f>basic_info!$D$5+1</f>
        <v>2018</v>
      </c>
      <c r="D31" s="76"/>
      <c r="E31" s="75"/>
      <c r="F31" s="69">
        <v>0.71662753591933626</v>
      </c>
      <c r="G31" s="79">
        <v>0</v>
      </c>
      <c r="H31" s="61">
        <v>0.7118064307683698</v>
      </c>
      <c r="I31" s="62">
        <v>0</v>
      </c>
      <c r="J31" s="61">
        <v>0.65742258166301204</v>
      </c>
      <c r="K31" s="62">
        <v>0</v>
      </c>
      <c r="L31" s="61">
        <v>0.8608485705892801</v>
      </c>
      <c r="M31" s="62"/>
      <c r="N31" s="63">
        <v>0.91910454752448723</v>
      </c>
      <c r="O31" s="98">
        <v>9278.5749892425192</v>
      </c>
      <c r="P31" s="63">
        <f>O31+M31+K31+I31+G31</f>
        <v>9278.5749892425192</v>
      </c>
    </row>
    <row r="32" spans="2:33" x14ac:dyDescent="0.2">
      <c r="B32" s="36"/>
      <c r="C32" s="47">
        <f>basic_info!$D$5+2</f>
        <v>2019</v>
      </c>
      <c r="D32" s="76"/>
      <c r="E32" s="75"/>
      <c r="F32" s="75"/>
      <c r="G32" s="75"/>
      <c r="H32" s="69">
        <v>0.68616087553988669</v>
      </c>
      <c r="I32" s="79">
        <v>0</v>
      </c>
      <c r="J32" s="61">
        <v>0.64171751702829749</v>
      </c>
      <c r="K32" s="62">
        <v>0</v>
      </c>
      <c r="L32" s="61">
        <v>0.8295043288750632</v>
      </c>
      <c r="M32" s="62"/>
      <c r="N32" s="63">
        <v>0.85195298768145433</v>
      </c>
      <c r="O32" s="98">
        <v>9278.5749892425192</v>
      </c>
      <c r="P32" s="63">
        <f>O32+M32+K32+I32</f>
        <v>9278.5749892425192</v>
      </c>
    </row>
    <row r="33" spans="2:17" x14ac:dyDescent="0.2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0.65376248745918275</v>
      </c>
      <c r="K33" s="79">
        <v>0</v>
      </c>
      <c r="L33" s="61">
        <v>0.84540928358710421</v>
      </c>
      <c r="M33" s="62"/>
      <c r="N33" s="63">
        <v>0.79341974686465555</v>
      </c>
      <c r="O33" s="98">
        <v>9278.5749892425192</v>
      </c>
      <c r="P33" s="63">
        <f>O33+M33+K33</f>
        <v>9278.5749892425192</v>
      </c>
    </row>
    <row r="34" spans="2:17" x14ac:dyDescent="0.2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0.76962524616122252</v>
      </c>
      <c r="M34" s="79"/>
      <c r="N34" s="63">
        <v>0.75112057603575599</v>
      </c>
      <c r="O34" s="98">
        <v>9278.5749892425192</v>
      </c>
      <c r="P34" s="63">
        <f>O34+M34</f>
        <v>9278.5749892425192</v>
      </c>
    </row>
    <row r="35" spans="2:17" x14ac:dyDescent="0.2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0.73914561780691146</v>
      </c>
      <c r="O35" s="98">
        <v>9278.5749892425192</v>
      </c>
      <c r="P35" s="65">
        <f>O35</f>
        <v>9278.5749892425192</v>
      </c>
    </row>
    <row r="36" spans="2:17" x14ac:dyDescent="0.2">
      <c r="B36" s="41" t="s">
        <v>113</v>
      </c>
      <c r="C36" s="36">
        <f>basic_info!$D$5</f>
        <v>2017</v>
      </c>
      <c r="D36" s="44">
        <v>1.2381058075672227</v>
      </c>
      <c r="E36" s="35">
        <v>0</v>
      </c>
      <c r="F36" s="73">
        <v>1.0896456341169221</v>
      </c>
      <c r="G36" s="74">
        <v>0</v>
      </c>
      <c r="H36" s="73">
        <v>1.1880059380028796</v>
      </c>
      <c r="I36" s="74">
        <v>0</v>
      </c>
      <c r="J36" s="73">
        <v>1.1979988746751256</v>
      </c>
      <c r="K36" s="74">
        <v>0</v>
      </c>
      <c r="L36" s="66">
        <v>1.1284743819827652</v>
      </c>
      <c r="M36" s="67">
        <v>14134.438200000001</v>
      </c>
      <c r="N36" s="68"/>
      <c r="O36" s="71" t="s">
        <v>162</v>
      </c>
      <c r="P36" s="41">
        <f>M36+K36+I36+E36+G36</f>
        <v>14134.438200000001</v>
      </c>
      <c r="Q36" s="70"/>
    </row>
    <row r="37" spans="2:17" x14ac:dyDescent="0.2">
      <c r="B37" s="36"/>
      <c r="C37" s="47">
        <f>basic_info!$D$5+1</f>
        <v>2018</v>
      </c>
      <c r="D37" s="76"/>
      <c r="E37" s="75"/>
      <c r="F37" s="69">
        <v>1.0587453955633634</v>
      </c>
      <c r="G37" s="79">
        <v>0</v>
      </c>
      <c r="H37" s="61">
        <v>1.0938135695671274</v>
      </c>
      <c r="I37" s="62">
        <v>0</v>
      </c>
      <c r="J37" s="61">
        <v>1.1014713588815135</v>
      </c>
      <c r="K37" s="62">
        <v>0</v>
      </c>
      <c r="L37" s="61">
        <v>1.042842908637313</v>
      </c>
      <c r="M37" s="62">
        <v>12367.633400000001</v>
      </c>
      <c r="N37" s="61">
        <v>1.1390647533197611</v>
      </c>
      <c r="O37" s="98">
        <v>37632.366600000001</v>
      </c>
      <c r="P37" s="63">
        <f>O37+M37+K37+I37+G37</f>
        <v>50000</v>
      </c>
    </row>
    <row r="38" spans="2:17" x14ac:dyDescent="0.2">
      <c r="B38" s="36"/>
      <c r="C38" s="47">
        <f>basic_info!$D$5+2</f>
        <v>2019</v>
      </c>
      <c r="D38" s="76"/>
      <c r="E38" s="75"/>
      <c r="F38" s="75"/>
      <c r="G38" s="75"/>
      <c r="H38" s="69">
        <v>1.0288140534879155</v>
      </c>
      <c r="I38" s="79">
        <v>0</v>
      </c>
      <c r="J38" s="61">
        <v>1.0108999284690923</v>
      </c>
      <c r="K38" s="62">
        <v>0</v>
      </c>
      <c r="L38" s="61">
        <v>1.0032828986441651</v>
      </c>
      <c r="M38" s="62">
        <v>8834.0238599999993</v>
      </c>
      <c r="N38" s="61">
        <v>1.0357981248188022</v>
      </c>
      <c r="O38" s="86">
        <v>41165.976139999999</v>
      </c>
      <c r="P38" s="63">
        <f>O38+M38+K38+I38</f>
        <v>50000</v>
      </c>
    </row>
    <row r="39" spans="2:17" x14ac:dyDescent="0.2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0.98955166281759732</v>
      </c>
      <c r="K39" s="79">
        <v>0</v>
      </c>
      <c r="L39" s="61">
        <v>0.95103433990902408</v>
      </c>
      <c r="M39" s="62">
        <v>5300.4143100000001</v>
      </c>
      <c r="N39" s="61">
        <v>0.9919351074281193</v>
      </c>
      <c r="O39" s="86">
        <v>44699.58569</v>
      </c>
      <c r="P39" s="63">
        <f>O39+M39+K39</f>
        <v>50000</v>
      </c>
    </row>
    <row r="40" spans="2:17" x14ac:dyDescent="0.2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0.9180320969671012</v>
      </c>
      <c r="M40" s="79">
        <v>3533.6095399999999</v>
      </c>
      <c r="N40" s="61">
        <v>0.95493263137485418</v>
      </c>
      <c r="O40" s="86">
        <v>46466.390460000002</v>
      </c>
      <c r="P40" s="63">
        <f>O40+M40</f>
        <v>50000</v>
      </c>
    </row>
    <row r="41" spans="2:17" x14ac:dyDescent="0.2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0.9100411573201419</v>
      </c>
      <c r="O41" s="86">
        <v>50000</v>
      </c>
      <c r="P41" s="64">
        <f>O41</f>
        <v>50000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9">
        <v>51.275032384732498</v>
      </c>
      <c r="D47" s="99">
        <v>0</v>
      </c>
      <c r="E47" s="99">
        <v>0</v>
      </c>
      <c r="F47" s="99">
        <v>0</v>
      </c>
      <c r="G47" s="99">
        <v>0</v>
      </c>
      <c r="H47" s="99">
        <v>0</v>
      </c>
      <c r="I47" s="99">
        <v>0</v>
      </c>
      <c r="J47" s="99">
        <v>0</v>
      </c>
      <c r="K47" s="99">
        <v>48.724967615267403</v>
      </c>
      <c r="L47" s="99">
        <v>0</v>
      </c>
      <c r="M47" s="99">
        <v>0</v>
      </c>
      <c r="N47" s="99">
        <v>0</v>
      </c>
      <c r="O47" s="33">
        <f>SUM(C47:N47)</f>
        <v>99.999999999999901</v>
      </c>
    </row>
    <row r="48" spans="2:17" x14ac:dyDescent="0.2">
      <c r="B48" s="37" t="s">
        <v>113</v>
      </c>
      <c r="C48" s="99">
        <v>12.232406941613201</v>
      </c>
      <c r="D48" s="99">
        <v>6.9865004366512498</v>
      </c>
      <c r="E48" s="99">
        <v>11.9252623857477</v>
      </c>
      <c r="F48" s="99">
        <v>10.3258193041582</v>
      </c>
      <c r="G48" s="99">
        <v>8.5465439705741595</v>
      </c>
      <c r="H48" s="99">
        <v>6.4060939830215702</v>
      </c>
      <c r="I48" s="99">
        <v>7.5434542716835304</v>
      </c>
      <c r="J48" s="99">
        <v>7.6286434089011301</v>
      </c>
      <c r="K48" s="99">
        <v>7.89115646468594</v>
      </c>
      <c r="L48" s="99">
        <v>8.6936750820379398</v>
      </c>
      <c r="M48" s="99">
        <v>6.2480899392286604</v>
      </c>
      <c r="N48" s="99">
        <v>5.5723538116966198</v>
      </c>
      <c r="O48" s="33">
        <f>SUM(C48:N48)</f>
        <v>99.999999999999901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5"/>
  <sheetViews>
    <sheetView showGridLines="0" topLeftCell="A13" workbookViewId="0">
      <selection activeCell="B35" sqref="B35"/>
    </sheetView>
  </sheetViews>
  <sheetFormatPr defaultColWidth="9.140625"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6" x14ac:dyDescent="0.2">
      <c r="B2" s="28" t="s">
        <v>114</v>
      </c>
    </row>
    <row r="3" spans="2:16" x14ac:dyDescent="0.2">
      <c r="B3" s="30" t="s">
        <v>144</v>
      </c>
    </row>
    <row r="4" spans="2:16" x14ac:dyDescent="0.2">
      <c r="B4" s="48"/>
      <c r="C4" s="48"/>
      <c r="D4" s="48"/>
      <c r="E4" s="48"/>
      <c r="F4" s="48"/>
      <c r="G4" s="48"/>
      <c r="H4" s="49"/>
      <c r="I4" s="49"/>
      <c r="J4" s="49"/>
      <c r="K4" s="49"/>
      <c r="L4" s="49"/>
      <c r="M4" s="49"/>
    </row>
    <row r="5" spans="2:16" x14ac:dyDescent="0.2">
      <c r="B5" s="45" t="s">
        <v>115</v>
      </c>
      <c r="C5" s="45" t="s">
        <v>12</v>
      </c>
      <c r="D5" s="45" t="s">
        <v>42</v>
      </c>
      <c r="E5" s="45" t="s">
        <v>49</v>
      </c>
      <c r="F5" s="45" t="s">
        <v>66</v>
      </c>
      <c r="G5" s="45" t="s">
        <v>150</v>
      </c>
      <c r="H5" s="50"/>
      <c r="I5" s="50"/>
      <c r="J5" s="50"/>
      <c r="K5" s="50"/>
      <c r="L5" s="50"/>
      <c r="M5" s="50"/>
      <c r="N5" s="50"/>
      <c r="O5" s="50"/>
      <c r="P5" s="50"/>
    </row>
    <row r="6" spans="2:16" x14ac:dyDescent="0.2">
      <c r="B6" s="45" t="s">
        <v>163</v>
      </c>
      <c r="C6" s="100">
        <v>47.314596459364203</v>
      </c>
      <c r="D6" s="100">
        <v>12.085465934291999</v>
      </c>
      <c r="E6" s="100">
        <v>40.599937606343602</v>
      </c>
      <c r="F6" s="89">
        <v>0</v>
      </c>
      <c r="G6" s="93">
        <f>SUM($C$6:$F$6)</f>
        <v>99.999999999999801</v>
      </c>
      <c r="H6" s="49"/>
      <c r="I6" s="49"/>
      <c r="J6" s="49"/>
      <c r="K6" s="49"/>
      <c r="L6" s="49"/>
      <c r="M6" s="49"/>
      <c r="N6" s="50"/>
      <c r="O6" s="50"/>
      <c r="P6" s="50"/>
    </row>
    <row r="7" spans="2:16" x14ac:dyDescent="0.2">
      <c r="B7" s="45" t="s">
        <v>105</v>
      </c>
      <c r="C7" s="100">
        <v>26.560922037454699</v>
      </c>
      <c r="D7" s="100">
        <v>20.9729465340654</v>
      </c>
      <c r="E7" s="100">
        <v>20.587059753309902</v>
      </c>
      <c r="F7" s="89">
        <v>31.879071675169801</v>
      </c>
      <c r="G7" s="93">
        <f>SUM($C$7:$F$7)</f>
        <v>99.999999999999801</v>
      </c>
      <c r="H7" s="49"/>
      <c r="I7" s="49"/>
      <c r="J7" s="49"/>
      <c r="K7" s="49"/>
      <c r="L7" s="49"/>
      <c r="M7" s="49"/>
      <c r="N7" s="50"/>
      <c r="O7" s="50"/>
      <c r="P7" s="50"/>
    </row>
    <row r="8" spans="2:16" x14ac:dyDescent="0.2">
      <c r="B8" s="45" t="s">
        <v>106</v>
      </c>
      <c r="C8" s="100">
        <v>0</v>
      </c>
      <c r="D8" s="100">
        <v>100</v>
      </c>
      <c r="E8" s="100">
        <v>0</v>
      </c>
      <c r="F8" s="89">
        <v>0</v>
      </c>
      <c r="G8" s="93">
        <f>SUM($C$8:$F$8)</f>
        <v>100</v>
      </c>
      <c r="H8" s="49"/>
      <c r="I8" s="49"/>
      <c r="J8" s="49"/>
      <c r="K8" s="49"/>
      <c r="L8" s="49"/>
      <c r="M8" s="49"/>
      <c r="N8" s="50"/>
      <c r="O8" s="50"/>
      <c r="P8" s="50"/>
    </row>
    <row r="9" spans="2:16" x14ac:dyDescent="0.2">
      <c r="B9" s="45" t="s">
        <v>107</v>
      </c>
      <c r="C9" s="100">
        <v>0</v>
      </c>
      <c r="D9" s="100">
        <v>0</v>
      </c>
      <c r="E9" s="100">
        <v>0</v>
      </c>
      <c r="F9" s="89">
        <v>100</v>
      </c>
      <c r="G9" s="93">
        <f>SUM($C$9:$F$9)</f>
        <v>100</v>
      </c>
      <c r="H9" s="49"/>
      <c r="I9" s="49"/>
      <c r="J9" s="49"/>
      <c r="K9" s="49"/>
      <c r="L9" s="49"/>
      <c r="M9" s="49"/>
      <c r="N9" s="50"/>
      <c r="O9" s="50"/>
      <c r="P9" s="50"/>
    </row>
    <row r="10" spans="2:16" x14ac:dyDescent="0.2">
      <c r="B10" s="45" t="s">
        <v>108</v>
      </c>
      <c r="C10" s="100">
        <v>73.797553286043495</v>
      </c>
      <c r="D10" s="100">
        <v>26.202446713956402</v>
      </c>
      <c r="E10" s="100">
        <v>0</v>
      </c>
      <c r="F10" s="89">
        <v>0</v>
      </c>
      <c r="G10" s="93">
        <f>SUM($C$10:$F$10)</f>
        <v>99.999999999999901</v>
      </c>
      <c r="H10" s="49"/>
      <c r="I10" s="49"/>
      <c r="J10" s="49"/>
      <c r="K10" s="49"/>
      <c r="L10" s="49"/>
      <c r="M10" s="49"/>
      <c r="N10" s="50"/>
      <c r="O10" s="50"/>
      <c r="P10" s="50"/>
    </row>
    <row r="11" spans="2:16" x14ac:dyDescent="0.2">
      <c r="B11" s="45" t="s">
        <v>109</v>
      </c>
      <c r="C11" s="101">
        <v>0</v>
      </c>
      <c r="D11" s="101">
        <v>0</v>
      </c>
      <c r="E11" s="101">
        <v>0</v>
      </c>
      <c r="F11" s="90">
        <v>0</v>
      </c>
      <c r="G11" s="92">
        <f>SUM($C$11:$F$11)</f>
        <v>0</v>
      </c>
      <c r="H11" s="49"/>
      <c r="I11" s="49"/>
      <c r="J11" s="49"/>
      <c r="K11" s="49"/>
      <c r="L11" s="49"/>
      <c r="M11" s="49"/>
      <c r="N11" s="50"/>
      <c r="O11" s="50"/>
      <c r="P11" s="50"/>
    </row>
    <row r="12" spans="2:16" x14ac:dyDescent="0.2">
      <c r="B12" s="51"/>
      <c r="C12" s="51"/>
      <c r="D12" s="51"/>
      <c r="E12" s="51"/>
      <c r="F12" s="51"/>
      <c r="G12" s="51"/>
      <c r="H12" s="49"/>
      <c r="I12" s="49"/>
      <c r="J12" s="49"/>
      <c r="K12" s="49"/>
      <c r="L12" s="49"/>
      <c r="M12" s="49"/>
      <c r="N12" s="50"/>
      <c r="O12" s="50"/>
      <c r="P12" s="50"/>
    </row>
    <row r="13" spans="2:16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6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6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6" x14ac:dyDescent="0.2">
      <c r="B16" s="31"/>
      <c r="C16" s="31"/>
      <c r="D16" s="31"/>
      <c r="E16" s="50"/>
      <c r="F16" s="50"/>
      <c r="G16" s="50"/>
      <c r="H16" s="50"/>
      <c r="K16" s="50"/>
      <c r="L16" s="50"/>
      <c r="M16" s="50"/>
    </row>
    <row r="17" spans="2:14" x14ac:dyDescent="0.2">
      <c r="B17" s="45" t="s">
        <v>118</v>
      </c>
      <c r="C17" s="45" t="s">
        <v>12</v>
      </c>
      <c r="D17" s="45"/>
      <c r="E17" s="50"/>
      <c r="F17" s="50"/>
      <c r="G17" s="50"/>
      <c r="H17" s="50"/>
      <c r="K17" s="50"/>
      <c r="L17" s="50"/>
      <c r="M17" s="50"/>
    </row>
    <row r="18" spans="2:14" x14ac:dyDescent="0.2">
      <c r="B18" s="45" t="s">
        <v>119</v>
      </c>
      <c r="C18" s="45" t="s">
        <v>133</v>
      </c>
      <c r="D18" s="45" t="s">
        <v>123</v>
      </c>
      <c r="E18" s="50"/>
      <c r="F18" s="50"/>
      <c r="G18" s="50"/>
      <c r="H18" s="50"/>
      <c r="I18" s="50"/>
      <c r="K18" s="50"/>
      <c r="L18" s="50"/>
      <c r="M18" s="50"/>
    </row>
    <row r="19" spans="2:14" x14ac:dyDescent="0.2">
      <c r="B19" s="45" t="s">
        <v>120</v>
      </c>
      <c r="C19" s="101">
        <v>22.9750300121527</v>
      </c>
      <c r="D19" s="33">
        <f>100-$C$19</f>
        <v>77.0249699878473</v>
      </c>
      <c r="K19" s="50"/>
      <c r="L19" s="50"/>
      <c r="M19" s="50"/>
    </row>
    <row r="20" spans="2:14" x14ac:dyDescent="0.2">
      <c r="B20" s="54"/>
      <c r="C20" s="54"/>
      <c r="D20" s="54"/>
      <c r="E20" s="50"/>
      <c r="F20" s="50"/>
      <c r="G20" s="50"/>
      <c r="H20" s="50"/>
      <c r="K20" s="50"/>
      <c r="L20" s="50"/>
      <c r="M20" s="50"/>
    </row>
    <row r="21" spans="2:14" x14ac:dyDescent="0.2">
      <c r="I21" s="50"/>
      <c r="J21" s="50"/>
      <c r="K21" s="50"/>
    </row>
    <row r="22" spans="2:14" x14ac:dyDescent="0.2">
      <c r="B22" s="52" t="s">
        <v>114</v>
      </c>
      <c r="I22" s="50"/>
      <c r="J22" s="50"/>
      <c r="K22" s="50"/>
    </row>
    <row r="23" spans="2:14" x14ac:dyDescent="0.2">
      <c r="B23" s="55" t="s">
        <v>145</v>
      </c>
      <c r="I23" s="50"/>
      <c r="J23" s="50"/>
      <c r="K23" s="50"/>
    </row>
    <row r="24" spans="2:14" x14ac:dyDescent="0.2">
      <c r="B24" s="31"/>
      <c r="C24" s="31"/>
      <c r="D24" s="31"/>
      <c r="E24" s="31"/>
      <c r="L24" s="50"/>
      <c r="M24" s="50"/>
      <c r="N24" s="50"/>
    </row>
    <row r="25" spans="2:14" x14ac:dyDescent="0.2">
      <c r="B25" s="45" t="s">
        <v>121</v>
      </c>
      <c r="C25" s="45" t="s">
        <v>122</v>
      </c>
      <c r="D25" s="45" t="s">
        <v>12</v>
      </c>
      <c r="E25" s="45"/>
      <c r="L25" s="50"/>
      <c r="M25" s="50"/>
      <c r="N25" s="50"/>
    </row>
    <row r="26" spans="2:14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L26" s="50"/>
      <c r="M26" s="50"/>
      <c r="N26" s="50"/>
    </row>
    <row r="27" spans="2:14" x14ac:dyDescent="0.2">
      <c r="B27" s="45" t="s">
        <v>42</v>
      </c>
      <c r="C27" s="89">
        <v>29.781808940000001</v>
      </c>
      <c r="D27" s="89">
        <v>69.940229909895294</v>
      </c>
      <c r="E27" s="91">
        <v>27.580181597898999</v>
      </c>
      <c r="L27" s="50"/>
      <c r="M27" s="50"/>
      <c r="N27" s="50"/>
    </row>
    <row r="28" spans="2:14" x14ac:dyDescent="0.2">
      <c r="B28" s="45" t="s">
        <v>49</v>
      </c>
      <c r="C28" s="89">
        <v>54.07652779</v>
      </c>
      <c r="D28" s="89">
        <v>19.2181506263972</v>
      </c>
      <c r="E28" s="91">
        <v>59.802664672097599</v>
      </c>
      <c r="L28" s="50"/>
      <c r="M28" s="50"/>
      <c r="N28" s="50"/>
    </row>
    <row r="29" spans="2:14" x14ac:dyDescent="0.2">
      <c r="B29" s="45" t="s">
        <v>66</v>
      </c>
      <c r="C29" s="89">
        <v>16.141663269999999</v>
      </c>
      <c r="D29" s="89">
        <v>10.841619463707399</v>
      </c>
      <c r="E29" s="91">
        <v>12.617153730003199</v>
      </c>
      <c r="L29" s="50"/>
      <c r="M29" s="50"/>
      <c r="N29" s="50"/>
    </row>
    <row r="30" spans="2:14" x14ac:dyDescent="0.2">
      <c r="B30" s="45" t="s">
        <v>150</v>
      </c>
      <c r="C30" s="94">
        <f>SUM($C$27:$C$29)</f>
        <v>100</v>
      </c>
      <c r="D30" s="94">
        <f>SUM($D$27:$D$29)</f>
        <v>99.999999999999901</v>
      </c>
      <c r="E30" s="92">
        <f>SUM($E$27:$E$29)</f>
        <v>99.999999999999801</v>
      </c>
      <c r="L30" s="50"/>
      <c r="M30" s="50"/>
      <c r="N30" s="50"/>
    </row>
    <row r="31" spans="2:14" x14ac:dyDescent="0.2">
      <c r="B31" s="54"/>
      <c r="C31" s="54"/>
      <c r="D31" s="54"/>
      <c r="E31" s="54"/>
      <c r="L31" s="50"/>
      <c r="M31" s="50"/>
      <c r="N31" s="50"/>
    </row>
    <row r="32" spans="2:14" x14ac:dyDescent="0.2">
      <c r="I32" s="50"/>
      <c r="J32" s="50"/>
      <c r="K32" s="50"/>
    </row>
    <row r="33" spans="2:14" x14ac:dyDescent="0.2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2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 x14ac:dyDescent="0.2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 x14ac:dyDescent="0.2">
      <c r="B37" s="45" t="s">
        <v>42</v>
      </c>
      <c r="C37" s="89">
        <v>7.4515030102420399</v>
      </c>
      <c r="D37" s="89">
        <v>3.9890950659160298</v>
      </c>
      <c r="E37" s="89">
        <v>0</v>
      </c>
      <c r="F37" s="89">
        <v>5.6572403883669304</v>
      </c>
      <c r="G37" s="89">
        <v>18.8111531856357</v>
      </c>
      <c r="H37" s="89">
        <v>9.8118260658732108</v>
      </c>
      <c r="I37" s="89">
        <v>4.3469970238879201</v>
      </c>
      <c r="J37" s="89">
        <v>6.38965097436086</v>
      </c>
      <c r="K37" s="89">
        <v>13.9552879621149</v>
      </c>
      <c r="L37" s="89">
        <v>13.5372675043412</v>
      </c>
      <c r="M37" s="89">
        <v>10.556899424306501</v>
      </c>
      <c r="N37" s="91">
        <v>5.4930793949544903</v>
      </c>
    </row>
    <row r="38" spans="2:14" x14ac:dyDescent="0.2">
      <c r="B38" s="45" t="s">
        <v>49</v>
      </c>
      <c r="C38" s="89">
        <v>8.5111052585374392</v>
      </c>
      <c r="D38" s="89">
        <v>8.7086296198753299</v>
      </c>
      <c r="E38" s="89">
        <v>10.837503292072601</v>
      </c>
      <c r="F38" s="89">
        <v>9.4680010534632597</v>
      </c>
      <c r="G38" s="89">
        <v>7.6551663594065396</v>
      </c>
      <c r="H38" s="89">
        <v>7.7561232552014703</v>
      </c>
      <c r="I38" s="89">
        <v>6.5490299359143096</v>
      </c>
      <c r="J38" s="89">
        <v>9.7138091475726398</v>
      </c>
      <c r="K38" s="89">
        <v>9.28803441313317</v>
      </c>
      <c r="L38" s="89">
        <v>11.2281625844965</v>
      </c>
      <c r="M38" s="89">
        <v>4.7449741023615104</v>
      </c>
      <c r="N38" s="91">
        <v>5.5394609779650601</v>
      </c>
    </row>
    <row r="39" spans="2:14" x14ac:dyDescent="0.2">
      <c r="B39" s="45" t="s">
        <v>66</v>
      </c>
      <c r="C39" s="90">
        <v>27.122292646140401</v>
      </c>
      <c r="D39" s="90">
        <v>25.588694009595699</v>
      </c>
      <c r="E39" s="90">
        <v>0</v>
      </c>
      <c r="F39" s="90">
        <v>6.2866612157719007E-2</v>
      </c>
      <c r="G39" s="90">
        <v>15.8117345563145</v>
      </c>
      <c r="H39" s="90">
        <v>9.8171398110435799</v>
      </c>
      <c r="I39" s="90">
        <v>12.4674045770773</v>
      </c>
      <c r="J39" s="90">
        <v>0</v>
      </c>
      <c r="K39" s="90">
        <v>0</v>
      </c>
      <c r="L39" s="90">
        <v>0</v>
      </c>
      <c r="M39" s="90">
        <v>0.216597471797946</v>
      </c>
      <c r="N39" s="86">
        <v>8.9132703158726105</v>
      </c>
    </row>
    <row r="40" spans="2:14" x14ac:dyDescent="0.2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 x14ac:dyDescent="0.2">
      <c r="I41" s="50"/>
      <c r="J41" s="50"/>
      <c r="K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2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2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 x14ac:dyDescent="0.2">
      <c r="P51" s="50"/>
      <c r="Q51" s="50"/>
      <c r="R51" s="50"/>
      <c r="S51" s="50"/>
      <c r="T51" s="50"/>
      <c r="U51" s="50"/>
      <c r="V51" s="50"/>
      <c r="W51" s="50"/>
      <c r="X51" s="50"/>
    </row>
    <row r="63" spans="2:24" x14ac:dyDescent="0.2">
      <c r="I63" s="50"/>
      <c r="J63" s="50"/>
    </row>
    <row r="64" spans="2:24" x14ac:dyDescent="0.2">
      <c r="I64" s="50"/>
      <c r="J64" s="50"/>
    </row>
    <row r="65" spans="9:10" x14ac:dyDescent="0.2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F11 C19 C27:E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>
      <selection activeCell="G47" sqref="G47"/>
    </sheetView>
  </sheetViews>
  <sheetFormatPr defaultColWidth="9.140625"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6">
        <v>1.5269264813233401</v>
      </c>
      <c r="E6" s="86">
        <v>1.54453447588521</v>
      </c>
      <c r="F6" s="86">
        <v>1.3481000000000001</v>
      </c>
      <c r="G6" s="86">
        <v>4</v>
      </c>
      <c r="H6" s="86">
        <v>1.488</v>
      </c>
      <c r="I6" s="86">
        <v>1.3675999999999999</v>
      </c>
      <c r="J6" s="86">
        <v>1.5459000000000001</v>
      </c>
      <c r="K6" s="86">
        <v>1.13432531454448</v>
      </c>
      <c r="L6" s="86">
        <v>1.1836134875412101</v>
      </c>
      <c r="M6" s="86">
        <v>1.4628000000000001</v>
      </c>
      <c r="N6" s="86">
        <v>2.1292</v>
      </c>
      <c r="O6" s="86">
        <v>1.6937</v>
      </c>
    </row>
    <row r="7" spans="2:15" x14ac:dyDescent="0.2">
      <c r="C7" s="36" t="s">
        <v>127</v>
      </c>
      <c r="D7" s="86">
        <v>1.9945999999999999</v>
      </c>
      <c r="E7" s="86">
        <v>1.7410000000000001</v>
      </c>
      <c r="F7" s="86">
        <v>4</v>
      </c>
      <c r="G7" s="86">
        <v>1.6687000000000001</v>
      </c>
      <c r="H7" s="86">
        <v>1.5938000000000001</v>
      </c>
      <c r="I7" s="86">
        <v>1.4575</v>
      </c>
      <c r="J7" s="86">
        <v>1.9581999999999999</v>
      </c>
      <c r="K7" s="86">
        <v>1.6122000000000001</v>
      </c>
      <c r="L7" s="86">
        <v>1.6322000000000001</v>
      </c>
      <c r="M7" s="86">
        <v>4.9939974943244296</v>
      </c>
      <c r="N7" s="86">
        <v>4.9674743988948702</v>
      </c>
      <c r="O7" s="86">
        <v>1.7735000000000001</v>
      </c>
    </row>
    <row r="8" spans="2:15" x14ac:dyDescent="0.2">
      <c r="C8" s="36" t="s">
        <v>128</v>
      </c>
      <c r="D8" s="86">
        <v>2.1596000000000002</v>
      </c>
      <c r="E8" s="86">
        <v>2.2774261531451998</v>
      </c>
      <c r="F8" s="86">
        <v>2.2658792679488098</v>
      </c>
      <c r="G8" s="86">
        <v>1.4294587141941499</v>
      </c>
      <c r="H8" s="86">
        <v>1.7424999999999999</v>
      </c>
      <c r="I8" s="86">
        <v>1.25541698582462</v>
      </c>
      <c r="J8" s="86">
        <v>1.6651</v>
      </c>
      <c r="K8" s="86">
        <v>1.3878999999999999</v>
      </c>
      <c r="L8" s="86">
        <v>1.6113999999999999</v>
      </c>
      <c r="M8" s="86">
        <v>2.2441</v>
      </c>
      <c r="N8" s="86">
        <v>4</v>
      </c>
      <c r="O8" s="86">
        <v>4</v>
      </c>
    </row>
    <row r="9" spans="2:15" x14ac:dyDescent="0.2">
      <c r="C9" s="36" t="s">
        <v>129</v>
      </c>
      <c r="D9" s="86">
        <v>2.2498</v>
      </c>
      <c r="E9" s="86">
        <v>2.2187000000000001</v>
      </c>
      <c r="F9" s="86">
        <v>4</v>
      </c>
      <c r="G9" s="86">
        <v>1.5567</v>
      </c>
      <c r="H9" s="86">
        <v>1.2842</v>
      </c>
      <c r="I9" s="86">
        <v>1.7975000000000001</v>
      </c>
      <c r="J9" s="86">
        <v>2.1842999999999999</v>
      </c>
      <c r="K9" s="86">
        <v>1.9983</v>
      </c>
      <c r="L9" s="86">
        <v>1.5432999999999999</v>
      </c>
      <c r="M9" s="86">
        <v>2.3713000000000002</v>
      </c>
      <c r="N9" s="86">
        <v>4</v>
      </c>
      <c r="O9" s="86">
        <v>1.724</v>
      </c>
    </row>
    <row r="10" spans="2:15" x14ac:dyDescent="0.2">
      <c r="C10" s="36" t="s">
        <v>130</v>
      </c>
      <c r="D10" s="86">
        <v>1.3416993420000001</v>
      </c>
      <c r="E10" s="86">
        <v>1.335254621</v>
      </c>
      <c r="F10" s="86">
        <v>1.7539448719999999</v>
      </c>
      <c r="G10" s="86">
        <v>1.9326898699999999</v>
      </c>
      <c r="H10" s="86">
        <v>1.448654589</v>
      </c>
      <c r="I10" s="86">
        <v>1.2179255929999999</v>
      </c>
      <c r="J10" s="86">
        <v>1.6436999999999999</v>
      </c>
      <c r="K10" s="86">
        <v>2.3473999999999999</v>
      </c>
      <c r="L10" s="86">
        <v>2.4354</v>
      </c>
      <c r="M10" s="86">
        <v>1.4749137939999999</v>
      </c>
      <c r="N10" s="86">
        <v>2.3464999999999998</v>
      </c>
      <c r="O10" s="86">
        <v>2.8391615959999998</v>
      </c>
    </row>
    <row r="11" spans="2:15" x14ac:dyDescent="0.2">
      <c r="C11" s="36" t="s">
        <v>131</v>
      </c>
      <c r="D11" s="86">
        <v>2.1274999999999999</v>
      </c>
      <c r="E11" s="86">
        <v>2.5488639910000002</v>
      </c>
      <c r="F11" s="86">
        <v>2.493331446</v>
      </c>
      <c r="G11" s="86">
        <v>1.965348863</v>
      </c>
      <c r="H11" s="86">
        <v>2.1535739149999999</v>
      </c>
      <c r="I11" s="86">
        <v>1.6484483379999999</v>
      </c>
      <c r="J11" s="86">
        <v>1.6646000000000001</v>
      </c>
      <c r="K11" s="86">
        <v>2.2544319439999998</v>
      </c>
      <c r="L11" s="86">
        <v>1.7444894609999999</v>
      </c>
      <c r="M11" s="86">
        <v>2.4436445369999999</v>
      </c>
      <c r="N11" s="86">
        <v>1.5851</v>
      </c>
      <c r="O11" s="86">
        <v>1.7985</v>
      </c>
    </row>
    <row r="12" spans="2:15" x14ac:dyDescent="0.2">
      <c r="C12" s="37" t="s">
        <v>132</v>
      </c>
      <c r="D12" s="86">
        <v>1.934653714</v>
      </c>
      <c r="E12" s="86">
        <v>1.3411483470000001</v>
      </c>
      <c r="F12" s="86">
        <v>1.842844412</v>
      </c>
      <c r="G12" s="86">
        <v>2.698478642</v>
      </c>
      <c r="H12" s="86">
        <v>2.4342417799999998</v>
      </c>
      <c r="I12" s="86">
        <v>3.437541366</v>
      </c>
      <c r="J12" s="86">
        <v>2.4366815759999998</v>
      </c>
      <c r="K12" s="86">
        <v>2.375443953</v>
      </c>
      <c r="L12" s="86">
        <v>3.3448877420000001</v>
      </c>
      <c r="M12" s="86">
        <v>2.3444296750000002</v>
      </c>
      <c r="N12" s="86">
        <v>2.9793412369999999</v>
      </c>
      <c r="O12" s="86">
        <v>2.37177266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6">
        <v>4</v>
      </c>
      <c r="E15" s="86">
        <v>4</v>
      </c>
      <c r="F15" s="86">
        <v>2.3161999999999998</v>
      </c>
      <c r="G15" s="86">
        <v>4</v>
      </c>
      <c r="H15" s="86">
        <v>2.2436652454622101</v>
      </c>
      <c r="I15" s="86">
        <v>4</v>
      </c>
      <c r="J15" s="86">
        <v>4</v>
      </c>
      <c r="K15" s="86">
        <v>4</v>
      </c>
      <c r="L15" s="86">
        <v>4</v>
      </c>
      <c r="M15" s="86">
        <v>4</v>
      </c>
      <c r="N15" s="86">
        <v>4</v>
      </c>
      <c r="O15" s="86">
        <v>4</v>
      </c>
    </row>
    <row r="16" spans="2:15" x14ac:dyDescent="0.2">
      <c r="C16" s="36" t="s">
        <v>127</v>
      </c>
      <c r="D16" s="86">
        <v>4</v>
      </c>
      <c r="E16" s="86">
        <v>4</v>
      </c>
      <c r="F16" s="86">
        <v>4</v>
      </c>
      <c r="G16" s="86">
        <v>2.27581942684363</v>
      </c>
      <c r="H16" s="86">
        <v>2.1684344862225</v>
      </c>
      <c r="I16" s="86">
        <v>4</v>
      </c>
      <c r="J16" s="86">
        <v>4</v>
      </c>
      <c r="K16" s="86">
        <v>2.2387000000000001</v>
      </c>
      <c r="L16" s="86">
        <v>2.2342</v>
      </c>
      <c r="M16" s="86">
        <v>2.3635999999999999</v>
      </c>
      <c r="N16" s="86">
        <v>4</v>
      </c>
      <c r="O16" s="86">
        <v>4</v>
      </c>
    </row>
    <row r="17" spans="2:15" x14ac:dyDescent="0.2">
      <c r="C17" s="36" t="s">
        <v>128</v>
      </c>
      <c r="D17" s="86">
        <v>4</v>
      </c>
      <c r="E17" s="86">
        <v>4</v>
      </c>
      <c r="F17" s="86">
        <v>4</v>
      </c>
      <c r="G17" s="86">
        <v>4</v>
      </c>
      <c r="H17" s="86">
        <v>2.7883435476362299</v>
      </c>
      <c r="I17" s="86">
        <v>4</v>
      </c>
      <c r="J17" s="86">
        <v>4</v>
      </c>
      <c r="K17" s="86">
        <v>4</v>
      </c>
      <c r="L17" s="86">
        <v>4</v>
      </c>
      <c r="M17" s="86">
        <v>4</v>
      </c>
      <c r="N17" s="86">
        <v>4</v>
      </c>
      <c r="O17" s="86">
        <v>4</v>
      </c>
    </row>
    <row r="18" spans="2:15" x14ac:dyDescent="0.2">
      <c r="C18" s="36" t="s">
        <v>129</v>
      </c>
      <c r="D18" s="86">
        <v>4</v>
      </c>
      <c r="E18" s="86">
        <v>2.7428747260000002</v>
      </c>
      <c r="F18" s="86">
        <v>3.1444445459999999</v>
      </c>
      <c r="G18" s="86">
        <v>3.4949747339999999</v>
      </c>
      <c r="H18" s="86">
        <v>4</v>
      </c>
      <c r="I18" s="86">
        <v>4</v>
      </c>
      <c r="J18" s="86">
        <v>2.541979848</v>
      </c>
      <c r="K18" s="86">
        <v>4</v>
      </c>
      <c r="L18" s="86">
        <v>4</v>
      </c>
      <c r="M18" s="86">
        <v>4</v>
      </c>
      <c r="N18" s="86">
        <v>4</v>
      </c>
      <c r="O18" s="86">
        <v>2.5464896850000001</v>
      </c>
    </row>
    <row r="19" spans="2:15" x14ac:dyDescent="0.2">
      <c r="C19" s="36" t="s">
        <v>130</v>
      </c>
      <c r="D19" s="86">
        <v>2.448138835</v>
      </c>
      <c r="E19" s="86">
        <v>4</v>
      </c>
      <c r="F19" s="86">
        <v>2.5652436430000001</v>
      </c>
      <c r="G19" s="86">
        <v>2.9158347899999999</v>
      </c>
      <c r="H19" s="86">
        <v>3.471471857</v>
      </c>
      <c r="I19" s="86">
        <v>4</v>
      </c>
      <c r="J19" s="86">
        <v>3.5922344919999998</v>
      </c>
      <c r="K19" s="86">
        <v>4</v>
      </c>
      <c r="L19" s="86">
        <v>3.4464127530000002</v>
      </c>
      <c r="M19" s="86">
        <v>2.7432444490000001</v>
      </c>
      <c r="N19" s="86">
        <v>3.3272437250000002</v>
      </c>
      <c r="O19" s="86">
        <v>2.9399225169999998</v>
      </c>
    </row>
    <row r="20" spans="2:15" x14ac:dyDescent="0.2">
      <c r="C20" s="36" t="s">
        <v>131</v>
      </c>
      <c r="D20" s="86">
        <v>4</v>
      </c>
      <c r="E20" s="86">
        <v>4</v>
      </c>
      <c r="F20" s="86">
        <v>4</v>
      </c>
      <c r="G20" s="86">
        <v>4</v>
      </c>
      <c r="H20" s="86">
        <v>4</v>
      </c>
      <c r="I20" s="86">
        <v>4</v>
      </c>
      <c r="J20" s="86">
        <v>4</v>
      </c>
      <c r="K20" s="86">
        <v>4</v>
      </c>
      <c r="L20" s="86">
        <v>4</v>
      </c>
      <c r="M20" s="86">
        <v>4</v>
      </c>
      <c r="N20" s="86">
        <v>4</v>
      </c>
      <c r="O20" s="86">
        <v>3.4435498619999998</v>
      </c>
    </row>
    <row r="21" spans="2:15" x14ac:dyDescent="0.2">
      <c r="C21" s="37" t="s">
        <v>132</v>
      </c>
      <c r="D21" s="86">
        <v>4</v>
      </c>
      <c r="E21" s="86">
        <v>4</v>
      </c>
      <c r="F21" s="86">
        <v>4</v>
      </c>
      <c r="G21" s="86">
        <v>3.144466666</v>
      </c>
      <c r="H21" s="86">
        <v>4</v>
      </c>
      <c r="I21" s="86">
        <v>4</v>
      </c>
      <c r="J21" s="86">
        <v>4</v>
      </c>
      <c r="K21" s="86">
        <v>4</v>
      </c>
      <c r="L21" s="86">
        <v>4</v>
      </c>
      <c r="M21" s="86">
        <v>4</v>
      </c>
      <c r="N21" s="86">
        <v>2.8548451969999999</v>
      </c>
      <c r="O21" s="86">
        <v>4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98">
        <v>4</v>
      </c>
      <c r="E24" s="98">
        <v>4</v>
      </c>
      <c r="F24" s="98">
        <v>2.7552347250000002</v>
      </c>
      <c r="G24" s="98">
        <v>2.7885856840000001</v>
      </c>
      <c r="H24" s="98">
        <v>3.467193371</v>
      </c>
      <c r="I24" s="98">
        <v>3.2283519100000002</v>
      </c>
      <c r="J24" s="98">
        <v>4</v>
      </c>
      <c r="K24" s="98">
        <v>4</v>
      </c>
      <c r="L24" s="98">
        <v>3.145605325</v>
      </c>
      <c r="M24" s="98">
        <v>4</v>
      </c>
      <c r="N24" s="98">
        <v>2.2926476139999998</v>
      </c>
      <c r="O24" s="98">
        <v>2.9631187639999998</v>
      </c>
    </row>
    <row r="25" spans="2:15" x14ac:dyDescent="0.2">
      <c r="C25" s="36" t="s">
        <v>127</v>
      </c>
      <c r="D25" s="98">
        <v>2.2096391739999999</v>
      </c>
      <c r="E25" s="98">
        <v>2.130761358</v>
      </c>
      <c r="F25" s="98">
        <v>2.6128792129999998</v>
      </c>
      <c r="G25" s="98">
        <v>3.0532780179999999</v>
      </c>
      <c r="H25" s="98">
        <v>3.1895991669999999</v>
      </c>
      <c r="I25" s="98">
        <v>3.2161853329999999</v>
      </c>
      <c r="J25" s="98">
        <v>3.2373553949999998</v>
      </c>
      <c r="K25" s="98">
        <v>2.152089868</v>
      </c>
      <c r="L25" s="98">
        <v>2.5557028879999999</v>
      </c>
      <c r="M25" s="98">
        <v>2.1555457709999999</v>
      </c>
      <c r="N25" s="98">
        <v>4</v>
      </c>
      <c r="O25" s="98">
        <v>4</v>
      </c>
    </row>
    <row r="26" spans="2:15" x14ac:dyDescent="0.2">
      <c r="C26" s="36" t="s">
        <v>128</v>
      </c>
      <c r="D26" s="98">
        <v>4</v>
      </c>
      <c r="E26" s="98">
        <v>4</v>
      </c>
      <c r="F26" s="98">
        <v>2.7996430010000002</v>
      </c>
      <c r="G26" s="98">
        <v>2.799471917</v>
      </c>
      <c r="H26" s="98">
        <v>2.9585740500000002</v>
      </c>
      <c r="I26" s="98">
        <v>3.5645209910000002</v>
      </c>
      <c r="J26" s="98">
        <v>2.96246104</v>
      </c>
      <c r="K26" s="98">
        <v>4</v>
      </c>
      <c r="L26" s="98">
        <v>4</v>
      </c>
      <c r="M26" s="98">
        <v>3.2689630709999999</v>
      </c>
      <c r="N26" s="98">
        <v>4</v>
      </c>
      <c r="O26" s="98">
        <v>2.4519797919999999</v>
      </c>
    </row>
    <row r="27" spans="2:15" x14ac:dyDescent="0.2">
      <c r="C27" s="36" t="s">
        <v>129</v>
      </c>
      <c r="D27" s="98">
        <v>4</v>
      </c>
      <c r="E27" s="98">
        <v>4</v>
      </c>
      <c r="F27" s="98">
        <v>4</v>
      </c>
      <c r="G27" s="98">
        <v>3.350375799</v>
      </c>
      <c r="H27" s="98">
        <v>3.1501048960000002</v>
      </c>
      <c r="I27" s="98">
        <v>2.8385865899999998</v>
      </c>
      <c r="J27" s="98">
        <v>4</v>
      </c>
      <c r="K27" s="98">
        <v>3.2361728840000001</v>
      </c>
      <c r="L27" s="98">
        <v>3.3060748119999999</v>
      </c>
      <c r="M27" s="98">
        <v>2.779058289</v>
      </c>
      <c r="N27" s="98">
        <v>2.6099633720000002</v>
      </c>
      <c r="O27" s="98">
        <v>4</v>
      </c>
    </row>
    <row r="28" spans="2:15" x14ac:dyDescent="0.2">
      <c r="C28" s="36" t="s">
        <v>130</v>
      </c>
      <c r="D28" s="98">
        <v>2.5533921660000001</v>
      </c>
      <c r="E28" s="98">
        <v>3.530298712</v>
      </c>
      <c r="F28" s="98">
        <v>4</v>
      </c>
      <c r="G28" s="98">
        <v>4</v>
      </c>
      <c r="H28" s="98">
        <v>2.0613456800000001</v>
      </c>
      <c r="I28" s="98">
        <v>4</v>
      </c>
      <c r="J28" s="98">
        <v>3.28431769</v>
      </c>
      <c r="K28" s="98">
        <v>4</v>
      </c>
      <c r="L28" s="98">
        <v>2.8455451869999999</v>
      </c>
      <c r="M28" s="98">
        <v>2.9543354220000002</v>
      </c>
      <c r="N28" s="98">
        <v>2.3135974570875102</v>
      </c>
      <c r="O28" s="98">
        <v>3.1502299730000001</v>
      </c>
    </row>
    <row r="29" spans="2:15" x14ac:dyDescent="0.2">
      <c r="C29" s="36" t="s">
        <v>131</v>
      </c>
      <c r="D29" s="98">
        <v>3.3994657959999999</v>
      </c>
      <c r="E29" s="98">
        <v>4</v>
      </c>
      <c r="F29" s="98">
        <v>4</v>
      </c>
      <c r="G29" s="98">
        <v>2.45428088544026</v>
      </c>
      <c r="H29" s="98">
        <v>2.4214664471154999</v>
      </c>
      <c r="I29" s="98">
        <v>3.0348945220000001</v>
      </c>
      <c r="J29" s="98">
        <v>2.631974364</v>
      </c>
      <c r="K29" s="98">
        <v>4</v>
      </c>
      <c r="L29" s="98">
        <v>4</v>
      </c>
      <c r="M29" s="98">
        <v>4</v>
      </c>
      <c r="N29" s="98">
        <v>2.52165626995897</v>
      </c>
      <c r="O29" s="98">
        <v>3.237657649</v>
      </c>
    </row>
    <row r="30" spans="2:15" x14ac:dyDescent="0.2">
      <c r="C30" s="37" t="s">
        <v>132</v>
      </c>
      <c r="D30" s="98">
        <v>3.1809669220000001</v>
      </c>
      <c r="E30" s="98">
        <v>2.7284420319999998</v>
      </c>
      <c r="F30" s="98">
        <v>4</v>
      </c>
      <c r="G30" s="98">
        <v>4</v>
      </c>
      <c r="H30" s="98">
        <v>3.4422890800000001</v>
      </c>
      <c r="I30" s="98">
        <v>4</v>
      </c>
      <c r="J30" s="98">
        <v>4</v>
      </c>
      <c r="K30" s="98">
        <v>4</v>
      </c>
      <c r="L30" s="98">
        <v>4</v>
      </c>
      <c r="M30" s="98">
        <v>4</v>
      </c>
      <c r="N30" s="98">
        <v>4</v>
      </c>
      <c r="O30" s="98">
        <v>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98">
        <v>3.3760294979999999</v>
      </c>
      <c r="E33" s="98">
        <v>2.2608000000000001</v>
      </c>
      <c r="F33" s="98">
        <v>2.22545507733768</v>
      </c>
      <c r="G33" s="98">
        <v>2.0498477439473599</v>
      </c>
      <c r="H33" s="98">
        <v>2.1301000000000001</v>
      </c>
      <c r="I33" s="98">
        <v>2.1724635249767399</v>
      </c>
      <c r="J33" s="98">
        <v>1.9164000000000001</v>
      </c>
      <c r="K33" s="98">
        <v>1.97897283003221</v>
      </c>
      <c r="L33" s="98">
        <v>4</v>
      </c>
      <c r="M33" s="98">
        <v>2.1501999999999999</v>
      </c>
      <c r="N33" s="98">
        <v>2.03256436954605</v>
      </c>
      <c r="O33" s="98">
        <v>1.9068995217176401</v>
      </c>
    </row>
    <row r="34" spans="3:15" x14ac:dyDescent="0.2">
      <c r="C34" s="36" t="s">
        <v>127</v>
      </c>
      <c r="D34" s="98">
        <v>3.1187354319999998</v>
      </c>
      <c r="E34" s="98">
        <v>4</v>
      </c>
      <c r="F34" s="98">
        <v>1.9876</v>
      </c>
      <c r="G34" s="98">
        <v>2.0781999999999998</v>
      </c>
      <c r="H34" s="98">
        <v>1.9892174014777499</v>
      </c>
      <c r="I34" s="98">
        <v>2.1516150624126098</v>
      </c>
      <c r="J34" s="98">
        <v>2.1764000000000001</v>
      </c>
      <c r="K34" s="98">
        <v>4</v>
      </c>
      <c r="L34" s="98">
        <v>2.2029000000000001</v>
      </c>
      <c r="M34" s="98">
        <v>4</v>
      </c>
      <c r="N34" s="98">
        <v>4</v>
      </c>
      <c r="O34" s="98">
        <v>1.6518040372548199</v>
      </c>
    </row>
    <row r="35" spans="3:15" x14ac:dyDescent="0.2">
      <c r="C35" s="36" t="s">
        <v>128</v>
      </c>
      <c r="D35" s="98">
        <v>2.283804714</v>
      </c>
      <c r="E35" s="98">
        <v>4</v>
      </c>
      <c r="F35" s="98">
        <v>2.1749999999999998</v>
      </c>
      <c r="G35" s="98">
        <v>4</v>
      </c>
      <c r="H35" s="98">
        <v>4</v>
      </c>
      <c r="I35" s="98">
        <v>2.7901921329399002</v>
      </c>
      <c r="J35" s="98">
        <v>2.0097999999999998</v>
      </c>
      <c r="K35" s="98">
        <v>4</v>
      </c>
      <c r="L35" s="98">
        <v>4</v>
      </c>
      <c r="M35" s="98">
        <v>1.9458351482228899</v>
      </c>
      <c r="N35" s="98">
        <v>2.1684558115960701</v>
      </c>
      <c r="O35" s="98">
        <v>2.76623566687537</v>
      </c>
    </row>
    <row r="36" spans="3:15" x14ac:dyDescent="0.2">
      <c r="C36" s="36" t="s">
        <v>129</v>
      </c>
      <c r="D36" s="98">
        <v>2.6253456270000002</v>
      </c>
      <c r="E36" s="98">
        <v>2.06457459454111</v>
      </c>
      <c r="F36" s="98">
        <v>2.0649999999999999</v>
      </c>
      <c r="G36" s="98">
        <v>2.3400248549999998</v>
      </c>
      <c r="H36" s="98">
        <v>2.463524015</v>
      </c>
      <c r="I36" s="98">
        <v>3.0489756589999999</v>
      </c>
      <c r="J36" s="98">
        <v>2.4423246989999998</v>
      </c>
      <c r="K36" s="98">
        <v>2.9370608730000001</v>
      </c>
      <c r="L36" s="98">
        <v>3.35441916</v>
      </c>
      <c r="M36" s="98">
        <v>4</v>
      </c>
      <c r="N36" s="98">
        <v>4</v>
      </c>
      <c r="O36" s="98">
        <v>3.3048840340000001</v>
      </c>
    </row>
    <row r="37" spans="3:15" x14ac:dyDescent="0.2">
      <c r="C37" s="36" t="s">
        <v>130</v>
      </c>
      <c r="D37" s="98">
        <v>4</v>
      </c>
      <c r="E37" s="98">
        <v>1.8100863115125301</v>
      </c>
      <c r="F37" s="98">
        <v>2.469392139</v>
      </c>
      <c r="G37" s="98">
        <v>2.124323789</v>
      </c>
      <c r="H37" s="98">
        <v>2.754499493</v>
      </c>
      <c r="I37" s="98">
        <v>4</v>
      </c>
      <c r="J37" s="98">
        <v>2.0917824025330201</v>
      </c>
      <c r="K37" s="98">
        <v>2.6746915900000001</v>
      </c>
      <c r="L37" s="98">
        <v>2.8630117099999999</v>
      </c>
      <c r="M37" s="98">
        <v>2.755913354</v>
      </c>
      <c r="N37" s="98">
        <v>2.04669807376807</v>
      </c>
      <c r="O37" s="98">
        <v>3.0779060110000001</v>
      </c>
    </row>
    <row r="38" spans="3:15" x14ac:dyDescent="0.2">
      <c r="C38" s="36" t="s">
        <v>131</v>
      </c>
      <c r="D38" s="98">
        <v>2.5724665789999999</v>
      </c>
      <c r="E38" s="98">
        <v>2.2168704990000001</v>
      </c>
      <c r="F38" s="98">
        <v>2.242033599</v>
      </c>
      <c r="G38" s="98">
        <v>2.1683857533862199</v>
      </c>
      <c r="H38" s="98">
        <v>3.3899873409999999</v>
      </c>
      <c r="I38" s="98">
        <v>4</v>
      </c>
      <c r="J38" s="98">
        <v>2.19385419540155</v>
      </c>
      <c r="K38" s="98">
        <v>2.9696607089999998</v>
      </c>
      <c r="L38" s="98">
        <v>4</v>
      </c>
      <c r="M38" s="98">
        <v>2.2586014799999998</v>
      </c>
      <c r="N38" s="98">
        <v>2.1951896359999998</v>
      </c>
      <c r="O38" s="98">
        <v>4</v>
      </c>
    </row>
    <row r="39" spans="3:15" x14ac:dyDescent="0.2">
      <c r="C39" s="37" t="s">
        <v>132</v>
      </c>
      <c r="D39" s="98">
        <v>2.8632686550000002</v>
      </c>
      <c r="E39" s="98">
        <v>3.4895359269999999</v>
      </c>
      <c r="F39" s="98">
        <v>2.4457679344762102</v>
      </c>
      <c r="G39" s="98">
        <v>2.6986510770000001</v>
      </c>
      <c r="H39" s="98">
        <v>4</v>
      </c>
      <c r="I39" s="98">
        <v>3.4761585629999998</v>
      </c>
      <c r="J39" s="98">
        <v>2.338322529</v>
      </c>
      <c r="K39" s="98">
        <v>4</v>
      </c>
      <c r="L39" s="98">
        <v>3.0395580240000002</v>
      </c>
      <c r="M39" s="98">
        <v>2.47126613640043</v>
      </c>
      <c r="N39" s="98">
        <v>3.4854130780000001</v>
      </c>
      <c r="O39" s="98">
        <v>3.29252981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10" customWidth="1"/>
    <col min="2" max="6" width="9.140625" style="110"/>
    <col min="7" max="7" width="2.7109375" style="110" customWidth="1"/>
    <col min="8" max="8" width="11.140625" style="110" customWidth="1"/>
    <col min="9" max="10" width="9.140625" style="110"/>
    <col min="11" max="12" width="4.7109375" style="110" customWidth="1"/>
    <col min="13" max="17" width="9.140625" style="110"/>
    <col min="18" max="18" width="2.7109375" style="110" customWidth="1"/>
    <col min="19" max="19" width="14.7109375" style="110" customWidth="1"/>
    <col min="20" max="20" width="16.7109375" style="110" customWidth="1"/>
    <col min="21" max="21" width="4.7109375" style="110" customWidth="1"/>
    <col min="22" max="16384" width="9.140625" style="110"/>
  </cols>
  <sheetData>
    <row r="1" spans="1:20" x14ac:dyDescent="0.2">
      <c r="A1" s="189"/>
    </row>
    <row r="2" spans="1:20" ht="15.75" x14ac:dyDescent="0.25">
      <c r="C2" s="190" t="s">
        <v>165</v>
      </c>
      <c r="D2" s="190"/>
      <c r="E2" s="190"/>
      <c r="F2" s="190"/>
      <c r="G2" s="190"/>
      <c r="H2" s="190"/>
    </row>
    <row r="3" spans="1:20" ht="18.75" x14ac:dyDescent="0.25">
      <c r="C3" s="191" t="s">
        <v>415</v>
      </c>
      <c r="D3" s="191"/>
      <c r="E3" s="191"/>
      <c r="F3" s="191"/>
      <c r="G3" s="191"/>
    </row>
    <row r="5" spans="1:20" ht="15.75" x14ac:dyDescent="0.25">
      <c r="A5" s="192" t="s">
        <v>354</v>
      </c>
      <c r="B5" s="193"/>
      <c r="G5" s="194"/>
      <c r="L5" s="192" t="s">
        <v>355</v>
      </c>
      <c r="M5" s="193"/>
      <c r="R5" s="194"/>
    </row>
    <row r="6" spans="1:20" x14ac:dyDescent="0.2">
      <c r="A6" s="195" t="s">
        <v>356</v>
      </c>
      <c r="B6" s="193"/>
      <c r="G6" s="196"/>
      <c r="H6" s="120"/>
      <c r="L6" s="195" t="s">
        <v>357</v>
      </c>
      <c r="M6" s="193"/>
      <c r="S6" s="135"/>
    </row>
    <row r="7" spans="1:20" x14ac:dyDescent="0.2">
      <c r="A7" s="193"/>
      <c r="B7" s="193" t="s">
        <v>358</v>
      </c>
      <c r="G7" s="196"/>
      <c r="H7" s="197">
        <f>SUM(ORA!$D$116:$O$116)</f>
        <v>83991</v>
      </c>
      <c r="L7" s="193"/>
      <c r="M7" s="193" t="s">
        <v>358</v>
      </c>
      <c r="S7" s="198">
        <f>SUM(ORA!$D$127:$O$127)</f>
        <v>286329671.56427228</v>
      </c>
    </row>
    <row r="8" spans="1:20" x14ac:dyDescent="0.2">
      <c r="A8" s="193"/>
      <c r="B8" s="193" t="s">
        <v>359</v>
      </c>
      <c r="G8" s="196"/>
      <c r="H8" s="199">
        <f>SUM(POJ!$D$116:$O$116)</f>
        <v>15606.166270578928</v>
      </c>
      <c r="L8" s="193"/>
      <c r="M8" s="193" t="s">
        <v>359</v>
      </c>
      <c r="S8" s="200">
        <f>SUM(POJ!$D$127:$O$127)</f>
        <v>101040947.35742354</v>
      </c>
    </row>
    <row r="9" spans="1:20" x14ac:dyDescent="0.2">
      <c r="A9" s="193"/>
      <c r="B9" s="193" t="s">
        <v>360</v>
      </c>
      <c r="G9" s="196"/>
      <c r="H9" s="199">
        <f>SUM(ROJ!$D$116:$O$116)</f>
        <v>24888.813635477734</v>
      </c>
      <c r="L9" s="193"/>
      <c r="M9" s="193" t="s">
        <v>360</v>
      </c>
      <c r="S9" s="200">
        <f>SUM(ROJ!$D$127:$O$127)</f>
        <v>146869715.91299456</v>
      </c>
    </row>
    <row r="10" spans="1:20" x14ac:dyDescent="0.2">
      <c r="A10" s="193"/>
      <c r="B10" s="193" t="s">
        <v>361</v>
      </c>
      <c r="G10" s="196"/>
      <c r="H10" s="201">
        <f>SUM(FCOJ!$D$116:$O$116)</f>
        <v>33907.050468108246</v>
      </c>
      <c r="L10" s="193"/>
      <c r="M10" s="193" t="s">
        <v>361</v>
      </c>
      <c r="S10" s="202">
        <f>SUM(FCOJ!$D$127:$O$127)</f>
        <v>163363708.08498093</v>
      </c>
    </row>
    <row r="11" spans="1:20" x14ac:dyDescent="0.2">
      <c r="A11" s="193"/>
      <c r="B11" s="193"/>
      <c r="G11" s="196"/>
      <c r="M11" s="193" t="s">
        <v>362</v>
      </c>
      <c r="T11" s="203">
        <f>SUM($S$7:$S$10)</f>
        <v>697604042.9196713</v>
      </c>
    </row>
    <row r="12" spans="1:20" x14ac:dyDescent="0.2">
      <c r="A12" s="195" t="s">
        <v>363</v>
      </c>
      <c r="B12" s="193"/>
      <c r="G12" s="196"/>
    </row>
    <row r="13" spans="1:20" x14ac:dyDescent="0.2">
      <c r="A13" s="193"/>
      <c r="B13" s="193" t="s">
        <v>364</v>
      </c>
      <c r="G13" s="196"/>
      <c r="H13" s="204">
        <f>SUM(grove!$C$48:$AX$53)</f>
        <v>515503.15767024382</v>
      </c>
      <c r="L13" s="195" t="s">
        <v>365</v>
      </c>
      <c r="M13" s="193"/>
    </row>
    <row r="14" spans="1:20" x14ac:dyDescent="0.2">
      <c r="A14" s="193"/>
      <c r="B14" s="193" t="s">
        <v>366</v>
      </c>
      <c r="G14" s="196"/>
      <c r="H14" s="197">
        <f>raw_materials!$P$30</f>
        <v>0</v>
      </c>
      <c r="L14" s="193"/>
      <c r="M14" s="193" t="s">
        <v>367</v>
      </c>
      <c r="S14" s="198">
        <f>SUM(grove!$C$58:$AX$63)</f>
        <v>693284651.28341043</v>
      </c>
    </row>
    <row r="15" spans="1:20" x14ac:dyDescent="0.2">
      <c r="A15" s="193"/>
      <c r="B15" s="193" t="s">
        <v>368</v>
      </c>
      <c r="G15" s="196"/>
      <c r="H15" s="201">
        <f>raw_materials!$P$36</f>
        <v>14134.438200000001</v>
      </c>
      <c r="L15" s="193"/>
      <c r="M15" s="193" t="s">
        <v>369</v>
      </c>
      <c r="S15" s="200">
        <f>(raw_materials!D30*raw_materials!E30+raw_materials!F30*raw_materials!G30+raw_materials!H30*raw_materials!I30+raw_materials!J30*raw_materials!K30+raw_materials!L30*raw_materials!M30)*2000</f>
        <v>0</v>
      </c>
    </row>
    <row r="16" spans="1:20" x14ac:dyDescent="0.2">
      <c r="A16" s="193"/>
      <c r="B16" s="193" t="s">
        <v>370</v>
      </c>
      <c r="G16" s="196"/>
      <c r="H16" s="205">
        <v>16211.134272719319</v>
      </c>
      <c r="L16" s="193"/>
      <c r="M16" s="193" t="s">
        <v>371</v>
      </c>
      <c r="S16" s="200">
        <f>(raw_materials!D36*raw_materials!E36+raw_materials!F36*raw_materials!G36+raw_materials!H36*raw_materials!I36+raw_materials!J36*raw_materials!K36+raw_materials!L36*raw_materials!M36)*2000</f>
        <v>31900702.824837174</v>
      </c>
    </row>
    <row r="17" spans="1:21" x14ac:dyDescent="0.2">
      <c r="A17" s="193"/>
      <c r="B17" s="193" t="s">
        <v>372</v>
      </c>
      <c r="G17" s="196"/>
      <c r="H17" s="206">
        <v>54348.661575836282</v>
      </c>
      <c r="L17" s="193"/>
      <c r="M17" s="193" t="s">
        <v>373</v>
      </c>
      <c r="S17" s="200">
        <v>129495990.51478927</v>
      </c>
    </row>
    <row r="18" spans="1:21" x14ac:dyDescent="0.2">
      <c r="A18" s="193"/>
      <c r="B18" s="193" t="s">
        <v>374</v>
      </c>
      <c r="G18" s="196"/>
      <c r="H18" s="207">
        <v>25504.029753452494</v>
      </c>
      <c r="L18" s="193"/>
      <c r="M18" s="193" t="s">
        <v>375</v>
      </c>
      <c r="S18" s="202">
        <v>4134531.5333379018</v>
      </c>
    </row>
    <row r="19" spans="1:21" x14ac:dyDescent="0.2">
      <c r="A19" s="193"/>
      <c r="B19" s="193" t="s">
        <v>376</v>
      </c>
      <c r="G19" s="196"/>
      <c r="H19" s="206">
        <v>310781.34778625204</v>
      </c>
      <c r="L19" s="193"/>
      <c r="M19" s="193" t="s">
        <v>377</v>
      </c>
      <c r="S19" s="208" t="s">
        <v>378</v>
      </c>
      <c r="T19" s="209">
        <f>SUM($S$14:$S$18)</f>
        <v>858815876.15637481</v>
      </c>
      <c r="U19" s="110" t="s">
        <v>379</v>
      </c>
    </row>
    <row r="20" spans="1:21" x14ac:dyDescent="0.2">
      <c r="A20" s="193"/>
      <c r="B20" s="193" t="s">
        <v>380</v>
      </c>
      <c r="G20" s="196"/>
      <c r="H20" s="201">
        <v>36848.664084484175</v>
      </c>
      <c r="L20" s="193"/>
      <c r="M20" s="193"/>
    </row>
    <row r="21" spans="1:21" x14ac:dyDescent="0.2">
      <c r="A21" s="193"/>
      <c r="B21" s="193"/>
      <c r="G21" s="196"/>
      <c r="L21" s="195" t="s">
        <v>381</v>
      </c>
      <c r="M21" s="193"/>
      <c r="S21" s="135"/>
    </row>
    <row r="22" spans="1:21" x14ac:dyDescent="0.2">
      <c r="A22" s="195" t="s">
        <v>382</v>
      </c>
      <c r="B22" s="193"/>
      <c r="G22" s="196"/>
      <c r="L22" s="193"/>
      <c r="M22" s="193" t="s">
        <v>383</v>
      </c>
      <c r="S22" s="200">
        <v>32422268.545438647</v>
      </c>
    </row>
    <row r="23" spans="1:21" x14ac:dyDescent="0.2">
      <c r="A23" s="193"/>
      <c r="B23" s="193" t="s">
        <v>384</v>
      </c>
      <c r="G23" s="196"/>
      <c r="H23" s="197">
        <f>SUM(raw_materials!$O$31:$O$35)</f>
        <v>46392.8749462126</v>
      </c>
      <c r="L23" s="193"/>
      <c r="M23" s="193" t="s">
        <v>385</v>
      </c>
      <c r="S23" s="200">
        <v>54348661.575836331</v>
      </c>
    </row>
    <row r="24" spans="1:21" x14ac:dyDescent="0.2">
      <c r="A24" s="193"/>
      <c r="B24" s="193" t="s">
        <v>386</v>
      </c>
      <c r="G24" s="196"/>
      <c r="H24" s="201">
        <f>SUM(raw_materials!$O$37:$O$41)</f>
        <v>219964.31889</v>
      </c>
      <c r="L24" s="193"/>
      <c r="M24" s="193" t="s">
        <v>387</v>
      </c>
      <c r="S24" s="202">
        <v>16577619.339744119</v>
      </c>
    </row>
    <row r="25" spans="1:21" x14ac:dyDescent="0.2">
      <c r="A25" s="193"/>
      <c r="B25" s="193"/>
      <c r="G25" s="196"/>
      <c r="L25" s="193"/>
      <c r="M25" s="193" t="s">
        <v>388</v>
      </c>
      <c r="S25" s="208" t="s">
        <v>378</v>
      </c>
      <c r="T25" s="209">
        <f>SUM($S$22:$S$24)</f>
        <v>103348549.4610191</v>
      </c>
      <c r="U25" s="110" t="s">
        <v>379</v>
      </c>
    </row>
    <row r="26" spans="1:21" x14ac:dyDescent="0.2">
      <c r="A26" s="195" t="s">
        <v>389</v>
      </c>
      <c r="B26" s="193"/>
      <c r="G26" s="196"/>
      <c r="L26" s="193"/>
      <c r="M26" s="193"/>
    </row>
    <row r="27" spans="1:21" x14ac:dyDescent="0.2">
      <c r="A27" s="193"/>
      <c r="B27" s="193" t="s">
        <v>390</v>
      </c>
      <c r="G27" s="196"/>
      <c r="H27" s="197">
        <f>SUMIF(facilities!$C$6:$C$15,"&gt;0",facilities!$C$6:$C$15)</f>
        <v>0</v>
      </c>
      <c r="L27" s="195" t="s">
        <v>391</v>
      </c>
      <c r="M27" s="193"/>
    </row>
    <row r="28" spans="1:21" x14ac:dyDescent="0.2">
      <c r="A28" s="193"/>
      <c r="B28" s="193" t="s">
        <v>392</v>
      </c>
      <c r="G28" s="196"/>
      <c r="H28" s="199">
        <f>SUMIF(facilities!$C$36:$C$106,"&gt;0",facilities!$C$36:$C$106)</f>
        <v>800</v>
      </c>
      <c r="L28" s="193"/>
      <c r="M28" s="193" t="s">
        <v>393</v>
      </c>
      <c r="S28" s="198">
        <v>8614152</v>
      </c>
    </row>
    <row r="29" spans="1:21" x14ac:dyDescent="0.2">
      <c r="A29" s="193"/>
      <c r="B29" s="193" t="s">
        <v>394</v>
      </c>
      <c r="G29" s="196"/>
      <c r="H29" s="199">
        <f>SUMIF(facilities!$C$6:$C$15,"&lt;0",facilities!$C$6:$C$15)</f>
        <v>0</v>
      </c>
      <c r="L29" s="193"/>
      <c r="M29" s="193" t="s">
        <v>395</v>
      </c>
      <c r="S29" s="200">
        <v>27629012.060220711</v>
      </c>
    </row>
    <row r="30" spans="1:21" x14ac:dyDescent="0.2">
      <c r="A30" s="193"/>
      <c r="B30" s="193" t="s">
        <v>396</v>
      </c>
      <c r="G30" s="196"/>
      <c r="H30" s="201">
        <f>SUMIF(facilities!$C$36:$C$106,"&lt;0",facilities!$C$36:$C$106)</f>
        <v>0</v>
      </c>
      <c r="L30" s="193"/>
      <c r="M30" s="193" t="s">
        <v>397</v>
      </c>
      <c r="S30" s="200">
        <v>53115032.291187257</v>
      </c>
    </row>
    <row r="31" spans="1:21" x14ac:dyDescent="0.2">
      <c r="L31" s="193"/>
      <c r="M31" s="193" t="s">
        <v>398</v>
      </c>
      <c r="S31" s="202">
        <f>SUM(ORA!D138:O138)+SUM(POJ!D138:O138)+SUM(ROJ!D138:O138)+SUM(FCOJ!D138:O138)</f>
        <v>93098912.079600289</v>
      </c>
    </row>
    <row r="32" spans="1:21" x14ac:dyDescent="0.2">
      <c r="A32" s="195" t="s">
        <v>399</v>
      </c>
      <c r="B32" s="193"/>
      <c r="G32" s="196"/>
      <c r="L32" s="193"/>
      <c r="M32" s="193" t="s">
        <v>400</v>
      </c>
      <c r="S32" s="123" t="s">
        <v>378</v>
      </c>
      <c r="T32" s="209">
        <f>SUM($S$28:$S$31)</f>
        <v>182457108.43100828</v>
      </c>
      <c r="U32" s="110" t="s">
        <v>379</v>
      </c>
    </row>
    <row r="33" spans="1:21" x14ac:dyDescent="0.2">
      <c r="A33" s="193"/>
      <c r="B33" s="193" t="s">
        <v>401</v>
      </c>
      <c r="G33" s="196"/>
      <c r="H33" s="197">
        <f>COUNTIF(facilities!$H$6:$H$15,"=new")</f>
        <v>0</v>
      </c>
      <c r="M33" s="193"/>
    </row>
    <row r="34" spans="1:21" x14ac:dyDescent="0.2">
      <c r="A34" s="193"/>
      <c r="B34" s="193" t="s">
        <v>402</v>
      </c>
      <c r="G34" s="196"/>
      <c r="H34" s="199">
        <f>COUNTIF(facilities!$H$36:$H$106,"=new")</f>
        <v>0</v>
      </c>
      <c r="L34" s="195" t="s">
        <v>403</v>
      </c>
      <c r="M34" s="193"/>
    </row>
    <row r="35" spans="1:21" x14ac:dyDescent="0.2">
      <c r="B35" s="193" t="s">
        <v>18</v>
      </c>
      <c r="H35" s="201">
        <f>SUMIF(facilities!$C$21:$C$30,"&gt;0",facilities!$C$21:$C$30)</f>
        <v>0</v>
      </c>
      <c r="L35" s="193"/>
      <c r="M35" s="193" t="s">
        <v>404</v>
      </c>
      <c r="S35" s="198">
        <v>12370000</v>
      </c>
    </row>
    <row r="36" spans="1:21" x14ac:dyDescent="0.2">
      <c r="L36" s="193"/>
      <c r="M36" s="193" t="s">
        <v>405</v>
      </c>
      <c r="S36" s="200">
        <f>H33*12000000-H38*70/100*12000000</f>
        <v>0</v>
      </c>
    </row>
    <row r="37" spans="1:21" x14ac:dyDescent="0.2">
      <c r="A37" s="195" t="s">
        <v>406</v>
      </c>
      <c r="L37" s="193"/>
      <c r="M37" s="193" t="s">
        <v>407</v>
      </c>
      <c r="S37" s="200">
        <f>H27*8000+H29*70/100*8000</f>
        <v>0</v>
      </c>
    </row>
    <row r="38" spans="1:21" x14ac:dyDescent="0.2">
      <c r="B38" s="193" t="s">
        <v>401</v>
      </c>
      <c r="H38" s="197">
        <f>COUNTIF(facilities!$H$6:$H$15,"=sold")</f>
        <v>0</v>
      </c>
      <c r="L38" s="193"/>
      <c r="M38" s="193" t="s">
        <v>408</v>
      </c>
      <c r="S38" s="200">
        <v>39624900</v>
      </c>
    </row>
    <row r="39" spans="1:21" x14ac:dyDescent="0.2">
      <c r="B39" s="193" t="s">
        <v>402</v>
      </c>
      <c r="H39" s="199">
        <f>COUNTIF(facilities!$H$36:$H$106,"=sold")</f>
        <v>0</v>
      </c>
      <c r="L39" s="193"/>
      <c r="M39" s="193" t="s">
        <v>409</v>
      </c>
      <c r="S39" s="200">
        <f>H34*9000000-H39*80/100*9000000</f>
        <v>0</v>
      </c>
    </row>
    <row r="40" spans="1:21" x14ac:dyDescent="0.2">
      <c r="B40" s="193" t="s">
        <v>18</v>
      </c>
      <c r="H40" s="201">
        <f>-SUMIF(facilities!$C$21:$C$30,"&lt;0",facilities!$C$21:$C$30)</f>
        <v>0</v>
      </c>
      <c r="L40" s="193"/>
      <c r="M40" s="193" t="s">
        <v>410</v>
      </c>
      <c r="S40" s="200">
        <f>H28*6000+H30*80/100*6000</f>
        <v>4800000</v>
      </c>
    </row>
    <row r="41" spans="1:21" x14ac:dyDescent="0.2">
      <c r="L41" s="193"/>
      <c r="M41" s="193" t="s">
        <v>411</v>
      </c>
      <c r="S41" s="200">
        <v>5200</v>
      </c>
    </row>
    <row r="42" spans="1:21" x14ac:dyDescent="0.2">
      <c r="L42" s="193"/>
      <c r="M42" s="193" t="s">
        <v>412</v>
      </c>
      <c r="S42" s="202">
        <f>H35*100000-H40*60/100*100000</f>
        <v>0</v>
      </c>
    </row>
    <row r="43" spans="1:21" x14ac:dyDescent="0.2">
      <c r="L43" s="193"/>
      <c r="M43" s="193" t="s">
        <v>413</v>
      </c>
      <c r="S43" s="187" t="s">
        <v>378</v>
      </c>
      <c r="T43" s="209">
        <f>SUM($S$35:$S$42)</f>
        <v>56800100</v>
      </c>
      <c r="U43" s="110" t="s">
        <v>379</v>
      </c>
    </row>
    <row r="44" spans="1:21" x14ac:dyDescent="0.2">
      <c r="L44" s="193"/>
      <c r="S44" s="120"/>
    </row>
    <row r="45" spans="1:21" ht="14.25" thickBot="1" x14ac:dyDescent="0.3">
      <c r="L45" s="210" t="s">
        <v>414</v>
      </c>
      <c r="M45" s="193"/>
      <c r="T45" s="211">
        <f>$T$11-$T$19-$T$25-$T$32-$T$43</f>
        <v>-503817591.12873089</v>
      </c>
    </row>
    <row r="46" spans="1:21" ht="13.5" thickTop="1" x14ac:dyDescent="0.2">
      <c r="M46" s="193"/>
    </row>
    <row r="316" spans="1:1" x14ac:dyDescent="0.2">
      <c r="A316" s="189"/>
    </row>
    <row r="317" spans="1:1" x14ac:dyDescent="0.2">
      <c r="A317" s="189"/>
    </row>
    <row r="318" spans="1:1" x14ac:dyDescent="0.2">
      <c r="A318" s="189"/>
    </row>
    <row r="319" spans="1:1" x14ac:dyDescent="0.2">
      <c r="A319" s="189"/>
    </row>
    <row r="320" spans="1:1" x14ac:dyDescent="0.2">
      <c r="A320" s="189"/>
    </row>
    <row r="321" spans="1:1" x14ac:dyDescent="0.2">
      <c r="A321" s="189"/>
    </row>
    <row r="322" spans="1:1" x14ac:dyDescent="0.2">
      <c r="A322" s="189"/>
    </row>
    <row r="323" spans="1:1" x14ac:dyDescent="0.2">
      <c r="A323" s="189"/>
    </row>
    <row r="325" spans="1:1" x14ac:dyDescent="0.2">
      <c r="A325" s="189"/>
    </row>
    <row r="326" spans="1:1" x14ac:dyDescent="0.2">
      <c r="A326" s="189"/>
    </row>
    <row r="327" spans="1:1" x14ac:dyDescent="0.2">
      <c r="A327" s="189"/>
    </row>
    <row r="328" spans="1:1" x14ac:dyDescent="0.2">
      <c r="A328" s="189"/>
    </row>
    <row r="329" spans="1:1" x14ac:dyDescent="0.2">
      <c r="A329" s="189"/>
    </row>
    <row r="330" spans="1:1" x14ac:dyDescent="0.2">
      <c r="A330" s="189"/>
    </row>
    <row r="331" spans="1:1" x14ac:dyDescent="0.2">
      <c r="A331" s="189"/>
    </row>
    <row r="332" spans="1:1" x14ac:dyDescent="0.2">
      <c r="A332" s="189"/>
    </row>
    <row r="334" spans="1:1" x14ac:dyDescent="0.2">
      <c r="A334" s="189"/>
    </row>
    <row r="335" spans="1:1" x14ac:dyDescent="0.2">
      <c r="A335" s="189"/>
    </row>
    <row r="336" spans="1:1" x14ac:dyDescent="0.2">
      <c r="A336" s="189"/>
    </row>
    <row r="337" spans="1:1" x14ac:dyDescent="0.2">
      <c r="A337" s="189"/>
    </row>
    <row r="338" spans="1:1" x14ac:dyDescent="0.2">
      <c r="A338" s="189"/>
    </row>
    <row r="339" spans="1:1" x14ac:dyDescent="0.2">
      <c r="A339" s="189"/>
    </row>
    <row r="340" spans="1:1" x14ac:dyDescent="0.2">
      <c r="A340" s="189"/>
    </row>
    <row r="341" spans="1:1" x14ac:dyDescent="0.2">
      <c r="A341" s="189"/>
    </row>
    <row r="343" spans="1:1" x14ac:dyDescent="0.2">
      <c r="A343" s="189"/>
    </row>
    <row r="344" spans="1:1" x14ac:dyDescent="0.2">
      <c r="A344" s="189"/>
    </row>
    <row r="345" spans="1:1" x14ac:dyDescent="0.2">
      <c r="A345" s="189"/>
    </row>
    <row r="346" spans="1:1" x14ac:dyDescent="0.2">
      <c r="A346" s="189"/>
    </row>
    <row r="347" spans="1:1" x14ac:dyDescent="0.2">
      <c r="A347" s="189"/>
    </row>
    <row r="348" spans="1:1" x14ac:dyDescent="0.2">
      <c r="A348" s="189"/>
    </row>
    <row r="349" spans="1:1" x14ac:dyDescent="0.2">
      <c r="A349" s="189"/>
    </row>
    <row r="350" spans="1:1" x14ac:dyDescent="0.2">
      <c r="A350" s="189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27"/>
  <sheetViews>
    <sheetView workbookViewId="0">
      <selection activeCell="C38" sqref="C38:AX43"/>
    </sheetView>
  </sheetViews>
  <sheetFormatPr defaultRowHeight="12.75" x14ac:dyDescent="0.2"/>
  <cols>
    <col min="1" max="1" width="4.7109375" style="110" customWidth="1"/>
    <col min="2" max="2" width="15.7109375" style="110" customWidth="1"/>
    <col min="3" max="16384" width="9.140625" style="110"/>
  </cols>
  <sheetData>
    <row r="2" spans="2:14" x14ac:dyDescent="0.2">
      <c r="B2" s="112" t="s">
        <v>315</v>
      </c>
    </row>
    <row r="3" spans="2:14" x14ac:dyDescent="0.2">
      <c r="B3" s="113" t="s">
        <v>316</v>
      </c>
    </row>
    <row r="4" spans="2:14" x14ac:dyDescent="0.2">
      <c r="B4" s="180" t="s">
        <v>91</v>
      </c>
      <c r="C4" s="180" t="s">
        <v>92</v>
      </c>
      <c r="D4" s="180" t="s">
        <v>93</v>
      </c>
      <c r="E4" s="180" t="s">
        <v>94</v>
      </c>
      <c r="F4" s="180" t="s">
        <v>95</v>
      </c>
      <c r="G4" s="180" t="s">
        <v>96</v>
      </c>
      <c r="H4" s="180" t="s">
        <v>97</v>
      </c>
      <c r="I4" s="180" t="s">
        <v>98</v>
      </c>
      <c r="J4" s="180" t="s">
        <v>99</v>
      </c>
      <c r="K4" s="180" t="s">
        <v>100</v>
      </c>
      <c r="L4" s="180" t="s">
        <v>101</v>
      </c>
      <c r="M4" s="180" t="s">
        <v>102</v>
      </c>
      <c r="N4" s="180" t="s">
        <v>103</v>
      </c>
    </row>
    <row r="5" spans="2:14" x14ac:dyDescent="0.2">
      <c r="B5" s="181" t="s">
        <v>104</v>
      </c>
      <c r="C5" s="110">
        <v>0.69455161832293888</v>
      </c>
      <c r="D5" s="110">
        <v>0.56883797840170003</v>
      </c>
      <c r="E5" s="110">
        <v>0.53809995385219744</v>
      </c>
      <c r="F5" s="110">
        <v>0.6482905230506385</v>
      </c>
      <c r="G5" s="110">
        <v>0.70903183916045776</v>
      </c>
      <c r="H5" s="110">
        <v>0.9250502780972184</v>
      </c>
      <c r="I5" s="110">
        <v>0.765681031786553</v>
      </c>
      <c r="J5" s="110">
        <v>0.58574590963672357</v>
      </c>
      <c r="K5" s="110">
        <v>0.53469291487133641</v>
      </c>
      <c r="L5" s="110">
        <v>0.55410295701593959</v>
      </c>
      <c r="M5" s="110">
        <v>0.67270164995306359</v>
      </c>
      <c r="N5" s="110">
        <v>0.70725209145723378</v>
      </c>
    </row>
    <row r="6" spans="2:14" x14ac:dyDescent="0.2">
      <c r="B6" s="181" t="s">
        <v>105</v>
      </c>
      <c r="C6" s="110">
        <v>0.67127313349274542</v>
      </c>
      <c r="D6" s="110">
        <v>0.70948037241145345</v>
      </c>
      <c r="E6" s="110">
        <v>0.8635034902244404</v>
      </c>
      <c r="F6" s="110">
        <v>0.69970132550763209</v>
      </c>
      <c r="G6" s="110">
        <v>0.73322868107809469</v>
      </c>
      <c r="H6" s="110">
        <v>0.7096246506255125</v>
      </c>
      <c r="I6" s="110">
        <v>0.75731580112284824</v>
      </c>
      <c r="J6" s="110">
        <v>0.67842792152538722</v>
      </c>
      <c r="K6" s="110">
        <v>0.63274757956525951</v>
      </c>
      <c r="L6" s="110">
        <v>0.69763919578291445</v>
      </c>
      <c r="M6" s="110">
        <v>0.63506870060303278</v>
      </c>
      <c r="N6" s="110">
        <v>0.73347085809577894</v>
      </c>
    </row>
    <row r="7" spans="2:14" x14ac:dyDescent="0.2">
      <c r="B7" s="181" t="s">
        <v>106</v>
      </c>
      <c r="C7" s="110">
        <v>0.79824351482930112</v>
      </c>
      <c r="D7" s="110">
        <v>0.75040164989941693</v>
      </c>
      <c r="E7" s="110">
        <v>0.70040922917824588</v>
      </c>
      <c r="F7" s="110">
        <v>0.74292200313052104</v>
      </c>
      <c r="G7" s="110">
        <v>0.68679452880847558</v>
      </c>
      <c r="H7" s="110">
        <v>0.731030163596608</v>
      </c>
      <c r="I7" s="110">
        <v>0.68199666019485516</v>
      </c>
      <c r="J7" s="110">
        <v>0.80468537230829495</v>
      </c>
      <c r="K7" s="110">
        <v>0.73437189093587385</v>
      </c>
      <c r="L7" s="110">
        <v>0.80637092657208975</v>
      </c>
      <c r="M7" s="110">
        <v>0.97784462440353548</v>
      </c>
      <c r="N7" s="110">
        <v>0.79243048627245072</v>
      </c>
    </row>
    <row r="8" spans="2:14" x14ac:dyDescent="0.2">
      <c r="B8" s="181" t="s">
        <v>107</v>
      </c>
      <c r="C8" s="110">
        <v>0.69697194081545055</v>
      </c>
      <c r="D8" s="110">
        <v>0.71981793984079545</v>
      </c>
      <c r="E8" s="110">
        <v>0.76546322048249182</v>
      </c>
      <c r="F8" s="110">
        <v>0.69149345009698426</v>
      </c>
      <c r="G8" s="110">
        <v>0.72859257846534442</v>
      </c>
      <c r="H8" s="110">
        <v>0.78786964414747174</v>
      </c>
      <c r="I8" s="110">
        <v>0.71203252027553832</v>
      </c>
      <c r="J8" s="110">
        <v>0.72216504625690447</v>
      </c>
      <c r="K8" s="110">
        <v>0.72048056662071691</v>
      </c>
      <c r="L8" s="110">
        <v>0.75760805050658553</v>
      </c>
      <c r="M8" s="110">
        <v>0.68044320551457871</v>
      </c>
      <c r="N8" s="110">
        <v>0.77643401355192243</v>
      </c>
    </row>
    <row r="9" spans="2:14" x14ac:dyDescent="0.2">
      <c r="B9" s="181" t="s">
        <v>108</v>
      </c>
      <c r="C9" s="110">
        <v>2.086407814025879</v>
      </c>
      <c r="D9" s="110">
        <v>2.0769172465801238</v>
      </c>
      <c r="E9" s="110">
        <v>2.0150752282142639</v>
      </c>
      <c r="F9" s="110">
        <v>2.0902924454212188</v>
      </c>
      <c r="G9" s="110">
        <v>2.0393173074722291</v>
      </c>
      <c r="H9" s="110">
        <v>2.0369631803035735</v>
      </c>
      <c r="I9" s="110">
        <v>2.1036141848564149</v>
      </c>
      <c r="J9" s="110">
        <v>2.0436453020572665</v>
      </c>
      <c r="K9" s="110">
        <v>2.0473495578765868</v>
      </c>
      <c r="L9" s="110">
        <v>2.0335939681529998</v>
      </c>
      <c r="M9" s="110">
        <v>2.0765392041206359</v>
      </c>
      <c r="N9" s="110">
        <v>2.0614180958271029</v>
      </c>
    </row>
    <row r="10" spans="2:14" x14ac:dyDescent="0.2">
      <c r="B10" s="181" t="s">
        <v>109</v>
      </c>
      <c r="C10" s="110">
        <v>0.6993876218795777</v>
      </c>
      <c r="D10" s="110">
        <v>0.61641044020652769</v>
      </c>
      <c r="E10" s="110">
        <v>0.67629779577255256</v>
      </c>
      <c r="F10" s="110">
        <v>0.68251829743385317</v>
      </c>
      <c r="G10" s="110">
        <v>0.64995908737182617</v>
      </c>
      <c r="H10" s="110">
        <v>0.6580798327922821</v>
      </c>
      <c r="I10" s="110">
        <v>0.69613825082778935</v>
      </c>
      <c r="J10" s="110">
        <v>0.6134510338306427</v>
      </c>
      <c r="K10" s="110">
        <v>0.6107985734939575</v>
      </c>
      <c r="L10" s="110">
        <v>0.63964828848838806</v>
      </c>
      <c r="M10" s="110">
        <v>0.68417214155197148</v>
      </c>
      <c r="N10" s="110">
        <v>0.67613158822059638</v>
      </c>
    </row>
    <row r="11" spans="2:14" x14ac:dyDescent="0.2">
      <c r="B11" s="182"/>
      <c r="C11" s="111"/>
      <c r="D11" s="111"/>
      <c r="E11" s="111"/>
      <c r="F11" s="111"/>
      <c r="G11" s="111"/>
    </row>
    <row r="12" spans="2:14" x14ac:dyDescent="0.2">
      <c r="B12" s="114" t="s">
        <v>317</v>
      </c>
      <c r="C12" s="111"/>
      <c r="D12" s="111"/>
      <c r="E12" s="111"/>
      <c r="F12" s="111"/>
      <c r="G12" s="111"/>
    </row>
    <row r="13" spans="2:14" x14ac:dyDescent="0.2">
      <c r="B13" s="181" t="s">
        <v>318</v>
      </c>
      <c r="C13" s="181" t="s">
        <v>92</v>
      </c>
      <c r="D13" s="181" t="s">
        <v>93</v>
      </c>
      <c r="E13" s="180" t="s">
        <v>94</v>
      </c>
      <c r="F13" s="180" t="s">
        <v>95</v>
      </c>
      <c r="G13" s="180" t="s">
        <v>96</v>
      </c>
      <c r="H13" s="180" t="s">
        <v>97</v>
      </c>
      <c r="I13" s="180" t="s">
        <v>98</v>
      </c>
      <c r="J13" s="180" t="s">
        <v>99</v>
      </c>
      <c r="K13" s="180" t="s">
        <v>100</v>
      </c>
      <c r="L13" s="180" t="s">
        <v>101</v>
      </c>
      <c r="M13" s="180" t="s">
        <v>102</v>
      </c>
      <c r="N13" s="180" t="s">
        <v>103</v>
      </c>
    </row>
    <row r="14" spans="2:14" x14ac:dyDescent="0.2">
      <c r="B14" s="180" t="s">
        <v>319</v>
      </c>
      <c r="C14" s="111">
        <v>0.32739731483535339</v>
      </c>
      <c r="D14" s="111">
        <v>0.32861257228595314</v>
      </c>
      <c r="E14" s="111">
        <v>0.32982441022414066</v>
      </c>
      <c r="F14" s="111">
        <v>0.3310294187593868</v>
      </c>
      <c r="G14" s="111">
        <v>0.33222420721785434</v>
      </c>
      <c r="H14" s="110">
        <v>0.33340541368313481</v>
      </c>
      <c r="I14" s="110">
        <v>0.33456971445606687</v>
      </c>
      <c r="J14" s="110">
        <v>0.33571383340701827</v>
      </c>
      <c r="K14" s="110">
        <v>0.33683455119431632</v>
      </c>
      <c r="L14" s="110">
        <v>0.33792871432288668</v>
      </c>
      <c r="M14" s="110">
        <v>0.33899324401761299</v>
      </c>
      <c r="N14" s="110">
        <v>0.34002514488644664</v>
      </c>
    </row>
    <row r="15" spans="2:14" x14ac:dyDescent="0.2">
      <c r="B15" s="180" t="s">
        <v>320</v>
      </c>
      <c r="C15" s="110">
        <v>1.1904617820182022</v>
      </c>
      <c r="D15" s="110">
        <v>1.1936180989210179</v>
      </c>
      <c r="E15" s="110">
        <v>1.1967655345247965</v>
      </c>
      <c r="F15" s="110">
        <v>1.1998952325208527</v>
      </c>
      <c r="G15" s="110">
        <v>1.2029983865108895</v>
      </c>
      <c r="H15" s="110">
        <v>1.2060662647865916</v>
      </c>
      <c r="I15" s="110">
        <v>1.2090902348990593</v>
      </c>
      <c r="J15" s="110">
        <v>1.2120617879489399</v>
      </c>
      <c r="K15" s="110">
        <v>1.2149725625289181</v>
      </c>
      <c r="L15" s="110">
        <v>1.2178143682511875</v>
      </c>
      <c r="M15" s="110">
        <v>1.2205792087937042</v>
      </c>
      <c r="N15" s="110">
        <v>1.2232593044003779</v>
      </c>
    </row>
    <row r="16" spans="2:14" x14ac:dyDescent="0.2">
      <c r="B16" s="111"/>
    </row>
    <row r="17" spans="2:14" x14ac:dyDescent="0.2">
      <c r="B17" s="113" t="s">
        <v>321</v>
      </c>
    </row>
    <row r="18" spans="2:14" x14ac:dyDescent="0.2">
      <c r="B18" s="109" t="s">
        <v>91</v>
      </c>
      <c r="C18" s="109" t="s">
        <v>92</v>
      </c>
      <c r="D18" s="109" t="s">
        <v>93</v>
      </c>
      <c r="E18" s="109" t="s">
        <v>94</v>
      </c>
      <c r="F18" s="109" t="s">
        <v>95</v>
      </c>
      <c r="G18" s="109" t="s">
        <v>96</v>
      </c>
      <c r="H18" s="109" t="s">
        <v>97</v>
      </c>
      <c r="I18" s="109" t="s">
        <v>98</v>
      </c>
      <c r="J18" s="109" t="s">
        <v>99</v>
      </c>
      <c r="K18" s="109" t="s">
        <v>100</v>
      </c>
      <c r="L18" s="109" t="s">
        <v>101</v>
      </c>
      <c r="M18" s="109" t="s">
        <v>102</v>
      </c>
      <c r="N18" s="109" t="s">
        <v>103</v>
      </c>
    </row>
    <row r="19" spans="2:14" x14ac:dyDescent="0.2">
      <c r="B19" s="183" t="s">
        <v>104</v>
      </c>
      <c r="C19" s="110">
        <f>C5</f>
        <v>0.69455161832293888</v>
      </c>
      <c r="D19" s="110">
        <f t="shared" ref="D19:N20" si="0">D5</f>
        <v>0.56883797840170003</v>
      </c>
      <c r="E19" s="110">
        <f t="shared" si="0"/>
        <v>0.53809995385219744</v>
      </c>
      <c r="F19" s="110">
        <f t="shared" si="0"/>
        <v>0.6482905230506385</v>
      </c>
      <c r="G19" s="110">
        <f t="shared" si="0"/>
        <v>0.70903183916045776</v>
      </c>
      <c r="H19" s="110">
        <f t="shared" si="0"/>
        <v>0.9250502780972184</v>
      </c>
      <c r="I19" s="110">
        <f t="shared" si="0"/>
        <v>0.765681031786553</v>
      </c>
      <c r="J19" s="110">
        <f t="shared" si="0"/>
        <v>0.58574590963672357</v>
      </c>
      <c r="K19" s="110">
        <f t="shared" si="0"/>
        <v>0.53469291487133641</v>
      </c>
      <c r="L19" s="110">
        <f t="shared" si="0"/>
        <v>0.55410295701593959</v>
      </c>
      <c r="M19" s="110">
        <f t="shared" si="0"/>
        <v>0.67270164995306359</v>
      </c>
      <c r="N19" s="110">
        <f t="shared" si="0"/>
        <v>0.70725209145723378</v>
      </c>
    </row>
    <row r="20" spans="2:14" x14ac:dyDescent="0.2">
      <c r="B20" s="183" t="s">
        <v>105</v>
      </c>
      <c r="C20" s="110">
        <f>C6</f>
        <v>0.67127313349274542</v>
      </c>
      <c r="D20" s="110">
        <f t="shared" si="0"/>
        <v>0.70948037241145345</v>
      </c>
      <c r="E20" s="110">
        <f t="shared" si="0"/>
        <v>0.8635034902244404</v>
      </c>
      <c r="F20" s="110">
        <f t="shared" si="0"/>
        <v>0.69970132550763209</v>
      </c>
      <c r="G20" s="110">
        <f t="shared" si="0"/>
        <v>0.73322868107809469</v>
      </c>
      <c r="H20" s="110">
        <f t="shared" si="0"/>
        <v>0.7096246506255125</v>
      </c>
      <c r="I20" s="110">
        <f t="shared" si="0"/>
        <v>0.75731580112284824</v>
      </c>
      <c r="J20" s="110">
        <f t="shared" si="0"/>
        <v>0.67842792152538722</v>
      </c>
      <c r="K20" s="110">
        <f t="shared" si="0"/>
        <v>0.63274757956525951</v>
      </c>
      <c r="L20" s="110">
        <f t="shared" si="0"/>
        <v>0.69763919578291445</v>
      </c>
      <c r="M20" s="110">
        <f t="shared" si="0"/>
        <v>0.63506870060303278</v>
      </c>
      <c r="N20" s="110">
        <f t="shared" si="0"/>
        <v>0.73347085809577894</v>
      </c>
    </row>
    <row r="21" spans="2:14" x14ac:dyDescent="0.2">
      <c r="B21" s="183" t="s">
        <v>106</v>
      </c>
      <c r="C21" s="110">
        <f t="shared" ref="C21:N22" si="1">C7</f>
        <v>0.79824351482930112</v>
      </c>
      <c r="D21" s="110">
        <f t="shared" si="1"/>
        <v>0.75040164989941693</v>
      </c>
      <c r="E21" s="110">
        <f t="shared" si="1"/>
        <v>0.70040922917824588</v>
      </c>
      <c r="F21" s="110">
        <f t="shared" si="1"/>
        <v>0.74292200313052104</v>
      </c>
      <c r="G21" s="110">
        <f t="shared" si="1"/>
        <v>0.68679452880847558</v>
      </c>
      <c r="H21" s="110">
        <f t="shared" si="1"/>
        <v>0.731030163596608</v>
      </c>
      <c r="I21" s="110">
        <f t="shared" si="1"/>
        <v>0.68199666019485516</v>
      </c>
      <c r="J21" s="110">
        <f t="shared" si="1"/>
        <v>0.80468537230829495</v>
      </c>
      <c r="K21" s="110">
        <f t="shared" si="1"/>
        <v>0.73437189093587385</v>
      </c>
      <c r="L21" s="110">
        <f t="shared" si="1"/>
        <v>0.80637092657208975</v>
      </c>
      <c r="M21" s="110">
        <f t="shared" si="1"/>
        <v>0.97784462440353548</v>
      </c>
      <c r="N21" s="110">
        <f t="shared" si="1"/>
        <v>0.79243048627245072</v>
      </c>
    </row>
    <row r="22" spans="2:14" x14ac:dyDescent="0.2">
      <c r="B22" s="183" t="s">
        <v>107</v>
      </c>
      <c r="C22" s="110">
        <f t="shared" si="1"/>
        <v>0.69697194081545055</v>
      </c>
      <c r="D22" s="110">
        <f t="shared" si="1"/>
        <v>0.71981793984079545</v>
      </c>
      <c r="E22" s="110">
        <f t="shared" si="1"/>
        <v>0.76546322048249182</v>
      </c>
      <c r="F22" s="110">
        <f t="shared" si="1"/>
        <v>0.69149345009698426</v>
      </c>
      <c r="G22" s="110">
        <f t="shared" si="1"/>
        <v>0.72859257846534442</v>
      </c>
      <c r="H22" s="110">
        <f t="shared" si="1"/>
        <v>0.78786964414747174</v>
      </c>
      <c r="I22" s="110">
        <f t="shared" si="1"/>
        <v>0.71203252027553832</v>
      </c>
      <c r="J22" s="110">
        <f t="shared" si="1"/>
        <v>0.72216504625690447</v>
      </c>
      <c r="K22" s="110">
        <f t="shared" si="1"/>
        <v>0.72048056662071691</v>
      </c>
      <c r="L22" s="110">
        <f t="shared" si="1"/>
        <v>0.75760805050658553</v>
      </c>
      <c r="M22" s="110">
        <f t="shared" si="1"/>
        <v>0.68044320551457871</v>
      </c>
      <c r="N22" s="110">
        <f t="shared" si="1"/>
        <v>0.77643401355192243</v>
      </c>
    </row>
    <row r="23" spans="2:14" x14ac:dyDescent="0.2">
      <c r="B23" s="183" t="s">
        <v>108</v>
      </c>
      <c r="C23" s="110">
        <f>C9*C14</f>
        <v>0.68308431596357222</v>
      </c>
      <c r="D23" s="110">
        <f t="shared" ref="D23:N24" si="2">D9*D14</f>
        <v>0.68250111882375364</v>
      </c>
      <c r="E23" s="110">
        <f t="shared" si="2"/>
        <v>0.66462099870304525</v>
      </c>
      <c r="F23" s="110">
        <f t="shared" si="2"/>
        <v>0.69194829324492335</v>
      </c>
      <c r="G23" s="110">
        <f t="shared" si="2"/>
        <v>0.67751057574061058</v>
      </c>
      <c r="H23" s="110">
        <f t="shared" si="2"/>
        <v>0.67913455178642679</v>
      </c>
      <c r="I23" s="110">
        <f t="shared" si="2"/>
        <v>0.70380559715314261</v>
      </c>
      <c r="J23" s="110">
        <f t="shared" si="2"/>
        <v>0.6860799984778887</v>
      </c>
      <c r="K23" s="110">
        <f t="shared" si="2"/>
        <v>0.68961806946524207</v>
      </c>
      <c r="L23" s="110">
        <f t="shared" si="2"/>
        <v>0.68720979511272062</v>
      </c>
      <c r="M23" s="110">
        <f t="shared" si="2"/>
        <v>0.70393276113460657</v>
      </c>
      <c r="N23" s="110">
        <f t="shared" si="2"/>
        <v>0.70093398670515361</v>
      </c>
    </row>
    <row r="24" spans="2:14" x14ac:dyDescent="0.2">
      <c r="B24" s="183" t="s">
        <v>109</v>
      </c>
      <c r="C24" s="110">
        <f>C10*C15</f>
        <v>0.83259423466423466</v>
      </c>
      <c r="D24" s="110">
        <f t="shared" si="2"/>
        <v>0.73575865779438332</v>
      </c>
      <c r="E24" s="110">
        <f t="shared" si="2"/>
        <v>0.80936989305568052</v>
      </c>
      <c r="F24" s="110">
        <f t="shared" si="2"/>
        <v>0.81895045119912979</v>
      </c>
      <c r="G24" s="110">
        <f t="shared" si="2"/>
        <v>0.78189973340639718</v>
      </c>
      <c r="H24" s="110">
        <f t="shared" si="2"/>
        <v>0.79368788586717243</v>
      </c>
      <c r="I24" s="110">
        <f t="shared" si="2"/>
        <v>0.84169396121559215</v>
      </c>
      <c r="J24" s="110">
        <f t="shared" si="2"/>
        <v>0.74354055688389442</v>
      </c>
      <c r="K24" s="110">
        <f t="shared" si="2"/>
        <v>0.74210350802696123</v>
      </c>
      <c r="L24" s="110">
        <f t="shared" si="2"/>
        <v>0.77897287634843959</v>
      </c>
      <c r="M24" s="110">
        <f t="shared" si="2"/>
        <v>0.83508629121419953</v>
      </c>
      <c r="N24" s="110">
        <f t="shared" si="2"/>
        <v>0.8270842562898495</v>
      </c>
    </row>
    <row r="25" spans="2:14" x14ac:dyDescent="0.2">
      <c r="B25" s="182"/>
    </row>
    <row r="26" spans="2:14" x14ac:dyDescent="0.2">
      <c r="B26" s="114" t="s">
        <v>322</v>
      </c>
    </row>
    <row r="27" spans="2:14" x14ac:dyDescent="0.2">
      <c r="B27" s="109" t="s">
        <v>323</v>
      </c>
      <c r="C27" s="109" t="s">
        <v>92</v>
      </c>
      <c r="D27" s="109" t="s">
        <v>93</v>
      </c>
      <c r="E27" s="109" t="s">
        <v>94</v>
      </c>
      <c r="F27" s="109" t="s">
        <v>95</v>
      </c>
      <c r="G27" s="109" t="s">
        <v>96</v>
      </c>
      <c r="H27" s="109" t="s">
        <v>97</v>
      </c>
      <c r="I27" s="109" t="s">
        <v>98</v>
      </c>
      <c r="J27" s="109" t="s">
        <v>99</v>
      </c>
      <c r="K27" s="109" t="s">
        <v>100</v>
      </c>
      <c r="L27" s="109" t="s">
        <v>101</v>
      </c>
      <c r="M27" s="109" t="s">
        <v>102</v>
      </c>
      <c r="N27" s="109" t="s">
        <v>103</v>
      </c>
    </row>
    <row r="28" spans="2:14" x14ac:dyDescent="0.2">
      <c r="B28" s="109" t="s">
        <v>104</v>
      </c>
      <c r="C28" s="110">
        <f>IF(C19&lt;=raw_materials!$D17,raw_materials!$C17,IF(C19&lt;=raw_materials!$F17,raw_materials!$E17,IF(C19&lt;=raw_materials!$H17,raw_materials!$G17,0)))</f>
        <v>1</v>
      </c>
      <c r="D28" s="110">
        <f>IF(D19&lt;=raw_materials!$D17,raw_materials!$C17,IF(D19&lt;=raw_materials!$F17,raw_materials!$E17,IF(D19&lt;=raw_materials!$H17,raw_materials!$G17,0)))</f>
        <v>1</v>
      </c>
      <c r="E28" s="110">
        <f>IF(E19&lt;=raw_materials!$D17,raw_materials!$C17,IF(E19&lt;=raw_materials!$F17,raw_materials!$E17,IF(E19&lt;=raw_materials!$H17,raw_materials!$G17,0)))</f>
        <v>1</v>
      </c>
      <c r="F28" s="110">
        <f>IF(F19&lt;=raw_materials!$D17,raw_materials!$C17,IF(F19&lt;=raw_materials!$F17,raw_materials!$E17,IF(F19&lt;=raw_materials!$H17,raw_materials!$G17,0)))</f>
        <v>1</v>
      </c>
      <c r="G28" s="110">
        <f>IF(G19&lt;=raw_materials!$D17,raw_materials!$C17,IF(G19&lt;=raw_materials!$F17,raw_materials!$E17,IF(G19&lt;=raw_materials!$H17,raw_materials!$G17,0)))</f>
        <v>1</v>
      </c>
      <c r="H28" s="110">
        <f>IF(H19&lt;=raw_materials!$D17,raw_materials!$C17,IF(H19&lt;=raw_materials!$F17,raw_materials!$E17,IF(H19&lt;=raw_materials!$H17,raw_materials!$G17,0)))</f>
        <v>0.5</v>
      </c>
      <c r="I28" s="110">
        <f>IF(I19&lt;=raw_materials!$D17,raw_materials!$C17,IF(I19&lt;=raw_materials!$F17,raw_materials!$E17,IF(I19&lt;=raw_materials!$H17,raw_materials!$G17,0)))</f>
        <v>1</v>
      </c>
      <c r="J28" s="110">
        <f>IF(J19&lt;=raw_materials!$D17,raw_materials!$C17,IF(J19&lt;=raw_materials!$F17,raw_materials!$E17,IF(J19&lt;=raw_materials!$H17,raw_materials!$G17,0)))</f>
        <v>1</v>
      </c>
      <c r="K28" s="110">
        <f>IF(K19&lt;=raw_materials!$D17,raw_materials!$C17,IF(K19&lt;=raw_materials!$F17,raw_materials!$E17,IF(K19&lt;=raw_materials!$H17,raw_materials!$G17,0)))</f>
        <v>1</v>
      </c>
      <c r="L28" s="110">
        <f>IF(L19&lt;=raw_materials!$D17,raw_materials!$C17,IF(L19&lt;=raw_materials!$F17,raw_materials!$E17,IF(L19&lt;=raw_materials!$H17,raw_materials!$G17,0)))</f>
        <v>1</v>
      </c>
      <c r="M28" s="110">
        <f>IF(M19&lt;=raw_materials!$D17,raw_materials!$C17,IF(M19&lt;=raw_materials!$F17,raw_materials!$E17,IF(M19&lt;=raw_materials!$H17,raw_materials!$G17,0)))</f>
        <v>1</v>
      </c>
      <c r="N28" s="110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9" t="s">
        <v>105</v>
      </c>
      <c r="C29" s="110">
        <f>IF(C20&lt;=raw_materials!$D18,raw_materials!$C18,IF(C20&lt;=raw_materials!$F18,raw_materials!$E18,IF(C20&lt;=raw_materials!$H18,raw_materials!$G18,0)))</f>
        <v>1</v>
      </c>
      <c r="D29" s="110">
        <f>IF(D20&lt;=raw_materials!$D18,raw_materials!$C18,IF(D20&lt;=raw_materials!$F18,raw_materials!$E18,IF(D20&lt;=raw_materials!$H18,raw_materials!$G18,0)))</f>
        <v>1</v>
      </c>
      <c r="E29" s="110">
        <f>IF(E20&lt;=raw_materials!$D18,raw_materials!$C18,IF(E20&lt;=raw_materials!$F18,raw_materials!$E18,IF(E20&lt;=raw_materials!$H18,raw_materials!$G18,0)))</f>
        <v>0.5</v>
      </c>
      <c r="F29" s="110">
        <f>IF(F20&lt;=raw_materials!$D18,raw_materials!$C18,IF(F20&lt;=raw_materials!$F18,raw_materials!$E18,IF(F20&lt;=raw_materials!$H18,raw_materials!$G18,0)))</f>
        <v>1</v>
      </c>
      <c r="G29" s="110">
        <f>IF(G20&lt;=raw_materials!$D18,raw_materials!$C18,IF(G20&lt;=raw_materials!$F18,raw_materials!$E18,IF(G20&lt;=raw_materials!$H18,raw_materials!$G18,0)))</f>
        <v>1</v>
      </c>
      <c r="H29" s="110">
        <f>IF(H20&lt;=raw_materials!$D18,raw_materials!$C18,IF(H20&lt;=raw_materials!$F18,raw_materials!$E18,IF(H20&lt;=raw_materials!$H18,raw_materials!$G18,0)))</f>
        <v>1</v>
      </c>
      <c r="I29" s="110">
        <f>IF(I20&lt;=raw_materials!$D18,raw_materials!$C18,IF(I20&lt;=raw_materials!$F18,raw_materials!$E18,IF(I20&lt;=raw_materials!$H18,raw_materials!$G18,0)))</f>
        <v>1</v>
      </c>
      <c r="J29" s="110">
        <f>IF(J20&lt;=raw_materials!$D18,raw_materials!$C18,IF(J20&lt;=raw_materials!$F18,raw_materials!$E18,IF(J20&lt;=raw_materials!$H18,raw_materials!$G18,0)))</f>
        <v>1</v>
      </c>
      <c r="K29" s="110">
        <f>IF(K20&lt;=raw_materials!$D18,raw_materials!$C18,IF(K20&lt;=raw_materials!$F18,raw_materials!$E18,IF(K20&lt;=raw_materials!$H18,raw_materials!$G18,0)))</f>
        <v>1</v>
      </c>
      <c r="L29" s="110">
        <f>IF(L20&lt;=raw_materials!$D18,raw_materials!$C18,IF(L20&lt;=raw_materials!$F18,raw_materials!$E18,IF(L20&lt;=raw_materials!$H18,raw_materials!$G18,0)))</f>
        <v>1</v>
      </c>
      <c r="M29" s="110">
        <f>IF(M20&lt;=raw_materials!$D18,raw_materials!$C18,IF(M20&lt;=raw_materials!$F18,raw_materials!$E18,IF(M20&lt;=raw_materials!$H18,raw_materials!$G18,0)))</f>
        <v>1</v>
      </c>
      <c r="N29" s="110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9" t="s">
        <v>106</v>
      </c>
      <c r="C30" s="110">
        <f>IF(C21&lt;=raw_materials!$D19,raw_materials!$C19,IF(C21&lt;=raw_materials!$F19,raw_materials!$E19,IF(C21&lt;=raw_materials!$H19,raw_materials!$G19,0)))</f>
        <v>1</v>
      </c>
      <c r="D30" s="110">
        <f>IF(D21&lt;=raw_materials!$D19,raw_materials!$C19,IF(D21&lt;=raw_materials!$F19,raw_materials!$E19,IF(D21&lt;=raw_materials!$H19,raw_materials!$G19,0)))</f>
        <v>1</v>
      </c>
      <c r="E30" s="110">
        <f>IF(E21&lt;=raw_materials!$D19,raw_materials!$C19,IF(E21&lt;=raw_materials!$F19,raw_materials!$E19,IF(E21&lt;=raw_materials!$H19,raw_materials!$G19,0)))</f>
        <v>1</v>
      </c>
      <c r="F30" s="110">
        <f>IF(F21&lt;=raw_materials!$D19,raw_materials!$C19,IF(F21&lt;=raw_materials!$F19,raw_materials!$E19,IF(F21&lt;=raw_materials!$H19,raw_materials!$G19,0)))</f>
        <v>1</v>
      </c>
      <c r="G30" s="110">
        <f>IF(G21&lt;=raw_materials!$D19,raw_materials!$C19,IF(G21&lt;=raw_materials!$F19,raw_materials!$E19,IF(G21&lt;=raw_materials!$H19,raw_materials!$G19,0)))</f>
        <v>1</v>
      </c>
      <c r="H30" s="110">
        <f>IF(H21&lt;=raw_materials!$D19,raw_materials!$C19,IF(H21&lt;=raw_materials!$F19,raw_materials!$E19,IF(H21&lt;=raw_materials!$H19,raw_materials!$G19,0)))</f>
        <v>1</v>
      </c>
      <c r="I30" s="110">
        <f>IF(I21&lt;=raw_materials!$D19,raw_materials!$C19,IF(I21&lt;=raw_materials!$F19,raw_materials!$E19,IF(I21&lt;=raw_materials!$H19,raw_materials!$G19,0)))</f>
        <v>1</v>
      </c>
      <c r="J30" s="110">
        <f>IF(J21&lt;=raw_materials!$D19,raw_materials!$C19,IF(J21&lt;=raw_materials!$F19,raw_materials!$E19,IF(J21&lt;=raw_materials!$H19,raw_materials!$G19,0)))</f>
        <v>0.5</v>
      </c>
      <c r="K30" s="110">
        <f>IF(K21&lt;=raw_materials!$D19,raw_materials!$C19,IF(K21&lt;=raw_materials!$F19,raw_materials!$E19,IF(K21&lt;=raw_materials!$H19,raw_materials!$G19,0)))</f>
        <v>1</v>
      </c>
      <c r="L30" s="110">
        <f>IF(L21&lt;=raw_materials!$D19,raw_materials!$C19,IF(L21&lt;=raw_materials!$F19,raw_materials!$E19,IF(L21&lt;=raw_materials!$H19,raw_materials!$G19,0)))</f>
        <v>0.5</v>
      </c>
      <c r="M30" s="110">
        <f>IF(M21&lt;=raw_materials!$D19,raw_materials!$C19,IF(M21&lt;=raw_materials!$F19,raw_materials!$E19,IF(M21&lt;=raw_materials!$H19,raw_materials!$G19,0)))</f>
        <v>0.5</v>
      </c>
      <c r="N30" s="110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9" t="s">
        <v>107</v>
      </c>
      <c r="C31" s="110">
        <f>IF(C22&lt;=raw_materials!$D20,raw_materials!$C20,IF(C22&lt;=raw_materials!$F20,raw_materials!$E20,IF(C22&lt;=raw_materials!$H20,raw_materials!$G20,0)))</f>
        <v>1</v>
      </c>
      <c r="D31" s="110">
        <f>IF(D22&lt;=raw_materials!$D20,raw_materials!$C20,IF(D22&lt;=raw_materials!$F20,raw_materials!$E20,IF(D22&lt;=raw_materials!$H20,raw_materials!$G20,0)))</f>
        <v>1</v>
      </c>
      <c r="E31" s="110">
        <f>IF(E22&lt;=raw_materials!$D20,raw_materials!$C20,IF(E22&lt;=raw_materials!$F20,raw_materials!$E20,IF(E22&lt;=raw_materials!$H20,raw_materials!$G20,0)))</f>
        <v>1</v>
      </c>
      <c r="F31" s="110">
        <f>IF(F22&lt;=raw_materials!$D20,raw_materials!$C20,IF(F22&lt;=raw_materials!$F20,raw_materials!$E20,IF(F22&lt;=raw_materials!$H20,raw_materials!$G20,0)))</f>
        <v>1</v>
      </c>
      <c r="G31" s="110">
        <f>IF(G22&lt;=raw_materials!$D20,raw_materials!$C20,IF(G22&lt;=raw_materials!$F20,raw_materials!$E20,IF(G22&lt;=raw_materials!$H20,raw_materials!$G20,0)))</f>
        <v>1</v>
      </c>
      <c r="H31" s="110">
        <f>IF(H22&lt;=raw_materials!$D20,raw_materials!$C20,IF(H22&lt;=raw_materials!$F20,raw_materials!$E20,IF(H22&lt;=raw_materials!$H20,raw_materials!$G20,0)))</f>
        <v>1</v>
      </c>
      <c r="I31" s="110">
        <f>IF(I22&lt;=raw_materials!$D20,raw_materials!$C20,IF(I22&lt;=raw_materials!$F20,raw_materials!$E20,IF(I22&lt;=raw_materials!$H20,raw_materials!$G20,0)))</f>
        <v>1</v>
      </c>
      <c r="J31" s="110">
        <f>IF(J22&lt;=raw_materials!$D20,raw_materials!$C20,IF(J22&lt;=raw_materials!$F20,raw_materials!$E20,IF(J22&lt;=raw_materials!$H20,raw_materials!$G20,0)))</f>
        <v>1</v>
      </c>
      <c r="K31" s="110">
        <f>IF(K22&lt;=raw_materials!$D20,raw_materials!$C20,IF(K22&lt;=raw_materials!$F20,raw_materials!$E20,IF(K22&lt;=raw_materials!$H20,raw_materials!$G20,0)))</f>
        <v>1</v>
      </c>
      <c r="L31" s="110">
        <f>IF(L22&lt;=raw_materials!$D20,raw_materials!$C20,IF(L22&lt;=raw_materials!$F20,raw_materials!$E20,IF(L22&lt;=raw_materials!$H20,raw_materials!$G20,0)))</f>
        <v>1</v>
      </c>
      <c r="M31" s="110">
        <f>IF(M22&lt;=raw_materials!$D20,raw_materials!$C20,IF(M22&lt;=raw_materials!$F20,raw_materials!$E20,IF(M22&lt;=raw_materials!$H20,raw_materials!$G20,0)))</f>
        <v>1</v>
      </c>
      <c r="N31" s="110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9" t="s">
        <v>108</v>
      </c>
      <c r="C32" s="110">
        <f>IF(C23&lt;=raw_materials!$D21,raw_materials!$C21,IF(C23&lt;=raw_materials!$F21,raw_materials!$E21,IF(C23&lt;=raw_materials!$H21,raw_materials!$G21,0)))</f>
        <v>1</v>
      </c>
      <c r="D32" s="110">
        <f>IF(D23&lt;=raw_materials!$D21,raw_materials!$C21,IF(D23&lt;=raw_materials!$F21,raw_materials!$E21,IF(D23&lt;=raw_materials!$H21,raw_materials!$G21,0)))</f>
        <v>1</v>
      </c>
      <c r="E32" s="110">
        <f>IF(E23&lt;=raw_materials!$D21,raw_materials!$C21,IF(E23&lt;=raw_materials!$F21,raw_materials!$E21,IF(E23&lt;=raw_materials!$H21,raw_materials!$G21,0)))</f>
        <v>1</v>
      </c>
      <c r="F32" s="110">
        <f>IF(F23&lt;=raw_materials!$D21,raw_materials!$C21,IF(F23&lt;=raw_materials!$F21,raw_materials!$E21,IF(F23&lt;=raw_materials!$H21,raw_materials!$G21,0)))</f>
        <v>1</v>
      </c>
      <c r="G32" s="110">
        <f>IF(G23&lt;=raw_materials!$D21,raw_materials!$C21,IF(G23&lt;=raw_materials!$F21,raw_materials!$E21,IF(G23&lt;=raw_materials!$H21,raw_materials!$G21,0)))</f>
        <v>1</v>
      </c>
      <c r="H32" s="110">
        <f>IF(H23&lt;=raw_materials!$D21,raw_materials!$C21,IF(H23&lt;=raw_materials!$F21,raw_materials!$E21,IF(H23&lt;=raw_materials!$H21,raw_materials!$G21,0)))</f>
        <v>1</v>
      </c>
      <c r="I32" s="110">
        <f>IF(I23&lt;=raw_materials!$D21,raw_materials!$C21,IF(I23&lt;=raw_materials!$F21,raw_materials!$E21,IF(I23&lt;=raw_materials!$H21,raw_materials!$G21,0)))</f>
        <v>1</v>
      </c>
      <c r="J32" s="110">
        <f>IF(J23&lt;=raw_materials!$D21,raw_materials!$C21,IF(J23&lt;=raw_materials!$F21,raw_materials!$E21,IF(J23&lt;=raw_materials!$H21,raw_materials!$G21,0)))</f>
        <v>1</v>
      </c>
      <c r="K32" s="110">
        <f>IF(K23&lt;=raw_materials!$D21,raw_materials!$C21,IF(K23&lt;=raw_materials!$F21,raw_materials!$E21,IF(K23&lt;=raw_materials!$H21,raw_materials!$G21,0)))</f>
        <v>1</v>
      </c>
      <c r="L32" s="110">
        <f>IF(L23&lt;=raw_materials!$D21,raw_materials!$C21,IF(L23&lt;=raw_materials!$F21,raw_materials!$E21,IF(L23&lt;=raw_materials!$H21,raw_materials!$G21,0)))</f>
        <v>1</v>
      </c>
      <c r="M32" s="110">
        <f>IF(M23&lt;=raw_materials!$D21,raw_materials!$C21,IF(M23&lt;=raw_materials!$F21,raw_materials!$E21,IF(M23&lt;=raw_materials!$H21,raw_materials!$G21,0)))</f>
        <v>1</v>
      </c>
      <c r="N32" s="110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9" t="s">
        <v>109</v>
      </c>
      <c r="C33" s="110">
        <f>IF(C24&lt;=raw_materials!$D22,raw_materials!$C22,IF(C24&lt;=raw_materials!$F22,raw_materials!$E22,IF(C24&lt;=raw_materials!$H22,raw_materials!$G22,0)))</f>
        <v>0.5</v>
      </c>
      <c r="D33" s="110">
        <f>IF(D24&lt;=raw_materials!$D22,raw_materials!$C22,IF(D24&lt;=raw_materials!$F22,raw_materials!$E22,IF(D24&lt;=raw_materials!$H22,raw_materials!$G22,0)))</f>
        <v>1</v>
      </c>
      <c r="E33" s="110">
        <f>IF(E24&lt;=raw_materials!$D22,raw_materials!$C22,IF(E24&lt;=raw_materials!$F22,raw_materials!$E22,IF(E24&lt;=raw_materials!$H22,raw_materials!$G22,0)))</f>
        <v>1</v>
      </c>
      <c r="F33" s="110">
        <f>IF(F24&lt;=raw_materials!$D22,raw_materials!$C22,IF(F24&lt;=raw_materials!$F22,raw_materials!$E22,IF(F24&lt;=raw_materials!$H22,raw_materials!$G22,0)))</f>
        <v>1</v>
      </c>
      <c r="G33" s="110">
        <f>IF(G24&lt;=raw_materials!$D22,raw_materials!$C22,IF(G24&lt;=raw_materials!$F22,raw_materials!$E22,IF(G24&lt;=raw_materials!$H22,raw_materials!$G22,0)))</f>
        <v>1</v>
      </c>
      <c r="H33" s="110">
        <f>IF(H24&lt;=raw_materials!$D22,raw_materials!$C22,IF(H24&lt;=raw_materials!$F22,raw_materials!$E22,IF(H24&lt;=raw_materials!$H22,raw_materials!$G22,0)))</f>
        <v>1</v>
      </c>
      <c r="I33" s="110">
        <f>IF(I24&lt;=raw_materials!$D22,raw_materials!$C22,IF(I24&lt;=raw_materials!$F22,raw_materials!$E22,IF(I24&lt;=raw_materials!$H22,raw_materials!$G22,0)))</f>
        <v>0.5</v>
      </c>
      <c r="J33" s="110">
        <f>IF(J24&lt;=raw_materials!$D22,raw_materials!$C22,IF(J24&lt;=raw_materials!$F22,raw_materials!$E22,IF(J24&lt;=raw_materials!$H22,raw_materials!$G22,0)))</f>
        <v>1</v>
      </c>
      <c r="K33" s="110">
        <f>IF(K24&lt;=raw_materials!$D22,raw_materials!$C22,IF(K24&lt;=raw_materials!$F22,raw_materials!$E22,IF(K24&lt;=raw_materials!$H22,raw_materials!$G22,0)))</f>
        <v>1</v>
      </c>
      <c r="L33" s="110">
        <f>IF(L24&lt;=raw_materials!$D22,raw_materials!$C22,IF(L24&lt;=raw_materials!$F22,raw_materials!$E22,IF(L24&lt;=raw_materials!$H22,raw_materials!$G22,0)))</f>
        <v>1</v>
      </c>
      <c r="M33" s="110">
        <f>IF(M24&lt;=raw_materials!$D22,raw_materials!$C22,IF(M24&lt;=raw_materials!$F22,raw_materials!$E22,IF(M24&lt;=raw_materials!$H22,raw_materials!$G22,0)))</f>
        <v>0.5</v>
      </c>
      <c r="N33" s="110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13" t="s">
        <v>324</v>
      </c>
    </row>
    <row r="36" spans="2:50" x14ac:dyDescent="0.2">
      <c r="B36" s="180" t="s">
        <v>276</v>
      </c>
      <c r="C36" s="180" t="s">
        <v>92</v>
      </c>
      <c r="D36" s="111"/>
      <c r="E36" s="111"/>
      <c r="F36" s="111"/>
      <c r="G36" s="180" t="s">
        <v>93</v>
      </c>
      <c r="H36" s="111"/>
      <c r="I36" s="111"/>
      <c r="J36" s="111"/>
      <c r="K36" s="180" t="s">
        <v>94</v>
      </c>
      <c r="L36" s="111"/>
      <c r="M36" s="111"/>
      <c r="N36" s="111"/>
      <c r="O36" s="180" t="s">
        <v>95</v>
      </c>
      <c r="P36" s="111"/>
      <c r="Q36" s="111"/>
      <c r="R36" s="111"/>
      <c r="S36" s="180" t="s">
        <v>96</v>
      </c>
      <c r="T36" s="111"/>
      <c r="U36" s="111"/>
      <c r="V36" s="111"/>
      <c r="W36" s="180" t="s">
        <v>97</v>
      </c>
      <c r="X36" s="111"/>
      <c r="Y36" s="111"/>
      <c r="Z36" s="111"/>
      <c r="AA36" s="180" t="s">
        <v>98</v>
      </c>
      <c r="AB36" s="111"/>
      <c r="AC36" s="111"/>
      <c r="AD36" s="111"/>
      <c r="AE36" s="180" t="s">
        <v>99</v>
      </c>
      <c r="AF36" s="111"/>
      <c r="AG36" s="111"/>
      <c r="AH36" s="111"/>
      <c r="AI36" s="180" t="s">
        <v>100</v>
      </c>
      <c r="AJ36" s="111"/>
      <c r="AK36" s="111"/>
      <c r="AL36" s="111"/>
      <c r="AM36" s="180" t="s">
        <v>101</v>
      </c>
      <c r="AN36" s="111"/>
      <c r="AO36" s="111"/>
      <c r="AP36" s="111"/>
      <c r="AQ36" s="180" t="s">
        <v>102</v>
      </c>
      <c r="AR36" s="111"/>
      <c r="AS36" s="111"/>
      <c r="AT36" s="111"/>
      <c r="AU36" s="180" t="s">
        <v>103</v>
      </c>
      <c r="AV36" s="111"/>
      <c r="AW36" s="111"/>
      <c r="AX36" s="111"/>
    </row>
    <row r="37" spans="2:50" x14ac:dyDescent="0.2">
      <c r="B37" s="180" t="s">
        <v>325</v>
      </c>
      <c r="C37" s="180">
        <v>1</v>
      </c>
      <c r="D37" s="180">
        <v>2</v>
      </c>
      <c r="E37" s="180">
        <v>3</v>
      </c>
      <c r="F37" s="180">
        <v>4</v>
      </c>
      <c r="G37" s="180">
        <v>1</v>
      </c>
      <c r="H37" s="180">
        <v>2</v>
      </c>
      <c r="I37" s="180">
        <v>3</v>
      </c>
      <c r="J37" s="180">
        <v>4</v>
      </c>
      <c r="K37" s="180">
        <v>1</v>
      </c>
      <c r="L37" s="180">
        <v>2</v>
      </c>
      <c r="M37" s="180">
        <v>3</v>
      </c>
      <c r="N37" s="180">
        <v>4</v>
      </c>
      <c r="O37" s="180">
        <v>1</v>
      </c>
      <c r="P37" s="180">
        <v>2</v>
      </c>
      <c r="Q37" s="180">
        <v>3</v>
      </c>
      <c r="R37" s="180">
        <v>4</v>
      </c>
      <c r="S37" s="180">
        <v>1</v>
      </c>
      <c r="T37" s="180">
        <v>2</v>
      </c>
      <c r="U37" s="180">
        <v>3</v>
      </c>
      <c r="V37" s="180">
        <v>4</v>
      </c>
      <c r="W37" s="180">
        <v>1</v>
      </c>
      <c r="X37" s="180">
        <v>2</v>
      </c>
      <c r="Y37" s="180">
        <v>3</v>
      </c>
      <c r="Z37" s="180">
        <v>4</v>
      </c>
      <c r="AA37" s="180">
        <v>1</v>
      </c>
      <c r="AB37" s="180">
        <v>2</v>
      </c>
      <c r="AC37" s="180">
        <v>3</v>
      </c>
      <c r="AD37" s="180">
        <v>4</v>
      </c>
      <c r="AE37" s="180">
        <v>1</v>
      </c>
      <c r="AF37" s="180">
        <v>2</v>
      </c>
      <c r="AG37" s="180">
        <v>3</v>
      </c>
      <c r="AH37" s="180">
        <v>4</v>
      </c>
      <c r="AI37" s="180">
        <v>1</v>
      </c>
      <c r="AJ37" s="180">
        <v>2</v>
      </c>
      <c r="AK37" s="180">
        <v>3</v>
      </c>
      <c r="AL37" s="180">
        <v>4</v>
      </c>
      <c r="AM37" s="180">
        <v>1</v>
      </c>
      <c r="AN37" s="180">
        <v>2</v>
      </c>
      <c r="AO37" s="180">
        <v>3</v>
      </c>
      <c r="AP37" s="180">
        <v>4</v>
      </c>
      <c r="AQ37" s="180">
        <v>1</v>
      </c>
      <c r="AR37" s="180">
        <v>2</v>
      </c>
      <c r="AS37" s="180">
        <v>3</v>
      </c>
      <c r="AT37" s="180">
        <v>4</v>
      </c>
      <c r="AU37" s="180">
        <v>1</v>
      </c>
      <c r="AV37" s="180">
        <v>2</v>
      </c>
      <c r="AW37" s="180">
        <v>3</v>
      </c>
      <c r="AX37" s="180">
        <v>4</v>
      </c>
    </row>
    <row r="38" spans="2:50" x14ac:dyDescent="0.2">
      <c r="B38" s="180" t="s">
        <v>104</v>
      </c>
      <c r="C38" s="110">
        <v>25054.902514011505</v>
      </c>
      <c r="D38" s="110">
        <v>25109.81675262624</v>
      </c>
      <c r="E38" s="110">
        <v>25164.733912812586</v>
      </c>
      <c r="F38" s="110">
        <v>25219.64518704552</v>
      </c>
      <c r="G38" s="110">
        <v>25274.541764850626</v>
      </c>
      <c r="H38" s="110">
        <v>25329.41483434946</v>
      </c>
      <c r="I38" s="110">
        <v>25384.255583806131</v>
      </c>
      <c r="J38" s="110">
        <v>25439.055203174696</v>
      </c>
      <c r="K38" s="110">
        <v>25493.804885647136</v>
      </c>
      <c r="L38" s="110">
        <v>25548.495829201689</v>
      </c>
      <c r="M38" s="110">
        <v>25603.119238151201</v>
      </c>
      <c r="N38" s="110">
        <v>25657.666324691218</v>
      </c>
      <c r="O38" s="110">
        <v>25712.128310447646</v>
      </c>
      <c r="P38" s="110">
        <v>25766.496428023554</v>
      </c>
      <c r="Q38" s="110">
        <v>25820.761922544945</v>
      </c>
      <c r="R38" s="110">
        <v>25874.916053205223</v>
      </c>
      <c r="S38" s="110">
        <v>25928.950094808049</v>
      </c>
      <c r="T38" s="110">
        <v>25982.855339308269</v>
      </c>
      <c r="U38" s="110">
        <v>26036.623097350748</v>
      </c>
      <c r="V38" s="110">
        <v>26090.24469980675</v>
      </c>
      <c r="W38" s="110">
        <v>26143.711499307632</v>
      </c>
      <c r="X38" s="110">
        <v>2619.7014871775555</v>
      </c>
      <c r="Y38" s="110">
        <v>12898.787463796951</v>
      </c>
      <c r="Z38" s="110">
        <v>13119.699521724489</v>
      </c>
      <c r="AA38" s="110">
        <v>8505.662670632657</v>
      </c>
      <c r="AB38" s="110">
        <v>7973.4628238466676</v>
      </c>
      <c r="AC38" s="110">
        <v>26460.780308405316</v>
      </c>
      <c r="AD38" s="110">
        <v>26512.923509318131</v>
      </c>
      <c r="AE38" s="110">
        <v>26564.8436946238</v>
      </c>
      <c r="AF38" s="110">
        <v>26616.532481229282</v>
      </c>
      <c r="AG38" s="110">
        <v>26667.981522929855</v>
      </c>
      <c r="AH38" s="110">
        <v>26719.182511895149</v>
      </c>
      <c r="AI38" s="110">
        <v>26770.127180149142</v>
      </c>
      <c r="AJ38" s="110">
        <v>26820.807301044035</v>
      </c>
      <c r="AK38" s="110">
        <v>26871.21469072756</v>
      </c>
      <c r="AL38" s="110">
        <v>26921.341209603564</v>
      </c>
      <c r="AM38" s="110">
        <v>26971.178763785614</v>
      </c>
      <c r="AN38" s="110">
        <v>27020.719306543244</v>
      </c>
      <c r="AO38" s="110">
        <v>27069.954839740756</v>
      </c>
      <c r="AP38" s="110">
        <v>27118.877415268147</v>
      </c>
      <c r="AQ38" s="110">
        <v>19017.235395524818</v>
      </c>
      <c r="AR38" s="110">
        <v>27215.752159530173</v>
      </c>
      <c r="AS38" s="110">
        <v>27263.688694937566</v>
      </c>
      <c r="AT38" s="110">
        <v>27311.281008823513</v>
      </c>
      <c r="AU38" s="110">
        <v>27358.521424379818</v>
      </c>
      <c r="AV38" s="110">
        <v>27405.40232323145</v>
      </c>
      <c r="AW38" s="110">
        <v>27451.916146805794</v>
      </c>
      <c r="AX38" s="110">
        <v>27498.055397691911</v>
      </c>
    </row>
    <row r="39" spans="2:50" x14ac:dyDescent="0.2">
      <c r="B39" s="180" t="s">
        <v>105</v>
      </c>
      <c r="C39" s="110">
        <v>15032.941508406904</v>
      </c>
      <c r="D39" s="110">
        <v>15065.890051575743</v>
      </c>
      <c r="E39" s="110">
        <v>15098.84034768755</v>
      </c>
      <c r="F39" s="110">
        <v>15131.787112227312</v>
      </c>
      <c r="G39" s="110">
        <v>15164.725058910377</v>
      </c>
      <c r="H39" s="110">
        <v>15197.648900609674</v>
      </c>
      <c r="I39" s="110">
        <v>15230.553350283679</v>
      </c>
      <c r="J39" s="110">
        <v>15263.433121904818</v>
      </c>
      <c r="K39" s="110">
        <v>15296.282931388283</v>
      </c>
      <c r="L39" s="110">
        <v>6131.6389990084062</v>
      </c>
      <c r="M39" s="110">
        <v>6144.7486171562887</v>
      </c>
      <c r="N39" s="110">
        <v>15394.599794814729</v>
      </c>
      <c r="O39" s="110">
        <v>15427.276986268587</v>
      </c>
      <c r="P39" s="110">
        <v>15459.897856814132</v>
      </c>
      <c r="Q39" s="110">
        <v>15492.457153526968</v>
      </c>
      <c r="R39" s="110">
        <v>15524.949631923135</v>
      </c>
      <c r="S39" s="110">
        <v>15557.370056884829</v>
      </c>
      <c r="T39" s="110">
        <v>15589.713203584963</v>
      </c>
      <c r="U39" s="110">
        <v>15621.973858410449</v>
      </c>
      <c r="V39" s="110">
        <v>15654.14681988405</v>
      </c>
      <c r="W39" s="110">
        <v>15686.226899584581</v>
      </c>
      <c r="X39" s="110">
        <v>15718.208923065331</v>
      </c>
      <c r="Y39" s="110">
        <v>15750.087730770527</v>
      </c>
      <c r="Z39" s="110">
        <v>15781.858178949733</v>
      </c>
      <c r="AA39" s="110">
        <v>15813.515140569893</v>
      </c>
      <c r="AB39" s="110">
        <v>15845.053506225015</v>
      </c>
      <c r="AC39" s="110">
        <v>11113.527729530231</v>
      </c>
      <c r="AD39" s="110">
        <v>11135.427873913615</v>
      </c>
      <c r="AE39" s="110">
        <v>11157.234351741996</v>
      </c>
      <c r="AF39" s="110">
        <v>15969.919488737569</v>
      </c>
      <c r="AG39" s="110">
        <v>16000.788913757913</v>
      </c>
      <c r="AH39" s="110">
        <v>16031.509507137089</v>
      </c>
      <c r="AI39" s="110">
        <v>16062.076308089485</v>
      </c>
      <c r="AJ39" s="110">
        <v>16092.48438062642</v>
      </c>
      <c r="AK39" s="110">
        <v>16122.728814436536</v>
      </c>
      <c r="AL39" s="110">
        <v>16152.80472576214</v>
      </c>
      <c r="AM39" s="110">
        <v>16182.707258271368</v>
      </c>
      <c r="AN39" s="110">
        <v>16212.431583925947</v>
      </c>
      <c r="AO39" s="110">
        <v>16241.972903844453</v>
      </c>
      <c r="AP39" s="110">
        <v>16271.326449160888</v>
      </c>
      <c r="AQ39" s="110">
        <v>16300.487481878417</v>
      </c>
      <c r="AR39" s="110">
        <v>16329.451295718105</v>
      </c>
      <c r="AS39" s="110">
        <v>16358.213216962538</v>
      </c>
      <c r="AT39" s="110">
        <v>16386.768605294106</v>
      </c>
      <c r="AU39" s="110">
        <v>16415.112854627889</v>
      </c>
      <c r="AV39" s="110">
        <v>16443.241393938872</v>
      </c>
      <c r="AW39" s="110">
        <v>16471.149688083475</v>
      </c>
      <c r="AX39" s="110">
        <v>11549.183267030601</v>
      </c>
    </row>
    <row r="40" spans="2:50" x14ac:dyDescent="0.2">
      <c r="B40" s="180" t="s">
        <v>106</v>
      </c>
      <c r="C40" s="110">
        <v>5010.9805028023011</v>
      </c>
      <c r="D40" s="110">
        <v>5021.9633505252477</v>
      </c>
      <c r="E40" s="110">
        <v>503.2946782562517</v>
      </c>
      <c r="F40" s="110">
        <v>5043.9290374091042</v>
      </c>
      <c r="G40" s="110">
        <v>5054.9083529701256</v>
      </c>
      <c r="H40" s="110">
        <v>5065.8829668698918</v>
      </c>
      <c r="I40" s="110">
        <v>5076.851116761226</v>
      </c>
      <c r="J40" s="110">
        <v>5087.8110406349388</v>
      </c>
      <c r="K40" s="110">
        <v>5098.7609771294274</v>
      </c>
      <c r="L40" s="110">
        <v>5109.6991658403376</v>
      </c>
      <c r="M40" s="110">
        <v>5120.6238476302397</v>
      </c>
      <c r="N40" s="110">
        <v>5131.5332649382435</v>
      </c>
      <c r="O40" s="110">
        <v>5142.4256620895294</v>
      </c>
      <c r="P40" s="110">
        <v>5153.2992856047113</v>
      </c>
      <c r="Q40" s="110">
        <v>5164.1523845089887</v>
      </c>
      <c r="R40" s="110">
        <v>5174.9832106410449</v>
      </c>
      <c r="S40" s="110">
        <v>5185.7900189616103</v>
      </c>
      <c r="T40" s="110">
        <v>5196.5710678616542</v>
      </c>
      <c r="U40" s="110">
        <v>5207.3246194701496</v>
      </c>
      <c r="V40" s="110">
        <v>5218.0489399613498</v>
      </c>
      <c r="W40" s="110">
        <v>5228.7422998615266</v>
      </c>
      <c r="X40" s="110">
        <v>5239.40297435511</v>
      </c>
      <c r="Y40" s="110">
        <v>5250.0292435901756</v>
      </c>
      <c r="Z40" s="110">
        <v>5260.6193929832443</v>
      </c>
      <c r="AA40" s="110">
        <v>5271.1717135232975</v>
      </c>
      <c r="AB40" s="110">
        <v>5281.6845020750052</v>
      </c>
      <c r="AC40" s="110">
        <v>5292.156061681063</v>
      </c>
      <c r="AD40" s="110">
        <v>5302.5847018636268</v>
      </c>
      <c r="AE40" s="110">
        <v>5312.9687389247601</v>
      </c>
      <c r="AF40" s="110">
        <v>5323.3064962458566</v>
      </c>
      <c r="AG40" s="110">
        <v>5333.5963045859717</v>
      </c>
      <c r="AH40" s="110">
        <v>534.383650237903</v>
      </c>
      <c r="AI40" s="110">
        <v>5354.0254360298286</v>
      </c>
      <c r="AJ40" s="110">
        <v>5364.1614602088066</v>
      </c>
      <c r="AK40" s="110">
        <v>5374.2429381455113</v>
      </c>
      <c r="AL40" s="110">
        <v>5384.2682419207131</v>
      </c>
      <c r="AM40" s="110">
        <v>5394.2357527571221</v>
      </c>
      <c r="AN40" s="110">
        <v>5404.1438613086484</v>
      </c>
      <c r="AO40" s="110">
        <v>2165.5963871792605</v>
      </c>
      <c r="AP40" s="110">
        <v>2169.510193221452</v>
      </c>
      <c r="AQ40" s="110">
        <v>543.34958272928066</v>
      </c>
      <c r="AR40" s="110">
        <v>544.31504319060355</v>
      </c>
      <c r="AS40" s="110">
        <v>5452.7377389875128</v>
      </c>
      <c r="AT40" s="110">
        <v>5462.2562017647024</v>
      </c>
      <c r="AU40" s="110">
        <v>5471.7042848759638</v>
      </c>
      <c r="AV40" s="110">
        <v>2192.4321858585163</v>
      </c>
      <c r="AW40" s="110">
        <v>2196.1532917444638</v>
      </c>
      <c r="AX40" s="110">
        <v>5499.611079538382</v>
      </c>
    </row>
    <row r="41" spans="2:50" x14ac:dyDescent="0.2">
      <c r="B41" s="180" t="s">
        <v>107</v>
      </c>
      <c r="C41" s="110">
        <v>3006.5883016813805</v>
      </c>
      <c r="D41" s="110">
        <v>3013.1780103151486</v>
      </c>
      <c r="E41" s="110">
        <v>3019.7680695375102</v>
      </c>
      <c r="F41" s="110">
        <v>3026.3574224454624</v>
      </c>
      <c r="G41" s="110">
        <v>3032.9450117820752</v>
      </c>
      <c r="H41" s="110">
        <v>3039.5297801219349</v>
      </c>
      <c r="I41" s="110">
        <v>3046.1106700567357</v>
      </c>
      <c r="J41" s="110">
        <v>3052.6866243809636</v>
      </c>
      <c r="K41" s="110">
        <v>3059.2565862776564</v>
      </c>
      <c r="L41" s="110">
        <v>3065.8194995042027</v>
      </c>
      <c r="M41" s="110">
        <v>2150.6620160047005</v>
      </c>
      <c r="N41" s="110">
        <v>3078.9199589629461</v>
      </c>
      <c r="O41" s="110">
        <v>3085.4553972537178</v>
      </c>
      <c r="P41" s="110">
        <v>3091.9795713628264</v>
      </c>
      <c r="Q41" s="110">
        <v>3098.4914307053937</v>
      </c>
      <c r="R41" s="110">
        <v>3104.9899263846269</v>
      </c>
      <c r="S41" s="110">
        <v>3111.4740113769658</v>
      </c>
      <c r="T41" s="110">
        <v>3117.9426407169926</v>
      </c>
      <c r="U41" s="110">
        <v>3124.3947716820899</v>
      </c>
      <c r="V41" s="110">
        <v>3130.8293639768099</v>
      </c>
      <c r="W41" s="110">
        <v>1254.8981519667666</v>
      </c>
      <c r="X41" s="110">
        <v>3143.6417846130662</v>
      </c>
      <c r="Y41" s="110">
        <v>3150.0175461541053</v>
      </c>
      <c r="Z41" s="110">
        <v>3156.3716357899466</v>
      </c>
      <c r="AA41" s="110">
        <v>3162.7030281139782</v>
      </c>
      <c r="AB41" s="110">
        <v>3169.010701245003</v>
      </c>
      <c r="AC41" s="110">
        <v>3175.2936370086377</v>
      </c>
      <c r="AD41" s="110">
        <v>3181.5508211181759</v>
      </c>
      <c r="AE41" s="110">
        <v>3187.7812433548561</v>
      </c>
      <c r="AF41" s="110">
        <v>3193.9838977475138</v>
      </c>
      <c r="AG41" s="110">
        <v>3200.1577827515825</v>
      </c>
      <c r="AH41" s="110">
        <v>3206.3019014274178</v>
      </c>
      <c r="AI41" s="110">
        <v>3212.4152616178967</v>
      </c>
      <c r="AJ41" s="110">
        <v>3218.496876125284</v>
      </c>
      <c r="AK41" s="110">
        <v>3224.5457628873069</v>
      </c>
      <c r="AL41" s="110">
        <v>3230.5609451524278</v>
      </c>
      <c r="AM41" s="110">
        <v>2265.5790161579912</v>
      </c>
      <c r="AN41" s="110">
        <v>2269.7404217496323</v>
      </c>
      <c r="AO41" s="110">
        <v>3248.3945807688906</v>
      </c>
      <c r="AP41" s="110">
        <v>3254.2652898321776</v>
      </c>
      <c r="AQ41" s="110">
        <v>3260.0974963756835</v>
      </c>
      <c r="AR41" s="110">
        <v>3265.8902591436208</v>
      </c>
      <c r="AS41" s="110">
        <v>3271.6426433925076</v>
      </c>
      <c r="AT41" s="110">
        <v>3277.3537210588215</v>
      </c>
      <c r="AU41" s="110">
        <v>1313.2090283702314</v>
      </c>
      <c r="AV41" s="110">
        <v>3288.648278787774</v>
      </c>
      <c r="AW41" s="110">
        <v>3294.2299376166952</v>
      </c>
      <c r="AX41" s="110">
        <v>3299.7666477230291</v>
      </c>
    </row>
    <row r="42" spans="2:50" x14ac:dyDescent="0.2">
      <c r="B42" s="180" t="s">
        <v>108</v>
      </c>
      <c r="C42" s="110">
        <v>10000000</v>
      </c>
      <c r="D42" s="110">
        <v>10000000</v>
      </c>
      <c r="E42" s="110">
        <v>10000000</v>
      </c>
      <c r="F42" s="110">
        <v>10000000</v>
      </c>
      <c r="G42" s="110">
        <v>10000000</v>
      </c>
      <c r="H42" s="110">
        <v>10000000</v>
      </c>
      <c r="I42" s="110">
        <v>10000000</v>
      </c>
      <c r="J42" s="110">
        <v>10000000</v>
      </c>
      <c r="K42" s="110">
        <v>10000000</v>
      </c>
      <c r="L42" s="110">
        <v>10000000</v>
      </c>
      <c r="M42" s="110">
        <v>10000000</v>
      </c>
      <c r="N42" s="110">
        <v>10000000</v>
      </c>
      <c r="O42" s="110">
        <v>10000000</v>
      </c>
      <c r="P42" s="110">
        <v>10000000</v>
      </c>
      <c r="Q42" s="110">
        <v>10000000</v>
      </c>
      <c r="R42" s="110">
        <v>10000000</v>
      </c>
      <c r="S42" s="110">
        <v>10000000</v>
      </c>
      <c r="T42" s="110">
        <v>10000000</v>
      </c>
      <c r="U42" s="110">
        <v>10000000</v>
      </c>
      <c r="V42" s="110">
        <v>10000000</v>
      </c>
      <c r="W42" s="110">
        <v>10000000</v>
      </c>
      <c r="X42" s="110">
        <v>10000000</v>
      </c>
      <c r="Y42" s="110">
        <v>10000000</v>
      </c>
      <c r="Z42" s="110">
        <v>10000000</v>
      </c>
      <c r="AA42" s="110">
        <v>10000000</v>
      </c>
      <c r="AB42" s="110">
        <v>10000000</v>
      </c>
      <c r="AC42" s="110">
        <v>10000000</v>
      </c>
      <c r="AD42" s="110">
        <v>10000000</v>
      </c>
      <c r="AE42" s="110">
        <v>10000000</v>
      </c>
      <c r="AF42" s="110">
        <v>10000000</v>
      </c>
      <c r="AG42" s="110">
        <v>10000000</v>
      </c>
      <c r="AH42" s="110">
        <v>10000000</v>
      </c>
      <c r="AI42" s="110">
        <v>10000000</v>
      </c>
      <c r="AJ42" s="110">
        <v>10000000</v>
      </c>
      <c r="AK42" s="110">
        <v>10000000</v>
      </c>
      <c r="AL42" s="110">
        <v>10000000</v>
      </c>
      <c r="AM42" s="110">
        <v>10000000</v>
      </c>
      <c r="AN42" s="110">
        <v>10000000</v>
      </c>
      <c r="AO42" s="110">
        <v>10000000</v>
      </c>
      <c r="AP42" s="110">
        <v>10000000</v>
      </c>
      <c r="AQ42" s="110">
        <v>10000000</v>
      </c>
      <c r="AR42" s="110">
        <v>10000000</v>
      </c>
      <c r="AS42" s="110">
        <v>10000000</v>
      </c>
      <c r="AT42" s="110">
        <v>10000000</v>
      </c>
      <c r="AU42" s="110">
        <v>10000000</v>
      </c>
      <c r="AV42" s="110">
        <v>10000000</v>
      </c>
      <c r="AW42" s="110">
        <v>10000000</v>
      </c>
      <c r="AX42" s="110">
        <v>10000000</v>
      </c>
    </row>
    <row r="43" spans="2:50" x14ac:dyDescent="0.2">
      <c r="B43" s="180" t="s">
        <v>109</v>
      </c>
      <c r="C43" s="110">
        <v>10000000</v>
      </c>
      <c r="D43" s="110">
        <v>10000000</v>
      </c>
      <c r="E43" s="110">
        <v>10000000</v>
      </c>
      <c r="F43" s="110">
        <v>10000000</v>
      </c>
      <c r="G43" s="110">
        <v>10000000</v>
      </c>
      <c r="H43" s="110">
        <v>10000000</v>
      </c>
      <c r="I43" s="110">
        <v>10000000</v>
      </c>
      <c r="J43" s="110">
        <v>10000000</v>
      </c>
      <c r="K43" s="110">
        <v>10000000</v>
      </c>
      <c r="L43" s="110">
        <v>10000000</v>
      </c>
      <c r="M43" s="110">
        <v>10000000</v>
      </c>
      <c r="N43" s="110">
        <v>10000000</v>
      </c>
      <c r="O43" s="110">
        <v>10000000</v>
      </c>
      <c r="P43" s="110">
        <v>10000000</v>
      </c>
      <c r="Q43" s="110">
        <v>10000000</v>
      </c>
      <c r="R43" s="110">
        <v>10000000</v>
      </c>
      <c r="S43" s="110">
        <v>10000000</v>
      </c>
      <c r="T43" s="110">
        <v>10000000</v>
      </c>
      <c r="U43" s="110">
        <v>10000000</v>
      </c>
      <c r="V43" s="110">
        <v>10000000</v>
      </c>
      <c r="W43" s="110">
        <v>10000000</v>
      </c>
      <c r="X43" s="110">
        <v>10000000</v>
      </c>
      <c r="Y43" s="110">
        <v>10000000</v>
      </c>
      <c r="Z43" s="110">
        <v>10000000</v>
      </c>
      <c r="AA43" s="110">
        <v>10000000</v>
      </c>
      <c r="AB43" s="110">
        <v>10000000</v>
      </c>
      <c r="AC43" s="110">
        <v>10000000</v>
      </c>
      <c r="AD43" s="110">
        <v>10000000</v>
      </c>
      <c r="AE43" s="110">
        <v>10000000</v>
      </c>
      <c r="AF43" s="110">
        <v>10000000</v>
      </c>
      <c r="AG43" s="110">
        <v>10000000</v>
      </c>
      <c r="AH43" s="110">
        <v>10000000</v>
      </c>
      <c r="AI43" s="110">
        <v>10000000</v>
      </c>
      <c r="AJ43" s="110">
        <v>10000000</v>
      </c>
      <c r="AK43" s="110">
        <v>10000000</v>
      </c>
      <c r="AL43" s="110">
        <v>10000000</v>
      </c>
      <c r="AM43" s="110">
        <v>10000000</v>
      </c>
      <c r="AN43" s="110">
        <v>10000000</v>
      </c>
      <c r="AO43" s="110">
        <v>10000000</v>
      </c>
      <c r="AP43" s="110">
        <v>10000000</v>
      </c>
      <c r="AQ43" s="110">
        <v>10000000</v>
      </c>
      <c r="AR43" s="110">
        <v>10000000</v>
      </c>
      <c r="AS43" s="110">
        <v>10000000</v>
      </c>
      <c r="AT43" s="110">
        <v>10000000</v>
      </c>
      <c r="AU43" s="110">
        <v>10000000</v>
      </c>
      <c r="AV43" s="110">
        <v>10000000</v>
      </c>
      <c r="AW43" s="110">
        <v>10000000</v>
      </c>
      <c r="AX43" s="110">
        <v>10000000</v>
      </c>
    </row>
    <row r="45" spans="2:50" x14ac:dyDescent="0.2">
      <c r="B45" s="113" t="s">
        <v>326</v>
      </c>
    </row>
    <row r="46" spans="2:50" x14ac:dyDescent="0.2">
      <c r="B46" s="109" t="s">
        <v>276</v>
      </c>
      <c r="C46" s="109" t="s">
        <v>92</v>
      </c>
      <c r="D46" s="111"/>
      <c r="E46" s="111"/>
      <c r="F46" s="111"/>
      <c r="G46" s="109" t="s">
        <v>93</v>
      </c>
      <c r="H46" s="111"/>
      <c r="I46" s="111"/>
      <c r="J46" s="111"/>
      <c r="K46" s="109" t="s">
        <v>94</v>
      </c>
      <c r="L46" s="111"/>
      <c r="M46" s="111"/>
      <c r="N46" s="111"/>
      <c r="O46" s="109" t="s">
        <v>95</v>
      </c>
      <c r="P46" s="111"/>
      <c r="Q46" s="111"/>
      <c r="R46" s="111"/>
      <c r="S46" s="109" t="s">
        <v>96</v>
      </c>
      <c r="T46" s="111"/>
      <c r="U46" s="111"/>
      <c r="V46" s="111"/>
      <c r="W46" s="109" t="s">
        <v>97</v>
      </c>
      <c r="X46" s="111"/>
      <c r="Y46" s="111"/>
      <c r="Z46" s="111"/>
      <c r="AA46" s="109" t="s">
        <v>98</v>
      </c>
      <c r="AB46" s="111"/>
      <c r="AC46" s="111"/>
      <c r="AD46" s="111"/>
      <c r="AE46" s="109" t="s">
        <v>99</v>
      </c>
      <c r="AF46" s="111"/>
      <c r="AG46" s="111"/>
      <c r="AH46" s="111"/>
      <c r="AI46" s="109" t="s">
        <v>100</v>
      </c>
      <c r="AJ46" s="111"/>
      <c r="AK46" s="111"/>
      <c r="AL46" s="111"/>
      <c r="AM46" s="109" t="s">
        <v>101</v>
      </c>
      <c r="AN46" s="111"/>
      <c r="AO46" s="111"/>
      <c r="AP46" s="111"/>
      <c r="AQ46" s="109" t="s">
        <v>102</v>
      </c>
      <c r="AR46" s="111"/>
      <c r="AS46" s="111"/>
      <c r="AT46" s="111"/>
      <c r="AU46" s="109" t="s">
        <v>103</v>
      </c>
      <c r="AV46" s="111"/>
      <c r="AW46" s="111"/>
    </row>
    <row r="47" spans="2:50" x14ac:dyDescent="0.2">
      <c r="B47" s="109" t="s">
        <v>327</v>
      </c>
      <c r="C47" s="109">
        <v>1</v>
      </c>
      <c r="D47" s="109">
        <v>2</v>
      </c>
      <c r="E47" s="109">
        <v>3</v>
      </c>
      <c r="F47" s="109">
        <v>4</v>
      </c>
      <c r="G47" s="109">
        <v>1</v>
      </c>
      <c r="H47" s="109">
        <v>2</v>
      </c>
      <c r="I47" s="109">
        <v>3</v>
      </c>
      <c r="J47" s="109">
        <v>4</v>
      </c>
      <c r="K47" s="109">
        <v>1</v>
      </c>
      <c r="L47" s="109">
        <v>2</v>
      </c>
      <c r="M47" s="109">
        <v>3</v>
      </c>
      <c r="N47" s="109">
        <v>4</v>
      </c>
      <c r="O47" s="109">
        <v>1</v>
      </c>
      <c r="P47" s="109">
        <v>2</v>
      </c>
      <c r="Q47" s="109">
        <v>3</v>
      </c>
      <c r="R47" s="109">
        <v>4</v>
      </c>
      <c r="S47" s="109">
        <v>1</v>
      </c>
      <c r="T47" s="109">
        <v>2</v>
      </c>
      <c r="U47" s="109">
        <v>3</v>
      </c>
      <c r="V47" s="109">
        <v>4</v>
      </c>
      <c r="W47" s="109">
        <v>1</v>
      </c>
      <c r="X47" s="109">
        <v>2</v>
      </c>
      <c r="Y47" s="109">
        <v>3</v>
      </c>
      <c r="Z47" s="109">
        <v>4</v>
      </c>
      <c r="AA47" s="109">
        <v>1</v>
      </c>
      <c r="AB47" s="109">
        <v>2</v>
      </c>
      <c r="AC47" s="109">
        <v>3</v>
      </c>
      <c r="AD47" s="109">
        <v>4</v>
      </c>
      <c r="AE47" s="109">
        <v>1</v>
      </c>
      <c r="AF47" s="109">
        <v>2</v>
      </c>
      <c r="AG47" s="109">
        <v>3</v>
      </c>
      <c r="AH47" s="109">
        <v>4</v>
      </c>
      <c r="AI47" s="109">
        <v>1</v>
      </c>
      <c r="AJ47" s="109">
        <v>2</v>
      </c>
      <c r="AK47" s="109">
        <v>3</v>
      </c>
      <c r="AL47" s="109">
        <v>4</v>
      </c>
      <c r="AM47" s="109">
        <v>1</v>
      </c>
      <c r="AN47" s="109">
        <v>2</v>
      </c>
      <c r="AO47" s="109">
        <v>3</v>
      </c>
      <c r="AP47" s="109">
        <v>4</v>
      </c>
      <c r="AQ47" s="109">
        <v>1</v>
      </c>
      <c r="AR47" s="109">
        <v>2</v>
      </c>
      <c r="AS47" s="109">
        <v>3</v>
      </c>
      <c r="AT47" s="109">
        <v>4</v>
      </c>
      <c r="AU47" s="109">
        <v>1</v>
      </c>
      <c r="AV47" s="109">
        <v>2</v>
      </c>
      <c r="AW47" s="109">
        <v>3</v>
      </c>
      <c r="AX47" s="109">
        <v>4</v>
      </c>
    </row>
    <row r="48" spans="2:50" x14ac:dyDescent="0.2">
      <c r="B48" s="109" t="s">
        <v>104</v>
      </c>
      <c r="C48" s="110">
        <v>3461.7937995164798</v>
      </c>
      <c r="D48" s="110">
        <v>3461.7937995164798</v>
      </c>
      <c r="E48" s="110">
        <v>3461.7937995164798</v>
      </c>
      <c r="F48" s="110">
        <v>3461.7937995164798</v>
      </c>
      <c r="G48" s="110">
        <v>3760.3976259350202</v>
      </c>
      <c r="H48" s="110">
        <v>3760.3976259350202</v>
      </c>
      <c r="I48" s="110">
        <v>3760.3976259350202</v>
      </c>
      <c r="J48" s="110">
        <v>3760.3976259350202</v>
      </c>
      <c r="K48" s="110">
        <v>9161.44507501931</v>
      </c>
      <c r="L48" s="110">
        <v>9161.44507501931</v>
      </c>
      <c r="M48" s="110">
        <v>9161.44507501931</v>
      </c>
      <c r="N48" s="110">
        <v>9161.44507501931</v>
      </c>
      <c r="O48" s="110">
        <v>10992.227270376199</v>
      </c>
      <c r="P48" s="110">
        <v>10992.227270376199</v>
      </c>
      <c r="Q48" s="110">
        <v>10992.227270376199</v>
      </c>
      <c r="R48" s="110">
        <v>10992.227270376199</v>
      </c>
      <c r="S48" s="110">
        <v>0</v>
      </c>
      <c r="T48" s="110">
        <v>0</v>
      </c>
      <c r="U48" s="110">
        <v>0</v>
      </c>
      <c r="V48" s="110">
        <v>0</v>
      </c>
      <c r="W48" s="110">
        <v>3774.2620015515799</v>
      </c>
      <c r="X48" s="110">
        <v>2619.7014871775555</v>
      </c>
      <c r="Y48" s="110">
        <v>3774.2620015515799</v>
      </c>
      <c r="Z48" s="110">
        <v>3774.2620015515799</v>
      </c>
      <c r="AA48" s="110">
        <v>8505.662670632657</v>
      </c>
      <c r="AB48" s="110">
        <v>7973.4628238466676</v>
      </c>
      <c r="AC48" s="110">
        <v>10769.506656009</v>
      </c>
      <c r="AD48" s="110">
        <v>10769.506656009</v>
      </c>
      <c r="AE48" s="110">
        <v>9671.6968556736701</v>
      </c>
      <c r="AF48" s="110">
        <v>9671.6968556736701</v>
      </c>
      <c r="AG48" s="110">
        <v>9671.6968556736701</v>
      </c>
      <c r="AH48" s="110">
        <v>9671.6968556736701</v>
      </c>
      <c r="AI48" s="110">
        <v>3385.8194847827199</v>
      </c>
      <c r="AJ48" s="110">
        <v>3385.8194847827199</v>
      </c>
      <c r="AK48" s="110">
        <v>3385.8194847827199</v>
      </c>
      <c r="AL48" s="110">
        <v>3385.8194847827199</v>
      </c>
      <c r="AM48" s="110">
        <v>8877.7970060667903</v>
      </c>
      <c r="AN48" s="110">
        <v>8877.7970060667903</v>
      </c>
      <c r="AO48" s="110">
        <v>8877.7970060667903</v>
      </c>
      <c r="AP48" s="110">
        <v>8877.7970060667903</v>
      </c>
      <c r="AQ48" s="110">
        <v>5727.4905567943197</v>
      </c>
      <c r="AR48" s="110">
        <v>5727.4905567943197</v>
      </c>
      <c r="AS48" s="110">
        <v>5727.4905567943197</v>
      </c>
      <c r="AT48" s="110">
        <v>5727.4905567943197</v>
      </c>
      <c r="AU48" s="110">
        <v>8344.7441571023101</v>
      </c>
      <c r="AV48" s="110">
        <v>8344.7441571023101</v>
      </c>
      <c r="AW48" s="110">
        <v>8344.7441571023101</v>
      </c>
      <c r="AX48" s="110">
        <v>8344.7441571023101</v>
      </c>
    </row>
    <row r="49" spans="2:51" x14ac:dyDescent="0.2">
      <c r="B49" s="109" t="s">
        <v>105</v>
      </c>
      <c r="C49" s="110">
        <v>973</v>
      </c>
      <c r="D49" s="110">
        <v>973</v>
      </c>
      <c r="E49" s="110">
        <v>973</v>
      </c>
      <c r="F49" s="110">
        <v>973</v>
      </c>
      <c r="G49" s="110">
        <v>0</v>
      </c>
      <c r="H49" s="110">
        <v>0</v>
      </c>
      <c r="I49" s="110">
        <v>0</v>
      </c>
      <c r="J49" s="110">
        <v>0</v>
      </c>
      <c r="K49" s="110">
        <v>456</v>
      </c>
      <c r="L49" s="110">
        <v>456</v>
      </c>
      <c r="M49" s="110">
        <v>456</v>
      </c>
      <c r="N49" s="110">
        <v>456</v>
      </c>
      <c r="O49" s="110">
        <v>709</v>
      </c>
      <c r="P49" s="110">
        <v>709</v>
      </c>
      <c r="Q49" s="110">
        <v>709</v>
      </c>
      <c r="R49" s="110">
        <v>709</v>
      </c>
      <c r="S49" s="110">
        <v>14856.4694334328</v>
      </c>
      <c r="T49" s="110">
        <v>14856.4694334328</v>
      </c>
      <c r="U49" s="110">
        <v>14856.4694334328</v>
      </c>
      <c r="V49" s="110">
        <v>14856.4694334328</v>
      </c>
      <c r="W49" s="110">
        <v>0</v>
      </c>
      <c r="X49" s="110">
        <v>0</v>
      </c>
      <c r="Y49" s="110">
        <v>0</v>
      </c>
      <c r="Z49" s="110">
        <v>0</v>
      </c>
      <c r="AA49" s="110">
        <v>0</v>
      </c>
      <c r="AB49" s="110">
        <v>0</v>
      </c>
      <c r="AC49" s="110">
        <v>0</v>
      </c>
      <c r="AD49" s="110">
        <v>0</v>
      </c>
      <c r="AE49" s="110">
        <v>751</v>
      </c>
      <c r="AF49" s="110">
        <v>751</v>
      </c>
      <c r="AG49" s="110">
        <v>751</v>
      </c>
      <c r="AH49" s="110">
        <v>751</v>
      </c>
      <c r="AI49" s="110">
        <v>0</v>
      </c>
      <c r="AJ49" s="110">
        <v>0</v>
      </c>
      <c r="AK49" s="110">
        <v>0</v>
      </c>
      <c r="AL49" s="110">
        <v>0</v>
      </c>
      <c r="AM49" s="110">
        <v>728</v>
      </c>
      <c r="AN49" s="110">
        <v>728</v>
      </c>
      <c r="AO49" s="110">
        <v>728</v>
      </c>
      <c r="AP49" s="110">
        <v>728</v>
      </c>
      <c r="AQ49" s="110">
        <v>820</v>
      </c>
      <c r="AR49" s="110">
        <v>820</v>
      </c>
      <c r="AS49" s="110">
        <v>820</v>
      </c>
      <c r="AT49" s="110">
        <v>820</v>
      </c>
      <c r="AU49" s="110">
        <v>982</v>
      </c>
      <c r="AV49" s="110">
        <v>982</v>
      </c>
      <c r="AW49" s="110">
        <v>982</v>
      </c>
      <c r="AX49" s="110">
        <v>982</v>
      </c>
    </row>
    <row r="50" spans="2:51" x14ac:dyDescent="0.2">
      <c r="B50" s="109" t="s">
        <v>106</v>
      </c>
      <c r="C50" s="110">
        <v>0</v>
      </c>
      <c r="D50" s="110">
        <v>0</v>
      </c>
      <c r="E50" s="110">
        <v>0</v>
      </c>
      <c r="F50" s="110">
        <v>0</v>
      </c>
      <c r="G50" s="110">
        <v>0</v>
      </c>
      <c r="H50" s="110">
        <v>0</v>
      </c>
      <c r="I50" s="110">
        <v>0</v>
      </c>
      <c r="J50" s="110">
        <v>0</v>
      </c>
      <c r="K50" s="110">
        <v>0</v>
      </c>
      <c r="L50" s="110">
        <v>0</v>
      </c>
      <c r="M50" s="110">
        <v>0</v>
      </c>
      <c r="N50" s="110">
        <v>0</v>
      </c>
      <c r="O50" s="110">
        <v>0</v>
      </c>
      <c r="P50" s="110">
        <v>0</v>
      </c>
      <c r="Q50" s="110">
        <v>0</v>
      </c>
      <c r="R50" s="110">
        <v>0</v>
      </c>
      <c r="S50" s="110">
        <v>0</v>
      </c>
      <c r="T50" s="110">
        <v>0</v>
      </c>
      <c r="U50" s="110">
        <v>0</v>
      </c>
      <c r="V50" s="110">
        <v>0</v>
      </c>
      <c r="W50" s="110">
        <v>3747</v>
      </c>
      <c r="X50" s="110">
        <v>3747</v>
      </c>
      <c r="Y50" s="110">
        <v>3747</v>
      </c>
      <c r="Z50" s="110">
        <v>3747</v>
      </c>
      <c r="AA50" s="110">
        <v>0</v>
      </c>
      <c r="AB50" s="110">
        <v>0</v>
      </c>
      <c r="AC50" s="110">
        <v>0</v>
      </c>
      <c r="AD50" s="110">
        <v>0</v>
      </c>
      <c r="AE50" s="110">
        <v>0</v>
      </c>
      <c r="AF50" s="110">
        <v>0</v>
      </c>
      <c r="AG50" s="110">
        <v>0</v>
      </c>
      <c r="AH50" s="110">
        <v>0</v>
      </c>
      <c r="AI50" s="110">
        <v>3019</v>
      </c>
      <c r="AJ50" s="110">
        <v>3019</v>
      </c>
      <c r="AK50" s="110">
        <v>3019</v>
      </c>
      <c r="AL50" s="110">
        <v>3019</v>
      </c>
      <c r="AM50" s="110">
        <v>1083</v>
      </c>
      <c r="AN50" s="110">
        <v>1083</v>
      </c>
      <c r="AO50" s="110">
        <v>1083</v>
      </c>
      <c r="AP50" s="110">
        <v>1083</v>
      </c>
      <c r="AQ50" s="110">
        <v>0</v>
      </c>
      <c r="AR50" s="110">
        <v>0</v>
      </c>
      <c r="AS50" s="110">
        <v>0</v>
      </c>
      <c r="AT50" s="110">
        <v>0</v>
      </c>
      <c r="AU50" s="110">
        <v>0</v>
      </c>
      <c r="AV50" s="110">
        <v>0</v>
      </c>
      <c r="AW50" s="110">
        <v>0</v>
      </c>
      <c r="AX50" s="110">
        <v>0</v>
      </c>
      <c r="AY50" s="122"/>
    </row>
    <row r="51" spans="2:51" x14ac:dyDescent="0.2">
      <c r="B51" s="109" t="s">
        <v>107</v>
      </c>
      <c r="C51" s="110">
        <v>0</v>
      </c>
      <c r="D51" s="110">
        <v>0</v>
      </c>
      <c r="E51" s="110">
        <v>0</v>
      </c>
      <c r="F51" s="110">
        <v>0</v>
      </c>
      <c r="G51" s="110">
        <v>1515</v>
      </c>
      <c r="H51" s="110">
        <v>1515</v>
      </c>
      <c r="I51" s="110">
        <v>1515</v>
      </c>
      <c r="J51" s="110">
        <v>1515</v>
      </c>
      <c r="K51" s="110">
        <v>0</v>
      </c>
      <c r="L51" s="110">
        <v>0</v>
      </c>
      <c r="M51" s="110">
        <v>0</v>
      </c>
      <c r="N51" s="110">
        <v>0</v>
      </c>
      <c r="O51" s="110">
        <v>0</v>
      </c>
      <c r="P51" s="110">
        <v>0</v>
      </c>
      <c r="Q51" s="110">
        <v>0</v>
      </c>
      <c r="R51" s="110">
        <v>0</v>
      </c>
      <c r="S51" s="110">
        <v>0</v>
      </c>
      <c r="T51" s="110">
        <v>0</v>
      </c>
      <c r="U51" s="110">
        <v>0</v>
      </c>
      <c r="V51" s="110">
        <v>0</v>
      </c>
      <c r="W51" s="110">
        <v>878</v>
      </c>
      <c r="X51" s="110">
        <v>878</v>
      </c>
      <c r="Y51" s="110">
        <v>878</v>
      </c>
      <c r="Z51" s="110">
        <v>878</v>
      </c>
      <c r="AA51" s="110">
        <v>973</v>
      </c>
      <c r="AB51" s="110">
        <v>973</v>
      </c>
      <c r="AC51" s="110">
        <v>973</v>
      </c>
      <c r="AD51" s="110">
        <v>973</v>
      </c>
      <c r="AE51" s="110">
        <v>0</v>
      </c>
      <c r="AF51" s="110">
        <v>0</v>
      </c>
      <c r="AG51" s="110">
        <v>0</v>
      </c>
      <c r="AH51" s="110">
        <v>0</v>
      </c>
      <c r="AI51" s="110">
        <v>777</v>
      </c>
      <c r="AJ51" s="110">
        <v>777</v>
      </c>
      <c r="AK51" s="110">
        <v>777</v>
      </c>
      <c r="AL51" s="110">
        <v>777</v>
      </c>
      <c r="AM51" s="110">
        <v>0</v>
      </c>
      <c r="AN51" s="110">
        <v>0</v>
      </c>
      <c r="AO51" s="110">
        <v>0</v>
      </c>
      <c r="AP51" s="110">
        <v>0</v>
      </c>
      <c r="AQ51" s="110">
        <v>0</v>
      </c>
      <c r="AR51" s="110">
        <v>0</v>
      </c>
      <c r="AS51" s="110">
        <v>0</v>
      </c>
      <c r="AT51" s="110">
        <v>0</v>
      </c>
      <c r="AU51" s="110">
        <v>0</v>
      </c>
      <c r="AV51" s="110">
        <v>0</v>
      </c>
      <c r="AW51" s="110">
        <v>0</v>
      </c>
      <c r="AX51" s="110">
        <v>0</v>
      </c>
      <c r="AY51" s="121"/>
    </row>
    <row r="52" spans="2:51" x14ac:dyDescent="0.2">
      <c r="B52" s="109" t="s">
        <v>108</v>
      </c>
      <c r="C52" s="110">
        <v>8749.4027749999896</v>
      </c>
      <c r="D52" s="110">
        <v>8749.4027749999896</v>
      </c>
      <c r="E52" s="110">
        <v>8749.4027749999896</v>
      </c>
      <c r="F52" s="110">
        <v>8749.4027749999896</v>
      </c>
      <c r="G52" s="110">
        <v>6491.3024974989003</v>
      </c>
      <c r="H52" s="110">
        <v>6491.3024974989003</v>
      </c>
      <c r="I52" s="110">
        <v>6491.3024974989003</v>
      </c>
      <c r="J52" s="110">
        <v>6491.3024974989003</v>
      </c>
      <c r="K52" s="110">
        <v>0</v>
      </c>
      <c r="L52" s="110">
        <v>0</v>
      </c>
      <c r="M52" s="110">
        <v>0</v>
      </c>
      <c r="N52" s="110">
        <v>0</v>
      </c>
      <c r="O52" s="110">
        <v>0</v>
      </c>
      <c r="P52" s="110">
        <v>0</v>
      </c>
      <c r="Q52" s="110">
        <v>0</v>
      </c>
      <c r="R52" s="110">
        <v>0</v>
      </c>
      <c r="S52" s="110">
        <v>0</v>
      </c>
      <c r="T52" s="110">
        <v>0</v>
      </c>
      <c r="U52" s="110">
        <v>0</v>
      </c>
      <c r="V52" s="110">
        <v>0</v>
      </c>
      <c r="W52" s="110">
        <v>0</v>
      </c>
      <c r="X52" s="110">
        <v>0</v>
      </c>
      <c r="Y52" s="110">
        <v>0</v>
      </c>
      <c r="Z52" s="110">
        <v>0</v>
      </c>
      <c r="AA52" s="110">
        <v>0</v>
      </c>
      <c r="AB52" s="110">
        <v>0</v>
      </c>
      <c r="AC52" s="110">
        <v>0</v>
      </c>
      <c r="AD52" s="110">
        <v>0</v>
      </c>
      <c r="AE52" s="110">
        <v>0</v>
      </c>
      <c r="AF52" s="110">
        <v>0</v>
      </c>
      <c r="AG52" s="110">
        <v>0</v>
      </c>
      <c r="AH52" s="110">
        <v>0</v>
      </c>
      <c r="AI52" s="110">
        <v>4994.0463057799998</v>
      </c>
      <c r="AJ52" s="110">
        <v>4994.0463057799998</v>
      </c>
      <c r="AK52" s="110">
        <v>4994.0463057799998</v>
      </c>
      <c r="AL52" s="110">
        <v>4994.0463057799998</v>
      </c>
      <c r="AM52" s="110">
        <v>0</v>
      </c>
      <c r="AN52" s="110">
        <v>0</v>
      </c>
      <c r="AO52" s="110">
        <v>0</v>
      </c>
      <c r="AP52" s="110">
        <v>0</v>
      </c>
      <c r="AQ52" s="110">
        <v>0</v>
      </c>
      <c r="AR52" s="110">
        <v>0</v>
      </c>
      <c r="AS52" s="110">
        <v>0</v>
      </c>
      <c r="AT52" s="110">
        <v>0</v>
      </c>
      <c r="AU52" s="110">
        <v>0</v>
      </c>
      <c r="AV52" s="110">
        <v>0</v>
      </c>
      <c r="AW52" s="110">
        <v>0</v>
      </c>
      <c r="AX52" s="110">
        <v>0</v>
      </c>
    </row>
    <row r="53" spans="2:51" x14ac:dyDescent="0.2">
      <c r="B53" s="109" t="s">
        <v>109</v>
      </c>
      <c r="C53" s="110">
        <v>0</v>
      </c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</row>
    <row r="55" spans="2:51" x14ac:dyDescent="0.2">
      <c r="B55" s="184" t="s">
        <v>328</v>
      </c>
      <c r="C55" s="185"/>
      <c r="D55" s="185"/>
      <c r="E55" s="185"/>
      <c r="F55" s="185"/>
      <c r="G55" s="185"/>
      <c r="H55" s="185"/>
      <c r="I55" s="185"/>
      <c r="J55" s="185"/>
      <c r="K55" s="185"/>
      <c r="L55" s="185"/>
      <c r="M55" s="185"/>
      <c r="N55" s="185"/>
      <c r="O55" s="185"/>
      <c r="P55" s="185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185"/>
      <c r="AB55" s="185"/>
      <c r="AC55" s="185"/>
      <c r="AD55" s="185"/>
      <c r="AE55" s="185"/>
      <c r="AF55" s="185"/>
      <c r="AG55" s="185"/>
      <c r="AH55" s="185"/>
      <c r="AI55" s="185"/>
      <c r="AJ55" s="185"/>
      <c r="AK55" s="185"/>
      <c r="AL55" s="185"/>
      <c r="AM55" s="185"/>
      <c r="AN55" s="185"/>
      <c r="AO55" s="185"/>
      <c r="AP55" s="185"/>
      <c r="AQ55" s="185"/>
      <c r="AR55" s="185"/>
      <c r="AS55" s="185"/>
      <c r="AT55" s="185"/>
      <c r="AU55" s="185"/>
      <c r="AV55" s="185"/>
      <c r="AW55" s="185"/>
      <c r="AX55" s="185"/>
    </row>
    <row r="56" spans="2:51" x14ac:dyDescent="0.2">
      <c r="B56" s="115" t="s">
        <v>276</v>
      </c>
      <c r="C56" s="115" t="s">
        <v>92</v>
      </c>
      <c r="D56" s="111"/>
      <c r="E56" s="111"/>
      <c r="F56" s="111"/>
      <c r="G56" s="115" t="s">
        <v>93</v>
      </c>
      <c r="H56" s="111"/>
      <c r="I56" s="111"/>
      <c r="J56" s="111"/>
      <c r="K56" s="115" t="s">
        <v>94</v>
      </c>
      <c r="L56" s="111"/>
      <c r="M56" s="111"/>
      <c r="N56" s="111"/>
      <c r="O56" s="115" t="s">
        <v>95</v>
      </c>
      <c r="P56" s="111"/>
      <c r="Q56" s="111"/>
      <c r="R56" s="111"/>
      <c r="S56" s="115" t="s">
        <v>96</v>
      </c>
      <c r="T56" s="111"/>
      <c r="U56" s="111"/>
      <c r="V56" s="111"/>
      <c r="W56" s="115" t="s">
        <v>97</v>
      </c>
      <c r="X56" s="111"/>
      <c r="Y56" s="111"/>
      <c r="Z56" s="111"/>
      <c r="AA56" s="115" t="s">
        <v>98</v>
      </c>
      <c r="AB56" s="111"/>
      <c r="AC56" s="111"/>
      <c r="AD56" s="111"/>
      <c r="AE56" s="115" t="s">
        <v>99</v>
      </c>
      <c r="AF56" s="111"/>
      <c r="AG56" s="111"/>
      <c r="AH56" s="111"/>
      <c r="AI56" s="115" t="s">
        <v>100</v>
      </c>
      <c r="AJ56" s="111"/>
      <c r="AK56" s="111"/>
      <c r="AL56" s="111"/>
      <c r="AM56" s="115" t="s">
        <v>101</v>
      </c>
      <c r="AN56" s="111"/>
      <c r="AO56" s="111"/>
      <c r="AP56" s="111"/>
      <c r="AQ56" s="115" t="s">
        <v>102</v>
      </c>
      <c r="AR56" s="111"/>
      <c r="AS56" s="111"/>
      <c r="AT56" s="111"/>
      <c r="AU56" s="115" t="s">
        <v>103</v>
      </c>
      <c r="AV56" s="111"/>
      <c r="AW56" s="111"/>
    </row>
    <row r="57" spans="2:51" x14ac:dyDescent="0.2">
      <c r="B57" s="115" t="s">
        <v>327</v>
      </c>
      <c r="C57" s="115">
        <v>1</v>
      </c>
      <c r="D57" s="115">
        <v>2</v>
      </c>
      <c r="E57" s="115">
        <v>3</v>
      </c>
      <c r="F57" s="115">
        <v>4</v>
      </c>
      <c r="G57" s="115">
        <v>1</v>
      </c>
      <c r="H57" s="115">
        <v>2</v>
      </c>
      <c r="I57" s="115">
        <v>3</v>
      </c>
      <c r="J57" s="115">
        <v>4</v>
      </c>
      <c r="K57" s="115">
        <v>1</v>
      </c>
      <c r="L57" s="115">
        <v>2</v>
      </c>
      <c r="M57" s="115">
        <v>3</v>
      </c>
      <c r="N57" s="115">
        <v>4</v>
      </c>
      <c r="O57" s="115">
        <v>1</v>
      </c>
      <c r="P57" s="115">
        <v>2</v>
      </c>
      <c r="Q57" s="115">
        <v>3</v>
      </c>
      <c r="R57" s="115">
        <v>4</v>
      </c>
      <c r="S57" s="115">
        <v>1</v>
      </c>
      <c r="T57" s="115">
        <v>2</v>
      </c>
      <c r="U57" s="115">
        <v>3</v>
      </c>
      <c r="V57" s="115">
        <v>4</v>
      </c>
      <c r="W57" s="115">
        <v>1</v>
      </c>
      <c r="X57" s="115">
        <v>2</v>
      </c>
      <c r="Y57" s="115">
        <v>3</v>
      </c>
      <c r="Z57" s="115">
        <v>4</v>
      </c>
      <c r="AA57" s="115">
        <v>1</v>
      </c>
      <c r="AB57" s="115">
        <v>2</v>
      </c>
      <c r="AC57" s="115">
        <v>3</v>
      </c>
      <c r="AD57" s="115">
        <v>4</v>
      </c>
      <c r="AE57" s="115">
        <v>1</v>
      </c>
      <c r="AF57" s="115">
        <v>2</v>
      </c>
      <c r="AG57" s="115">
        <v>3</v>
      </c>
      <c r="AH57" s="115">
        <v>4</v>
      </c>
      <c r="AI57" s="115">
        <v>1</v>
      </c>
      <c r="AJ57" s="115">
        <v>2</v>
      </c>
      <c r="AK57" s="115">
        <v>3</v>
      </c>
      <c r="AL57" s="115">
        <v>4</v>
      </c>
      <c r="AM57" s="115">
        <v>1</v>
      </c>
      <c r="AN57" s="115">
        <v>2</v>
      </c>
      <c r="AO57" s="115">
        <v>3</v>
      </c>
      <c r="AP57" s="115">
        <v>4</v>
      </c>
      <c r="AQ57" s="115">
        <v>1</v>
      </c>
      <c r="AR57" s="115">
        <v>2</v>
      </c>
      <c r="AS57" s="115">
        <v>3</v>
      </c>
      <c r="AT57" s="115">
        <v>4</v>
      </c>
      <c r="AU57" s="115">
        <v>1</v>
      </c>
      <c r="AV57" s="115">
        <v>2</v>
      </c>
      <c r="AW57" s="115">
        <v>3</v>
      </c>
      <c r="AX57" s="115">
        <v>4</v>
      </c>
    </row>
    <row r="58" spans="2:51" x14ac:dyDescent="0.2">
      <c r="B58" s="115" t="s">
        <v>104</v>
      </c>
      <c r="C58" s="110">
        <v>4808788.9715089733</v>
      </c>
      <c r="D58" s="110">
        <v>4808788.9715089733</v>
      </c>
      <c r="E58" s="110">
        <v>4808788.9715089733</v>
      </c>
      <c r="F58" s="110">
        <v>4808788.9715089733</v>
      </c>
      <c r="G58" s="110">
        <v>4278113.9670468587</v>
      </c>
      <c r="H58" s="110">
        <v>4278113.9670468587</v>
      </c>
      <c r="I58" s="110">
        <v>4278113.9670468587</v>
      </c>
      <c r="J58" s="110">
        <v>4278113.9670468587</v>
      </c>
      <c r="K58" s="110">
        <v>9859546.3441746645</v>
      </c>
      <c r="L58" s="110">
        <v>9859546.3441746645</v>
      </c>
      <c r="M58" s="110">
        <v>9859546.3441746645</v>
      </c>
      <c r="N58" s="110">
        <v>9859546.3441746645</v>
      </c>
      <c r="O58" s="110">
        <v>14252313.533207357</v>
      </c>
      <c r="P58" s="110">
        <v>14252313.533207357</v>
      </c>
      <c r="Q58" s="110">
        <v>14252313.533207357</v>
      </c>
      <c r="R58" s="110">
        <v>14252313.533207357</v>
      </c>
      <c r="S58" s="110">
        <v>0</v>
      </c>
      <c r="T58" s="110">
        <v>0</v>
      </c>
      <c r="U58" s="110">
        <v>0</v>
      </c>
      <c r="V58" s="110">
        <v>0</v>
      </c>
      <c r="W58" s="110">
        <v>6982764.2282941062</v>
      </c>
      <c r="X58" s="110">
        <v>4846711.1784905884</v>
      </c>
      <c r="Y58" s="110">
        <v>6982764.2282941062</v>
      </c>
      <c r="Z58" s="110">
        <v>6982764.2282941062</v>
      </c>
      <c r="AA58" s="110">
        <v>13025249.139356762</v>
      </c>
      <c r="AB58" s="110">
        <v>12210258.483749278</v>
      </c>
      <c r="AC58" s="110">
        <v>16492013.936410243</v>
      </c>
      <c r="AD58" s="110">
        <v>16492013.936410243</v>
      </c>
      <c r="AE58" s="110">
        <v>11330313.744914427</v>
      </c>
      <c r="AF58" s="110">
        <v>11330313.744914427</v>
      </c>
      <c r="AG58" s="110">
        <v>11330313.744914427</v>
      </c>
      <c r="AH58" s="110">
        <v>11330313.744914427</v>
      </c>
      <c r="AI58" s="110">
        <v>3620747.3790932777</v>
      </c>
      <c r="AJ58" s="110">
        <v>3620747.3790932777</v>
      </c>
      <c r="AK58" s="110">
        <v>3620747.3790932777</v>
      </c>
      <c r="AL58" s="110">
        <v>3620747.3790932777</v>
      </c>
      <c r="AM58" s="110">
        <v>9838427.1456977278</v>
      </c>
      <c r="AN58" s="110">
        <v>9838427.1456977278</v>
      </c>
      <c r="AO58" s="110">
        <v>9838427.1456977278</v>
      </c>
      <c r="AP58" s="110">
        <v>9838427.1456977278</v>
      </c>
      <c r="AQ58" s="110">
        <v>7705784.6952922596</v>
      </c>
      <c r="AR58" s="110">
        <v>7705784.6952922596</v>
      </c>
      <c r="AS58" s="110">
        <v>7705784.6952922596</v>
      </c>
      <c r="AT58" s="110">
        <v>7705784.6952922596</v>
      </c>
      <c r="AU58" s="110">
        <v>11803675.51557228</v>
      </c>
      <c r="AV58" s="110">
        <v>11803675.51557228</v>
      </c>
      <c r="AW58" s="110">
        <v>11803675.51557228</v>
      </c>
      <c r="AX58" s="110">
        <v>11803675.51557228</v>
      </c>
    </row>
    <row r="59" spans="2:51" x14ac:dyDescent="0.2">
      <c r="B59" s="115" t="s">
        <v>105</v>
      </c>
      <c r="C59" s="110">
        <v>1306297.5177768825</v>
      </c>
      <c r="D59" s="110">
        <v>1306297.5177768825</v>
      </c>
      <c r="E59" s="110">
        <v>1306297.5177768825</v>
      </c>
      <c r="F59" s="110">
        <v>1306297.5177768825</v>
      </c>
      <c r="G59" s="110">
        <v>0</v>
      </c>
      <c r="H59" s="110">
        <v>0</v>
      </c>
      <c r="I59" s="110">
        <v>0</v>
      </c>
      <c r="J59" s="110">
        <v>0</v>
      </c>
      <c r="K59" s="110">
        <v>787515.18308468966</v>
      </c>
      <c r="L59" s="110">
        <v>787515.18308468966</v>
      </c>
      <c r="M59" s="110">
        <v>787515.18308468966</v>
      </c>
      <c r="N59" s="110">
        <v>787515.18308468966</v>
      </c>
      <c r="O59" s="110">
        <v>992176.47956982232</v>
      </c>
      <c r="P59" s="110">
        <v>992176.47956982232</v>
      </c>
      <c r="Q59" s="110">
        <v>992176.47956982232</v>
      </c>
      <c r="R59" s="110">
        <v>992176.47956982232</v>
      </c>
      <c r="S59" s="110">
        <v>21786378.976305921</v>
      </c>
      <c r="T59" s="110">
        <v>21786378.976305921</v>
      </c>
      <c r="U59" s="110">
        <v>21786378.976305921</v>
      </c>
      <c r="V59" s="110">
        <v>21786378.976305921</v>
      </c>
      <c r="W59" s="110">
        <v>0</v>
      </c>
      <c r="X59" s="110">
        <v>0</v>
      </c>
      <c r="Y59" s="110">
        <v>0</v>
      </c>
      <c r="Z59" s="110">
        <v>0</v>
      </c>
      <c r="AA59" s="110">
        <v>0</v>
      </c>
      <c r="AB59" s="110">
        <v>0</v>
      </c>
      <c r="AC59" s="110">
        <v>0</v>
      </c>
      <c r="AD59" s="110">
        <v>0</v>
      </c>
      <c r="AE59" s="110">
        <v>1018998.7381311316</v>
      </c>
      <c r="AF59" s="110">
        <v>1018998.7381311316</v>
      </c>
      <c r="AG59" s="110">
        <v>1018998.7381311316</v>
      </c>
      <c r="AH59" s="110">
        <v>1018998.7381311316</v>
      </c>
      <c r="AI59" s="110">
        <v>0</v>
      </c>
      <c r="AJ59" s="110">
        <v>0</v>
      </c>
      <c r="AK59" s="110">
        <v>0</v>
      </c>
      <c r="AL59" s="110">
        <v>0</v>
      </c>
      <c r="AM59" s="110">
        <v>1015762.6690599234</v>
      </c>
      <c r="AN59" s="110">
        <v>1015762.6690599234</v>
      </c>
      <c r="AO59" s="110">
        <v>1015762.6690599234</v>
      </c>
      <c r="AP59" s="110">
        <v>1015762.6690599234</v>
      </c>
      <c r="AQ59" s="110">
        <v>1041512.6689889737</v>
      </c>
      <c r="AR59" s="110">
        <v>1041512.6689889737</v>
      </c>
      <c r="AS59" s="110">
        <v>1041512.6689889737</v>
      </c>
      <c r="AT59" s="110">
        <v>1041512.6689889737</v>
      </c>
      <c r="AU59" s="110">
        <v>1440536.76530011</v>
      </c>
      <c r="AV59" s="110">
        <v>1440536.76530011</v>
      </c>
      <c r="AW59" s="110">
        <v>1440536.76530011</v>
      </c>
      <c r="AX59" s="110">
        <v>1440536.76530011</v>
      </c>
    </row>
    <row r="60" spans="2:51" x14ac:dyDescent="0.2">
      <c r="B60" s="115" t="s">
        <v>106</v>
      </c>
      <c r="C60" s="110">
        <v>0</v>
      </c>
      <c r="D60" s="110">
        <v>0</v>
      </c>
      <c r="E60" s="110">
        <v>0</v>
      </c>
      <c r="F60" s="110">
        <v>0</v>
      </c>
      <c r="G60" s="110">
        <v>0</v>
      </c>
      <c r="H60" s="110">
        <v>0</v>
      </c>
      <c r="I60" s="110">
        <v>0</v>
      </c>
      <c r="J60" s="110">
        <v>0</v>
      </c>
      <c r="K60" s="110">
        <v>0</v>
      </c>
      <c r="L60" s="110">
        <v>0</v>
      </c>
      <c r="M60" s="110">
        <v>0</v>
      </c>
      <c r="N60" s="110">
        <v>0</v>
      </c>
      <c r="O60" s="110">
        <v>0</v>
      </c>
      <c r="P60" s="110">
        <v>0</v>
      </c>
      <c r="Q60" s="110">
        <v>0</v>
      </c>
      <c r="R60" s="110">
        <v>0</v>
      </c>
      <c r="S60" s="110">
        <v>0</v>
      </c>
      <c r="T60" s="110">
        <v>0</v>
      </c>
      <c r="U60" s="110">
        <v>0</v>
      </c>
      <c r="V60" s="110">
        <v>0</v>
      </c>
      <c r="W60" s="110">
        <v>5478340.0459929798</v>
      </c>
      <c r="X60" s="110">
        <v>5478340.0459929798</v>
      </c>
      <c r="Y60" s="110">
        <v>5478340.0459929798</v>
      </c>
      <c r="Z60" s="110">
        <v>5478340.0459929798</v>
      </c>
      <c r="AA60" s="110">
        <v>0</v>
      </c>
      <c r="AB60" s="110">
        <v>0</v>
      </c>
      <c r="AC60" s="110">
        <v>0</v>
      </c>
      <c r="AD60" s="110">
        <v>0</v>
      </c>
      <c r="AE60" s="110">
        <v>0</v>
      </c>
      <c r="AF60" s="110">
        <v>0</v>
      </c>
      <c r="AG60" s="110">
        <v>0</v>
      </c>
      <c r="AH60" s="110">
        <v>0</v>
      </c>
      <c r="AI60" s="110">
        <v>4434137.4774708068</v>
      </c>
      <c r="AJ60" s="110">
        <v>4434137.4774708068</v>
      </c>
      <c r="AK60" s="110">
        <v>4434137.4774708068</v>
      </c>
      <c r="AL60" s="110">
        <v>4434137.4774708068</v>
      </c>
      <c r="AM60" s="110">
        <v>1746599.4269551462</v>
      </c>
      <c r="AN60" s="110">
        <v>1746599.4269551462</v>
      </c>
      <c r="AO60" s="110">
        <v>1746599.4269551462</v>
      </c>
      <c r="AP60" s="110">
        <v>1746599.4269551462</v>
      </c>
      <c r="AQ60" s="110">
        <v>0</v>
      </c>
      <c r="AR60" s="110">
        <v>0</v>
      </c>
      <c r="AS60" s="110">
        <v>0</v>
      </c>
      <c r="AT60" s="110">
        <v>0</v>
      </c>
      <c r="AU60" s="110">
        <v>0</v>
      </c>
      <c r="AV60" s="110">
        <v>0</v>
      </c>
      <c r="AW60" s="110">
        <v>0</v>
      </c>
      <c r="AX60" s="110">
        <v>0</v>
      </c>
    </row>
    <row r="61" spans="2:51" x14ac:dyDescent="0.2">
      <c r="B61" s="115" t="s">
        <v>107</v>
      </c>
      <c r="C61" s="110">
        <v>0</v>
      </c>
      <c r="D61" s="110">
        <v>0</v>
      </c>
      <c r="E61" s="110">
        <v>0</v>
      </c>
      <c r="F61" s="110">
        <v>0</v>
      </c>
      <c r="G61" s="110">
        <v>2181048.35771761</v>
      </c>
      <c r="H61" s="110">
        <v>2181048.35771761</v>
      </c>
      <c r="I61" s="110">
        <v>2181048.35771761</v>
      </c>
      <c r="J61" s="110">
        <v>2181048.35771761</v>
      </c>
      <c r="K61" s="110">
        <v>0</v>
      </c>
      <c r="L61" s="110">
        <v>0</v>
      </c>
      <c r="M61" s="110">
        <v>0</v>
      </c>
      <c r="N61" s="110">
        <v>0</v>
      </c>
      <c r="O61" s="110">
        <v>0</v>
      </c>
      <c r="P61" s="110">
        <v>0</v>
      </c>
      <c r="Q61" s="110">
        <v>0</v>
      </c>
      <c r="R61" s="110">
        <v>0</v>
      </c>
      <c r="S61" s="110">
        <v>0</v>
      </c>
      <c r="T61" s="110">
        <v>0</v>
      </c>
      <c r="U61" s="110">
        <v>0</v>
      </c>
      <c r="V61" s="110">
        <v>0</v>
      </c>
      <c r="W61" s="110">
        <v>1383499.0951229604</v>
      </c>
      <c r="X61" s="110">
        <v>1383499.0951229604</v>
      </c>
      <c r="Y61" s="110">
        <v>1383499.0951229604</v>
      </c>
      <c r="Z61" s="110">
        <v>1383499.0951229604</v>
      </c>
      <c r="AA61" s="110">
        <v>1385615.2844561974</v>
      </c>
      <c r="AB61" s="110">
        <v>1385615.2844561974</v>
      </c>
      <c r="AC61" s="110">
        <v>1385615.2844561974</v>
      </c>
      <c r="AD61" s="110">
        <v>1385615.2844561974</v>
      </c>
      <c r="AE61" s="110">
        <v>0</v>
      </c>
      <c r="AF61" s="110">
        <v>0</v>
      </c>
      <c r="AG61" s="110">
        <v>0</v>
      </c>
      <c r="AH61" s="110">
        <v>0</v>
      </c>
      <c r="AI61" s="110">
        <v>1119626.8005285941</v>
      </c>
      <c r="AJ61" s="110">
        <v>1119626.8005285941</v>
      </c>
      <c r="AK61" s="110">
        <v>1119626.8005285941</v>
      </c>
      <c r="AL61" s="110">
        <v>1119626.8005285941</v>
      </c>
      <c r="AM61" s="110">
        <v>0</v>
      </c>
      <c r="AN61" s="110">
        <v>0</v>
      </c>
      <c r="AO61" s="110">
        <v>0</v>
      </c>
      <c r="AP61" s="110">
        <v>0</v>
      </c>
      <c r="AQ61" s="110">
        <v>0</v>
      </c>
      <c r="AR61" s="110">
        <v>0</v>
      </c>
      <c r="AS61" s="110">
        <v>0</v>
      </c>
      <c r="AT61" s="110">
        <v>0</v>
      </c>
      <c r="AU61" s="110">
        <v>0</v>
      </c>
      <c r="AV61" s="110">
        <v>0</v>
      </c>
      <c r="AW61" s="110">
        <v>0</v>
      </c>
      <c r="AX61" s="110">
        <v>0</v>
      </c>
    </row>
    <row r="62" spans="2:51" x14ac:dyDescent="0.2">
      <c r="B62" s="115" t="s">
        <v>108</v>
      </c>
      <c r="C62" s="110">
        <v>11953159.619301297</v>
      </c>
      <c r="D62" s="110">
        <v>11953159.619301297</v>
      </c>
      <c r="E62" s="110">
        <v>11953159.619301297</v>
      </c>
      <c r="F62" s="110">
        <v>11953159.619301297</v>
      </c>
      <c r="G62" s="110">
        <v>8860642.4343328513</v>
      </c>
      <c r="H62" s="110">
        <v>8860642.4343328513</v>
      </c>
      <c r="I62" s="110">
        <v>8860642.4343328513</v>
      </c>
      <c r="J62" s="110">
        <v>8860642.4343328513</v>
      </c>
      <c r="K62" s="110">
        <v>0</v>
      </c>
      <c r="L62" s="110">
        <v>0</v>
      </c>
      <c r="M62" s="110">
        <v>0</v>
      </c>
      <c r="N62" s="110">
        <v>0</v>
      </c>
      <c r="O62" s="110">
        <v>0</v>
      </c>
      <c r="P62" s="110">
        <v>0</v>
      </c>
      <c r="Q62" s="110">
        <v>0</v>
      </c>
      <c r="R62" s="110">
        <v>0</v>
      </c>
      <c r="S62" s="110">
        <v>0</v>
      </c>
      <c r="T62" s="110">
        <v>0</v>
      </c>
      <c r="U62" s="110">
        <v>0</v>
      </c>
      <c r="V62" s="110">
        <v>0</v>
      </c>
      <c r="W62" s="110">
        <v>0</v>
      </c>
      <c r="X62" s="110">
        <v>0</v>
      </c>
      <c r="Y62" s="110">
        <v>0</v>
      </c>
      <c r="Z62" s="110">
        <v>0</v>
      </c>
      <c r="AA62" s="110">
        <v>0</v>
      </c>
      <c r="AB62" s="110">
        <v>0</v>
      </c>
      <c r="AC62" s="110">
        <v>0</v>
      </c>
      <c r="AD62" s="110">
        <v>0</v>
      </c>
      <c r="AE62" s="110">
        <v>0</v>
      </c>
      <c r="AF62" s="110">
        <v>0</v>
      </c>
      <c r="AG62" s="110">
        <v>0</v>
      </c>
      <c r="AH62" s="110">
        <v>0</v>
      </c>
      <c r="AI62" s="110">
        <v>6887969.1444240548</v>
      </c>
      <c r="AJ62" s="110">
        <v>6887969.1444240548</v>
      </c>
      <c r="AK62" s="110">
        <v>6887969.1444240548</v>
      </c>
      <c r="AL62" s="110">
        <v>6887969.1444240548</v>
      </c>
      <c r="AM62" s="110">
        <v>0</v>
      </c>
      <c r="AN62" s="110">
        <v>0</v>
      </c>
      <c r="AO62" s="110">
        <v>0</v>
      </c>
      <c r="AP62" s="110">
        <v>0</v>
      </c>
      <c r="AQ62" s="110">
        <v>0</v>
      </c>
      <c r="AR62" s="110">
        <v>0</v>
      </c>
      <c r="AS62" s="110">
        <v>0</v>
      </c>
      <c r="AT62" s="110">
        <v>0</v>
      </c>
      <c r="AU62" s="110">
        <v>0</v>
      </c>
      <c r="AV62" s="110">
        <v>0</v>
      </c>
      <c r="AW62" s="110">
        <v>0</v>
      </c>
      <c r="AX62" s="110">
        <v>0</v>
      </c>
    </row>
    <row r="63" spans="2:51" x14ac:dyDescent="0.2">
      <c r="B63" s="115" t="s">
        <v>109</v>
      </c>
      <c r="C63" s="110">
        <v>0</v>
      </c>
      <c r="D63" s="110">
        <v>0</v>
      </c>
      <c r="E63" s="110">
        <v>0</v>
      </c>
      <c r="F63" s="110">
        <v>0</v>
      </c>
      <c r="G63" s="110">
        <v>0</v>
      </c>
      <c r="H63" s="110">
        <v>0</v>
      </c>
      <c r="I63" s="110">
        <v>0</v>
      </c>
      <c r="J63" s="110">
        <v>0</v>
      </c>
      <c r="K63" s="110">
        <v>0</v>
      </c>
      <c r="L63" s="110">
        <v>0</v>
      </c>
      <c r="M63" s="110">
        <v>0</v>
      </c>
      <c r="N63" s="110">
        <v>0</v>
      </c>
      <c r="O63" s="110">
        <v>0</v>
      </c>
      <c r="P63" s="110">
        <v>0</v>
      </c>
      <c r="Q63" s="110">
        <v>0</v>
      </c>
      <c r="R63" s="110">
        <v>0</v>
      </c>
      <c r="S63" s="110">
        <v>0</v>
      </c>
      <c r="T63" s="110">
        <v>0</v>
      </c>
      <c r="U63" s="110">
        <v>0</v>
      </c>
      <c r="V63" s="110">
        <v>0</v>
      </c>
      <c r="W63" s="110">
        <v>0</v>
      </c>
      <c r="X63" s="110">
        <v>0</v>
      </c>
      <c r="Y63" s="110">
        <v>0</v>
      </c>
      <c r="Z63" s="110">
        <v>0</v>
      </c>
      <c r="AA63" s="110">
        <v>0</v>
      </c>
      <c r="AB63" s="110">
        <v>0</v>
      </c>
      <c r="AC63" s="110">
        <v>0</v>
      </c>
      <c r="AD63" s="110">
        <v>0</v>
      </c>
      <c r="AE63" s="110">
        <v>0</v>
      </c>
      <c r="AF63" s="110">
        <v>0</v>
      </c>
      <c r="AG63" s="110">
        <v>0</v>
      </c>
      <c r="AH63" s="110">
        <v>0</v>
      </c>
      <c r="AI63" s="110">
        <v>0</v>
      </c>
      <c r="AJ63" s="110">
        <v>0</v>
      </c>
      <c r="AK63" s="110">
        <v>0</v>
      </c>
      <c r="AL63" s="110">
        <v>0</v>
      </c>
      <c r="AM63" s="110">
        <v>0</v>
      </c>
      <c r="AN63" s="110">
        <v>0</v>
      </c>
      <c r="AO63" s="110">
        <v>0</v>
      </c>
      <c r="AP63" s="110">
        <v>0</v>
      </c>
      <c r="AQ63" s="110">
        <v>0</v>
      </c>
      <c r="AR63" s="110">
        <v>0</v>
      </c>
      <c r="AS63" s="110">
        <v>0</v>
      </c>
      <c r="AT63" s="110">
        <v>0</v>
      </c>
      <c r="AU63" s="110">
        <v>0</v>
      </c>
      <c r="AV63" s="110">
        <v>0</v>
      </c>
      <c r="AW63" s="110">
        <v>0</v>
      </c>
      <c r="AX63" s="110">
        <v>0</v>
      </c>
    </row>
    <row r="64" spans="2:51" x14ac:dyDescent="0.2">
      <c r="B64" s="111"/>
    </row>
    <row r="65" spans="1:14" x14ac:dyDescent="0.2">
      <c r="B65" s="114" t="s">
        <v>329</v>
      </c>
    </row>
    <row r="66" spans="1:14" x14ac:dyDescent="0.2">
      <c r="B66" s="109" t="s">
        <v>330</v>
      </c>
      <c r="C66" s="109" t="s">
        <v>92</v>
      </c>
      <c r="D66" s="109" t="s">
        <v>93</v>
      </c>
      <c r="E66" s="109" t="s">
        <v>94</v>
      </c>
      <c r="F66" s="109" t="s">
        <v>95</v>
      </c>
      <c r="G66" s="109" t="s">
        <v>96</v>
      </c>
      <c r="H66" s="109" t="s">
        <v>97</v>
      </c>
      <c r="I66" s="109" t="s">
        <v>98</v>
      </c>
      <c r="J66" s="109" t="s">
        <v>99</v>
      </c>
      <c r="K66" s="109" t="s">
        <v>100</v>
      </c>
      <c r="L66" s="109" t="s">
        <v>101</v>
      </c>
      <c r="M66" s="109" t="s">
        <v>102</v>
      </c>
      <c r="N66" s="109" t="s">
        <v>103</v>
      </c>
    </row>
    <row r="67" spans="1:14" x14ac:dyDescent="0.2">
      <c r="B67" s="109" t="s">
        <v>331</v>
      </c>
      <c r="C67" s="110">
        <v>0</v>
      </c>
      <c r="D67" s="110">
        <v>0</v>
      </c>
      <c r="E67" s="110">
        <v>0</v>
      </c>
      <c r="F67" s="110">
        <v>0</v>
      </c>
      <c r="G67" s="110">
        <v>0</v>
      </c>
      <c r="H67" s="110">
        <v>0</v>
      </c>
      <c r="I67" s="110">
        <v>0</v>
      </c>
      <c r="J67" s="110">
        <v>0</v>
      </c>
      <c r="K67" s="110">
        <v>0</v>
      </c>
      <c r="L67" s="110">
        <v>0</v>
      </c>
      <c r="M67" s="110">
        <v>0</v>
      </c>
      <c r="N67" s="110">
        <v>0</v>
      </c>
    </row>
    <row r="68" spans="1:14" x14ac:dyDescent="0.2">
      <c r="B68" s="109" t="s">
        <v>332</v>
      </c>
      <c r="C68" s="110">
        <v>1728.981999534828</v>
      </c>
      <c r="D68" s="110">
        <v>987.50258656120104</v>
      </c>
      <c r="E68" s="110">
        <v>1685.5688421013544</v>
      </c>
      <c r="F68" s="110">
        <v>1459.4965481899108</v>
      </c>
      <c r="G68" s="110">
        <v>1208.0059757566307</v>
      </c>
      <c r="H68" s="110">
        <v>905.46539506410238</v>
      </c>
      <c r="I68" s="110">
        <v>1066.2248821763687</v>
      </c>
      <c r="J68" s="110">
        <v>1078.2658881295035</v>
      </c>
      <c r="K68" s="110">
        <v>1115.3706337663391</v>
      </c>
      <c r="L68" s="110">
        <v>1228.8021317794519</v>
      </c>
      <c r="M68" s="110">
        <v>883.13241114069251</v>
      </c>
      <c r="N68" s="110">
        <v>787.62090579960307</v>
      </c>
    </row>
    <row r="70" spans="1:14" x14ac:dyDescent="0.2">
      <c r="B70" s="114" t="s">
        <v>333</v>
      </c>
    </row>
    <row r="71" spans="1:14" x14ac:dyDescent="0.2">
      <c r="A71" s="115" t="s">
        <v>121</v>
      </c>
      <c r="B71" s="115" t="s">
        <v>334</v>
      </c>
      <c r="C71" s="115" t="s">
        <v>42</v>
      </c>
      <c r="D71" s="115" t="s">
        <v>49</v>
      </c>
      <c r="E71" s="115" t="s">
        <v>66</v>
      </c>
    </row>
    <row r="72" spans="1:14" x14ac:dyDescent="0.2">
      <c r="A72" s="115" t="s">
        <v>104</v>
      </c>
      <c r="B72" s="115" t="s">
        <v>92</v>
      </c>
      <c r="C72" s="110">
        <v>142849.69333983934</v>
      </c>
      <c r="D72" s="110">
        <v>198906.24780934266</v>
      </c>
      <c r="E72" s="110">
        <v>163996.78113803078</v>
      </c>
    </row>
    <row r="73" spans="1:14" x14ac:dyDescent="0.2">
      <c r="B73" s="115" t="s">
        <v>93</v>
      </c>
      <c r="C73" s="110">
        <v>81588.149385313576</v>
      </c>
      <c r="D73" s="110">
        <v>113604.67271941224</v>
      </c>
      <c r="E73" s="110">
        <v>93666.241525410602</v>
      </c>
    </row>
    <row r="74" spans="1:14" x14ac:dyDescent="0.2">
      <c r="B74" s="115" t="s">
        <v>94</v>
      </c>
      <c r="C74" s="110">
        <v>139262.86812826726</v>
      </c>
      <c r="D74" s="110">
        <v>193911.89375998196</v>
      </c>
      <c r="E74" s="110">
        <v>159878.9718837738</v>
      </c>
    </row>
    <row r="75" spans="1:14" x14ac:dyDescent="0.2">
      <c r="B75" s="115" t="s">
        <v>95</v>
      </c>
      <c r="C75" s="110">
        <v>120584.61822944104</v>
      </c>
      <c r="D75" s="110">
        <v>167903.99331470591</v>
      </c>
      <c r="E75" s="110">
        <v>138435.6436617666</v>
      </c>
    </row>
    <row r="76" spans="1:14" x14ac:dyDescent="0.2">
      <c r="B76" s="115" t="s">
        <v>96</v>
      </c>
      <c r="C76" s="110">
        <v>99806.292509670559</v>
      </c>
      <c r="D76" s="110">
        <v>138971.91297171454</v>
      </c>
      <c r="E76" s="110">
        <v>114581.34999259304</v>
      </c>
    </row>
    <row r="77" spans="1:14" x14ac:dyDescent="0.2">
      <c r="B77" s="115" t="s">
        <v>97</v>
      </c>
      <c r="C77" s="110">
        <v>74810.179660368434</v>
      </c>
      <c r="D77" s="110">
        <v>104166.91689205568</v>
      </c>
      <c r="E77" s="110">
        <v>85884.879230864986</v>
      </c>
    </row>
    <row r="78" spans="1:14" x14ac:dyDescent="0.2">
      <c r="B78" s="115" t="s">
        <v>98</v>
      </c>
      <c r="C78" s="110">
        <v>88092.240110758037</v>
      </c>
      <c r="D78" s="110">
        <v>122661.07495145609</v>
      </c>
      <c r="E78" s="110">
        <v>101133.18050346672</v>
      </c>
    </row>
    <row r="79" spans="1:14" x14ac:dyDescent="0.2">
      <c r="B79" s="115" t="s">
        <v>99</v>
      </c>
      <c r="C79" s="110">
        <v>89087.076383415158</v>
      </c>
      <c r="D79" s="110">
        <v>124046.30123757843</v>
      </c>
      <c r="E79" s="110">
        <v>102275.28968592742</v>
      </c>
    </row>
    <row r="80" spans="1:14" x14ac:dyDescent="0.2">
      <c r="B80" s="115" t="s">
        <v>100</v>
      </c>
      <c r="C80" s="110">
        <v>92152.696232031711</v>
      </c>
      <c r="D80" s="110">
        <v>128314.92042073284</v>
      </c>
      <c r="E80" s="110">
        <v>105794.73572470837</v>
      </c>
    </row>
    <row r="81" spans="2:50" x14ac:dyDescent="0.2">
      <c r="B81" s="115" t="s">
        <v>101</v>
      </c>
      <c r="C81" s="110">
        <v>101524.48536032294</v>
      </c>
      <c r="D81" s="110">
        <v>141364.35277991957</v>
      </c>
      <c r="E81" s="110">
        <v>116553.89953255617</v>
      </c>
    </row>
    <row r="82" spans="2:50" x14ac:dyDescent="0.2">
      <c r="B82" s="115" t="s">
        <v>102</v>
      </c>
      <c r="C82" s="110">
        <v>72965.013021455467</v>
      </c>
      <c r="D82" s="110">
        <v>101597.67670575705</v>
      </c>
      <c r="E82" s="110">
        <v>83766.559041509623</v>
      </c>
    </row>
    <row r="83" spans="2:50" x14ac:dyDescent="0.2">
      <c r="B83" s="115" t="s">
        <v>103</v>
      </c>
      <c r="C83" s="110">
        <v>65073.786130677072</v>
      </c>
      <c r="D83" s="110">
        <v>90609.803405092651</v>
      </c>
      <c r="E83" s="110">
        <v>74707.135957983788</v>
      </c>
    </row>
    <row r="85" spans="2:50" x14ac:dyDescent="0.2">
      <c r="B85" s="113" t="s">
        <v>335</v>
      </c>
    </row>
    <row r="86" spans="2:50" x14ac:dyDescent="0.2">
      <c r="B86" s="109" t="s">
        <v>276</v>
      </c>
      <c r="C86" s="109" t="s">
        <v>92</v>
      </c>
      <c r="D86" s="111"/>
      <c r="E86" s="111"/>
      <c r="F86" s="111"/>
      <c r="G86" s="109" t="s">
        <v>93</v>
      </c>
      <c r="H86" s="111"/>
      <c r="I86" s="111"/>
      <c r="J86" s="111"/>
      <c r="K86" s="109" t="s">
        <v>94</v>
      </c>
      <c r="L86" s="111"/>
      <c r="M86" s="111"/>
      <c r="N86" s="111"/>
      <c r="O86" s="109" t="s">
        <v>95</v>
      </c>
      <c r="P86" s="111"/>
      <c r="Q86" s="111"/>
      <c r="R86" s="111"/>
      <c r="S86" s="109" t="s">
        <v>96</v>
      </c>
      <c r="T86" s="111"/>
      <c r="U86" s="111"/>
      <c r="V86" s="111"/>
      <c r="W86" s="109" t="s">
        <v>97</v>
      </c>
      <c r="X86" s="111"/>
      <c r="Y86" s="111"/>
      <c r="Z86" s="111"/>
      <c r="AA86" s="109" t="s">
        <v>98</v>
      </c>
      <c r="AB86" s="111"/>
      <c r="AC86" s="111"/>
      <c r="AD86" s="111"/>
      <c r="AE86" s="109" t="s">
        <v>99</v>
      </c>
      <c r="AF86" s="111"/>
      <c r="AG86" s="111"/>
      <c r="AH86" s="111"/>
      <c r="AI86" s="109" t="s">
        <v>100</v>
      </c>
      <c r="AJ86" s="111"/>
      <c r="AK86" s="111"/>
      <c r="AL86" s="111"/>
      <c r="AM86" s="109" t="s">
        <v>101</v>
      </c>
      <c r="AN86" s="111"/>
      <c r="AO86" s="111"/>
      <c r="AP86" s="111"/>
      <c r="AQ86" s="109" t="s">
        <v>102</v>
      </c>
      <c r="AR86" s="111"/>
      <c r="AS86" s="111"/>
      <c r="AT86" s="111"/>
      <c r="AU86" s="109" t="s">
        <v>103</v>
      </c>
      <c r="AV86" s="111"/>
      <c r="AW86" s="111"/>
    </row>
    <row r="87" spans="2:50" x14ac:dyDescent="0.2">
      <c r="B87" s="109" t="s">
        <v>336</v>
      </c>
      <c r="C87" s="109">
        <v>1</v>
      </c>
      <c r="D87" s="109">
        <v>2</v>
      </c>
      <c r="E87" s="109">
        <v>3</v>
      </c>
      <c r="F87" s="109">
        <v>4</v>
      </c>
      <c r="G87" s="109">
        <v>1</v>
      </c>
      <c r="H87" s="109">
        <v>2</v>
      </c>
      <c r="I87" s="109">
        <v>3</v>
      </c>
      <c r="J87" s="109">
        <v>4</v>
      </c>
      <c r="K87" s="109">
        <v>1</v>
      </c>
      <c r="L87" s="109">
        <v>2</v>
      </c>
      <c r="M87" s="109">
        <v>3</v>
      </c>
      <c r="N87" s="109">
        <v>4</v>
      </c>
      <c r="O87" s="109">
        <v>1</v>
      </c>
      <c r="P87" s="109">
        <v>2</v>
      </c>
      <c r="Q87" s="109">
        <v>3</v>
      </c>
      <c r="R87" s="109">
        <v>4</v>
      </c>
      <c r="S87" s="109">
        <v>1</v>
      </c>
      <c r="T87" s="109">
        <v>2</v>
      </c>
      <c r="U87" s="109">
        <v>3</v>
      </c>
      <c r="V87" s="109">
        <v>4</v>
      </c>
      <c r="W87" s="109">
        <v>1</v>
      </c>
      <c r="X87" s="109">
        <v>2</v>
      </c>
      <c r="Y87" s="109">
        <v>3</v>
      </c>
      <c r="Z87" s="109">
        <v>4</v>
      </c>
      <c r="AA87" s="109">
        <v>1</v>
      </c>
      <c r="AB87" s="109">
        <v>2</v>
      </c>
      <c r="AC87" s="109">
        <v>3</v>
      </c>
      <c r="AD87" s="109">
        <v>4</v>
      </c>
      <c r="AE87" s="109">
        <v>1</v>
      </c>
      <c r="AF87" s="109">
        <v>2</v>
      </c>
      <c r="AG87" s="109">
        <v>3</v>
      </c>
      <c r="AH87" s="109">
        <v>4</v>
      </c>
      <c r="AI87" s="109">
        <v>1</v>
      </c>
      <c r="AJ87" s="109">
        <v>2</v>
      </c>
      <c r="AK87" s="109">
        <v>3</v>
      </c>
      <c r="AL87" s="109">
        <v>4</v>
      </c>
      <c r="AM87" s="109">
        <v>1</v>
      </c>
      <c r="AN87" s="109">
        <v>2</v>
      </c>
      <c r="AO87" s="109">
        <v>3</v>
      </c>
      <c r="AP87" s="109">
        <v>4</v>
      </c>
      <c r="AQ87" s="109">
        <v>1</v>
      </c>
      <c r="AR87" s="109">
        <v>2</v>
      </c>
      <c r="AS87" s="109">
        <v>3</v>
      </c>
      <c r="AT87" s="109">
        <v>4</v>
      </c>
      <c r="AU87" s="109">
        <v>1</v>
      </c>
      <c r="AV87" s="109">
        <v>2</v>
      </c>
      <c r="AW87" s="109">
        <v>3</v>
      </c>
      <c r="AX87" s="109">
        <v>4</v>
      </c>
    </row>
    <row r="88" spans="2:50" x14ac:dyDescent="0.2">
      <c r="B88" s="109" t="s">
        <v>104</v>
      </c>
      <c r="C88" s="110">
        <f>C48+$C$67/4</f>
        <v>3461.7937995164798</v>
      </c>
      <c r="D88" s="110">
        <f>D48+$C$67/4</f>
        <v>3461.7937995164798</v>
      </c>
      <c r="E88" s="110">
        <f>E48+$C$67/4</f>
        <v>3461.7937995164798</v>
      </c>
      <c r="F88" s="110">
        <f>F48+$C$67/4</f>
        <v>3461.7937995164798</v>
      </c>
      <c r="G88" s="110">
        <f>G48+$D$67/4</f>
        <v>3760.3976259350202</v>
      </c>
      <c r="H88" s="110">
        <f>H48+$D$67/4</f>
        <v>3760.3976259350202</v>
      </c>
      <c r="I88" s="110">
        <f>I48+$D$67/4</f>
        <v>3760.3976259350202</v>
      </c>
      <c r="J88" s="110">
        <f>J48+$D$67/4</f>
        <v>3760.3976259350202</v>
      </c>
      <c r="K88" s="110">
        <f>K48+$E$67/4</f>
        <v>9161.44507501931</v>
      </c>
      <c r="L88" s="110">
        <f>L48+$E$67/4</f>
        <v>9161.44507501931</v>
      </c>
      <c r="M88" s="110">
        <f>M48+$E$67/4</f>
        <v>9161.44507501931</v>
      </c>
      <c r="N88" s="110">
        <f>N48+$E$67/4</f>
        <v>9161.44507501931</v>
      </c>
      <c r="O88" s="110">
        <f>O48+$F$67/4</f>
        <v>10992.227270376199</v>
      </c>
      <c r="P88" s="110">
        <f>P48+$F$67/4</f>
        <v>10992.227270376199</v>
      </c>
      <c r="Q88" s="110">
        <f>Q48+$F$67/4</f>
        <v>10992.227270376199</v>
      </c>
      <c r="R88" s="110">
        <f>R48+$F$67/4</f>
        <v>10992.227270376199</v>
      </c>
      <c r="S88" s="110">
        <f>S48+$G$67/4</f>
        <v>0</v>
      </c>
      <c r="T88" s="110">
        <f>T48+$G$67/4</f>
        <v>0</v>
      </c>
      <c r="U88" s="110">
        <f>U48+$G$67/4</f>
        <v>0</v>
      </c>
      <c r="V88" s="110">
        <f>V48+$G$67/4</f>
        <v>0</v>
      </c>
      <c r="W88" s="110">
        <f>W48+$H$67/4</f>
        <v>3774.2620015515799</v>
      </c>
      <c r="X88" s="110">
        <f>X48+$H$67/4</f>
        <v>2619.7014871775555</v>
      </c>
      <c r="Y88" s="110">
        <f>Y48+$H$67/4</f>
        <v>3774.2620015515799</v>
      </c>
      <c r="Z88" s="110">
        <f>Z48+$H$67/4</f>
        <v>3774.2620015515799</v>
      </c>
      <c r="AA88" s="110">
        <f>AA48+$I$67/4</f>
        <v>8505.662670632657</v>
      </c>
      <c r="AB88" s="110">
        <f>AB48+$I$67/4</f>
        <v>7973.4628238466676</v>
      </c>
      <c r="AC88" s="110">
        <f>AC48+$I$67/4</f>
        <v>10769.506656009</v>
      </c>
      <c r="AD88" s="110">
        <f>AD48+$I$67/4</f>
        <v>10769.506656009</v>
      </c>
      <c r="AE88" s="110">
        <f>AE48+$J$67/4</f>
        <v>9671.6968556736701</v>
      </c>
      <c r="AF88" s="110">
        <f>AF48+$J$67/4</f>
        <v>9671.6968556736701</v>
      </c>
      <c r="AG88" s="110">
        <f>AG48+$J$67/4</f>
        <v>9671.6968556736701</v>
      </c>
      <c r="AH88" s="110">
        <f>AH48+$J$67/4</f>
        <v>9671.6968556736701</v>
      </c>
      <c r="AI88" s="110">
        <f>AI48+$K$67/4</f>
        <v>3385.8194847827199</v>
      </c>
      <c r="AJ88" s="110">
        <f>AJ48+$K$67/4</f>
        <v>3385.8194847827199</v>
      </c>
      <c r="AK88" s="110">
        <f>AK48+$K$67/4</f>
        <v>3385.8194847827199</v>
      </c>
      <c r="AL88" s="110">
        <f>AL48+$K$67/4</f>
        <v>3385.8194847827199</v>
      </c>
      <c r="AM88" s="110">
        <f>AM48+$L$67/4</f>
        <v>8877.7970060667903</v>
      </c>
      <c r="AN88" s="110">
        <f>AN48+$L$67/4</f>
        <v>8877.7970060667903</v>
      </c>
      <c r="AO88" s="110">
        <f>AO48+$L$67/4</f>
        <v>8877.7970060667903</v>
      </c>
      <c r="AP88" s="110">
        <f>AP48+$L$67/4</f>
        <v>8877.7970060667903</v>
      </c>
      <c r="AQ88" s="110">
        <f>AQ48+$M$67/4</f>
        <v>5727.4905567943197</v>
      </c>
      <c r="AR88" s="110">
        <f>AR48+$M$67/4</f>
        <v>5727.4905567943197</v>
      </c>
      <c r="AS88" s="110">
        <f>AS48+$M$67/4</f>
        <v>5727.4905567943197</v>
      </c>
      <c r="AT88" s="110">
        <f>AT48+$M$67/4</f>
        <v>5727.4905567943197</v>
      </c>
      <c r="AU88" s="110">
        <f>AU48+$N$67/4</f>
        <v>8344.7441571023101</v>
      </c>
      <c r="AV88" s="110">
        <f>AV48+$N$67/4</f>
        <v>8344.7441571023101</v>
      </c>
      <c r="AW88" s="110">
        <f>AW48+$N$67/4</f>
        <v>8344.7441571023101</v>
      </c>
      <c r="AX88" s="110">
        <f>AX48+$N$67/4</f>
        <v>8344.7441571023101</v>
      </c>
    </row>
    <row r="89" spans="2:50" x14ac:dyDescent="0.2">
      <c r="B89" s="109" t="s">
        <v>105</v>
      </c>
      <c r="C89" s="110">
        <f>C49</f>
        <v>973</v>
      </c>
      <c r="D89" s="110">
        <f t="shared" ref="D89:AX93" si="3">D49</f>
        <v>973</v>
      </c>
      <c r="E89" s="110">
        <f t="shared" si="3"/>
        <v>973</v>
      </c>
      <c r="F89" s="110">
        <f t="shared" si="3"/>
        <v>973</v>
      </c>
      <c r="G89" s="110">
        <f t="shared" si="3"/>
        <v>0</v>
      </c>
      <c r="H89" s="110">
        <f t="shared" si="3"/>
        <v>0</v>
      </c>
      <c r="I89" s="110">
        <f t="shared" si="3"/>
        <v>0</v>
      </c>
      <c r="J89" s="110">
        <f t="shared" si="3"/>
        <v>0</v>
      </c>
      <c r="K89" s="110">
        <f t="shared" si="3"/>
        <v>456</v>
      </c>
      <c r="L89" s="110">
        <f t="shared" si="3"/>
        <v>456</v>
      </c>
      <c r="M89" s="110">
        <f t="shared" si="3"/>
        <v>456</v>
      </c>
      <c r="N89" s="110">
        <f t="shared" si="3"/>
        <v>456</v>
      </c>
      <c r="O89" s="110">
        <f t="shared" si="3"/>
        <v>709</v>
      </c>
      <c r="P89" s="110">
        <f t="shared" si="3"/>
        <v>709</v>
      </c>
      <c r="Q89" s="110">
        <f t="shared" si="3"/>
        <v>709</v>
      </c>
      <c r="R89" s="110">
        <f t="shared" si="3"/>
        <v>709</v>
      </c>
      <c r="S89" s="110">
        <f t="shared" si="3"/>
        <v>14856.4694334328</v>
      </c>
      <c r="T89" s="110">
        <f t="shared" si="3"/>
        <v>14856.4694334328</v>
      </c>
      <c r="U89" s="110">
        <f t="shared" si="3"/>
        <v>14856.4694334328</v>
      </c>
      <c r="V89" s="110">
        <f t="shared" si="3"/>
        <v>14856.4694334328</v>
      </c>
      <c r="W89" s="110">
        <f t="shared" si="3"/>
        <v>0</v>
      </c>
      <c r="X89" s="110">
        <f t="shared" si="3"/>
        <v>0</v>
      </c>
      <c r="Y89" s="110">
        <f t="shared" si="3"/>
        <v>0</v>
      </c>
      <c r="Z89" s="110">
        <f t="shared" si="3"/>
        <v>0</v>
      </c>
      <c r="AA89" s="110">
        <f t="shared" si="3"/>
        <v>0</v>
      </c>
      <c r="AB89" s="110">
        <f t="shared" si="3"/>
        <v>0</v>
      </c>
      <c r="AC89" s="110">
        <f t="shared" si="3"/>
        <v>0</v>
      </c>
      <c r="AD89" s="110">
        <f t="shared" si="3"/>
        <v>0</v>
      </c>
      <c r="AE89" s="110">
        <f t="shared" si="3"/>
        <v>751</v>
      </c>
      <c r="AF89" s="110">
        <f t="shared" si="3"/>
        <v>751</v>
      </c>
      <c r="AG89" s="110">
        <f t="shared" si="3"/>
        <v>751</v>
      </c>
      <c r="AH89" s="110">
        <f t="shared" si="3"/>
        <v>751</v>
      </c>
      <c r="AI89" s="110">
        <f t="shared" si="3"/>
        <v>0</v>
      </c>
      <c r="AJ89" s="110">
        <f t="shared" si="3"/>
        <v>0</v>
      </c>
      <c r="AK89" s="110">
        <f t="shared" si="3"/>
        <v>0</v>
      </c>
      <c r="AL89" s="110">
        <f t="shared" si="3"/>
        <v>0</v>
      </c>
      <c r="AM89" s="110">
        <f t="shared" si="3"/>
        <v>728</v>
      </c>
      <c r="AN89" s="110">
        <f t="shared" si="3"/>
        <v>728</v>
      </c>
      <c r="AO89" s="110">
        <f t="shared" si="3"/>
        <v>728</v>
      </c>
      <c r="AP89" s="110">
        <f t="shared" si="3"/>
        <v>728</v>
      </c>
      <c r="AQ89" s="110">
        <f t="shared" si="3"/>
        <v>820</v>
      </c>
      <c r="AR89" s="110">
        <f t="shared" si="3"/>
        <v>820</v>
      </c>
      <c r="AS89" s="110">
        <f t="shared" si="3"/>
        <v>820</v>
      </c>
      <c r="AT89" s="110">
        <f t="shared" si="3"/>
        <v>820</v>
      </c>
      <c r="AU89" s="110">
        <f t="shared" si="3"/>
        <v>982</v>
      </c>
      <c r="AV89" s="110">
        <f t="shared" si="3"/>
        <v>982</v>
      </c>
      <c r="AW89" s="110">
        <f t="shared" si="3"/>
        <v>982</v>
      </c>
      <c r="AX89" s="110">
        <f t="shared" si="3"/>
        <v>982</v>
      </c>
    </row>
    <row r="90" spans="2:50" x14ac:dyDescent="0.2">
      <c r="B90" s="109" t="s">
        <v>106</v>
      </c>
      <c r="C90" s="110">
        <f t="shared" ref="C90:R93" si="4">C50</f>
        <v>0</v>
      </c>
      <c r="D90" s="110">
        <f t="shared" si="4"/>
        <v>0</v>
      </c>
      <c r="E90" s="110">
        <f t="shared" si="4"/>
        <v>0</v>
      </c>
      <c r="F90" s="110">
        <f t="shared" si="4"/>
        <v>0</v>
      </c>
      <c r="G90" s="110">
        <f t="shared" si="4"/>
        <v>0</v>
      </c>
      <c r="H90" s="110">
        <f t="shared" si="4"/>
        <v>0</v>
      </c>
      <c r="I90" s="110">
        <f t="shared" si="4"/>
        <v>0</v>
      </c>
      <c r="J90" s="110">
        <f t="shared" si="4"/>
        <v>0</v>
      </c>
      <c r="K90" s="110">
        <f t="shared" si="4"/>
        <v>0</v>
      </c>
      <c r="L90" s="110">
        <f t="shared" si="4"/>
        <v>0</v>
      </c>
      <c r="M90" s="110">
        <f t="shared" si="4"/>
        <v>0</v>
      </c>
      <c r="N90" s="110">
        <f t="shared" si="4"/>
        <v>0</v>
      </c>
      <c r="O90" s="110">
        <f t="shared" si="4"/>
        <v>0</v>
      </c>
      <c r="P90" s="110">
        <f t="shared" si="4"/>
        <v>0</v>
      </c>
      <c r="Q90" s="110">
        <f t="shared" si="4"/>
        <v>0</v>
      </c>
      <c r="R90" s="110">
        <f t="shared" si="4"/>
        <v>0</v>
      </c>
      <c r="S90" s="110">
        <f t="shared" si="3"/>
        <v>0</v>
      </c>
      <c r="T90" s="110">
        <f t="shared" si="3"/>
        <v>0</v>
      </c>
      <c r="U90" s="110">
        <f t="shared" si="3"/>
        <v>0</v>
      </c>
      <c r="V90" s="110">
        <f t="shared" si="3"/>
        <v>0</v>
      </c>
      <c r="W90" s="110">
        <f t="shared" si="3"/>
        <v>3747</v>
      </c>
      <c r="X90" s="110">
        <f t="shared" si="3"/>
        <v>3747</v>
      </c>
      <c r="Y90" s="110">
        <f t="shared" si="3"/>
        <v>3747</v>
      </c>
      <c r="Z90" s="110">
        <f t="shared" si="3"/>
        <v>3747</v>
      </c>
      <c r="AA90" s="110">
        <f t="shared" si="3"/>
        <v>0</v>
      </c>
      <c r="AB90" s="110">
        <f t="shared" si="3"/>
        <v>0</v>
      </c>
      <c r="AC90" s="110">
        <f t="shared" si="3"/>
        <v>0</v>
      </c>
      <c r="AD90" s="110">
        <f t="shared" si="3"/>
        <v>0</v>
      </c>
      <c r="AE90" s="110">
        <f t="shared" si="3"/>
        <v>0</v>
      </c>
      <c r="AF90" s="110">
        <f t="shared" si="3"/>
        <v>0</v>
      </c>
      <c r="AG90" s="110">
        <f t="shared" si="3"/>
        <v>0</v>
      </c>
      <c r="AH90" s="110">
        <f t="shared" si="3"/>
        <v>0</v>
      </c>
      <c r="AI90" s="110">
        <f t="shared" si="3"/>
        <v>3019</v>
      </c>
      <c r="AJ90" s="110">
        <f t="shared" si="3"/>
        <v>3019</v>
      </c>
      <c r="AK90" s="110">
        <f t="shared" si="3"/>
        <v>3019</v>
      </c>
      <c r="AL90" s="110">
        <f t="shared" si="3"/>
        <v>3019</v>
      </c>
      <c r="AM90" s="110">
        <f t="shared" si="3"/>
        <v>1083</v>
      </c>
      <c r="AN90" s="110">
        <f t="shared" si="3"/>
        <v>1083</v>
      </c>
      <c r="AO90" s="110">
        <f t="shared" si="3"/>
        <v>1083</v>
      </c>
      <c r="AP90" s="110">
        <f t="shared" si="3"/>
        <v>1083</v>
      </c>
      <c r="AQ90" s="110">
        <f t="shared" si="3"/>
        <v>0</v>
      </c>
      <c r="AR90" s="110">
        <f t="shared" si="3"/>
        <v>0</v>
      </c>
      <c r="AS90" s="110">
        <f t="shared" si="3"/>
        <v>0</v>
      </c>
      <c r="AT90" s="110">
        <f t="shared" si="3"/>
        <v>0</v>
      </c>
      <c r="AU90" s="110">
        <f t="shared" si="3"/>
        <v>0</v>
      </c>
      <c r="AV90" s="110">
        <f t="shared" si="3"/>
        <v>0</v>
      </c>
      <c r="AW90" s="110">
        <f t="shared" si="3"/>
        <v>0</v>
      </c>
      <c r="AX90" s="110">
        <f t="shared" si="3"/>
        <v>0</v>
      </c>
    </row>
    <row r="91" spans="2:50" x14ac:dyDescent="0.2">
      <c r="B91" s="109" t="s">
        <v>107</v>
      </c>
      <c r="C91" s="110">
        <f t="shared" si="4"/>
        <v>0</v>
      </c>
      <c r="D91" s="110">
        <f t="shared" si="3"/>
        <v>0</v>
      </c>
      <c r="E91" s="110">
        <f t="shared" si="3"/>
        <v>0</v>
      </c>
      <c r="F91" s="110">
        <f t="shared" si="3"/>
        <v>0</v>
      </c>
      <c r="G91" s="110">
        <f t="shared" si="3"/>
        <v>1515</v>
      </c>
      <c r="H91" s="110">
        <f t="shared" si="3"/>
        <v>1515</v>
      </c>
      <c r="I91" s="110">
        <f t="shared" si="3"/>
        <v>1515</v>
      </c>
      <c r="J91" s="110">
        <f t="shared" si="3"/>
        <v>1515</v>
      </c>
      <c r="K91" s="110">
        <f t="shared" si="3"/>
        <v>0</v>
      </c>
      <c r="L91" s="110">
        <f t="shared" si="3"/>
        <v>0</v>
      </c>
      <c r="M91" s="110">
        <f t="shared" si="3"/>
        <v>0</v>
      </c>
      <c r="N91" s="110">
        <f t="shared" si="3"/>
        <v>0</v>
      </c>
      <c r="O91" s="110">
        <f t="shared" si="3"/>
        <v>0</v>
      </c>
      <c r="P91" s="110">
        <f t="shared" si="3"/>
        <v>0</v>
      </c>
      <c r="Q91" s="110">
        <f t="shared" si="3"/>
        <v>0</v>
      </c>
      <c r="R91" s="110">
        <f t="shared" si="3"/>
        <v>0</v>
      </c>
      <c r="S91" s="110">
        <f t="shared" si="3"/>
        <v>0</v>
      </c>
      <c r="T91" s="110">
        <f t="shared" si="3"/>
        <v>0</v>
      </c>
      <c r="U91" s="110">
        <f t="shared" si="3"/>
        <v>0</v>
      </c>
      <c r="V91" s="110">
        <f t="shared" si="3"/>
        <v>0</v>
      </c>
      <c r="W91" s="110">
        <f t="shared" si="3"/>
        <v>878</v>
      </c>
      <c r="X91" s="110">
        <f t="shared" si="3"/>
        <v>878</v>
      </c>
      <c r="Y91" s="110">
        <f t="shared" si="3"/>
        <v>878</v>
      </c>
      <c r="Z91" s="110">
        <f t="shared" si="3"/>
        <v>878</v>
      </c>
      <c r="AA91" s="110">
        <f t="shared" si="3"/>
        <v>973</v>
      </c>
      <c r="AB91" s="110">
        <f t="shared" si="3"/>
        <v>973</v>
      </c>
      <c r="AC91" s="110">
        <f t="shared" si="3"/>
        <v>973</v>
      </c>
      <c r="AD91" s="110">
        <f t="shared" si="3"/>
        <v>973</v>
      </c>
      <c r="AE91" s="110">
        <f t="shared" si="3"/>
        <v>0</v>
      </c>
      <c r="AF91" s="110">
        <f t="shared" si="3"/>
        <v>0</v>
      </c>
      <c r="AG91" s="110">
        <f t="shared" si="3"/>
        <v>0</v>
      </c>
      <c r="AH91" s="110">
        <f t="shared" si="3"/>
        <v>0</v>
      </c>
      <c r="AI91" s="110">
        <f t="shared" si="3"/>
        <v>777</v>
      </c>
      <c r="AJ91" s="110">
        <f t="shared" si="3"/>
        <v>777</v>
      </c>
      <c r="AK91" s="110">
        <f t="shared" si="3"/>
        <v>777</v>
      </c>
      <c r="AL91" s="110">
        <f t="shared" si="3"/>
        <v>777</v>
      </c>
      <c r="AM91" s="110">
        <f t="shared" si="3"/>
        <v>0</v>
      </c>
      <c r="AN91" s="110">
        <f t="shared" si="3"/>
        <v>0</v>
      </c>
      <c r="AO91" s="110">
        <f t="shared" si="3"/>
        <v>0</v>
      </c>
      <c r="AP91" s="110">
        <f t="shared" si="3"/>
        <v>0</v>
      </c>
      <c r="AQ91" s="110">
        <f t="shared" si="3"/>
        <v>0</v>
      </c>
      <c r="AR91" s="110">
        <f t="shared" si="3"/>
        <v>0</v>
      </c>
      <c r="AS91" s="110">
        <f t="shared" si="3"/>
        <v>0</v>
      </c>
      <c r="AT91" s="110">
        <f t="shared" si="3"/>
        <v>0</v>
      </c>
      <c r="AU91" s="110">
        <f t="shared" si="3"/>
        <v>0</v>
      </c>
      <c r="AV91" s="110">
        <f t="shared" si="3"/>
        <v>0</v>
      </c>
      <c r="AW91" s="110">
        <f t="shared" si="3"/>
        <v>0</v>
      </c>
      <c r="AX91" s="110">
        <f t="shared" si="3"/>
        <v>0</v>
      </c>
    </row>
    <row r="92" spans="2:50" x14ac:dyDescent="0.2">
      <c r="B92" s="109" t="s">
        <v>108</v>
      </c>
      <c r="C92" s="110">
        <f t="shared" si="4"/>
        <v>8749.4027749999896</v>
      </c>
      <c r="D92" s="110">
        <f t="shared" si="4"/>
        <v>8749.4027749999896</v>
      </c>
      <c r="E92" s="110">
        <f t="shared" si="4"/>
        <v>8749.4027749999896</v>
      </c>
      <c r="F92" s="110">
        <f t="shared" si="4"/>
        <v>8749.4027749999896</v>
      </c>
      <c r="G92" s="110">
        <f t="shared" si="4"/>
        <v>6491.3024974989003</v>
      </c>
      <c r="H92" s="110">
        <f t="shared" si="4"/>
        <v>6491.3024974989003</v>
      </c>
      <c r="I92" s="110">
        <f t="shared" si="4"/>
        <v>6491.3024974989003</v>
      </c>
      <c r="J92" s="110">
        <f t="shared" si="4"/>
        <v>6491.3024974989003</v>
      </c>
      <c r="K92" s="110">
        <f t="shared" si="4"/>
        <v>0</v>
      </c>
      <c r="L92" s="110">
        <f t="shared" si="4"/>
        <v>0</v>
      </c>
      <c r="M92" s="110">
        <f t="shared" si="4"/>
        <v>0</v>
      </c>
      <c r="N92" s="110">
        <f t="shared" si="4"/>
        <v>0</v>
      </c>
      <c r="O92" s="110">
        <f t="shared" si="4"/>
        <v>0</v>
      </c>
      <c r="P92" s="110">
        <f t="shared" si="4"/>
        <v>0</v>
      </c>
      <c r="Q92" s="110">
        <f t="shared" si="4"/>
        <v>0</v>
      </c>
      <c r="R92" s="110">
        <f t="shared" si="4"/>
        <v>0</v>
      </c>
      <c r="S92" s="110">
        <f t="shared" si="3"/>
        <v>0</v>
      </c>
      <c r="T92" s="110">
        <f t="shared" si="3"/>
        <v>0</v>
      </c>
      <c r="U92" s="110">
        <f t="shared" si="3"/>
        <v>0</v>
      </c>
      <c r="V92" s="110">
        <f t="shared" si="3"/>
        <v>0</v>
      </c>
      <c r="W92" s="110">
        <f t="shared" si="3"/>
        <v>0</v>
      </c>
      <c r="X92" s="110">
        <f t="shared" si="3"/>
        <v>0</v>
      </c>
      <c r="Y92" s="110">
        <f t="shared" si="3"/>
        <v>0</v>
      </c>
      <c r="Z92" s="110">
        <f t="shared" si="3"/>
        <v>0</v>
      </c>
      <c r="AA92" s="110">
        <f t="shared" si="3"/>
        <v>0</v>
      </c>
      <c r="AB92" s="110">
        <f t="shared" si="3"/>
        <v>0</v>
      </c>
      <c r="AC92" s="110">
        <f t="shared" si="3"/>
        <v>0</v>
      </c>
      <c r="AD92" s="110">
        <f t="shared" si="3"/>
        <v>0</v>
      </c>
      <c r="AE92" s="110">
        <f t="shared" si="3"/>
        <v>0</v>
      </c>
      <c r="AF92" s="110">
        <f t="shared" si="3"/>
        <v>0</v>
      </c>
      <c r="AG92" s="110">
        <f t="shared" si="3"/>
        <v>0</v>
      </c>
      <c r="AH92" s="110">
        <f t="shared" si="3"/>
        <v>0</v>
      </c>
      <c r="AI92" s="110">
        <f t="shared" si="3"/>
        <v>4994.0463057799998</v>
      </c>
      <c r="AJ92" s="110">
        <f t="shared" si="3"/>
        <v>4994.0463057799998</v>
      </c>
      <c r="AK92" s="110">
        <f t="shared" si="3"/>
        <v>4994.0463057799998</v>
      </c>
      <c r="AL92" s="110">
        <f t="shared" si="3"/>
        <v>4994.0463057799998</v>
      </c>
      <c r="AM92" s="110">
        <f t="shared" si="3"/>
        <v>0</v>
      </c>
      <c r="AN92" s="110">
        <f t="shared" si="3"/>
        <v>0</v>
      </c>
      <c r="AO92" s="110">
        <f t="shared" si="3"/>
        <v>0</v>
      </c>
      <c r="AP92" s="110">
        <f t="shared" si="3"/>
        <v>0</v>
      </c>
      <c r="AQ92" s="110">
        <f t="shared" si="3"/>
        <v>0</v>
      </c>
      <c r="AR92" s="110">
        <f t="shared" si="3"/>
        <v>0</v>
      </c>
      <c r="AS92" s="110">
        <f t="shared" si="3"/>
        <v>0</v>
      </c>
      <c r="AT92" s="110">
        <f t="shared" si="3"/>
        <v>0</v>
      </c>
      <c r="AU92" s="110">
        <f t="shared" si="3"/>
        <v>0</v>
      </c>
      <c r="AV92" s="110">
        <f t="shared" si="3"/>
        <v>0</v>
      </c>
      <c r="AW92" s="110">
        <f t="shared" si="3"/>
        <v>0</v>
      </c>
      <c r="AX92" s="110">
        <f t="shared" si="3"/>
        <v>0</v>
      </c>
    </row>
    <row r="93" spans="2:50" x14ac:dyDescent="0.2">
      <c r="B93" s="109" t="s">
        <v>109</v>
      </c>
      <c r="C93" s="110">
        <f t="shared" si="4"/>
        <v>0</v>
      </c>
      <c r="D93" s="110">
        <f t="shared" si="4"/>
        <v>0</v>
      </c>
      <c r="E93" s="110">
        <f t="shared" si="4"/>
        <v>0</v>
      </c>
      <c r="F93" s="110">
        <f t="shared" si="4"/>
        <v>0</v>
      </c>
      <c r="G93" s="110">
        <f t="shared" si="4"/>
        <v>0</v>
      </c>
      <c r="H93" s="110">
        <f t="shared" si="4"/>
        <v>0</v>
      </c>
      <c r="I93" s="110">
        <f t="shared" si="4"/>
        <v>0</v>
      </c>
      <c r="J93" s="110">
        <f t="shared" si="4"/>
        <v>0</v>
      </c>
      <c r="K93" s="110">
        <f t="shared" si="4"/>
        <v>0</v>
      </c>
      <c r="L93" s="110">
        <f t="shared" si="4"/>
        <v>0</v>
      </c>
      <c r="M93" s="110">
        <f t="shared" si="4"/>
        <v>0</v>
      </c>
      <c r="N93" s="110">
        <f t="shared" si="4"/>
        <v>0</v>
      </c>
      <c r="O93" s="110">
        <f t="shared" si="4"/>
        <v>0</v>
      </c>
      <c r="P93" s="110">
        <f t="shared" si="4"/>
        <v>0</v>
      </c>
      <c r="Q93" s="110">
        <f t="shared" si="4"/>
        <v>0</v>
      </c>
      <c r="R93" s="110">
        <f t="shared" si="4"/>
        <v>0</v>
      </c>
      <c r="S93" s="110">
        <f t="shared" si="3"/>
        <v>0</v>
      </c>
      <c r="T93" s="110">
        <f t="shared" si="3"/>
        <v>0</v>
      </c>
      <c r="U93" s="110">
        <f t="shared" si="3"/>
        <v>0</v>
      </c>
      <c r="V93" s="110">
        <f t="shared" si="3"/>
        <v>0</v>
      </c>
      <c r="W93" s="110">
        <f t="shared" si="3"/>
        <v>0</v>
      </c>
      <c r="X93" s="110">
        <f t="shared" si="3"/>
        <v>0</v>
      </c>
      <c r="Y93" s="110">
        <f t="shared" si="3"/>
        <v>0</v>
      </c>
      <c r="Z93" s="110">
        <f t="shared" si="3"/>
        <v>0</v>
      </c>
      <c r="AA93" s="110">
        <f t="shared" si="3"/>
        <v>0</v>
      </c>
      <c r="AB93" s="110">
        <f t="shared" si="3"/>
        <v>0</v>
      </c>
      <c r="AC93" s="110">
        <f t="shared" si="3"/>
        <v>0</v>
      </c>
      <c r="AD93" s="110">
        <f t="shared" si="3"/>
        <v>0</v>
      </c>
      <c r="AE93" s="110">
        <f t="shared" si="3"/>
        <v>0</v>
      </c>
      <c r="AF93" s="110">
        <f t="shared" si="3"/>
        <v>0</v>
      </c>
      <c r="AG93" s="110">
        <f t="shared" si="3"/>
        <v>0</v>
      </c>
      <c r="AH93" s="110">
        <f t="shared" si="3"/>
        <v>0</v>
      </c>
      <c r="AI93" s="110">
        <f t="shared" si="3"/>
        <v>0</v>
      </c>
      <c r="AJ93" s="110">
        <f t="shared" si="3"/>
        <v>0</v>
      </c>
      <c r="AK93" s="110">
        <f t="shared" si="3"/>
        <v>0</v>
      </c>
      <c r="AL93" s="110">
        <f t="shared" si="3"/>
        <v>0</v>
      </c>
      <c r="AM93" s="110">
        <f t="shared" si="3"/>
        <v>0</v>
      </c>
      <c r="AN93" s="110">
        <f t="shared" si="3"/>
        <v>0</v>
      </c>
      <c r="AO93" s="110">
        <f t="shared" si="3"/>
        <v>0</v>
      </c>
      <c r="AP93" s="110">
        <f t="shared" si="3"/>
        <v>0</v>
      </c>
      <c r="AQ93" s="110">
        <f t="shared" si="3"/>
        <v>0</v>
      </c>
      <c r="AR93" s="110">
        <f t="shared" si="3"/>
        <v>0</v>
      </c>
      <c r="AS93" s="110">
        <f t="shared" si="3"/>
        <v>0</v>
      </c>
      <c r="AT93" s="110">
        <f t="shared" si="3"/>
        <v>0</v>
      </c>
      <c r="AU93" s="110">
        <f t="shared" si="3"/>
        <v>0</v>
      </c>
      <c r="AV93" s="110">
        <f t="shared" si="3"/>
        <v>0</v>
      </c>
      <c r="AW93" s="110">
        <f t="shared" si="3"/>
        <v>0</v>
      </c>
      <c r="AX93" s="110">
        <f t="shared" si="3"/>
        <v>0</v>
      </c>
    </row>
    <row r="94" spans="2:50" x14ac:dyDescent="0.2">
      <c r="B94" s="111"/>
    </row>
    <row r="95" spans="2:50" x14ac:dyDescent="0.2">
      <c r="B95" s="184" t="s">
        <v>337</v>
      </c>
    </row>
    <row r="96" spans="2:50" x14ac:dyDescent="0.2">
      <c r="B96" s="185"/>
      <c r="C96" s="115" t="s">
        <v>92</v>
      </c>
      <c r="D96" s="111"/>
      <c r="E96" s="111"/>
      <c r="F96" s="111"/>
      <c r="G96" s="115" t="s">
        <v>93</v>
      </c>
      <c r="H96" s="111"/>
      <c r="I96" s="111"/>
      <c r="J96" s="111"/>
      <c r="K96" s="115" t="s">
        <v>94</v>
      </c>
      <c r="L96" s="111"/>
      <c r="M96" s="111"/>
      <c r="N96" s="111"/>
      <c r="O96" s="115" t="s">
        <v>95</v>
      </c>
      <c r="P96" s="111"/>
      <c r="Q96" s="111"/>
      <c r="R96" s="111"/>
      <c r="S96" s="115" t="s">
        <v>96</v>
      </c>
      <c r="T96" s="111"/>
      <c r="U96" s="111"/>
      <c r="V96" s="111"/>
      <c r="W96" s="115" t="s">
        <v>97</v>
      </c>
      <c r="X96" s="111"/>
      <c r="Y96" s="111"/>
      <c r="Z96" s="111"/>
      <c r="AA96" s="115" t="s">
        <v>98</v>
      </c>
      <c r="AB96" s="111"/>
      <c r="AC96" s="111"/>
      <c r="AD96" s="111"/>
      <c r="AE96" s="115" t="s">
        <v>99</v>
      </c>
      <c r="AF96" s="111"/>
      <c r="AG96" s="111"/>
      <c r="AH96" s="111"/>
      <c r="AI96" s="115" t="s">
        <v>100</v>
      </c>
      <c r="AJ96" s="111"/>
      <c r="AK96" s="111"/>
      <c r="AL96" s="111"/>
      <c r="AM96" s="115" t="s">
        <v>101</v>
      </c>
      <c r="AN96" s="111"/>
      <c r="AO96" s="111"/>
      <c r="AP96" s="111"/>
      <c r="AQ96" s="115" t="s">
        <v>102</v>
      </c>
      <c r="AR96" s="111"/>
      <c r="AS96" s="111"/>
      <c r="AT96" s="111"/>
      <c r="AU96" s="115" t="s">
        <v>103</v>
      </c>
      <c r="AV96" s="111"/>
      <c r="AW96" s="111"/>
    </row>
    <row r="97" spans="1:50" x14ac:dyDescent="0.2">
      <c r="A97" s="186" t="s">
        <v>121</v>
      </c>
      <c r="B97" s="186" t="s">
        <v>338</v>
      </c>
      <c r="C97" s="115">
        <v>1</v>
      </c>
      <c r="D97" s="115">
        <v>2</v>
      </c>
      <c r="E97" s="115">
        <v>3</v>
      </c>
      <c r="F97" s="115">
        <v>4</v>
      </c>
      <c r="G97" s="115">
        <v>1</v>
      </c>
      <c r="H97" s="115">
        <v>2</v>
      </c>
      <c r="I97" s="115">
        <v>3</v>
      </c>
      <c r="J97" s="115">
        <v>4</v>
      </c>
      <c r="K97" s="115">
        <v>1</v>
      </c>
      <c r="L97" s="115">
        <v>2</v>
      </c>
      <c r="M97" s="115">
        <v>3</v>
      </c>
      <c r="N97" s="115">
        <v>4</v>
      </c>
      <c r="O97" s="115">
        <v>1</v>
      </c>
      <c r="P97" s="115">
        <v>2</v>
      </c>
      <c r="Q97" s="115">
        <v>3</v>
      </c>
      <c r="R97" s="115">
        <v>4</v>
      </c>
      <c r="S97" s="115">
        <v>1</v>
      </c>
      <c r="T97" s="115">
        <v>2</v>
      </c>
      <c r="U97" s="115">
        <v>3</v>
      </c>
      <c r="V97" s="115">
        <v>4</v>
      </c>
      <c r="W97" s="115">
        <v>1</v>
      </c>
      <c r="X97" s="115">
        <v>2</v>
      </c>
      <c r="Y97" s="115">
        <v>3</v>
      </c>
      <c r="Z97" s="115">
        <v>4</v>
      </c>
      <c r="AA97" s="115">
        <v>1</v>
      </c>
      <c r="AB97" s="115">
        <v>2</v>
      </c>
      <c r="AC97" s="115">
        <v>3</v>
      </c>
      <c r="AD97" s="115">
        <v>4</v>
      </c>
      <c r="AE97" s="115">
        <v>1</v>
      </c>
      <c r="AF97" s="115">
        <v>2</v>
      </c>
      <c r="AG97" s="115">
        <v>3</v>
      </c>
      <c r="AH97" s="115">
        <v>4</v>
      </c>
      <c r="AI97" s="115">
        <v>1</v>
      </c>
      <c r="AJ97" s="115">
        <v>2</v>
      </c>
      <c r="AK97" s="115">
        <v>3</v>
      </c>
      <c r="AL97" s="115">
        <v>4</v>
      </c>
      <c r="AM97" s="115">
        <v>1</v>
      </c>
      <c r="AN97" s="115">
        <v>2</v>
      </c>
      <c r="AO97" s="115">
        <v>3</v>
      </c>
      <c r="AP97" s="115">
        <v>4</v>
      </c>
      <c r="AQ97" s="115">
        <v>1</v>
      </c>
      <c r="AR97" s="115">
        <v>2</v>
      </c>
      <c r="AS97" s="115">
        <v>3</v>
      </c>
      <c r="AT97" s="115">
        <v>4</v>
      </c>
      <c r="AU97" s="115">
        <v>1</v>
      </c>
      <c r="AV97" s="115">
        <v>2</v>
      </c>
      <c r="AW97" s="115">
        <v>3</v>
      </c>
      <c r="AX97" s="115">
        <v>4</v>
      </c>
    </row>
    <row r="98" spans="1:50" x14ac:dyDescent="0.2">
      <c r="A98" s="115" t="s">
        <v>104</v>
      </c>
      <c r="B98" s="115" t="s">
        <v>12</v>
      </c>
      <c r="C98" s="110">
        <v>418361.04263853957</v>
      </c>
      <c r="D98" s="110">
        <v>418361.04263853957</v>
      </c>
      <c r="E98" s="110">
        <v>418361.04263853957</v>
      </c>
      <c r="F98" s="110">
        <v>418361.04263853957</v>
      </c>
      <c r="G98" s="110">
        <v>454447.596428591</v>
      </c>
      <c r="H98" s="110">
        <v>454447.596428591</v>
      </c>
      <c r="I98" s="110">
        <v>454447.596428591</v>
      </c>
      <c r="J98" s="110">
        <v>454447.596428591</v>
      </c>
      <c r="K98" s="110">
        <v>1107169.2699305578</v>
      </c>
      <c r="L98" s="110">
        <v>1107169.2699305578</v>
      </c>
      <c r="M98" s="110">
        <v>1107169.2699305578</v>
      </c>
      <c r="N98" s="110">
        <v>1107169.2699305578</v>
      </c>
      <c r="O98" s="110">
        <v>1328421.0233424918</v>
      </c>
      <c r="P98" s="110">
        <v>1328421.0233424918</v>
      </c>
      <c r="Q98" s="110">
        <v>1328421.0233424918</v>
      </c>
      <c r="R98" s="110">
        <v>1328421.0233424918</v>
      </c>
      <c r="S98" s="110">
        <v>0</v>
      </c>
      <c r="T98" s="110">
        <v>0</v>
      </c>
      <c r="U98" s="110">
        <v>0</v>
      </c>
      <c r="V98" s="110">
        <v>0</v>
      </c>
      <c r="W98" s="110">
        <v>456123.11928592774</v>
      </c>
      <c r="X98" s="110">
        <v>316593.39320857712</v>
      </c>
      <c r="Y98" s="110">
        <v>456123.11928592774</v>
      </c>
      <c r="Z98" s="110">
        <v>456123.11928592774</v>
      </c>
      <c r="AA98" s="110">
        <v>1027917.3484320766</v>
      </c>
      <c r="AB98" s="110">
        <v>963600.49546857667</v>
      </c>
      <c r="AC98" s="110">
        <v>1301505.0272318129</v>
      </c>
      <c r="AD98" s="110">
        <v>1301505.0272318129</v>
      </c>
      <c r="AE98" s="110">
        <v>1168833.6784209032</v>
      </c>
      <c r="AF98" s="110">
        <v>1168833.6784209032</v>
      </c>
      <c r="AG98" s="110">
        <v>1168833.6784209032</v>
      </c>
      <c r="AH98" s="110">
        <v>1168833.6784209032</v>
      </c>
      <c r="AI98" s="110">
        <v>409179.47511415271</v>
      </c>
      <c r="AJ98" s="110">
        <v>409179.47511415271</v>
      </c>
      <c r="AK98" s="110">
        <v>409179.47511415271</v>
      </c>
      <c r="AL98" s="110">
        <v>409179.47511415271</v>
      </c>
      <c r="AM98" s="110">
        <v>1072890.1335227336</v>
      </c>
      <c r="AN98" s="110">
        <v>1072890.1335227336</v>
      </c>
      <c r="AO98" s="110">
        <v>1072890.1335227336</v>
      </c>
      <c r="AP98" s="110">
        <v>1072890.1335227336</v>
      </c>
      <c r="AQ98" s="110">
        <v>692172.63066839532</v>
      </c>
      <c r="AR98" s="110">
        <v>692172.63066839532</v>
      </c>
      <c r="AS98" s="110">
        <v>692172.63066839532</v>
      </c>
      <c r="AT98" s="110">
        <v>692172.63066839532</v>
      </c>
      <c r="AU98" s="110">
        <v>1008470.1944421991</v>
      </c>
      <c r="AV98" s="110">
        <v>1008470.1944421991</v>
      </c>
      <c r="AW98" s="110">
        <v>1008470.1944421991</v>
      </c>
      <c r="AX98" s="110">
        <v>1008470.1944421991</v>
      </c>
    </row>
    <row r="99" spans="1:50" x14ac:dyDescent="0.2">
      <c r="B99" s="115" t="s">
        <v>42</v>
      </c>
      <c r="C99" s="110">
        <v>116065.29021096065</v>
      </c>
      <c r="D99" s="110">
        <v>116065.29021096065</v>
      </c>
      <c r="E99" s="110">
        <v>116065.29021096065</v>
      </c>
      <c r="F99" s="110">
        <v>116065.29021096065</v>
      </c>
      <c r="G99" s="110">
        <v>126076.7298802477</v>
      </c>
      <c r="H99" s="110">
        <v>126076.7298802477</v>
      </c>
      <c r="I99" s="110">
        <v>126076.7298802477</v>
      </c>
      <c r="J99" s="110">
        <v>126076.7298802477</v>
      </c>
      <c r="K99" s="110">
        <v>307160.34604152641</v>
      </c>
      <c r="L99" s="110">
        <v>307160.34604152641</v>
      </c>
      <c r="M99" s="110">
        <v>307160.34604152641</v>
      </c>
      <c r="N99" s="110">
        <v>307160.34604152641</v>
      </c>
      <c r="O99" s="110">
        <v>368541.89535472821</v>
      </c>
      <c r="P99" s="110">
        <v>368541.89535472821</v>
      </c>
      <c r="Q99" s="110">
        <v>368541.89535472821</v>
      </c>
      <c r="R99" s="110">
        <v>368541.89535472821</v>
      </c>
      <c r="S99" s="110">
        <v>0</v>
      </c>
      <c r="T99" s="110">
        <v>0</v>
      </c>
      <c r="U99" s="110">
        <v>0</v>
      </c>
      <c r="V99" s="110">
        <v>0</v>
      </c>
      <c r="W99" s="110">
        <v>126541.56772811562</v>
      </c>
      <c r="X99" s="110">
        <v>87832.040550138132</v>
      </c>
      <c r="Y99" s="110">
        <v>126541.56772811562</v>
      </c>
      <c r="Z99" s="110">
        <v>126541.56772811562</v>
      </c>
      <c r="AA99" s="110">
        <v>285173.60174410196</v>
      </c>
      <c r="AB99" s="110">
        <v>267330.27159657195</v>
      </c>
      <c r="AC99" s="110">
        <v>361074.63004675321</v>
      </c>
      <c r="AD99" s="110">
        <v>361074.63004675321</v>
      </c>
      <c r="AE99" s="110">
        <v>324267.81241071905</v>
      </c>
      <c r="AF99" s="110">
        <v>324267.81241071905</v>
      </c>
      <c r="AG99" s="110">
        <v>324267.81241071905</v>
      </c>
      <c r="AH99" s="110">
        <v>324267.81241071905</v>
      </c>
      <c r="AI99" s="110">
        <v>113518.06140450074</v>
      </c>
      <c r="AJ99" s="110">
        <v>113518.06140450074</v>
      </c>
      <c r="AK99" s="110">
        <v>113518.06140450074</v>
      </c>
      <c r="AL99" s="110">
        <v>113518.06140450074</v>
      </c>
      <c r="AM99" s="110">
        <v>297650.33552462299</v>
      </c>
      <c r="AN99" s="110">
        <v>297650.33552462299</v>
      </c>
      <c r="AO99" s="110">
        <v>297650.33552462299</v>
      </c>
      <c r="AP99" s="110">
        <v>297650.33552462299</v>
      </c>
      <c r="AQ99" s="110">
        <v>192028.43732278881</v>
      </c>
      <c r="AR99" s="110">
        <v>192028.43732278881</v>
      </c>
      <c r="AS99" s="110">
        <v>192028.43732278881</v>
      </c>
      <c r="AT99" s="110">
        <v>192028.43732278881</v>
      </c>
      <c r="AU99" s="110">
        <v>279778.40634689922</v>
      </c>
      <c r="AV99" s="110">
        <v>279778.40634689922</v>
      </c>
      <c r="AW99" s="110">
        <v>279778.40634689922</v>
      </c>
      <c r="AX99" s="110">
        <v>279778.40634689922</v>
      </c>
    </row>
    <row r="100" spans="1:50" x14ac:dyDescent="0.2">
      <c r="B100" s="115" t="s">
        <v>49</v>
      </c>
      <c r="C100" s="110">
        <v>299003.11773553136</v>
      </c>
      <c r="D100" s="110">
        <v>299003.11773553136</v>
      </c>
      <c r="E100" s="110">
        <v>299003.11773553136</v>
      </c>
      <c r="F100" s="110">
        <v>299003.11773553136</v>
      </c>
      <c r="G100" s="110">
        <v>324794.21918108064</v>
      </c>
      <c r="H100" s="110">
        <v>324794.21918108064</v>
      </c>
      <c r="I100" s="110">
        <v>324794.21918108064</v>
      </c>
      <c r="J100" s="110">
        <v>324794.21918108064</v>
      </c>
      <c r="K100" s="110">
        <v>791295.14899940311</v>
      </c>
      <c r="L100" s="110">
        <v>791295.14899940311</v>
      </c>
      <c r="M100" s="110">
        <v>791295.14899940311</v>
      </c>
      <c r="N100" s="110">
        <v>791295.14899940311</v>
      </c>
      <c r="O100" s="110">
        <v>949424.03130974434</v>
      </c>
      <c r="P100" s="110">
        <v>949424.03130974434</v>
      </c>
      <c r="Q100" s="110">
        <v>949424.03130974434</v>
      </c>
      <c r="R100" s="110">
        <v>949424.03130974434</v>
      </c>
      <c r="S100" s="110">
        <v>0</v>
      </c>
      <c r="T100" s="110">
        <v>0</v>
      </c>
      <c r="U100" s="110">
        <v>0</v>
      </c>
      <c r="V100" s="110">
        <v>0</v>
      </c>
      <c r="W100" s="110">
        <v>325991.71729185397</v>
      </c>
      <c r="X100" s="110">
        <v>226269.66178976436</v>
      </c>
      <c r="Y100" s="110">
        <v>325991.71729185397</v>
      </c>
      <c r="Z100" s="110">
        <v>325991.71729185397</v>
      </c>
      <c r="AA100" s="110">
        <v>734653.70966956788</v>
      </c>
      <c r="AB100" s="110">
        <v>688686.38097725553</v>
      </c>
      <c r="AC100" s="110">
        <v>930187.13797165256</v>
      </c>
      <c r="AD100" s="110">
        <v>930187.13797165256</v>
      </c>
      <c r="AE100" s="110">
        <v>835366.77257994947</v>
      </c>
      <c r="AF100" s="110">
        <v>835366.77257994947</v>
      </c>
      <c r="AG100" s="110">
        <v>835366.77257994947</v>
      </c>
      <c r="AH100" s="110">
        <v>835366.77257994947</v>
      </c>
      <c r="AI100" s="110">
        <v>292441.04087919527</v>
      </c>
      <c r="AJ100" s="110">
        <v>292441.04087919527</v>
      </c>
      <c r="AK100" s="110">
        <v>292441.04087919527</v>
      </c>
      <c r="AL100" s="110">
        <v>292441.04087919527</v>
      </c>
      <c r="AM100" s="110">
        <v>766795.81083307078</v>
      </c>
      <c r="AN100" s="110">
        <v>766795.81083307078</v>
      </c>
      <c r="AO100" s="110">
        <v>766795.81083307078</v>
      </c>
      <c r="AP100" s="110">
        <v>766795.81083307078</v>
      </c>
      <c r="AQ100" s="110">
        <v>494696.57422158174</v>
      </c>
      <c r="AR100" s="110">
        <v>494696.57422158174</v>
      </c>
      <c r="AS100" s="110">
        <v>494696.57422158174</v>
      </c>
      <c r="AT100" s="110">
        <v>494696.57422158174</v>
      </c>
      <c r="AU100" s="110">
        <v>720754.8063745012</v>
      </c>
      <c r="AV100" s="110">
        <v>720754.8063745012</v>
      </c>
      <c r="AW100" s="110">
        <v>720754.8063745012</v>
      </c>
      <c r="AX100" s="110">
        <v>720754.8063745012</v>
      </c>
    </row>
    <row r="101" spans="1:50" x14ac:dyDescent="0.2">
      <c r="B101" s="115" t="s">
        <v>66</v>
      </c>
      <c r="C101" s="110">
        <v>0</v>
      </c>
      <c r="D101" s="110">
        <v>0</v>
      </c>
      <c r="E101" s="110">
        <v>0</v>
      </c>
      <c r="F101" s="110">
        <v>0</v>
      </c>
      <c r="G101" s="110">
        <v>0</v>
      </c>
      <c r="H101" s="110">
        <v>0</v>
      </c>
      <c r="I101" s="110">
        <v>0</v>
      </c>
      <c r="J101" s="110">
        <v>0</v>
      </c>
      <c r="K101" s="110">
        <v>0</v>
      </c>
      <c r="L101" s="110">
        <v>0</v>
      </c>
      <c r="M101" s="110">
        <v>0</v>
      </c>
      <c r="N101" s="110">
        <v>0</v>
      </c>
      <c r="O101" s="110">
        <v>0</v>
      </c>
      <c r="P101" s="110">
        <v>0</v>
      </c>
      <c r="Q101" s="110">
        <v>0</v>
      </c>
      <c r="R101" s="110">
        <v>0</v>
      </c>
      <c r="S101" s="110">
        <v>0</v>
      </c>
      <c r="T101" s="110">
        <v>0</v>
      </c>
      <c r="U101" s="110">
        <v>0</v>
      </c>
      <c r="V101" s="110">
        <v>0</v>
      </c>
      <c r="W101" s="110">
        <v>0</v>
      </c>
      <c r="X101" s="110">
        <v>0</v>
      </c>
      <c r="Y101" s="110">
        <v>0</v>
      </c>
      <c r="Z101" s="110">
        <v>0</v>
      </c>
      <c r="AA101" s="110">
        <v>0</v>
      </c>
      <c r="AB101" s="110">
        <v>0</v>
      </c>
      <c r="AC101" s="110">
        <v>0</v>
      </c>
      <c r="AD101" s="110">
        <v>0</v>
      </c>
      <c r="AE101" s="110">
        <v>0</v>
      </c>
      <c r="AF101" s="110">
        <v>0</v>
      </c>
      <c r="AG101" s="110">
        <v>0</v>
      </c>
      <c r="AH101" s="110">
        <v>0</v>
      </c>
      <c r="AI101" s="110">
        <v>0</v>
      </c>
      <c r="AJ101" s="110">
        <v>0</v>
      </c>
      <c r="AK101" s="110">
        <v>0</v>
      </c>
      <c r="AL101" s="110">
        <v>0</v>
      </c>
      <c r="AM101" s="110">
        <v>0</v>
      </c>
      <c r="AN101" s="110">
        <v>0</v>
      </c>
      <c r="AO101" s="110">
        <v>0</v>
      </c>
      <c r="AP101" s="110">
        <v>0</v>
      </c>
      <c r="AQ101" s="110">
        <v>0</v>
      </c>
      <c r="AR101" s="110">
        <v>0</v>
      </c>
      <c r="AS101" s="110">
        <v>0</v>
      </c>
      <c r="AT101" s="110">
        <v>0</v>
      </c>
      <c r="AU101" s="110">
        <v>0</v>
      </c>
      <c r="AV101" s="110">
        <v>0</v>
      </c>
      <c r="AW101" s="110">
        <v>0</v>
      </c>
      <c r="AX101" s="110">
        <v>0</v>
      </c>
    </row>
    <row r="102" spans="1:50" x14ac:dyDescent="0.2">
      <c r="B102" s="110" t="s">
        <v>280</v>
      </c>
      <c r="C102" s="115">
        <f>SUM(C$98:C$101)</f>
        <v>833429.45058503165</v>
      </c>
      <c r="D102" s="115">
        <f t="shared" ref="D102:AX102" si="5">SUM(D$98:D$101)</f>
        <v>833429.45058503165</v>
      </c>
      <c r="E102" s="115">
        <f t="shared" si="5"/>
        <v>833429.45058503165</v>
      </c>
      <c r="F102" s="115">
        <f t="shared" si="5"/>
        <v>833429.45058503165</v>
      </c>
      <c r="G102" s="115">
        <f t="shared" si="5"/>
        <v>905318.54548991937</v>
      </c>
      <c r="H102" s="115">
        <f t="shared" si="5"/>
        <v>905318.54548991937</v>
      </c>
      <c r="I102" s="115">
        <f t="shared" si="5"/>
        <v>905318.54548991937</v>
      </c>
      <c r="J102" s="115">
        <f t="shared" si="5"/>
        <v>905318.54548991937</v>
      </c>
      <c r="K102" s="115">
        <f t="shared" si="5"/>
        <v>2205624.7649714872</v>
      </c>
      <c r="L102" s="115">
        <f t="shared" si="5"/>
        <v>2205624.7649714872</v>
      </c>
      <c r="M102" s="115">
        <f t="shared" si="5"/>
        <v>2205624.7649714872</v>
      </c>
      <c r="N102" s="115">
        <f t="shared" si="5"/>
        <v>2205624.7649714872</v>
      </c>
      <c r="O102" s="115">
        <f t="shared" si="5"/>
        <v>2646386.9500069646</v>
      </c>
      <c r="P102" s="115">
        <f t="shared" si="5"/>
        <v>2646386.9500069646</v>
      </c>
      <c r="Q102" s="115">
        <f t="shared" si="5"/>
        <v>2646386.9500069646</v>
      </c>
      <c r="R102" s="115">
        <f t="shared" si="5"/>
        <v>2646386.9500069646</v>
      </c>
      <c r="S102" s="115">
        <f t="shared" si="5"/>
        <v>0</v>
      </c>
      <c r="T102" s="115">
        <f t="shared" si="5"/>
        <v>0</v>
      </c>
      <c r="U102" s="115">
        <f t="shared" si="5"/>
        <v>0</v>
      </c>
      <c r="V102" s="115">
        <f t="shared" si="5"/>
        <v>0</v>
      </c>
      <c r="W102" s="115">
        <f t="shared" si="5"/>
        <v>908656.4043058973</v>
      </c>
      <c r="X102" s="115">
        <f t="shared" si="5"/>
        <v>630695.09554847958</v>
      </c>
      <c r="Y102" s="115">
        <f t="shared" si="5"/>
        <v>908656.4043058973</v>
      </c>
      <c r="Z102" s="115">
        <f t="shared" si="5"/>
        <v>908656.4043058973</v>
      </c>
      <c r="AA102" s="115">
        <f t="shared" si="5"/>
        <v>2047744.6598457464</v>
      </c>
      <c r="AB102" s="115">
        <f t="shared" si="5"/>
        <v>1919617.1480424041</v>
      </c>
      <c r="AC102" s="115">
        <f t="shared" si="5"/>
        <v>2592766.7952502188</v>
      </c>
      <c r="AD102" s="115">
        <f t="shared" si="5"/>
        <v>2592766.7952502188</v>
      </c>
      <c r="AE102" s="115">
        <f t="shared" si="5"/>
        <v>2328468.2634115717</v>
      </c>
      <c r="AF102" s="115">
        <f t="shared" si="5"/>
        <v>2328468.2634115717</v>
      </c>
      <c r="AG102" s="115">
        <f t="shared" si="5"/>
        <v>2328468.2634115717</v>
      </c>
      <c r="AH102" s="115">
        <f t="shared" si="5"/>
        <v>2328468.2634115717</v>
      </c>
      <c r="AI102" s="115">
        <f t="shared" si="5"/>
        <v>815138.57739784871</v>
      </c>
      <c r="AJ102" s="115">
        <f t="shared" si="5"/>
        <v>815138.57739784871</v>
      </c>
      <c r="AK102" s="115">
        <f t="shared" si="5"/>
        <v>815138.57739784871</v>
      </c>
      <c r="AL102" s="115">
        <f t="shared" si="5"/>
        <v>815138.57739784871</v>
      </c>
      <c r="AM102" s="115">
        <f t="shared" si="5"/>
        <v>2137336.2798804273</v>
      </c>
      <c r="AN102" s="115">
        <f t="shared" si="5"/>
        <v>2137336.2798804273</v>
      </c>
      <c r="AO102" s="115">
        <f t="shared" si="5"/>
        <v>2137336.2798804273</v>
      </c>
      <c r="AP102" s="115">
        <f t="shared" si="5"/>
        <v>2137336.2798804273</v>
      </c>
      <c r="AQ102" s="115">
        <f t="shared" si="5"/>
        <v>1378897.6422127658</v>
      </c>
      <c r="AR102" s="115">
        <f t="shared" si="5"/>
        <v>1378897.6422127658</v>
      </c>
      <c r="AS102" s="115">
        <f t="shared" si="5"/>
        <v>1378897.6422127658</v>
      </c>
      <c r="AT102" s="115">
        <f t="shared" si="5"/>
        <v>1378897.6422127658</v>
      </c>
      <c r="AU102" s="115">
        <f t="shared" si="5"/>
        <v>2009003.4071635995</v>
      </c>
      <c r="AV102" s="115">
        <f t="shared" si="5"/>
        <v>2009003.4071635995</v>
      </c>
      <c r="AW102" s="115">
        <f t="shared" si="5"/>
        <v>2009003.4071635995</v>
      </c>
      <c r="AX102" s="115">
        <f t="shared" si="5"/>
        <v>2009003.4071635995</v>
      </c>
    </row>
    <row r="103" spans="1:50" x14ac:dyDescent="0.2">
      <c r="A103" s="115" t="s">
        <v>105</v>
      </c>
      <c r="B103" s="115" t="s">
        <v>12</v>
      </c>
      <c r="C103" s="110">
        <v>124515.3182722924</v>
      </c>
      <c r="D103" s="110">
        <v>124515.3182722924</v>
      </c>
      <c r="E103" s="110">
        <v>124515.3182722924</v>
      </c>
      <c r="F103" s="110">
        <v>124515.3182722924</v>
      </c>
      <c r="G103" s="110">
        <v>0</v>
      </c>
      <c r="H103" s="110">
        <v>0</v>
      </c>
      <c r="I103" s="110">
        <v>0</v>
      </c>
      <c r="J103" s="110">
        <v>0</v>
      </c>
      <c r="K103" s="110">
        <v>58354.558203664274</v>
      </c>
      <c r="L103" s="110">
        <v>58354.558203664274</v>
      </c>
      <c r="M103" s="110">
        <v>58354.558203664274</v>
      </c>
      <c r="N103" s="110">
        <v>58354.558203664274</v>
      </c>
      <c r="O103" s="110">
        <v>90731.100364907834</v>
      </c>
      <c r="P103" s="110">
        <v>90731.100364907834</v>
      </c>
      <c r="Q103" s="110">
        <v>90731.100364907834</v>
      </c>
      <c r="R103" s="110">
        <v>90731.100364907834</v>
      </c>
      <c r="S103" s="110">
        <v>1901190.1540662576</v>
      </c>
      <c r="T103" s="110">
        <v>1901190.1540662576</v>
      </c>
      <c r="U103" s="110">
        <v>1901190.1540662576</v>
      </c>
      <c r="V103" s="110">
        <v>1901190.1540662576</v>
      </c>
      <c r="W103" s="110">
        <v>0</v>
      </c>
      <c r="X103" s="110">
        <v>0</v>
      </c>
      <c r="Y103" s="110">
        <v>0</v>
      </c>
      <c r="Z103" s="110">
        <v>0</v>
      </c>
      <c r="AA103" s="110">
        <v>0</v>
      </c>
      <c r="AB103" s="110">
        <v>0</v>
      </c>
      <c r="AC103" s="110">
        <v>0</v>
      </c>
      <c r="AD103" s="110">
        <v>0</v>
      </c>
      <c r="AE103" s="110">
        <v>96105.862304719019</v>
      </c>
      <c r="AF103" s="110">
        <v>96105.862304719019</v>
      </c>
      <c r="AG103" s="110">
        <v>96105.862304719019</v>
      </c>
      <c r="AH103" s="110">
        <v>96105.862304719019</v>
      </c>
      <c r="AI103" s="110">
        <v>0</v>
      </c>
      <c r="AJ103" s="110">
        <v>0</v>
      </c>
      <c r="AK103" s="110">
        <v>0</v>
      </c>
      <c r="AL103" s="110">
        <v>0</v>
      </c>
      <c r="AM103" s="110">
        <v>93162.540290060511</v>
      </c>
      <c r="AN103" s="110">
        <v>93162.540290060511</v>
      </c>
      <c r="AO103" s="110">
        <v>93162.540290060511</v>
      </c>
      <c r="AP103" s="110">
        <v>93162.540290060511</v>
      </c>
      <c r="AQ103" s="110">
        <v>104935.82834869453</v>
      </c>
      <c r="AR103" s="110">
        <v>104935.82834869453</v>
      </c>
      <c r="AS103" s="110">
        <v>104935.82834869453</v>
      </c>
      <c r="AT103" s="110">
        <v>104935.82834869453</v>
      </c>
      <c r="AU103" s="110">
        <v>125667.05297368053</v>
      </c>
      <c r="AV103" s="110">
        <v>125667.05297368053</v>
      </c>
      <c r="AW103" s="110">
        <v>125667.05297368053</v>
      </c>
      <c r="AX103" s="110">
        <v>125667.05297368053</v>
      </c>
    </row>
    <row r="104" spans="1:50" x14ac:dyDescent="0.2">
      <c r="B104" s="115" t="s">
        <v>42</v>
      </c>
      <c r="C104" s="110">
        <v>77308.65506211271</v>
      </c>
      <c r="D104" s="110">
        <v>77308.65506211271</v>
      </c>
      <c r="E104" s="110">
        <v>77308.65506211271</v>
      </c>
      <c r="F104" s="110">
        <v>77308.65506211271</v>
      </c>
      <c r="G104" s="110">
        <v>0</v>
      </c>
      <c r="H104" s="110">
        <v>0</v>
      </c>
      <c r="I104" s="110">
        <v>0</v>
      </c>
      <c r="J104" s="110">
        <v>0</v>
      </c>
      <c r="K104" s="110">
        <v>36230.983256241932</v>
      </c>
      <c r="L104" s="110">
        <v>36230.983256241932</v>
      </c>
      <c r="M104" s="110">
        <v>36230.983256241932</v>
      </c>
      <c r="N104" s="110">
        <v>36230.983256241932</v>
      </c>
      <c r="O104" s="110">
        <v>56332.822650604234</v>
      </c>
      <c r="P104" s="110">
        <v>56332.822650604234</v>
      </c>
      <c r="Q104" s="110">
        <v>56332.822650604234</v>
      </c>
      <c r="R104" s="110">
        <v>56332.822650604234</v>
      </c>
      <c r="S104" s="110">
        <v>1180404.5949332761</v>
      </c>
      <c r="T104" s="110">
        <v>1180404.5949332761</v>
      </c>
      <c r="U104" s="110">
        <v>1180404.5949332761</v>
      </c>
      <c r="V104" s="110">
        <v>1180404.5949332761</v>
      </c>
      <c r="W104" s="110">
        <v>0</v>
      </c>
      <c r="X104" s="110">
        <v>0</v>
      </c>
      <c r="Y104" s="110">
        <v>0</v>
      </c>
      <c r="Z104" s="110">
        <v>0</v>
      </c>
      <c r="AA104" s="110">
        <v>0</v>
      </c>
      <c r="AB104" s="110">
        <v>0</v>
      </c>
      <c r="AC104" s="110">
        <v>0</v>
      </c>
      <c r="AD104" s="110">
        <v>0</v>
      </c>
      <c r="AE104" s="110">
        <v>59669.886897889672</v>
      </c>
      <c r="AF104" s="110">
        <v>59669.886897889672</v>
      </c>
      <c r="AG104" s="110">
        <v>59669.886897889672</v>
      </c>
      <c r="AH104" s="110">
        <v>59669.886897889672</v>
      </c>
      <c r="AI104" s="110">
        <v>0</v>
      </c>
      <c r="AJ104" s="110">
        <v>0</v>
      </c>
      <c r="AK104" s="110">
        <v>0</v>
      </c>
      <c r="AL104" s="110">
        <v>0</v>
      </c>
      <c r="AM104" s="110">
        <v>57842.446952947648</v>
      </c>
      <c r="AN104" s="110">
        <v>57842.446952947648</v>
      </c>
      <c r="AO104" s="110">
        <v>57842.446952947648</v>
      </c>
      <c r="AP104" s="110">
        <v>57842.446952947648</v>
      </c>
      <c r="AQ104" s="110">
        <v>65152.206732715749</v>
      </c>
      <c r="AR104" s="110">
        <v>65152.206732715749</v>
      </c>
      <c r="AS104" s="110">
        <v>65152.206732715749</v>
      </c>
      <c r="AT104" s="110">
        <v>65152.206732715749</v>
      </c>
      <c r="AU104" s="110">
        <v>78023.740257959609</v>
      </c>
      <c r="AV104" s="110">
        <v>78023.740257959609</v>
      </c>
      <c r="AW104" s="110">
        <v>78023.740257959609</v>
      </c>
      <c r="AX104" s="110">
        <v>78023.740257959609</v>
      </c>
    </row>
    <row r="105" spans="1:50" x14ac:dyDescent="0.2">
      <c r="B105" s="115" t="s">
        <v>49</v>
      </c>
      <c r="C105" s="110">
        <v>118588.76435045357</v>
      </c>
      <c r="D105" s="110">
        <v>118588.76435045357</v>
      </c>
      <c r="E105" s="110">
        <v>118588.76435045357</v>
      </c>
      <c r="F105" s="110">
        <v>118588.76435045357</v>
      </c>
      <c r="G105" s="110">
        <v>0</v>
      </c>
      <c r="H105" s="110">
        <v>0</v>
      </c>
      <c r="I105" s="110">
        <v>0</v>
      </c>
      <c r="J105" s="110">
        <v>0</v>
      </c>
      <c r="K105" s="110">
        <v>55577.05708510465</v>
      </c>
      <c r="L105" s="110">
        <v>55577.05708510465</v>
      </c>
      <c r="M105" s="110">
        <v>55577.05708510465</v>
      </c>
      <c r="N105" s="110">
        <v>55577.05708510465</v>
      </c>
      <c r="O105" s="110">
        <v>86412.573406445605</v>
      </c>
      <c r="P105" s="110">
        <v>86412.573406445605</v>
      </c>
      <c r="Q105" s="110">
        <v>86412.573406445605</v>
      </c>
      <c r="R105" s="110">
        <v>86412.573406445605</v>
      </c>
      <c r="S105" s="110">
        <v>1810699.2319846647</v>
      </c>
      <c r="T105" s="110">
        <v>1810699.2319846647</v>
      </c>
      <c r="U105" s="110">
        <v>1810699.2319846647</v>
      </c>
      <c r="V105" s="110">
        <v>1810699.2319846647</v>
      </c>
      <c r="W105" s="110">
        <v>0</v>
      </c>
      <c r="X105" s="110">
        <v>0</v>
      </c>
      <c r="Y105" s="110">
        <v>0</v>
      </c>
      <c r="Z105" s="110">
        <v>0</v>
      </c>
      <c r="AA105" s="110">
        <v>0</v>
      </c>
      <c r="AB105" s="110">
        <v>0</v>
      </c>
      <c r="AC105" s="110">
        <v>0</v>
      </c>
      <c r="AD105" s="110">
        <v>0</v>
      </c>
      <c r="AE105" s="110">
        <v>91531.512874810505</v>
      </c>
      <c r="AF105" s="110">
        <v>91531.512874810505</v>
      </c>
      <c r="AG105" s="110">
        <v>91531.512874810505</v>
      </c>
      <c r="AH105" s="110">
        <v>91531.512874810505</v>
      </c>
      <c r="AI105" s="110">
        <v>0</v>
      </c>
      <c r="AJ105" s="110">
        <v>0</v>
      </c>
      <c r="AK105" s="110">
        <v>0</v>
      </c>
      <c r="AL105" s="110">
        <v>0</v>
      </c>
      <c r="AM105" s="110">
        <v>88728.284118324955</v>
      </c>
      <c r="AN105" s="110">
        <v>88728.284118324955</v>
      </c>
      <c r="AO105" s="110">
        <v>88728.284118324955</v>
      </c>
      <c r="AP105" s="110">
        <v>88728.284118324955</v>
      </c>
      <c r="AQ105" s="110">
        <v>99941.199144267128</v>
      </c>
      <c r="AR105" s="110">
        <v>99941.199144267128</v>
      </c>
      <c r="AS105" s="110">
        <v>99941.199144267128</v>
      </c>
      <c r="AT105" s="110">
        <v>99941.199144267128</v>
      </c>
      <c r="AU105" s="110">
        <v>119685.67995081747</v>
      </c>
      <c r="AV105" s="110">
        <v>119685.67995081747</v>
      </c>
      <c r="AW105" s="110">
        <v>119685.67995081747</v>
      </c>
      <c r="AX105" s="110">
        <v>119685.67995081747</v>
      </c>
    </row>
    <row r="106" spans="1:50" x14ac:dyDescent="0.2">
      <c r="B106" s="115" t="s">
        <v>66</v>
      </c>
      <c r="C106" s="110">
        <v>32823.603938204738</v>
      </c>
      <c r="D106" s="110">
        <v>32823.603938204738</v>
      </c>
      <c r="E106" s="110">
        <v>32823.603938204738</v>
      </c>
      <c r="F106" s="110">
        <v>32823.603938204738</v>
      </c>
      <c r="G106" s="110">
        <v>0</v>
      </c>
      <c r="H106" s="110">
        <v>0</v>
      </c>
      <c r="I106" s="110">
        <v>0</v>
      </c>
      <c r="J106" s="110">
        <v>0</v>
      </c>
      <c r="K106" s="110">
        <v>15382.901742879096</v>
      </c>
      <c r="L106" s="110">
        <v>15382.901742879096</v>
      </c>
      <c r="M106" s="110">
        <v>15382.901742879096</v>
      </c>
      <c r="N106" s="110">
        <v>15382.901742879096</v>
      </c>
      <c r="O106" s="110">
        <v>23917.71345548526</v>
      </c>
      <c r="P106" s="110">
        <v>23917.71345548526</v>
      </c>
      <c r="Q106" s="110">
        <v>23917.71345548526</v>
      </c>
      <c r="R106" s="110">
        <v>23917.71345548526</v>
      </c>
      <c r="S106" s="110">
        <v>501174.58232584083</v>
      </c>
      <c r="T106" s="110">
        <v>501174.58232584083</v>
      </c>
      <c r="U106" s="110">
        <v>501174.58232584083</v>
      </c>
      <c r="V106" s="110">
        <v>501174.58232584083</v>
      </c>
      <c r="W106" s="110">
        <v>0</v>
      </c>
      <c r="X106" s="110">
        <v>0</v>
      </c>
      <c r="Y106" s="110">
        <v>0</v>
      </c>
      <c r="Z106" s="110">
        <v>0</v>
      </c>
      <c r="AA106" s="110">
        <v>0</v>
      </c>
      <c r="AB106" s="110">
        <v>0</v>
      </c>
      <c r="AC106" s="110">
        <v>0</v>
      </c>
      <c r="AD106" s="110">
        <v>0</v>
      </c>
      <c r="AE106" s="110">
        <v>25334.559668645179</v>
      </c>
      <c r="AF106" s="110">
        <v>25334.559668645179</v>
      </c>
      <c r="AG106" s="110">
        <v>25334.559668645179</v>
      </c>
      <c r="AH106" s="110">
        <v>25334.559668645179</v>
      </c>
      <c r="AI106" s="110">
        <v>0</v>
      </c>
      <c r="AJ106" s="110">
        <v>0</v>
      </c>
      <c r="AK106" s="110">
        <v>0</v>
      </c>
      <c r="AL106" s="110">
        <v>0</v>
      </c>
      <c r="AM106" s="110">
        <v>24558.667694771888</v>
      </c>
      <c r="AN106" s="110">
        <v>24558.667694771888</v>
      </c>
      <c r="AO106" s="110">
        <v>24558.667694771888</v>
      </c>
      <c r="AP106" s="110">
        <v>24558.667694771888</v>
      </c>
      <c r="AQ106" s="110">
        <v>27662.235590265038</v>
      </c>
      <c r="AR106" s="110">
        <v>27662.235590265038</v>
      </c>
      <c r="AS106" s="110">
        <v>27662.235590265038</v>
      </c>
      <c r="AT106" s="110">
        <v>27662.235590265038</v>
      </c>
      <c r="AU106" s="110">
        <v>33127.213841024721</v>
      </c>
      <c r="AV106" s="110">
        <v>33127.213841024721</v>
      </c>
      <c r="AW106" s="110">
        <v>33127.213841024721</v>
      </c>
      <c r="AX106" s="110">
        <v>33127.213841024721</v>
      </c>
    </row>
    <row r="107" spans="1:50" x14ac:dyDescent="0.2">
      <c r="B107" s="111" t="s">
        <v>280</v>
      </c>
      <c r="C107" s="115">
        <f>SUM(C$103:C$106)</f>
        <v>353236.34162306343</v>
      </c>
      <c r="D107" s="115">
        <f t="shared" ref="D107:AX107" si="6">SUM(D$103:D$106)</f>
        <v>353236.34162306343</v>
      </c>
      <c r="E107" s="115">
        <f t="shared" si="6"/>
        <v>353236.34162306343</v>
      </c>
      <c r="F107" s="115">
        <f t="shared" si="6"/>
        <v>353236.34162306343</v>
      </c>
      <c r="G107" s="115">
        <f t="shared" si="6"/>
        <v>0</v>
      </c>
      <c r="H107" s="115">
        <f t="shared" si="6"/>
        <v>0</v>
      </c>
      <c r="I107" s="115">
        <f t="shared" si="6"/>
        <v>0</v>
      </c>
      <c r="J107" s="115">
        <f t="shared" si="6"/>
        <v>0</v>
      </c>
      <c r="K107" s="115">
        <f t="shared" si="6"/>
        <v>165545.50028788994</v>
      </c>
      <c r="L107" s="115">
        <f t="shared" si="6"/>
        <v>165545.50028788994</v>
      </c>
      <c r="M107" s="115">
        <f t="shared" si="6"/>
        <v>165545.50028788994</v>
      </c>
      <c r="N107" s="115">
        <f t="shared" si="6"/>
        <v>165545.50028788994</v>
      </c>
      <c r="O107" s="115">
        <f t="shared" si="6"/>
        <v>257394.20987744295</v>
      </c>
      <c r="P107" s="115">
        <f t="shared" si="6"/>
        <v>257394.20987744295</v>
      </c>
      <c r="Q107" s="115">
        <f t="shared" si="6"/>
        <v>257394.20987744295</v>
      </c>
      <c r="R107" s="115">
        <f t="shared" si="6"/>
        <v>257394.20987744295</v>
      </c>
      <c r="S107" s="115">
        <f t="shared" si="6"/>
        <v>5393468.5633100383</v>
      </c>
      <c r="T107" s="115">
        <f t="shared" si="6"/>
        <v>5393468.5633100383</v>
      </c>
      <c r="U107" s="115">
        <f t="shared" si="6"/>
        <v>5393468.5633100383</v>
      </c>
      <c r="V107" s="115">
        <f t="shared" si="6"/>
        <v>5393468.5633100383</v>
      </c>
      <c r="W107" s="115">
        <f t="shared" si="6"/>
        <v>0</v>
      </c>
      <c r="X107" s="115">
        <f t="shared" si="6"/>
        <v>0</v>
      </c>
      <c r="Y107" s="115">
        <f t="shared" si="6"/>
        <v>0</v>
      </c>
      <c r="Z107" s="115">
        <f t="shared" si="6"/>
        <v>0</v>
      </c>
      <c r="AA107" s="115">
        <f t="shared" si="6"/>
        <v>0</v>
      </c>
      <c r="AB107" s="115">
        <f t="shared" si="6"/>
        <v>0</v>
      </c>
      <c r="AC107" s="115">
        <f t="shared" si="6"/>
        <v>0</v>
      </c>
      <c r="AD107" s="115">
        <f t="shared" si="6"/>
        <v>0</v>
      </c>
      <c r="AE107" s="115">
        <f t="shared" si="6"/>
        <v>272641.82174606441</v>
      </c>
      <c r="AF107" s="115">
        <f t="shared" si="6"/>
        <v>272641.82174606441</v>
      </c>
      <c r="AG107" s="115">
        <f t="shared" si="6"/>
        <v>272641.82174606441</v>
      </c>
      <c r="AH107" s="115">
        <f t="shared" si="6"/>
        <v>272641.82174606441</v>
      </c>
      <c r="AI107" s="115">
        <f t="shared" si="6"/>
        <v>0</v>
      </c>
      <c r="AJ107" s="115">
        <f t="shared" si="6"/>
        <v>0</v>
      </c>
      <c r="AK107" s="115">
        <f t="shared" si="6"/>
        <v>0</v>
      </c>
      <c r="AL107" s="115">
        <f t="shared" si="6"/>
        <v>0</v>
      </c>
      <c r="AM107" s="115">
        <f t="shared" si="6"/>
        <v>264291.93905610498</v>
      </c>
      <c r="AN107" s="115">
        <f t="shared" si="6"/>
        <v>264291.93905610498</v>
      </c>
      <c r="AO107" s="115">
        <f t="shared" si="6"/>
        <v>264291.93905610498</v>
      </c>
      <c r="AP107" s="115">
        <f t="shared" si="6"/>
        <v>264291.93905610498</v>
      </c>
      <c r="AQ107" s="115">
        <f t="shared" si="6"/>
        <v>297691.46981594246</v>
      </c>
      <c r="AR107" s="115">
        <f t="shared" si="6"/>
        <v>297691.46981594246</v>
      </c>
      <c r="AS107" s="115">
        <f t="shared" si="6"/>
        <v>297691.46981594246</v>
      </c>
      <c r="AT107" s="115">
        <f t="shared" si="6"/>
        <v>297691.46981594246</v>
      </c>
      <c r="AU107" s="115">
        <f t="shared" si="6"/>
        <v>356503.68702348234</v>
      </c>
      <c r="AV107" s="115">
        <f t="shared" si="6"/>
        <v>356503.68702348234</v>
      </c>
      <c r="AW107" s="115">
        <f t="shared" si="6"/>
        <v>356503.68702348234</v>
      </c>
      <c r="AX107" s="115">
        <f t="shared" si="6"/>
        <v>356503.68702348234</v>
      </c>
    </row>
    <row r="108" spans="1:50" x14ac:dyDescent="0.2">
      <c r="A108" s="115" t="s">
        <v>106</v>
      </c>
      <c r="B108" s="115" t="s">
        <v>12</v>
      </c>
      <c r="C108" s="110">
        <v>0</v>
      </c>
      <c r="D108" s="110">
        <v>0</v>
      </c>
      <c r="E108" s="110">
        <v>0</v>
      </c>
      <c r="F108" s="110">
        <v>0</v>
      </c>
      <c r="G108" s="110">
        <v>0</v>
      </c>
      <c r="H108" s="110">
        <v>0</v>
      </c>
      <c r="I108" s="110">
        <v>0</v>
      </c>
      <c r="J108" s="110">
        <v>0</v>
      </c>
      <c r="K108" s="110">
        <v>0</v>
      </c>
      <c r="L108" s="110">
        <v>0</v>
      </c>
      <c r="M108" s="110">
        <v>0</v>
      </c>
      <c r="N108" s="110">
        <v>0</v>
      </c>
      <c r="O108" s="110">
        <v>0</v>
      </c>
      <c r="P108" s="110">
        <v>0</v>
      </c>
      <c r="Q108" s="110">
        <v>0</v>
      </c>
      <c r="R108" s="110">
        <v>0</v>
      </c>
      <c r="S108" s="110">
        <v>0</v>
      </c>
      <c r="T108" s="110">
        <v>0</v>
      </c>
      <c r="U108" s="110">
        <v>0</v>
      </c>
      <c r="V108" s="110">
        <v>0</v>
      </c>
      <c r="W108" s="110">
        <v>0</v>
      </c>
      <c r="X108" s="110">
        <v>0</v>
      </c>
      <c r="Y108" s="110">
        <v>0</v>
      </c>
      <c r="Z108" s="110">
        <v>0</v>
      </c>
      <c r="AA108" s="110">
        <v>0</v>
      </c>
      <c r="AB108" s="110">
        <v>0</v>
      </c>
      <c r="AC108" s="110">
        <v>0</v>
      </c>
      <c r="AD108" s="110">
        <v>0</v>
      </c>
      <c r="AE108" s="110">
        <v>0</v>
      </c>
      <c r="AF108" s="110">
        <v>0</v>
      </c>
      <c r="AG108" s="110">
        <v>0</v>
      </c>
      <c r="AH108" s="110">
        <v>0</v>
      </c>
      <c r="AI108" s="110">
        <v>0</v>
      </c>
      <c r="AJ108" s="110">
        <v>0</v>
      </c>
      <c r="AK108" s="110">
        <v>0</v>
      </c>
      <c r="AL108" s="110">
        <v>0</v>
      </c>
      <c r="AM108" s="110">
        <v>0</v>
      </c>
      <c r="AN108" s="110">
        <v>0</v>
      </c>
      <c r="AO108" s="110">
        <v>0</v>
      </c>
      <c r="AP108" s="110">
        <v>0</v>
      </c>
      <c r="AQ108" s="110">
        <v>0</v>
      </c>
      <c r="AR108" s="110">
        <v>0</v>
      </c>
      <c r="AS108" s="110">
        <v>0</v>
      </c>
      <c r="AT108" s="110">
        <v>0</v>
      </c>
      <c r="AU108" s="110">
        <v>0</v>
      </c>
      <c r="AV108" s="110">
        <v>0</v>
      </c>
      <c r="AW108" s="110">
        <v>0</v>
      </c>
      <c r="AX108" s="110">
        <v>0</v>
      </c>
    </row>
    <row r="109" spans="1:50" x14ac:dyDescent="0.2">
      <c r="B109" s="115" t="s">
        <v>42</v>
      </c>
      <c r="C109" s="110">
        <v>0</v>
      </c>
      <c r="D109" s="110">
        <v>0</v>
      </c>
      <c r="E109" s="110">
        <v>0</v>
      </c>
      <c r="F109" s="110">
        <v>0</v>
      </c>
      <c r="G109" s="110">
        <v>0</v>
      </c>
      <c r="H109" s="110">
        <v>0</v>
      </c>
      <c r="I109" s="110">
        <v>0</v>
      </c>
      <c r="J109" s="110">
        <v>0</v>
      </c>
      <c r="K109" s="110">
        <v>0</v>
      </c>
      <c r="L109" s="110">
        <v>0</v>
      </c>
      <c r="M109" s="110">
        <v>0</v>
      </c>
      <c r="N109" s="110">
        <v>0</v>
      </c>
      <c r="O109" s="110">
        <v>0</v>
      </c>
      <c r="P109" s="110">
        <v>0</v>
      </c>
      <c r="Q109" s="110">
        <v>0</v>
      </c>
      <c r="R109" s="110">
        <v>0</v>
      </c>
      <c r="S109" s="110">
        <v>0</v>
      </c>
      <c r="T109" s="110">
        <v>0</v>
      </c>
      <c r="U109" s="110">
        <v>0</v>
      </c>
      <c r="V109" s="110">
        <v>0</v>
      </c>
      <c r="W109" s="110">
        <v>449265.3</v>
      </c>
      <c r="X109" s="110">
        <v>449265.3</v>
      </c>
      <c r="Y109" s="110">
        <v>449265.3</v>
      </c>
      <c r="Z109" s="110">
        <v>449265.3</v>
      </c>
      <c r="AA109" s="110">
        <v>0</v>
      </c>
      <c r="AB109" s="110">
        <v>0</v>
      </c>
      <c r="AC109" s="110">
        <v>0</v>
      </c>
      <c r="AD109" s="110">
        <v>0</v>
      </c>
      <c r="AE109" s="110">
        <v>0</v>
      </c>
      <c r="AF109" s="110">
        <v>0</v>
      </c>
      <c r="AG109" s="110">
        <v>0</v>
      </c>
      <c r="AH109" s="110">
        <v>0</v>
      </c>
      <c r="AI109" s="110">
        <v>361978.1</v>
      </c>
      <c r="AJ109" s="110">
        <v>361978.1</v>
      </c>
      <c r="AK109" s="110">
        <v>361978.1</v>
      </c>
      <c r="AL109" s="110">
        <v>361978.1</v>
      </c>
      <c r="AM109" s="110">
        <v>129851.7</v>
      </c>
      <c r="AN109" s="110">
        <v>129851.7</v>
      </c>
      <c r="AO109" s="110">
        <v>129851.7</v>
      </c>
      <c r="AP109" s="110">
        <v>129851.7</v>
      </c>
      <c r="AQ109" s="110">
        <v>0</v>
      </c>
      <c r="AR109" s="110">
        <v>0</v>
      </c>
      <c r="AS109" s="110">
        <v>0</v>
      </c>
      <c r="AT109" s="110">
        <v>0</v>
      </c>
      <c r="AU109" s="110">
        <v>0</v>
      </c>
      <c r="AV109" s="110">
        <v>0</v>
      </c>
      <c r="AW109" s="110">
        <v>0</v>
      </c>
      <c r="AX109" s="110">
        <v>0</v>
      </c>
    </row>
    <row r="110" spans="1:50" x14ac:dyDescent="0.2">
      <c r="B110" s="115" t="s">
        <v>49</v>
      </c>
      <c r="C110" s="110">
        <v>0</v>
      </c>
      <c r="D110" s="110">
        <v>0</v>
      </c>
      <c r="E110" s="110">
        <v>0</v>
      </c>
      <c r="F110" s="110">
        <v>0</v>
      </c>
      <c r="G110" s="110">
        <v>0</v>
      </c>
      <c r="H110" s="110">
        <v>0</v>
      </c>
      <c r="I110" s="110">
        <v>0</v>
      </c>
      <c r="J110" s="110">
        <v>0</v>
      </c>
      <c r="K110" s="110">
        <v>0</v>
      </c>
      <c r="L110" s="110">
        <v>0</v>
      </c>
      <c r="M110" s="110">
        <v>0</v>
      </c>
      <c r="N110" s="110">
        <v>0</v>
      </c>
      <c r="O110" s="110">
        <v>0</v>
      </c>
      <c r="P110" s="110">
        <v>0</v>
      </c>
      <c r="Q110" s="110">
        <v>0</v>
      </c>
      <c r="R110" s="110">
        <v>0</v>
      </c>
      <c r="S110" s="110">
        <v>0</v>
      </c>
      <c r="T110" s="110">
        <v>0</v>
      </c>
      <c r="U110" s="110">
        <v>0</v>
      </c>
      <c r="V110" s="110">
        <v>0</v>
      </c>
      <c r="W110" s="110">
        <v>0</v>
      </c>
      <c r="X110" s="110">
        <v>0</v>
      </c>
      <c r="Y110" s="110">
        <v>0</v>
      </c>
      <c r="Z110" s="110">
        <v>0</v>
      </c>
      <c r="AA110" s="110">
        <v>0</v>
      </c>
      <c r="AB110" s="110">
        <v>0</v>
      </c>
      <c r="AC110" s="110">
        <v>0</v>
      </c>
      <c r="AD110" s="110">
        <v>0</v>
      </c>
      <c r="AE110" s="110">
        <v>0</v>
      </c>
      <c r="AF110" s="110">
        <v>0</v>
      </c>
      <c r="AG110" s="110">
        <v>0</v>
      </c>
      <c r="AH110" s="110">
        <v>0</v>
      </c>
      <c r="AI110" s="110">
        <v>0</v>
      </c>
      <c r="AJ110" s="110">
        <v>0</v>
      </c>
      <c r="AK110" s="110">
        <v>0</v>
      </c>
      <c r="AL110" s="110">
        <v>0</v>
      </c>
      <c r="AM110" s="110">
        <v>0</v>
      </c>
      <c r="AN110" s="110">
        <v>0</v>
      </c>
      <c r="AO110" s="110">
        <v>0</v>
      </c>
      <c r="AP110" s="110">
        <v>0</v>
      </c>
      <c r="AQ110" s="110">
        <v>0</v>
      </c>
      <c r="AR110" s="110">
        <v>0</v>
      </c>
      <c r="AS110" s="110">
        <v>0</v>
      </c>
      <c r="AT110" s="110">
        <v>0</v>
      </c>
      <c r="AU110" s="110">
        <v>0</v>
      </c>
      <c r="AV110" s="110">
        <v>0</v>
      </c>
      <c r="AW110" s="110">
        <v>0</v>
      </c>
      <c r="AX110" s="110">
        <v>0</v>
      </c>
    </row>
    <row r="111" spans="1:50" x14ac:dyDescent="0.2">
      <c r="B111" s="115" t="s">
        <v>66</v>
      </c>
      <c r="C111" s="110">
        <v>0</v>
      </c>
      <c r="D111" s="110">
        <v>0</v>
      </c>
      <c r="E111" s="110">
        <v>0</v>
      </c>
      <c r="F111" s="110">
        <v>0</v>
      </c>
      <c r="G111" s="110">
        <v>0</v>
      </c>
      <c r="H111" s="110">
        <v>0</v>
      </c>
      <c r="I111" s="110">
        <v>0</v>
      </c>
      <c r="J111" s="110">
        <v>0</v>
      </c>
      <c r="K111" s="110">
        <v>0</v>
      </c>
      <c r="L111" s="110">
        <v>0</v>
      </c>
      <c r="M111" s="110">
        <v>0</v>
      </c>
      <c r="N111" s="110">
        <v>0</v>
      </c>
      <c r="O111" s="110">
        <v>0</v>
      </c>
      <c r="P111" s="110">
        <v>0</v>
      </c>
      <c r="Q111" s="110">
        <v>0</v>
      </c>
      <c r="R111" s="110">
        <v>0</v>
      </c>
      <c r="S111" s="110">
        <v>0</v>
      </c>
      <c r="T111" s="110">
        <v>0</v>
      </c>
      <c r="U111" s="110">
        <v>0</v>
      </c>
      <c r="V111" s="110">
        <v>0</v>
      </c>
      <c r="W111" s="110">
        <v>0</v>
      </c>
      <c r="X111" s="110">
        <v>0</v>
      </c>
      <c r="Y111" s="110">
        <v>0</v>
      </c>
      <c r="Z111" s="110">
        <v>0</v>
      </c>
      <c r="AA111" s="110">
        <v>0</v>
      </c>
      <c r="AB111" s="110">
        <v>0</v>
      </c>
      <c r="AC111" s="110">
        <v>0</v>
      </c>
      <c r="AD111" s="110">
        <v>0</v>
      </c>
      <c r="AE111" s="110">
        <v>0</v>
      </c>
      <c r="AF111" s="110">
        <v>0</v>
      </c>
      <c r="AG111" s="110">
        <v>0</v>
      </c>
      <c r="AH111" s="110">
        <v>0</v>
      </c>
      <c r="AI111" s="110">
        <v>0</v>
      </c>
      <c r="AJ111" s="110">
        <v>0</v>
      </c>
      <c r="AK111" s="110">
        <v>0</v>
      </c>
      <c r="AL111" s="110">
        <v>0</v>
      </c>
      <c r="AM111" s="110">
        <v>0</v>
      </c>
      <c r="AN111" s="110">
        <v>0</v>
      </c>
      <c r="AO111" s="110">
        <v>0</v>
      </c>
      <c r="AP111" s="110">
        <v>0</v>
      </c>
      <c r="AQ111" s="110">
        <v>0</v>
      </c>
      <c r="AR111" s="110">
        <v>0</v>
      </c>
      <c r="AS111" s="110">
        <v>0</v>
      </c>
      <c r="AT111" s="110">
        <v>0</v>
      </c>
      <c r="AU111" s="110">
        <v>0</v>
      </c>
      <c r="AV111" s="110">
        <v>0</v>
      </c>
      <c r="AW111" s="110">
        <v>0</v>
      </c>
      <c r="AX111" s="110">
        <v>0</v>
      </c>
    </row>
    <row r="112" spans="1:50" x14ac:dyDescent="0.2">
      <c r="B112" s="111" t="s">
        <v>280</v>
      </c>
      <c r="C112" s="115">
        <f>SUM(C$108:C$111)</f>
        <v>0</v>
      </c>
      <c r="D112" s="115">
        <f t="shared" ref="D112:AX112" si="7">SUM(D$108:D$111)</f>
        <v>0</v>
      </c>
      <c r="E112" s="115">
        <f t="shared" si="7"/>
        <v>0</v>
      </c>
      <c r="F112" s="115">
        <f t="shared" si="7"/>
        <v>0</v>
      </c>
      <c r="G112" s="115">
        <f t="shared" si="7"/>
        <v>0</v>
      </c>
      <c r="H112" s="115">
        <f t="shared" si="7"/>
        <v>0</v>
      </c>
      <c r="I112" s="115">
        <f t="shared" si="7"/>
        <v>0</v>
      </c>
      <c r="J112" s="115">
        <f t="shared" si="7"/>
        <v>0</v>
      </c>
      <c r="K112" s="115">
        <f t="shared" si="7"/>
        <v>0</v>
      </c>
      <c r="L112" s="115">
        <f t="shared" si="7"/>
        <v>0</v>
      </c>
      <c r="M112" s="115">
        <f t="shared" si="7"/>
        <v>0</v>
      </c>
      <c r="N112" s="115">
        <f t="shared" si="7"/>
        <v>0</v>
      </c>
      <c r="O112" s="115">
        <f t="shared" si="7"/>
        <v>0</v>
      </c>
      <c r="P112" s="115">
        <f t="shared" si="7"/>
        <v>0</v>
      </c>
      <c r="Q112" s="115">
        <f t="shared" si="7"/>
        <v>0</v>
      </c>
      <c r="R112" s="115">
        <f t="shared" si="7"/>
        <v>0</v>
      </c>
      <c r="S112" s="115">
        <f t="shared" si="7"/>
        <v>0</v>
      </c>
      <c r="T112" s="115">
        <f t="shared" si="7"/>
        <v>0</v>
      </c>
      <c r="U112" s="115">
        <f t="shared" si="7"/>
        <v>0</v>
      </c>
      <c r="V112" s="115">
        <f t="shared" si="7"/>
        <v>0</v>
      </c>
      <c r="W112" s="115">
        <f t="shared" si="7"/>
        <v>449265.3</v>
      </c>
      <c r="X112" s="115">
        <f t="shared" si="7"/>
        <v>449265.3</v>
      </c>
      <c r="Y112" s="115">
        <f t="shared" si="7"/>
        <v>449265.3</v>
      </c>
      <c r="Z112" s="115">
        <f t="shared" si="7"/>
        <v>449265.3</v>
      </c>
      <c r="AA112" s="115">
        <f t="shared" si="7"/>
        <v>0</v>
      </c>
      <c r="AB112" s="115">
        <f t="shared" si="7"/>
        <v>0</v>
      </c>
      <c r="AC112" s="115">
        <f t="shared" si="7"/>
        <v>0</v>
      </c>
      <c r="AD112" s="115">
        <f t="shared" si="7"/>
        <v>0</v>
      </c>
      <c r="AE112" s="115">
        <f t="shared" si="7"/>
        <v>0</v>
      </c>
      <c r="AF112" s="115">
        <f t="shared" si="7"/>
        <v>0</v>
      </c>
      <c r="AG112" s="115">
        <f t="shared" si="7"/>
        <v>0</v>
      </c>
      <c r="AH112" s="115">
        <f t="shared" si="7"/>
        <v>0</v>
      </c>
      <c r="AI112" s="115">
        <f t="shared" si="7"/>
        <v>361978.1</v>
      </c>
      <c r="AJ112" s="115">
        <f t="shared" si="7"/>
        <v>361978.1</v>
      </c>
      <c r="AK112" s="115">
        <f t="shared" si="7"/>
        <v>361978.1</v>
      </c>
      <c r="AL112" s="115">
        <f t="shared" si="7"/>
        <v>361978.1</v>
      </c>
      <c r="AM112" s="115">
        <f t="shared" si="7"/>
        <v>129851.7</v>
      </c>
      <c r="AN112" s="115">
        <f t="shared" si="7"/>
        <v>129851.7</v>
      </c>
      <c r="AO112" s="115">
        <f t="shared" si="7"/>
        <v>129851.7</v>
      </c>
      <c r="AP112" s="115">
        <f t="shared" si="7"/>
        <v>129851.7</v>
      </c>
      <c r="AQ112" s="115">
        <f t="shared" si="7"/>
        <v>0</v>
      </c>
      <c r="AR112" s="115">
        <f t="shared" si="7"/>
        <v>0</v>
      </c>
      <c r="AS112" s="115">
        <f t="shared" si="7"/>
        <v>0</v>
      </c>
      <c r="AT112" s="115">
        <f t="shared" si="7"/>
        <v>0</v>
      </c>
      <c r="AU112" s="115">
        <f t="shared" si="7"/>
        <v>0</v>
      </c>
      <c r="AV112" s="115">
        <f t="shared" si="7"/>
        <v>0</v>
      </c>
      <c r="AW112" s="115">
        <f t="shared" si="7"/>
        <v>0</v>
      </c>
      <c r="AX112" s="115">
        <f t="shared" si="7"/>
        <v>0</v>
      </c>
    </row>
    <row r="113" spans="1:50" x14ac:dyDescent="0.2">
      <c r="A113" s="115" t="s">
        <v>107</v>
      </c>
      <c r="B113" s="115" t="s">
        <v>12</v>
      </c>
      <c r="C113" s="110">
        <v>0</v>
      </c>
      <c r="D113" s="110">
        <v>0</v>
      </c>
      <c r="E113" s="110">
        <v>0</v>
      </c>
      <c r="F113" s="110">
        <v>0</v>
      </c>
      <c r="G113" s="110">
        <v>0</v>
      </c>
      <c r="H113" s="110">
        <v>0</v>
      </c>
      <c r="I113" s="110">
        <v>0</v>
      </c>
      <c r="J113" s="110">
        <v>0</v>
      </c>
      <c r="K113" s="110">
        <v>0</v>
      </c>
      <c r="L113" s="110">
        <v>0</v>
      </c>
      <c r="M113" s="110">
        <v>0</v>
      </c>
      <c r="N113" s="110">
        <v>0</v>
      </c>
      <c r="O113" s="110">
        <v>0</v>
      </c>
      <c r="P113" s="110">
        <v>0</v>
      </c>
      <c r="Q113" s="110">
        <v>0</v>
      </c>
      <c r="R113" s="110">
        <v>0</v>
      </c>
      <c r="S113" s="110">
        <v>0</v>
      </c>
      <c r="T113" s="110">
        <v>0</v>
      </c>
      <c r="U113" s="110">
        <v>0</v>
      </c>
      <c r="V113" s="110">
        <v>0</v>
      </c>
      <c r="W113" s="110">
        <v>0</v>
      </c>
      <c r="X113" s="110">
        <v>0</v>
      </c>
      <c r="Y113" s="110">
        <v>0</v>
      </c>
      <c r="Z113" s="110">
        <v>0</v>
      </c>
      <c r="AA113" s="110">
        <v>0</v>
      </c>
      <c r="AB113" s="110">
        <v>0</v>
      </c>
      <c r="AC113" s="110">
        <v>0</v>
      </c>
      <c r="AD113" s="110">
        <v>0</v>
      </c>
      <c r="AE113" s="110">
        <v>0</v>
      </c>
      <c r="AF113" s="110">
        <v>0</v>
      </c>
      <c r="AG113" s="110">
        <v>0</v>
      </c>
      <c r="AH113" s="110">
        <v>0</v>
      </c>
      <c r="AI113" s="110">
        <v>0</v>
      </c>
      <c r="AJ113" s="110">
        <v>0</v>
      </c>
      <c r="AK113" s="110">
        <v>0</v>
      </c>
      <c r="AL113" s="110">
        <v>0</v>
      </c>
      <c r="AM113" s="110">
        <v>0</v>
      </c>
      <c r="AN113" s="110">
        <v>0</v>
      </c>
      <c r="AO113" s="110">
        <v>0</v>
      </c>
      <c r="AP113" s="110">
        <v>0</v>
      </c>
      <c r="AQ113" s="110">
        <v>0</v>
      </c>
      <c r="AR113" s="110">
        <v>0</v>
      </c>
      <c r="AS113" s="110">
        <v>0</v>
      </c>
      <c r="AT113" s="110">
        <v>0</v>
      </c>
      <c r="AU113" s="110">
        <v>0</v>
      </c>
      <c r="AV113" s="110">
        <v>0</v>
      </c>
      <c r="AW113" s="110">
        <v>0</v>
      </c>
      <c r="AX113" s="110">
        <v>0</v>
      </c>
    </row>
    <row r="114" spans="1:50" x14ac:dyDescent="0.2">
      <c r="B114" s="115" t="s">
        <v>42</v>
      </c>
      <c r="C114" s="110">
        <v>0</v>
      </c>
      <c r="D114" s="110">
        <v>0</v>
      </c>
      <c r="E114" s="110">
        <v>0</v>
      </c>
      <c r="F114" s="110">
        <v>0</v>
      </c>
      <c r="G114" s="110">
        <v>0</v>
      </c>
      <c r="H114" s="110">
        <v>0</v>
      </c>
      <c r="I114" s="110">
        <v>0</v>
      </c>
      <c r="J114" s="110">
        <v>0</v>
      </c>
      <c r="K114" s="110">
        <v>0</v>
      </c>
      <c r="L114" s="110">
        <v>0</v>
      </c>
      <c r="M114" s="110">
        <v>0</v>
      </c>
      <c r="N114" s="110">
        <v>0</v>
      </c>
      <c r="O114" s="110">
        <v>0</v>
      </c>
      <c r="P114" s="110">
        <v>0</v>
      </c>
      <c r="Q114" s="110">
        <v>0</v>
      </c>
      <c r="R114" s="110">
        <v>0</v>
      </c>
      <c r="S114" s="110">
        <v>0</v>
      </c>
      <c r="T114" s="110">
        <v>0</v>
      </c>
      <c r="U114" s="110">
        <v>0</v>
      </c>
      <c r="V114" s="110">
        <v>0</v>
      </c>
      <c r="W114" s="110">
        <v>0</v>
      </c>
      <c r="X114" s="110">
        <v>0</v>
      </c>
      <c r="Y114" s="110">
        <v>0</v>
      </c>
      <c r="Z114" s="110">
        <v>0</v>
      </c>
      <c r="AA114" s="110">
        <v>0</v>
      </c>
      <c r="AB114" s="110">
        <v>0</v>
      </c>
      <c r="AC114" s="110">
        <v>0</v>
      </c>
      <c r="AD114" s="110">
        <v>0</v>
      </c>
      <c r="AE114" s="110">
        <v>0</v>
      </c>
      <c r="AF114" s="110">
        <v>0</v>
      </c>
      <c r="AG114" s="110">
        <v>0</v>
      </c>
      <c r="AH114" s="110">
        <v>0</v>
      </c>
      <c r="AI114" s="110">
        <v>0</v>
      </c>
      <c r="AJ114" s="110">
        <v>0</v>
      </c>
      <c r="AK114" s="110">
        <v>0</v>
      </c>
      <c r="AL114" s="110">
        <v>0</v>
      </c>
      <c r="AM114" s="110">
        <v>0</v>
      </c>
      <c r="AN114" s="110">
        <v>0</v>
      </c>
      <c r="AO114" s="110">
        <v>0</v>
      </c>
      <c r="AP114" s="110">
        <v>0</v>
      </c>
      <c r="AQ114" s="110">
        <v>0</v>
      </c>
      <c r="AR114" s="110">
        <v>0</v>
      </c>
      <c r="AS114" s="110">
        <v>0</v>
      </c>
      <c r="AT114" s="110">
        <v>0</v>
      </c>
      <c r="AU114" s="110">
        <v>0</v>
      </c>
      <c r="AV114" s="110">
        <v>0</v>
      </c>
      <c r="AW114" s="110">
        <v>0</v>
      </c>
      <c r="AX114" s="110">
        <v>0</v>
      </c>
    </row>
    <row r="115" spans="1:50" x14ac:dyDescent="0.2">
      <c r="B115" s="115" t="s">
        <v>49</v>
      </c>
      <c r="C115" s="110">
        <v>0</v>
      </c>
      <c r="D115" s="110">
        <v>0</v>
      </c>
      <c r="E115" s="110">
        <v>0</v>
      </c>
      <c r="F115" s="110">
        <v>0</v>
      </c>
      <c r="G115" s="110">
        <v>0</v>
      </c>
      <c r="H115" s="110">
        <v>0</v>
      </c>
      <c r="I115" s="110">
        <v>0</v>
      </c>
      <c r="J115" s="110">
        <v>0</v>
      </c>
      <c r="K115" s="110">
        <v>0</v>
      </c>
      <c r="L115" s="110">
        <v>0</v>
      </c>
      <c r="M115" s="110">
        <v>0</v>
      </c>
      <c r="N115" s="110">
        <v>0</v>
      </c>
      <c r="O115" s="110">
        <v>0</v>
      </c>
      <c r="P115" s="110">
        <v>0</v>
      </c>
      <c r="Q115" s="110">
        <v>0</v>
      </c>
      <c r="R115" s="110">
        <v>0</v>
      </c>
      <c r="S115" s="110">
        <v>0</v>
      </c>
      <c r="T115" s="110">
        <v>0</v>
      </c>
      <c r="U115" s="110">
        <v>0</v>
      </c>
      <c r="V115" s="110">
        <v>0</v>
      </c>
      <c r="W115" s="110">
        <v>0</v>
      </c>
      <c r="X115" s="110">
        <v>0</v>
      </c>
      <c r="Y115" s="110">
        <v>0</v>
      </c>
      <c r="Z115" s="110">
        <v>0</v>
      </c>
      <c r="AA115" s="110">
        <v>0</v>
      </c>
      <c r="AB115" s="110">
        <v>0</v>
      </c>
      <c r="AC115" s="110">
        <v>0</v>
      </c>
      <c r="AD115" s="110">
        <v>0</v>
      </c>
      <c r="AE115" s="110">
        <v>0</v>
      </c>
      <c r="AF115" s="110">
        <v>0</v>
      </c>
      <c r="AG115" s="110">
        <v>0</v>
      </c>
      <c r="AH115" s="110">
        <v>0</v>
      </c>
      <c r="AI115" s="110">
        <v>0</v>
      </c>
      <c r="AJ115" s="110">
        <v>0</v>
      </c>
      <c r="AK115" s="110">
        <v>0</v>
      </c>
      <c r="AL115" s="110">
        <v>0</v>
      </c>
      <c r="AM115" s="110">
        <v>0</v>
      </c>
      <c r="AN115" s="110">
        <v>0</v>
      </c>
      <c r="AO115" s="110">
        <v>0</v>
      </c>
      <c r="AP115" s="110">
        <v>0</v>
      </c>
      <c r="AQ115" s="110">
        <v>0</v>
      </c>
      <c r="AR115" s="110">
        <v>0</v>
      </c>
      <c r="AS115" s="110">
        <v>0</v>
      </c>
      <c r="AT115" s="110">
        <v>0</v>
      </c>
      <c r="AU115" s="110">
        <v>0</v>
      </c>
      <c r="AV115" s="110">
        <v>0</v>
      </c>
      <c r="AW115" s="110">
        <v>0</v>
      </c>
      <c r="AX115" s="110">
        <v>0</v>
      </c>
    </row>
    <row r="116" spans="1:50" x14ac:dyDescent="0.2">
      <c r="B116" s="115" t="s">
        <v>66</v>
      </c>
      <c r="C116" s="110">
        <v>0</v>
      </c>
      <c r="D116" s="110">
        <v>0</v>
      </c>
      <c r="E116" s="110">
        <v>0</v>
      </c>
      <c r="F116" s="110">
        <v>0</v>
      </c>
      <c r="G116" s="110">
        <v>146318.70000000001</v>
      </c>
      <c r="H116" s="110">
        <v>146318.70000000001</v>
      </c>
      <c r="I116" s="110">
        <v>146318.70000000001</v>
      </c>
      <c r="J116" s="110">
        <v>146318.70000000001</v>
      </c>
      <c r="K116" s="110">
        <v>0</v>
      </c>
      <c r="L116" s="110">
        <v>0</v>
      </c>
      <c r="M116" s="110">
        <v>0</v>
      </c>
      <c r="N116" s="110">
        <v>0</v>
      </c>
      <c r="O116" s="110">
        <v>0</v>
      </c>
      <c r="P116" s="110">
        <v>0</v>
      </c>
      <c r="Q116" s="110">
        <v>0</v>
      </c>
      <c r="R116" s="110">
        <v>0</v>
      </c>
      <c r="S116" s="110">
        <v>0</v>
      </c>
      <c r="T116" s="110">
        <v>0</v>
      </c>
      <c r="U116" s="110">
        <v>0</v>
      </c>
      <c r="V116" s="110">
        <v>0</v>
      </c>
      <c r="W116" s="110">
        <v>84797.24</v>
      </c>
      <c r="X116" s="110">
        <v>84797.24</v>
      </c>
      <c r="Y116" s="110">
        <v>84797.24</v>
      </c>
      <c r="Z116" s="110">
        <v>84797.24</v>
      </c>
      <c r="AA116" s="110">
        <v>93972.34</v>
      </c>
      <c r="AB116" s="110">
        <v>93972.34</v>
      </c>
      <c r="AC116" s="110">
        <v>93972.34</v>
      </c>
      <c r="AD116" s="110">
        <v>93972.34</v>
      </c>
      <c r="AE116" s="110">
        <v>0</v>
      </c>
      <c r="AF116" s="110">
        <v>0</v>
      </c>
      <c r="AG116" s="110">
        <v>0</v>
      </c>
      <c r="AH116" s="110">
        <v>0</v>
      </c>
      <c r="AI116" s="110">
        <v>75042.66</v>
      </c>
      <c r="AJ116" s="110">
        <v>75042.66</v>
      </c>
      <c r="AK116" s="110">
        <v>75042.66</v>
      </c>
      <c r="AL116" s="110">
        <v>75042.66</v>
      </c>
      <c r="AM116" s="110">
        <v>0</v>
      </c>
      <c r="AN116" s="110">
        <v>0</v>
      </c>
      <c r="AO116" s="110">
        <v>0</v>
      </c>
      <c r="AP116" s="110">
        <v>0</v>
      </c>
      <c r="AQ116" s="110">
        <v>0</v>
      </c>
      <c r="AR116" s="110">
        <v>0</v>
      </c>
      <c r="AS116" s="110">
        <v>0</v>
      </c>
      <c r="AT116" s="110">
        <v>0</v>
      </c>
      <c r="AU116" s="110">
        <v>0</v>
      </c>
      <c r="AV116" s="110">
        <v>0</v>
      </c>
      <c r="AW116" s="110">
        <v>0</v>
      </c>
      <c r="AX116" s="110">
        <v>0</v>
      </c>
    </row>
    <row r="117" spans="1:50" x14ac:dyDescent="0.2">
      <c r="B117" s="110" t="s">
        <v>280</v>
      </c>
      <c r="C117" s="115">
        <f>SUM(C$113:C$116)</f>
        <v>0</v>
      </c>
      <c r="D117" s="115">
        <f t="shared" ref="D117:AX117" si="8">SUM(D$113:D$116)</f>
        <v>0</v>
      </c>
      <c r="E117" s="115">
        <f t="shared" si="8"/>
        <v>0</v>
      </c>
      <c r="F117" s="115">
        <f t="shared" si="8"/>
        <v>0</v>
      </c>
      <c r="G117" s="115">
        <f t="shared" si="8"/>
        <v>146318.70000000001</v>
      </c>
      <c r="H117" s="115">
        <f t="shared" si="8"/>
        <v>146318.70000000001</v>
      </c>
      <c r="I117" s="115">
        <f t="shared" si="8"/>
        <v>146318.70000000001</v>
      </c>
      <c r="J117" s="115">
        <f t="shared" si="8"/>
        <v>146318.70000000001</v>
      </c>
      <c r="K117" s="115">
        <f t="shared" si="8"/>
        <v>0</v>
      </c>
      <c r="L117" s="115">
        <f t="shared" si="8"/>
        <v>0</v>
      </c>
      <c r="M117" s="115">
        <f t="shared" si="8"/>
        <v>0</v>
      </c>
      <c r="N117" s="115">
        <f t="shared" si="8"/>
        <v>0</v>
      </c>
      <c r="O117" s="115">
        <f t="shared" si="8"/>
        <v>0</v>
      </c>
      <c r="P117" s="115">
        <f t="shared" si="8"/>
        <v>0</v>
      </c>
      <c r="Q117" s="115">
        <f t="shared" si="8"/>
        <v>0</v>
      </c>
      <c r="R117" s="115">
        <f t="shared" si="8"/>
        <v>0</v>
      </c>
      <c r="S117" s="115">
        <f t="shared" si="8"/>
        <v>0</v>
      </c>
      <c r="T117" s="115">
        <f t="shared" si="8"/>
        <v>0</v>
      </c>
      <c r="U117" s="115">
        <f t="shared" si="8"/>
        <v>0</v>
      </c>
      <c r="V117" s="115">
        <f t="shared" si="8"/>
        <v>0</v>
      </c>
      <c r="W117" s="115">
        <f t="shared" si="8"/>
        <v>84797.24</v>
      </c>
      <c r="X117" s="115">
        <f t="shared" si="8"/>
        <v>84797.24</v>
      </c>
      <c r="Y117" s="115">
        <f t="shared" si="8"/>
        <v>84797.24</v>
      </c>
      <c r="Z117" s="115">
        <f t="shared" si="8"/>
        <v>84797.24</v>
      </c>
      <c r="AA117" s="115">
        <f t="shared" si="8"/>
        <v>93972.34</v>
      </c>
      <c r="AB117" s="115">
        <f t="shared" si="8"/>
        <v>93972.34</v>
      </c>
      <c r="AC117" s="115">
        <f t="shared" si="8"/>
        <v>93972.34</v>
      </c>
      <c r="AD117" s="115">
        <f t="shared" si="8"/>
        <v>93972.34</v>
      </c>
      <c r="AE117" s="115">
        <f t="shared" si="8"/>
        <v>0</v>
      </c>
      <c r="AF117" s="115">
        <f t="shared" si="8"/>
        <v>0</v>
      </c>
      <c r="AG117" s="115">
        <f t="shared" si="8"/>
        <v>0</v>
      </c>
      <c r="AH117" s="115">
        <f t="shared" si="8"/>
        <v>0</v>
      </c>
      <c r="AI117" s="115">
        <f t="shared" si="8"/>
        <v>75042.66</v>
      </c>
      <c r="AJ117" s="115">
        <f t="shared" si="8"/>
        <v>75042.66</v>
      </c>
      <c r="AK117" s="115">
        <f t="shared" si="8"/>
        <v>75042.66</v>
      </c>
      <c r="AL117" s="115">
        <f t="shared" si="8"/>
        <v>75042.66</v>
      </c>
      <c r="AM117" s="115">
        <f t="shared" si="8"/>
        <v>0</v>
      </c>
      <c r="AN117" s="115">
        <f t="shared" si="8"/>
        <v>0</v>
      </c>
      <c r="AO117" s="115">
        <f t="shared" si="8"/>
        <v>0</v>
      </c>
      <c r="AP117" s="115">
        <f t="shared" si="8"/>
        <v>0</v>
      </c>
      <c r="AQ117" s="115">
        <f t="shared" si="8"/>
        <v>0</v>
      </c>
      <c r="AR117" s="115">
        <f t="shared" si="8"/>
        <v>0</v>
      </c>
      <c r="AS117" s="115">
        <f t="shared" si="8"/>
        <v>0</v>
      </c>
      <c r="AT117" s="115">
        <f t="shared" si="8"/>
        <v>0</v>
      </c>
      <c r="AU117" s="115">
        <f t="shared" si="8"/>
        <v>0</v>
      </c>
      <c r="AV117" s="115">
        <f t="shared" si="8"/>
        <v>0</v>
      </c>
      <c r="AW117" s="115">
        <f t="shared" si="8"/>
        <v>0</v>
      </c>
      <c r="AX117" s="115">
        <f t="shared" si="8"/>
        <v>0</v>
      </c>
    </row>
    <row r="118" spans="1:50" x14ac:dyDescent="0.2">
      <c r="A118" s="115" t="s">
        <v>108</v>
      </c>
      <c r="B118" s="115" t="s">
        <v>12</v>
      </c>
      <c r="C118" s="110">
        <v>1649207.3946217906</v>
      </c>
      <c r="D118" s="110">
        <v>1649207.3946217906</v>
      </c>
      <c r="E118" s="110">
        <v>1649207.3946217906</v>
      </c>
      <c r="F118" s="110">
        <v>1649207.3946217906</v>
      </c>
      <c r="G118" s="110">
        <v>1223569.6944014668</v>
      </c>
      <c r="H118" s="110">
        <v>1223569.6944014668</v>
      </c>
      <c r="I118" s="110">
        <v>1223569.6944014668</v>
      </c>
      <c r="J118" s="110">
        <v>1223569.6944014668</v>
      </c>
      <c r="K118" s="110">
        <v>0</v>
      </c>
      <c r="L118" s="110">
        <v>0</v>
      </c>
      <c r="M118" s="110">
        <v>0</v>
      </c>
      <c r="N118" s="110">
        <v>0</v>
      </c>
      <c r="O118" s="110">
        <v>0</v>
      </c>
      <c r="P118" s="110">
        <v>0</v>
      </c>
      <c r="Q118" s="110">
        <v>0</v>
      </c>
      <c r="R118" s="110">
        <v>0</v>
      </c>
      <c r="S118" s="110">
        <v>0</v>
      </c>
      <c r="T118" s="110">
        <v>0</v>
      </c>
      <c r="U118" s="110">
        <v>0</v>
      </c>
      <c r="V118" s="110">
        <v>0</v>
      </c>
      <c r="W118" s="110">
        <v>0</v>
      </c>
      <c r="X118" s="110">
        <v>0</v>
      </c>
      <c r="Y118" s="110">
        <v>0</v>
      </c>
      <c r="Z118" s="110">
        <v>0</v>
      </c>
      <c r="AA118" s="110">
        <v>0</v>
      </c>
      <c r="AB118" s="110">
        <v>0</v>
      </c>
      <c r="AC118" s="110">
        <v>0</v>
      </c>
      <c r="AD118" s="110">
        <v>0</v>
      </c>
      <c r="AE118" s="110">
        <v>0</v>
      </c>
      <c r="AF118" s="110">
        <v>0</v>
      </c>
      <c r="AG118" s="110">
        <v>0</v>
      </c>
      <c r="AH118" s="110">
        <v>0</v>
      </c>
      <c r="AI118" s="110">
        <v>941346.31910073664</v>
      </c>
      <c r="AJ118" s="110">
        <v>941346.31910073664</v>
      </c>
      <c r="AK118" s="110">
        <v>941346.31910073664</v>
      </c>
      <c r="AL118" s="110">
        <v>941346.31910073664</v>
      </c>
      <c r="AM118" s="110">
        <v>0</v>
      </c>
      <c r="AN118" s="110">
        <v>0</v>
      </c>
      <c r="AO118" s="110">
        <v>0</v>
      </c>
      <c r="AP118" s="110">
        <v>0</v>
      </c>
      <c r="AQ118" s="110">
        <v>0</v>
      </c>
      <c r="AR118" s="110">
        <v>0</v>
      </c>
      <c r="AS118" s="110">
        <v>0</v>
      </c>
      <c r="AT118" s="110">
        <v>0</v>
      </c>
      <c r="AU118" s="110">
        <v>0</v>
      </c>
      <c r="AV118" s="110">
        <v>0</v>
      </c>
      <c r="AW118" s="110">
        <v>0</v>
      </c>
      <c r="AX118" s="110">
        <v>0</v>
      </c>
    </row>
    <row r="119" spans="1:50" x14ac:dyDescent="0.2">
      <c r="B119" s="115" t="s">
        <v>42</v>
      </c>
      <c r="C119" s="110">
        <v>636001.32936669793</v>
      </c>
      <c r="D119" s="110">
        <v>636001.32936669793</v>
      </c>
      <c r="E119" s="110">
        <v>636001.32936669793</v>
      </c>
      <c r="F119" s="110">
        <v>636001.32936669793</v>
      </c>
      <c r="G119" s="110">
        <v>471858.15122457559</v>
      </c>
      <c r="H119" s="110">
        <v>471858.15122457559</v>
      </c>
      <c r="I119" s="110">
        <v>471858.15122457559</v>
      </c>
      <c r="J119" s="110">
        <v>471858.15122457559</v>
      </c>
      <c r="K119" s="110">
        <v>0</v>
      </c>
      <c r="L119" s="110">
        <v>0</v>
      </c>
      <c r="M119" s="110">
        <v>0</v>
      </c>
      <c r="N119" s="110">
        <v>0</v>
      </c>
      <c r="O119" s="110">
        <v>0</v>
      </c>
      <c r="P119" s="110">
        <v>0</v>
      </c>
      <c r="Q119" s="110">
        <v>0</v>
      </c>
      <c r="R119" s="110">
        <v>0</v>
      </c>
      <c r="S119" s="110">
        <v>0</v>
      </c>
      <c r="T119" s="110">
        <v>0</v>
      </c>
      <c r="U119" s="110">
        <v>0</v>
      </c>
      <c r="V119" s="110">
        <v>0</v>
      </c>
      <c r="W119" s="110">
        <v>0</v>
      </c>
      <c r="X119" s="110">
        <v>0</v>
      </c>
      <c r="Y119" s="110">
        <v>0</v>
      </c>
      <c r="Z119" s="110">
        <v>0</v>
      </c>
      <c r="AA119" s="110">
        <v>0</v>
      </c>
      <c r="AB119" s="110">
        <v>0</v>
      </c>
      <c r="AC119" s="110">
        <v>0</v>
      </c>
      <c r="AD119" s="110">
        <v>0</v>
      </c>
      <c r="AE119" s="110">
        <v>0</v>
      </c>
      <c r="AF119" s="110">
        <v>0</v>
      </c>
      <c r="AG119" s="110">
        <v>0</v>
      </c>
      <c r="AH119" s="110">
        <v>0</v>
      </c>
      <c r="AI119" s="110">
        <v>363021.35940872034</v>
      </c>
      <c r="AJ119" s="110">
        <v>363021.35940872034</v>
      </c>
      <c r="AK119" s="110">
        <v>363021.35940872034</v>
      </c>
      <c r="AL119" s="110">
        <v>363021.35940872034</v>
      </c>
      <c r="AM119" s="110">
        <v>0</v>
      </c>
      <c r="AN119" s="110">
        <v>0</v>
      </c>
      <c r="AO119" s="110">
        <v>0</v>
      </c>
      <c r="AP119" s="110">
        <v>0</v>
      </c>
      <c r="AQ119" s="110">
        <v>0</v>
      </c>
      <c r="AR119" s="110">
        <v>0</v>
      </c>
      <c r="AS119" s="110">
        <v>0</v>
      </c>
      <c r="AT119" s="110">
        <v>0</v>
      </c>
      <c r="AU119" s="110">
        <v>0</v>
      </c>
      <c r="AV119" s="110">
        <v>0</v>
      </c>
      <c r="AW119" s="110">
        <v>0</v>
      </c>
      <c r="AX119" s="110">
        <v>0</v>
      </c>
    </row>
    <row r="120" spans="1:50" x14ac:dyDescent="0.2">
      <c r="B120" s="115" t="s">
        <v>49</v>
      </c>
      <c r="C120" s="110">
        <v>0</v>
      </c>
      <c r="D120" s="110">
        <v>0</v>
      </c>
      <c r="E120" s="110">
        <v>0</v>
      </c>
      <c r="F120" s="110">
        <v>0</v>
      </c>
      <c r="G120" s="110">
        <v>0</v>
      </c>
      <c r="H120" s="110">
        <v>0</v>
      </c>
      <c r="I120" s="110">
        <v>0</v>
      </c>
      <c r="J120" s="110">
        <v>0</v>
      </c>
      <c r="K120" s="110">
        <v>0</v>
      </c>
      <c r="L120" s="110">
        <v>0</v>
      </c>
      <c r="M120" s="110">
        <v>0</v>
      </c>
      <c r="N120" s="110">
        <v>0</v>
      </c>
      <c r="O120" s="110">
        <v>0</v>
      </c>
      <c r="P120" s="110">
        <v>0</v>
      </c>
      <c r="Q120" s="110">
        <v>0</v>
      </c>
      <c r="R120" s="110">
        <v>0</v>
      </c>
      <c r="S120" s="110">
        <v>0</v>
      </c>
      <c r="T120" s="110">
        <v>0</v>
      </c>
      <c r="U120" s="110">
        <v>0</v>
      </c>
      <c r="V120" s="110">
        <v>0</v>
      </c>
      <c r="W120" s="110">
        <v>0</v>
      </c>
      <c r="X120" s="110">
        <v>0</v>
      </c>
      <c r="Y120" s="110">
        <v>0</v>
      </c>
      <c r="Z120" s="110">
        <v>0</v>
      </c>
      <c r="AA120" s="110">
        <v>0</v>
      </c>
      <c r="AB120" s="110">
        <v>0</v>
      </c>
      <c r="AC120" s="110">
        <v>0</v>
      </c>
      <c r="AD120" s="110">
        <v>0</v>
      </c>
      <c r="AE120" s="110">
        <v>0</v>
      </c>
      <c r="AF120" s="110">
        <v>0</v>
      </c>
      <c r="AG120" s="110">
        <v>0</v>
      </c>
      <c r="AH120" s="110">
        <v>0</v>
      </c>
      <c r="AI120" s="110">
        <v>0</v>
      </c>
      <c r="AJ120" s="110">
        <v>0</v>
      </c>
      <c r="AK120" s="110">
        <v>0</v>
      </c>
      <c r="AL120" s="110">
        <v>0</v>
      </c>
      <c r="AM120" s="110">
        <v>0</v>
      </c>
      <c r="AN120" s="110">
        <v>0</v>
      </c>
      <c r="AO120" s="110">
        <v>0</v>
      </c>
      <c r="AP120" s="110">
        <v>0</v>
      </c>
      <c r="AQ120" s="110">
        <v>0</v>
      </c>
      <c r="AR120" s="110">
        <v>0</v>
      </c>
      <c r="AS120" s="110">
        <v>0</v>
      </c>
      <c r="AT120" s="110">
        <v>0</v>
      </c>
      <c r="AU120" s="110">
        <v>0</v>
      </c>
      <c r="AV120" s="110">
        <v>0</v>
      </c>
      <c r="AW120" s="110">
        <v>0</v>
      </c>
      <c r="AX120" s="110">
        <v>0</v>
      </c>
    </row>
    <row r="121" spans="1:50" x14ac:dyDescent="0.2">
      <c r="B121" s="115" t="s">
        <v>66</v>
      </c>
      <c r="C121" s="110">
        <v>0</v>
      </c>
      <c r="D121" s="110">
        <v>0</v>
      </c>
      <c r="E121" s="110">
        <v>0</v>
      </c>
      <c r="F121" s="110">
        <v>0</v>
      </c>
      <c r="G121" s="110">
        <v>0</v>
      </c>
      <c r="H121" s="110">
        <v>0</v>
      </c>
      <c r="I121" s="110">
        <v>0</v>
      </c>
      <c r="J121" s="110">
        <v>0</v>
      </c>
      <c r="K121" s="110">
        <v>0</v>
      </c>
      <c r="L121" s="110">
        <v>0</v>
      </c>
      <c r="M121" s="110">
        <v>0</v>
      </c>
      <c r="N121" s="110">
        <v>0</v>
      </c>
      <c r="O121" s="110">
        <v>0</v>
      </c>
      <c r="P121" s="110">
        <v>0</v>
      </c>
      <c r="Q121" s="110">
        <v>0</v>
      </c>
      <c r="R121" s="110">
        <v>0</v>
      </c>
      <c r="S121" s="110">
        <v>0</v>
      </c>
      <c r="T121" s="110">
        <v>0</v>
      </c>
      <c r="U121" s="110">
        <v>0</v>
      </c>
      <c r="V121" s="110">
        <v>0</v>
      </c>
      <c r="W121" s="110">
        <v>0</v>
      </c>
      <c r="X121" s="110">
        <v>0</v>
      </c>
      <c r="Y121" s="110">
        <v>0</v>
      </c>
      <c r="Z121" s="110">
        <v>0</v>
      </c>
      <c r="AA121" s="110">
        <v>0</v>
      </c>
      <c r="AB121" s="110">
        <v>0</v>
      </c>
      <c r="AC121" s="110">
        <v>0</v>
      </c>
      <c r="AD121" s="110">
        <v>0</v>
      </c>
      <c r="AE121" s="110">
        <v>0</v>
      </c>
      <c r="AF121" s="110">
        <v>0</v>
      </c>
      <c r="AG121" s="110">
        <v>0</v>
      </c>
      <c r="AH121" s="110">
        <v>0</v>
      </c>
      <c r="AI121" s="110">
        <v>0</v>
      </c>
      <c r="AJ121" s="110">
        <v>0</v>
      </c>
      <c r="AK121" s="110">
        <v>0</v>
      </c>
      <c r="AL121" s="110">
        <v>0</v>
      </c>
      <c r="AM121" s="110">
        <v>0</v>
      </c>
      <c r="AN121" s="110">
        <v>0</v>
      </c>
      <c r="AO121" s="110">
        <v>0</v>
      </c>
      <c r="AP121" s="110">
        <v>0</v>
      </c>
      <c r="AQ121" s="110">
        <v>0</v>
      </c>
      <c r="AR121" s="110">
        <v>0</v>
      </c>
      <c r="AS121" s="110">
        <v>0</v>
      </c>
      <c r="AT121" s="110">
        <v>0</v>
      </c>
      <c r="AU121" s="110">
        <v>0</v>
      </c>
      <c r="AV121" s="110">
        <v>0</v>
      </c>
      <c r="AW121" s="110">
        <v>0</v>
      </c>
      <c r="AX121" s="110">
        <v>0</v>
      </c>
    </row>
    <row r="122" spans="1:50" x14ac:dyDescent="0.2">
      <c r="B122" s="110" t="s">
        <v>280</v>
      </c>
      <c r="C122" s="115">
        <f>SUM(C$118:C$121)</f>
        <v>2285208.7239884883</v>
      </c>
      <c r="D122" s="115">
        <f t="shared" ref="D122:AX122" si="9">SUM(D$118:D$121)</f>
        <v>2285208.7239884883</v>
      </c>
      <c r="E122" s="115">
        <f t="shared" si="9"/>
        <v>2285208.7239884883</v>
      </c>
      <c r="F122" s="115">
        <f t="shared" si="9"/>
        <v>2285208.7239884883</v>
      </c>
      <c r="G122" s="115">
        <f t="shared" si="9"/>
        <v>1695427.8456260422</v>
      </c>
      <c r="H122" s="115">
        <f t="shared" si="9"/>
        <v>1695427.8456260422</v>
      </c>
      <c r="I122" s="115">
        <f t="shared" si="9"/>
        <v>1695427.8456260422</v>
      </c>
      <c r="J122" s="115">
        <f t="shared" si="9"/>
        <v>1695427.8456260422</v>
      </c>
      <c r="K122" s="115">
        <f t="shared" si="9"/>
        <v>0</v>
      </c>
      <c r="L122" s="115">
        <f t="shared" si="9"/>
        <v>0</v>
      </c>
      <c r="M122" s="115">
        <f t="shared" si="9"/>
        <v>0</v>
      </c>
      <c r="N122" s="115">
        <f t="shared" si="9"/>
        <v>0</v>
      </c>
      <c r="O122" s="115">
        <f t="shared" si="9"/>
        <v>0</v>
      </c>
      <c r="P122" s="115">
        <f t="shared" si="9"/>
        <v>0</v>
      </c>
      <c r="Q122" s="115">
        <f t="shared" si="9"/>
        <v>0</v>
      </c>
      <c r="R122" s="115">
        <f t="shared" si="9"/>
        <v>0</v>
      </c>
      <c r="S122" s="115">
        <f t="shared" si="9"/>
        <v>0</v>
      </c>
      <c r="T122" s="115">
        <f t="shared" si="9"/>
        <v>0</v>
      </c>
      <c r="U122" s="115">
        <f t="shared" si="9"/>
        <v>0</v>
      </c>
      <c r="V122" s="115">
        <f t="shared" si="9"/>
        <v>0</v>
      </c>
      <c r="W122" s="115">
        <f t="shared" si="9"/>
        <v>0</v>
      </c>
      <c r="X122" s="115">
        <f t="shared" si="9"/>
        <v>0</v>
      </c>
      <c r="Y122" s="115">
        <f t="shared" si="9"/>
        <v>0</v>
      </c>
      <c r="Z122" s="115">
        <f t="shared" si="9"/>
        <v>0</v>
      </c>
      <c r="AA122" s="115">
        <f t="shared" si="9"/>
        <v>0</v>
      </c>
      <c r="AB122" s="115">
        <f t="shared" si="9"/>
        <v>0</v>
      </c>
      <c r="AC122" s="115">
        <f t="shared" si="9"/>
        <v>0</v>
      </c>
      <c r="AD122" s="115">
        <f t="shared" si="9"/>
        <v>0</v>
      </c>
      <c r="AE122" s="115">
        <f t="shared" si="9"/>
        <v>0</v>
      </c>
      <c r="AF122" s="115">
        <f t="shared" si="9"/>
        <v>0</v>
      </c>
      <c r="AG122" s="115">
        <f t="shared" si="9"/>
        <v>0</v>
      </c>
      <c r="AH122" s="115">
        <f t="shared" si="9"/>
        <v>0</v>
      </c>
      <c r="AI122" s="115">
        <f t="shared" si="9"/>
        <v>1304367.678509457</v>
      </c>
      <c r="AJ122" s="115">
        <f t="shared" si="9"/>
        <v>1304367.678509457</v>
      </c>
      <c r="AK122" s="115">
        <f t="shared" si="9"/>
        <v>1304367.678509457</v>
      </c>
      <c r="AL122" s="115">
        <f t="shared" si="9"/>
        <v>1304367.678509457</v>
      </c>
      <c r="AM122" s="115">
        <f t="shared" si="9"/>
        <v>0</v>
      </c>
      <c r="AN122" s="115">
        <f t="shared" si="9"/>
        <v>0</v>
      </c>
      <c r="AO122" s="115">
        <f t="shared" si="9"/>
        <v>0</v>
      </c>
      <c r="AP122" s="115">
        <f t="shared" si="9"/>
        <v>0</v>
      </c>
      <c r="AQ122" s="115">
        <f t="shared" si="9"/>
        <v>0</v>
      </c>
      <c r="AR122" s="115">
        <f t="shared" si="9"/>
        <v>0</v>
      </c>
      <c r="AS122" s="115">
        <f t="shared" si="9"/>
        <v>0</v>
      </c>
      <c r="AT122" s="115">
        <f t="shared" si="9"/>
        <v>0</v>
      </c>
      <c r="AU122" s="115">
        <f t="shared" si="9"/>
        <v>0</v>
      </c>
      <c r="AV122" s="115">
        <f t="shared" si="9"/>
        <v>0</v>
      </c>
      <c r="AW122" s="115">
        <f t="shared" si="9"/>
        <v>0</v>
      </c>
      <c r="AX122" s="115">
        <f t="shared" si="9"/>
        <v>0</v>
      </c>
    </row>
    <row r="123" spans="1:50" x14ac:dyDescent="0.2">
      <c r="A123" s="115" t="s">
        <v>109</v>
      </c>
      <c r="B123" s="115" t="s">
        <v>12</v>
      </c>
      <c r="C123" s="110">
        <v>0</v>
      </c>
      <c r="D123" s="110">
        <v>0</v>
      </c>
      <c r="E123" s="110">
        <v>0</v>
      </c>
      <c r="F123" s="110">
        <v>0</v>
      </c>
      <c r="G123" s="110">
        <v>0</v>
      </c>
      <c r="H123" s="110">
        <v>0</v>
      </c>
      <c r="I123" s="110">
        <v>0</v>
      </c>
      <c r="J123" s="110">
        <v>0</v>
      </c>
      <c r="K123" s="110">
        <v>0</v>
      </c>
      <c r="L123" s="110">
        <v>0</v>
      </c>
      <c r="M123" s="110">
        <v>0</v>
      </c>
      <c r="N123" s="110">
        <v>0</v>
      </c>
      <c r="O123" s="110">
        <v>0</v>
      </c>
      <c r="P123" s="110">
        <v>0</v>
      </c>
      <c r="Q123" s="110">
        <v>0</v>
      </c>
      <c r="R123" s="110">
        <v>0</v>
      </c>
      <c r="S123" s="110">
        <v>0</v>
      </c>
      <c r="T123" s="110">
        <v>0</v>
      </c>
      <c r="U123" s="110">
        <v>0</v>
      </c>
      <c r="V123" s="110">
        <v>0</v>
      </c>
      <c r="W123" s="110">
        <v>0</v>
      </c>
      <c r="X123" s="110">
        <v>0</v>
      </c>
      <c r="Y123" s="110">
        <v>0</v>
      </c>
      <c r="Z123" s="110">
        <v>0</v>
      </c>
      <c r="AA123" s="110">
        <v>0</v>
      </c>
      <c r="AB123" s="110">
        <v>0</v>
      </c>
      <c r="AC123" s="110">
        <v>0</v>
      </c>
      <c r="AD123" s="110">
        <v>0</v>
      </c>
      <c r="AE123" s="110">
        <v>0</v>
      </c>
      <c r="AF123" s="110">
        <v>0</v>
      </c>
      <c r="AG123" s="110">
        <v>0</v>
      </c>
      <c r="AH123" s="110">
        <v>0</v>
      </c>
      <c r="AI123" s="110">
        <v>0</v>
      </c>
      <c r="AJ123" s="110">
        <v>0</v>
      </c>
      <c r="AK123" s="110">
        <v>0</v>
      </c>
      <c r="AL123" s="110">
        <v>0</v>
      </c>
      <c r="AM123" s="110">
        <v>0</v>
      </c>
      <c r="AN123" s="110">
        <v>0</v>
      </c>
      <c r="AO123" s="110">
        <v>0</v>
      </c>
      <c r="AP123" s="110">
        <v>0</v>
      </c>
      <c r="AQ123" s="110">
        <v>0</v>
      </c>
      <c r="AR123" s="110">
        <v>0</v>
      </c>
      <c r="AS123" s="110">
        <v>0</v>
      </c>
      <c r="AT123" s="110">
        <v>0</v>
      </c>
      <c r="AU123" s="110">
        <v>0</v>
      </c>
      <c r="AV123" s="110">
        <v>0</v>
      </c>
      <c r="AW123" s="110">
        <v>0</v>
      </c>
      <c r="AX123" s="110">
        <v>0</v>
      </c>
    </row>
    <row r="124" spans="1:50" x14ac:dyDescent="0.2">
      <c r="B124" s="115" t="s">
        <v>42</v>
      </c>
      <c r="C124" s="110">
        <v>0</v>
      </c>
      <c r="D124" s="110">
        <v>0</v>
      </c>
      <c r="E124" s="110">
        <v>0</v>
      </c>
      <c r="F124" s="110">
        <v>0</v>
      </c>
      <c r="G124" s="110">
        <v>0</v>
      </c>
      <c r="H124" s="110">
        <v>0</v>
      </c>
      <c r="I124" s="110">
        <v>0</v>
      </c>
      <c r="J124" s="110">
        <v>0</v>
      </c>
      <c r="K124" s="110">
        <v>0</v>
      </c>
      <c r="L124" s="110">
        <v>0</v>
      </c>
      <c r="M124" s="110">
        <v>0</v>
      </c>
      <c r="N124" s="110">
        <v>0</v>
      </c>
      <c r="O124" s="110">
        <v>0</v>
      </c>
      <c r="P124" s="110">
        <v>0</v>
      </c>
      <c r="Q124" s="110">
        <v>0</v>
      </c>
      <c r="R124" s="110">
        <v>0</v>
      </c>
      <c r="S124" s="110">
        <v>0</v>
      </c>
      <c r="T124" s="110">
        <v>0</v>
      </c>
      <c r="U124" s="110">
        <v>0</v>
      </c>
      <c r="V124" s="110">
        <v>0</v>
      </c>
      <c r="W124" s="110">
        <v>0</v>
      </c>
      <c r="X124" s="110">
        <v>0</v>
      </c>
      <c r="Y124" s="110">
        <v>0</v>
      </c>
      <c r="Z124" s="110">
        <v>0</v>
      </c>
      <c r="AA124" s="110">
        <v>0</v>
      </c>
      <c r="AB124" s="110">
        <v>0</v>
      </c>
      <c r="AC124" s="110">
        <v>0</v>
      </c>
      <c r="AD124" s="110">
        <v>0</v>
      </c>
      <c r="AE124" s="110">
        <v>0</v>
      </c>
      <c r="AF124" s="110">
        <v>0</v>
      </c>
      <c r="AG124" s="110">
        <v>0</v>
      </c>
      <c r="AH124" s="110">
        <v>0</v>
      </c>
      <c r="AI124" s="110">
        <v>0</v>
      </c>
      <c r="AJ124" s="110">
        <v>0</v>
      </c>
      <c r="AK124" s="110">
        <v>0</v>
      </c>
      <c r="AL124" s="110">
        <v>0</v>
      </c>
      <c r="AM124" s="110">
        <v>0</v>
      </c>
      <c r="AN124" s="110">
        <v>0</v>
      </c>
      <c r="AO124" s="110">
        <v>0</v>
      </c>
      <c r="AP124" s="110">
        <v>0</v>
      </c>
      <c r="AQ124" s="110">
        <v>0</v>
      </c>
      <c r="AR124" s="110">
        <v>0</v>
      </c>
      <c r="AS124" s="110">
        <v>0</v>
      </c>
      <c r="AT124" s="110">
        <v>0</v>
      </c>
      <c r="AU124" s="110">
        <v>0</v>
      </c>
      <c r="AV124" s="110">
        <v>0</v>
      </c>
      <c r="AW124" s="110">
        <v>0</v>
      </c>
      <c r="AX124" s="110">
        <v>0</v>
      </c>
    </row>
    <row r="125" spans="1:50" x14ac:dyDescent="0.2">
      <c r="B125" s="115" t="s">
        <v>49</v>
      </c>
      <c r="C125" s="110">
        <v>0</v>
      </c>
      <c r="D125" s="110">
        <v>0</v>
      </c>
      <c r="E125" s="110">
        <v>0</v>
      </c>
      <c r="F125" s="110">
        <v>0</v>
      </c>
      <c r="G125" s="110">
        <v>0</v>
      </c>
      <c r="H125" s="110">
        <v>0</v>
      </c>
      <c r="I125" s="110">
        <v>0</v>
      </c>
      <c r="J125" s="110">
        <v>0</v>
      </c>
      <c r="K125" s="110">
        <v>0</v>
      </c>
      <c r="L125" s="110">
        <v>0</v>
      </c>
      <c r="M125" s="110">
        <v>0</v>
      </c>
      <c r="N125" s="110">
        <v>0</v>
      </c>
      <c r="O125" s="110">
        <v>0</v>
      </c>
      <c r="P125" s="110">
        <v>0</v>
      </c>
      <c r="Q125" s="110">
        <v>0</v>
      </c>
      <c r="R125" s="110">
        <v>0</v>
      </c>
      <c r="S125" s="110">
        <v>0</v>
      </c>
      <c r="T125" s="110">
        <v>0</v>
      </c>
      <c r="U125" s="110">
        <v>0</v>
      </c>
      <c r="V125" s="110">
        <v>0</v>
      </c>
      <c r="W125" s="110">
        <v>0</v>
      </c>
      <c r="X125" s="110">
        <v>0</v>
      </c>
      <c r="Y125" s="110">
        <v>0</v>
      </c>
      <c r="Z125" s="110">
        <v>0</v>
      </c>
      <c r="AA125" s="110">
        <v>0</v>
      </c>
      <c r="AB125" s="110">
        <v>0</v>
      </c>
      <c r="AC125" s="110">
        <v>0</v>
      </c>
      <c r="AD125" s="110">
        <v>0</v>
      </c>
      <c r="AE125" s="110">
        <v>0</v>
      </c>
      <c r="AF125" s="110">
        <v>0</v>
      </c>
      <c r="AG125" s="110">
        <v>0</v>
      </c>
      <c r="AH125" s="110">
        <v>0</v>
      </c>
      <c r="AI125" s="110">
        <v>0</v>
      </c>
      <c r="AJ125" s="110">
        <v>0</v>
      </c>
      <c r="AK125" s="110">
        <v>0</v>
      </c>
      <c r="AL125" s="110">
        <v>0</v>
      </c>
      <c r="AM125" s="110">
        <v>0</v>
      </c>
      <c r="AN125" s="110">
        <v>0</v>
      </c>
      <c r="AO125" s="110">
        <v>0</v>
      </c>
      <c r="AP125" s="110">
        <v>0</v>
      </c>
      <c r="AQ125" s="110">
        <v>0</v>
      </c>
      <c r="AR125" s="110">
        <v>0</v>
      </c>
      <c r="AS125" s="110">
        <v>0</v>
      </c>
      <c r="AT125" s="110">
        <v>0</v>
      </c>
      <c r="AU125" s="110">
        <v>0</v>
      </c>
      <c r="AV125" s="110">
        <v>0</v>
      </c>
      <c r="AW125" s="110">
        <v>0</v>
      </c>
      <c r="AX125" s="110">
        <v>0</v>
      </c>
    </row>
    <row r="126" spans="1:50" x14ac:dyDescent="0.2">
      <c r="B126" s="115" t="s">
        <v>66</v>
      </c>
      <c r="C126" s="110">
        <v>0</v>
      </c>
      <c r="D126" s="110">
        <v>0</v>
      </c>
      <c r="E126" s="110">
        <v>0</v>
      </c>
      <c r="F126" s="110">
        <v>0</v>
      </c>
      <c r="G126" s="110">
        <v>0</v>
      </c>
      <c r="H126" s="110">
        <v>0</v>
      </c>
      <c r="I126" s="110">
        <v>0</v>
      </c>
      <c r="J126" s="110">
        <v>0</v>
      </c>
      <c r="K126" s="110">
        <v>0</v>
      </c>
      <c r="L126" s="110">
        <v>0</v>
      </c>
      <c r="M126" s="110">
        <v>0</v>
      </c>
      <c r="N126" s="110">
        <v>0</v>
      </c>
      <c r="O126" s="110">
        <v>0</v>
      </c>
      <c r="P126" s="110">
        <v>0</v>
      </c>
      <c r="Q126" s="110">
        <v>0</v>
      </c>
      <c r="R126" s="110">
        <v>0</v>
      </c>
      <c r="S126" s="110">
        <v>0</v>
      </c>
      <c r="T126" s="110">
        <v>0</v>
      </c>
      <c r="U126" s="110">
        <v>0</v>
      </c>
      <c r="V126" s="110">
        <v>0</v>
      </c>
      <c r="W126" s="110">
        <v>0</v>
      </c>
      <c r="X126" s="110">
        <v>0</v>
      </c>
      <c r="Y126" s="110">
        <v>0</v>
      </c>
      <c r="Z126" s="110">
        <v>0</v>
      </c>
      <c r="AA126" s="110">
        <v>0</v>
      </c>
      <c r="AB126" s="110">
        <v>0</v>
      </c>
      <c r="AC126" s="110">
        <v>0</v>
      </c>
      <c r="AD126" s="110">
        <v>0</v>
      </c>
      <c r="AE126" s="110">
        <v>0</v>
      </c>
      <c r="AF126" s="110">
        <v>0</v>
      </c>
      <c r="AG126" s="110">
        <v>0</v>
      </c>
      <c r="AH126" s="110">
        <v>0</v>
      </c>
      <c r="AI126" s="110">
        <v>0</v>
      </c>
      <c r="AJ126" s="110">
        <v>0</v>
      </c>
      <c r="AK126" s="110">
        <v>0</v>
      </c>
      <c r="AL126" s="110">
        <v>0</v>
      </c>
      <c r="AM126" s="110">
        <v>0</v>
      </c>
      <c r="AN126" s="110">
        <v>0</v>
      </c>
      <c r="AO126" s="110">
        <v>0</v>
      </c>
      <c r="AP126" s="110">
        <v>0</v>
      </c>
      <c r="AQ126" s="110">
        <v>0</v>
      </c>
      <c r="AR126" s="110">
        <v>0</v>
      </c>
      <c r="AS126" s="110">
        <v>0</v>
      </c>
      <c r="AT126" s="110">
        <v>0</v>
      </c>
      <c r="AU126" s="110">
        <v>0</v>
      </c>
      <c r="AV126" s="110">
        <v>0</v>
      </c>
      <c r="AW126" s="110">
        <v>0</v>
      </c>
      <c r="AX126" s="110">
        <v>0</v>
      </c>
    </row>
    <row r="127" spans="1:50" x14ac:dyDescent="0.2">
      <c r="B127" s="110" t="s">
        <v>280</v>
      </c>
      <c r="C127" s="115">
        <f>SUM(C$123:C$126)</f>
        <v>0</v>
      </c>
      <c r="D127" s="115">
        <f t="shared" ref="D127:AX127" si="10">SUM(D$123:D$126)</f>
        <v>0</v>
      </c>
      <c r="E127" s="115">
        <f t="shared" si="10"/>
        <v>0</v>
      </c>
      <c r="F127" s="115">
        <f t="shared" si="10"/>
        <v>0</v>
      </c>
      <c r="G127" s="115">
        <f t="shared" si="10"/>
        <v>0</v>
      </c>
      <c r="H127" s="115">
        <f t="shared" si="10"/>
        <v>0</v>
      </c>
      <c r="I127" s="115">
        <f t="shared" si="10"/>
        <v>0</v>
      </c>
      <c r="J127" s="115">
        <f t="shared" si="10"/>
        <v>0</v>
      </c>
      <c r="K127" s="115">
        <f t="shared" si="10"/>
        <v>0</v>
      </c>
      <c r="L127" s="115">
        <f t="shared" si="10"/>
        <v>0</v>
      </c>
      <c r="M127" s="115">
        <f t="shared" si="10"/>
        <v>0</v>
      </c>
      <c r="N127" s="115">
        <f t="shared" si="10"/>
        <v>0</v>
      </c>
      <c r="O127" s="115">
        <f t="shared" si="10"/>
        <v>0</v>
      </c>
      <c r="P127" s="115">
        <f t="shared" si="10"/>
        <v>0</v>
      </c>
      <c r="Q127" s="115">
        <f t="shared" si="10"/>
        <v>0</v>
      </c>
      <c r="R127" s="115">
        <f t="shared" si="10"/>
        <v>0</v>
      </c>
      <c r="S127" s="115">
        <f t="shared" si="10"/>
        <v>0</v>
      </c>
      <c r="T127" s="115">
        <f t="shared" si="10"/>
        <v>0</v>
      </c>
      <c r="U127" s="115">
        <f t="shared" si="10"/>
        <v>0</v>
      </c>
      <c r="V127" s="115">
        <f t="shared" si="10"/>
        <v>0</v>
      </c>
      <c r="W127" s="115">
        <f t="shared" si="10"/>
        <v>0</v>
      </c>
      <c r="X127" s="115">
        <f t="shared" si="10"/>
        <v>0</v>
      </c>
      <c r="Y127" s="115">
        <f t="shared" si="10"/>
        <v>0</v>
      </c>
      <c r="Z127" s="115">
        <f t="shared" si="10"/>
        <v>0</v>
      </c>
      <c r="AA127" s="115">
        <f t="shared" si="10"/>
        <v>0</v>
      </c>
      <c r="AB127" s="115">
        <f t="shared" si="10"/>
        <v>0</v>
      </c>
      <c r="AC127" s="115">
        <f t="shared" si="10"/>
        <v>0</v>
      </c>
      <c r="AD127" s="115">
        <f t="shared" si="10"/>
        <v>0</v>
      </c>
      <c r="AE127" s="115">
        <f t="shared" si="10"/>
        <v>0</v>
      </c>
      <c r="AF127" s="115">
        <f t="shared" si="10"/>
        <v>0</v>
      </c>
      <c r="AG127" s="115">
        <f t="shared" si="10"/>
        <v>0</v>
      </c>
      <c r="AH127" s="115">
        <f t="shared" si="10"/>
        <v>0</v>
      </c>
      <c r="AI127" s="115">
        <f t="shared" si="10"/>
        <v>0</v>
      </c>
      <c r="AJ127" s="115">
        <f t="shared" si="10"/>
        <v>0</v>
      </c>
      <c r="AK127" s="115">
        <f t="shared" si="10"/>
        <v>0</v>
      </c>
      <c r="AL127" s="115">
        <f t="shared" si="10"/>
        <v>0</v>
      </c>
      <c r="AM127" s="115">
        <f t="shared" si="10"/>
        <v>0</v>
      </c>
      <c r="AN127" s="115">
        <f t="shared" si="10"/>
        <v>0</v>
      </c>
      <c r="AO127" s="115">
        <f t="shared" si="10"/>
        <v>0</v>
      </c>
      <c r="AP127" s="115">
        <f t="shared" si="10"/>
        <v>0</v>
      </c>
      <c r="AQ127" s="115">
        <f t="shared" si="10"/>
        <v>0</v>
      </c>
      <c r="AR127" s="115">
        <f t="shared" si="10"/>
        <v>0</v>
      </c>
      <c r="AS127" s="115">
        <f t="shared" si="10"/>
        <v>0</v>
      </c>
      <c r="AT127" s="115">
        <f t="shared" si="10"/>
        <v>0</v>
      </c>
      <c r="AU127" s="115">
        <f t="shared" si="10"/>
        <v>0</v>
      </c>
      <c r="AV127" s="115">
        <f t="shared" si="10"/>
        <v>0</v>
      </c>
      <c r="AW127" s="115">
        <f t="shared" si="10"/>
        <v>0</v>
      </c>
      <c r="AX127" s="115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10" customWidth="1"/>
    <col min="2" max="2" width="17.7109375" style="110" customWidth="1"/>
    <col min="3" max="51" width="9.140625" style="110"/>
    <col min="52" max="52" width="10.7109375" style="110" customWidth="1"/>
    <col min="53" max="16384" width="9.140625" style="110"/>
  </cols>
  <sheetData>
    <row r="1" spans="1:52" x14ac:dyDescent="0.2">
      <c r="A1" s="112" t="s">
        <v>118</v>
      </c>
    </row>
    <row r="2" spans="1:52" x14ac:dyDescent="0.2">
      <c r="A2" s="110" t="s">
        <v>305</v>
      </c>
      <c r="B2" s="117" t="s">
        <v>12</v>
      </c>
      <c r="E2" s="120"/>
    </row>
    <row r="3" spans="1:52" x14ac:dyDescent="0.2">
      <c r="A3" s="110" t="s">
        <v>288</v>
      </c>
      <c r="B3" s="117">
        <v>1748</v>
      </c>
      <c r="E3" s="120"/>
    </row>
    <row r="4" spans="1:52" x14ac:dyDescent="0.2">
      <c r="A4" s="112"/>
      <c r="C4" s="121" t="s">
        <v>289</v>
      </c>
    </row>
    <row r="5" spans="1:52" x14ac:dyDescent="0.2">
      <c r="B5" s="116"/>
      <c r="C5" s="122">
        <v>0</v>
      </c>
      <c r="D5" s="122">
        <v>1</v>
      </c>
      <c r="E5" s="122">
        <v>2</v>
      </c>
      <c r="F5" s="122">
        <v>3</v>
      </c>
      <c r="G5" s="122">
        <v>4</v>
      </c>
      <c r="H5" s="122">
        <v>5</v>
      </c>
      <c r="I5" s="122">
        <v>6</v>
      </c>
      <c r="J5" s="122">
        <v>7</v>
      </c>
      <c r="K5" s="122">
        <v>8</v>
      </c>
      <c r="L5" s="122">
        <v>9</v>
      </c>
      <c r="M5" s="122">
        <v>10</v>
      </c>
      <c r="N5" s="122">
        <v>11</v>
      </c>
      <c r="O5" s="122">
        <v>12</v>
      </c>
      <c r="P5" s="122">
        <v>13</v>
      </c>
      <c r="Q5" s="122">
        <v>14</v>
      </c>
      <c r="R5" s="122">
        <v>15</v>
      </c>
      <c r="S5" s="122">
        <v>16</v>
      </c>
      <c r="T5" s="122">
        <v>17</v>
      </c>
      <c r="U5" s="122">
        <v>18</v>
      </c>
      <c r="V5" s="122">
        <v>19</v>
      </c>
      <c r="W5" s="122">
        <v>20</v>
      </c>
      <c r="X5" s="122">
        <v>21</v>
      </c>
      <c r="Y5" s="122">
        <v>22</v>
      </c>
      <c r="Z5" s="122">
        <v>23</v>
      </c>
      <c r="AA5" s="122">
        <v>24</v>
      </c>
      <c r="AB5" s="122">
        <v>25</v>
      </c>
      <c r="AC5" s="122">
        <v>26</v>
      </c>
      <c r="AD5" s="122">
        <v>27</v>
      </c>
      <c r="AE5" s="122">
        <v>28</v>
      </c>
      <c r="AF5" s="122">
        <v>29</v>
      </c>
      <c r="AG5" s="122">
        <v>30</v>
      </c>
      <c r="AH5" s="122">
        <v>31</v>
      </c>
      <c r="AI5" s="122">
        <v>32</v>
      </c>
      <c r="AJ5" s="122">
        <v>33</v>
      </c>
      <c r="AK5" s="122">
        <v>34</v>
      </c>
      <c r="AL5" s="122">
        <v>35</v>
      </c>
      <c r="AM5" s="122">
        <v>36</v>
      </c>
      <c r="AN5" s="122">
        <v>37</v>
      </c>
      <c r="AO5" s="122">
        <v>38</v>
      </c>
      <c r="AP5" s="122">
        <v>39</v>
      </c>
      <c r="AQ5" s="122">
        <v>40</v>
      </c>
      <c r="AR5" s="122">
        <v>41</v>
      </c>
      <c r="AS5" s="122">
        <v>42</v>
      </c>
      <c r="AT5" s="122">
        <v>43</v>
      </c>
      <c r="AU5" s="122">
        <v>44</v>
      </c>
      <c r="AV5" s="122">
        <v>45</v>
      </c>
      <c r="AW5" s="122">
        <v>46</v>
      </c>
      <c r="AX5" s="122">
        <v>47</v>
      </c>
      <c r="AY5" s="122">
        <v>48</v>
      </c>
    </row>
    <row r="6" spans="1:52" x14ac:dyDescent="0.2">
      <c r="A6" s="112" t="s">
        <v>306</v>
      </c>
      <c r="B6" s="124"/>
      <c r="C6" s="123" t="s">
        <v>290</v>
      </c>
      <c r="D6" s="122" t="s">
        <v>291</v>
      </c>
      <c r="E6" s="122" t="s">
        <v>291</v>
      </c>
      <c r="F6" s="122" t="s">
        <v>291</v>
      </c>
      <c r="G6" s="122" t="s">
        <v>291</v>
      </c>
      <c r="H6" s="122" t="s">
        <v>291</v>
      </c>
      <c r="I6" s="122" t="s">
        <v>291</v>
      </c>
      <c r="J6" s="122" t="s">
        <v>291</v>
      </c>
      <c r="K6" s="122" t="s">
        <v>291</v>
      </c>
      <c r="L6" s="122" t="s">
        <v>291</v>
      </c>
      <c r="M6" s="122" t="s">
        <v>291</v>
      </c>
      <c r="N6" s="122" t="s">
        <v>291</v>
      </c>
      <c r="O6" s="122" t="s">
        <v>291</v>
      </c>
      <c r="P6" s="122" t="s">
        <v>291</v>
      </c>
      <c r="Q6" s="122" t="s">
        <v>291</v>
      </c>
      <c r="R6" s="122" t="s">
        <v>291</v>
      </c>
      <c r="S6" s="122" t="s">
        <v>291</v>
      </c>
      <c r="T6" s="122" t="s">
        <v>291</v>
      </c>
      <c r="U6" s="122" t="s">
        <v>291</v>
      </c>
      <c r="V6" s="122" t="s">
        <v>291</v>
      </c>
      <c r="W6" s="122" t="s">
        <v>291</v>
      </c>
      <c r="X6" s="122" t="s">
        <v>291</v>
      </c>
      <c r="Y6" s="122" t="s">
        <v>291</v>
      </c>
      <c r="Z6" s="122" t="s">
        <v>291</v>
      </c>
      <c r="AA6" s="122" t="s">
        <v>291</v>
      </c>
      <c r="AB6" s="122" t="s">
        <v>291</v>
      </c>
      <c r="AC6" s="122" t="s">
        <v>291</v>
      </c>
      <c r="AD6" s="122" t="s">
        <v>291</v>
      </c>
      <c r="AE6" s="122" t="s">
        <v>291</v>
      </c>
      <c r="AF6" s="122" t="s">
        <v>291</v>
      </c>
      <c r="AG6" s="122" t="s">
        <v>291</v>
      </c>
      <c r="AH6" s="122" t="s">
        <v>291</v>
      </c>
      <c r="AI6" s="122" t="s">
        <v>291</v>
      </c>
      <c r="AJ6" s="122" t="s">
        <v>291</v>
      </c>
      <c r="AK6" s="122" t="s">
        <v>291</v>
      </c>
      <c r="AL6" s="122" t="s">
        <v>291</v>
      </c>
      <c r="AM6" s="122" t="s">
        <v>291</v>
      </c>
      <c r="AN6" s="122" t="s">
        <v>291</v>
      </c>
      <c r="AO6" s="122" t="s">
        <v>291</v>
      </c>
      <c r="AP6" s="122" t="s">
        <v>291</v>
      </c>
      <c r="AQ6" s="122" t="s">
        <v>291</v>
      </c>
      <c r="AR6" s="122" t="s">
        <v>291</v>
      </c>
      <c r="AS6" s="122" t="s">
        <v>291</v>
      </c>
      <c r="AT6" s="122" t="s">
        <v>291</v>
      </c>
      <c r="AU6" s="122" t="s">
        <v>291</v>
      </c>
      <c r="AV6" s="122" t="s">
        <v>291</v>
      </c>
      <c r="AW6" s="122" t="s">
        <v>291</v>
      </c>
      <c r="AX6" s="122" t="s">
        <v>291</v>
      </c>
      <c r="AY6" s="121" t="s">
        <v>292</v>
      </c>
      <c r="AZ6" s="152" t="s">
        <v>150</v>
      </c>
    </row>
    <row r="7" spans="1:52" x14ac:dyDescent="0.2">
      <c r="A7" s="125" t="s">
        <v>125</v>
      </c>
      <c r="B7" s="153">
        <v>1</v>
      </c>
      <c r="C7" s="154" t="s">
        <v>295</v>
      </c>
      <c r="D7" s="154">
        <v>8353.2167130121343</v>
      </c>
      <c r="E7" s="154">
        <v>8353.2167130121343</v>
      </c>
      <c r="F7" s="154">
        <v>8353.2167130121343</v>
      </c>
      <c r="G7" s="154">
        <v>8353.2167130121343</v>
      </c>
      <c r="H7" s="154">
        <v>6569.6393815286892</v>
      </c>
      <c r="I7" s="154">
        <v>6569.6393815286892</v>
      </c>
      <c r="J7" s="154">
        <v>6569.6393815286892</v>
      </c>
      <c r="K7" s="154">
        <v>6569.6393815286892</v>
      </c>
      <c r="L7" s="154">
        <v>4455.8185715824766</v>
      </c>
      <c r="M7" s="154">
        <v>4455.8185715824766</v>
      </c>
      <c r="N7" s="154">
        <v>4455.8185715824766</v>
      </c>
      <c r="O7" s="154">
        <v>4455.8185715824766</v>
      </c>
      <c r="P7" s="154">
        <v>5389.244912120238</v>
      </c>
      <c r="Q7" s="154">
        <v>5389.244912120238</v>
      </c>
      <c r="R7" s="154">
        <v>5389.244912120238</v>
      </c>
      <c r="S7" s="154">
        <v>5389.244912120238</v>
      </c>
      <c r="T7" s="154">
        <v>3946.0152637323736</v>
      </c>
      <c r="U7" s="154">
        <v>3946.0152637323736</v>
      </c>
      <c r="V7" s="154">
        <v>3946.0152637323736</v>
      </c>
      <c r="W7" s="154">
        <v>3946.0152637323736</v>
      </c>
      <c r="X7" s="154">
        <v>1785.7768353532524</v>
      </c>
      <c r="Y7" s="154">
        <v>1239.5011870980231</v>
      </c>
      <c r="Z7" s="154">
        <v>1785.7768353532524</v>
      </c>
      <c r="AA7" s="154">
        <v>1785.7768353532524</v>
      </c>
      <c r="AB7" s="154">
        <v>4024.4199688046219</v>
      </c>
      <c r="AC7" s="154">
        <v>3772.6117589404766</v>
      </c>
      <c r="AD7" s="154">
        <v>5095.548614955027</v>
      </c>
      <c r="AE7" s="154">
        <v>5095.548614955027</v>
      </c>
      <c r="AF7" s="154">
        <v>4775.5968625362984</v>
      </c>
      <c r="AG7" s="154">
        <v>4775.5968625362984</v>
      </c>
      <c r="AH7" s="154">
        <v>4775.5968625362984</v>
      </c>
      <c r="AI7" s="154">
        <v>4775.5968625362984</v>
      </c>
      <c r="AJ7" s="154">
        <v>5287.4708097051498</v>
      </c>
      <c r="AK7" s="154">
        <v>5287.4708097051498</v>
      </c>
      <c r="AL7" s="154">
        <v>5287.4708097051498</v>
      </c>
      <c r="AM7" s="154">
        <v>5287.4708097051498</v>
      </c>
      <c r="AN7" s="154">
        <v>4393.8573403346891</v>
      </c>
      <c r="AO7" s="154">
        <v>4393.8573403346891</v>
      </c>
      <c r="AP7" s="154">
        <v>4393.8573403346891</v>
      </c>
      <c r="AQ7" s="154">
        <v>4393.8573403346891</v>
      </c>
      <c r="AR7" s="154">
        <v>2927.7386049025527</v>
      </c>
      <c r="AS7" s="154">
        <v>2927.7386049025527</v>
      </c>
      <c r="AT7" s="154">
        <v>2927.7386049025527</v>
      </c>
      <c r="AU7" s="154">
        <v>2927.7386049025527</v>
      </c>
      <c r="AV7" s="154">
        <v>4209.1102779071362</v>
      </c>
      <c r="AW7" s="154">
        <v>4209.1102779071362</v>
      </c>
      <c r="AX7" s="154">
        <v>4209.1102779071362</v>
      </c>
      <c r="AY7" s="154">
        <v>4209.1102779071362</v>
      </c>
      <c r="AZ7" s="116"/>
    </row>
    <row r="8" spans="1:52" x14ac:dyDescent="0.2">
      <c r="A8" s="155"/>
      <c r="B8" s="156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155"/>
      <c r="R8" s="155"/>
      <c r="S8" s="155"/>
      <c r="T8" s="155"/>
      <c r="U8" s="155"/>
      <c r="V8" s="155"/>
      <c r="W8" s="155"/>
      <c r="X8" s="155"/>
      <c r="Y8" s="155"/>
      <c r="Z8" s="155"/>
      <c r="AA8" s="155"/>
      <c r="AB8" s="155"/>
      <c r="AC8" s="155"/>
      <c r="AD8" s="155"/>
      <c r="AE8" s="155"/>
      <c r="AF8" s="155"/>
      <c r="AG8" s="155"/>
      <c r="AH8" s="155"/>
      <c r="AI8" s="155"/>
      <c r="AJ8" s="155"/>
      <c r="AK8" s="155"/>
      <c r="AL8" s="155"/>
      <c r="AM8" s="155"/>
      <c r="AN8" s="155"/>
      <c r="AO8" s="155"/>
      <c r="AP8" s="155"/>
      <c r="AQ8" s="155"/>
      <c r="AR8" s="155"/>
      <c r="AS8" s="155"/>
      <c r="AT8" s="155"/>
      <c r="AU8" s="155"/>
      <c r="AV8" s="155"/>
      <c r="AW8" s="155"/>
      <c r="AX8" s="155"/>
      <c r="AY8" s="155"/>
      <c r="AZ8" s="157"/>
    </row>
    <row r="9" spans="1:52" x14ac:dyDescent="0.2">
      <c r="A9" s="112" t="s">
        <v>296</v>
      </c>
      <c r="B9" s="158"/>
      <c r="C9" s="116"/>
      <c r="D9" s="116"/>
      <c r="E9" s="116"/>
      <c r="F9" s="116"/>
      <c r="G9" s="116"/>
      <c r="H9" s="116"/>
      <c r="I9" s="116"/>
      <c r="J9" s="116"/>
      <c r="K9" s="116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6"/>
      <c r="X9" s="116"/>
      <c r="Y9" s="116"/>
      <c r="Z9" s="116"/>
      <c r="AA9" s="116"/>
      <c r="AB9" s="116"/>
      <c r="AC9" s="116"/>
      <c r="AD9" s="116"/>
      <c r="AE9" s="116"/>
      <c r="AF9" s="116"/>
      <c r="AG9" s="116"/>
      <c r="AH9" s="116"/>
      <c r="AI9" s="116"/>
      <c r="AJ9" s="116"/>
      <c r="AK9" s="116"/>
      <c r="AL9" s="116"/>
      <c r="AM9" s="116"/>
      <c r="AN9" s="116"/>
      <c r="AO9" s="116"/>
      <c r="AP9" s="116"/>
      <c r="AQ9" s="116"/>
      <c r="AR9" s="116"/>
      <c r="AS9" s="116"/>
      <c r="AT9" s="116"/>
      <c r="AU9" s="116"/>
      <c r="AV9" s="116"/>
      <c r="AW9" s="116"/>
      <c r="AX9" s="116"/>
      <c r="AY9" s="116"/>
      <c r="AZ9" s="116"/>
    </row>
    <row r="10" spans="1:52" x14ac:dyDescent="0.2">
      <c r="A10" s="159" t="s">
        <v>125</v>
      </c>
      <c r="B10" s="160">
        <v>1</v>
      </c>
      <c r="C10" s="154" t="s">
        <v>295</v>
      </c>
      <c r="D10" s="154">
        <f t="shared" ref="D10:AY10" si="0">MAX(SUM(D$14:D$16)+D$7-$B$3,0)</f>
        <v>6605.2167130121343</v>
      </c>
      <c r="E10" s="154">
        <f t="shared" si="0"/>
        <v>6605.2167130121343</v>
      </c>
      <c r="F10" s="154">
        <f t="shared" si="0"/>
        <v>6605.2167130121343</v>
      </c>
      <c r="G10" s="154">
        <f t="shared" si="0"/>
        <v>6605.2167130121343</v>
      </c>
      <c r="H10" s="154">
        <f t="shared" si="0"/>
        <v>4821.6393815286892</v>
      </c>
      <c r="I10" s="154">
        <f t="shared" si="0"/>
        <v>4821.6393815286892</v>
      </c>
      <c r="J10" s="154">
        <f t="shared" si="0"/>
        <v>4821.6393815286892</v>
      </c>
      <c r="K10" s="154">
        <f t="shared" si="0"/>
        <v>6569.6393815286901</v>
      </c>
      <c r="L10" s="154">
        <f t="shared" si="0"/>
        <v>2707.8185715824766</v>
      </c>
      <c r="M10" s="154">
        <f t="shared" si="0"/>
        <v>2707.8185715824766</v>
      </c>
      <c r="N10" s="154">
        <f t="shared" si="0"/>
        <v>2707.8185715824766</v>
      </c>
      <c r="O10" s="154">
        <f t="shared" si="0"/>
        <v>2707.8185715824766</v>
      </c>
      <c r="P10" s="154">
        <f t="shared" si="0"/>
        <v>3641.244912120238</v>
      </c>
      <c r="Q10" s="154">
        <f t="shared" si="0"/>
        <v>3641.244912120238</v>
      </c>
      <c r="R10" s="154">
        <f t="shared" si="0"/>
        <v>3641.244912120238</v>
      </c>
      <c r="S10" s="154">
        <f t="shared" si="0"/>
        <v>3641.244912120238</v>
      </c>
      <c r="T10" s="154">
        <f t="shared" si="0"/>
        <v>2198.0152637323736</v>
      </c>
      <c r="U10" s="154">
        <f t="shared" si="0"/>
        <v>2198.0152637323736</v>
      </c>
      <c r="V10" s="154">
        <f t="shared" si="0"/>
        <v>2198.0152637323736</v>
      </c>
      <c r="W10" s="154">
        <f t="shared" si="0"/>
        <v>2198.0152637323736</v>
      </c>
      <c r="X10" s="154">
        <f t="shared" si="0"/>
        <v>1785.7768353532524</v>
      </c>
      <c r="Y10" s="154">
        <f t="shared" si="0"/>
        <v>0</v>
      </c>
      <c r="Z10" s="154">
        <f t="shared" si="0"/>
        <v>1277.2780224512753</v>
      </c>
      <c r="AA10" s="154">
        <f t="shared" si="0"/>
        <v>37.776835353252409</v>
      </c>
      <c r="AB10" s="154">
        <f t="shared" si="0"/>
        <v>2276.4199688046219</v>
      </c>
      <c r="AC10" s="154">
        <f t="shared" si="0"/>
        <v>3772.6117589404766</v>
      </c>
      <c r="AD10" s="154">
        <f t="shared" si="0"/>
        <v>3347.548614955027</v>
      </c>
      <c r="AE10" s="154">
        <f t="shared" si="0"/>
        <v>3347.548614955027</v>
      </c>
      <c r="AF10" s="154">
        <f t="shared" si="0"/>
        <v>3027.5968625362984</v>
      </c>
      <c r="AG10" s="154">
        <f t="shared" si="0"/>
        <v>3027.5968625362984</v>
      </c>
      <c r="AH10" s="154">
        <f t="shared" si="0"/>
        <v>3027.5968625362984</v>
      </c>
      <c r="AI10" s="154">
        <f t="shared" si="0"/>
        <v>3027.5968625362984</v>
      </c>
      <c r="AJ10" s="154">
        <f t="shared" si="0"/>
        <v>3539.4708097051498</v>
      </c>
      <c r="AK10" s="154">
        <f t="shared" si="0"/>
        <v>3539.4708097051498</v>
      </c>
      <c r="AL10" s="154">
        <f t="shared" si="0"/>
        <v>5287.4708097051498</v>
      </c>
      <c r="AM10" s="154">
        <f t="shared" si="0"/>
        <v>3539.4708097051498</v>
      </c>
      <c r="AN10" s="154">
        <f t="shared" si="0"/>
        <v>2645.8573403346891</v>
      </c>
      <c r="AO10" s="154">
        <f t="shared" si="0"/>
        <v>2645.8573403346891</v>
      </c>
      <c r="AP10" s="154">
        <f t="shared" si="0"/>
        <v>4393.8573403346891</v>
      </c>
      <c r="AQ10" s="154">
        <f t="shared" si="0"/>
        <v>2645.8573403346891</v>
      </c>
      <c r="AR10" s="154">
        <f t="shared" si="0"/>
        <v>1179.7386049025527</v>
      </c>
      <c r="AS10" s="154">
        <f t="shared" si="0"/>
        <v>1179.7386049025527</v>
      </c>
      <c r="AT10" s="154">
        <f t="shared" si="0"/>
        <v>1179.7386049025527</v>
      </c>
      <c r="AU10" s="154">
        <f t="shared" si="0"/>
        <v>1179.7386049025527</v>
      </c>
      <c r="AV10" s="154">
        <f t="shared" si="0"/>
        <v>2461.1102779071362</v>
      </c>
      <c r="AW10" s="154">
        <f t="shared" si="0"/>
        <v>4209.1102779071362</v>
      </c>
      <c r="AX10" s="154">
        <f t="shared" si="0"/>
        <v>2461.1102779071362</v>
      </c>
      <c r="AY10" s="154">
        <f t="shared" si="0"/>
        <v>2461.1102779071362</v>
      </c>
      <c r="AZ10" s="161">
        <f>SUM($D10:$AY10)</f>
        <v>154147.79560025991</v>
      </c>
    </row>
    <row r="11" spans="1:52" x14ac:dyDescent="0.2">
      <c r="C11" s="120"/>
    </row>
    <row r="12" spans="1:52" x14ac:dyDescent="0.2">
      <c r="A12" s="162" t="s">
        <v>297</v>
      </c>
      <c r="B12" s="156"/>
      <c r="C12" s="120"/>
    </row>
    <row r="13" spans="1:52" x14ac:dyDescent="0.2">
      <c r="A13" s="132" t="s">
        <v>125</v>
      </c>
      <c r="B13" s="133">
        <v>1</v>
      </c>
      <c r="C13" s="134">
        <v>639.79584855563712</v>
      </c>
      <c r="D13" s="148">
        <f t="shared" ref="D13:AY13" si="1">D$7-D$10</f>
        <v>1748</v>
      </c>
      <c r="E13" s="148">
        <f t="shared" si="1"/>
        <v>1748</v>
      </c>
      <c r="F13" s="148">
        <f t="shared" si="1"/>
        <v>1748</v>
      </c>
      <c r="G13" s="148">
        <f t="shared" si="1"/>
        <v>1748</v>
      </c>
      <c r="H13" s="148">
        <f t="shared" si="1"/>
        <v>1748</v>
      </c>
      <c r="I13" s="148">
        <f t="shared" si="1"/>
        <v>1748</v>
      </c>
      <c r="J13" s="148">
        <f t="shared" si="1"/>
        <v>1748</v>
      </c>
      <c r="K13" s="148">
        <f t="shared" si="1"/>
        <v>0</v>
      </c>
      <c r="L13" s="148">
        <f t="shared" si="1"/>
        <v>1748</v>
      </c>
      <c r="M13" s="148">
        <f t="shared" si="1"/>
        <v>1748</v>
      </c>
      <c r="N13" s="148">
        <f t="shared" si="1"/>
        <v>1748</v>
      </c>
      <c r="O13" s="148">
        <f t="shared" si="1"/>
        <v>1748</v>
      </c>
      <c r="P13" s="148">
        <f t="shared" si="1"/>
        <v>1748</v>
      </c>
      <c r="Q13" s="148">
        <f t="shared" si="1"/>
        <v>1748</v>
      </c>
      <c r="R13" s="148">
        <f t="shared" si="1"/>
        <v>1748</v>
      </c>
      <c r="S13" s="148">
        <f t="shared" si="1"/>
        <v>1748</v>
      </c>
      <c r="T13" s="148">
        <f t="shared" si="1"/>
        <v>1748</v>
      </c>
      <c r="U13" s="148">
        <f t="shared" si="1"/>
        <v>1748</v>
      </c>
      <c r="V13" s="148">
        <f t="shared" si="1"/>
        <v>1748</v>
      </c>
      <c r="W13" s="148">
        <f t="shared" si="1"/>
        <v>1748</v>
      </c>
      <c r="X13" s="148">
        <f t="shared" si="1"/>
        <v>0</v>
      </c>
      <c r="Y13" s="148">
        <f t="shared" si="1"/>
        <v>1239.5011870980231</v>
      </c>
      <c r="Z13" s="148">
        <f t="shared" si="1"/>
        <v>508.49881290197709</v>
      </c>
      <c r="AA13" s="148">
        <f t="shared" si="1"/>
        <v>1748</v>
      </c>
      <c r="AB13" s="148">
        <f t="shared" si="1"/>
        <v>1748</v>
      </c>
      <c r="AC13" s="148">
        <f t="shared" si="1"/>
        <v>0</v>
      </c>
      <c r="AD13" s="148">
        <f t="shared" si="1"/>
        <v>1748</v>
      </c>
      <c r="AE13" s="148">
        <f t="shared" si="1"/>
        <v>1748</v>
      </c>
      <c r="AF13" s="148">
        <f t="shared" si="1"/>
        <v>1748</v>
      </c>
      <c r="AG13" s="148">
        <f t="shared" si="1"/>
        <v>1748</v>
      </c>
      <c r="AH13" s="148">
        <f t="shared" si="1"/>
        <v>1748</v>
      </c>
      <c r="AI13" s="148">
        <f t="shared" si="1"/>
        <v>1748</v>
      </c>
      <c r="AJ13" s="148">
        <f t="shared" si="1"/>
        <v>1748</v>
      </c>
      <c r="AK13" s="148">
        <f t="shared" si="1"/>
        <v>1748</v>
      </c>
      <c r="AL13" s="148">
        <f t="shared" si="1"/>
        <v>0</v>
      </c>
      <c r="AM13" s="148">
        <f t="shared" si="1"/>
        <v>1748</v>
      </c>
      <c r="AN13" s="148">
        <f t="shared" si="1"/>
        <v>1748</v>
      </c>
      <c r="AO13" s="148">
        <f t="shared" si="1"/>
        <v>1748</v>
      </c>
      <c r="AP13" s="148">
        <f t="shared" si="1"/>
        <v>0</v>
      </c>
      <c r="AQ13" s="148">
        <f t="shared" si="1"/>
        <v>1748</v>
      </c>
      <c r="AR13" s="148">
        <f t="shared" si="1"/>
        <v>1748</v>
      </c>
      <c r="AS13" s="148">
        <f t="shared" si="1"/>
        <v>1748</v>
      </c>
      <c r="AT13" s="148">
        <f t="shared" si="1"/>
        <v>1748</v>
      </c>
      <c r="AU13" s="148">
        <f t="shared" si="1"/>
        <v>1748</v>
      </c>
      <c r="AV13" s="148">
        <f t="shared" si="1"/>
        <v>1748</v>
      </c>
      <c r="AW13" s="148">
        <f t="shared" si="1"/>
        <v>0</v>
      </c>
      <c r="AX13" s="148">
        <f t="shared" si="1"/>
        <v>1748</v>
      </c>
      <c r="AY13" s="148">
        <f t="shared" si="1"/>
        <v>1748</v>
      </c>
      <c r="AZ13" s="119"/>
    </row>
    <row r="14" spans="1:52" x14ac:dyDescent="0.2">
      <c r="A14" s="120"/>
      <c r="B14" s="130">
        <v>2</v>
      </c>
      <c r="C14" s="120">
        <v>0</v>
      </c>
      <c r="D14" s="116">
        <f>IF(C$20="Yes",C13,0)</f>
        <v>0</v>
      </c>
      <c r="E14" s="116">
        <f t="shared" ref="E14:AY17" si="2">IF(D$20="Yes",D13,0)</f>
        <v>0</v>
      </c>
      <c r="F14" s="116">
        <f t="shared" si="2"/>
        <v>0</v>
      </c>
      <c r="G14" s="116">
        <f t="shared" si="2"/>
        <v>0</v>
      </c>
      <c r="H14" s="116">
        <f t="shared" si="2"/>
        <v>0</v>
      </c>
      <c r="I14" s="116">
        <f t="shared" si="2"/>
        <v>0</v>
      </c>
      <c r="J14" s="116">
        <f t="shared" si="2"/>
        <v>0</v>
      </c>
      <c r="K14" s="116">
        <f t="shared" si="2"/>
        <v>1748</v>
      </c>
      <c r="L14" s="116">
        <f t="shared" si="2"/>
        <v>0</v>
      </c>
      <c r="M14" s="116">
        <f t="shared" si="2"/>
        <v>0</v>
      </c>
      <c r="N14" s="116">
        <f t="shared" si="2"/>
        <v>0</v>
      </c>
      <c r="O14" s="116">
        <f t="shared" si="2"/>
        <v>0</v>
      </c>
      <c r="P14" s="116">
        <f t="shared" si="2"/>
        <v>0</v>
      </c>
      <c r="Q14" s="116">
        <f t="shared" si="2"/>
        <v>0</v>
      </c>
      <c r="R14" s="116">
        <f t="shared" si="2"/>
        <v>0</v>
      </c>
      <c r="S14" s="116">
        <f t="shared" si="2"/>
        <v>0</v>
      </c>
      <c r="T14" s="116">
        <f t="shared" si="2"/>
        <v>0</v>
      </c>
      <c r="U14" s="116">
        <f t="shared" si="2"/>
        <v>0</v>
      </c>
      <c r="V14" s="116">
        <f t="shared" si="2"/>
        <v>0</v>
      </c>
      <c r="W14" s="116">
        <f t="shared" si="2"/>
        <v>0</v>
      </c>
      <c r="X14" s="116">
        <f t="shared" si="2"/>
        <v>1748</v>
      </c>
      <c r="Y14" s="116">
        <f t="shared" si="2"/>
        <v>0</v>
      </c>
      <c r="Z14" s="116">
        <f t="shared" si="2"/>
        <v>1239.5011870980231</v>
      </c>
      <c r="AA14" s="116">
        <f t="shared" si="2"/>
        <v>0</v>
      </c>
      <c r="AB14" s="116">
        <f t="shared" si="2"/>
        <v>0</v>
      </c>
      <c r="AC14" s="116">
        <f t="shared" si="2"/>
        <v>1748</v>
      </c>
      <c r="AD14" s="116">
        <f t="shared" si="2"/>
        <v>0</v>
      </c>
      <c r="AE14" s="116">
        <f t="shared" si="2"/>
        <v>0</v>
      </c>
      <c r="AF14" s="116">
        <f t="shared" si="2"/>
        <v>0</v>
      </c>
      <c r="AG14" s="116">
        <f t="shared" si="2"/>
        <v>0</v>
      </c>
      <c r="AH14" s="116">
        <f t="shared" si="2"/>
        <v>0</v>
      </c>
      <c r="AI14" s="116">
        <f t="shared" si="2"/>
        <v>0</v>
      </c>
      <c r="AJ14" s="116">
        <f t="shared" si="2"/>
        <v>0</v>
      </c>
      <c r="AK14" s="116">
        <f t="shared" si="2"/>
        <v>0</v>
      </c>
      <c r="AL14" s="116">
        <f t="shared" si="2"/>
        <v>1748</v>
      </c>
      <c r="AM14" s="116">
        <f t="shared" si="2"/>
        <v>0</v>
      </c>
      <c r="AN14" s="116">
        <f t="shared" si="2"/>
        <v>0</v>
      </c>
      <c r="AO14" s="116">
        <f t="shared" si="2"/>
        <v>0</v>
      </c>
      <c r="AP14" s="116">
        <f t="shared" si="2"/>
        <v>1748</v>
      </c>
      <c r="AQ14" s="116">
        <f t="shared" si="2"/>
        <v>0</v>
      </c>
      <c r="AR14" s="116">
        <f t="shared" si="2"/>
        <v>0</v>
      </c>
      <c r="AS14" s="116">
        <f t="shared" si="2"/>
        <v>0</v>
      </c>
      <c r="AT14" s="116">
        <f t="shared" si="2"/>
        <v>0</v>
      </c>
      <c r="AU14" s="116">
        <f t="shared" si="2"/>
        <v>0</v>
      </c>
      <c r="AV14" s="116">
        <f t="shared" si="2"/>
        <v>0</v>
      </c>
      <c r="AW14" s="116">
        <f t="shared" si="2"/>
        <v>1748</v>
      </c>
      <c r="AX14" s="116">
        <f t="shared" si="2"/>
        <v>0</v>
      </c>
      <c r="AY14" s="116">
        <f t="shared" si="2"/>
        <v>0</v>
      </c>
      <c r="AZ14" s="119"/>
    </row>
    <row r="15" spans="1:52" x14ac:dyDescent="0.2">
      <c r="A15" s="120"/>
      <c r="B15" s="137">
        <v>3</v>
      </c>
      <c r="C15" s="120">
        <v>0</v>
      </c>
      <c r="D15" s="116">
        <f>IF(C$20="Yes",C14,0)</f>
        <v>0</v>
      </c>
      <c r="E15" s="116">
        <f t="shared" si="2"/>
        <v>0</v>
      </c>
      <c r="F15" s="116">
        <f t="shared" si="2"/>
        <v>0</v>
      </c>
      <c r="G15" s="116">
        <f t="shared" si="2"/>
        <v>0</v>
      </c>
      <c r="H15" s="116">
        <f t="shared" si="2"/>
        <v>0</v>
      </c>
      <c r="I15" s="116">
        <f t="shared" si="2"/>
        <v>0</v>
      </c>
      <c r="J15" s="116">
        <f t="shared" si="2"/>
        <v>0</v>
      </c>
      <c r="K15" s="116">
        <f t="shared" si="2"/>
        <v>0</v>
      </c>
      <c r="L15" s="116">
        <f t="shared" si="2"/>
        <v>0</v>
      </c>
      <c r="M15" s="116">
        <f t="shared" si="2"/>
        <v>0</v>
      </c>
      <c r="N15" s="116">
        <f t="shared" si="2"/>
        <v>0</v>
      </c>
      <c r="O15" s="116">
        <f t="shared" si="2"/>
        <v>0</v>
      </c>
      <c r="P15" s="116">
        <f t="shared" si="2"/>
        <v>0</v>
      </c>
      <c r="Q15" s="116">
        <f t="shared" si="2"/>
        <v>0</v>
      </c>
      <c r="R15" s="116">
        <f t="shared" si="2"/>
        <v>0</v>
      </c>
      <c r="S15" s="116">
        <f t="shared" si="2"/>
        <v>0</v>
      </c>
      <c r="T15" s="116">
        <f t="shared" si="2"/>
        <v>0</v>
      </c>
      <c r="U15" s="116">
        <f t="shared" si="2"/>
        <v>0</v>
      </c>
      <c r="V15" s="116">
        <f t="shared" si="2"/>
        <v>0</v>
      </c>
      <c r="W15" s="116">
        <f t="shared" si="2"/>
        <v>0</v>
      </c>
      <c r="X15" s="116">
        <f t="shared" si="2"/>
        <v>0</v>
      </c>
      <c r="Y15" s="116">
        <f t="shared" si="2"/>
        <v>0</v>
      </c>
      <c r="Z15" s="116">
        <f t="shared" si="2"/>
        <v>0</v>
      </c>
      <c r="AA15" s="116">
        <f t="shared" si="2"/>
        <v>0</v>
      </c>
      <c r="AB15" s="116">
        <f t="shared" si="2"/>
        <v>0</v>
      </c>
      <c r="AC15" s="116">
        <f t="shared" si="2"/>
        <v>0</v>
      </c>
      <c r="AD15" s="116">
        <f t="shared" si="2"/>
        <v>0</v>
      </c>
      <c r="AE15" s="116">
        <f t="shared" si="2"/>
        <v>0</v>
      </c>
      <c r="AF15" s="116">
        <f t="shared" si="2"/>
        <v>0</v>
      </c>
      <c r="AG15" s="116">
        <f t="shared" si="2"/>
        <v>0</v>
      </c>
      <c r="AH15" s="116">
        <f t="shared" si="2"/>
        <v>0</v>
      </c>
      <c r="AI15" s="116">
        <f t="shared" si="2"/>
        <v>0</v>
      </c>
      <c r="AJ15" s="116">
        <f t="shared" si="2"/>
        <v>0</v>
      </c>
      <c r="AK15" s="116">
        <f t="shared" si="2"/>
        <v>0</v>
      </c>
      <c r="AL15" s="116">
        <f t="shared" si="2"/>
        <v>0</v>
      </c>
      <c r="AM15" s="116">
        <f t="shared" si="2"/>
        <v>0</v>
      </c>
      <c r="AN15" s="116">
        <f t="shared" si="2"/>
        <v>0</v>
      </c>
      <c r="AO15" s="116">
        <f t="shared" si="2"/>
        <v>0</v>
      </c>
      <c r="AP15" s="116">
        <f t="shared" si="2"/>
        <v>0</v>
      </c>
      <c r="AQ15" s="116">
        <f t="shared" si="2"/>
        <v>0</v>
      </c>
      <c r="AR15" s="116">
        <f t="shared" si="2"/>
        <v>0</v>
      </c>
      <c r="AS15" s="116">
        <f t="shared" si="2"/>
        <v>0</v>
      </c>
      <c r="AT15" s="116">
        <f t="shared" si="2"/>
        <v>0</v>
      </c>
      <c r="AU15" s="116">
        <f t="shared" si="2"/>
        <v>0</v>
      </c>
      <c r="AV15" s="116">
        <f t="shared" si="2"/>
        <v>0</v>
      </c>
      <c r="AW15" s="116">
        <f t="shared" si="2"/>
        <v>0</v>
      </c>
      <c r="AX15" s="116">
        <f t="shared" si="2"/>
        <v>0</v>
      </c>
      <c r="AY15" s="116">
        <f t="shared" si="2"/>
        <v>0</v>
      </c>
      <c r="AZ15" s="119"/>
    </row>
    <row r="16" spans="1:52" x14ac:dyDescent="0.2">
      <c r="A16" s="120"/>
      <c r="B16" s="140">
        <v>4</v>
      </c>
      <c r="C16" s="120">
        <v>0</v>
      </c>
      <c r="D16" s="116">
        <f>IF(C$20="Yes",C15,0)</f>
        <v>0</v>
      </c>
      <c r="E16" s="116">
        <f t="shared" si="2"/>
        <v>0</v>
      </c>
      <c r="F16" s="116">
        <f t="shared" si="2"/>
        <v>0</v>
      </c>
      <c r="G16" s="116">
        <f t="shared" si="2"/>
        <v>0</v>
      </c>
      <c r="H16" s="116">
        <f t="shared" si="2"/>
        <v>0</v>
      </c>
      <c r="I16" s="116">
        <f t="shared" si="2"/>
        <v>0</v>
      </c>
      <c r="J16" s="116">
        <f t="shared" si="2"/>
        <v>0</v>
      </c>
      <c r="K16" s="116">
        <f t="shared" si="2"/>
        <v>0</v>
      </c>
      <c r="L16" s="116">
        <f t="shared" si="2"/>
        <v>0</v>
      </c>
      <c r="M16" s="116">
        <f t="shared" si="2"/>
        <v>0</v>
      </c>
      <c r="N16" s="116">
        <f t="shared" si="2"/>
        <v>0</v>
      </c>
      <c r="O16" s="116">
        <f t="shared" si="2"/>
        <v>0</v>
      </c>
      <c r="P16" s="116">
        <f t="shared" si="2"/>
        <v>0</v>
      </c>
      <c r="Q16" s="116">
        <f t="shared" si="2"/>
        <v>0</v>
      </c>
      <c r="R16" s="116">
        <f t="shared" si="2"/>
        <v>0</v>
      </c>
      <c r="S16" s="116">
        <f t="shared" si="2"/>
        <v>0</v>
      </c>
      <c r="T16" s="116">
        <f t="shared" si="2"/>
        <v>0</v>
      </c>
      <c r="U16" s="116">
        <f t="shared" si="2"/>
        <v>0</v>
      </c>
      <c r="V16" s="116">
        <f t="shared" si="2"/>
        <v>0</v>
      </c>
      <c r="W16" s="116">
        <f t="shared" si="2"/>
        <v>0</v>
      </c>
      <c r="X16" s="116">
        <f t="shared" si="2"/>
        <v>0</v>
      </c>
      <c r="Y16" s="116">
        <f t="shared" si="2"/>
        <v>0</v>
      </c>
      <c r="Z16" s="116">
        <f t="shared" si="2"/>
        <v>0</v>
      </c>
      <c r="AA16" s="116">
        <f t="shared" si="2"/>
        <v>0</v>
      </c>
      <c r="AB16" s="116">
        <f t="shared" si="2"/>
        <v>0</v>
      </c>
      <c r="AC16" s="116">
        <f t="shared" si="2"/>
        <v>0</v>
      </c>
      <c r="AD16" s="116">
        <f t="shared" si="2"/>
        <v>0</v>
      </c>
      <c r="AE16" s="116">
        <f t="shared" si="2"/>
        <v>0</v>
      </c>
      <c r="AF16" s="116">
        <f t="shared" si="2"/>
        <v>0</v>
      </c>
      <c r="AG16" s="116">
        <f t="shared" si="2"/>
        <v>0</v>
      </c>
      <c r="AH16" s="116">
        <f t="shared" si="2"/>
        <v>0</v>
      </c>
      <c r="AI16" s="116">
        <f t="shared" si="2"/>
        <v>0</v>
      </c>
      <c r="AJ16" s="116">
        <f t="shared" si="2"/>
        <v>0</v>
      </c>
      <c r="AK16" s="116">
        <f t="shared" si="2"/>
        <v>0</v>
      </c>
      <c r="AL16" s="116">
        <f t="shared" si="2"/>
        <v>0</v>
      </c>
      <c r="AM16" s="116">
        <f t="shared" si="2"/>
        <v>0</v>
      </c>
      <c r="AN16" s="116">
        <f t="shared" si="2"/>
        <v>0</v>
      </c>
      <c r="AO16" s="116">
        <f t="shared" si="2"/>
        <v>0</v>
      </c>
      <c r="AP16" s="116">
        <f t="shared" si="2"/>
        <v>0</v>
      </c>
      <c r="AQ16" s="116">
        <f t="shared" si="2"/>
        <v>0</v>
      </c>
      <c r="AR16" s="116">
        <f t="shared" si="2"/>
        <v>0</v>
      </c>
      <c r="AS16" s="116">
        <f t="shared" si="2"/>
        <v>0</v>
      </c>
      <c r="AT16" s="116">
        <f t="shared" si="2"/>
        <v>0</v>
      </c>
      <c r="AU16" s="116">
        <f t="shared" si="2"/>
        <v>0</v>
      </c>
      <c r="AV16" s="116">
        <f t="shared" si="2"/>
        <v>0</v>
      </c>
      <c r="AW16" s="116">
        <f t="shared" si="2"/>
        <v>0</v>
      </c>
      <c r="AX16" s="116">
        <f t="shared" si="2"/>
        <v>0</v>
      </c>
      <c r="AY16" s="116">
        <f t="shared" si="2"/>
        <v>0</v>
      </c>
      <c r="AZ16" s="138"/>
    </row>
    <row r="17" spans="1:52" x14ac:dyDescent="0.2">
      <c r="A17" s="135"/>
      <c r="B17" s="142" t="s">
        <v>298</v>
      </c>
      <c r="C17" s="135">
        <v>0</v>
      </c>
      <c r="D17" s="124">
        <f>IF(C$20="Yes",C16,0)</f>
        <v>0</v>
      </c>
      <c r="E17" s="124">
        <f t="shared" si="2"/>
        <v>0</v>
      </c>
      <c r="F17" s="124">
        <f t="shared" si="2"/>
        <v>0</v>
      </c>
      <c r="G17" s="124">
        <f t="shared" si="2"/>
        <v>0</v>
      </c>
      <c r="H17" s="124">
        <f t="shared" si="2"/>
        <v>0</v>
      </c>
      <c r="I17" s="124">
        <f t="shared" si="2"/>
        <v>0</v>
      </c>
      <c r="J17" s="124">
        <f t="shared" si="2"/>
        <v>0</v>
      </c>
      <c r="K17" s="124">
        <f t="shared" si="2"/>
        <v>0</v>
      </c>
      <c r="L17" s="124">
        <f t="shared" si="2"/>
        <v>0</v>
      </c>
      <c r="M17" s="124">
        <f t="shared" si="2"/>
        <v>0</v>
      </c>
      <c r="N17" s="124">
        <f t="shared" si="2"/>
        <v>0</v>
      </c>
      <c r="O17" s="124">
        <f t="shared" si="2"/>
        <v>0</v>
      </c>
      <c r="P17" s="124">
        <f t="shared" si="2"/>
        <v>0</v>
      </c>
      <c r="Q17" s="124">
        <f t="shared" si="2"/>
        <v>0</v>
      </c>
      <c r="R17" s="124">
        <f t="shared" si="2"/>
        <v>0</v>
      </c>
      <c r="S17" s="124">
        <f t="shared" si="2"/>
        <v>0</v>
      </c>
      <c r="T17" s="124">
        <f t="shared" si="2"/>
        <v>0</v>
      </c>
      <c r="U17" s="124">
        <f t="shared" si="2"/>
        <v>0</v>
      </c>
      <c r="V17" s="124">
        <f t="shared" si="2"/>
        <v>0</v>
      </c>
      <c r="W17" s="124">
        <f t="shared" si="2"/>
        <v>0</v>
      </c>
      <c r="X17" s="124">
        <f t="shared" si="2"/>
        <v>0</v>
      </c>
      <c r="Y17" s="124">
        <f t="shared" si="2"/>
        <v>0</v>
      </c>
      <c r="Z17" s="124">
        <f t="shared" si="2"/>
        <v>0</v>
      </c>
      <c r="AA17" s="124">
        <f t="shared" si="2"/>
        <v>0</v>
      </c>
      <c r="AB17" s="124">
        <f t="shared" si="2"/>
        <v>0</v>
      </c>
      <c r="AC17" s="124">
        <f t="shared" si="2"/>
        <v>0</v>
      </c>
      <c r="AD17" s="124">
        <f t="shared" si="2"/>
        <v>0</v>
      </c>
      <c r="AE17" s="124">
        <f t="shared" si="2"/>
        <v>0</v>
      </c>
      <c r="AF17" s="124">
        <f t="shared" si="2"/>
        <v>0</v>
      </c>
      <c r="AG17" s="124">
        <f t="shared" si="2"/>
        <v>0</v>
      </c>
      <c r="AH17" s="124">
        <f t="shared" si="2"/>
        <v>0</v>
      </c>
      <c r="AI17" s="124">
        <f t="shared" si="2"/>
        <v>0</v>
      </c>
      <c r="AJ17" s="124">
        <f t="shared" si="2"/>
        <v>0</v>
      </c>
      <c r="AK17" s="124">
        <f t="shared" si="2"/>
        <v>0</v>
      </c>
      <c r="AL17" s="124">
        <f t="shared" si="2"/>
        <v>0</v>
      </c>
      <c r="AM17" s="124">
        <f t="shared" si="2"/>
        <v>0</v>
      </c>
      <c r="AN17" s="124">
        <f t="shared" si="2"/>
        <v>0</v>
      </c>
      <c r="AO17" s="124">
        <f t="shared" si="2"/>
        <v>0</v>
      </c>
      <c r="AP17" s="124">
        <f t="shared" si="2"/>
        <v>0</v>
      </c>
      <c r="AQ17" s="124">
        <f t="shared" si="2"/>
        <v>0</v>
      </c>
      <c r="AR17" s="124">
        <f t="shared" si="2"/>
        <v>0</v>
      </c>
      <c r="AS17" s="124">
        <f t="shared" si="2"/>
        <v>0</v>
      </c>
      <c r="AT17" s="124">
        <f t="shared" si="2"/>
        <v>0</v>
      </c>
      <c r="AU17" s="124">
        <f t="shared" si="2"/>
        <v>0</v>
      </c>
      <c r="AV17" s="124">
        <f t="shared" si="2"/>
        <v>0</v>
      </c>
      <c r="AW17" s="124">
        <f t="shared" si="2"/>
        <v>0</v>
      </c>
      <c r="AX17" s="124">
        <f t="shared" si="2"/>
        <v>0</v>
      </c>
      <c r="AY17" s="124">
        <f t="shared" si="2"/>
        <v>0</v>
      </c>
      <c r="AZ17" s="161">
        <f>SUM($D$17:$AY$17)</f>
        <v>0</v>
      </c>
    </row>
    <row r="18" spans="1:52" x14ac:dyDescent="0.2">
      <c r="A18" s="116"/>
      <c r="B18" s="163"/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148"/>
      <c r="AB18" s="148"/>
      <c r="AC18" s="148"/>
      <c r="AD18" s="148"/>
      <c r="AE18" s="148"/>
      <c r="AF18" s="148"/>
      <c r="AG18" s="148"/>
      <c r="AH18" s="148"/>
      <c r="AI18" s="148"/>
      <c r="AJ18" s="148"/>
      <c r="AK18" s="148"/>
      <c r="AL18" s="148"/>
      <c r="AM18" s="148"/>
      <c r="AN18" s="148"/>
      <c r="AO18" s="148"/>
      <c r="AP18" s="148"/>
      <c r="AQ18" s="148"/>
      <c r="AR18" s="148"/>
      <c r="AS18" s="148"/>
      <c r="AT18" s="148"/>
      <c r="AU18" s="148"/>
      <c r="AV18" s="148"/>
      <c r="AW18" s="148"/>
      <c r="AX18" s="148"/>
      <c r="AY18" s="148"/>
      <c r="AZ18" s="116"/>
    </row>
    <row r="19" spans="1:52" x14ac:dyDescent="0.2">
      <c r="A19" s="112" t="s">
        <v>116</v>
      </c>
      <c r="B19" s="116"/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116"/>
      <c r="AG19" s="116"/>
      <c r="AH19" s="116"/>
      <c r="AI19" s="116"/>
      <c r="AJ19" s="116"/>
      <c r="AK19" s="116"/>
      <c r="AL19" s="116"/>
      <c r="AM19" s="116"/>
      <c r="AN19" s="116"/>
      <c r="AO19" s="116"/>
      <c r="AP19" s="116"/>
      <c r="AQ19" s="116"/>
      <c r="AR19" s="116"/>
      <c r="AS19" s="116"/>
      <c r="AT19" s="116"/>
      <c r="AU19" s="116"/>
      <c r="AV19" s="116"/>
      <c r="AW19" s="116"/>
      <c r="AX19" s="116"/>
      <c r="AY19" s="116"/>
    </row>
    <row r="20" spans="1:52" s="120" customFormat="1" x14ac:dyDescent="0.2">
      <c r="A20" s="125" t="s">
        <v>307</v>
      </c>
      <c r="B20" s="164" t="s">
        <v>308</v>
      </c>
      <c r="C20" s="127"/>
      <c r="D20" s="127"/>
      <c r="E20" s="127"/>
      <c r="F20" s="127"/>
      <c r="G20" s="127"/>
      <c r="H20" s="127"/>
      <c r="I20" s="127"/>
      <c r="J20" s="127" t="s">
        <v>341</v>
      </c>
      <c r="K20" s="127"/>
      <c r="L20" s="127"/>
      <c r="M20" s="127"/>
      <c r="N20" s="127"/>
      <c r="O20" s="127"/>
      <c r="P20" s="127"/>
      <c r="Q20" s="127"/>
      <c r="R20" s="127"/>
      <c r="S20" s="127"/>
      <c r="T20" s="127"/>
      <c r="U20" s="127"/>
      <c r="V20" s="127"/>
      <c r="W20" s="127" t="s">
        <v>341</v>
      </c>
      <c r="X20" s="127"/>
      <c r="Y20" s="127" t="s">
        <v>341</v>
      </c>
      <c r="Z20" s="127"/>
      <c r="AA20" s="127"/>
      <c r="AB20" s="127" t="s">
        <v>341</v>
      </c>
      <c r="AC20" s="127"/>
      <c r="AD20" s="127"/>
      <c r="AE20" s="127"/>
      <c r="AF20" s="127"/>
      <c r="AG20" s="127"/>
      <c r="AH20" s="127"/>
      <c r="AI20" s="127"/>
      <c r="AJ20" s="127"/>
      <c r="AK20" s="127" t="s">
        <v>341</v>
      </c>
      <c r="AL20" s="127"/>
      <c r="AM20" s="127"/>
      <c r="AN20" s="127"/>
      <c r="AO20" s="127" t="s">
        <v>341</v>
      </c>
      <c r="AP20" s="127"/>
      <c r="AQ20" s="127"/>
      <c r="AR20" s="127"/>
      <c r="AS20" s="127"/>
      <c r="AT20" s="127"/>
      <c r="AU20" s="127"/>
      <c r="AV20" s="127" t="s">
        <v>341</v>
      </c>
      <c r="AW20" s="127"/>
      <c r="AX20" s="127"/>
      <c r="AY20" s="127"/>
      <c r="AZ20" s="117"/>
    </row>
    <row r="21" spans="1:52" s="120" customFormat="1" x14ac:dyDescent="0.2">
      <c r="A21" s="165" t="s">
        <v>133</v>
      </c>
      <c r="B21" s="166">
        <f>shipping_manufacturing!$C$19/100</f>
        <v>0.229750300121527</v>
      </c>
      <c r="C21" s="166" t="s">
        <v>295</v>
      </c>
      <c r="D21" s="116">
        <f>IF(C$20="Yes",0,SUM(C$13:C$16)*$B$21)</f>
        <v>146.99328822216467</v>
      </c>
      <c r="E21" s="116">
        <f t="shared" ref="E21:AY21" si="3">IF(D$20="Yes",0,SUM(D$13:D$16)*$B$21)</f>
        <v>401.60352461242923</v>
      </c>
      <c r="F21" s="116">
        <f t="shared" si="3"/>
        <v>401.60352461242923</v>
      </c>
      <c r="G21" s="116">
        <f t="shared" si="3"/>
        <v>401.60352461242923</v>
      </c>
      <c r="H21" s="116">
        <f t="shared" si="3"/>
        <v>401.60352461242923</v>
      </c>
      <c r="I21" s="116">
        <f t="shared" si="3"/>
        <v>401.60352461242923</v>
      </c>
      <c r="J21" s="116">
        <f t="shared" si="3"/>
        <v>401.60352461242923</v>
      </c>
      <c r="K21" s="116">
        <f t="shared" si="3"/>
        <v>0</v>
      </c>
      <c r="L21" s="116">
        <f t="shared" si="3"/>
        <v>401.60352461242923</v>
      </c>
      <c r="M21" s="116">
        <f t="shared" si="3"/>
        <v>401.60352461242923</v>
      </c>
      <c r="N21" s="116">
        <f t="shared" si="3"/>
        <v>401.60352461242923</v>
      </c>
      <c r="O21" s="116">
        <f t="shared" si="3"/>
        <v>401.60352461242923</v>
      </c>
      <c r="P21" s="116">
        <f t="shared" si="3"/>
        <v>401.60352461242923</v>
      </c>
      <c r="Q21" s="116">
        <f t="shared" si="3"/>
        <v>401.60352461242923</v>
      </c>
      <c r="R21" s="116">
        <f t="shared" si="3"/>
        <v>401.60352461242923</v>
      </c>
      <c r="S21" s="116">
        <f t="shared" si="3"/>
        <v>401.60352461242923</v>
      </c>
      <c r="T21" s="116">
        <f t="shared" si="3"/>
        <v>401.60352461242923</v>
      </c>
      <c r="U21" s="116">
        <f t="shared" si="3"/>
        <v>401.60352461242923</v>
      </c>
      <c r="V21" s="116">
        <f t="shared" si="3"/>
        <v>401.60352461242923</v>
      </c>
      <c r="W21" s="116">
        <f t="shared" si="3"/>
        <v>401.60352461242923</v>
      </c>
      <c r="X21" s="116">
        <f t="shared" si="3"/>
        <v>0</v>
      </c>
      <c r="Y21" s="116">
        <f t="shared" si="3"/>
        <v>401.60352461242923</v>
      </c>
      <c r="Z21" s="116">
        <f t="shared" si="3"/>
        <v>0</v>
      </c>
      <c r="AA21" s="116">
        <f t="shared" si="3"/>
        <v>401.60352461242923</v>
      </c>
      <c r="AB21" s="116">
        <f t="shared" si="3"/>
        <v>401.60352461242923</v>
      </c>
      <c r="AC21" s="116">
        <f t="shared" si="3"/>
        <v>0</v>
      </c>
      <c r="AD21" s="116">
        <f t="shared" si="3"/>
        <v>401.60352461242923</v>
      </c>
      <c r="AE21" s="116">
        <f t="shared" si="3"/>
        <v>401.60352461242923</v>
      </c>
      <c r="AF21" s="116">
        <f t="shared" si="3"/>
        <v>401.60352461242923</v>
      </c>
      <c r="AG21" s="116">
        <f t="shared" si="3"/>
        <v>401.60352461242923</v>
      </c>
      <c r="AH21" s="116">
        <f t="shared" si="3"/>
        <v>401.60352461242923</v>
      </c>
      <c r="AI21" s="116">
        <f t="shared" si="3"/>
        <v>401.60352461242923</v>
      </c>
      <c r="AJ21" s="116">
        <f t="shared" si="3"/>
        <v>401.60352461242923</v>
      </c>
      <c r="AK21" s="116">
        <f t="shared" si="3"/>
        <v>401.60352461242923</v>
      </c>
      <c r="AL21" s="116">
        <f t="shared" si="3"/>
        <v>0</v>
      </c>
      <c r="AM21" s="116">
        <f t="shared" si="3"/>
        <v>401.60352461242923</v>
      </c>
      <c r="AN21" s="116">
        <f t="shared" si="3"/>
        <v>401.60352461242923</v>
      </c>
      <c r="AO21" s="116">
        <f t="shared" si="3"/>
        <v>401.60352461242923</v>
      </c>
      <c r="AP21" s="116">
        <f t="shared" si="3"/>
        <v>0</v>
      </c>
      <c r="AQ21" s="116">
        <f t="shared" si="3"/>
        <v>401.60352461242923</v>
      </c>
      <c r="AR21" s="116">
        <f t="shared" si="3"/>
        <v>401.60352461242923</v>
      </c>
      <c r="AS21" s="116">
        <f t="shared" si="3"/>
        <v>401.60352461242923</v>
      </c>
      <c r="AT21" s="116">
        <f t="shared" si="3"/>
        <v>401.60352461242923</v>
      </c>
      <c r="AU21" s="116">
        <f t="shared" si="3"/>
        <v>401.60352461242923</v>
      </c>
      <c r="AV21" s="116">
        <f t="shared" si="3"/>
        <v>401.60352461242923</v>
      </c>
      <c r="AW21" s="116">
        <f t="shared" si="3"/>
        <v>0</v>
      </c>
      <c r="AX21" s="116">
        <f t="shared" si="3"/>
        <v>401.60352461242923</v>
      </c>
      <c r="AY21" s="116">
        <f t="shared" si="3"/>
        <v>401.60352461242923</v>
      </c>
      <c r="AZ21" s="167">
        <f>SUM($D21:$AY21)</f>
        <v>16211.134272719319</v>
      </c>
    </row>
    <row r="22" spans="1:52" s="120" customFormat="1" x14ac:dyDescent="0.2">
      <c r="A22" s="168" t="s">
        <v>123</v>
      </c>
      <c r="B22" s="169">
        <f>1-$B$21</f>
        <v>0.77024969987847303</v>
      </c>
      <c r="C22" s="169" t="s">
        <v>295</v>
      </c>
      <c r="D22" s="124">
        <f>IF(C$20="Yes",0,SUM(C$13:C$16)*$B$22)</f>
        <v>492.80256033347246</v>
      </c>
      <c r="E22" s="124">
        <f t="shared" ref="E22:AY22" si="4">IF(D$20="Yes",0,SUM(D$13:D$16)*$B$22)</f>
        <v>1346.3964753875709</v>
      </c>
      <c r="F22" s="124">
        <f t="shared" si="4"/>
        <v>1346.3964753875709</v>
      </c>
      <c r="G22" s="124">
        <f t="shared" si="4"/>
        <v>1346.3964753875709</v>
      </c>
      <c r="H22" s="124">
        <f t="shared" si="4"/>
        <v>1346.3964753875709</v>
      </c>
      <c r="I22" s="124">
        <f t="shared" si="4"/>
        <v>1346.3964753875709</v>
      </c>
      <c r="J22" s="124">
        <f t="shared" si="4"/>
        <v>1346.3964753875709</v>
      </c>
      <c r="K22" s="124">
        <f t="shared" si="4"/>
        <v>0</v>
      </c>
      <c r="L22" s="124">
        <f t="shared" si="4"/>
        <v>1346.3964753875709</v>
      </c>
      <c r="M22" s="124">
        <f t="shared" si="4"/>
        <v>1346.3964753875709</v>
      </c>
      <c r="N22" s="124">
        <f t="shared" si="4"/>
        <v>1346.3964753875709</v>
      </c>
      <c r="O22" s="124">
        <f t="shared" si="4"/>
        <v>1346.3964753875709</v>
      </c>
      <c r="P22" s="124">
        <f t="shared" si="4"/>
        <v>1346.3964753875709</v>
      </c>
      <c r="Q22" s="124">
        <f t="shared" si="4"/>
        <v>1346.3964753875709</v>
      </c>
      <c r="R22" s="124">
        <f t="shared" si="4"/>
        <v>1346.3964753875709</v>
      </c>
      <c r="S22" s="124">
        <f t="shared" si="4"/>
        <v>1346.3964753875709</v>
      </c>
      <c r="T22" s="124">
        <f t="shared" si="4"/>
        <v>1346.3964753875709</v>
      </c>
      <c r="U22" s="124">
        <f t="shared" si="4"/>
        <v>1346.3964753875709</v>
      </c>
      <c r="V22" s="124">
        <f t="shared" si="4"/>
        <v>1346.3964753875709</v>
      </c>
      <c r="W22" s="124">
        <f t="shared" si="4"/>
        <v>1346.3964753875709</v>
      </c>
      <c r="X22" s="124">
        <f t="shared" si="4"/>
        <v>0</v>
      </c>
      <c r="Y22" s="124">
        <f t="shared" si="4"/>
        <v>1346.3964753875709</v>
      </c>
      <c r="Z22" s="124">
        <f t="shared" si="4"/>
        <v>0</v>
      </c>
      <c r="AA22" s="124">
        <f t="shared" si="4"/>
        <v>1346.3964753875709</v>
      </c>
      <c r="AB22" s="124">
        <f t="shared" si="4"/>
        <v>1346.3964753875709</v>
      </c>
      <c r="AC22" s="124">
        <f t="shared" si="4"/>
        <v>0</v>
      </c>
      <c r="AD22" s="124">
        <f t="shared" si="4"/>
        <v>1346.3964753875709</v>
      </c>
      <c r="AE22" s="124">
        <f t="shared" si="4"/>
        <v>1346.3964753875709</v>
      </c>
      <c r="AF22" s="124">
        <f t="shared" si="4"/>
        <v>1346.3964753875709</v>
      </c>
      <c r="AG22" s="124">
        <f t="shared" si="4"/>
        <v>1346.3964753875709</v>
      </c>
      <c r="AH22" s="124">
        <f t="shared" si="4"/>
        <v>1346.3964753875709</v>
      </c>
      <c r="AI22" s="124">
        <f t="shared" si="4"/>
        <v>1346.3964753875709</v>
      </c>
      <c r="AJ22" s="124">
        <f t="shared" si="4"/>
        <v>1346.3964753875709</v>
      </c>
      <c r="AK22" s="124">
        <f t="shared" si="4"/>
        <v>1346.3964753875709</v>
      </c>
      <c r="AL22" s="124">
        <f t="shared" si="4"/>
        <v>0</v>
      </c>
      <c r="AM22" s="124">
        <f t="shared" si="4"/>
        <v>1346.3964753875709</v>
      </c>
      <c r="AN22" s="124">
        <f t="shared" si="4"/>
        <v>1346.3964753875709</v>
      </c>
      <c r="AO22" s="124">
        <f t="shared" si="4"/>
        <v>1346.3964753875709</v>
      </c>
      <c r="AP22" s="124">
        <f t="shared" si="4"/>
        <v>0</v>
      </c>
      <c r="AQ22" s="124">
        <f t="shared" si="4"/>
        <v>1346.3964753875709</v>
      </c>
      <c r="AR22" s="124">
        <f t="shared" si="4"/>
        <v>1346.3964753875709</v>
      </c>
      <c r="AS22" s="124">
        <f t="shared" si="4"/>
        <v>1346.3964753875709</v>
      </c>
      <c r="AT22" s="124">
        <f t="shared" si="4"/>
        <v>1346.3964753875709</v>
      </c>
      <c r="AU22" s="124">
        <f t="shared" si="4"/>
        <v>1346.3964753875709</v>
      </c>
      <c r="AV22" s="124">
        <f t="shared" si="4"/>
        <v>1346.3964753875709</v>
      </c>
      <c r="AW22" s="124">
        <f t="shared" si="4"/>
        <v>0</v>
      </c>
      <c r="AX22" s="124">
        <f t="shared" si="4"/>
        <v>1346.3964753875709</v>
      </c>
      <c r="AY22" s="124">
        <f t="shared" si="4"/>
        <v>1346.3964753875709</v>
      </c>
      <c r="AZ22" s="151">
        <f t="shared" ref="AZ22:AZ30" si="5">SUM($D22:$AY22)</f>
        <v>54348.661575836282</v>
      </c>
    </row>
    <row r="23" spans="1:52" x14ac:dyDescent="0.2">
      <c r="A23" s="170" t="s">
        <v>309</v>
      </c>
      <c r="B23" s="134">
        <v>2000</v>
      </c>
      <c r="C23" s="110" t="s">
        <v>295</v>
      </c>
      <c r="D23" s="110">
        <f>D$21*$B$23</f>
        <v>293986.57644432934</v>
      </c>
      <c r="E23" s="110">
        <f t="shared" ref="E23:AY23" si="6">E$21*$B$23</f>
        <v>803207.04922485841</v>
      </c>
      <c r="F23" s="110">
        <f t="shared" si="6"/>
        <v>803207.04922485841</v>
      </c>
      <c r="G23" s="110">
        <f t="shared" si="6"/>
        <v>803207.04922485841</v>
      </c>
      <c r="H23" s="110">
        <f t="shared" si="6"/>
        <v>803207.04922485841</v>
      </c>
      <c r="I23" s="110">
        <f t="shared" si="6"/>
        <v>803207.04922485841</v>
      </c>
      <c r="J23" s="110">
        <f t="shared" si="6"/>
        <v>803207.04922485841</v>
      </c>
      <c r="K23" s="110">
        <f t="shared" si="6"/>
        <v>0</v>
      </c>
      <c r="L23" s="110">
        <f t="shared" si="6"/>
        <v>803207.04922485841</v>
      </c>
      <c r="M23" s="110">
        <f t="shared" si="6"/>
        <v>803207.04922485841</v>
      </c>
      <c r="N23" s="110">
        <f t="shared" si="6"/>
        <v>803207.04922485841</v>
      </c>
      <c r="O23" s="110">
        <f t="shared" si="6"/>
        <v>803207.04922485841</v>
      </c>
      <c r="P23" s="110">
        <f t="shared" si="6"/>
        <v>803207.04922485841</v>
      </c>
      <c r="Q23" s="110">
        <f t="shared" si="6"/>
        <v>803207.04922485841</v>
      </c>
      <c r="R23" s="110">
        <f t="shared" si="6"/>
        <v>803207.04922485841</v>
      </c>
      <c r="S23" s="110">
        <f t="shared" si="6"/>
        <v>803207.04922485841</v>
      </c>
      <c r="T23" s="110">
        <f t="shared" si="6"/>
        <v>803207.04922485841</v>
      </c>
      <c r="U23" s="110">
        <f t="shared" si="6"/>
        <v>803207.04922485841</v>
      </c>
      <c r="V23" s="110">
        <f t="shared" si="6"/>
        <v>803207.04922485841</v>
      </c>
      <c r="W23" s="110">
        <f t="shared" si="6"/>
        <v>803207.04922485841</v>
      </c>
      <c r="X23" s="110">
        <f t="shared" si="6"/>
        <v>0</v>
      </c>
      <c r="Y23" s="110">
        <f t="shared" si="6"/>
        <v>803207.04922485841</v>
      </c>
      <c r="Z23" s="110">
        <f t="shared" si="6"/>
        <v>0</v>
      </c>
      <c r="AA23" s="110">
        <f t="shared" si="6"/>
        <v>803207.04922485841</v>
      </c>
      <c r="AB23" s="110">
        <f t="shared" si="6"/>
        <v>803207.04922485841</v>
      </c>
      <c r="AC23" s="110">
        <f t="shared" si="6"/>
        <v>0</v>
      </c>
      <c r="AD23" s="110">
        <f t="shared" si="6"/>
        <v>803207.04922485841</v>
      </c>
      <c r="AE23" s="110">
        <f t="shared" si="6"/>
        <v>803207.04922485841</v>
      </c>
      <c r="AF23" s="110">
        <f t="shared" si="6"/>
        <v>803207.04922485841</v>
      </c>
      <c r="AG23" s="110">
        <f t="shared" si="6"/>
        <v>803207.04922485841</v>
      </c>
      <c r="AH23" s="110">
        <f t="shared" si="6"/>
        <v>803207.04922485841</v>
      </c>
      <c r="AI23" s="110">
        <f t="shared" si="6"/>
        <v>803207.04922485841</v>
      </c>
      <c r="AJ23" s="110">
        <f t="shared" si="6"/>
        <v>803207.04922485841</v>
      </c>
      <c r="AK23" s="110">
        <f t="shared" si="6"/>
        <v>803207.04922485841</v>
      </c>
      <c r="AL23" s="110">
        <f t="shared" si="6"/>
        <v>0</v>
      </c>
      <c r="AM23" s="110">
        <f t="shared" si="6"/>
        <v>803207.04922485841</v>
      </c>
      <c r="AN23" s="110">
        <f t="shared" si="6"/>
        <v>803207.04922485841</v>
      </c>
      <c r="AO23" s="110">
        <f t="shared" si="6"/>
        <v>803207.04922485841</v>
      </c>
      <c r="AP23" s="110">
        <f t="shared" si="6"/>
        <v>0</v>
      </c>
      <c r="AQ23" s="110">
        <f t="shared" si="6"/>
        <v>803207.04922485841</v>
      </c>
      <c r="AR23" s="110">
        <f t="shared" si="6"/>
        <v>803207.04922485841</v>
      </c>
      <c r="AS23" s="110">
        <f t="shared" si="6"/>
        <v>803207.04922485841</v>
      </c>
      <c r="AT23" s="110">
        <f t="shared" si="6"/>
        <v>803207.04922485841</v>
      </c>
      <c r="AU23" s="110">
        <f t="shared" si="6"/>
        <v>803207.04922485841</v>
      </c>
      <c r="AV23" s="110">
        <f t="shared" si="6"/>
        <v>803207.04922485841</v>
      </c>
      <c r="AW23" s="110">
        <f t="shared" si="6"/>
        <v>0</v>
      </c>
      <c r="AX23" s="110">
        <f t="shared" si="6"/>
        <v>803207.04922485841</v>
      </c>
      <c r="AY23" s="110">
        <f t="shared" si="6"/>
        <v>803207.04922485841</v>
      </c>
      <c r="AZ23" s="149">
        <f t="shared" si="5"/>
        <v>32422268.545438647</v>
      </c>
    </row>
    <row r="24" spans="1:52" s="120" customFormat="1" x14ac:dyDescent="0.2">
      <c r="A24" s="171" t="s">
        <v>310</v>
      </c>
      <c r="B24" s="172">
        <v>1000</v>
      </c>
      <c r="C24" s="166" t="s">
        <v>295</v>
      </c>
      <c r="D24" s="116">
        <f>D$22*$B$24</f>
        <v>492802.56033347244</v>
      </c>
      <c r="E24" s="116">
        <f t="shared" ref="E24:AY24" si="7">E$22*$B$24</f>
        <v>1346396.4753875709</v>
      </c>
      <c r="F24" s="116">
        <f t="shared" si="7"/>
        <v>1346396.4753875709</v>
      </c>
      <c r="G24" s="116">
        <f t="shared" si="7"/>
        <v>1346396.4753875709</v>
      </c>
      <c r="H24" s="116">
        <f t="shared" si="7"/>
        <v>1346396.4753875709</v>
      </c>
      <c r="I24" s="116">
        <f t="shared" si="7"/>
        <v>1346396.4753875709</v>
      </c>
      <c r="J24" s="116">
        <f t="shared" si="7"/>
        <v>1346396.4753875709</v>
      </c>
      <c r="K24" s="116">
        <f t="shared" si="7"/>
        <v>0</v>
      </c>
      <c r="L24" s="116">
        <f t="shared" si="7"/>
        <v>1346396.4753875709</v>
      </c>
      <c r="M24" s="116">
        <f t="shared" si="7"/>
        <v>1346396.4753875709</v>
      </c>
      <c r="N24" s="116">
        <f t="shared" si="7"/>
        <v>1346396.4753875709</v>
      </c>
      <c r="O24" s="116">
        <f t="shared" si="7"/>
        <v>1346396.4753875709</v>
      </c>
      <c r="P24" s="116">
        <f t="shared" si="7"/>
        <v>1346396.4753875709</v>
      </c>
      <c r="Q24" s="116">
        <f t="shared" si="7"/>
        <v>1346396.4753875709</v>
      </c>
      <c r="R24" s="116">
        <f t="shared" si="7"/>
        <v>1346396.4753875709</v>
      </c>
      <c r="S24" s="116">
        <f t="shared" si="7"/>
        <v>1346396.4753875709</v>
      </c>
      <c r="T24" s="116">
        <f t="shared" si="7"/>
        <v>1346396.4753875709</v>
      </c>
      <c r="U24" s="116">
        <f t="shared" si="7"/>
        <v>1346396.4753875709</v>
      </c>
      <c r="V24" s="116">
        <f t="shared" si="7"/>
        <v>1346396.4753875709</v>
      </c>
      <c r="W24" s="116">
        <f t="shared" si="7"/>
        <v>1346396.4753875709</v>
      </c>
      <c r="X24" s="116">
        <f t="shared" si="7"/>
        <v>0</v>
      </c>
      <c r="Y24" s="116">
        <f t="shared" si="7"/>
        <v>1346396.4753875709</v>
      </c>
      <c r="Z24" s="116">
        <f t="shared" si="7"/>
        <v>0</v>
      </c>
      <c r="AA24" s="116">
        <f t="shared" si="7"/>
        <v>1346396.4753875709</v>
      </c>
      <c r="AB24" s="116">
        <f t="shared" si="7"/>
        <v>1346396.4753875709</v>
      </c>
      <c r="AC24" s="116">
        <f t="shared" si="7"/>
        <v>0</v>
      </c>
      <c r="AD24" s="116">
        <f t="shared" si="7"/>
        <v>1346396.4753875709</v>
      </c>
      <c r="AE24" s="116">
        <f t="shared" si="7"/>
        <v>1346396.4753875709</v>
      </c>
      <c r="AF24" s="116">
        <f t="shared" si="7"/>
        <v>1346396.4753875709</v>
      </c>
      <c r="AG24" s="116">
        <f t="shared" si="7"/>
        <v>1346396.4753875709</v>
      </c>
      <c r="AH24" s="116">
        <f t="shared" si="7"/>
        <v>1346396.4753875709</v>
      </c>
      <c r="AI24" s="116">
        <f t="shared" si="7"/>
        <v>1346396.4753875709</v>
      </c>
      <c r="AJ24" s="116">
        <f t="shared" si="7"/>
        <v>1346396.4753875709</v>
      </c>
      <c r="AK24" s="116">
        <f t="shared" si="7"/>
        <v>1346396.4753875709</v>
      </c>
      <c r="AL24" s="116">
        <f t="shared" si="7"/>
        <v>0</v>
      </c>
      <c r="AM24" s="116">
        <f t="shared" si="7"/>
        <v>1346396.4753875709</v>
      </c>
      <c r="AN24" s="116">
        <f t="shared" si="7"/>
        <v>1346396.4753875709</v>
      </c>
      <c r="AO24" s="116">
        <f t="shared" si="7"/>
        <v>1346396.4753875709</v>
      </c>
      <c r="AP24" s="116">
        <f t="shared" si="7"/>
        <v>0</v>
      </c>
      <c r="AQ24" s="116">
        <f t="shared" si="7"/>
        <v>1346396.4753875709</v>
      </c>
      <c r="AR24" s="116">
        <f t="shared" si="7"/>
        <v>1346396.4753875709</v>
      </c>
      <c r="AS24" s="116">
        <f t="shared" si="7"/>
        <v>1346396.4753875709</v>
      </c>
      <c r="AT24" s="116">
        <f t="shared" si="7"/>
        <v>1346396.4753875709</v>
      </c>
      <c r="AU24" s="116">
        <f t="shared" si="7"/>
        <v>1346396.4753875709</v>
      </c>
      <c r="AV24" s="116">
        <f t="shared" si="7"/>
        <v>1346396.4753875709</v>
      </c>
      <c r="AW24" s="116">
        <f t="shared" si="7"/>
        <v>0</v>
      </c>
      <c r="AX24" s="116">
        <f t="shared" si="7"/>
        <v>1346396.4753875709</v>
      </c>
      <c r="AY24" s="116">
        <f t="shared" si="7"/>
        <v>1346396.4753875709</v>
      </c>
      <c r="AZ24" s="151">
        <f t="shared" si="5"/>
        <v>54348661.575836331</v>
      </c>
    </row>
    <row r="25" spans="1:52" x14ac:dyDescent="0.2">
      <c r="C25" s="148"/>
      <c r="D25" s="148"/>
      <c r="E25" s="148"/>
      <c r="F25" s="148"/>
      <c r="G25" s="148"/>
      <c r="H25" s="148"/>
      <c r="I25" s="148"/>
      <c r="J25" s="148"/>
      <c r="K25" s="148"/>
      <c r="L25" s="148"/>
      <c r="M25" s="148"/>
      <c r="N25" s="148"/>
      <c r="O25" s="148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  <c r="AA25" s="148"/>
      <c r="AB25" s="148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  <c r="AW25" s="148"/>
      <c r="AX25" s="148"/>
      <c r="AY25" s="148"/>
      <c r="AZ25" s="116"/>
    </row>
    <row r="26" spans="1:52" x14ac:dyDescent="0.2">
      <c r="A26" s="173" t="s">
        <v>18</v>
      </c>
      <c r="C26" s="116"/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  <c r="AZ26" s="116"/>
    </row>
    <row r="27" spans="1:52" x14ac:dyDescent="0.2">
      <c r="B27" s="145" t="s">
        <v>311</v>
      </c>
      <c r="C27" s="134">
        <v>20</v>
      </c>
      <c r="D27" s="134">
        <f>C$27-C$28+C$29</f>
        <v>20</v>
      </c>
      <c r="E27" s="134">
        <f t="shared" ref="E27:AY27" si="8">D27-D28+D29</f>
        <v>0</v>
      </c>
      <c r="F27" s="134">
        <f t="shared" si="8"/>
        <v>20</v>
      </c>
      <c r="G27" s="134">
        <f t="shared" si="8"/>
        <v>0</v>
      </c>
      <c r="H27" s="134">
        <f t="shared" si="8"/>
        <v>20</v>
      </c>
      <c r="I27" s="134">
        <f t="shared" si="8"/>
        <v>0</v>
      </c>
      <c r="J27" s="134">
        <f t="shared" si="8"/>
        <v>20</v>
      </c>
      <c r="K27" s="134">
        <f t="shared" si="8"/>
        <v>0</v>
      </c>
      <c r="L27" s="134">
        <f t="shared" si="8"/>
        <v>20</v>
      </c>
      <c r="M27" s="134">
        <f t="shared" si="8"/>
        <v>0</v>
      </c>
      <c r="N27" s="134">
        <f t="shared" si="8"/>
        <v>20</v>
      </c>
      <c r="O27" s="134">
        <f t="shared" si="8"/>
        <v>0</v>
      </c>
      <c r="P27" s="134">
        <f t="shared" si="8"/>
        <v>20</v>
      </c>
      <c r="Q27" s="134">
        <f t="shared" si="8"/>
        <v>0</v>
      </c>
      <c r="R27" s="134">
        <f t="shared" si="8"/>
        <v>20</v>
      </c>
      <c r="S27" s="134">
        <f t="shared" si="8"/>
        <v>0</v>
      </c>
      <c r="T27" s="134">
        <f t="shared" si="8"/>
        <v>20</v>
      </c>
      <c r="U27" s="134">
        <f t="shared" si="8"/>
        <v>0</v>
      </c>
      <c r="V27" s="134">
        <f t="shared" si="8"/>
        <v>20</v>
      </c>
      <c r="W27" s="134">
        <f t="shared" si="8"/>
        <v>0</v>
      </c>
      <c r="X27" s="134">
        <f t="shared" si="8"/>
        <v>20</v>
      </c>
      <c r="Y27" s="134">
        <f t="shared" si="8"/>
        <v>20</v>
      </c>
      <c r="Z27" s="134">
        <f t="shared" si="8"/>
        <v>0</v>
      </c>
      <c r="AA27" s="134">
        <f t="shared" si="8"/>
        <v>20</v>
      </c>
      <c r="AB27" s="134">
        <f t="shared" si="8"/>
        <v>0</v>
      </c>
      <c r="AC27" s="134">
        <f t="shared" si="8"/>
        <v>20</v>
      </c>
      <c r="AD27" s="134">
        <f t="shared" si="8"/>
        <v>20</v>
      </c>
      <c r="AE27" s="134">
        <f t="shared" si="8"/>
        <v>0</v>
      </c>
      <c r="AF27" s="134">
        <f t="shared" si="8"/>
        <v>20</v>
      </c>
      <c r="AG27" s="134">
        <f t="shared" si="8"/>
        <v>0</v>
      </c>
      <c r="AH27" s="134">
        <f t="shared" si="8"/>
        <v>20</v>
      </c>
      <c r="AI27" s="134">
        <f t="shared" si="8"/>
        <v>0</v>
      </c>
      <c r="AJ27" s="134">
        <f t="shared" si="8"/>
        <v>20</v>
      </c>
      <c r="AK27" s="134">
        <f t="shared" si="8"/>
        <v>0</v>
      </c>
      <c r="AL27" s="134">
        <f t="shared" si="8"/>
        <v>20</v>
      </c>
      <c r="AM27" s="134">
        <f t="shared" si="8"/>
        <v>20</v>
      </c>
      <c r="AN27" s="134">
        <f t="shared" si="8"/>
        <v>0</v>
      </c>
      <c r="AO27" s="134">
        <f t="shared" si="8"/>
        <v>20</v>
      </c>
      <c r="AP27" s="134">
        <f t="shared" si="8"/>
        <v>0</v>
      </c>
      <c r="AQ27" s="134">
        <f t="shared" si="8"/>
        <v>20</v>
      </c>
      <c r="AR27" s="134">
        <f t="shared" si="8"/>
        <v>0</v>
      </c>
      <c r="AS27" s="134">
        <f t="shared" si="8"/>
        <v>20</v>
      </c>
      <c r="AT27" s="134">
        <f t="shared" si="8"/>
        <v>0</v>
      </c>
      <c r="AU27" s="134">
        <f t="shared" si="8"/>
        <v>20</v>
      </c>
      <c r="AV27" s="134">
        <f t="shared" si="8"/>
        <v>0</v>
      </c>
      <c r="AW27" s="134">
        <f t="shared" si="8"/>
        <v>20</v>
      </c>
      <c r="AX27" s="134">
        <f t="shared" si="8"/>
        <v>20</v>
      </c>
      <c r="AY27" s="174">
        <f t="shared" si="8"/>
        <v>0</v>
      </c>
      <c r="AZ27" s="116"/>
    </row>
    <row r="28" spans="1:52" x14ac:dyDescent="0.2">
      <c r="B28" s="175" t="s">
        <v>312</v>
      </c>
      <c r="C28" s="120">
        <v>0</v>
      </c>
      <c r="D28" s="120">
        <v>20</v>
      </c>
      <c r="E28" s="120">
        <v>0</v>
      </c>
      <c r="F28" s="120">
        <v>20</v>
      </c>
      <c r="G28" s="120">
        <v>0</v>
      </c>
      <c r="H28" s="120">
        <v>20</v>
      </c>
      <c r="I28" s="120">
        <v>0</v>
      </c>
      <c r="J28" s="120">
        <v>20</v>
      </c>
      <c r="K28" s="120">
        <v>0</v>
      </c>
      <c r="L28" s="120">
        <v>20</v>
      </c>
      <c r="M28" s="120">
        <v>0</v>
      </c>
      <c r="N28" s="120">
        <v>20</v>
      </c>
      <c r="O28" s="120">
        <v>0</v>
      </c>
      <c r="P28" s="120">
        <v>20</v>
      </c>
      <c r="Q28" s="120">
        <v>0</v>
      </c>
      <c r="R28" s="120">
        <v>20</v>
      </c>
      <c r="S28" s="120">
        <v>0</v>
      </c>
      <c r="T28" s="120">
        <v>20</v>
      </c>
      <c r="U28" s="120">
        <v>0</v>
      </c>
      <c r="V28" s="120">
        <v>20</v>
      </c>
      <c r="W28" s="120">
        <v>0</v>
      </c>
      <c r="X28" s="120">
        <v>0</v>
      </c>
      <c r="Y28" s="120">
        <v>20</v>
      </c>
      <c r="Z28" s="120">
        <v>0</v>
      </c>
      <c r="AA28" s="120">
        <v>20</v>
      </c>
      <c r="AB28" s="120">
        <v>0</v>
      </c>
      <c r="AC28" s="120">
        <v>0</v>
      </c>
      <c r="AD28" s="120">
        <v>20</v>
      </c>
      <c r="AE28" s="120">
        <v>0</v>
      </c>
      <c r="AF28" s="120">
        <v>20</v>
      </c>
      <c r="AG28" s="120">
        <v>0</v>
      </c>
      <c r="AH28" s="120">
        <v>20</v>
      </c>
      <c r="AI28" s="120">
        <v>0</v>
      </c>
      <c r="AJ28" s="120">
        <v>20</v>
      </c>
      <c r="AK28" s="120">
        <v>0</v>
      </c>
      <c r="AL28" s="120">
        <v>0</v>
      </c>
      <c r="AM28" s="120">
        <v>20</v>
      </c>
      <c r="AN28" s="120">
        <v>0</v>
      </c>
      <c r="AO28" s="120">
        <v>20</v>
      </c>
      <c r="AP28" s="120">
        <v>0</v>
      </c>
      <c r="AQ28" s="120">
        <v>20</v>
      </c>
      <c r="AR28" s="120">
        <v>0</v>
      </c>
      <c r="AS28" s="120">
        <v>20</v>
      </c>
      <c r="AT28" s="120">
        <v>0</v>
      </c>
      <c r="AU28" s="120">
        <v>20</v>
      </c>
      <c r="AV28" s="120">
        <v>0</v>
      </c>
      <c r="AW28" s="120">
        <v>0</v>
      </c>
      <c r="AX28" s="120">
        <v>20</v>
      </c>
      <c r="AY28" s="176">
        <v>0</v>
      </c>
      <c r="AZ28" s="116"/>
    </row>
    <row r="29" spans="1:52" x14ac:dyDescent="0.2">
      <c r="B29" s="146" t="s">
        <v>313</v>
      </c>
      <c r="C29" s="135">
        <v>0</v>
      </c>
      <c r="D29" s="135">
        <f>C$28</f>
        <v>0</v>
      </c>
      <c r="E29" s="135">
        <f t="shared" ref="E29:AY29" si="9">D$28</f>
        <v>20</v>
      </c>
      <c r="F29" s="135">
        <f t="shared" si="9"/>
        <v>0</v>
      </c>
      <c r="G29" s="135">
        <f t="shared" si="9"/>
        <v>20</v>
      </c>
      <c r="H29" s="135">
        <f t="shared" si="9"/>
        <v>0</v>
      </c>
      <c r="I29" s="135">
        <f t="shared" si="9"/>
        <v>20</v>
      </c>
      <c r="J29" s="135">
        <f t="shared" si="9"/>
        <v>0</v>
      </c>
      <c r="K29" s="135">
        <f t="shared" si="9"/>
        <v>20</v>
      </c>
      <c r="L29" s="135">
        <f t="shared" si="9"/>
        <v>0</v>
      </c>
      <c r="M29" s="135">
        <f t="shared" si="9"/>
        <v>20</v>
      </c>
      <c r="N29" s="135">
        <f t="shared" si="9"/>
        <v>0</v>
      </c>
      <c r="O29" s="135">
        <f t="shared" si="9"/>
        <v>20</v>
      </c>
      <c r="P29" s="135">
        <f t="shared" si="9"/>
        <v>0</v>
      </c>
      <c r="Q29" s="135">
        <f t="shared" si="9"/>
        <v>20</v>
      </c>
      <c r="R29" s="135">
        <f t="shared" si="9"/>
        <v>0</v>
      </c>
      <c r="S29" s="135">
        <f t="shared" si="9"/>
        <v>20</v>
      </c>
      <c r="T29" s="135">
        <f t="shared" si="9"/>
        <v>0</v>
      </c>
      <c r="U29" s="135">
        <f t="shared" si="9"/>
        <v>20</v>
      </c>
      <c r="V29" s="135">
        <f t="shared" si="9"/>
        <v>0</v>
      </c>
      <c r="W29" s="135">
        <f t="shared" si="9"/>
        <v>20</v>
      </c>
      <c r="X29" s="135">
        <f t="shared" si="9"/>
        <v>0</v>
      </c>
      <c r="Y29" s="135">
        <f t="shared" si="9"/>
        <v>0</v>
      </c>
      <c r="Z29" s="135">
        <f t="shared" si="9"/>
        <v>20</v>
      </c>
      <c r="AA29" s="135">
        <f t="shared" si="9"/>
        <v>0</v>
      </c>
      <c r="AB29" s="135">
        <f t="shared" si="9"/>
        <v>20</v>
      </c>
      <c r="AC29" s="135">
        <f t="shared" si="9"/>
        <v>0</v>
      </c>
      <c r="AD29" s="135">
        <f t="shared" si="9"/>
        <v>0</v>
      </c>
      <c r="AE29" s="135">
        <f t="shared" si="9"/>
        <v>20</v>
      </c>
      <c r="AF29" s="135">
        <f t="shared" si="9"/>
        <v>0</v>
      </c>
      <c r="AG29" s="135">
        <f t="shared" si="9"/>
        <v>20</v>
      </c>
      <c r="AH29" s="135">
        <f t="shared" si="9"/>
        <v>0</v>
      </c>
      <c r="AI29" s="135">
        <f t="shared" si="9"/>
        <v>20</v>
      </c>
      <c r="AJ29" s="135">
        <f t="shared" si="9"/>
        <v>0</v>
      </c>
      <c r="AK29" s="135">
        <f t="shared" si="9"/>
        <v>20</v>
      </c>
      <c r="AL29" s="135">
        <f t="shared" si="9"/>
        <v>0</v>
      </c>
      <c r="AM29" s="135">
        <f t="shared" si="9"/>
        <v>0</v>
      </c>
      <c r="AN29" s="135">
        <f t="shared" si="9"/>
        <v>20</v>
      </c>
      <c r="AO29" s="135">
        <f t="shared" si="9"/>
        <v>0</v>
      </c>
      <c r="AP29" s="135">
        <f t="shared" si="9"/>
        <v>20</v>
      </c>
      <c r="AQ29" s="135">
        <f t="shared" si="9"/>
        <v>0</v>
      </c>
      <c r="AR29" s="135">
        <f t="shared" si="9"/>
        <v>20</v>
      </c>
      <c r="AS29" s="135">
        <f t="shared" si="9"/>
        <v>0</v>
      </c>
      <c r="AT29" s="135">
        <f t="shared" si="9"/>
        <v>20</v>
      </c>
      <c r="AU29" s="135">
        <f t="shared" si="9"/>
        <v>0</v>
      </c>
      <c r="AV29" s="135">
        <f t="shared" si="9"/>
        <v>20</v>
      </c>
      <c r="AW29" s="135">
        <f t="shared" si="9"/>
        <v>0</v>
      </c>
      <c r="AX29" s="135">
        <f t="shared" si="9"/>
        <v>0</v>
      </c>
      <c r="AY29" s="177">
        <f t="shared" si="9"/>
        <v>20</v>
      </c>
      <c r="AZ29" s="178"/>
    </row>
    <row r="30" spans="1:52" x14ac:dyDescent="0.2">
      <c r="A30" s="179" t="s">
        <v>314</v>
      </c>
      <c r="B30" s="154">
        <v>10</v>
      </c>
      <c r="C30" s="127" t="s">
        <v>295</v>
      </c>
      <c r="D30" s="127">
        <f>D$27*$B$30</f>
        <v>200</v>
      </c>
      <c r="E30" s="127">
        <f t="shared" ref="E30:AY30" si="10">E$27*$B$30</f>
        <v>0</v>
      </c>
      <c r="F30" s="127">
        <f t="shared" si="10"/>
        <v>200</v>
      </c>
      <c r="G30" s="127">
        <f t="shared" si="10"/>
        <v>0</v>
      </c>
      <c r="H30" s="127">
        <f t="shared" si="10"/>
        <v>200</v>
      </c>
      <c r="I30" s="127">
        <f t="shared" si="10"/>
        <v>0</v>
      </c>
      <c r="J30" s="127">
        <f t="shared" si="10"/>
        <v>200</v>
      </c>
      <c r="K30" s="127">
        <f t="shared" si="10"/>
        <v>0</v>
      </c>
      <c r="L30" s="127">
        <f t="shared" si="10"/>
        <v>200</v>
      </c>
      <c r="M30" s="127">
        <f t="shared" si="10"/>
        <v>0</v>
      </c>
      <c r="N30" s="127">
        <f t="shared" si="10"/>
        <v>200</v>
      </c>
      <c r="O30" s="127">
        <f t="shared" si="10"/>
        <v>0</v>
      </c>
      <c r="P30" s="127">
        <f t="shared" si="10"/>
        <v>200</v>
      </c>
      <c r="Q30" s="127">
        <f t="shared" si="10"/>
        <v>0</v>
      </c>
      <c r="R30" s="127">
        <f>R$27*$B$30</f>
        <v>200</v>
      </c>
      <c r="S30" s="127">
        <f t="shared" si="10"/>
        <v>0</v>
      </c>
      <c r="T30" s="127">
        <f t="shared" si="10"/>
        <v>200</v>
      </c>
      <c r="U30" s="127">
        <f t="shared" si="10"/>
        <v>0</v>
      </c>
      <c r="V30" s="127">
        <f t="shared" si="10"/>
        <v>200</v>
      </c>
      <c r="W30" s="127">
        <f t="shared" si="10"/>
        <v>0</v>
      </c>
      <c r="X30" s="127">
        <f t="shared" si="10"/>
        <v>200</v>
      </c>
      <c r="Y30" s="127">
        <f t="shared" si="10"/>
        <v>200</v>
      </c>
      <c r="Z30" s="127">
        <f t="shared" si="10"/>
        <v>0</v>
      </c>
      <c r="AA30" s="127">
        <f t="shared" si="10"/>
        <v>200</v>
      </c>
      <c r="AB30" s="127">
        <f t="shared" si="10"/>
        <v>0</v>
      </c>
      <c r="AC30" s="127">
        <f t="shared" si="10"/>
        <v>200</v>
      </c>
      <c r="AD30" s="127">
        <f t="shared" si="10"/>
        <v>200</v>
      </c>
      <c r="AE30" s="127">
        <f>AE$27*$B$30</f>
        <v>0</v>
      </c>
      <c r="AF30" s="127">
        <f t="shared" si="10"/>
        <v>200</v>
      </c>
      <c r="AG30" s="127">
        <f t="shared" si="10"/>
        <v>0</v>
      </c>
      <c r="AH30" s="127">
        <f t="shared" si="10"/>
        <v>200</v>
      </c>
      <c r="AI30" s="127">
        <f t="shared" si="10"/>
        <v>0</v>
      </c>
      <c r="AJ30" s="127">
        <f t="shared" si="10"/>
        <v>200</v>
      </c>
      <c r="AK30" s="127">
        <f t="shared" si="10"/>
        <v>0</v>
      </c>
      <c r="AL30" s="127">
        <f t="shared" si="10"/>
        <v>200</v>
      </c>
      <c r="AM30" s="127">
        <f t="shared" si="10"/>
        <v>200</v>
      </c>
      <c r="AN30" s="127">
        <f t="shared" si="10"/>
        <v>0</v>
      </c>
      <c r="AO30" s="127">
        <f t="shared" si="10"/>
        <v>200</v>
      </c>
      <c r="AP30" s="127">
        <f t="shared" si="10"/>
        <v>0</v>
      </c>
      <c r="AQ30" s="127">
        <f t="shared" si="10"/>
        <v>200</v>
      </c>
      <c r="AR30" s="127">
        <f t="shared" si="10"/>
        <v>0</v>
      </c>
      <c r="AS30" s="127">
        <f t="shared" si="10"/>
        <v>200</v>
      </c>
      <c r="AT30" s="127">
        <f t="shared" si="10"/>
        <v>0</v>
      </c>
      <c r="AU30" s="127">
        <f t="shared" si="10"/>
        <v>200</v>
      </c>
      <c r="AV30" s="127">
        <f t="shared" si="10"/>
        <v>0</v>
      </c>
      <c r="AW30" s="127">
        <f t="shared" si="10"/>
        <v>200</v>
      </c>
      <c r="AX30" s="127">
        <f t="shared" si="10"/>
        <v>200</v>
      </c>
      <c r="AY30" s="127">
        <f t="shared" si="10"/>
        <v>0</v>
      </c>
      <c r="AZ30" s="151">
        <f t="shared" si="5"/>
        <v>5200</v>
      </c>
    </row>
    <row r="32" spans="1:52" x14ac:dyDescent="0.2">
      <c r="A32" s="112" t="s">
        <v>302</v>
      </c>
    </row>
    <row r="33" spans="1:52" x14ac:dyDescent="0.2">
      <c r="A33" s="145" t="s">
        <v>42</v>
      </c>
      <c r="B33" s="145" t="s">
        <v>343</v>
      </c>
      <c r="C33" s="134"/>
      <c r="D33" s="134">
        <f>D$21*shipping_manufacturing!$D$27/100</f>
        <v>102.807443734697</v>
      </c>
      <c r="E33" s="134">
        <f>E$21*shipping_manufacturing!$D$27/100</f>
        <v>280.88242844017594</v>
      </c>
      <c r="F33" s="134">
        <f>F$21*shipping_manufacturing!$D$27/100</f>
        <v>280.88242844017594</v>
      </c>
      <c r="G33" s="134">
        <f>G$21*shipping_manufacturing!$D$27/100</f>
        <v>280.88242844017594</v>
      </c>
      <c r="H33" s="134">
        <f>H$21*shipping_manufacturing!$D$27/100</f>
        <v>280.88242844017594</v>
      </c>
      <c r="I33" s="134">
        <f>I$21*shipping_manufacturing!$D$27/100</f>
        <v>280.88242844017594</v>
      </c>
      <c r="J33" s="134">
        <f>J$21*shipping_manufacturing!$D$27/100</f>
        <v>280.88242844017594</v>
      </c>
      <c r="K33" s="134">
        <f>K$21*shipping_manufacturing!$D$27/100</f>
        <v>0</v>
      </c>
      <c r="L33" s="134">
        <f>L$21*shipping_manufacturing!$D$27/100</f>
        <v>280.88242844017594</v>
      </c>
      <c r="M33" s="134">
        <f>M$21*shipping_manufacturing!$D$27/100</f>
        <v>280.88242844017594</v>
      </c>
      <c r="N33" s="134">
        <f>N$21*shipping_manufacturing!$D$27/100</f>
        <v>280.88242844017594</v>
      </c>
      <c r="O33" s="134">
        <f>O$21*shipping_manufacturing!$D$27/100</f>
        <v>280.88242844017594</v>
      </c>
      <c r="P33" s="134">
        <f>P$21*shipping_manufacturing!$D$27/100</f>
        <v>280.88242844017594</v>
      </c>
      <c r="Q33" s="134">
        <f>Q$21*shipping_manufacturing!$D$27/100</f>
        <v>280.88242844017594</v>
      </c>
      <c r="R33" s="134">
        <f>R$21*shipping_manufacturing!$D$27/100</f>
        <v>280.88242844017594</v>
      </c>
      <c r="S33" s="134">
        <f>S$21*shipping_manufacturing!$D$27/100</f>
        <v>280.88242844017594</v>
      </c>
      <c r="T33" s="134">
        <f>T$21*shipping_manufacturing!$D$27/100</f>
        <v>280.88242844017594</v>
      </c>
      <c r="U33" s="134">
        <f>U$21*shipping_manufacturing!$D$27/100</f>
        <v>280.88242844017594</v>
      </c>
      <c r="V33" s="134">
        <f>V$21*shipping_manufacturing!$D$27/100</f>
        <v>280.88242844017594</v>
      </c>
      <c r="W33" s="134">
        <f>W$21*shipping_manufacturing!$D$27/100</f>
        <v>280.88242844017594</v>
      </c>
      <c r="X33" s="134">
        <f>X$21*shipping_manufacturing!$D$27/100</f>
        <v>0</v>
      </c>
      <c r="Y33" s="134">
        <f>Y$21*shipping_manufacturing!$D$27/100</f>
        <v>280.88242844017594</v>
      </c>
      <c r="Z33" s="134">
        <f>Z$21*shipping_manufacturing!$D$27/100</f>
        <v>0</v>
      </c>
      <c r="AA33" s="134">
        <f>AA$21*shipping_manufacturing!$D$27/100</f>
        <v>280.88242844017594</v>
      </c>
      <c r="AB33" s="134">
        <f>AB$21*shipping_manufacturing!$D$27/100</f>
        <v>280.88242844017594</v>
      </c>
      <c r="AC33" s="134">
        <f>AC$21*shipping_manufacturing!$D$27/100</f>
        <v>0</v>
      </c>
      <c r="AD33" s="134">
        <f>AD$21*shipping_manufacturing!$D$27/100</f>
        <v>280.88242844017594</v>
      </c>
      <c r="AE33" s="134">
        <f>AE$21*shipping_manufacturing!$D$27/100</f>
        <v>280.88242844017594</v>
      </c>
      <c r="AF33" s="134">
        <f>AF$21*shipping_manufacturing!$D$27/100</f>
        <v>280.88242844017594</v>
      </c>
      <c r="AG33" s="134">
        <f>AG$21*shipping_manufacturing!$D$27/100</f>
        <v>280.88242844017594</v>
      </c>
      <c r="AH33" s="134">
        <f>AH$21*shipping_manufacturing!$D$27/100</f>
        <v>280.88242844017594</v>
      </c>
      <c r="AI33" s="134">
        <f>AI$21*shipping_manufacturing!$D$27/100</f>
        <v>280.88242844017594</v>
      </c>
      <c r="AJ33" s="134">
        <f>AJ$21*shipping_manufacturing!$D$27/100</f>
        <v>280.88242844017594</v>
      </c>
      <c r="AK33" s="134">
        <f>AK$21*shipping_manufacturing!$D$27/100</f>
        <v>280.88242844017594</v>
      </c>
      <c r="AL33" s="134">
        <f>AL$21*shipping_manufacturing!$D$27/100</f>
        <v>0</v>
      </c>
      <c r="AM33" s="134">
        <f>AM$21*shipping_manufacturing!$D$27/100</f>
        <v>280.88242844017594</v>
      </c>
      <c r="AN33" s="134">
        <f>AN$21*shipping_manufacturing!$D$27/100</f>
        <v>280.88242844017594</v>
      </c>
      <c r="AO33" s="134">
        <f>AO$21*shipping_manufacturing!$D$27/100</f>
        <v>280.88242844017594</v>
      </c>
      <c r="AP33" s="134">
        <f>AP$21*shipping_manufacturing!$D$27/100</f>
        <v>0</v>
      </c>
      <c r="AQ33" s="134">
        <f>AQ$21*shipping_manufacturing!$D$27/100</f>
        <v>280.88242844017594</v>
      </c>
      <c r="AR33" s="134">
        <f>AR$21*shipping_manufacturing!$D$27/100</f>
        <v>280.88242844017594</v>
      </c>
      <c r="AS33" s="134">
        <f>AS$21*shipping_manufacturing!$D$27/100</f>
        <v>280.88242844017594</v>
      </c>
      <c r="AT33" s="134">
        <f>AT$21*shipping_manufacturing!$D$27/100</f>
        <v>280.88242844017594</v>
      </c>
      <c r="AU33" s="134">
        <f>AU$21*shipping_manufacturing!$D$27/100</f>
        <v>280.88242844017594</v>
      </c>
      <c r="AV33" s="134">
        <f>AV$21*shipping_manufacturing!$D$27/100</f>
        <v>280.88242844017594</v>
      </c>
      <c r="AW33" s="134">
        <f>AW$21*shipping_manufacturing!$D$27/100</f>
        <v>0</v>
      </c>
      <c r="AX33" s="134">
        <f>AX$21*shipping_manufacturing!$D$27/100</f>
        <v>280.88242844017594</v>
      </c>
      <c r="AY33" s="134">
        <f>AY$21*shipping_manufacturing!$D$27/100</f>
        <v>280.88242844017594</v>
      </c>
    </row>
    <row r="34" spans="1:52" x14ac:dyDescent="0.2">
      <c r="A34" s="123" t="s">
        <v>342</v>
      </c>
      <c r="B34" s="175" t="s">
        <v>344</v>
      </c>
      <c r="C34" s="120"/>
      <c r="D34" s="120">
        <f>D$22*shipping_manufacturing!$E$27/100</f>
        <v>135.91584105906747</v>
      </c>
      <c r="E34" s="120">
        <f>E$22*shipping_manufacturing!$E$27/100</f>
        <v>371.33859293960353</v>
      </c>
      <c r="F34" s="120">
        <f>F$22*shipping_manufacturing!$E$27/100</f>
        <v>371.33859293960353</v>
      </c>
      <c r="G34" s="120">
        <f>G$22*shipping_manufacturing!$E$27/100</f>
        <v>371.33859293960353</v>
      </c>
      <c r="H34" s="120">
        <f>H$22*shipping_manufacturing!$E$27/100</f>
        <v>371.33859293960353</v>
      </c>
      <c r="I34" s="120">
        <f>I$22*shipping_manufacturing!$E$27/100</f>
        <v>371.33859293960353</v>
      </c>
      <c r="J34" s="120">
        <f>J$22*shipping_manufacturing!$E$27/100</f>
        <v>371.33859293960353</v>
      </c>
      <c r="K34" s="120">
        <f>K$22*shipping_manufacturing!$E$27/100</f>
        <v>0</v>
      </c>
      <c r="L34" s="120">
        <f>L$22*shipping_manufacturing!$E$27/100</f>
        <v>371.33859293960353</v>
      </c>
      <c r="M34" s="120">
        <f>M$22*shipping_manufacturing!$E$27/100</f>
        <v>371.33859293960353</v>
      </c>
      <c r="N34" s="120">
        <f>N$22*shipping_manufacturing!$E$27/100</f>
        <v>371.33859293960353</v>
      </c>
      <c r="O34" s="120">
        <f>O$22*shipping_manufacturing!$E$27/100</f>
        <v>371.33859293960353</v>
      </c>
      <c r="P34" s="120">
        <f>P$22*shipping_manufacturing!$E$27/100</f>
        <v>371.33859293960353</v>
      </c>
      <c r="Q34" s="120">
        <f>Q$22*shipping_manufacturing!$E$27/100</f>
        <v>371.33859293960353</v>
      </c>
      <c r="R34" s="120">
        <f>R$22*shipping_manufacturing!$E$27/100</f>
        <v>371.33859293960353</v>
      </c>
      <c r="S34" s="120">
        <f>S$22*shipping_manufacturing!$E$27/100</f>
        <v>371.33859293960353</v>
      </c>
      <c r="T34" s="120">
        <f>T$22*shipping_manufacturing!$E$27/100</f>
        <v>371.33859293960353</v>
      </c>
      <c r="U34" s="120">
        <f>U$22*shipping_manufacturing!$E$27/100</f>
        <v>371.33859293960353</v>
      </c>
      <c r="V34" s="120">
        <f>V$22*shipping_manufacturing!$E$27/100</f>
        <v>371.33859293960353</v>
      </c>
      <c r="W34" s="120">
        <f>W$22*shipping_manufacturing!$E$27/100</f>
        <v>371.33859293960353</v>
      </c>
      <c r="X34" s="120">
        <f>X$22*shipping_manufacturing!$E$27/100</f>
        <v>0</v>
      </c>
      <c r="Y34" s="120">
        <f>Y$22*shipping_manufacturing!$E$27/100</f>
        <v>371.33859293960353</v>
      </c>
      <c r="Z34" s="120">
        <f>Z$22*shipping_manufacturing!$E$27/100</f>
        <v>0</v>
      </c>
      <c r="AA34" s="120">
        <f>AA$22*shipping_manufacturing!$E$27/100</f>
        <v>371.33859293960353</v>
      </c>
      <c r="AB34" s="120">
        <f>AB$22*shipping_manufacturing!$E$27/100</f>
        <v>371.33859293960353</v>
      </c>
      <c r="AC34" s="120">
        <f>AC$22*shipping_manufacturing!$E$27/100</f>
        <v>0</v>
      </c>
      <c r="AD34" s="120">
        <f>AD$22*shipping_manufacturing!$E$27/100</f>
        <v>371.33859293960353</v>
      </c>
      <c r="AE34" s="120">
        <f>AE$22*shipping_manufacturing!$E$27/100</f>
        <v>371.33859293960353</v>
      </c>
      <c r="AF34" s="120">
        <f>AF$22*shipping_manufacturing!$E$27/100</f>
        <v>371.33859293960353</v>
      </c>
      <c r="AG34" s="120">
        <f>AG$22*shipping_manufacturing!$E$27/100</f>
        <v>371.33859293960353</v>
      </c>
      <c r="AH34" s="120">
        <f>AH$22*shipping_manufacturing!$E$27/100</f>
        <v>371.33859293960353</v>
      </c>
      <c r="AI34" s="120">
        <f>AI$22*shipping_manufacturing!$E$27/100</f>
        <v>371.33859293960353</v>
      </c>
      <c r="AJ34" s="120">
        <f>AJ$22*shipping_manufacturing!$E$27/100</f>
        <v>371.33859293960353</v>
      </c>
      <c r="AK34" s="120">
        <f>AK$22*shipping_manufacturing!$E$27/100</f>
        <v>371.33859293960353</v>
      </c>
      <c r="AL34" s="120">
        <f>AL$22*shipping_manufacturing!$E$27/100</f>
        <v>0</v>
      </c>
      <c r="AM34" s="120">
        <f>AM$22*shipping_manufacturing!$E$27/100</f>
        <v>371.33859293960353</v>
      </c>
      <c r="AN34" s="120">
        <f>AN$22*shipping_manufacturing!$E$27/100</f>
        <v>371.33859293960353</v>
      </c>
      <c r="AO34" s="120">
        <f>AO$22*shipping_manufacturing!$E$27/100</f>
        <v>371.33859293960353</v>
      </c>
      <c r="AP34" s="120">
        <f>AP$22*shipping_manufacturing!$E$27/100</f>
        <v>0</v>
      </c>
      <c r="AQ34" s="120">
        <f>AQ$22*shipping_manufacturing!$E$27/100</f>
        <v>371.33859293960353</v>
      </c>
      <c r="AR34" s="120">
        <f>AR$22*shipping_manufacturing!$E$27/100</f>
        <v>371.33859293960353</v>
      </c>
      <c r="AS34" s="120">
        <f>AS$22*shipping_manufacturing!$E$27/100</f>
        <v>371.33859293960353</v>
      </c>
      <c r="AT34" s="120">
        <f>AT$22*shipping_manufacturing!$E$27/100</f>
        <v>371.33859293960353</v>
      </c>
      <c r="AU34" s="120">
        <f>AU$22*shipping_manufacturing!$E$27/100</f>
        <v>371.33859293960353</v>
      </c>
      <c r="AV34" s="120">
        <f>AV$22*shipping_manufacturing!$E$27/100</f>
        <v>371.33859293960353</v>
      </c>
      <c r="AW34" s="120">
        <f>AW$22*shipping_manufacturing!$E$27/100</f>
        <v>0</v>
      </c>
      <c r="AX34" s="120">
        <f>AX$22*shipping_manufacturing!$E$27/100</f>
        <v>371.33859293960353</v>
      </c>
      <c r="AY34" s="120">
        <f>AY$22*shipping_manufacturing!$E$27/100</f>
        <v>371.33859293960353</v>
      </c>
    </row>
    <row r="35" spans="1:52" x14ac:dyDescent="0.2">
      <c r="A35" s="120">
        <v>620</v>
      </c>
      <c r="B35" s="175" t="s">
        <v>345</v>
      </c>
      <c r="C35" s="120"/>
      <c r="D35" s="120">
        <f>SUM(D33:D34)</f>
        <v>238.72328479376449</v>
      </c>
      <c r="E35" s="120">
        <f t="shared" ref="E35:AY35" si="11">SUM(E33:E34)</f>
        <v>652.22102137977947</v>
      </c>
      <c r="F35" s="120">
        <f t="shared" si="11"/>
        <v>652.22102137977947</v>
      </c>
      <c r="G35" s="120">
        <f t="shared" si="11"/>
        <v>652.22102137977947</v>
      </c>
      <c r="H35" s="120">
        <f t="shared" si="11"/>
        <v>652.22102137977947</v>
      </c>
      <c r="I35" s="120">
        <f t="shared" si="11"/>
        <v>652.22102137977947</v>
      </c>
      <c r="J35" s="120">
        <f t="shared" si="11"/>
        <v>652.22102137977947</v>
      </c>
      <c r="K35" s="120">
        <f t="shared" si="11"/>
        <v>0</v>
      </c>
      <c r="L35" s="120">
        <f t="shared" si="11"/>
        <v>652.22102137977947</v>
      </c>
      <c r="M35" s="120">
        <f t="shared" si="11"/>
        <v>652.22102137977947</v>
      </c>
      <c r="N35" s="120">
        <f t="shared" si="11"/>
        <v>652.22102137977947</v>
      </c>
      <c r="O35" s="120">
        <f t="shared" si="11"/>
        <v>652.22102137977947</v>
      </c>
      <c r="P35" s="120">
        <f t="shared" si="11"/>
        <v>652.22102137977947</v>
      </c>
      <c r="Q35" s="120">
        <f t="shared" si="11"/>
        <v>652.22102137977947</v>
      </c>
      <c r="R35" s="120">
        <f t="shared" si="11"/>
        <v>652.22102137977947</v>
      </c>
      <c r="S35" s="120">
        <f t="shared" si="11"/>
        <v>652.22102137977947</v>
      </c>
      <c r="T35" s="120">
        <f t="shared" si="11"/>
        <v>652.22102137977947</v>
      </c>
      <c r="U35" s="120">
        <f t="shared" si="11"/>
        <v>652.22102137977947</v>
      </c>
      <c r="V35" s="120">
        <f t="shared" si="11"/>
        <v>652.22102137977947</v>
      </c>
      <c r="W35" s="120">
        <f t="shared" si="11"/>
        <v>652.22102137977947</v>
      </c>
      <c r="X35" s="120">
        <f t="shared" si="11"/>
        <v>0</v>
      </c>
      <c r="Y35" s="120">
        <f t="shared" si="11"/>
        <v>652.22102137977947</v>
      </c>
      <c r="Z35" s="120">
        <f t="shared" si="11"/>
        <v>0</v>
      </c>
      <c r="AA35" s="120">
        <f t="shared" si="11"/>
        <v>652.22102137977947</v>
      </c>
      <c r="AB35" s="120">
        <f t="shared" si="11"/>
        <v>652.22102137977947</v>
      </c>
      <c r="AC35" s="120">
        <f t="shared" si="11"/>
        <v>0</v>
      </c>
      <c r="AD35" s="120">
        <f t="shared" si="11"/>
        <v>652.22102137977947</v>
      </c>
      <c r="AE35" s="120">
        <f t="shared" si="11"/>
        <v>652.22102137977947</v>
      </c>
      <c r="AF35" s="120">
        <f t="shared" si="11"/>
        <v>652.22102137977947</v>
      </c>
      <c r="AG35" s="120">
        <f t="shared" si="11"/>
        <v>652.22102137977947</v>
      </c>
      <c r="AH35" s="120">
        <f t="shared" si="11"/>
        <v>652.22102137977947</v>
      </c>
      <c r="AI35" s="120">
        <f t="shared" si="11"/>
        <v>652.22102137977947</v>
      </c>
      <c r="AJ35" s="120">
        <f t="shared" si="11"/>
        <v>652.22102137977947</v>
      </c>
      <c r="AK35" s="120">
        <f t="shared" si="11"/>
        <v>652.22102137977947</v>
      </c>
      <c r="AL35" s="120">
        <f t="shared" si="11"/>
        <v>0</v>
      </c>
      <c r="AM35" s="120">
        <f t="shared" si="11"/>
        <v>652.22102137977947</v>
      </c>
      <c r="AN35" s="120">
        <f t="shared" si="11"/>
        <v>652.22102137977947</v>
      </c>
      <c r="AO35" s="120">
        <f t="shared" si="11"/>
        <v>652.22102137977947</v>
      </c>
      <c r="AP35" s="120">
        <f t="shared" si="11"/>
        <v>0</v>
      </c>
      <c r="AQ35" s="120">
        <f t="shared" si="11"/>
        <v>652.22102137977947</v>
      </c>
      <c r="AR35" s="120">
        <f t="shared" si="11"/>
        <v>652.22102137977947</v>
      </c>
      <c r="AS35" s="120">
        <f t="shared" si="11"/>
        <v>652.22102137977947</v>
      </c>
      <c r="AT35" s="120">
        <f t="shared" si="11"/>
        <v>652.22102137977947</v>
      </c>
      <c r="AU35" s="120">
        <f t="shared" si="11"/>
        <v>652.22102137977947</v>
      </c>
      <c r="AV35" s="120">
        <f t="shared" si="11"/>
        <v>652.22102137977947</v>
      </c>
      <c r="AW35" s="120">
        <f t="shared" si="11"/>
        <v>0</v>
      </c>
      <c r="AX35" s="120">
        <f t="shared" si="11"/>
        <v>652.22102137977947</v>
      </c>
      <c r="AY35" s="120">
        <f t="shared" si="11"/>
        <v>652.22102137977947</v>
      </c>
    </row>
    <row r="36" spans="1:52" x14ac:dyDescent="0.2">
      <c r="A36" s="120"/>
      <c r="B36" s="175" t="s">
        <v>346</v>
      </c>
      <c r="C36" s="120"/>
      <c r="D36" s="120">
        <v>102.807443734697</v>
      </c>
      <c r="E36" s="120"/>
      <c r="F36" s="120">
        <v>77.517950912213749</v>
      </c>
      <c r="G36" s="120"/>
      <c r="H36" s="120">
        <v>77.517950912213749</v>
      </c>
      <c r="I36" s="120"/>
      <c r="J36" s="120">
        <v>77.517950912213749</v>
      </c>
      <c r="K36" s="120"/>
      <c r="L36" s="120">
        <v>77.517950912213749</v>
      </c>
      <c r="M36" s="120"/>
      <c r="N36" s="120">
        <v>77.517950912213749</v>
      </c>
      <c r="O36" s="120"/>
      <c r="P36" s="120">
        <v>77.517950912213749</v>
      </c>
      <c r="Q36" s="120"/>
      <c r="R36" s="120">
        <v>77.517950912213749</v>
      </c>
      <c r="S36" s="120"/>
      <c r="T36" s="120">
        <v>77.517950912213749</v>
      </c>
      <c r="U36" s="120"/>
      <c r="V36" s="120">
        <v>77.517950912213749</v>
      </c>
      <c r="W36" s="120"/>
      <c r="X36" s="120"/>
      <c r="Y36" s="120">
        <v>77.517950912213749</v>
      </c>
      <c r="Z36" s="120"/>
      <c r="AA36" s="120">
        <v>77.517950912213749</v>
      </c>
      <c r="AB36" s="120"/>
      <c r="AC36" s="120"/>
      <c r="AD36" s="120">
        <v>77.517950912213749</v>
      </c>
      <c r="AE36" s="120"/>
      <c r="AF36" s="120">
        <v>77.517950912213749</v>
      </c>
      <c r="AG36" s="120"/>
      <c r="AH36" s="120">
        <v>77.517950912213749</v>
      </c>
      <c r="AI36" s="120"/>
      <c r="AJ36" s="120">
        <v>77.517950912213749</v>
      </c>
      <c r="AK36" s="120"/>
      <c r="AL36" s="120"/>
      <c r="AM36" s="120">
        <v>77.517950912213749</v>
      </c>
      <c r="AN36" s="120"/>
      <c r="AO36" s="120">
        <v>77.517950912213749</v>
      </c>
      <c r="AP36" s="120"/>
      <c r="AQ36" s="120">
        <v>77.517950912213749</v>
      </c>
      <c r="AR36" s="120"/>
      <c r="AS36" s="120">
        <v>77.517950912213749</v>
      </c>
      <c r="AT36" s="120"/>
      <c r="AU36" s="120">
        <v>77.517950912213749</v>
      </c>
      <c r="AV36" s="120"/>
      <c r="AW36" s="120"/>
      <c r="AX36" s="120">
        <v>77.517950912213749</v>
      </c>
      <c r="AY36" s="120"/>
    </row>
    <row r="37" spans="1:52" x14ac:dyDescent="0.2">
      <c r="A37" s="120"/>
      <c r="B37" s="175" t="s">
        <v>347</v>
      </c>
      <c r="C37" s="120"/>
      <c r="D37" s="120">
        <v>135.91584105906747</v>
      </c>
      <c r="E37" s="120"/>
      <c r="F37" s="120">
        <v>102.48204908778625</v>
      </c>
      <c r="G37" s="120"/>
      <c r="H37" s="120">
        <v>102.48204908778625</v>
      </c>
      <c r="I37" s="120"/>
      <c r="J37" s="120">
        <v>102.48204908778625</v>
      </c>
      <c r="K37" s="120"/>
      <c r="L37" s="120">
        <v>102.48204908778625</v>
      </c>
      <c r="M37" s="120"/>
      <c r="N37" s="120">
        <v>102.48204908778625</v>
      </c>
      <c r="O37" s="120"/>
      <c r="P37" s="120">
        <v>102.48204908778625</v>
      </c>
      <c r="Q37" s="120"/>
      <c r="R37" s="120">
        <v>102.48204908778625</v>
      </c>
      <c r="S37" s="120"/>
      <c r="T37" s="120">
        <v>102.48204908778625</v>
      </c>
      <c r="U37" s="120"/>
      <c r="V37" s="120">
        <v>102.48204908778625</v>
      </c>
      <c r="W37" s="120"/>
      <c r="X37" s="120"/>
      <c r="Y37" s="120">
        <v>102.48204908778625</v>
      </c>
      <c r="Z37" s="120"/>
      <c r="AA37" s="120">
        <v>102.48204908778625</v>
      </c>
      <c r="AB37" s="120"/>
      <c r="AC37" s="120"/>
      <c r="AD37" s="120">
        <v>102.48204908778625</v>
      </c>
      <c r="AE37" s="120"/>
      <c r="AF37" s="120">
        <v>102.48204908778625</v>
      </c>
      <c r="AG37" s="120"/>
      <c r="AH37" s="120">
        <v>102.48204908778625</v>
      </c>
      <c r="AI37" s="120"/>
      <c r="AJ37" s="120">
        <v>102.48204908778625</v>
      </c>
      <c r="AK37" s="120"/>
      <c r="AL37" s="120"/>
      <c r="AM37" s="120">
        <v>102.48204908778625</v>
      </c>
      <c r="AN37" s="120"/>
      <c r="AO37" s="120">
        <v>102.48204908778625</v>
      </c>
      <c r="AP37" s="120"/>
      <c r="AQ37" s="120">
        <v>102.48204908778625</v>
      </c>
      <c r="AR37" s="120"/>
      <c r="AS37" s="120">
        <v>102.48204908778625</v>
      </c>
      <c r="AT37" s="120"/>
      <c r="AU37" s="120">
        <v>102.48204908778625</v>
      </c>
      <c r="AV37" s="120"/>
      <c r="AW37" s="120"/>
      <c r="AX37" s="120">
        <v>102.48204908778625</v>
      </c>
      <c r="AY37" s="120"/>
    </row>
    <row r="38" spans="1:52" x14ac:dyDescent="0.2">
      <c r="A38" s="120"/>
      <c r="B38" s="175" t="s">
        <v>348</v>
      </c>
      <c r="C38" s="120"/>
      <c r="D38" s="120">
        <v>8</v>
      </c>
      <c r="E38" s="120"/>
      <c r="F38" s="120">
        <v>6</v>
      </c>
      <c r="G38" s="120"/>
      <c r="H38" s="120">
        <v>6</v>
      </c>
      <c r="I38" s="120"/>
      <c r="J38" s="120">
        <v>6</v>
      </c>
      <c r="K38" s="120"/>
      <c r="L38" s="120">
        <v>6</v>
      </c>
      <c r="M38" s="120"/>
      <c r="N38" s="120">
        <v>6</v>
      </c>
      <c r="O38" s="120"/>
      <c r="P38" s="120">
        <v>6</v>
      </c>
      <c r="Q38" s="120"/>
      <c r="R38" s="120">
        <v>6</v>
      </c>
      <c r="S38" s="120"/>
      <c r="T38" s="120">
        <v>6</v>
      </c>
      <c r="U38" s="120"/>
      <c r="V38" s="120">
        <v>6</v>
      </c>
      <c r="W38" s="120"/>
      <c r="X38" s="120"/>
      <c r="Y38" s="120">
        <v>6</v>
      </c>
      <c r="Z38" s="120"/>
      <c r="AA38" s="120">
        <v>6</v>
      </c>
      <c r="AB38" s="120"/>
      <c r="AC38" s="120"/>
      <c r="AD38" s="120">
        <v>6</v>
      </c>
      <c r="AE38" s="120"/>
      <c r="AF38" s="120">
        <v>6</v>
      </c>
      <c r="AG38" s="120"/>
      <c r="AH38" s="120">
        <v>6</v>
      </c>
      <c r="AI38" s="120"/>
      <c r="AJ38" s="120">
        <v>6</v>
      </c>
      <c r="AK38" s="120"/>
      <c r="AL38" s="120"/>
      <c r="AM38" s="120">
        <v>6</v>
      </c>
      <c r="AN38" s="120"/>
      <c r="AO38" s="120">
        <v>6</v>
      </c>
      <c r="AP38" s="120"/>
      <c r="AQ38" s="120">
        <v>6</v>
      </c>
      <c r="AR38" s="120"/>
      <c r="AS38" s="120">
        <v>6</v>
      </c>
      <c r="AT38" s="120"/>
      <c r="AU38" s="120">
        <v>6</v>
      </c>
      <c r="AV38" s="120"/>
      <c r="AW38" s="120"/>
      <c r="AX38" s="120">
        <v>6</v>
      </c>
      <c r="AY38" s="120"/>
    </row>
    <row r="39" spans="1:52" x14ac:dyDescent="0.2">
      <c r="A39" s="120"/>
      <c r="B39" s="175" t="s">
        <v>349</v>
      </c>
      <c r="C39" s="120"/>
      <c r="D39" s="120">
        <f>D33-D36</f>
        <v>0</v>
      </c>
      <c r="E39" s="120">
        <f t="shared" ref="E39:AY39" si="12">E33-E36</f>
        <v>280.88242844017594</v>
      </c>
      <c r="F39" s="120">
        <f t="shared" si="12"/>
        <v>203.36447752796221</v>
      </c>
      <c r="G39" s="120">
        <f t="shared" si="12"/>
        <v>280.88242844017594</v>
      </c>
      <c r="H39" s="120">
        <f t="shared" si="12"/>
        <v>203.36447752796221</v>
      </c>
      <c r="I39" s="120">
        <f t="shared" si="12"/>
        <v>280.88242844017594</v>
      </c>
      <c r="J39" s="120">
        <f t="shared" si="12"/>
        <v>203.36447752796221</v>
      </c>
      <c r="K39" s="120">
        <f t="shared" si="12"/>
        <v>0</v>
      </c>
      <c r="L39" s="120">
        <f t="shared" si="12"/>
        <v>203.36447752796221</v>
      </c>
      <c r="M39" s="120">
        <f t="shared" si="12"/>
        <v>280.88242844017594</v>
      </c>
      <c r="N39" s="120">
        <f t="shared" si="12"/>
        <v>203.36447752796221</v>
      </c>
      <c r="O39" s="120">
        <f t="shared" si="12"/>
        <v>280.88242844017594</v>
      </c>
      <c r="P39" s="120">
        <f t="shared" si="12"/>
        <v>203.36447752796221</v>
      </c>
      <c r="Q39" s="120">
        <f t="shared" si="12"/>
        <v>280.88242844017594</v>
      </c>
      <c r="R39" s="120">
        <f t="shared" si="12"/>
        <v>203.36447752796221</v>
      </c>
      <c r="S39" s="120">
        <f t="shared" si="12"/>
        <v>280.88242844017594</v>
      </c>
      <c r="T39" s="120">
        <f t="shared" si="12"/>
        <v>203.36447752796221</v>
      </c>
      <c r="U39" s="120">
        <f t="shared" si="12"/>
        <v>280.88242844017594</v>
      </c>
      <c r="V39" s="120">
        <f t="shared" si="12"/>
        <v>203.36447752796221</v>
      </c>
      <c r="W39" s="120">
        <f t="shared" si="12"/>
        <v>280.88242844017594</v>
      </c>
      <c r="X39" s="120">
        <f t="shared" si="12"/>
        <v>0</v>
      </c>
      <c r="Y39" s="120">
        <f t="shared" si="12"/>
        <v>203.36447752796221</v>
      </c>
      <c r="Z39" s="120">
        <f t="shared" si="12"/>
        <v>0</v>
      </c>
      <c r="AA39" s="120">
        <f t="shared" si="12"/>
        <v>203.36447752796221</v>
      </c>
      <c r="AB39" s="120">
        <f t="shared" si="12"/>
        <v>280.88242844017594</v>
      </c>
      <c r="AC39" s="120">
        <f t="shared" si="12"/>
        <v>0</v>
      </c>
      <c r="AD39" s="120">
        <f t="shared" si="12"/>
        <v>203.36447752796221</v>
      </c>
      <c r="AE39" s="120">
        <f t="shared" si="12"/>
        <v>280.88242844017594</v>
      </c>
      <c r="AF39" s="120">
        <f t="shared" si="12"/>
        <v>203.36447752796221</v>
      </c>
      <c r="AG39" s="120">
        <f t="shared" si="12"/>
        <v>280.88242844017594</v>
      </c>
      <c r="AH39" s="120">
        <f t="shared" si="12"/>
        <v>203.36447752796221</v>
      </c>
      <c r="AI39" s="120">
        <f t="shared" si="12"/>
        <v>280.88242844017594</v>
      </c>
      <c r="AJ39" s="120">
        <f t="shared" si="12"/>
        <v>203.36447752796221</v>
      </c>
      <c r="AK39" s="120">
        <f t="shared" si="12"/>
        <v>280.88242844017594</v>
      </c>
      <c r="AL39" s="120">
        <f t="shared" si="12"/>
        <v>0</v>
      </c>
      <c r="AM39" s="120">
        <f t="shared" si="12"/>
        <v>203.36447752796221</v>
      </c>
      <c r="AN39" s="120">
        <f t="shared" si="12"/>
        <v>280.88242844017594</v>
      </c>
      <c r="AO39" s="120">
        <f t="shared" si="12"/>
        <v>203.36447752796221</v>
      </c>
      <c r="AP39" s="120">
        <f t="shared" si="12"/>
        <v>0</v>
      </c>
      <c r="AQ39" s="120">
        <f t="shared" si="12"/>
        <v>203.36447752796221</v>
      </c>
      <c r="AR39" s="120">
        <f t="shared" si="12"/>
        <v>280.88242844017594</v>
      </c>
      <c r="AS39" s="120">
        <f t="shared" si="12"/>
        <v>203.36447752796221</v>
      </c>
      <c r="AT39" s="120">
        <f t="shared" si="12"/>
        <v>280.88242844017594</v>
      </c>
      <c r="AU39" s="120">
        <f t="shared" si="12"/>
        <v>203.36447752796221</v>
      </c>
      <c r="AV39" s="120">
        <f t="shared" si="12"/>
        <v>280.88242844017594</v>
      </c>
      <c r="AW39" s="120">
        <f t="shared" si="12"/>
        <v>0</v>
      </c>
      <c r="AX39" s="120">
        <f t="shared" si="12"/>
        <v>203.36447752796221</v>
      </c>
      <c r="AY39" s="120">
        <f t="shared" si="12"/>
        <v>280.88242844017594</v>
      </c>
    </row>
    <row r="40" spans="1:52" x14ac:dyDescent="0.2">
      <c r="A40" s="120"/>
      <c r="B40" s="175" t="s">
        <v>350</v>
      </c>
      <c r="C40" s="120"/>
      <c r="D40" s="120">
        <f>D34-D37</f>
        <v>0</v>
      </c>
      <c r="E40" s="120">
        <f t="shared" ref="E40:AY40" si="13">E34-E37</f>
        <v>371.33859293960353</v>
      </c>
      <c r="F40" s="120">
        <f t="shared" si="13"/>
        <v>268.85654385181726</v>
      </c>
      <c r="G40" s="120">
        <f t="shared" si="13"/>
        <v>371.33859293960353</v>
      </c>
      <c r="H40" s="120">
        <f t="shared" si="13"/>
        <v>268.85654385181726</v>
      </c>
      <c r="I40" s="120">
        <f t="shared" si="13"/>
        <v>371.33859293960353</v>
      </c>
      <c r="J40" s="120">
        <f t="shared" si="13"/>
        <v>268.85654385181726</v>
      </c>
      <c r="K40" s="120">
        <f t="shared" si="13"/>
        <v>0</v>
      </c>
      <c r="L40" s="120">
        <f t="shared" si="13"/>
        <v>268.85654385181726</v>
      </c>
      <c r="M40" s="120">
        <f t="shared" si="13"/>
        <v>371.33859293960353</v>
      </c>
      <c r="N40" s="120">
        <f t="shared" si="13"/>
        <v>268.85654385181726</v>
      </c>
      <c r="O40" s="120">
        <f t="shared" si="13"/>
        <v>371.33859293960353</v>
      </c>
      <c r="P40" s="120">
        <f t="shared" si="13"/>
        <v>268.85654385181726</v>
      </c>
      <c r="Q40" s="120">
        <f t="shared" si="13"/>
        <v>371.33859293960353</v>
      </c>
      <c r="R40" s="120">
        <f t="shared" si="13"/>
        <v>268.85654385181726</v>
      </c>
      <c r="S40" s="120">
        <f t="shared" si="13"/>
        <v>371.33859293960353</v>
      </c>
      <c r="T40" s="120">
        <f t="shared" si="13"/>
        <v>268.85654385181726</v>
      </c>
      <c r="U40" s="120">
        <f t="shared" si="13"/>
        <v>371.33859293960353</v>
      </c>
      <c r="V40" s="120">
        <f t="shared" si="13"/>
        <v>268.85654385181726</v>
      </c>
      <c r="W40" s="120">
        <f t="shared" si="13"/>
        <v>371.33859293960353</v>
      </c>
      <c r="X40" s="120">
        <f t="shared" si="13"/>
        <v>0</v>
      </c>
      <c r="Y40" s="120">
        <f t="shared" si="13"/>
        <v>268.85654385181726</v>
      </c>
      <c r="Z40" s="120">
        <f t="shared" si="13"/>
        <v>0</v>
      </c>
      <c r="AA40" s="120">
        <f t="shared" si="13"/>
        <v>268.85654385181726</v>
      </c>
      <c r="AB40" s="120">
        <f t="shared" si="13"/>
        <v>371.33859293960353</v>
      </c>
      <c r="AC40" s="120">
        <f t="shared" si="13"/>
        <v>0</v>
      </c>
      <c r="AD40" s="120">
        <f t="shared" si="13"/>
        <v>268.85654385181726</v>
      </c>
      <c r="AE40" s="120">
        <f t="shared" si="13"/>
        <v>371.33859293960353</v>
      </c>
      <c r="AF40" s="120">
        <f t="shared" si="13"/>
        <v>268.85654385181726</v>
      </c>
      <c r="AG40" s="120">
        <f t="shared" si="13"/>
        <v>371.33859293960353</v>
      </c>
      <c r="AH40" s="120">
        <f t="shared" si="13"/>
        <v>268.85654385181726</v>
      </c>
      <c r="AI40" s="120">
        <f t="shared" si="13"/>
        <v>371.33859293960353</v>
      </c>
      <c r="AJ40" s="120">
        <f t="shared" si="13"/>
        <v>268.85654385181726</v>
      </c>
      <c r="AK40" s="120">
        <f t="shared" si="13"/>
        <v>371.33859293960353</v>
      </c>
      <c r="AL40" s="120">
        <f t="shared" si="13"/>
        <v>0</v>
      </c>
      <c r="AM40" s="120">
        <f t="shared" si="13"/>
        <v>268.85654385181726</v>
      </c>
      <c r="AN40" s="120">
        <f t="shared" si="13"/>
        <v>371.33859293960353</v>
      </c>
      <c r="AO40" s="120">
        <f t="shared" si="13"/>
        <v>268.85654385181726</v>
      </c>
      <c r="AP40" s="120">
        <f t="shared" si="13"/>
        <v>0</v>
      </c>
      <c r="AQ40" s="120">
        <f t="shared" si="13"/>
        <v>268.85654385181726</v>
      </c>
      <c r="AR40" s="120">
        <f t="shared" si="13"/>
        <v>371.33859293960353</v>
      </c>
      <c r="AS40" s="120">
        <f t="shared" si="13"/>
        <v>268.85654385181726</v>
      </c>
      <c r="AT40" s="120">
        <f t="shared" si="13"/>
        <v>371.33859293960353</v>
      </c>
      <c r="AU40" s="120">
        <f t="shared" si="13"/>
        <v>268.85654385181726</v>
      </c>
      <c r="AV40" s="120">
        <f t="shared" si="13"/>
        <v>371.33859293960353</v>
      </c>
      <c r="AW40" s="120">
        <f t="shared" si="13"/>
        <v>0</v>
      </c>
      <c r="AX40" s="120">
        <f t="shared" si="13"/>
        <v>268.85654385181726</v>
      </c>
      <c r="AY40" s="120">
        <f t="shared" si="13"/>
        <v>371.33859293960353</v>
      </c>
    </row>
    <row r="41" spans="1:52" x14ac:dyDescent="0.2">
      <c r="A41" s="120"/>
      <c r="B41" s="175" t="s">
        <v>351</v>
      </c>
      <c r="C41" s="120"/>
      <c r="D41" s="120">
        <v>1</v>
      </c>
      <c r="E41" s="120">
        <v>2</v>
      </c>
      <c r="F41" s="120">
        <v>1</v>
      </c>
      <c r="G41" s="120">
        <v>1</v>
      </c>
      <c r="H41" s="120">
        <v>2</v>
      </c>
      <c r="I41" s="120">
        <v>1</v>
      </c>
      <c r="J41" s="120">
        <v>2</v>
      </c>
      <c r="K41" s="120">
        <v>2</v>
      </c>
      <c r="L41" s="120">
        <v>2</v>
      </c>
      <c r="M41" s="120">
        <v>2</v>
      </c>
      <c r="N41" s="120">
        <v>1</v>
      </c>
      <c r="O41" s="120">
        <v>1</v>
      </c>
      <c r="P41" s="120">
        <v>1</v>
      </c>
      <c r="Q41" s="120">
        <v>2</v>
      </c>
      <c r="R41" s="120">
        <v>1</v>
      </c>
      <c r="S41" s="120">
        <v>1</v>
      </c>
      <c r="T41" s="120">
        <v>1</v>
      </c>
      <c r="U41" s="120">
        <v>1</v>
      </c>
      <c r="V41" s="120">
        <v>1</v>
      </c>
      <c r="W41" s="120">
        <v>1</v>
      </c>
      <c r="X41" s="120">
        <v>2</v>
      </c>
      <c r="Y41" s="120">
        <v>2</v>
      </c>
      <c r="Z41" s="120">
        <v>1</v>
      </c>
      <c r="AA41" s="120">
        <v>1</v>
      </c>
      <c r="AB41" s="120">
        <v>1</v>
      </c>
      <c r="AC41" s="120">
        <v>1</v>
      </c>
      <c r="AD41" s="120">
        <v>2</v>
      </c>
      <c r="AE41" s="120">
        <v>2</v>
      </c>
      <c r="AF41" s="120">
        <v>1</v>
      </c>
      <c r="AG41" s="120">
        <v>2</v>
      </c>
      <c r="AH41" s="120">
        <v>1</v>
      </c>
      <c r="AI41" s="120">
        <v>1</v>
      </c>
      <c r="AJ41" s="120">
        <v>2</v>
      </c>
      <c r="AK41" s="120">
        <v>1</v>
      </c>
      <c r="AL41" s="120">
        <v>1</v>
      </c>
      <c r="AM41" s="120">
        <v>1</v>
      </c>
      <c r="AN41" s="120">
        <v>2</v>
      </c>
      <c r="AO41" s="120">
        <v>1</v>
      </c>
      <c r="AP41" s="120">
        <v>2</v>
      </c>
      <c r="AQ41" s="120">
        <v>1</v>
      </c>
      <c r="AR41" s="120">
        <v>3</v>
      </c>
      <c r="AS41" s="120">
        <v>1</v>
      </c>
      <c r="AT41" s="120">
        <v>1</v>
      </c>
      <c r="AU41" s="120">
        <v>1</v>
      </c>
      <c r="AV41" s="120">
        <v>2</v>
      </c>
      <c r="AW41" s="120">
        <v>2</v>
      </c>
      <c r="AX41" s="120">
        <v>2</v>
      </c>
      <c r="AY41" s="120">
        <v>2</v>
      </c>
    </row>
    <row r="42" spans="1:52" x14ac:dyDescent="0.2">
      <c r="A42" s="120"/>
      <c r="B42" s="188" t="s">
        <v>352</v>
      </c>
      <c r="C42" s="120"/>
      <c r="D42" s="120">
        <v>178560</v>
      </c>
      <c r="E42" s="120">
        <v>0</v>
      </c>
      <c r="F42" s="120">
        <v>133920</v>
      </c>
      <c r="G42" s="120">
        <v>0</v>
      </c>
      <c r="H42" s="120">
        <v>133920</v>
      </c>
      <c r="I42" s="120">
        <v>0</v>
      </c>
      <c r="J42" s="120">
        <v>133920</v>
      </c>
      <c r="K42" s="120">
        <v>0</v>
      </c>
      <c r="L42" s="120">
        <v>133920</v>
      </c>
      <c r="M42" s="120">
        <v>0</v>
      </c>
      <c r="N42" s="120">
        <v>133920</v>
      </c>
      <c r="O42" s="120">
        <v>0</v>
      </c>
      <c r="P42" s="120">
        <v>133920</v>
      </c>
      <c r="Q42" s="120">
        <v>0</v>
      </c>
      <c r="R42" s="120">
        <v>133920</v>
      </c>
      <c r="S42" s="120">
        <v>0</v>
      </c>
      <c r="T42" s="120">
        <v>133920</v>
      </c>
      <c r="U42" s="120">
        <v>0</v>
      </c>
      <c r="V42" s="120">
        <v>133920</v>
      </c>
      <c r="W42" s="120">
        <v>0</v>
      </c>
      <c r="X42" s="120">
        <v>0</v>
      </c>
      <c r="Y42" s="120">
        <v>133920</v>
      </c>
      <c r="Z42" s="120">
        <v>0</v>
      </c>
      <c r="AA42" s="120">
        <v>133920</v>
      </c>
      <c r="AB42" s="120">
        <v>0</v>
      </c>
      <c r="AC42" s="120">
        <v>0</v>
      </c>
      <c r="AD42" s="120">
        <v>133920</v>
      </c>
      <c r="AE42" s="120">
        <v>0</v>
      </c>
      <c r="AF42" s="120">
        <v>133920</v>
      </c>
      <c r="AG42" s="120">
        <v>0</v>
      </c>
      <c r="AH42" s="120">
        <v>133920</v>
      </c>
      <c r="AI42" s="120">
        <v>0</v>
      </c>
      <c r="AJ42" s="120">
        <v>133920</v>
      </c>
      <c r="AK42" s="120">
        <v>0</v>
      </c>
      <c r="AL42" s="120">
        <v>0</v>
      </c>
      <c r="AM42" s="120">
        <v>133920</v>
      </c>
      <c r="AN42" s="120">
        <v>0</v>
      </c>
      <c r="AO42" s="120">
        <v>133920</v>
      </c>
      <c r="AP42" s="120">
        <v>0</v>
      </c>
      <c r="AQ42" s="120">
        <v>133920</v>
      </c>
      <c r="AR42" s="120">
        <v>0</v>
      </c>
      <c r="AS42" s="120">
        <v>133920</v>
      </c>
      <c r="AT42" s="120">
        <v>0</v>
      </c>
      <c r="AU42" s="120">
        <v>133920</v>
      </c>
      <c r="AV42" s="120">
        <v>0</v>
      </c>
      <c r="AW42" s="120">
        <v>0</v>
      </c>
      <c r="AX42" s="120">
        <v>133920</v>
      </c>
      <c r="AY42" s="120">
        <v>0</v>
      </c>
      <c r="AZ42" s="110">
        <f>SUM($D$42:$AY$42)</f>
        <v>2990880</v>
      </c>
    </row>
    <row r="43" spans="1:52" x14ac:dyDescent="0.2">
      <c r="A43" s="120"/>
      <c r="B43" s="188" t="s">
        <v>353</v>
      </c>
      <c r="C43" s="120"/>
      <c r="D43" s="120">
        <v>0</v>
      </c>
      <c r="E43" s="120">
        <v>262845.07161605114</v>
      </c>
      <c r="F43" s="120">
        <v>190305.07161605114</v>
      </c>
      <c r="G43" s="120">
        <v>262845.07161605114</v>
      </c>
      <c r="H43" s="120">
        <v>190305.07161605114</v>
      </c>
      <c r="I43" s="120">
        <v>262845.07161605114</v>
      </c>
      <c r="J43" s="120">
        <v>190305.07161605114</v>
      </c>
      <c r="K43" s="120">
        <v>0</v>
      </c>
      <c r="L43" s="120">
        <v>190305.07161605114</v>
      </c>
      <c r="M43" s="120">
        <v>262845.07161605114</v>
      </c>
      <c r="N43" s="120">
        <v>190305.07161605114</v>
      </c>
      <c r="O43" s="120">
        <v>262845.07161605114</v>
      </c>
      <c r="P43" s="120">
        <v>190305.07161605114</v>
      </c>
      <c r="Q43" s="120">
        <v>262845.07161605114</v>
      </c>
      <c r="R43" s="120">
        <v>190305.07161605114</v>
      </c>
      <c r="S43" s="120">
        <v>262845.07161605114</v>
      </c>
      <c r="T43" s="120">
        <v>190305.07161605114</v>
      </c>
      <c r="U43" s="120">
        <v>262845.07161605114</v>
      </c>
      <c r="V43" s="120">
        <v>190305.07161605114</v>
      </c>
      <c r="W43" s="120">
        <v>262845.07161605114</v>
      </c>
      <c r="X43" s="120">
        <v>0</v>
      </c>
      <c r="Y43" s="120">
        <v>190305.07161605114</v>
      </c>
      <c r="Z43" s="120">
        <v>0</v>
      </c>
      <c r="AA43" s="120">
        <v>190305.07161605114</v>
      </c>
      <c r="AB43" s="120">
        <v>262845.07161605114</v>
      </c>
      <c r="AC43" s="120">
        <v>0</v>
      </c>
      <c r="AD43" s="120">
        <v>190305.07161605114</v>
      </c>
      <c r="AE43" s="120">
        <v>262845.07161605114</v>
      </c>
      <c r="AF43" s="120">
        <v>190305.07161605114</v>
      </c>
      <c r="AG43" s="120">
        <v>262845.07161605114</v>
      </c>
      <c r="AH43" s="120">
        <v>190305.07161605114</v>
      </c>
      <c r="AI43" s="120">
        <v>262845.07161605114</v>
      </c>
      <c r="AJ43" s="120">
        <v>190305.07161605114</v>
      </c>
      <c r="AK43" s="120">
        <v>262845.07161605114</v>
      </c>
      <c r="AL43" s="120">
        <v>0</v>
      </c>
      <c r="AM43" s="120">
        <v>190305.07161605114</v>
      </c>
      <c r="AN43" s="120">
        <v>262845.07161605114</v>
      </c>
      <c r="AO43" s="120">
        <v>190305.07161605114</v>
      </c>
      <c r="AP43" s="120">
        <v>0</v>
      </c>
      <c r="AQ43" s="120">
        <v>190305.07161605114</v>
      </c>
      <c r="AR43" s="120">
        <v>262845.07161605114</v>
      </c>
      <c r="AS43" s="120">
        <v>190305.07161605114</v>
      </c>
      <c r="AT43" s="120">
        <v>262845.07161605114</v>
      </c>
      <c r="AU43" s="120">
        <v>190305.07161605114</v>
      </c>
      <c r="AV43" s="120">
        <v>262845.07161605114</v>
      </c>
      <c r="AW43" s="120">
        <v>0</v>
      </c>
      <c r="AX43" s="120">
        <v>190305.07161605114</v>
      </c>
      <c r="AY43" s="120">
        <v>262845.07161605114</v>
      </c>
      <c r="AZ43" s="110">
        <f>SUM($D$43:$AY$43)</f>
        <v>8990462.8646420427</v>
      </c>
    </row>
    <row r="44" spans="1:52" x14ac:dyDescent="0.2">
      <c r="A44" s="145" t="s">
        <v>49</v>
      </c>
      <c r="B44" s="145" t="s">
        <v>343</v>
      </c>
      <c r="C44" s="134"/>
      <c r="D44" s="134">
        <f>D$21*shipping_manufacturing!$D$28/100</f>
        <v>28.24939154122978</v>
      </c>
      <c r="E44" s="134">
        <f>E$21*shipping_manufacturing!$D$28/100</f>
        <v>77.180770280936798</v>
      </c>
      <c r="F44" s="134">
        <f>F$21*shipping_manufacturing!$D$28/100</f>
        <v>77.180770280936798</v>
      </c>
      <c r="G44" s="134">
        <f>G$21*shipping_manufacturing!$D$28/100</f>
        <v>77.180770280936798</v>
      </c>
      <c r="H44" s="134">
        <f>H$21*shipping_manufacturing!$D$28/100</f>
        <v>77.180770280936798</v>
      </c>
      <c r="I44" s="134">
        <f>I$21*shipping_manufacturing!$D$28/100</f>
        <v>77.180770280936798</v>
      </c>
      <c r="J44" s="134">
        <f>J$21*shipping_manufacturing!$D$28/100</f>
        <v>77.180770280936798</v>
      </c>
      <c r="K44" s="134">
        <f>K$21*shipping_manufacturing!$D$28/100</f>
        <v>0</v>
      </c>
      <c r="L44" s="134">
        <f>L$21*shipping_manufacturing!$D$28/100</f>
        <v>77.180770280936798</v>
      </c>
      <c r="M44" s="134">
        <f>M$21*shipping_manufacturing!$D$28/100</f>
        <v>77.180770280936798</v>
      </c>
      <c r="N44" s="134">
        <f>N$21*shipping_manufacturing!$D$28/100</f>
        <v>77.180770280936798</v>
      </c>
      <c r="O44" s="134">
        <f>O$21*shipping_manufacturing!$D$28/100</f>
        <v>77.180770280936798</v>
      </c>
      <c r="P44" s="134">
        <f>P$21*shipping_manufacturing!$D$28/100</f>
        <v>77.180770280936798</v>
      </c>
      <c r="Q44" s="134">
        <f>Q$21*shipping_manufacturing!$D$28/100</f>
        <v>77.180770280936798</v>
      </c>
      <c r="R44" s="134">
        <f>R$21*shipping_manufacturing!$D$28/100</f>
        <v>77.180770280936798</v>
      </c>
      <c r="S44" s="134">
        <f>S$21*shipping_manufacturing!$D$28/100</f>
        <v>77.180770280936798</v>
      </c>
      <c r="T44" s="134">
        <f>T$21*shipping_manufacturing!$D$28/100</f>
        <v>77.180770280936798</v>
      </c>
      <c r="U44" s="134">
        <f>U$21*shipping_manufacturing!$D$28/100</f>
        <v>77.180770280936798</v>
      </c>
      <c r="V44" s="134">
        <f>V$21*shipping_manufacturing!$D$28/100</f>
        <v>77.180770280936798</v>
      </c>
      <c r="W44" s="134">
        <f>W$21*shipping_manufacturing!$D$28/100</f>
        <v>77.180770280936798</v>
      </c>
      <c r="X44" s="134">
        <f>X$21*shipping_manufacturing!$D$28/100</f>
        <v>0</v>
      </c>
      <c r="Y44" s="134">
        <f>Y$21*shipping_manufacturing!$D$28/100</f>
        <v>77.180770280936798</v>
      </c>
      <c r="Z44" s="134">
        <f>Z$21*shipping_manufacturing!$D$28/100</f>
        <v>0</v>
      </c>
      <c r="AA44" s="134">
        <f>AA$21*shipping_manufacturing!$D$28/100</f>
        <v>77.180770280936798</v>
      </c>
      <c r="AB44" s="134">
        <f>AB$21*shipping_manufacturing!$D$28/100</f>
        <v>77.180770280936798</v>
      </c>
      <c r="AC44" s="134">
        <f>AC$21*shipping_manufacturing!$D$28/100</f>
        <v>0</v>
      </c>
      <c r="AD44" s="134">
        <f>AD$21*shipping_manufacturing!$D$28/100</f>
        <v>77.180770280936798</v>
      </c>
      <c r="AE44" s="134">
        <f>AE$21*shipping_manufacturing!$D$28/100</f>
        <v>77.180770280936798</v>
      </c>
      <c r="AF44" s="134">
        <f>AF$21*shipping_manufacturing!$D$28/100</f>
        <v>77.180770280936798</v>
      </c>
      <c r="AG44" s="134">
        <f>AG$21*shipping_manufacturing!$D$28/100</f>
        <v>77.180770280936798</v>
      </c>
      <c r="AH44" s="134">
        <f>AH$21*shipping_manufacturing!$D$28/100</f>
        <v>77.180770280936798</v>
      </c>
      <c r="AI44" s="134">
        <f>AI$21*shipping_manufacturing!$D$28/100</f>
        <v>77.180770280936798</v>
      </c>
      <c r="AJ44" s="134">
        <f>AJ$21*shipping_manufacturing!$D$28/100</f>
        <v>77.180770280936798</v>
      </c>
      <c r="AK44" s="134">
        <f>AK$21*shipping_manufacturing!$D$28/100</f>
        <v>77.180770280936798</v>
      </c>
      <c r="AL44" s="134">
        <f>AL$21*shipping_manufacturing!$D$28/100</f>
        <v>0</v>
      </c>
      <c r="AM44" s="134">
        <f>AM$21*shipping_manufacturing!$D$28/100</f>
        <v>77.180770280936798</v>
      </c>
      <c r="AN44" s="134">
        <f>AN$21*shipping_manufacturing!$D$28/100</f>
        <v>77.180770280936798</v>
      </c>
      <c r="AO44" s="134">
        <f>AO$21*shipping_manufacturing!$D$28/100</f>
        <v>77.180770280936798</v>
      </c>
      <c r="AP44" s="134">
        <f>AP$21*shipping_manufacturing!$D$28/100</f>
        <v>0</v>
      </c>
      <c r="AQ44" s="134">
        <f>AQ$21*shipping_manufacturing!$D$28/100</f>
        <v>77.180770280936798</v>
      </c>
      <c r="AR44" s="134">
        <f>AR$21*shipping_manufacturing!$D$28/100</f>
        <v>77.180770280936798</v>
      </c>
      <c r="AS44" s="134">
        <f>AS$21*shipping_manufacturing!$D$28/100</f>
        <v>77.180770280936798</v>
      </c>
      <c r="AT44" s="134">
        <f>AT$21*shipping_manufacturing!$D$28/100</f>
        <v>77.180770280936798</v>
      </c>
      <c r="AU44" s="134">
        <f>AU$21*shipping_manufacturing!$D$28/100</f>
        <v>77.180770280936798</v>
      </c>
      <c r="AV44" s="134">
        <f>AV$21*shipping_manufacturing!$D$28/100</f>
        <v>77.180770280936798</v>
      </c>
      <c r="AW44" s="134">
        <f>AW$21*shipping_manufacturing!$D$28/100</f>
        <v>0</v>
      </c>
      <c r="AX44" s="134">
        <f>AX$21*shipping_manufacturing!$D$28/100</f>
        <v>77.180770280936798</v>
      </c>
      <c r="AY44" s="134">
        <f>AY$21*shipping_manufacturing!$D$28/100</f>
        <v>77.180770280936798</v>
      </c>
    </row>
    <row r="45" spans="1:52" x14ac:dyDescent="0.2">
      <c r="A45" s="123" t="s">
        <v>342</v>
      </c>
      <c r="B45" s="175" t="s">
        <v>344</v>
      </c>
      <c r="C45" s="120"/>
      <c r="D45" s="120">
        <f>D$22*shipping_manufacturing!$E$28/100</f>
        <v>294.70906265173801</v>
      </c>
      <c r="E45" s="120">
        <f>E$22*shipping_manufacturing!$E$28/100</f>
        <v>805.18096933297011</v>
      </c>
      <c r="F45" s="120">
        <f>F$22*shipping_manufacturing!$E$28/100</f>
        <v>805.18096933297011</v>
      </c>
      <c r="G45" s="120">
        <f>G$22*shipping_manufacturing!$E$28/100</f>
        <v>805.18096933297011</v>
      </c>
      <c r="H45" s="120">
        <f>H$22*shipping_manufacturing!$E$28/100</f>
        <v>805.18096933297011</v>
      </c>
      <c r="I45" s="120">
        <f>I$22*shipping_manufacturing!$E$28/100</f>
        <v>805.18096933297011</v>
      </c>
      <c r="J45" s="120">
        <f>J$22*shipping_manufacturing!$E$28/100</f>
        <v>805.18096933297011</v>
      </c>
      <c r="K45" s="120">
        <f>K$22*shipping_manufacturing!$E$28/100</f>
        <v>0</v>
      </c>
      <c r="L45" s="120">
        <f>L$22*shipping_manufacturing!$E$28/100</f>
        <v>805.18096933297011</v>
      </c>
      <c r="M45" s="120">
        <f>M$22*shipping_manufacturing!$E$28/100</f>
        <v>805.18096933297011</v>
      </c>
      <c r="N45" s="120">
        <f>N$22*shipping_manufacturing!$E$28/100</f>
        <v>805.18096933297011</v>
      </c>
      <c r="O45" s="120">
        <f>O$22*shipping_manufacturing!$E$28/100</f>
        <v>805.18096933297011</v>
      </c>
      <c r="P45" s="120">
        <f>P$22*shipping_manufacturing!$E$28/100</f>
        <v>805.18096933297011</v>
      </c>
      <c r="Q45" s="120">
        <f>Q$22*shipping_manufacturing!$E$28/100</f>
        <v>805.18096933297011</v>
      </c>
      <c r="R45" s="120">
        <f>R$22*shipping_manufacturing!$E$28/100</f>
        <v>805.18096933297011</v>
      </c>
      <c r="S45" s="120">
        <f>S$22*shipping_manufacturing!$E$28/100</f>
        <v>805.18096933297011</v>
      </c>
      <c r="T45" s="120">
        <f>T$22*shipping_manufacturing!$E$28/100</f>
        <v>805.18096933297011</v>
      </c>
      <c r="U45" s="120">
        <f>U$22*shipping_manufacturing!$E$28/100</f>
        <v>805.18096933297011</v>
      </c>
      <c r="V45" s="120">
        <f>V$22*shipping_manufacturing!$E$28/100</f>
        <v>805.18096933297011</v>
      </c>
      <c r="W45" s="120">
        <f>W$22*shipping_manufacturing!$E$28/100</f>
        <v>805.18096933297011</v>
      </c>
      <c r="X45" s="120">
        <f>X$22*shipping_manufacturing!$E$28/100</f>
        <v>0</v>
      </c>
      <c r="Y45" s="120">
        <f>Y$22*shipping_manufacturing!$E$28/100</f>
        <v>805.18096933297011</v>
      </c>
      <c r="Z45" s="120">
        <f>Z$22*shipping_manufacturing!$E$28/100</f>
        <v>0</v>
      </c>
      <c r="AA45" s="120">
        <f>AA$22*shipping_manufacturing!$E$28/100</f>
        <v>805.18096933297011</v>
      </c>
      <c r="AB45" s="120">
        <f>AB$22*shipping_manufacturing!$E$28/100</f>
        <v>805.18096933297011</v>
      </c>
      <c r="AC45" s="120">
        <f>AC$22*shipping_manufacturing!$E$28/100</f>
        <v>0</v>
      </c>
      <c r="AD45" s="120">
        <f>AD$22*shipping_manufacturing!$E$28/100</f>
        <v>805.18096933297011</v>
      </c>
      <c r="AE45" s="120">
        <f>AE$22*shipping_manufacturing!$E$28/100</f>
        <v>805.18096933297011</v>
      </c>
      <c r="AF45" s="120">
        <f>AF$22*shipping_manufacturing!$E$28/100</f>
        <v>805.18096933297011</v>
      </c>
      <c r="AG45" s="120">
        <f>AG$22*shipping_manufacturing!$E$28/100</f>
        <v>805.18096933297011</v>
      </c>
      <c r="AH45" s="120">
        <f>AH$22*shipping_manufacturing!$E$28/100</f>
        <v>805.18096933297011</v>
      </c>
      <c r="AI45" s="120">
        <f>AI$22*shipping_manufacturing!$E$28/100</f>
        <v>805.18096933297011</v>
      </c>
      <c r="AJ45" s="120">
        <f>AJ$22*shipping_manufacturing!$E$28/100</f>
        <v>805.18096933297011</v>
      </c>
      <c r="AK45" s="120">
        <f>AK$22*shipping_manufacturing!$E$28/100</f>
        <v>805.18096933297011</v>
      </c>
      <c r="AL45" s="120">
        <f>AL$22*shipping_manufacturing!$E$28/100</f>
        <v>0</v>
      </c>
      <c r="AM45" s="120">
        <f>AM$22*shipping_manufacturing!$E$28/100</f>
        <v>805.18096933297011</v>
      </c>
      <c r="AN45" s="120">
        <f>AN$22*shipping_manufacturing!$E$28/100</f>
        <v>805.18096933297011</v>
      </c>
      <c r="AO45" s="120">
        <f>AO$22*shipping_manufacturing!$E$28/100</f>
        <v>805.18096933297011</v>
      </c>
      <c r="AP45" s="120">
        <f>AP$22*shipping_manufacturing!$E$28/100</f>
        <v>0</v>
      </c>
      <c r="AQ45" s="120">
        <f>AQ$22*shipping_manufacturing!$E$28/100</f>
        <v>805.18096933297011</v>
      </c>
      <c r="AR45" s="120">
        <f>AR$22*shipping_manufacturing!$E$28/100</f>
        <v>805.18096933297011</v>
      </c>
      <c r="AS45" s="120">
        <f>AS$22*shipping_manufacturing!$E$28/100</f>
        <v>805.18096933297011</v>
      </c>
      <c r="AT45" s="120">
        <f>AT$22*shipping_manufacturing!$E$28/100</f>
        <v>805.18096933297011</v>
      </c>
      <c r="AU45" s="120">
        <f>AU$22*shipping_manufacturing!$E$28/100</f>
        <v>805.18096933297011</v>
      </c>
      <c r="AV45" s="120">
        <f>AV$22*shipping_manufacturing!$E$28/100</f>
        <v>805.18096933297011</v>
      </c>
      <c r="AW45" s="120">
        <f>AW$22*shipping_manufacturing!$E$28/100</f>
        <v>0</v>
      </c>
      <c r="AX45" s="120">
        <f>AX$22*shipping_manufacturing!$E$28/100</f>
        <v>805.18096933297011</v>
      </c>
      <c r="AY45" s="120">
        <f>AY$22*shipping_manufacturing!$E$28/100</f>
        <v>805.18096933297011</v>
      </c>
    </row>
    <row r="46" spans="1:52" x14ac:dyDescent="0.2">
      <c r="A46" s="120">
        <v>502</v>
      </c>
      <c r="B46" s="175" t="s">
        <v>345</v>
      </c>
      <c r="C46" s="120"/>
      <c r="D46" s="120">
        <f>SUM(D44:D45)</f>
        <v>322.95845419296779</v>
      </c>
      <c r="E46" s="120">
        <f t="shared" ref="E46:AY46" si="14">SUM(E44:E45)</f>
        <v>882.36173961390693</v>
      </c>
      <c r="F46" s="120">
        <f t="shared" si="14"/>
        <v>882.36173961390693</v>
      </c>
      <c r="G46" s="120">
        <f t="shared" si="14"/>
        <v>882.36173961390693</v>
      </c>
      <c r="H46" s="120">
        <f t="shared" si="14"/>
        <v>882.36173961390693</v>
      </c>
      <c r="I46" s="120">
        <f t="shared" si="14"/>
        <v>882.36173961390693</v>
      </c>
      <c r="J46" s="120">
        <f t="shared" si="14"/>
        <v>882.36173961390693</v>
      </c>
      <c r="K46" s="120">
        <f t="shared" si="14"/>
        <v>0</v>
      </c>
      <c r="L46" s="120">
        <f t="shared" si="14"/>
        <v>882.36173961390693</v>
      </c>
      <c r="M46" s="120">
        <f t="shared" si="14"/>
        <v>882.36173961390693</v>
      </c>
      <c r="N46" s="120">
        <f t="shared" si="14"/>
        <v>882.36173961390693</v>
      </c>
      <c r="O46" s="120">
        <f t="shared" si="14"/>
        <v>882.36173961390693</v>
      </c>
      <c r="P46" s="120">
        <f t="shared" si="14"/>
        <v>882.36173961390693</v>
      </c>
      <c r="Q46" s="120">
        <f t="shared" si="14"/>
        <v>882.36173961390693</v>
      </c>
      <c r="R46" s="120">
        <f t="shared" si="14"/>
        <v>882.36173961390693</v>
      </c>
      <c r="S46" s="120">
        <f t="shared" si="14"/>
        <v>882.36173961390693</v>
      </c>
      <c r="T46" s="120">
        <f t="shared" si="14"/>
        <v>882.36173961390693</v>
      </c>
      <c r="U46" s="120">
        <f t="shared" si="14"/>
        <v>882.36173961390693</v>
      </c>
      <c r="V46" s="120">
        <f t="shared" si="14"/>
        <v>882.36173961390693</v>
      </c>
      <c r="W46" s="120">
        <f t="shared" si="14"/>
        <v>882.36173961390693</v>
      </c>
      <c r="X46" s="120">
        <f t="shared" si="14"/>
        <v>0</v>
      </c>
      <c r="Y46" s="120">
        <f t="shared" si="14"/>
        <v>882.36173961390693</v>
      </c>
      <c r="Z46" s="120">
        <f t="shared" si="14"/>
        <v>0</v>
      </c>
      <c r="AA46" s="120">
        <f t="shared" si="14"/>
        <v>882.36173961390693</v>
      </c>
      <c r="AB46" s="120">
        <f t="shared" si="14"/>
        <v>882.36173961390693</v>
      </c>
      <c r="AC46" s="120">
        <f t="shared" si="14"/>
        <v>0</v>
      </c>
      <c r="AD46" s="120">
        <f t="shared" si="14"/>
        <v>882.36173961390693</v>
      </c>
      <c r="AE46" s="120">
        <f t="shared" si="14"/>
        <v>882.36173961390693</v>
      </c>
      <c r="AF46" s="120">
        <f t="shared" si="14"/>
        <v>882.36173961390693</v>
      </c>
      <c r="AG46" s="120">
        <f t="shared" si="14"/>
        <v>882.36173961390693</v>
      </c>
      <c r="AH46" s="120">
        <f t="shared" si="14"/>
        <v>882.36173961390693</v>
      </c>
      <c r="AI46" s="120">
        <f t="shared" si="14"/>
        <v>882.36173961390693</v>
      </c>
      <c r="AJ46" s="120">
        <f t="shared" si="14"/>
        <v>882.36173961390693</v>
      </c>
      <c r="AK46" s="120">
        <f t="shared" si="14"/>
        <v>882.36173961390693</v>
      </c>
      <c r="AL46" s="120">
        <f t="shared" si="14"/>
        <v>0</v>
      </c>
      <c r="AM46" s="120">
        <f t="shared" si="14"/>
        <v>882.36173961390693</v>
      </c>
      <c r="AN46" s="120">
        <f t="shared" si="14"/>
        <v>882.36173961390693</v>
      </c>
      <c r="AO46" s="120">
        <f t="shared" si="14"/>
        <v>882.36173961390693</v>
      </c>
      <c r="AP46" s="120">
        <f t="shared" si="14"/>
        <v>0</v>
      </c>
      <c r="AQ46" s="120">
        <f t="shared" si="14"/>
        <v>882.36173961390693</v>
      </c>
      <c r="AR46" s="120">
        <f t="shared" si="14"/>
        <v>882.36173961390693</v>
      </c>
      <c r="AS46" s="120">
        <f t="shared" si="14"/>
        <v>882.36173961390693</v>
      </c>
      <c r="AT46" s="120">
        <f t="shared" si="14"/>
        <v>882.36173961390693</v>
      </c>
      <c r="AU46" s="120">
        <f t="shared" si="14"/>
        <v>882.36173961390693</v>
      </c>
      <c r="AV46" s="120">
        <f t="shared" si="14"/>
        <v>882.36173961390693</v>
      </c>
      <c r="AW46" s="120">
        <f t="shared" si="14"/>
        <v>0</v>
      </c>
      <c r="AX46" s="120">
        <f t="shared" si="14"/>
        <v>882.36173961390693</v>
      </c>
      <c r="AY46" s="120">
        <f t="shared" si="14"/>
        <v>882.36173961390693</v>
      </c>
    </row>
    <row r="47" spans="1:52" x14ac:dyDescent="0.2">
      <c r="A47" s="120"/>
      <c r="B47" s="175" t="s">
        <v>346</v>
      </c>
      <c r="C47" s="120"/>
      <c r="D47" s="120">
        <v>26.241200229752238</v>
      </c>
      <c r="E47" s="120"/>
      <c r="F47" s="120">
        <v>36.737680321653137</v>
      </c>
      <c r="G47" s="120"/>
      <c r="H47" s="120">
        <v>36.737680321653137</v>
      </c>
      <c r="I47" s="120"/>
      <c r="J47" s="120">
        <v>36.737680321653137</v>
      </c>
      <c r="K47" s="120"/>
      <c r="L47" s="120">
        <v>36.737680321653137</v>
      </c>
      <c r="M47" s="120"/>
      <c r="N47" s="120">
        <v>36.737680321653137</v>
      </c>
      <c r="O47" s="120"/>
      <c r="P47" s="120">
        <v>36.737680321653137</v>
      </c>
      <c r="Q47" s="120"/>
      <c r="R47" s="120">
        <v>36.737680321653137</v>
      </c>
      <c r="S47" s="120"/>
      <c r="T47" s="120">
        <v>36.737680321653137</v>
      </c>
      <c r="U47" s="120"/>
      <c r="V47" s="120">
        <v>36.737680321653137</v>
      </c>
      <c r="W47" s="120"/>
      <c r="X47" s="120"/>
      <c r="Y47" s="120">
        <v>36.737680321653137</v>
      </c>
      <c r="Z47" s="120"/>
      <c r="AA47" s="120">
        <v>36.737680321653137</v>
      </c>
      <c r="AB47" s="120"/>
      <c r="AC47" s="120"/>
      <c r="AD47" s="120">
        <v>36.737680321653137</v>
      </c>
      <c r="AE47" s="120"/>
      <c r="AF47" s="120">
        <v>36.737680321653137</v>
      </c>
      <c r="AG47" s="120"/>
      <c r="AH47" s="120">
        <v>36.737680321653137</v>
      </c>
      <c r="AI47" s="120"/>
      <c r="AJ47" s="120">
        <v>36.737680321653137</v>
      </c>
      <c r="AK47" s="120"/>
      <c r="AL47" s="120"/>
      <c r="AM47" s="120">
        <v>36.737680321653137</v>
      </c>
      <c r="AN47" s="120"/>
      <c r="AO47" s="120">
        <v>36.737680321653137</v>
      </c>
      <c r="AP47" s="120"/>
      <c r="AQ47" s="120">
        <v>36.737680321653137</v>
      </c>
      <c r="AR47" s="120"/>
      <c r="AS47" s="120">
        <v>36.737680321653137</v>
      </c>
      <c r="AT47" s="120"/>
      <c r="AU47" s="120">
        <v>36.737680321653137</v>
      </c>
      <c r="AV47" s="120"/>
      <c r="AW47" s="120"/>
      <c r="AX47" s="120">
        <v>36.737680321653137</v>
      </c>
      <c r="AY47" s="120"/>
    </row>
    <row r="48" spans="1:52" x14ac:dyDescent="0.2">
      <c r="A48" s="120"/>
      <c r="B48" s="175" t="s">
        <v>347</v>
      </c>
      <c r="C48" s="120"/>
      <c r="D48" s="120">
        <v>273.75879977024783</v>
      </c>
      <c r="E48" s="120"/>
      <c r="F48" s="120">
        <v>383.26231967834701</v>
      </c>
      <c r="G48" s="120"/>
      <c r="H48" s="120">
        <v>383.26231967834701</v>
      </c>
      <c r="I48" s="120"/>
      <c r="J48" s="120">
        <v>383.26231967834701</v>
      </c>
      <c r="K48" s="120"/>
      <c r="L48" s="120">
        <v>383.26231967834701</v>
      </c>
      <c r="M48" s="120"/>
      <c r="N48" s="120">
        <v>383.26231967834701</v>
      </c>
      <c r="O48" s="120"/>
      <c r="P48" s="120">
        <v>383.26231967834701</v>
      </c>
      <c r="Q48" s="120"/>
      <c r="R48" s="120">
        <v>383.26231967834701</v>
      </c>
      <c r="S48" s="120"/>
      <c r="T48" s="120">
        <v>383.26231967834701</v>
      </c>
      <c r="U48" s="120"/>
      <c r="V48" s="120">
        <v>383.26231967834701</v>
      </c>
      <c r="W48" s="120"/>
      <c r="X48" s="120"/>
      <c r="Y48" s="120">
        <v>383.26231967834701</v>
      </c>
      <c r="Z48" s="120"/>
      <c r="AA48" s="120">
        <v>383.26231967834701</v>
      </c>
      <c r="AB48" s="120"/>
      <c r="AC48" s="120"/>
      <c r="AD48" s="120">
        <v>383.26231967834701</v>
      </c>
      <c r="AE48" s="120"/>
      <c r="AF48" s="120">
        <v>383.26231967834701</v>
      </c>
      <c r="AG48" s="120"/>
      <c r="AH48" s="120">
        <v>383.26231967834701</v>
      </c>
      <c r="AI48" s="120"/>
      <c r="AJ48" s="120">
        <v>383.26231967834701</v>
      </c>
      <c r="AK48" s="120"/>
      <c r="AL48" s="120"/>
      <c r="AM48" s="120">
        <v>383.26231967834701</v>
      </c>
      <c r="AN48" s="120"/>
      <c r="AO48" s="120">
        <v>383.26231967834701</v>
      </c>
      <c r="AP48" s="120"/>
      <c r="AQ48" s="120">
        <v>383.26231967834701</v>
      </c>
      <c r="AR48" s="120"/>
      <c r="AS48" s="120">
        <v>383.26231967834701</v>
      </c>
      <c r="AT48" s="120"/>
      <c r="AU48" s="120">
        <v>383.26231967834701</v>
      </c>
      <c r="AV48" s="120"/>
      <c r="AW48" s="120"/>
      <c r="AX48" s="120">
        <v>383.26231967834701</v>
      </c>
      <c r="AY48" s="120"/>
    </row>
    <row r="49" spans="1:52" x14ac:dyDescent="0.2">
      <c r="A49" s="120"/>
      <c r="B49" s="175" t="s">
        <v>348</v>
      </c>
      <c r="C49" s="120"/>
      <c r="D49" s="120">
        <v>10</v>
      </c>
      <c r="E49" s="120"/>
      <c r="F49" s="120">
        <v>14</v>
      </c>
      <c r="G49" s="120"/>
      <c r="H49" s="120">
        <v>14</v>
      </c>
      <c r="I49" s="120"/>
      <c r="J49" s="120">
        <v>14</v>
      </c>
      <c r="K49" s="120"/>
      <c r="L49" s="120">
        <v>14</v>
      </c>
      <c r="M49" s="120"/>
      <c r="N49" s="120">
        <v>14</v>
      </c>
      <c r="O49" s="120"/>
      <c r="P49" s="120">
        <v>14</v>
      </c>
      <c r="Q49" s="120"/>
      <c r="R49" s="120">
        <v>14</v>
      </c>
      <c r="S49" s="120"/>
      <c r="T49" s="120">
        <v>14</v>
      </c>
      <c r="U49" s="120"/>
      <c r="V49" s="120">
        <v>14</v>
      </c>
      <c r="W49" s="120"/>
      <c r="X49" s="120"/>
      <c r="Y49" s="120">
        <v>14</v>
      </c>
      <c r="Z49" s="120"/>
      <c r="AA49" s="120">
        <v>14</v>
      </c>
      <c r="AB49" s="120"/>
      <c r="AC49" s="120"/>
      <c r="AD49" s="120">
        <v>14</v>
      </c>
      <c r="AE49" s="120"/>
      <c r="AF49" s="120">
        <v>14</v>
      </c>
      <c r="AG49" s="120"/>
      <c r="AH49" s="120">
        <v>14</v>
      </c>
      <c r="AI49" s="120"/>
      <c r="AJ49" s="120">
        <v>14</v>
      </c>
      <c r="AK49" s="120"/>
      <c r="AL49" s="120"/>
      <c r="AM49" s="120">
        <v>14</v>
      </c>
      <c r="AN49" s="120"/>
      <c r="AO49" s="120">
        <v>14</v>
      </c>
      <c r="AP49" s="120"/>
      <c r="AQ49" s="120">
        <v>14</v>
      </c>
      <c r="AR49" s="120"/>
      <c r="AS49" s="120">
        <v>14</v>
      </c>
      <c r="AT49" s="120"/>
      <c r="AU49" s="120">
        <v>14</v>
      </c>
      <c r="AV49" s="120"/>
      <c r="AW49" s="120"/>
      <c r="AX49" s="120">
        <v>14</v>
      </c>
      <c r="AY49" s="120"/>
    </row>
    <row r="50" spans="1:52" x14ac:dyDescent="0.2">
      <c r="A50" s="120"/>
      <c r="B50" s="175" t="s">
        <v>349</v>
      </c>
      <c r="C50" s="120"/>
      <c r="D50" s="120">
        <f>D44-D47</f>
        <v>2.0081913114775425</v>
      </c>
      <c r="E50" s="120">
        <f t="shared" ref="E50:AY50" si="15">E44-E47</f>
        <v>77.180770280936798</v>
      </c>
      <c r="F50" s="120">
        <f t="shared" si="15"/>
        <v>40.443089959283661</v>
      </c>
      <c r="G50" s="120">
        <f t="shared" si="15"/>
        <v>77.180770280936798</v>
      </c>
      <c r="H50" s="120">
        <f t="shared" si="15"/>
        <v>40.443089959283661</v>
      </c>
      <c r="I50" s="120">
        <f t="shared" si="15"/>
        <v>77.180770280936798</v>
      </c>
      <c r="J50" s="120">
        <f t="shared" si="15"/>
        <v>40.443089959283661</v>
      </c>
      <c r="K50" s="120">
        <f t="shared" si="15"/>
        <v>0</v>
      </c>
      <c r="L50" s="120">
        <f t="shared" si="15"/>
        <v>40.443089959283661</v>
      </c>
      <c r="M50" s="120">
        <f t="shared" si="15"/>
        <v>77.180770280936798</v>
      </c>
      <c r="N50" s="120">
        <f t="shared" si="15"/>
        <v>40.443089959283661</v>
      </c>
      <c r="O50" s="120">
        <f t="shared" si="15"/>
        <v>77.180770280936798</v>
      </c>
      <c r="P50" s="120">
        <f t="shared" si="15"/>
        <v>40.443089959283661</v>
      </c>
      <c r="Q50" s="120">
        <f t="shared" si="15"/>
        <v>77.180770280936798</v>
      </c>
      <c r="R50" s="120">
        <f t="shared" si="15"/>
        <v>40.443089959283661</v>
      </c>
      <c r="S50" s="120">
        <f t="shared" si="15"/>
        <v>77.180770280936798</v>
      </c>
      <c r="T50" s="120">
        <f t="shared" si="15"/>
        <v>40.443089959283661</v>
      </c>
      <c r="U50" s="120">
        <f t="shared" si="15"/>
        <v>77.180770280936798</v>
      </c>
      <c r="V50" s="120">
        <f t="shared" si="15"/>
        <v>40.443089959283661</v>
      </c>
      <c r="W50" s="120">
        <f t="shared" si="15"/>
        <v>77.180770280936798</v>
      </c>
      <c r="X50" s="120">
        <f t="shared" si="15"/>
        <v>0</v>
      </c>
      <c r="Y50" s="120">
        <f t="shared" si="15"/>
        <v>40.443089959283661</v>
      </c>
      <c r="Z50" s="120">
        <f t="shared" si="15"/>
        <v>0</v>
      </c>
      <c r="AA50" s="120">
        <f t="shared" si="15"/>
        <v>40.443089959283661</v>
      </c>
      <c r="AB50" s="120">
        <f t="shared" si="15"/>
        <v>77.180770280936798</v>
      </c>
      <c r="AC50" s="120">
        <f t="shared" si="15"/>
        <v>0</v>
      </c>
      <c r="AD50" s="120">
        <f t="shared" si="15"/>
        <v>40.443089959283661</v>
      </c>
      <c r="AE50" s="120">
        <f t="shared" si="15"/>
        <v>77.180770280936798</v>
      </c>
      <c r="AF50" s="120">
        <f t="shared" si="15"/>
        <v>40.443089959283661</v>
      </c>
      <c r="AG50" s="120">
        <f t="shared" si="15"/>
        <v>77.180770280936798</v>
      </c>
      <c r="AH50" s="120">
        <f t="shared" si="15"/>
        <v>40.443089959283661</v>
      </c>
      <c r="AI50" s="120">
        <f t="shared" si="15"/>
        <v>77.180770280936798</v>
      </c>
      <c r="AJ50" s="120">
        <f t="shared" si="15"/>
        <v>40.443089959283661</v>
      </c>
      <c r="AK50" s="120">
        <f t="shared" si="15"/>
        <v>77.180770280936798</v>
      </c>
      <c r="AL50" s="120">
        <f t="shared" si="15"/>
        <v>0</v>
      </c>
      <c r="AM50" s="120">
        <f t="shared" si="15"/>
        <v>40.443089959283661</v>
      </c>
      <c r="AN50" s="120">
        <f t="shared" si="15"/>
        <v>77.180770280936798</v>
      </c>
      <c r="AO50" s="120">
        <f t="shared" si="15"/>
        <v>40.443089959283661</v>
      </c>
      <c r="AP50" s="120">
        <f t="shared" si="15"/>
        <v>0</v>
      </c>
      <c r="AQ50" s="120">
        <f t="shared" si="15"/>
        <v>40.443089959283661</v>
      </c>
      <c r="AR50" s="120">
        <f t="shared" si="15"/>
        <v>77.180770280936798</v>
      </c>
      <c r="AS50" s="120">
        <f t="shared" si="15"/>
        <v>40.443089959283661</v>
      </c>
      <c r="AT50" s="120">
        <f t="shared" si="15"/>
        <v>77.180770280936798</v>
      </c>
      <c r="AU50" s="120">
        <f t="shared" si="15"/>
        <v>40.443089959283661</v>
      </c>
      <c r="AV50" s="120">
        <f t="shared" si="15"/>
        <v>77.180770280936798</v>
      </c>
      <c r="AW50" s="120">
        <f t="shared" si="15"/>
        <v>0</v>
      </c>
      <c r="AX50" s="120">
        <f t="shared" si="15"/>
        <v>40.443089959283661</v>
      </c>
      <c r="AY50" s="120">
        <f t="shared" si="15"/>
        <v>77.180770280936798</v>
      </c>
    </row>
    <row r="51" spans="1:52" x14ac:dyDescent="0.2">
      <c r="A51" s="120"/>
      <c r="B51" s="175" t="s">
        <v>350</v>
      </c>
      <c r="C51" s="120"/>
      <c r="D51" s="120">
        <f>D45-D48</f>
        <v>20.950262881490175</v>
      </c>
      <c r="E51" s="120">
        <f t="shared" ref="E51:AY51" si="16">E45-E48</f>
        <v>805.18096933297011</v>
      </c>
      <c r="F51" s="120">
        <f t="shared" si="16"/>
        <v>421.9186496546231</v>
      </c>
      <c r="G51" s="120">
        <f t="shared" si="16"/>
        <v>805.18096933297011</v>
      </c>
      <c r="H51" s="120">
        <f t="shared" si="16"/>
        <v>421.9186496546231</v>
      </c>
      <c r="I51" s="120">
        <f t="shared" si="16"/>
        <v>805.18096933297011</v>
      </c>
      <c r="J51" s="120">
        <f t="shared" si="16"/>
        <v>421.9186496546231</v>
      </c>
      <c r="K51" s="120">
        <f t="shared" si="16"/>
        <v>0</v>
      </c>
      <c r="L51" s="120">
        <f t="shared" si="16"/>
        <v>421.9186496546231</v>
      </c>
      <c r="M51" s="120">
        <f t="shared" si="16"/>
        <v>805.18096933297011</v>
      </c>
      <c r="N51" s="120">
        <f t="shared" si="16"/>
        <v>421.9186496546231</v>
      </c>
      <c r="O51" s="120">
        <f t="shared" si="16"/>
        <v>805.18096933297011</v>
      </c>
      <c r="P51" s="120">
        <f t="shared" si="16"/>
        <v>421.9186496546231</v>
      </c>
      <c r="Q51" s="120">
        <f t="shared" si="16"/>
        <v>805.18096933297011</v>
      </c>
      <c r="R51" s="120">
        <f t="shared" si="16"/>
        <v>421.9186496546231</v>
      </c>
      <c r="S51" s="120">
        <f t="shared" si="16"/>
        <v>805.18096933297011</v>
      </c>
      <c r="T51" s="120">
        <f t="shared" si="16"/>
        <v>421.9186496546231</v>
      </c>
      <c r="U51" s="120">
        <f t="shared" si="16"/>
        <v>805.18096933297011</v>
      </c>
      <c r="V51" s="120">
        <f t="shared" si="16"/>
        <v>421.9186496546231</v>
      </c>
      <c r="W51" s="120">
        <f t="shared" si="16"/>
        <v>805.18096933297011</v>
      </c>
      <c r="X51" s="120">
        <f t="shared" si="16"/>
        <v>0</v>
      </c>
      <c r="Y51" s="120">
        <f t="shared" si="16"/>
        <v>421.9186496546231</v>
      </c>
      <c r="Z51" s="120">
        <f t="shared" si="16"/>
        <v>0</v>
      </c>
      <c r="AA51" s="120">
        <f t="shared" si="16"/>
        <v>421.9186496546231</v>
      </c>
      <c r="AB51" s="120">
        <f t="shared" si="16"/>
        <v>805.18096933297011</v>
      </c>
      <c r="AC51" s="120">
        <f t="shared" si="16"/>
        <v>0</v>
      </c>
      <c r="AD51" s="120">
        <f t="shared" si="16"/>
        <v>421.9186496546231</v>
      </c>
      <c r="AE51" s="120">
        <f t="shared" si="16"/>
        <v>805.18096933297011</v>
      </c>
      <c r="AF51" s="120">
        <f t="shared" si="16"/>
        <v>421.9186496546231</v>
      </c>
      <c r="AG51" s="120">
        <f t="shared" si="16"/>
        <v>805.18096933297011</v>
      </c>
      <c r="AH51" s="120">
        <f t="shared" si="16"/>
        <v>421.9186496546231</v>
      </c>
      <c r="AI51" s="120">
        <f t="shared" si="16"/>
        <v>805.18096933297011</v>
      </c>
      <c r="AJ51" s="120">
        <f t="shared" si="16"/>
        <v>421.9186496546231</v>
      </c>
      <c r="AK51" s="120">
        <f t="shared" si="16"/>
        <v>805.18096933297011</v>
      </c>
      <c r="AL51" s="120">
        <f t="shared" si="16"/>
        <v>0</v>
      </c>
      <c r="AM51" s="120">
        <f t="shared" si="16"/>
        <v>421.9186496546231</v>
      </c>
      <c r="AN51" s="120">
        <f t="shared" si="16"/>
        <v>805.18096933297011</v>
      </c>
      <c r="AO51" s="120">
        <f t="shared" si="16"/>
        <v>421.9186496546231</v>
      </c>
      <c r="AP51" s="120">
        <f t="shared" si="16"/>
        <v>0</v>
      </c>
      <c r="AQ51" s="120">
        <f t="shared" si="16"/>
        <v>421.9186496546231</v>
      </c>
      <c r="AR51" s="120">
        <f t="shared" si="16"/>
        <v>805.18096933297011</v>
      </c>
      <c r="AS51" s="120">
        <f t="shared" si="16"/>
        <v>421.9186496546231</v>
      </c>
      <c r="AT51" s="120">
        <f t="shared" si="16"/>
        <v>805.18096933297011</v>
      </c>
      <c r="AU51" s="120">
        <f t="shared" si="16"/>
        <v>421.9186496546231</v>
      </c>
      <c r="AV51" s="120">
        <f t="shared" si="16"/>
        <v>805.18096933297011</v>
      </c>
      <c r="AW51" s="120">
        <f t="shared" si="16"/>
        <v>0</v>
      </c>
      <c r="AX51" s="120">
        <f t="shared" si="16"/>
        <v>421.9186496546231</v>
      </c>
      <c r="AY51" s="120">
        <f t="shared" si="16"/>
        <v>805.18096933297011</v>
      </c>
    </row>
    <row r="52" spans="1:52" x14ac:dyDescent="0.2">
      <c r="A52" s="120"/>
      <c r="B52" s="175" t="s">
        <v>351</v>
      </c>
      <c r="C52" s="120"/>
      <c r="D52" s="120">
        <v>1</v>
      </c>
      <c r="E52" s="120">
        <v>1</v>
      </c>
      <c r="F52" s="120">
        <v>1</v>
      </c>
      <c r="G52" s="120">
        <v>2</v>
      </c>
      <c r="H52" s="120">
        <v>3</v>
      </c>
      <c r="I52" s="120">
        <v>1</v>
      </c>
      <c r="J52" s="120">
        <v>2</v>
      </c>
      <c r="K52" s="120">
        <v>1</v>
      </c>
      <c r="L52" s="120">
        <v>1</v>
      </c>
      <c r="M52" s="120">
        <v>1</v>
      </c>
      <c r="N52" s="120">
        <v>1</v>
      </c>
      <c r="O52" s="120">
        <v>1</v>
      </c>
      <c r="P52" s="120">
        <v>1</v>
      </c>
      <c r="Q52" s="120">
        <v>1</v>
      </c>
      <c r="R52" s="120">
        <v>2</v>
      </c>
      <c r="S52" s="120">
        <v>2</v>
      </c>
      <c r="T52" s="120">
        <v>2</v>
      </c>
      <c r="U52" s="120">
        <v>1</v>
      </c>
      <c r="V52" s="120">
        <v>1</v>
      </c>
      <c r="W52" s="120">
        <v>1</v>
      </c>
      <c r="X52" s="120">
        <v>1</v>
      </c>
      <c r="Y52" s="120">
        <v>3</v>
      </c>
      <c r="Z52" s="120">
        <v>1</v>
      </c>
      <c r="AA52" s="120">
        <v>3</v>
      </c>
      <c r="AB52" s="120">
        <v>3</v>
      </c>
      <c r="AC52" s="120">
        <v>1</v>
      </c>
      <c r="AD52" s="120">
        <v>2</v>
      </c>
      <c r="AE52" s="120">
        <v>1</v>
      </c>
      <c r="AF52" s="120">
        <v>2</v>
      </c>
      <c r="AG52" s="120">
        <v>2</v>
      </c>
      <c r="AH52" s="120">
        <v>2</v>
      </c>
      <c r="AI52" s="120">
        <v>2</v>
      </c>
      <c r="AJ52" s="120">
        <v>1</v>
      </c>
      <c r="AK52" s="120">
        <v>2</v>
      </c>
      <c r="AL52" s="120">
        <v>1</v>
      </c>
      <c r="AM52" s="120">
        <v>1</v>
      </c>
      <c r="AN52" s="120">
        <v>1</v>
      </c>
      <c r="AO52" s="120">
        <v>1</v>
      </c>
      <c r="AP52" s="120">
        <v>1</v>
      </c>
      <c r="AQ52" s="120">
        <v>3</v>
      </c>
      <c r="AR52" s="120">
        <v>2</v>
      </c>
      <c r="AS52" s="120">
        <v>1</v>
      </c>
      <c r="AT52" s="120">
        <v>1</v>
      </c>
      <c r="AU52" s="120">
        <v>1</v>
      </c>
      <c r="AV52" s="120">
        <v>1</v>
      </c>
      <c r="AW52" s="120">
        <v>1</v>
      </c>
      <c r="AX52" s="120">
        <v>1</v>
      </c>
      <c r="AY52" s="120">
        <v>2</v>
      </c>
    </row>
    <row r="53" spans="1:52" x14ac:dyDescent="0.2">
      <c r="A53" s="120"/>
      <c r="B53" s="188" t="s">
        <v>352</v>
      </c>
      <c r="C53" s="120"/>
      <c r="D53" s="120">
        <v>180720</v>
      </c>
      <c r="E53" s="120">
        <v>0</v>
      </c>
      <c r="F53" s="120">
        <v>253008</v>
      </c>
      <c r="G53" s="120">
        <v>0</v>
      </c>
      <c r="H53" s="120">
        <v>253008</v>
      </c>
      <c r="I53" s="120">
        <v>0</v>
      </c>
      <c r="J53" s="120">
        <v>253008</v>
      </c>
      <c r="K53" s="120">
        <v>0</v>
      </c>
      <c r="L53" s="120">
        <v>253008</v>
      </c>
      <c r="M53" s="120">
        <v>0</v>
      </c>
      <c r="N53" s="120">
        <v>253008</v>
      </c>
      <c r="O53" s="120">
        <v>0</v>
      </c>
      <c r="P53" s="120">
        <v>253008</v>
      </c>
      <c r="Q53" s="120">
        <v>0</v>
      </c>
      <c r="R53" s="120">
        <v>253008</v>
      </c>
      <c r="S53" s="120">
        <v>0</v>
      </c>
      <c r="T53" s="120">
        <v>253008</v>
      </c>
      <c r="U53" s="120">
        <v>0</v>
      </c>
      <c r="V53" s="120">
        <v>253008</v>
      </c>
      <c r="W53" s="120">
        <v>0</v>
      </c>
      <c r="X53" s="120">
        <v>0</v>
      </c>
      <c r="Y53" s="120">
        <v>253008</v>
      </c>
      <c r="Z53" s="120">
        <v>0</v>
      </c>
      <c r="AA53" s="120">
        <v>253008</v>
      </c>
      <c r="AB53" s="120">
        <v>0</v>
      </c>
      <c r="AC53" s="120">
        <v>0</v>
      </c>
      <c r="AD53" s="120">
        <v>253008</v>
      </c>
      <c r="AE53" s="120">
        <v>0</v>
      </c>
      <c r="AF53" s="120">
        <v>253008</v>
      </c>
      <c r="AG53" s="120">
        <v>0</v>
      </c>
      <c r="AH53" s="120">
        <v>253008</v>
      </c>
      <c r="AI53" s="120">
        <v>0</v>
      </c>
      <c r="AJ53" s="120">
        <v>253008</v>
      </c>
      <c r="AK53" s="120">
        <v>0</v>
      </c>
      <c r="AL53" s="120">
        <v>0</v>
      </c>
      <c r="AM53" s="120">
        <v>253008</v>
      </c>
      <c r="AN53" s="120">
        <v>0</v>
      </c>
      <c r="AO53" s="120">
        <v>253008</v>
      </c>
      <c r="AP53" s="120">
        <v>0</v>
      </c>
      <c r="AQ53" s="120">
        <v>253008</v>
      </c>
      <c r="AR53" s="120">
        <v>0</v>
      </c>
      <c r="AS53" s="120">
        <v>253008</v>
      </c>
      <c r="AT53" s="120">
        <v>0</v>
      </c>
      <c r="AU53" s="120">
        <v>253008</v>
      </c>
      <c r="AV53" s="120">
        <v>0</v>
      </c>
      <c r="AW53" s="120">
        <v>0</v>
      </c>
      <c r="AX53" s="120">
        <v>253008</v>
      </c>
      <c r="AY53" s="120">
        <v>0</v>
      </c>
      <c r="AZ53" s="110">
        <f>SUM($D$53:$AY$53)</f>
        <v>5493888</v>
      </c>
    </row>
    <row r="54" spans="1:52" x14ac:dyDescent="0.2">
      <c r="A54" s="120"/>
      <c r="B54" s="188" t="s">
        <v>353</v>
      </c>
      <c r="C54" s="120"/>
      <c r="D54" s="120">
        <v>7491.3436031653673</v>
      </c>
      <c r="E54" s="120">
        <v>287914.63563601783</v>
      </c>
      <c r="F54" s="120">
        <v>150868.63563601777</v>
      </c>
      <c r="G54" s="120">
        <v>287914.63563601783</v>
      </c>
      <c r="H54" s="120">
        <v>150868.63563601777</v>
      </c>
      <c r="I54" s="120">
        <v>287914.63563601783</v>
      </c>
      <c r="J54" s="120">
        <v>150868.63563601777</v>
      </c>
      <c r="K54" s="120">
        <v>0</v>
      </c>
      <c r="L54" s="120">
        <v>150868.63563601777</v>
      </c>
      <c r="M54" s="120">
        <v>287914.63563601783</v>
      </c>
      <c r="N54" s="120">
        <v>150868.63563601777</v>
      </c>
      <c r="O54" s="120">
        <v>287914.63563601783</v>
      </c>
      <c r="P54" s="120">
        <v>150868.63563601777</v>
      </c>
      <c r="Q54" s="120">
        <v>287914.63563601783</v>
      </c>
      <c r="R54" s="120">
        <v>150868.63563601777</v>
      </c>
      <c r="S54" s="120">
        <v>287914.63563601783</v>
      </c>
      <c r="T54" s="120">
        <v>150868.63563601777</v>
      </c>
      <c r="U54" s="120">
        <v>287914.63563601783</v>
      </c>
      <c r="V54" s="120">
        <v>150868.63563601777</v>
      </c>
      <c r="W54" s="120">
        <v>287914.63563601783</v>
      </c>
      <c r="X54" s="120">
        <v>0</v>
      </c>
      <c r="Y54" s="120">
        <v>150868.63563601777</v>
      </c>
      <c r="Z54" s="120">
        <v>0</v>
      </c>
      <c r="AA54" s="120">
        <v>150868.63563601777</v>
      </c>
      <c r="AB54" s="120">
        <v>287914.63563601783</v>
      </c>
      <c r="AC54" s="120">
        <v>0</v>
      </c>
      <c r="AD54" s="120">
        <v>150868.63563601777</v>
      </c>
      <c r="AE54" s="120">
        <v>287914.63563601783</v>
      </c>
      <c r="AF54" s="120">
        <v>150868.63563601777</v>
      </c>
      <c r="AG54" s="120">
        <v>287914.63563601783</v>
      </c>
      <c r="AH54" s="120">
        <v>150868.63563601777</v>
      </c>
      <c r="AI54" s="120">
        <v>287914.63563601783</v>
      </c>
      <c r="AJ54" s="120">
        <v>150868.63563601777</v>
      </c>
      <c r="AK54" s="120">
        <v>287914.63563601783</v>
      </c>
      <c r="AL54" s="120">
        <v>0</v>
      </c>
      <c r="AM54" s="120">
        <v>150868.63563601777</v>
      </c>
      <c r="AN54" s="120">
        <v>287914.63563601783</v>
      </c>
      <c r="AO54" s="120">
        <v>150868.63563601777</v>
      </c>
      <c r="AP54" s="120">
        <v>0</v>
      </c>
      <c r="AQ54" s="120">
        <v>150868.63563601777</v>
      </c>
      <c r="AR54" s="120">
        <v>287914.63563601783</v>
      </c>
      <c r="AS54" s="120">
        <v>150868.63563601777</v>
      </c>
      <c r="AT54" s="120">
        <v>287914.63563601783</v>
      </c>
      <c r="AU54" s="120">
        <v>150868.63563601777</v>
      </c>
      <c r="AV54" s="120">
        <v>287914.63563601783</v>
      </c>
      <c r="AW54" s="120">
        <v>0</v>
      </c>
      <c r="AX54" s="120">
        <v>150868.63563601777</v>
      </c>
      <c r="AY54" s="120">
        <v>287914.63563601783</v>
      </c>
      <c r="AZ54" s="110">
        <f>SUM($D$54:$AY$54)</f>
        <v>8646110.769043874</v>
      </c>
    </row>
    <row r="55" spans="1:52" x14ac:dyDescent="0.2">
      <c r="A55" s="145" t="s">
        <v>66</v>
      </c>
      <c r="B55" s="145" t="s">
        <v>343</v>
      </c>
      <c r="C55" s="134"/>
      <c r="D55" s="134">
        <f>D$21*shipping_manufacturing!$D$29/100</f>
        <v>15.93645294623772</v>
      </c>
      <c r="E55" s="134">
        <f>E$21*shipping_manufacturing!$D$29/100</f>
        <v>43.540325891316058</v>
      </c>
      <c r="F55" s="134">
        <f>F$21*shipping_manufacturing!$D$29/100</f>
        <v>43.540325891316058</v>
      </c>
      <c r="G55" s="134">
        <f>G$21*shipping_manufacturing!$D$29/100</f>
        <v>43.540325891316058</v>
      </c>
      <c r="H55" s="134">
        <f>H$21*shipping_manufacturing!$D$29/100</f>
        <v>43.540325891316058</v>
      </c>
      <c r="I55" s="134">
        <f>I$21*shipping_manufacturing!$D$29/100</f>
        <v>43.540325891316058</v>
      </c>
      <c r="J55" s="134">
        <f>J$21*shipping_manufacturing!$D$29/100</f>
        <v>43.540325891316058</v>
      </c>
      <c r="K55" s="134">
        <f>K$21*shipping_manufacturing!$D$29/100</f>
        <v>0</v>
      </c>
      <c r="L55" s="134">
        <f>L$21*shipping_manufacturing!$D$29/100</f>
        <v>43.540325891316058</v>
      </c>
      <c r="M55" s="134">
        <f>M$21*shipping_manufacturing!$D$29/100</f>
        <v>43.540325891316058</v>
      </c>
      <c r="N55" s="134">
        <f>N$21*shipping_manufacturing!$D$29/100</f>
        <v>43.540325891316058</v>
      </c>
      <c r="O55" s="134">
        <f>O$21*shipping_manufacturing!$D$29/100</f>
        <v>43.540325891316058</v>
      </c>
      <c r="P55" s="134">
        <f>P$21*shipping_manufacturing!$D$29/100</f>
        <v>43.540325891316058</v>
      </c>
      <c r="Q55" s="134">
        <f>Q$21*shipping_manufacturing!$D$29/100</f>
        <v>43.540325891316058</v>
      </c>
      <c r="R55" s="134">
        <f>R$21*shipping_manufacturing!$D$29/100</f>
        <v>43.540325891316058</v>
      </c>
      <c r="S55" s="134">
        <f>S$21*shipping_manufacturing!$D$29/100</f>
        <v>43.540325891316058</v>
      </c>
      <c r="T55" s="134">
        <f>T$21*shipping_manufacturing!$D$29/100</f>
        <v>43.540325891316058</v>
      </c>
      <c r="U55" s="134">
        <f>U$21*shipping_manufacturing!$D$29/100</f>
        <v>43.540325891316058</v>
      </c>
      <c r="V55" s="134">
        <f>V$21*shipping_manufacturing!$D$29/100</f>
        <v>43.540325891316058</v>
      </c>
      <c r="W55" s="134">
        <f>W$21*shipping_manufacturing!$D$29/100</f>
        <v>43.540325891316058</v>
      </c>
      <c r="X55" s="134">
        <f>X$21*shipping_manufacturing!$D$29/100</f>
        <v>0</v>
      </c>
      <c r="Y55" s="134">
        <f>Y$21*shipping_manufacturing!$D$29/100</f>
        <v>43.540325891316058</v>
      </c>
      <c r="Z55" s="134">
        <f>Z$21*shipping_manufacturing!$D$29/100</f>
        <v>0</v>
      </c>
      <c r="AA55" s="134">
        <f>AA$21*shipping_manufacturing!$D$29/100</f>
        <v>43.540325891316058</v>
      </c>
      <c r="AB55" s="134">
        <f>AB$21*shipping_manufacturing!$D$29/100</f>
        <v>43.540325891316058</v>
      </c>
      <c r="AC55" s="134">
        <f>AC$21*shipping_manufacturing!$D$29/100</f>
        <v>0</v>
      </c>
      <c r="AD55" s="134">
        <f>AD$21*shipping_manufacturing!$D$29/100</f>
        <v>43.540325891316058</v>
      </c>
      <c r="AE55" s="134">
        <f>AE$21*shipping_manufacturing!$D$29/100</f>
        <v>43.540325891316058</v>
      </c>
      <c r="AF55" s="134">
        <f>AF$21*shipping_manufacturing!$D$29/100</f>
        <v>43.540325891316058</v>
      </c>
      <c r="AG55" s="134">
        <f>AG$21*shipping_manufacturing!$D$29/100</f>
        <v>43.540325891316058</v>
      </c>
      <c r="AH55" s="134">
        <f>AH$21*shipping_manufacturing!$D$29/100</f>
        <v>43.540325891316058</v>
      </c>
      <c r="AI55" s="134">
        <f>AI$21*shipping_manufacturing!$D$29/100</f>
        <v>43.540325891316058</v>
      </c>
      <c r="AJ55" s="134">
        <f>AJ$21*shipping_manufacturing!$D$29/100</f>
        <v>43.540325891316058</v>
      </c>
      <c r="AK55" s="134">
        <f>AK$21*shipping_manufacturing!$D$29/100</f>
        <v>43.540325891316058</v>
      </c>
      <c r="AL55" s="134">
        <f>AL$21*shipping_manufacturing!$D$29/100</f>
        <v>0</v>
      </c>
      <c r="AM55" s="134">
        <f>AM$21*shipping_manufacturing!$D$29/100</f>
        <v>43.540325891316058</v>
      </c>
      <c r="AN55" s="134">
        <f>AN$21*shipping_manufacturing!$D$29/100</f>
        <v>43.540325891316058</v>
      </c>
      <c r="AO55" s="134">
        <f>AO$21*shipping_manufacturing!$D$29/100</f>
        <v>43.540325891316058</v>
      </c>
      <c r="AP55" s="134">
        <f>AP$21*shipping_manufacturing!$D$29/100</f>
        <v>0</v>
      </c>
      <c r="AQ55" s="134">
        <f>AQ$21*shipping_manufacturing!$D$29/100</f>
        <v>43.540325891316058</v>
      </c>
      <c r="AR55" s="134">
        <f>AR$21*shipping_manufacturing!$D$29/100</f>
        <v>43.540325891316058</v>
      </c>
      <c r="AS55" s="134">
        <f>AS$21*shipping_manufacturing!$D$29/100</f>
        <v>43.540325891316058</v>
      </c>
      <c r="AT55" s="134">
        <f>AT$21*shipping_manufacturing!$D$29/100</f>
        <v>43.540325891316058</v>
      </c>
      <c r="AU55" s="134">
        <f>AU$21*shipping_manufacturing!$D$29/100</f>
        <v>43.540325891316058</v>
      </c>
      <c r="AV55" s="134">
        <f>AV$21*shipping_manufacturing!$D$29/100</f>
        <v>43.540325891316058</v>
      </c>
      <c r="AW55" s="134">
        <f>AW$21*shipping_manufacturing!$D$29/100</f>
        <v>0</v>
      </c>
      <c r="AX55" s="134">
        <f>AX$21*shipping_manufacturing!$D$29/100</f>
        <v>43.540325891316058</v>
      </c>
      <c r="AY55" s="134">
        <f>AY$21*shipping_manufacturing!$D$29/100</f>
        <v>43.540325891316058</v>
      </c>
    </row>
    <row r="56" spans="1:52" x14ac:dyDescent="0.2">
      <c r="A56" s="123" t="s">
        <v>342</v>
      </c>
      <c r="B56" s="175" t="s">
        <v>344</v>
      </c>
      <c r="C56" s="120"/>
      <c r="D56" s="120">
        <f>D$22*shipping_manufacturing!$E$29/100</f>
        <v>62.177656622665992</v>
      </c>
      <c r="E56" s="120">
        <f>E$22*shipping_manufacturing!$E$29/100</f>
        <v>169.87691311499452</v>
      </c>
      <c r="F56" s="120">
        <f>F$22*shipping_manufacturing!$E$29/100</f>
        <v>169.87691311499452</v>
      </c>
      <c r="G56" s="120">
        <f>G$22*shipping_manufacturing!$E$29/100</f>
        <v>169.87691311499452</v>
      </c>
      <c r="H56" s="120">
        <f>H$22*shipping_manufacturing!$E$29/100</f>
        <v>169.87691311499452</v>
      </c>
      <c r="I56" s="120">
        <f>I$22*shipping_manufacturing!$E$29/100</f>
        <v>169.87691311499452</v>
      </c>
      <c r="J56" s="120">
        <f>J$22*shipping_manufacturing!$E$29/100</f>
        <v>169.87691311499452</v>
      </c>
      <c r="K56" s="120">
        <f>K$22*shipping_manufacturing!$E$29/100</f>
        <v>0</v>
      </c>
      <c r="L56" s="120">
        <f>L$22*shipping_manufacturing!$E$29/100</f>
        <v>169.87691311499452</v>
      </c>
      <c r="M56" s="120">
        <f>M$22*shipping_manufacturing!$E$29/100</f>
        <v>169.87691311499452</v>
      </c>
      <c r="N56" s="120">
        <f>N$22*shipping_manufacturing!$E$29/100</f>
        <v>169.87691311499452</v>
      </c>
      <c r="O56" s="120">
        <f>O$22*shipping_manufacturing!$E$29/100</f>
        <v>169.87691311499452</v>
      </c>
      <c r="P56" s="120">
        <f>P$22*shipping_manufacturing!$E$29/100</f>
        <v>169.87691311499452</v>
      </c>
      <c r="Q56" s="120">
        <f>Q$22*shipping_manufacturing!$E$29/100</f>
        <v>169.87691311499452</v>
      </c>
      <c r="R56" s="120">
        <f>R$22*shipping_manufacturing!$E$29/100</f>
        <v>169.87691311499452</v>
      </c>
      <c r="S56" s="120">
        <f>S$22*shipping_manufacturing!$E$29/100</f>
        <v>169.87691311499452</v>
      </c>
      <c r="T56" s="120">
        <f>T$22*shipping_manufacturing!$E$29/100</f>
        <v>169.87691311499452</v>
      </c>
      <c r="U56" s="120">
        <f>U$22*shipping_manufacturing!$E$29/100</f>
        <v>169.87691311499452</v>
      </c>
      <c r="V56" s="120">
        <f>V$22*shipping_manufacturing!$E$29/100</f>
        <v>169.87691311499452</v>
      </c>
      <c r="W56" s="120">
        <f>W$22*shipping_manufacturing!$E$29/100</f>
        <v>169.87691311499452</v>
      </c>
      <c r="X56" s="120">
        <f>X$22*shipping_manufacturing!$E$29/100</f>
        <v>0</v>
      </c>
      <c r="Y56" s="120">
        <f>Y$22*shipping_manufacturing!$E$29/100</f>
        <v>169.87691311499452</v>
      </c>
      <c r="Z56" s="120">
        <f>Z$22*shipping_manufacturing!$E$29/100</f>
        <v>0</v>
      </c>
      <c r="AA56" s="120">
        <f>AA$22*shipping_manufacturing!$E$29/100</f>
        <v>169.87691311499452</v>
      </c>
      <c r="AB56" s="120">
        <f>AB$22*shipping_manufacturing!$E$29/100</f>
        <v>169.87691311499452</v>
      </c>
      <c r="AC56" s="120">
        <f>AC$22*shipping_manufacturing!$E$29/100</f>
        <v>0</v>
      </c>
      <c r="AD56" s="120">
        <f>AD$22*shipping_manufacturing!$E$29/100</f>
        <v>169.87691311499452</v>
      </c>
      <c r="AE56" s="120">
        <f>AE$22*shipping_manufacturing!$E$29/100</f>
        <v>169.87691311499452</v>
      </c>
      <c r="AF56" s="120">
        <f>AF$22*shipping_manufacturing!$E$29/100</f>
        <v>169.87691311499452</v>
      </c>
      <c r="AG56" s="120">
        <f>AG$22*shipping_manufacturing!$E$29/100</f>
        <v>169.87691311499452</v>
      </c>
      <c r="AH56" s="120">
        <f>AH$22*shipping_manufacturing!$E$29/100</f>
        <v>169.87691311499452</v>
      </c>
      <c r="AI56" s="120">
        <f>AI$22*shipping_manufacturing!$E$29/100</f>
        <v>169.87691311499452</v>
      </c>
      <c r="AJ56" s="120">
        <f>AJ$22*shipping_manufacturing!$E$29/100</f>
        <v>169.87691311499452</v>
      </c>
      <c r="AK56" s="120">
        <f>AK$22*shipping_manufacturing!$E$29/100</f>
        <v>169.87691311499452</v>
      </c>
      <c r="AL56" s="120">
        <f>AL$22*shipping_manufacturing!$E$29/100</f>
        <v>0</v>
      </c>
      <c r="AM56" s="120">
        <f>AM$22*shipping_manufacturing!$E$29/100</f>
        <v>169.87691311499452</v>
      </c>
      <c r="AN56" s="120">
        <f>AN$22*shipping_manufacturing!$E$29/100</f>
        <v>169.87691311499452</v>
      </c>
      <c r="AO56" s="120">
        <f>AO$22*shipping_manufacturing!$E$29/100</f>
        <v>169.87691311499452</v>
      </c>
      <c r="AP56" s="120">
        <f>AP$22*shipping_manufacturing!$E$29/100</f>
        <v>0</v>
      </c>
      <c r="AQ56" s="120">
        <f>AQ$22*shipping_manufacturing!$E$29/100</f>
        <v>169.87691311499452</v>
      </c>
      <c r="AR56" s="120">
        <f>AR$22*shipping_manufacturing!$E$29/100</f>
        <v>169.87691311499452</v>
      </c>
      <c r="AS56" s="120">
        <f>AS$22*shipping_manufacturing!$E$29/100</f>
        <v>169.87691311499452</v>
      </c>
      <c r="AT56" s="120">
        <f>AT$22*shipping_manufacturing!$E$29/100</f>
        <v>169.87691311499452</v>
      </c>
      <c r="AU56" s="120">
        <f>AU$22*shipping_manufacturing!$E$29/100</f>
        <v>169.87691311499452</v>
      </c>
      <c r="AV56" s="120">
        <f>AV$22*shipping_manufacturing!$E$29/100</f>
        <v>169.87691311499452</v>
      </c>
      <c r="AW56" s="120">
        <f>AW$22*shipping_manufacturing!$E$29/100</f>
        <v>0</v>
      </c>
      <c r="AX56" s="120">
        <f>AX$22*shipping_manufacturing!$E$29/100</f>
        <v>169.87691311499452</v>
      </c>
      <c r="AY56" s="120">
        <f>AY$22*shipping_manufacturing!$E$29/100</f>
        <v>169.87691311499452</v>
      </c>
    </row>
    <row r="57" spans="1:52" x14ac:dyDescent="0.2">
      <c r="A57" s="120">
        <v>1797</v>
      </c>
      <c r="B57" s="175" t="s">
        <v>345</v>
      </c>
      <c r="C57" s="120"/>
      <c r="D57" s="120">
        <f>SUM(D55:D56)</f>
        <v>78.114109568903714</v>
      </c>
      <c r="E57" s="120">
        <f t="shared" ref="E57:AY57" si="17">SUM(E55:E56)</f>
        <v>213.41723900631058</v>
      </c>
      <c r="F57" s="120">
        <f t="shared" si="17"/>
        <v>213.41723900631058</v>
      </c>
      <c r="G57" s="120">
        <f t="shared" si="17"/>
        <v>213.41723900631058</v>
      </c>
      <c r="H57" s="120">
        <f t="shared" si="17"/>
        <v>213.41723900631058</v>
      </c>
      <c r="I57" s="120">
        <f t="shared" si="17"/>
        <v>213.41723900631058</v>
      </c>
      <c r="J57" s="120">
        <f t="shared" si="17"/>
        <v>213.41723900631058</v>
      </c>
      <c r="K57" s="120">
        <f t="shared" si="17"/>
        <v>0</v>
      </c>
      <c r="L57" s="120">
        <f t="shared" si="17"/>
        <v>213.41723900631058</v>
      </c>
      <c r="M57" s="120">
        <f t="shared" si="17"/>
        <v>213.41723900631058</v>
      </c>
      <c r="N57" s="120">
        <f t="shared" si="17"/>
        <v>213.41723900631058</v>
      </c>
      <c r="O57" s="120">
        <f t="shared" si="17"/>
        <v>213.41723900631058</v>
      </c>
      <c r="P57" s="120">
        <f t="shared" si="17"/>
        <v>213.41723900631058</v>
      </c>
      <c r="Q57" s="120">
        <f t="shared" si="17"/>
        <v>213.41723900631058</v>
      </c>
      <c r="R57" s="120">
        <f t="shared" si="17"/>
        <v>213.41723900631058</v>
      </c>
      <c r="S57" s="120">
        <f t="shared" si="17"/>
        <v>213.41723900631058</v>
      </c>
      <c r="T57" s="120">
        <f t="shared" si="17"/>
        <v>213.41723900631058</v>
      </c>
      <c r="U57" s="120">
        <f t="shared" si="17"/>
        <v>213.41723900631058</v>
      </c>
      <c r="V57" s="120">
        <f t="shared" si="17"/>
        <v>213.41723900631058</v>
      </c>
      <c r="W57" s="120">
        <f t="shared" si="17"/>
        <v>213.41723900631058</v>
      </c>
      <c r="X57" s="120">
        <f t="shared" si="17"/>
        <v>0</v>
      </c>
      <c r="Y57" s="120">
        <f t="shared" si="17"/>
        <v>213.41723900631058</v>
      </c>
      <c r="Z57" s="120">
        <f t="shared" si="17"/>
        <v>0</v>
      </c>
      <c r="AA57" s="120">
        <f t="shared" si="17"/>
        <v>213.41723900631058</v>
      </c>
      <c r="AB57" s="120">
        <f t="shared" si="17"/>
        <v>213.41723900631058</v>
      </c>
      <c r="AC57" s="120">
        <f t="shared" si="17"/>
        <v>0</v>
      </c>
      <c r="AD57" s="120">
        <f t="shared" si="17"/>
        <v>213.41723900631058</v>
      </c>
      <c r="AE57" s="120">
        <f t="shared" si="17"/>
        <v>213.41723900631058</v>
      </c>
      <c r="AF57" s="120">
        <f t="shared" si="17"/>
        <v>213.41723900631058</v>
      </c>
      <c r="AG57" s="120">
        <f t="shared" si="17"/>
        <v>213.41723900631058</v>
      </c>
      <c r="AH57" s="120">
        <f t="shared" si="17"/>
        <v>213.41723900631058</v>
      </c>
      <c r="AI57" s="120">
        <f t="shared" si="17"/>
        <v>213.41723900631058</v>
      </c>
      <c r="AJ57" s="120">
        <f t="shared" si="17"/>
        <v>213.41723900631058</v>
      </c>
      <c r="AK57" s="120">
        <f t="shared" si="17"/>
        <v>213.41723900631058</v>
      </c>
      <c r="AL57" s="120">
        <f t="shared" si="17"/>
        <v>0</v>
      </c>
      <c r="AM57" s="120">
        <f t="shared" si="17"/>
        <v>213.41723900631058</v>
      </c>
      <c r="AN57" s="120">
        <f t="shared" si="17"/>
        <v>213.41723900631058</v>
      </c>
      <c r="AO57" s="120">
        <f t="shared" si="17"/>
        <v>213.41723900631058</v>
      </c>
      <c r="AP57" s="120">
        <f t="shared" si="17"/>
        <v>0</v>
      </c>
      <c r="AQ57" s="120">
        <f t="shared" si="17"/>
        <v>213.41723900631058</v>
      </c>
      <c r="AR57" s="120">
        <f t="shared" si="17"/>
        <v>213.41723900631058</v>
      </c>
      <c r="AS57" s="120">
        <f t="shared" si="17"/>
        <v>213.41723900631058</v>
      </c>
      <c r="AT57" s="120">
        <f t="shared" si="17"/>
        <v>213.41723900631058</v>
      </c>
      <c r="AU57" s="120">
        <f t="shared" si="17"/>
        <v>213.41723900631058</v>
      </c>
      <c r="AV57" s="120">
        <f t="shared" si="17"/>
        <v>213.41723900631058</v>
      </c>
      <c r="AW57" s="120">
        <f t="shared" si="17"/>
        <v>0</v>
      </c>
      <c r="AX57" s="120">
        <f t="shared" si="17"/>
        <v>213.41723900631058</v>
      </c>
      <c r="AY57" s="120">
        <f t="shared" si="17"/>
        <v>213.41723900631058</v>
      </c>
    </row>
    <row r="58" spans="1:52" x14ac:dyDescent="0.2">
      <c r="A58" s="120"/>
      <c r="B58" s="175" t="s">
        <v>346</v>
      </c>
      <c r="C58" s="120"/>
      <c r="D58" s="120">
        <v>12.240902214097693</v>
      </c>
      <c r="E58" s="120"/>
      <c r="F58" s="120"/>
      <c r="G58" s="120"/>
      <c r="H58" s="120"/>
      <c r="I58" s="120"/>
      <c r="J58" s="120"/>
      <c r="K58" s="120"/>
      <c r="L58" s="120"/>
      <c r="M58" s="120"/>
      <c r="N58" s="120"/>
      <c r="O58" s="120"/>
      <c r="P58" s="120"/>
      <c r="Q58" s="120"/>
      <c r="R58" s="120"/>
      <c r="S58" s="120"/>
      <c r="T58" s="120"/>
      <c r="U58" s="120"/>
      <c r="V58" s="120"/>
      <c r="W58" s="120"/>
      <c r="X58" s="120"/>
      <c r="Y58" s="120"/>
      <c r="Z58" s="120"/>
      <c r="AA58" s="120"/>
      <c r="AB58" s="120"/>
      <c r="AC58" s="120"/>
      <c r="AD58" s="120"/>
      <c r="AE58" s="120"/>
      <c r="AF58" s="120"/>
      <c r="AG58" s="120"/>
      <c r="AH58" s="120"/>
      <c r="AI58" s="120"/>
      <c r="AJ58" s="120"/>
      <c r="AK58" s="120"/>
      <c r="AL58" s="120"/>
      <c r="AM58" s="120"/>
      <c r="AN58" s="120"/>
      <c r="AO58" s="120"/>
      <c r="AP58" s="120"/>
      <c r="AQ58" s="120"/>
      <c r="AR58" s="120"/>
      <c r="AS58" s="120"/>
      <c r="AT58" s="120"/>
      <c r="AU58" s="120"/>
      <c r="AV58" s="120"/>
      <c r="AW58" s="120"/>
      <c r="AX58" s="120"/>
      <c r="AY58" s="120"/>
    </row>
    <row r="59" spans="1:52" x14ac:dyDescent="0.2">
      <c r="A59" s="120"/>
      <c r="B59" s="175" t="s">
        <v>347</v>
      </c>
      <c r="C59" s="120"/>
      <c r="D59" s="120">
        <v>47.759097785902306</v>
      </c>
      <c r="E59" s="120"/>
      <c r="F59" s="120"/>
      <c r="G59" s="120"/>
      <c r="H59" s="120"/>
      <c r="I59" s="120"/>
      <c r="J59" s="120"/>
      <c r="K59" s="120"/>
      <c r="L59" s="120"/>
      <c r="M59" s="120"/>
      <c r="N59" s="120"/>
      <c r="O59" s="120"/>
      <c r="P59" s="120"/>
      <c r="Q59" s="120"/>
      <c r="R59" s="120"/>
      <c r="S59" s="120"/>
      <c r="T59" s="120"/>
      <c r="U59" s="120"/>
      <c r="V59" s="120"/>
      <c r="W59" s="120"/>
      <c r="X59" s="120"/>
      <c r="Y59" s="120"/>
      <c r="Z59" s="120"/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  <c r="AO59" s="120"/>
      <c r="AP59" s="120"/>
      <c r="AQ59" s="120"/>
      <c r="AR59" s="120"/>
      <c r="AS59" s="120"/>
      <c r="AT59" s="120"/>
      <c r="AU59" s="120"/>
      <c r="AV59" s="120"/>
      <c r="AW59" s="120"/>
      <c r="AX59" s="120"/>
      <c r="AY59" s="120"/>
    </row>
    <row r="60" spans="1:52" x14ac:dyDescent="0.2">
      <c r="A60" s="120"/>
      <c r="B60" s="175" t="s">
        <v>348</v>
      </c>
      <c r="C60" s="120"/>
      <c r="D60" s="120">
        <v>2</v>
      </c>
      <c r="E60" s="120"/>
      <c r="F60" s="120"/>
      <c r="G60" s="120"/>
      <c r="H60" s="120"/>
      <c r="I60" s="120"/>
      <c r="J60" s="120"/>
      <c r="K60" s="120"/>
      <c r="L60" s="120"/>
      <c r="M60" s="120"/>
      <c r="N60" s="120"/>
      <c r="O60" s="120"/>
      <c r="P60" s="120"/>
      <c r="Q60" s="120"/>
      <c r="R60" s="120"/>
      <c r="S60" s="120"/>
      <c r="T60" s="120"/>
      <c r="U60" s="120"/>
      <c r="V60" s="120"/>
      <c r="W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AQ60" s="120"/>
      <c r="AR60" s="120"/>
      <c r="AS60" s="120"/>
      <c r="AT60" s="120"/>
      <c r="AU60" s="120"/>
      <c r="AV60" s="120"/>
      <c r="AW60" s="120"/>
      <c r="AX60" s="120"/>
      <c r="AY60" s="120"/>
    </row>
    <row r="61" spans="1:52" x14ac:dyDescent="0.2">
      <c r="A61" s="120"/>
      <c r="B61" s="175" t="s">
        <v>349</v>
      </c>
      <c r="C61" s="120"/>
      <c r="D61" s="120">
        <f>D55-D58</f>
        <v>3.6955507321400276</v>
      </c>
      <c r="E61" s="120">
        <f t="shared" ref="E61:AY61" si="18">E55-E58</f>
        <v>43.540325891316058</v>
      </c>
      <c r="F61" s="120">
        <f t="shared" si="18"/>
        <v>43.540325891316058</v>
      </c>
      <c r="G61" s="120">
        <f t="shared" si="18"/>
        <v>43.540325891316058</v>
      </c>
      <c r="H61" s="120">
        <f t="shared" si="18"/>
        <v>43.540325891316058</v>
      </c>
      <c r="I61" s="120">
        <f t="shared" si="18"/>
        <v>43.540325891316058</v>
      </c>
      <c r="J61" s="120">
        <f t="shared" si="18"/>
        <v>43.540325891316058</v>
      </c>
      <c r="K61" s="120">
        <f t="shared" si="18"/>
        <v>0</v>
      </c>
      <c r="L61" s="120">
        <f t="shared" si="18"/>
        <v>43.540325891316058</v>
      </c>
      <c r="M61" s="120">
        <f t="shared" si="18"/>
        <v>43.540325891316058</v>
      </c>
      <c r="N61" s="120">
        <f t="shared" si="18"/>
        <v>43.540325891316058</v>
      </c>
      <c r="O61" s="120">
        <f t="shared" si="18"/>
        <v>43.540325891316058</v>
      </c>
      <c r="P61" s="120">
        <f t="shared" si="18"/>
        <v>43.540325891316058</v>
      </c>
      <c r="Q61" s="120">
        <f t="shared" si="18"/>
        <v>43.540325891316058</v>
      </c>
      <c r="R61" s="120">
        <f t="shared" si="18"/>
        <v>43.540325891316058</v>
      </c>
      <c r="S61" s="120">
        <f t="shared" si="18"/>
        <v>43.540325891316058</v>
      </c>
      <c r="T61" s="120">
        <f t="shared" si="18"/>
        <v>43.540325891316058</v>
      </c>
      <c r="U61" s="120">
        <f t="shared" si="18"/>
        <v>43.540325891316058</v>
      </c>
      <c r="V61" s="120">
        <f t="shared" si="18"/>
        <v>43.540325891316058</v>
      </c>
      <c r="W61" s="120">
        <f t="shared" si="18"/>
        <v>43.540325891316058</v>
      </c>
      <c r="X61" s="120">
        <f t="shared" si="18"/>
        <v>0</v>
      </c>
      <c r="Y61" s="120">
        <f t="shared" si="18"/>
        <v>43.540325891316058</v>
      </c>
      <c r="Z61" s="120">
        <f t="shared" si="18"/>
        <v>0</v>
      </c>
      <c r="AA61" s="120">
        <f t="shared" si="18"/>
        <v>43.540325891316058</v>
      </c>
      <c r="AB61" s="120">
        <f t="shared" si="18"/>
        <v>43.540325891316058</v>
      </c>
      <c r="AC61" s="120">
        <f t="shared" si="18"/>
        <v>0</v>
      </c>
      <c r="AD61" s="120">
        <f t="shared" si="18"/>
        <v>43.540325891316058</v>
      </c>
      <c r="AE61" s="120">
        <f t="shared" si="18"/>
        <v>43.540325891316058</v>
      </c>
      <c r="AF61" s="120">
        <f t="shared" si="18"/>
        <v>43.540325891316058</v>
      </c>
      <c r="AG61" s="120">
        <f t="shared" si="18"/>
        <v>43.540325891316058</v>
      </c>
      <c r="AH61" s="120">
        <f t="shared" si="18"/>
        <v>43.540325891316058</v>
      </c>
      <c r="AI61" s="120">
        <f t="shared" si="18"/>
        <v>43.540325891316058</v>
      </c>
      <c r="AJ61" s="120">
        <f t="shared" si="18"/>
        <v>43.540325891316058</v>
      </c>
      <c r="AK61" s="120">
        <f t="shared" si="18"/>
        <v>43.540325891316058</v>
      </c>
      <c r="AL61" s="120">
        <f t="shared" si="18"/>
        <v>0</v>
      </c>
      <c r="AM61" s="120">
        <f t="shared" si="18"/>
        <v>43.540325891316058</v>
      </c>
      <c r="AN61" s="120">
        <f t="shared" si="18"/>
        <v>43.540325891316058</v>
      </c>
      <c r="AO61" s="120">
        <f t="shared" si="18"/>
        <v>43.540325891316058</v>
      </c>
      <c r="AP61" s="120">
        <f t="shared" si="18"/>
        <v>0</v>
      </c>
      <c r="AQ61" s="120">
        <f t="shared" si="18"/>
        <v>43.540325891316058</v>
      </c>
      <c r="AR61" s="120">
        <f t="shared" si="18"/>
        <v>43.540325891316058</v>
      </c>
      <c r="AS61" s="120">
        <f t="shared" si="18"/>
        <v>43.540325891316058</v>
      </c>
      <c r="AT61" s="120">
        <f t="shared" si="18"/>
        <v>43.540325891316058</v>
      </c>
      <c r="AU61" s="120">
        <f t="shared" si="18"/>
        <v>43.540325891316058</v>
      </c>
      <c r="AV61" s="120">
        <f t="shared" si="18"/>
        <v>43.540325891316058</v>
      </c>
      <c r="AW61" s="120">
        <f t="shared" si="18"/>
        <v>0</v>
      </c>
      <c r="AX61" s="120">
        <f t="shared" si="18"/>
        <v>43.540325891316058</v>
      </c>
      <c r="AY61" s="120">
        <f t="shared" si="18"/>
        <v>43.540325891316058</v>
      </c>
    </row>
    <row r="62" spans="1:52" x14ac:dyDescent="0.2">
      <c r="A62" s="120"/>
      <c r="B62" s="175" t="s">
        <v>350</v>
      </c>
      <c r="C62" s="120"/>
      <c r="D62" s="120">
        <f>D56-D59</f>
        <v>14.418558836763687</v>
      </c>
      <c r="E62" s="120">
        <f t="shared" ref="E62:AY62" si="19">E56-E59</f>
        <v>169.87691311499452</v>
      </c>
      <c r="F62" s="120">
        <f t="shared" si="19"/>
        <v>169.87691311499452</v>
      </c>
      <c r="G62" s="120">
        <f t="shared" si="19"/>
        <v>169.87691311499452</v>
      </c>
      <c r="H62" s="120">
        <f t="shared" si="19"/>
        <v>169.87691311499452</v>
      </c>
      <c r="I62" s="120">
        <f t="shared" si="19"/>
        <v>169.87691311499452</v>
      </c>
      <c r="J62" s="120">
        <f t="shared" si="19"/>
        <v>169.87691311499452</v>
      </c>
      <c r="K62" s="120">
        <f t="shared" si="19"/>
        <v>0</v>
      </c>
      <c r="L62" s="120">
        <f t="shared" si="19"/>
        <v>169.87691311499452</v>
      </c>
      <c r="M62" s="120">
        <f t="shared" si="19"/>
        <v>169.87691311499452</v>
      </c>
      <c r="N62" s="120">
        <f t="shared" si="19"/>
        <v>169.87691311499452</v>
      </c>
      <c r="O62" s="120">
        <f t="shared" si="19"/>
        <v>169.87691311499452</v>
      </c>
      <c r="P62" s="120">
        <f t="shared" si="19"/>
        <v>169.87691311499452</v>
      </c>
      <c r="Q62" s="120">
        <f t="shared" si="19"/>
        <v>169.87691311499452</v>
      </c>
      <c r="R62" s="120">
        <f t="shared" si="19"/>
        <v>169.87691311499452</v>
      </c>
      <c r="S62" s="120">
        <f t="shared" si="19"/>
        <v>169.87691311499452</v>
      </c>
      <c r="T62" s="120">
        <f t="shared" si="19"/>
        <v>169.87691311499452</v>
      </c>
      <c r="U62" s="120">
        <f t="shared" si="19"/>
        <v>169.87691311499452</v>
      </c>
      <c r="V62" s="120">
        <f t="shared" si="19"/>
        <v>169.87691311499452</v>
      </c>
      <c r="W62" s="120">
        <f t="shared" si="19"/>
        <v>169.87691311499452</v>
      </c>
      <c r="X62" s="120">
        <f t="shared" si="19"/>
        <v>0</v>
      </c>
      <c r="Y62" s="120">
        <f t="shared" si="19"/>
        <v>169.87691311499452</v>
      </c>
      <c r="Z62" s="120">
        <f t="shared" si="19"/>
        <v>0</v>
      </c>
      <c r="AA62" s="120">
        <f t="shared" si="19"/>
        <v>169.87691311499452</v>
      </c>
      <c r="AB62" s="120">
        <f t="shared" si="19"/>
        <v>169.87691311499452</v>
      </c>
      <c r="AC62" s="120">
        <f t="shared" si="19"/>
        <v>0</v>
      </c>
      <c r="AD62" s="120">
        <f t="shared" si="19"/>
        <v>169.87691311499452</v>
      </c>
      <c r="AE62" s="120">
        <f t="shared" si="19"/>
        <v>169.87691311499452</v>
      </c>
      <c r="AF62" s="120">
        <f t="shared" si="19"/>
        <v>169.87691311499452</v>
      </c>
      <c r="AG62" s="120">
        <f t="shared" si="19"/>
        <v>169.87691311499452</v>
      </c>
      <c r="AH62" s="120">
        <f t="shared" si="19"/>
        <v>169.87691311499452</v>
      </c>
      <c r="AI62" s="120">
        <f t="shared" si="19"/>
        <v>169.87691311499452</v>
      </c>
      <c r="AJ62" s="120">
        <f t="shared" si="19"/>
        <v>169.87691311499452</v>
      </c>
      <c r="AK62" s="120">
        <f t="shared" si="19"/>
        <v>169.87691311499452</v>
      </c>
      <c r="AL62" s="120">
        <f t="shared" si="19"/>
        <v>0</v>
      </c>
      <c r="AM62" s="120">
        <f t="shared" si="19"/>
        <v>169.87691311499452</v>
      </c>
      <c r="AN62" s="120">
        <f t="shared" si="19"/>
        <v>169.87691311499452</v>
      </c>
      <c r="AO62" s="120">
        <f t="shared" si="19"/>
        <v>169.87691311499452</v>
      </c>
      <c r="AP62" s="120">
        <f t="shared" si="19"/>
        <v>0</v>
      </c>
      <c r="AQ62" s="120">
        <f t="shared" si="19"/>
        <v>169.87691311499452</v>
      </c>
      <c r="AR62" s="120">
        <f t="shared" si="19"/>
        <v>169.87691311499452</v>
      </c>
      <c r="AS62" s="120">
        <f t="shared" si="19"/>
        <v>169.87691311499452</v>
      </c>
      <c r="AT62" s="120">
        <f t="shared" si="19"/>
        <v>169.87691311499452</v>
      </c>
      <c r="AU62" s="120">
        <f t="shared" si="19"/>
        <v>169.87691311499452</v>
      </c>
      <c r="AV62" s="120">
        <f t="shared" si="19"/>
        <v>169.87691311499452</v>
      </c>
      <c r="AW62" s="120">
        <f t="shared" si="19"/>
        <v>0</v>
      </c>
      <c r="AX62" s="120">
        <f t="shared" si="19"/>
        <v>169.87691311499452</v>
      </c>
      <c r="AY62" s="120">
        <f t="shared" si="19"/>
        <v>169.87691311499452</v>
      </c>
    </row>
    <row r="63" spans="1:52" x14ac:dyDescent="0.2">
      <c r="A63" s="120"/>
      <c r="B63" s="175" t="s">
        <v>351</v>
      </c>
      <c r="C63" s="120"/>
      <c r="D63" s="120">
        <v>1</v>
      </c>
      <c r="E63" s="120">
        <v>1</v>
      </c>
      <c r="F63" s="120">
        <v>2</v>
      </c>
      <c r="G63" s="120">
        <v>1</v>
      </c>
      <c r="H63" s="120">
        <v>1</v>
      </c>
      <c r="I63" s="120">
        <v>1</v>
      </c>
      <c r="J63" s="120">
        <v>1</v>
      </c>
      <c r="K63" s="120">
        <v>1</v>
      </c>
      <c r="L63" s="120">
        <v>1</v>
      </c>
      <c r="M63" s="120">
        <v>2</v>
      </c>
      <c r="N63" s="120">
        <v>1</v>
      </c>
      <c r="O63" s="120">
        <v>2</v>
      </c>
      <c r="P63" s="120">
        <v>1</v>
      </c>
      <c r="Q63" s="120">
        <v>2</v>
      </c>
      <c r="R63" s="120">
        <v>2</v>
      </c>
      <c r="S63" s="120">
        <v>1</v>
      </c>
      <c r="T63" s="120">
        <v>1</v>
      </c>
      <c r="U63" s="120">
        <v>1</v>
      </c>
      <c r="V63" s="120">
        <v>1</v>
      </c>
      <c r="W63" s="120">
        <v>1</v>
      </c>
      <c r="X63" s="120">
        <v>1</v>
      </c>
      <c r="Y63" s="120">
        <v>2</v>
      </c>
      <c r="Z63" s="120">
        <v>1</v>
      </c>
      <c r="AA63" s="120">
        <v>1</v>
      </c>
      <c r="AB63" s="120">
        <v>1</v>
      </c>
      <c r="AC63" s="120">
        <v>3</v>
      </c>
      <c r="AD63" s="120">
        <v>1</v>
      </c>
      <c r="AE63" s="120">
        <v>3</v>
      </c>
      <c r="AF63" s="120">
        <v>3</v>
      </c>
      <c r="AG63" s="120">
        <v>2</v>
      </c>
      <c r="AH63" s="120">
        <v>1</v>
      </c>
      <c r="AI63" s="120">
        <v>2</v>
      </c>
      <c r="AJ63" s="120">
        <v>2</v>
      </c>
      <c r="AK63" s="120">
        <v>2</v>
      </c>
      <c r="AL63" s="120">
        <v>1</v>
      </c>
      <c r="AM63" s="120">
        <v>2</v>
      </c>
      <c r="AN63" s="120">
        <v>1</v>
      </c>
      <c r="AO63" s="120">
        <v>3</v>
      </c>
      <c r="AP63" s="120">
        <v>3</v>
      </c>
      <c r="AQ63" s="120">
        <v>1</v>
      </c>
      <c r="AR63" s="120">
        <v>1</v>
      </c>
      <c r="AS63" s="120">
        <v>1</v>
      </c>
      <c r="AT63" s="120">
        <v>1</v>
      </c>
      <c r="AU63" s="120">
        <v>1</v>
      </c>
      <c r="AV63" s="120">
        <v>2</v>
      </c>
      <c r="AW63" s="120">
        <v>1</v>
      </c>
      <c r="AX63" s="120">
        <v>1</v>
      </c>
      <c r="AY63" s="120">
        <v>2</v>
      </c>
    </row>
    <row r="64" spans="1:52" x14ac:dyDescent="0.2">
      <c r="A64" s="120"/>
      <c r="B64" s="188" t="s">
        <v>352</v>
      </c>
      <c r="C64" s="120"/>
      <c r="D64" s="120">
        <v>129384</v>
      </c>
      <c r="E64" s="120">
        <v>0</v>
      </c>
      <c r="F64" s="120">
        <v>0</v>
      </c>
      <c r="G64" s="120">
        <v>0</v>
      </c>
      <c r="H64" s="120">
        <v>0</v>
      </c>
      <c r="I64" s="120">
        <v>0</v>
      </c>
      <c r="J64" s="120">
        <v>0</v>
      </c>
      <c r="K64" s="120">
        <v>0</v>
      </c>
      <c r="L64" s="120">
        <v>0</v>
      </c>
      <c r="M64" s="120">
        <v>0</v>
      </c>
      <c r="N64" s="120">
        <v>0</v>
      </c>
      <c r="O64" s="120">
        <v>0</v>
      </c>
      <c r="P64" s="120">
        <v>0</v>
      </c>
      <c r="Q64" s="120">
        <v>0</v>
      </c>
      <c r="R64" s="120">
        <v>0</v>
      </c>
      <c r="S64" s="120">
        <v>0</v>
      </c>
      <c r="T64" s="120">
        <v>0</v>
      </c>
      <c r="U64" s="120">
        <v>0</v>
      </c>
      <c r="V64" s="120">
        <v>0</v>
      </c>
      <c r="W64" s="120">
        <v>0</v>
      </c>
      <c r="X64" s="120">
        <v>0</v>
      </c>
      <c r="Y64" s="120">
        <v>0</v>
      </c>
      <c r="Z64" s="120">
        <v>0</v>
      </c>
      <c r="AA64" s="120">
        <v>0</v>
      </c>
      <c r="AB64" s="120">
        <v>0</v>
      </c>
      <c r="AC64" s="120">
        <v>0</v>
      </c>
      <c r="AD64" s="120">
        <v>0</v>
      </c>
      <c r="AE64" s="120">
        <v>0</v>
      </c>
      <c r="AF64" s="120">
        <v>0</v>
      </c>
      <c r="AG64" s="120">
        <v>0</v>
      </c>
      <c r="AH64" s="120">
        <v>0</v>
      </c>
      <c r="AI64" s="120">
        <v>0</v>
      </c>
      <c r="AJ64" s="120">
        <v>0</v>
      </c>
      <c r="AK64" s="120">
        <v>0</v>
      </c>
      <c r="AL64" s="120">
        <v>0</v>
      </c>
      <c r="AM64" s="120">
        <v>0</v>
      </c>
      <c r="AN64" s="120">
        <v>0</v>
      </c>
      <c r="AO64" s="120">
        <v>0</v>
      </c>
      <c r="AP64" s="120">
        <v>0</v>
      </c>
      <c r="AQ64" s="120">
        <v>0</v>
      </c>
      <c r="AR64" s="120">
        <v>0</v>
      </c>
      <c r="AS64" s="120">
        <v>0</v>
      </c>
      <c r="AT64" s="120">
        <v>0</v>
      </c>
      <c r="AU64" s="120">
        <v>0</v>
      </c>
      <c r="AV64" s="120">
        <v>0</v>
      </c>
      <c r="AW64" s="120">
        <v>0</v>
      </c>
      <c r="AX64" s="120">
        <v>0</v>
      </c>
      <c r="AY64" s="120">
        <v>0</v>
      </c>
      <c r="AZ64" s="110">
        <f>SUM($D$64:$AY$64)</f>
        <v>129384</v>
      </c>
    </row>
    <row r="65" spans="1:52" x14ac:dyDescent="0.2">
      <c r="A65" s="135"/>
      <c r="B65" s="150" t="s">
        <v>353</v>
      </c>
      <c r="C65" s="135"/>
      <c r="D65" s="135">
        <v>21158.185681957984</v>
      </c>
      <c r="E65" s="135">
        <v>249282.00602132108</v>
      </c>
      <c r="F65" s="135">
        <v>249282.00602132108</v>
      </c>
      <c r="G65" s="135">
        <v>249282.00602132108</v>
      </c>
      <c r="H65" s="135">
        <v>249282.00602132108</v>
      </c>
      <c r="I65" s="135">
        <v>249282.00602132108</v>
      </c>
      <c r="J65" s="135">
        <v>249282.00602132108</v>
      </c>
      <c r="K65" s="135">
        <v>0</v>
      </c>
      <c r="L65" s="135">
        <v>249282.00602132108</v>
      </c>
      <c r="M65" s="135">
        <v>249282.00602132108</v>
      </c>
      <c r="N65" s="135">
        <v>249282.00602132108</v>
      </c>
      <c r="O65" s="135">
        <v>249282.00602132108</v>
      </c>
      <c r="P65" s="135">
        <v>249282.00602132108</v>
      </c>
      <c r="Q65" s="135">
        <v>249282.00602132108</v>
      </c>
      <c r="R65" s="135">
        <v>249282.00602132108</v>
      </c>
      <c r="S65" s="135">
        <v>249282.00602132108</v>
      </c>
      <c r="T65" s="135">
        <v>249282.00602132108</v>
      </c>
      <c r="U65" s="135">
        <v>249282.00602132108</v>
      </c>
      <c r="V65" s="135">
        <v>249282.00602132108</v>
      </c>
      <c r="W65" s="135">
        <v>249282.00602132108</v>
      </c>
      <c r="X65" s="135">
        <v>0</v>
      </c>
      <c r="Y65" s="135">
        <v>249282.00602132108</v>
      </c>
      <c r="Z65" s="135">
        <v>0</v>
      </c>
      <c r="AA65" s="135">
        <v>249282.00602132108</v>
      </c>
      <c r="AB65" s="135">
        <v>249282.00602132108</v>
      </c>
      <c r="AC65" s="135">
        <v>0</v>
      </c>
      <c r="AD65" s="135">
        <v>249282.00602132108</v>
      </c>
      <c r="AE65" s="135">
        <v>249282.00602132108</v>
      </c>
      <c r="AF65" s="135">
        <v>249282.00602132108</v>
      </c>
      <c r="AG65" s="135">
        <v>249282.00602132108</v>
      </c>
      <c r="AH65" s="135">
        <v>249282.00602132108</v>
      </c>
      <c r="AI65" s="135">
        <v>249282.00602132108</v>
      </c>
      <c r="AJ65" s="135">
        <v>249282.00602132108</v>
      </c>
      <c r="AK65" s="135">
        <v>249282.00602132108</v>
      </c>
      <c r="AL65" s="135">
        <v>0</v>
      </c>
      <c r="AM65" s="135">
        <v>249282.00602132108</v>
      </c>
      <c r="AN65" s="135">
        <v>249282.00602132108</v>
      </c>
      <c r="AO65" s="135">
        <v>249282.00602132108</v>
      </c>
      <c r="AP65" s="135">
        <v>0</v>
      </c>
      <c r="AQ65" s="135">
        <v>249282.00602132108</v>
      </c>
      <c r="AR65" s="135">
        <v>249282.00602132108</v>
      </c>
      <c r="AS65" s="135">
        <v>249282.00602132108</v>
      </c>
      <c r="AT65" s="135">
        <v>249282.00602132108</v>
      </c>
      <c r="AU65" s="135">
        <v>249282.00602132108</v>
      </c>
      <c r="AV65" s="135">
        <v>249282.00602132108</v>
      </c>
      <c r="AW65" s="135">
        <v>0</v>
      </c>
      <c r="AX65" s="135">
        <v>249282.00602132108</v>
      </c>
      <c r="AY65" s="135">
        <v>249282.00602132108</v>
      </c>
      <c r="AZ65" s="110">
        <f>SUM($D$65:$AY$65)</f>
        <v>9992438.4265347961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14.7109375" style="110" customWidth="1"/>
    <col min="2" max="2" width="12.7109375" style="110" customWidth="1"/>
    <col min="3" max="16384" width="9.140625" style="110"/>
  </cols>
  <sheetData>
    <row r="1" spans="1:53" x14ac:dyDescent="0.2">
      <c r="A1" s="112" t="s">
        <v>286</v>
      </c>
    </row>
    <row r="2" spans="1:53" x14ac:dyDescent="0.2">
      <c r="A2" s="110" t="s">
        <v>287</v>
      </c>
      <c r="B2" s="117" t="s">
        <v>42</v>
      </c>
    </row>
    <row r="3" spans="1:53" x14ac:dyDescent="0.2">
      <c r="A3" s="110" t="s">
        <v>288</v>
      </c>
      <c r="B3" s="118">
        <v>7684</v>
      </c>
      <c r="C3" s="119"/>
    </row>
    <row r="4" spans="1:53" x14ac:dyDescent="0.2">
      <c r="B4" s="120"/>
      <c r="C4" s="120"/>
    </row>
    <row r="5" spans="1:53" x14ac:dyDescent="0.2">
      <c r="C5" s="121" t="s">
        <v>289</v>
      </c>
    </row>
    <row r="6" spans="1:53" x14ac:dyDescent="0.2">
      <c r="C6" s="122">
        <v>0</v>
      </c>
      <c r="D6" s="122">
        <v>1</v>
      </c>
      <c r="E6" s="122">
        <v>2</v>
      </c>
      <c r="F6" s="122">
        <v>3</v>
      </c>
      <c r="G6" s="122">
        <v>4</v>
      </c>
      <c r="H6" s="122">
        <v>5</v>
      </c>
      <c r="I6" s="122">
        <v>6</v>
      </c>
      <c r="J6" s="122">
        <v>7</v>
      </c>
      <c r="K6" s="122">
        <v>8</v>
      </c>
      <c r="L6" s="122">
        <v>9</v>
      </c>
      <c r="M6" s="122">
        <v>10</v>
      </c>
      <c r="N6" s="122">
        <v>11</v>
      </c>
      <c r="O6" s="122">
        <v>12</v>
      </c>
      <c r="P6" s="122">
        <v>13</v>
      </c>
      <c r="Q6" s="122">
        <v>14</v>
      </c>
      <c r="R6" s="122">
        <v>15</v>
      </c>
      <c r="S6" s="122">
        <v>16</v>
      </c>
      <c r="T6" s="122">
        <v>17</v>
      </c>
      <c r="U6" s="122">
        <v>18</v>
      </c>
      <c r="V6" s="122">
        <v>19</v>
      </c>
      <c r="W6" s="122">
        <v>20</v>
      </c>
      <c r="X6" s="122">
        <v>21</v>
      </c>
      <c r="Y6" s="122">
        <v>22</v>
      </c>
      <c r="Z6" s="122">
        <v>23</v>
      </c>
      <c r="AA6" s="122">
        <v>24</v>
      </c>
      <c r="AB6" s="122">
        <v>25</v>
      </c>
      <c r="AC6" s="122">
        <v>26</v>
      </c>
      <c r="AD6" s="122">
        <v>27</v>
      </c>
      <c r="AE6" s="122">
        <v>28</v>
      </c>
      <c r="AF6" s="122">
        <v>29</v>
      </c>
      <c r="AG6" s="122">
        <v>30</v>
      </c>
      <c r="AH6" s="122">
        <v>31</v>
      </c>
      <c r="AI6" s="122">
        <v>32</v>
      </c>
      <c r="AJ6" s="122">
        <v>33</v>
      </c>
      <c r="AK6" s="122">
        <v>34</v>
      </c>
      <c r="AL6" s="122">
        <v>35</v>
      </c>
      <c r="AM6" s="122">
        <v>36</v>
      </c>
      <c r="AN6" s="122">
        <v>37</v>
      </c>
      <c r="AO6" s="122">
        <v>38</v>
      </c>
      <c r="AP6" s="122">
        <v>39</v>
      </c>
      <c r="AQ6" s="122">
        <v>40</v>
      </c>
      <c r="AR6" s="122">
        <v>41</v>
      </c>
      <c r="AS6" s="122">
        <v>42</v>
      </c>
      <c r="AT6" s="122">
        <v>43</v>
      </c>
      <c r="AU6" s="122">
        <v>44</v>
      </c>
      <c r="AV6" s="122">
        <v>45</v>
      </c>
      <c r="AW6" s="122">
        <v>46</v>
      </c>
      <c r="AX6" s="122">
        <v>47</v>
      </c>
      <c r="AY6" s="122">
        <v>48</v>
      </c>
    </row>
    <row r="7" spans="1:53" x14ac:dyDescent="0.2">
      <c r="B7" s="120"/>
      <c r="C7" s="123" t="s">
        <v>290</v>
      </c>
      <c r="D7" s="122" t="s">
        <v>291</v>
      </c>
      <c r="E7" s="122" t="s">
        <v>291</v>
      </c>
      <c r="F7" s="122" t="s">
        <v>291</v>
      </c>
      <c r="G7" s="122" t="s">
        <v>291</v>
      </c>
      <c r="H7" s="122" t="s">
        <v>291</v>
      </c>
      <c r="I7" s="122" t="s">
        <v>291</v>
      </c>
      <c r="J7" s="122" t="s">
        <v>291</v>
      </c>
      <c r="K7" s="122" t="s">
        <v>291</v>
      </c>
      <c r="L7" s="122" t="s">
        <v>291</v>
      </c>
      <c r="M7" s="122" t="s">
        <v>291</v>
      </c>
      <c r="N7" s="122" t="s">
        <v>291</v>
      </c>
      <c r="O7" s="122" t="s">
        <v>291</v>
      </c>
      <c r="P7" s="122" t="s">
        <v>291</v>
      </c>
      <c r="Q7" s="122" t="s">
        <v>291</v>
      </c>
      <c r="R7" s="122" t="s">
        <v>291</v>
      </c>
      <c r="S7" s="122" t="s">
        <v>291</v>
      </c>
      <c r="T7" s="122" t="s">
        <v>291</v>
      </c>
      <c r="U7" s="122" t="s">
        <v>291</v>
      </c>
      <c r="V7" s="122" t="s">
        <v>291</v>
      </c>
      <c r="W7" s="122" t="s">
        <v>291</v>
      </c>
      <c r="X7" s="122" t="s">
        <v>291</v>
      </c>
      <c r="Y7" s="122" t="s">
        <v>291</v>
      </c>
      <c r="Z7" s="122" t="s">
        <v>291</v>
      </c>
      <c r="AA7" s="122" t="s">
        <v>291</v>
      </c>
      <c r="AB7" s="122" t="s">
        <v>291</v>
      </c>
      <c r="AC7" s="122" t="s">
        <v>291</v>
      </c>
      <c r="AD7" s="122" t="s">
        <v>291</v>
      </c>
      <c r="AE7" s="122" t="s">
        <v>291</v>
      </c>
      <c r="AF7" s="122" t="s">
        <v>291</v>
      </c>
      <c r="AG7" s="122" t="s">
        <v>291</v>
      </c>
      <c r="AH7" s="122" t="s">
        <v>291</v>
      </c>
      <c r="AI7" s="122" t="s">
        <v>291</v>
      </c>
      <c r="AJ7" s="122" t="s">
        <v>291</v>
      </c>
      <c r="AK7" s="122" t="s">
        <v>291</v>
      </c>
      <c r="AL7" s="122" t="s">
        <v>291</v>
      </c>
      <c r="AM7" s="122" t="s">
        <v>291</v>
      </c>
      <c r="AN7" s="122" t="s">
        <v>291</v>
      </c>
      <c r="AO7" s="122" t="s">
        <v>291</v>
      </c>
      <c r="AP7" s="122" t="s">
        <v>291</v>
      </c>
      <c r="AQ7" s="122" t="s">
        <v>291</v>
      </c>
      <c r="AR7" s="122" t="s">
        <v>291</v>
      </c>
      <c r="AS7" s="122" t="s">
        <v>291</v>
      </c>
      <c r="AT7" s="122" t="s">
        <v>291</v>
      </c>
      <c r="AU7" s="122" t="s">
        <v>291</v>
      </c>
      <c r="AV7" s="122" t="s">
        <v>291</v>
      </c>
      <c r="AW7" s="122" t="s">
        <v>291</v>
      </c>
      <c r="AX7" s="122" t="s">
        <v>291</v>
      </c>
      <c r="AY7" s="121" t="s">
        <v>292</v>
      </c>
      <c r="AZ7" s="121" t="s">
        <v>293</v>
      </c>
    </row>
    <row r="8" spans="1:53" x14ac:dyDescent="0.2">
      <c r="A8" s="112" t="s">
        <v>294</v>
      </c>
      <c r="B8" s="124"/>
      <c r="AY8" s="120"/>
    </row>
    <row r="9" spans="1:53" x14ac:dyDescent="0.2">
      <c r="A9" s="125" t="s">
        <v>125</v>
      </c>
      <c r="B9" s="126">
        <v>1</v>
      </c>
      <c r="C9" s="127" t="s">
        <v>295</v>
      </c>
      <c r="D9" s="127">
        <v>2914.9982800412481</v>
      </c>
      <c r="E9" s="127">
        <v>2914.9982800412481</v>
      </c>
      <c r="F9" s="127">
        <v>2914.9982800412481</v>
      </c>
      <c r="G9" s="127">
        <v>2914.9982800412481</v>
      </c>
      <c r="H9" s="127">
        <v>2155.3416520251722</v>
      </c>
      <c r="I9" s="127">
        <v>2155.3416520251722</v>
      </c>
      <c r="J9" s="127">
        <v>2155.3416520251722</v>
      </c>
      <c r="K9" s="127">
        <v>2155.3416520251722</v>
      </c>
      <c r="L9" s="127">
        <v>1202.8399598256692</v>
      </c>
      <c r="M9" s="127">
        <v>1202.8399598256692</v>
      </c>
      <c r="N9" s="127">
        <v>1202.8399598256692</v>
      </c>
      <c r="O9" s="127">
        <v>1202.8399598256692</v>
      </c>
      <c r="P9" s="127">
        <v>1477.1600731077947</v>
      </c>
      <c r="Q9" s="127">
        <v>1477.1600731077947</v>
      </c>
      <c r="R9" s="127">
        <v>1477.1600731077947</v>
      </c>
      <c r="S9" s="127">
        <v>1477.1600731077947</v>
      </c>
      <c r="T9" s="127">
        <v>3115.8393911236299</v>
      </c>
      <c r="U9" s="127">
        <v>3115.8393911236299</v>
      </c>
      <c r="V9" s="127">
        <v>3115.8393911236299</v>
      </c>
      <c r="W9" s="127">
        <v>3115.8393911236299</v>
      </c>
      <c r="X9" s="127">
        <v>4203.1371484684432</v>
      </c>
      <c r="Y9" s="127">
        <v>4063.6031308129845</v>
      </c>
      <c r="Z9" s="127">
        <v>4203.1371484684432</v>
      </c>
      <c r="AA9" s="127">
        <v>4203.1371484684432</v>
      </c>
      <c r="AB9" s="127">
        <v>1027.948964545101</v>
      </c>
      <c r="AC9" s="127">
        <v>963.63013335942594</v>
      </c>
      <c r="AD9" s="127">
        <v>1301.5450582032772</v>
      </c>
      <c r="AE9" s="127">
        <v>1301.5450582032772</v>
      </c>
      <c r="AF9" s="127">
        <v>1326.376457231263</v>
      </c>
      <c r="AG9" s="127">
        <v>1326.376457231263</v>
      </c>
      <c r="AH9" s="127">
        <v>1326.376457231263</v>
      </c>
      <c r="AI9" s="127">
        <v>1326.376457231263</v>
      </c>
      <c r="AJ9" s="127">
        <v>4736.7543825723496</v>
      </c>
      <c r="AK9" s="127">
        <v>4736.7543825723496</v>
      </c>
      <c r="AL9" s="127">
        <v>4736.7543825723496</v>
      </c>
      <c r="AM9" s="127">
        <v>4736.7543825723496</v>
      </c>
      <c r="AN9" s="127">
        <v>2308.6061836517929</v>
      </c>
      <c r="AO9" s="127">
        <v>2308.6061836517929</v>
      </c>
      <c r="AP9" s="127">
        <v>2308.6061836517929</v>
      </c>
      <c r="AQ9" s="127">
        <v>2308.6061836517929</v>
      </c>
      <c r="AR9" s="127">
        <v>864.17208171050504</v>
      </c>
      <c r="AS9" s="127">
        <v>864.17208171050504</v>
      </c>
      <c r="AT9" s="127">
        <v>864.17208171050504</v>
      </c>
      <c r="AU9" s="127">
        <v>864.17208171050504</v>
      </c>
      <c r="AV9" s="127">
        <v>1214.455547374944</v>
      </c>
      <c r="AW9" s="127">
        <v>1214.455547374944</v>
      </c>
      <c r="AX9" s="127">
        <v>1214.455547374944</v>
      </c>
      <c r="AY9" s="127">
        <v>1214.455547374944</v>
      </c>
    </row>
    <row r="10" spans="1:53" x14ac:dyDescent="0.2">
      <c r="A10" s="128" t="s">
        <v>133</v>
      </c>
      <c r="B10" s="129">
        <v>1</v>
      </c>
      <c r="C10" s="116" t="s">
        <v>295</v>
      </c>
      <c r="E10" s="110">
        <v>102.807443734697</v>
      </c>
      <c r="F10" s="110">
        <v>0</v>
      </c>
      <c r="G10" s="110">
        <v>280.88242844017594</v>
      </c>
      <c r="H10" s="110">
        <v>280.88242844017594</v>
      </c>
      <c r="I10" s="110">
        <v>77.517950912213749</v>
      </c>
      <c r="J10" s="110">
        <v>280.88242844017594</v>
      </c>
      <c r="K10" s="110">
        <v>77.517950912213749</v>
      </c>
      <c r="L10" s="110">
        <v>0</v>
      </c>
      <c r="M10" s="110">
        <v>77.517950912213749</v>
      </c>
      <c r="N10" s="110">
        <v>0</v>
      </c>
      <c r="O10" s="110">
        <v>280.88242844017594</v>
      </c>
      <c r="P10" s="110">
        <v>280.88242844017594</v>
      </c>
      <c r="Q10" s="110">
        <v>280.88242844017594</v>
      </c>
      <c r="R10" s="110">
        <v>0</v>
      </c>
      <c r="S10" s="110">
        <v>280.88242844017594</v>
      </c>
      <c r="T10" s="110">
        <v>280.88242844017594</v>
      </c>
      <c r="U10" s="110">
        <v>280.88242844017594</v>
      </c>
      <c r="V10" s="110">
        <v>280.88242844017594</v>
      </c>
      <c r="W10" s="110">
        <v>280.88242844017594</v>
      </c>
      <c r="X10" s="110">
        <v>280.88242844017594</v>
      </c>
      <c r="Y10" s="110">
        <v>0</v>
      </c>
      <c r="Z10" s="110">
        <v>77.517950912213749</v>
      </c>
      <c r="AA10" s="110">
        <v>0</v>
      </c>
      <c r="AB10" s="110">
        <v>280.88242844017594</v>
      </c>
      <c r="AC10" s="110">
        <v>280.88242844017594</v>
      </c>
      <c r="AD10" s="110">
        <v>0</v>
      </c>
      <c r="AE10" s="110">
        <v>77.517950912213749</v>
      </c>
      <c r="AF10" s="110">
        <v>0</v>
      </c>
      <c r="AG10" s="110">
        <v>280.88242844017594</v>
      </c>
      <c r="AH10" s="110">
        <v>0</v>
      </c>
      <c r="AI10" s="110">
        <v>280.88242844017594</v>
      </c>
      <c r="AJ10" s="110">
        <v>280.88242844017594</v>
      </c>
      <c r="AK10" s="110">
        <v>77.517950912213749</v>
      </c>
      <c r="AL10" s="110">
        <v>280.88242844017594</v>
      </c>
      <c r="AM10" s="110">
        <v>0</v>
      </c>
      <c r="AN10" s="110">
        <v>280.88242844017594</v>
      </c>
      <c r="AO10" s="110">
        <v>0</v>
      </c>
      <c r="AP10" s="110">
        <v>280.88242844017594</v>
      </c>
      <c r="AQ10" s="110">
        <v>0</v>
      </c>
      <c r="AR10" s="110">
        <v>280.88242844017594</v>
      </c>
      <c r="AS10" s="110">
        <v>0</v>
      </c>
      <c r="AT10" s="110">
        <v>280.88242844017594</v>
      </c>
      <c r="AU10" s="110">
        <v>280.88242844017594</v>
      </c>
      <c r="AV10" s="110">
        <v>280.88242844017594</v>
      </c>
      <c r="AW10" s="110">
        <v>0</v>
      </c>
      <c r="AX10" s="110">
        <v>0</v>
      </c>
      <c r="AY10" s="110">
        <v>77.517950912213749</v>
      </c>
      <c r="AZ10" s="110">
        <v>0</v>
      </c>
    </row>
    <row r="11" spans="1:53" x14ac:dyDescent="0.2">
      <c r="B11" s="129">
        <v>2</v>
      </c>
      <c r="C11" s="116" t="s">
        <v>295</v>
      </c>
      <c r="G11" s="110">
        <v>280.88242844017594</v>
      </c>
      <c r="J11" s="110">
        <v>203.36447752796221</v>
      </c>
      <c r="L11" s="110">
        <v>203.36447752796221</v>
      </c>
      <c r="M11" s="110">
        <v>0</v>
      </c>
      <c r="N11" s="110">
        <v>203.36447752796221</v>
      </c>
      <c r="O11" s="110">
        <v>280.88242844017594</v>
      </c>
      <c r="S11" s="110">
        <v>280.88242844017594</v>
      </c>
      <c r="Z11" s="110">
        <v>0</v>
      </c>
      <c r="AA11" s="110">
        <v>203.36447752796221</v>
      </c>
      <c r="AF11" s="110">
        <v>203.36447752796221</v>
      </c>
      <c r="AG11" s="110">
        <v>280.88242844017594</v>
      </c>
      <c r="AI11" s="110">
        <v>280.88242844017594</v>
      </c>
      <c r="AL11" s="110">
        <v>203.36447752796221</v>
      </c>
      <c r="AP11" s="110">
        <v>280.88242844017594</v>
      </c>
      <c r="AR11" s="110">
        <v>0</v>
      </c>
      <c r="AX11" s="110">
        <v>280.88242844017594</v>
      </c>
      <c r="AY11" s="110">
        <v>0</v>
      </c>
      <c r="AZ11" s="110">
        <v>203.36447752796221</v>
      </c>
      <c r="BA11" s="110">
        <v>280.88242844017594</v>
      </c>
    </row>
    <row r="12" spans="1:53" x14ac:dyDescent="0.2">
      <c r="B12" s="130">
        <v>3</v>
      </c>
      <c r="C12" s="116" t="s">
        <v>295</v>
      </c>
      <c r="AU12" s="110">
        <v>280.88242844017594</v>
      </c>
    </row>
    <row r="13" spans="1:53" x14ac:dyDescent="0.2">
      <c r="B13" s="130">
        <v>4</v>
      </c>
      <c r="C13" s="116" t="s">
        <v>295</v>
      </c>
    </row>
    <row r="14" spans="1:53" x14ac:dyDescent="0.2">
      <c r="A14" s="125" t="s">
        <v>134</v>
      </c>
      <c r="B14" s="131">
        <v>1</v>
      </c>
      <c r="C14" s="127" t="s">
        <v>295</v>
      </c>
      <c r="D14" s="127"/>
      <c r="E14" s="127">
        <f t="shared" ref="E14:AZ14" si="0">D$172*SUM(D$122:D$169)</f>
        <v>9.5923592381043665</v>
      </c>
      <c r="F14" s="127">
        <f t="shared" si="0"/>
        <v>19.720132226016567</v>
      </c>
      <c r="G14" s="127">
        <f t="shared" si="0"/>
        <v>20.029129550728644</v>
      </c>
      <c r="H14" s="127">
        <f t="shared" si="0"/>
        <v>75.79458235905588</v>
      </c>
      <c r="I14" s="127">
        <f t="shared" si="0"/>
        <v>49.912734939128185</v>
      </c>
      <c r="J14" s="127">
        <f t="shared" si="0"/>
        <v>39.377232835261658</v>
      </c>
      <c r="K14" s="127">
        <f t="shared" si="0"/>
        <v>55.062596931766002</v>
      </c>
      <c r="L14" s="127">
        <f t="shared" si="0"/>
        <v>44.655811632768405</v>
      </c>
      <c r="M14" s="127">
        <f t="shared" si="0"/>
        <v>0</v>
      </c>
      <c r="N14" s="127">
        <f t="shared" si="0"/>
        <v>0</v>
      </c>
      <c r="O14" s="127">
        <f t="shared" si="0"/>
        <v>0</v>
      </c>
      <c r="P14" s="127">
        <f t="shared" si="0"/>
        <v>0</v>
      </c>
      <c r="Q14" s="127">
        <f t="shared" si="0"/>
        <v>114.67143128375864</v>
      </c>
      <c r="R14" s="127">
        <f t="shared" si="0"/>
        <v>118.42406439213688</v>
      </c>
      <c r="S14" s="127">
        <f t="shared" si="0"/>
        <v>99.679906264260097</v>
      </c>
      <c r="T14" s="127">
        <f t="shared" si="0"/>
        <v>127.38134178194207</v>
      </c>
      <c r="U14" s="127">
        <f t="shared" si="0"/>
        <v>438.60009324727525</v>
      </c>
      <c r="V14" s="127">
        <f t="shared" si="0"/>
        <v>404.65747945113213</v>
      </c>
      <c r="W14" s="127">
        <f t="shared" si="0"/>
        <v>376.74598347161941</v>
      </c>
      <c r="X14" s="127">
        <f t="shared" si="0"/>
        <v>360.85697690404425</v>
      </c>
      <c r="Y14" s="127">
        <f t="shared" si="0"/>
        <v>178.59599287167549</v>
      </c>
      <c r="Z14" s="127">
        <f t="shared" si="0"/>
        <v>158.66032473209094</v>
      </c>
      <c r="AA14" s="127">
        <f t="shared" si="0"/>
        <v>147.5049635530211</v>
      </c>
      <c r="AB14" s="127">
        <f t="shared" si="0"/>
        <v>155.63762475716675</v>
      </c>
      <c r="AC14" s="127">
        <f t="shared" si="0"/>
        <v>77.190664671133547</v>
      </c>
      <c r="AD14" s="127">
        <f t="shared" si="0"/>
        <v>82.995348578862391</v>
      </c>
      <c r="AE14" s="127">
        <f t="shared" si="0"/>
        <v>68.353296853000884</v>
      </c>
      <c r="AF14" s="127">
        <f t="shared" si="0"/>
        <v>61.463915869363397</v>
      </c>
      <c r="AG14" s="127">
        <f t="shared" si="0"/>
        <v>92.90416827519762</v>
      </c>
      <c r="AH14" s="127">
        <f t="shared" si="0"/>
        <v>129.00270804357419</v>
      </c>
      <c r="AI14" s="127">
        <f t="shared" si="0"/>
        <v>113.55365509814257</v>
      </c>
      <c r="AJ14" s="127">
        <f t="shared" si="0"/>
        <v>150.33416239045422</v>
      </c>
      <c r="AK14" s="127">
        <f t="shared" si="0"/>
        <v>342.59018188563795</v>
      </c>
      <c r="AL14" s="127">
        <f t="shared" si="0"/>
        <v>297.33912048015696</v>
      </c>
      <c r="AM14" s="127">
        <f t="shared" si="0"/>
        <v>338.13612485401234</v>
      </c>
      <c r="AN14" s="127">
        <f t="shared" si="0"/>
        <v>286.34920434176001</v>
      </c>
      <c r="AO14" s="127">
        <f t="shared" si="0"/>
        <v>279.84244620908873</v>
      </c>
      <c r="AP14" s="127">
        <f t="shared" si="0"/>
        <v>238.98868304612151</v>
      </c>
      <c r="AQ14" s="127">
        <f t="shared" si="0"/>
        <v>306.96991350852045</v>
      </c>
      <c r="AR14" s="127">
        <f t="shared" si="0"/>
        <v>263.99179152890957</v>
      </c>
      <c r="AS14" s="127">
        <f t="shared" si="0"/>
        <v>213.28229536360706</v>
      </c>
      <c r="AT14" s="127">
        <f t="shared" si="0"/>
        <v>173.6380666516566</v>
      </c>
      <c r="AU14" s="127">
        <f t="shared" si="0"/>
        <v>186.28096795741399</v>
      </c>
      <c r="AV14" s="127">
        <f t="shared" si="0"/>
        <v>227.25751181804247</v>
      </c>
      <c r="AW14" s="127">
        <f t="shared" si="0"/>
        <v>122.13394317298071</v>
      </c>
      <c r="AX14" s="127">
        <f t="shared" si="0"/>
        <v>111.56020451824594</v>
      </c>
      <c r="AY14" s="127">
        <f t="shared" si="0"/>
        <v>121.57399031472136</v>
      </c>
      <c r="AZ14" s="120">
        <f t="shared" si="0"/>
        <v>115.0138086486271</v>
      </c>
      <c r="BA14" s="117">
        <f>SUM($E14:$AZ14)</f>
        <v>7396.3069365021856</v>
      </c>
    </row>
    <row r="15" spans="1:53" x14ac:dyDescent="0.2">
      <c r="A15" s="132" t="s">
        <v>123</v>
      </c>
      <c r="B15" s="133">
        <v>1</v>
      </c>
      <c r="C15" s="134" t="s">
        <v>295</v>
      </c>
      <c r="D15" s="134">
        <v>128.73052892711354</v>
      </c>
      <c r="E15" s="134">
        <v>264.64636998618101</v>
      </c>
      <c r="F15" s="134">
        <v>128.73052892711354</v>
      </c>
      <c r="G15" s="134">
        <v>500.06912186671707</v>
      </c>
      <c r="H15" s="134">
        <v>444.86262634140729</v>
      </c>
      <c r="I15" s="134">
        <v>176.00608248959</v>
      </c>
      <c r="J15" s="134">
        <v>444.86262634140729</v>
      </c>
      <c r="K15" s="134">
        <v>176.00608248959</v>
      </c>
      <c r="L15" s="134">
        <v>125.49822302669891</v>
      </c>
      <c r="M15" s="134">
        <v>227.98027211448516</v>
      </c>
      <c r="N15" s="134">
        <v>125.49822302669891</v>
      </c>
      <c r="O15" s="134">
        <v>496.83681596630242</v>
      </c>
      <c r="P15" s="134">
        <v>480.00471130655706</v>
      </c>
      <c r="Q15" s="134">
        <v>480.00471130655706</v>
      </c>
      <c r="R15" s="134">
        <v>108.66611836695355</v>
      </c>
      <c r="S15" s="134">
        <v>480.00471130655706</v>
      </c>
      <c r="T15" s="134">
        <v>461.28010086050915</v>
      </c>
      <c r="U15" s="134">
        <v>461.28010086050915</v>
      </c>
      <c r="V15" s="134">
        <v>461.28010086050915</v>
      </c>
      <c r="W15" s="134">
        <v>461.28010086050915</v>
      </c>
      <c r="X15" s="134">
        <v>438.75458643355535</v>
      </c>
      <c r="Y15" s="134">
        <v>67.415993493951788</v>
      </c>
      <c r="Z15" s="134">
        <v>169.89804258173803</v>
      </c>
      <c r="AA15" s="134">
        <v>67.415993493951788</v>
      </c>
      <c r="AB15" s="134">
        <v>450.72385725973004</v>
      </c>
      <c r="AC15" s="134">
        <v>450.7238572597301</v>
      </c>
      <c r="AD15" s="134">
        <v>79.385264320126552</v>
      </c>
      <c r="AE15" s="134">
        <v>181.8673134079128</v>
      </c>
      <c r="AF15" s="134">
        <v>80.281771666980717</v>
      </c>
      <c r="AG15" s="134">
        <v>451.62036460658425</v>
      </c>
      <c r="AH15" s="134">
        <v>80.281771666980717</v>
      </c>
      <c r="AI15" s="134">
        <v>451.62036460658425</v>
      </c>
      <c r="AJ15" s="134">
        <v>454.38298071989311</v>
      </c>
      <c r="AK15" s="134">
        <v>185.52643686807579</v>
      </c>
      <c r="AL15" s="134">
        <v>454.38298071989311</v>
      </c>
      <c r="AM15" s="134">
        <v>83.044387780289554</v>
      </c>
      <c r="AN15" s="134">
        <v>462.82846872390434</v>
      </c>
      <c r="AO15" s="134">
        <v>91.489875784300835</v>
      </c>
      <c r="AP15" s="134">
        <v>462.82846872390434</v>
      </c>
      <c r="AQ15" s="134">
        <v>91.489875784300835</v>
      </c>
      <c r="AR15" s="134">
        <v>437.09179478288758</v>
      </c>
      <c r="AS15" s="134">
        <v>65.753201843284074</v>
      </c>
      <c r="AT15" s="134">
        <v>437.09179478288758</v>
      </c>
      <c r="AU15" s="134">
        <v>437.09179478288763</v>
      </c>
      <c r="AV15" s="134">
        <v>429.98053127378728</v>
      </c>
      <c r="AW15" s="134">
        <v>58.641938334183791</v>
      </c>
      <c r="AX15" s="134">
        <v>58.641938334183791</v>
      </c>
      <c r="AY15" s="134">
        <v>161.12398742197004</v>
      </c>
      <c r="AZ15" s="110">
        <v>0</v>
      </c>
    </row>
    <row r="16" spans="1:53" x14ac:dyDescent="0.2">
      <c r="A16" s="120"/>
      <c r="B16" s="129">
        <v>2</v>
      </c>
      <c r="C16" s="119" t="s">
        <v>295</v>
      </c>
      <c r="D16" s="116"/>
      <c r="E16" s="120"/>
      <c r="F16" s="120"/>
      <c r="G16" s="120">
        <v>371.33859293960353</v>
      </c>
      <c r="H16" s="120"/>
      <c r="I16" s="120"/>
      <c r="J16" s="120">
        <v>268.85654385181726</v>
      </c>
      <c r="K16" s="120"/>
      <c r="L16" s="120">
        <v>268.85654385181726</v>
      </c>
      <c r="M16" s="120">
        <v>0</v>
      </c>
      <c r="N16" s="120">
        <v>268.85654385181726</v>
      </c>
      <c r="O16" s="120">
        <v>371.33859293960353</v>
      </c>
      <c r="P16" s="120"/>
      <c r="Q16" s="120"/>
      <c r="R16" s="120"/>
      <c r="S16" s="120">
        <v>371.33859293960353</v>
      </c>
      <c r="T16" s="120"/>
      <c r="U16" s="120"/>
      <c r="V16" s="120"/>
      <c r="W16" s="120"/>
      <c r="X16" s="120"/>
      <c r="Y16" s="120"/>
      <c r="Z16" s="120">
        <v>0</v>
      </c>
      <c r="AA16" s="120">
        <v>268.85654385181726</v>
      </c>
      <c r="AB16" s="120"/>
      <c r="AC16" s="120"/>
      <c r="AD16" s="120"/>
      <c r="AE16" s="120"/>
      <c r="AF16" s="120">
        <v>268.85654385181726</v>
      </c>
      <c r="AG16" s="120">
        <v>371.33859293960353</v>
      </c>
      <c r="AH16" s="120"/>
      <c r="AI16" s="120">
        <v>371.33859293960353</v>
      </c>
      <c r="AJ16" s="120"/>
      <c r="AK16" s="120"/>
      <c r="AL16" s="120">
        <v>268.85654385181726</v>
      </c>
      <c r="AM16" s="120"/>
      <c r="AN16" s="120"/>
      <c r="AO16" s="120"/>
      <c r="AP16" s="120">
        <v>371.33859293960353</v>
      </c>
      <c r="AQ16" s="120"/>
      <c r="AR16" s="120">
        <v>0</v>
      </c>
      <c r="AS16" s="120"/>
      <c r="AT16" s="120"/>
      <c r="AU16" s="120"/>
      <c r="AV16" s="120"/>
      <c r="AW16" s="120"/>
      <c r="AX16" s="120">
        <v>371.33859293960353</v>
      </c>
      <c r="AY16" s="120">
        <v>0</v>
      </c>
      <c r="AZ16" s="110">
        <v>268.85654385181726</v>
      </c>
      <c r="BA16" s="110">
        <v>371.33859293960353</v>
      </c>
    </row>
    <row r="17" spans="1:51" x14ac:dyDescent="0.2">
      <c r="A17" s="120"/>
      <c r="B17" s="129">
        <v>3</v>
      </c>
      <c r="C17" s="119" t="s">
        <v>295</v>
      </c>
      <c r="D17" s="116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120"/>
      <c r="AH17" s="120"/>
      <c r="AI17" s="120"/>
      <c r="AJ17" s="120"/>
      <c r="AK17" s="120"/>
      <c r="AL17" s="120"/>
      <c r="AM17" s="120"/>
      <c r="AN17" s="120"/>
      <c r="AO17" s="120"/>
      <c r="AP17" s="120"/>
      <c r="AQ17" s="120"/>
      <c r="AR17" s="120"/>
      <c r="AS17" s="120"/>
      <c r="AT17" s="120"/>
      <c r="AU17" s="120">
        <v>371.33859293960353</v>
      </c>
      <c r="AV17" s="120"/>
      <c r="AW17" s="120"/>
      <c r="AX17" s="120"/>
      <c r="AY17" s="120"/>
    </row>
    <row r="18" spans="1:51" x14ac:dyDescent="0.2">
      <c r="A18" s="135"/>
      <c r="B18" s="126">
        <v>4</v>
      </c>
      <c r="C18" s="135" t="s">
        <v>295</v>
      </c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  <c r="AF18" s="135"/>
      <c r="AG18" s="135"/>
      <c r="AH18" s="135"/>
      <c r="AI18" s="135"/>
      <c r="AJ18" s="135"/>
      <c r="AK18" s="135"/>
      <c r="AL18" s="135"/>
      <c r="AM18" s="135"/>
      <c r="AN18" s="135"/>
      <c r="AO18" s="135"/>
      <c r="AP18" s="135"/>
      <c r="AQ18" s="135"/>
      <c r="AR18" s="135"/>
      <c r="AS18" s="135"/>
      <c r="AT18" s="135"/>
      <c r="AU18" s="135"/>
      <c r="AV18" s="135"/>
      <c r="AW18" s="135"/>
      <c r="AX18" s="135"/>
      <c r="AY18" s="135"/>
    </row>
    <row r="20" spans="1:51" x14ac:dyDescent="0.2">
      <c r="A20" s="112" t="s">
        <v>296</v>
      </c>
    </row>
    <row r="21" spans="1:51" x14ac:dyDescent="0.2">
      <c r="A21" s="136" t="s">
        <v>125</v>
      </c>
      <c r="B21" s="133">
        <v>1</v>
      </c>
      <c r="C21" s="134" t="s">
        <v>295</v>
      </c>
      <c r="D21" s="134"/>
      <c r="E21" s="134"/>
      <c r="F21" s="134"/>
      <c r="G21" s="134"/>
      <c r="H21" s="134"/>
      <c r="I21" s="134"/>
      <c r="J21" s="134"/>
      <c r="K21" s="134"/>
      <c r="L21" s="134"/>
      <c r="M21" s="134"/>
      <c r="N21" s="134"/>
      <c r="O21" s="134"/>
      <c r="P21" s="134"/>
      <c r="Q21" s="134"/>
      <c r="R21" s="134"/>
      <c r="S21" s="134"/>
      <c r="T21" s="134"/>
      <c r="U21" s="134"/>
      <c r="V21" s="134"/>
      <c r="W21" s="134"/>
      <c r="X21" s="134"/>
      <c r="Y21" s="134"/>
      <c r="Z21" s="134"/>
      <c r="AA21" s="134"/>
      <c r="AB21" s="134"/>
      <c r="AC21" s="134"/>
      <c r="AD21" s="134"/>
      <c r="AE21" s="134"/>
      <c r="AF21" s="134"/>
      <c r="AG21" s="134"/>
      <c r="AH21" s="134"/>
      <c r="AI21" s="134"/>
      <c r="AJ21" s="134">
        <v>174.64885547983249</v>
      </c>
      <c r="AK21" s="134"/>
      <c r="AL21" s="134">
        <v>377.36741422684645</v>
      </c>
      <c r="AM21" s="134"/>
      <c r="AN21" s="134"/>
      <c r="AO21" s="134"/>
      <c r="AP21" s="134"/>
      <c r="AQ21" s="134"/>
      <c r="AR21" s="134"/>
      <c r="AS21" s="134"/>
      <c r="AT21" s="134"/>
      <c r="AU21" s="134"/>
      <c r="AV21" s="134"/>
      <c r="AW21" s="134"/>
      <c r="AX21" s="134"/>
      <c r="AY21" s="134"/>
    </row>
    <row r="22" spans="1:51" x14ac:dyDescent="0.2">
      <c r="A22" s="119"/>
      <c r="B22" s="130">
        <v>2</v>
      </c>
      <c r="C22" s="120" t="s">
        <v>295</v>
      </c>
      <c r="D22" s="120"/>
      <c r="E22" s="120"/>
      <c r="F22" s="120"/>
      <c r="G22" s="120"/>
      <c r="H22" s="120"/>
      <c r="I22" s="120"/>
      <c r="J22" s="120"/>
      <c r="K22" s="120"/>
      <c r="L22" s="120"/>
      <c r="M22" s="120"/>
      <c r="N22" s="120"/>
      <c r="O22" s="120"/>
      <c r="P22" s="120"/>
      <c r="Q22" s="120"/>
      <c r="R22" s="120"/>
      <c r="S22" s="120"/>
      <c r="T22" s="120"/>
      <c r="U22" s="120">
        <v>1516.9658067730397</v>
      </c>
      <c r="V22" s="120">
        <v>1403.1283360737243</v>
      </c>
      <c r="W22" s="120">
        <v>1291.2908653744107</v>
      </c>
      <c r="X22" s="120">
        <v>2341.2256375929546</v>
      </c>
      <c r="Y22" s="120">
        <v>2838.0191243069366</v>
      </c>
      <c r="Z22" s="120">
        <v>2764.7828934108447</v>
      </c>
      <c r="AA22" s="120">
        <v>3047.6734603762111</v>
      </c>
      <c r="AB22" s="120">
        <v>102.55267076598238</v>
      </c>
      <c r="AC22" s="120"/>
      <c r="AD22" s="120"/>
      <c r="AE22" s="120"/>
      <c r="AF22" s="120"/>
      <c r="AG22" s="120"/>
      <c r="AH22" s="120"/>
      <c r="AI22" s="120"/>
      <c r="AJ22" s="120">
        <v>1326.376457231263</v>
      </c>
      <c r="AK22" s="120">
        <v>3768.2708992580738</v>
      </c>
      <c r="AL22" s="120">
        <v>4488.589010406793</v>
      </c>
      <c r="AM22" s="120">
        <v>3572.7987703526396</v>
      </c>
      <c r="AN22" s="120">
        <v>2199.703094902532</v>
      </c>
      <c r="AO22" s="120"/>
      <c r="AP22" s="120">
        <v>279.63647075815243</v>
      </c>
      <c r="AQ22" s="120"/>
      <c r="AR22" s="120"/>
      <c r="AS22" s="120"/>
      <c r="AT22" s="120"/>
      <c r="AU22" s="120"/>
      <c r="AV22" s="120"/>
      <c r="AW22" s="120"/>
      <c r="AX22" s="120"/>
      <c r="AY22" s="120"/>
    </row>
    <row r="23" spans="1:51" x14ac:dyDescent="0.2">
      <c r="A23" s="119"/>
      <c r="B23" s="137">
        <v>3</v>
      </c>
      <c r="C23" s="120" t="s">
        <v>295</v>
      </c>
      <c r="D23" s="120"/>
      <c r="E23" s="120"/>
      <c r="F23" s="120">
        <v>207.50812083535857</v>
      </c>
      <c r="G23" s="120">
        <v>2659.9605602960137</v>
      </c>
      <c r="H23" s="120">
        <v>1895.0473168632943</v>
      </c>
      <c r="I23" s="120">
        <v>853.88150108300488</v>
      </c>
      <c r="J23" s="120">
        <v>685.97711469064234</v>
      </c>
      <c r="K23" s="120">
        <v>205.29957509360975</v>
      </c>
      <c r="L23" s="120"/>
      <c r="M23" s="120"/>
      <c r="N23" s="120"/>
      <c r="O23" s="120"/>
      <c r="P23" s="120"/>
      <c r="Q23" s="120"/>
      <c r="R23" s="120"/>
      <c r="S23" s="120"/>
      <c r="T23" s="120">
        <v>1243.7841539007122</v>
      </c>
      <c r="U23" s="120">
        <v>698.53599231487715</v>
      </c>
      <c r="V23" s="120">
        <v>758.87358435059014</v>
      </c>
      <c r="W23" s="120">
        <v>780.71105504990555</v>
      </c>
      <c r="X23" s="120">
        <v>940.54852574921915</v>
      </c>
      <c r="Y23" s="120">
        <v>0</v>
      </c>
      <c r="Z23" s="120">
        <v>288.73177769218182</v>
      </c>
      <c r="AA23" s="120">
        <v>598.82023740213981</v>
      </c>
      <c r="AB23" s="120">
        <v>434.46368809223213</v>
      </c>
      <c r="AC23" s="120">
        <v>571.23641905933073</v>
      </c>
      <c r="AD23" s="120"/>
      <c r="AE23" s="120"/>
      <c r="AF23" s="120"/>
      <c r="AG23" s="120"/>
      <c r="AH23" s="120"/>
      <c r="AI23" s="120"/>
      <c r="AJ23" s="120">
        <v>1326.376457231263</v>
      </c>
      <c r="AK23" s="120">
        <v>0</v>
      </c>
      <c r="AL23" s="120">
        <v>0</v>
      </c>
      <c r="AM23" s="120">
        <v>0</v>
      </c>
      <c r="AN23" s="120">
        <v>0</v>
      </c>
      <c r="AO23" s="120">
        <v>1317.3440378769737</v>
      </c>
      <c r="AP23" s="120">
        <v>2308.6061836517929</v>
      </c>
      <c r="AQ23" s="120">
        <v>1130.0960594360931</v>
      </c>
      <c r="AR23" s="120">
        <v>659.58252061049461</v>
      </c>
      <c r="AS23" s="120"/>
      <c r="AT23" s="120"/>
      <c r="AU23" s="120"/>
      <c r="AV23" s="120"/>
      <c r="AW23" s="120"/>
      <c r="AX23" s="120"/>
      <c r="AY23" s="120"/>
    </row>
    <row r="24" spans="1:51" x14ac:dyDescent="0.2">
      <c r="A24" s="138"/>
      <c r="B24" s="139">
        <v>4</v>
      </c>
      <c r="C24" s="138" t="s">
        <v>295</v>
      </c>
      <c r="D24" s="135">
        <v>0</v>
      </c>
      <c r="E24" s="135">
        <v>0</v>
      </c>
      <c r="F24" s="135">
        <v>0</v>
      </c>
      <c r="G24" s="135">
        <v>915.49015920588954</v>
      </c>
      <c r="H24" s="135">
        <v>0</v>
      </c>
      <c r="I24" s="135">
        <v>184.98868292318821</v>
      </c>
      <c r="J24" s="135">
        <v>1445.1167789582432</v>
      </c>
      <c r="K24" s="135">
        <v>902.36453733452981</v>
      </c>
      <c r="L24" s="135">
        <v>577.86473737134475</v>
      </c>
      <c r="M24" s="135">
        <v>117.42939097243925</v>
      </c>
      <c r="N24" s="135">
        <v>0</v>
      </c>
      <c r="O24" s="135">
        <v>0</v>
      </c>
      <c r="P24" s="135">
        <v>0</v>
      </c>
      <c r="Q24" s="135">
        <v>168.51979492726605</v>
      </c>
      <c r="R24" s="135">
        <v>0</v>
      </c>
      <c r="S24" s="135">
        <v>1149.1606857008992</v>
      </c>
      <c r="T24" s="135">
        <v>1228.1594605146902</v>
      </c>
      <c r="U24" s="135">
        <v>0</v>
      </c>
      <c r="V24" s="135">
        <v>0</v>
      </c>
      <c r="W24" s="135">
        <v>0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200.72279770586465</v>
      </c>
      <c r="AE24" s="135">
        <v>0</v>
      </c>
      <c r="AF24" s="135">
        <v>0</v>
      </c>
      <c r="AG24" s="135">
        <v>245.44405342497339</v>
      </c>
      <c r="AH24" s="135">
        <v>0</v>
      </c>
      <c r="AI24" s="135">
        <v>649.60014968693213</v>
      </c>
      <c r="AJ24" s="135">
        <v>1326.376457231263</v>
      </c>
      <c r="AK24" s="135">
        <v>0</v>
      </c>
      <c r="AL24" s="135">
        <v>0</v>
      </c>
      <c r="AM24" s="135">
        <v>0</v>
      </c>
      <c r="AN24" s="135">
        <v>0</v>
      </c>
      <c r="AO24" s="135">
        <v>0</v>
      </c>
      <c r="AP24" s="135">
        <v>276.29544778570744</v>
      </c>
      <c r="AQ24" s="135">
        <v>0</v>
      </c>
      <c r="AR24" s="135">
        <v>0</v>
      </c>
      <c r="AS24" s="135">
        <v>6.925283553789086</v>
      </c>
      <c r="AT24" s="135">
        <v>0</v>
      </c>
      <c r="AU24" s="135">
        <v>0</v>
      </c>
      <c r="AV24" s="135">
        <v>0</v>
      </c>
      <c r="AW24" s="135">
        <v>0</v>
      </c>
      <c r="AX24" s="135">
        <v>0</v>
      </c>
      <c r="AY24" s="135">
        <v>0</v>
      </c>
    </row>
    <row r="25" spans="1:51" x14ac:dyDescent="0.2">
      <c r="A25" s="136" t="s">
        <v>133</v>
      </c>
      <c r="B25" s="133">
        <v>1</v>
      </c>
      <c r="C25" s="119" t="s">
        <v>295</v>
      </c>
      <c r="D25" s="120"/>
      <c r="E25" s="120"/>
      <c r="F25" s="120"/>
      <c r="G25" s="120"/>
      <c r="H25" s="120"/>
      <c r="I25" s="120"/>
      <c r="J25" s="120"/>
      <c r="K25" s="120"/>
      <c r="L25" s="120"/>
      <c r="M25" s="120"/>
      <c r="N25" s="120"/>
      <c r="O25" s="120"/>
      <c r="P25" s="120"/>
      <c r="Q25" s="120"/>
      <c r="R25" s="120"/>
      <c r="S25" s="120"/>
      <c r="T25" s="120"/>
      <c r="U25" s="120"/>
      <c r="V25" s="120"/>
      <c r="W25" s="120"/>
      <c r="X25" s="120"/>
      <c r="Y25" s="120"/>
      <c r="Z25" s="120"/>
      <c r="AA25" s="120"/>
      <c r="AB25" s="120"/>
      <c r="AC25" s="120"/>
      <c r="AD25" s="120"/>
      <c r="AE25" s="120"/>
      <c r="AF25" s="120"/>
      <c r="AG25" s="120"/>
      <c r="AH25" s="120"/>
      <c r="AI25" s="120"/>
      <c r="AJ25" s="120"/>
      <c r="AK25" s="120"/>
      <c r="AL25" s="120"/>
      <c r="AM25" s="120"/>
      <c r="AN25" s="120"/>
      <c r="AO25" s="120"/>
      <c r="AP25" s="120"/>
      <c r="AQ25" s="120"/>
      <c r="AR25" s="120"/>
      <c r="AS25" s="120"/>
      <c r="AT25" s="120"/>
      <c r="AU25" s="120"/>
      <c r="AV25" s="120"/>
      <c r="AW25" s="120"/>
      <c r="AX25" s="120"/>
      <c r="AY25" s="120"/>
    </row>
    <row r="26" spans="1:51" x14ac:dyDescent="0.2">
      <c r="A26" s="119"/>
      <c r="B26" s="129">
        <v>2</v>
      </c>
      <c r="C26" s="119" t="s">
        <v>295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  <c r="AB26" s="120"/>
      <c r="AC26" s="120"/>
      <c r="AD26" s="120"/>
      <c r="AE26" s="120"/>
      <c r="AF26" s="120"/>
      <c r="AG26" s="120"/>
      <c r="AH26" s="120"/>
      <c r="AI26" s="120"/>
      <c r="AJ26" s="120"/>
      <c r="AK26" s="120"/>
      <c r="AL26" s="120"/>
      <c r="AM26" s="120"/>
      <c r="AN26" s="120"/>
      <c r="AO26" s="120"/>
      <c r="AP26" s="120"/>
      <c r="AQ26" s="120"/>
      <c r="AR26" s="120"/>
      <c r="AS26" s="120"/>
      <c r="AT26" s="120"/>
      <c r="AU26" s="120"/>
      <c r="AV26" s="120"/>
      <c r="AW26" s="120"/>
      <c r="AX26" s="120"/>
      <c r="AY26" s="120"/>
    </row>
    <row r="27" spans="1:51" x14ac:dyDescent="0.2">
      <c r="A27" s="119"/>
      <c r="B27" s="130">
        <v>3</v>
      </c>
      <c r="C27" s="119" t="s">
        <v>295</v>
      </c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  <c r="AB27" s="120"/>
      <c r="AC27" s="120"/>
      <c r="AD27" s="120"/>
      <c r="AE27" s="120"/>
      <c r="AF27" s="120"/>
      <c r="AG27" s="120"/>
      <c r="AH27" s="120"/>
      <c r="AI27" s="120"/>
      <c r="AJ27" s="120"/>
      <c r="AK27" s="120"/>
      <c r="AL27" s="120"/>
      <c r="AM27" s="120"/>
      <c r="AN27" s="120"/>
      <c r="AO27" s="120"/>
      <c r="AP27" s="120"/>
      <c r="AQ27" s="120"/>
      <c r="AR27" s="120"/>
      <c r="AS27" s="120"/>
      <c r="AT27" s="120"/>
      <c r="AU27" s="120"/>
      <c r="AV27" s="120"/>
      <c r="AW27" s="120"/>
      <c r="AX27" s="120"/>
      <c r="AY27" s="120"/>
    </row>
    <row r="28" spans="1:51" x14ac:dyDescent="0.2">
      <c r="A28" s="119"/>
      <c r="B28" s="130">
        <v>4</v>
      </c>
      <c r="C28" s="119" t="s">
        <v>295</v>
      </c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  <c r="AB28" s="120"/>
      <c r="AC28" s="120"/>
      <c r="AD28" s="120"/>
      <c r="AE28" s="120"/>
      <c r="AF28" s="120"/>
      <c r="AG28" s="120"/>
      <c r="AH28" s="120"/>
      <c r="AI28" s="120"/>
      <c r="AJ28" s="120"/>
      <c r="AK28" s="120"/>
      <c r="AL28" s="120"/>
      <c r="AM28" s="120"/>
      <c r="AN28" s="120"/>
      <c r="AO28" s="120"/>
      <c r="AP28" s="120"/>
      <c r="AQ28" s="120"/>
      <c r="AR28" s="120"/>
      <c r="AS28" s="120"/>
      <c r="AT28" s="120"/>
      <c r="AU28" s="120"/>
      <c r="AV28" s="120"/>
      <c r="AW28" s="120"/>
      <c r="AX28" s="120"/>
      <c r="AY28" s="120"/>
    </row>
    <row r="29" spans="1:51" x14ac:dyDescent="0.2">
      <c r="A29" s="119"/>
      <c r="B29" s="137">
        <v>5</v>
      </c>
      <c r="C29" s="119" t="s">
        <v>295</v>
      </c>
      <c r="D29" s="120"/>
      <c r="E29" s="120"/>
      <c r="F29" s="120"/>
      <c r="G29" s="120"/>
      <c r="H29" s="120"/>
      <c r="I29" s="120"/>
      <c r="J29" s="120"/>
      <c r="K29" s="120"/>
      <c r="L29" s="120"/>
      <c r="M29" s="120"/>
      <c r="N29" s="120"/>
      <c r="O29" s="120"/>
      <c r="P29" s="120"/>
      <c r="Q29" s="120"/>
      <c r="R29" s="120"/>
      <c r="S29" s="120"/>
      <c r="T29" s="120"/>
      <c r="U29" s="120"/>
      <c r="V29" s="120"/>
      <c r="W29" s="120"/>
      <c r="X29" s="120"/>
      <c r="Y29" s="120"/>
      <c r="Z29" s="120"/>
      <c r="AA29" s="120"/>
      <c r="AB29" s="120"/>
      <c r="AC29" s="120"/>
      <c r="AD29" s="120"/>
      <c r="AE29" s="120"/>
      <c r="AF29" s="120"/>
      <c r="AG29" s="120"/>
      <c r="AH29" s="120"/>
      <c r="AI29" s="120"/>
      <c r="AJ29" s="120">
        <v>0</v>
      </c>
      <c r="AK29" s="120"/>
      <c r="AL29" s="120">
        <v>0</v>
      </c>
      <c r="AM29" s="120"/>
      <c r="AN29" s="120"/>
      <c r="AO29" s="120"/>
      <c r="AP29" s="120"/>
      <c r="AQ29" s="120"/>
      <c r="AR29" s="120"/>
      <c r="AS29" s="120"/>
      <c r="AT29" s="120"/>
      <c r="AU29" s="120"/>
      <c r="AV29" s="120"/>
      <c r="AW29" s="120"/>
      <c r="AX29" s="120"/>
      <c r="AY29" s="120"/>
    </row>
    <row r="30" spans="1:51" x14ac:dyDescent="0.2">
      <c r="A30" s="119"/>
      <c r="B30" s="137">
        <v>6</v>
      </c>
      <c r="C30" s="119" t="s">
        <v>295</v>
      </c>
      <c r="D30" s="120"/>
      <c r="E30" s="120"/>
      <c r="F30" s="120"/>
      <c r="G30" s="120"/>
      <c r="H30" s="120"/>
      <c r="I30" s="120"/>
      <c r="J30" s="120"/>
      <c r="K30" s="120"/>
      <c r="L30" s="120"/>
      <c r="M30" s="120"/>
      <c r="N30" s="120"/>
      <c r="O30" s="120"/>
      <c r="P30" s="120"/>
      <c r="Q30" s="120"/>
      <c r="R30" s="120"/>
      <c r="S30" s="120"/>
      <c r="T30" s="120"/>
      <c r="U30" s="120">
        <v>0</v>
      </c>
      <c r="V30" s="120">
        <v>0</v>
      </c>
      <c r="W30" s="120">
        <v>0</v>
      </c>
      <c r="X30" s="120">
        <v>0</v>
      </c>
      <c r="Y30" s="120">
        <v>0</v>
      </c>
      <c r="Z30" s="120">
        <v>0</v>
      </c>
      <c r="AA30" s="120">
        <v>0</v>
      </c>
      <c r="AB30" s="120">
        <v>0</v>
      </c>
      <c r="AC30" s="120"/>
      <c r="AD30" s="120"/>
      <c r="AE30" s="120"/>
      <c r="AF30" s="120"/>
      <c r="AG30" s="120"/>
      <c r="AH30" s="120"/>
      <c r="AI30" s="120"/>
      <c r="AJ30" s="120">
        <v>0</v>
      </c>
      <c r="AK30" s="120">
        <v>0</v>
      </c>
      <c r="AL30" s="120">
        <v>0</v>
      </c>
      <c r="AM30" s="120">
        <v>0</v>
      </c>
      <c r="AN30" s="120">
        <v>0</v>
      </c>
      <c r="AO30" s="120"/>
      <c r="AP30" s="120">
        <v>0</v>
      </c>
      <c r="AQ30" s="120"/>
      <c r="AR30" s="120"/>
      <c r="AS30" s="120"/>
      <c r="AT30" s="120"/>
      <c r="AU30" s="120"/>
      <c r="AV30" s="120"/>
      <c r="AW30" s="120"/>
      <c r="AX30" s="120"/>
      <c r="AY30" s="120"/>
    </row>
    <row r="31" spans="1:51" x14ac:dyDescent="0.2">
      <c r="A31" s="119"/>
      <c r="B31" s="140">
        <v>7</v>
      </c>
      <c r="C31" s="119" t="s">
        <v>295</v>
      </c>
      <c r="D31" s="120"/>
      <c r="E31" s="120"/>
      <c r="F31" s="120">
        <v>0</v>
      </c>
      <c r="G31" s="120">
        <v>0</v>
      </c>
      <c r="H31" s="120">
        <v>0</v>
      </c>
      <c r="I31" s="120">
        <v>0</v>
      </c>
      <c r="J31" s="120">
        <v>0</v>
      </c>
      <c r="K31" s="120">
        <v>0</v>
      </c>
      <c r="L31" s="120"/>
      <c r="M31" s="120"/>
      <c r="N31" s="120"/>
      <c r="O31" s="120"/>
      <c r="P31" s="120"/>
      <c r="Q31" s="120"/>
      <c r="R31" s="120"/>
      <c r="S31" s="120"/>
      <c r="T31" s="120">
        <v>0</v>
      </c>
      <c r="U31" s="120">
        <v>0</v>
      </c>
      <c r="V31" s="120">
        <v>0</v>
      </c>
      <c r="W31" s="120">
        <v>0</v>
      </c>
      <c r="X31" s="120">
        <v>0</v>
      </c>
      <c r="Y31" s="120">
        <v>0</v>
      </c>
      <c r="Z31" s="120">
        <v>0</v>
      </c>
      <c r="AA31" s="120">
        <v>0</v>
      </c>
      <c r="AB31" s="120">
        <v>0</v>
      </c>
      <c r="AC31" s="120">
        <v>0</v>
      </c>
      <c r="AD31" s="120"/>
      <c r="AE31" s="120"/>
      <c r="AF31" s="120"/>
      <c r="AG31" s="120"/>
      <c r="AH31" s="120"/>
      <c r="AI31" s="120"/>
      <c r="AJ31" s="120">
        <v>0</v>
      </c>
      <c r="AK31" s="120">
        <v>0</v>
      </c>
      <c r="AL31" s="120">
        <v>0</v>
      </c>
      <c r="AM31" s="120">
        <v>0</v>
      </c>
      <c r="AN31" s="120">
        <v>0</v>
      </c>
      <c r="AO31" s="120">
        <v>0</v>
      </c>
      <c r="AP31" s="120">
        <v>0</v>
      </c>
      <c r="AQ31" s="120">
        <v>0</v>
      </c>
      <c r="AR31" s="120">
        <v>0</v>
      </c>
      <c r="AS31" s="120"/>
      <c r="AT31" s="120"/>
      <c r="AU31" s="120"/>
      <c r="AV31" s="120"/>
      <c r="AW31" s="120"/>
      <c r="AX31" s="120"/>
      <c r="AY31" s="120"/>
    </row>
    <row r="32" spans="1:51" x14ac:dyDescent="0.2">
      <c r="A32" s="138"/>
      <c r="B32" s="139">
        <v>8</v>
      </c>
      <c r="C32" s="138" t="s">
        <v>295</v>
      </c>
      <c r="D32" s="135">
        <v>0</v>
      </c>
      <c r="E32" s="135">
        <v>0</v>
      </c>
      <c r="F32" s="135">
        <v>0</v>
      </c>
      <c r="G32" s="135">
        <v>0</v>
      </c>
      <c r="H32" s="135">
        <v>0</v>
      </c>
      <c r="I32" s="135">
        <v>0</v>
      </c>
      <c r="J32" s="135">
        <v>0</v>
      </c>
      <c r="K32" s="135">
        <v>0</v>
      </c>
      <c r="L32" s="135">
        <v>0</v>
      </c>
      <c r="M32" s="135">
        <v>0</v>
      </c>
      <c r="N32" s="135"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5">
        <v>0</v>
      </c>
      <c r="AH32" s="135">
        <v>0</v>
      </c>
      <c r="AI32" s="135">
        <v>0</v>
      </c>
      <c r="AJ32" s="135">
        <v>0</v>
      </c>
      <c r="AK32" s="135">
        <v>0</v>
      </c>
      <c r="AL32" s="135">
        <v>0</v>
      </c>
      <c r="AM32" s="135">
        <v>0</v>
      </c>
      <c r="AN32" s="135">
        <v>0</v>
      </c>
      <c r="AO32" s="135">
        <v>0</v>
      </c>
      <c r="AP32" s="135">
        <v>0</v>
      </c>
      <c r="AQ32" s="135">
        <v>0</v>
      </c>
      <c r="AR32" s="135">
        <v>0</v>
      </c>
      <c r="AS32" s="135">
        <v>0</v>
      </c>
      <c r="AT32" s="135">
        <v>0</v>
      </c>
      <c r="AU32" s="135">
        <v>0</v>
      </c>
      <c r="AV32" s="135">
        <v>0</v>
      </c>
      <c r="AW32" s="135">
        <v>0</v>
      </c>
      <c r="AX32" s="135">
        <v>0</v>
      </c>
      <c r="AY32" s="135">
        <v>0</v>
      </c>
    </row>
    <row r="33" spans="1:51" x14ac:dyDescent="0.2">
      <c r="A33" s="141" t="s">
        <v>134</v>
      </c>
      <c r="B33" s="129">
        <v>1</v>
      </c>
      <c r="C33" s="119" t="s">
        <v>295</v>
      </c>
      <c r="D33" s="116"/>
      <c r="E33" s="116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  <c r="AI33" s="116"/>
      <c r="AJ33" s="116"/>
      <c r="AK33" s="116"/>
      <c r="AL33" s="116"/>
      <c r="AM33" s="116"/>
      <c r="AN33" s="116"/>
      <c r="AO33" s="116"/>
      <c r="AP33" s="116"/>
      <c r="AQ33" s="116"/>
      <c r="AR33" s="116"/>
      <c r="AS33" s="116"/>
      <c r="AT33" s="116"/>
      <c r="AU33" s="116"/>
      <c r="AV33" s="116"/>
      <c r="AW33" s="116"/>
      <c r="AX33" s="116"/>
      <c r="AY33" s="116"/>
    </row>
    <row r="34" spans="1:51" x14ac:dyDescent="0.2">
      <c r="A34" s="119"/>
      <c r="B34" s="129">
        <v>2</v>
      </c>
      <c r="C34" s="119" t="s">
        <v>295</v>
      </c>
      <c r="D34" s="116"/>
      <c r="E34" s="116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116"/>
      <c r="AL34" s="116"/>
      <c r="AM34" s="116"/>
      <c r="AN34" s="116"/>
      <c r="AO34" s="116"/>
      <c r="AP34" s="116"/>
      <c r="AQ34" s="116"/>
      <c r="AR34" s="116"/>
      <c r="AS34" s="116"/>
      <c r="AT34" s="116"/>
      <c r="AU34" s="116"/>
      <c r="AV34" s="116"/>
      <c r="AW34" s="116"/>
      <c r="AX34" s="116"/>
      <c r="AY34" s="116"/>
    </row>
    <row r="35" spans="1:51" x14ac:dyDescent="0.2">
      <c r="A35" s="119"/>
      <c r="B35" s="129">
        <v>3</v>
      </c>
      <c r="C35" s="119" t="s">
        <v>295</v>
      </c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  <c r="AH35" s="116"/>
      <c r="AI35" s="116"/>
      <c r="AJ35" s="116"/>
      <c r="AK35" s="116"/>
      <c r="AL35" s="116"/>
      <c r="AM35" s="116"/>
      <c r="AN35" s="116"/>
      <c r="AO35" s="116"/>
      <c r="AP35" s="116"/>
      <c r="AQ35" s="116"/>
      <c r="AR35" s="116"/>
      <c r="AS35" s="116"/>
      <c r="AT35" s="116"/>
      <c r="AU35" s="116"/>
      <c r="AV35" s="116"/>
      <c r="AW35" s="116"/>
      <c r="AX35" s="116"/>
      <c r="AY35" s="116"/>
    </row>
    <row r="36" spans="1:51" x14ac:dyDescent="0.2">
      <c r="A36" s="119"/>
      <c r="B36" s="130">
        <v>4</v>
      </c>
      <c r="C36" s="119" t="s">
        <v>295</v>
      </c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1" x14ac:dyDescent="0.2">
      <c r="A37" s="119"/>
      <c r="B37" s="130">
        <v>5</v>
      </c>
      <c r="C37" s="119" t="s">
        <v>295</v>
      </c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1" x14ac:dyDescent="0.2">
      <c r="A38" s="119"/>
      <c r="B38" s="130">
        <v>6</v>
      </c>
      <c r="C38" s="119" t="s">
        <v>295</v>
      </c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1" x14ac:dyDescent="0.2">
      <c r="A39" s="119"/>
      <c r="B39" s="137">
        <v>7</v>
      </c>
      <c r="C39" s="119" t="s">
        <v>295</v>
      </c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116"/>
      <c r="AK39" s="116"/>
      <c r="AL39" s="116"/>
      <c r="AM39" s="116"/>
      <c r="AN39" s="116"/>
      <c r="AO39" s="116"/>
      <c r="AP39" s="116"/>
      <c r="AQ39" s="116"/>
      <c r="AR39" s="116"/>
      <c r="AS39" s="116"/>
      <c r="AT39" s="116"/>
      <c r="AU39" s="116"/>
      <c r="AV39" s="116"/>
      <c r="AW39" s="116"/>
      <c r="AX39" s="116"/>
      <c r="AY39" s="116"/>
    </row>
    <row r="40" spans="1:51" x14ac:dyDescent="0.2">
      <c r="A40" s="119"/>
      <c r="B40" s="137">
        <v>8</v>
      </c>
      <c r="C40" s="119" t="s">
        <v>295</v>
      </c>
      <c r="D40" s="116"/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116"/>
      <c r="AA40" s="116"/>
      <c r="AB40" s="116"/>
      <c r="AC40" s="116"/>
      <c r="AD40" s="116"/>
      <c r="AE40" s="116"/>
      <c r="AF40" s="116"/>
      <c r="AG40" s="116"/>
      <c r="AH40" s="116"/>
      <c r="AI40" s="116"/>
      <c r="AJ40" s="116"/>
      <c r="AK40" s="116"/>
      <c r="AL40" s="116"/>
      <c r="AM40" s="116"/>
      <c r="AN40" s="116"/>
      <c r="AO40" s="116"/>
      <c r="AP40" s="116"/>
      <c r="AQ40" s="116"/>
      <c r="AR40" s="116"/>
      <c r="AS40" s="116"/>
      <c r="AT40" s="116"/>
      <c r="AU40" s="116"/>
      <c r="AV40" s="116"/>
      <c r="AW40" s="116"/>
      <c r="AX40" s="116"/>
      <c r="AY40" s="116"/>
    </row>
    <row r="41" spans="1:51" x14ac:dyDescent="0.2">
      <c r="A41" s="119"/>
      <c r="B41" s="137">
        <v>9</v>
      </c>
      <c r="C41" s="119" t="s">
        <v>295</v>
      </c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F41" s="116"/>
      <c r="AG41" s="116"/>
      <c r="AH41" s="116"/>
      <c r="AI41" s="116"/>
      <c r="AJ41" s="116">
        <v>0</v>
      </c>
      <c r="AK41" s="116"/>
      <c r="AL41" s="116">
        <v>0</v>
      </c>
      <c r="AM41" s="116"/>
      <c r="AN41" s="116"/>
      <c r="AO41" s="116"/>
      <c r="AP41" s="116"/>
      <c r="AQ41" s="116"/>
      <c r="AR41" s="116"/>
      <c r="AS41" s="116"/>
      <c r="AT41" s="116"/>
      <c r="AU41" s="116"/>
      <c r="AV41" s="116"/>
      <c r="AW41" s="116"/>
      <c r="AX41" s="116"/>
      <c r="AY41" s="116"/>
    </row>
    <row r="42" spans="1:51" x14ac:dyDescent="0.2">
      <c r="A42" s="119"/>
      <c r="B42" s="140">
        <v>10</v>
      </c>
      <c r="C42" s="119" t="s">
        <v>295</v>
      </c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/>
      <c r="AD42" s="116"/>
      <c r="AE42" s="116"/>
      <c r="AF42" s="116"/>
      <c r="AG42" s="116"/>
      <c r="AH42" s="116"/>
      <c r="AI42" s="116"/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/>
      <c r="AP42" s="116">
        <v>0</v>
      </c>
      <c r="AQ42" s="116"/>
      <c r="AR42" s="116"/>
      <c r="AS42" s="116"/>
      <c r="AT42" s="116"/>
      <c r="AU42" s="116"/>
      <c r="AV42" s="116"/>
      <c r="AW42" s="116"/>
      <c r="AX42" s="116"/>
      <c r="AY42" s="116"/>
    </row>
    <row r="43" spans="1:51" x14ac:dyDescent="0.2">
      <c r="A43" s="119"/>
      <c r="B43" s="140">
        <v>11</v>
      </c>
      <c r="C43" s="119" t="s">
        <v>295</v>
      </c>
      <c r="D43" s="116"/>
      <c r="E43" s="116"/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/>
      <c r="M43" s="116"/>
      <c r="N43" s="116"/>
      <c r="O43" s="116"/>
      <c r="P43" s="116"/>
      <c r="Q43" s="116"/>
      <c r="R43" s="116"/>
      <c r="S43" s="116"/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/>
      <c r="AE43" s="116"/>
      <c r="AF43" s="116"/>
      <c r="AG43" s="116"/>
      <c r="AH43" s="116"/>
      <c r="AI43" s="116"/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/>
      <c r="AT43" s="116"/>
      <c r="AU43" s="116"/>
      <c r="AV43" s="116"/>
      <c r="AW43" s="116"/>
      <c r="AX43" s="116"/>
      <c r="AY43" s="116"/>
    </row>
    <row r="44" spans="1:51" x14ac:dyDescent="0.2">
      <c r="A44" s="119"/>
      <c r="B44" s="140">
        <v>12</v>
      </c>
      <c r="C44" s="138" t="s">
        <v>295</v>
      </c>
      <c r="D44" s="116">
        <v>0</v>
      </c>
      <c r="E44" s="116">
        <v>0</v>
      </c>
      <c r="F44" s="116">
        <v>0</v>
      </c>
      <c r="G44" s="116">
        <v>0</v>
      </c>
      <c r="H44" s="116">
        <v>0</v>
      </c>
      <c r="I44" s="116">
        <v>0</v>
      </c>
      <c r="J44" s="116">
        <v>0</v>
      </c>
      <c r="K44" s="116">
        <v>0</v>
      </c>
      <c r="L44" s="116">
        <v>0</v>
      </c>
      <c r="M44" s="116">
        <v>0</v>
      </c>
      <c r="N44" s="116">
        <v>0</v>
      </c>
      <c r="O44" s="116">
        <v>0</v>
      </c>
      <c r="P44" s="116">
        <v>0</v>
      </c>
      <c r="Q44" s="116">
        <v>0</v>
      </c>
      <c r="R44" s="116">
        <v>0</v>
      </c>
      <c r="S44" s="116">
        <v>0</v>
      </c>
      <c r="T44" s="116">
        <v>0</v>
      </c>
      <c r="U44" s="116">
        <v>0</v>
      </c>
      <c r="V44" s="116">
        <v>0</v>
      </c>
      <c r="W44" s="116">
        <v>0</v>
      </c>
      <c r="X44" s="116">
        <v>0</v>
      </c>
      <c r="Y44" s="116">
        <v>0</v>
      </c>
      <c r="Z44" s="116">
        <v>0</v>
      </c>
      <c r="AA44" s="116">
        <v>0</v>
      </c>
      <c r="AB44" s="116">
        <v>0</v>
      </c>
      <c r="AC44" s="116">
        <v>0</v>
      </c>
      <c r="AD44" s="116">
        <v>0</v>
      </c>
      <c r="AE44" s="116">
        <v>0</v>
      </c>
      <c r="AF44" s="116">
        <v>0</v>
      </c>
      <c r="AG44" s="116">
        <v>0</v>
      </c>
      <c r="AH44" s="116">
        <v>0</v>
      </c>
      <c r="AI44" s="116">
        <v>0</v>
      </c>
      <c r="AJ44" s="116">
        <v>0</v>
      </c>
      <c r="AK44" s="116">
        <v>0</v>
      </c>
      <c r="AL44" s="116">
        <v>0</v>
      </c>
      <c r="AM44" s="116">
        <v>0</v>
      </c>
      <c r="AN44" s="116">
        <v>0</v>
      </c>
      <c r="AO44" s="116">
        <v>0</v>
      </c>
      <c r="AP44" s="116">
        <v>0</v>
      </c>
      <c r="AQ44" s="116">
        <v>0</v>
      </c>
      <c r="AR44" s="116">
        <v>0</v>
      </c>
      <c r="AS44" s="116">
        <v>0</v>
      </c>
      <c r="AT44" s="116">
        <v>0</v>
      </c>
      <c r="AU44" s="116">
        <v>0</v>
      </c>
      <c r="AV44" s="116">
        <v>0</v>
      </c>
      <c r="AW44" s="116">
        <v>0</v>
      </c>
      <c r="AX44" s="116">
        <v>0</v>
      </c>
      <c r="AY44" s="116">
        <v>0</v>
      </c>
    </row>
    <row r="45" spans="1:51" x14ac:dyDescent="0.2">
      <c r="A45" s="136" t="s">
        <v>123</v>
      </c>
      <c r="B45" s="133">
        <v>1</v>
      </c>
      <c r="C45" s="119" t="s">
        <v>295</v>
      </c>
      <c r="D45" s="134"/>
      <c r="E45" s="134"/>
      <c r="F45" s="134"/>
      <c r="G45" s="134"/>
      <c r="H45" s="134"/>
      <c r="I45" s="134"/>
      <c r="J45" s="134"/>
      <c r="K45" s="134"/>
      <c r="L45" s="134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  <c r="AA45" s="134"/>
      <c r="AB45" s="134"/>
      <c r="AC45" s="134"/>
      <c r="AD45" s="134"/>
      <c r="AE45" s="134"/>
      <c r="AF45" s="134"/>
      <c r="AG45" s="134"/>
      <c r="AH45" s="134"/>
      <c r="AI45" s="134"/>
      <c r="AJ45" s="134"/>
      <c r="AK45" s="134"/>
      <c r="AL45" s="134"/>
      <c r="AM45" s="134"/>
      <c r="AN45" s="134"/>
      <c r="AO45" s="134"/>
      <c r="AP45" s="134"/>
      <c r="AQ45" s="134"/>
      <c r="AR45" s="134"/>
      <c r="AS45" s="134"/>
      <c r="AT45" s="134"/>
      <c r="AU45" s="134"/>
      <c r="AV45" s="134"/>
      <c r="AW45" s="134"/>
      <c r="AX45" s="134"/>
      <c r="AY45" s="134"/>
    </row>
    <row r="46" spans="1:51" x14ac:dyDescent="0.2">
      <c r="A46" s="119"/>
      <c r="B46" s="129">
        <v>2</v>
      </c>
      <c r="C46" s="119" t="s">
        <v>295</v>
      </c>
      <c r="D46" s="120"/>
      <c r="E46" s="120"/>
      <c r="F46" s="120"/>
      <c r="G46" s="120"/>
      <c r="H46" s="120"/>
      <c r="I46" s="120"/>
      <c r="J46" s="120"/>
      <c r="K46" s="120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120"/>
      <c r="AF46" s="120"/>
      <c r="AG46" s="120"/>
      <c r="AH46" s="120"/>
      <c r="AI46" s="120"/>
      <c r="AJ46" s="120"/>
      <c r="AK46" s="120"/>
      <c r="AL46" s="120"/>
      <c r="AM46" s="120"/>
      <c r="AN46" s="120"/>
      <c r="AO46" s="120"/>
      <c r="AP46" s="120"/>
      <c r="AQ46" s="120"/>
      <c r="AR46" s="120"/>
      <c r="AS46" s="120"/>
      <c r="AT46" s="120"/>
      <c r="AU46" s="120"/>
      <c r="AV46" s="120"/>
      <c r="AW46" s="120"/>
      <c r="AX46" s="120"/>
      <c r="AY46" s="120"/>
    </row>
    <row r="47" spans="1:51" x14ac:dyDescent="0.2">
      <c r="A47" s="119"/>
      <c r="B47" s="129">
        <v>3</v>
      </c>
      <c r="C47" s="119" t="s">
        <v>295</v>
      </c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  <c r="AK47" s="120"/>
      <c r="AL47" s="120"/>
      <c r="AM47" s="120"/>
      <c r="AN47" s="120"/>
      <c r="AO47" s="120"/>
      <c r="AP47" s="120"/>
      <c r="AQ47" s="120"/>
      <c r="AR47" s="120"/>
      <c r="AS47" s="120"/>
      <c r="AT47" s="120"/>
      <c r="AU47" s="120"/>
      <c r="AV47" s="120"/>
      <c r="AW47" s="120"/>
      <c r="AX47" s="120"/>
      <c r="AY47" s="120"/>
    </row>
    <row r="48" spans="1:51" x14ac:dyDescent="0.2">
      <c r="A48" s="119"/>
      <c r="B48" s="129">
        <v>4</v>
      </c>
      <c r="C48" s="119" t="s">
        <v>295</v>
      </c>
      <c r="D48" s="120"/>
      <c r="E48" s="120"/>
      <c r="F48" s="120"/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120"/>
      <c r="AG48" s="120"/>
      <c r="AH48" s="120"/>
      <c r="AI48" s="120"/>
      <c r="AJ48" s="120"/>
      <c r="AK48" s="120"/>
      <c r="AL48" s="120"/>
      <c r="AM48" s="120"/>
      <c r="AN48" s="120"/>
      <c r="AO48" s="120"/>
      <c r="AP48" s="120"/>
      <c r="AQ48" s="120"/>
      <c r="AR48" s="120"/>
      <c r="AS48" s="120"/>
      <c r="AT48" s="120"/>
      <c r="AU48" s="120"/>
      <c r="AV48" s="120"/>
      <c r="AW48" s="120"/>
      <c r="AX48" s="120"/>
      <c r="AY48" s="120"/>
    </row>
    <row r="49" spans="1:51" x14ac:dyDescent="0.2">
      <c r="A49" s="119"/>
      <c r="B49" s="129">
        <v>5</v>
      </c>
      <c r="C49" s="119" t="s">
        <v>295</v>
      </c>
      <c r="D49" s="120"/>
      <c r="E49" s="120"/>
      <c r="F49" s="120"/>
      <c r="G49" s="120"/>
      <c r="H49" s="120"/>
      <c r="I49" s="120"/>
      <c r="J49" s="120"/>
      <c r="K49" s="120"/>
      <c r="L49" s="120"/>
      <c r="M49" s="120"/>
      <c r="N49" s="120"/>
      <c r="O49" s="120"/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  <c r="AM49" s="120"/>
      <c r="AN49" s="120"/>
      <c r="AO49" s="120"/>
      <c r="AP49" s="120"/>
      <c r="AQ49" s="120"/>
      <c r="AR49" s="120"/>
      <c r="AS49" s="120"/>
      <c r="AT49" s="120"/>
      <c r="AU49" s="120"/>
      <c r="AV49" s="120"/>
      <c r="AW49" s="120"/>
      <c r="AX49" s="120"/>
      <c r="AY49" s="120"/>
    </row>
    <row r="50" spans="1:51" x14ac:dyDescent="0.2">
      <c r="A50" s="119"/>
      <c r="B50" s="129">
        <v>6</v>
      </c>
      <c r="C50" s="119" t="s">
        <v>295</v>
      </c>
      <c r="D50" s="120"/>
      <c r="E50" s="120"/>
      <c r="F50" s="120"/>
      <c r="G50" s="120"/>
      <c r="H50" s="120"/>
      <c r="I50" s="120"/>
      <c r="J50" s="120"/>
      <c r="K50" s="120"/>
      <c r="L50" s="120"/>
      <c r="M50" s="120"/>
      <c r="N50" s="120"/>
      <c r="O50" s="120"/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</row>
    <row r="51" spans="1:51" x14ac:dyDescent="0.2">
      <c r="A51" s="119"/>
      <c r="B51" s="129">
        <v>7</v>
      </c>
      <c r="C51" s="119" t="s">
        <v>295</v>
      </c>
      <c r="D51" s="120"/>
      <c r="E51" s="120"/>
      <c r="F51" s="120"/>
      <c r="G51" s="120"/>
      <c r="H51" s="120"/>
      <c r="I51" s="120"/>
      <c r="J51" s="120"/>
      <c r="K51" s="120"/>
      <c r="L51" s="120"/>
      <c r="M51" s="120"/>
      <c r="N51" s="120"/>
      <c r="O51" s="120"/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</row>
    <row r="52" spans="1:51" x14ac:dyDescent="0.2">
      <c r="A52" s="119"/>
      <c r="B52" s="129">
        <v>8</v>
      </c>
      <c r="C52" s="119" t="s">
        <v>295</v>
      </c>
      <c r="D52" s="120"/>
      <c r="E52" s="120"/>
      <c r="F52" s="120"/>
      <c r="G52" s="120"/>
      <c r="H52" s="120"/>
      <c r="I52" s="120"/>
      <c r="J52" s="120"/>
      <c r="K52" s="120"/>
      <c r="L52" s="120"/>
      <c r="M52" s="120"/>
      <c r="N52" s="120"/>
      <c r="O52" s="120"/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  <c r="AM52" s="120"/>
      <c r="AN52" s="120"/>
      <c r="AO52" s="120"/>
      <c r="AP52" s="120"/>
      <c r="AQ52" s="120"/>
      <c r="AR52" s="120"/>
      <c r="AS52" s="120"/>
      <c r="AT52" s="120"/>
      <c r="AU52" s="120"/>
      <c r="AV52" s="120"/>
      <c r="AW52" s="120"/>
      <c r="AX52" s="120"/>
      <c r="AY52" s="120"/>
    </row>
    <row r="53" spans="1:51" x14ac:dyDescent="0.2">
      <c r="A53" s="119"/>
      <c r="B53" s="129">
        <v>9</v>
      </c>
      <c r="C53" s="119" t="s">
        <v>295</v>
      </c>
      <c r="D53" s="120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</row>
    <row r="54" spans="1:51" x14ac:dyDescent="0.2">
      <c r="A54" s="119"/>
      <c r="B54" s="129">
        <v>10</v>
      </c>
      <c r="C54" s="119" t="s">
        <v>295</v>
      </c>
      <c r="D54" s="120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120"/>
      <c r="T54" s="120"/>
      <c r="U54" s="120"/>
      <c r="V54" s="120"/>
      <c r="W54" s="120"/>
      <c r="X54" s="120"/>
      <c r="Y54" s="120"/>
      <c r="Z54" s="120"/>
      <c r="AA54" s="120"/>
      <c r="AB54" s="120"/>
      <c r="AC54" s="120"/>
      <c r="AD54" s="120"/>
      <c r="AE54" s="120"/>
      <c r="AF54" s="120"/>
      <c r="AG54" s="120"/>
      <c r="AH54" s="120"/>
      <c r="AI54" s="120"/>
      <c r="AJ54" s="120"/>
      <c r="AK54" s="120"/>
      <c r="AL54" s="120"/>
      <c r="AM54" s="120"/>
      <c r="AN54" s="120"/>
      <c r="AO54" s="120"/>
      <c r="AP54" s="120"/>
      <c r="AQ54" s="120"/>
      <c r="AR54" s="120"/>
      <c r="AS54" s="120"/>
      <c r="AT54" s="120"/>
      <c r="AU54" s="120"/>
      <c r="AV54" s="120"/>
      <c r="AW54" s="120"/>
      <c r="AX54" s="120"/>
      <c r="AY54" s="120"/>
    </row>
    <row r="55" spans="1:51" x14ac:dyDescent="0.2">
      <c r="A55" s="119"/>
      <c r="B55" s="129">
        <v>11</v>
      </c>
      <c r="C55" s="119" t="s">
        <v>295</v>
      </c>
      <c r="D55" s="120"/>
      <c r="E55" s="120"/>
      <c r="F55" s="120"/>
      <c r="G55" s="120"/>
      <c r="H55" s="120"/>
      <c r="I55" s="120"/>
      <c r="J55" s="120"/>
      <c r="K55" s="120"/>
      <c r="L55" s="120"/>
      <c r="M55" s="120"/>
      <c r="N55" s="120"/>
      <c r="O55" s="120"/>
      <c r="P55" s="120"/>
      <c r="Q55" s="120"/>
      <c r="R55" s="120"/>
      <c r="S55" s="120"/>
      <c r="T55" s="120"/>
      <c r="U55" s="120"/>
      <c r="V55" s="120"/>
      <c r="W55" s="120"/>
      <c r="X55" s="120"/>
      <c r="Y55" s="120"/>
      <c r="Z55" s="120"/>
      <c r="AA55" s="120"/>
      <c r="AB55" s="120"/>
      <c r="AC55" s="120"/>
      <c r="AD55" s="120"/>
      <c r="AE55" s="120"/>
      <c r="AF55" s="120"/>
      <c r="AG55" s="120"/>
      <c r="AH55" s="120"/>
      <c r="AI55" s="120"/>
      <c r="AJ55" s="120"/>
      <c r="AK55" s="120"/>
      <c r="AL55" s="120"/>
      <c r="AM55" s="120"/>
      <c r="AN55" s="120"/>
      <c r="AO55" s="120"/>
      <c r="AP55" s="120"/>
      <c r="AQ55" s="120"/>
      <c r="AR55" s="120"/>
      <c r="AS55" s="120"/>
      <c r="AT55" s="120"/>
      <c r="AU55" s="120"/>
      <c r="AV55" s="120"/>
      <c r="AW55" s="120"/>
      <c r="AX55" s="120"/>
      <c r="AY55" s="120"/>
    </row>
    <row r="56" spans="1:51" x14ac:dyDescent="0.2">
      <c r="A56" s="119"/>
      <c r="B56" s="129">
        <v>12</v>
      </c>
      <c r="C56" s="119" t="s">
        <v>295</v>
      </c>
      <c r="D56" s="120"/>
      <c r="E56" s="120"/>
      <c r="F56" s="120"/>
      <c r="G56" s="120"/>
      <c r="H56" s="120"/>
      <c r="I56" s="120"/>
      <c r="J56" s="120"/>
      <c r="K56" s="120"/>
      <c r="L56" s="120"/>
      <c r="M56" s="120"/>
      <c r="N56" s="120"/>
      <c r="O56" s="120"/>
      <c r="P56" s="120"/>
      <c r="Q56" s="120"/>
      <c r="R56" s="120"/>
      <c r="S56" s="120"/>
      <c r="T56" s="120"/>
      <c r="U56" s="120"/>
      <c r="V56" s="120"/>
      <c r="W56" s="120"/>
      <c r="X56" s="120"/>
      <c r="Y56" s="120"/>
      <c r="Z56" s="120"/>
      <c r="AA56" s="120"/>
      <c r="AB56" s="120"/>
      <c r="AC56" s="120"/>
      <c r="AD56" s="120"/>
      <c r="AE56" s="120"/>
      <c r="AF56" s="120"/>
      <c r="AG56" s="120"/>
      <c r="AH56" s="120"/>
      <c r="AI56" s="120"/>
      <c r="AJ56" s="120"/>
      <c r="AK56" s="120"/>
      <c r="AL56" s="120"/>
      <c r="AM56" s="120"/>
      <c r="AN56" s="120"/>
      <c r="AO56" s="120"/>
      <c r="AP56" s="120"/>
      <c r="AQ56" s="120"/>
      <c r="AR56" s="120"/>
      <c r="AS56" s="120"/>
      <c r="AT56" s="120"/>
      <c r="AU56" s="120"/>
      <c r="AV56" s="120"/>
      <c r="AW56" s="120"/>
      <c r="AX56" s="120"/>
      <c r="AY56" s="120"/>
    </row>
    <row r="57" spans="1:51" x14ac:dyDescent="0.2">
      <c r="A57" s="119"/>
      <c r="B57" s="130">
        <v>13</v>
      </c>
      <c r="C57" s="119" t="s">
        <v>295</v>
      </c>
      <c r="D57" s="120"/>
      <c r="E57" s="120"/>
      <c r="F57" s="120"/>
      <c r="G57" s="120"/>
      <c r="H57" s="120"/>
      <c r="I57" s="120"/>
      <c r="J57" s="120"/>
      <c r="K57" s="120"/>
      <c r="L57" s="120"/>
      <c r="M57" s="120"/>
      <c r="N57" s="120"/>
      <c r="O57" s="120"/>
      <c r="P57" s="120"/>
      <c r="Q57" s="120"/>
      <c r="R57" s="120"/>
      <c r="S57" s="120"/>
      <c r="T57" s="120"/>
      <c r="U57" s="120"/>
      <c r="V57" s="120"/>
      <c r="W57" s="120"/>
      <c r="X57" s="120"/>
      <c r="Y57" s="120"/>
      <c r="Z57" s="120"/>
      <c r="AA57" s="120"/>
      <c r="AB57" s="120"/>
      <c r="AC57" s="120"/>
      <c r="AD57" s="120"/>
      <c r="AE57" s="120"/>
      <c r="AF57" s="120"/>
      <c r="AG57" s="120"/>
      <c r="AH57" s="120"/>
      <c r="AI57" s="120"/>
      <c r="AJ57" s="120"/>
      <c r="AK57" s="120"/>
      <c r="AL57" s="120"/>
      <c r="AM57" s="120"/>
      <c r="AN57" s="120"/>
      <c r="AO57" s="120"/>
      <c r="AP57" s="120"/>
      <c r="AQ57" s="120"/>
      <c r="AR57" s="120"/>
      <c r="AS57" s="120"/>
      <c r="AT57" s="120"/>
      <c r="AU57" s="120"/>
      <c r="AV57" s="120"/>
      <c r="AW57" s="120"/>
      <c r="AX57" s="120"/>
      <c r="AY57" s="120"/>
    </row>
    <row r="58" spans="1:51" x14ac:dyDescent="0.2">
      <c r="A58" s="119"/>
      <c r="B58" s="130">
        <v>14</v>
      </c>
      <c r="C58" s="119" t="s">
        <v>295</v>
      </c>
      <c r="D58" s="120"/>
      <c r="E58" s="120"/>
      <c r="F58" s="120"/>
      <c r="G58" s="120"/>
      <c r="H58" s="120"/>
      <c r="I58" s="120"/>
      <c r="J58" s="120"/>
      <c r="K58" s="120"/>
      <c r="L58" s="120"/>
      <c r="M58" s="120"/>
      <c r="N58" s="120"/>
      <c r="O58" s="120"/>
      <c r="P58" s="120"/>
      <c r="Q58" s="120"/>
      <c r="R58" s="120"/>
      <c r="S58" s="120"/>
      <c r="T58" s="120"/>
      <c r="U58" s="120"/>
      <c r="V58" s="120"/>
      <c r="W58" s="120"/>
      <c r="X58" s="120"/>
      <c r="Y58" s="120"/>
      <c r="Z58" s="120"/>
      <c r="AA58" s="120"/>
      <c r="AB58" s="120"/>
      <c r="AC58" s="120"/>
      <c r="AD58" s="120"/>
      <c r="AE58" s="120"/>
      <c r="AF58" s="120"/>
      <c r="AG58" s="120"/>
      <c r="AH58" s="120"/>
      <c r="AI58" s="120"/>
      <c r="AJ58" s="120"/>
      <c r="AK58" s="120"/>
      <c r="AL58" s="120"/>
      <c r="AM58" s="120"/>
      <c r="AN58" s="120"/>
      <c r="AO58" s="120"/>
      <c r="AP58" s="120"/>
      <c r="AQ58" s="120"/>
      <c r="AR58" s="120"/>
      <c r="AS58" s="120"/>
      <c r="AT58" s="120"/>
      <c r="AU58" s="120"/>
      <c r="AV58" s="120"/>
      <c r="AW58" s="120"/>
      <c r="AX58" s="120"/>
      <c r="AY58" s="120"/>
    </row>
    <row r="59" spans="1:51" x14ac:dyDescent="0.2">
      <c r="A59" s="119"/>
      <c r="B59" s="130">
        <v>15</v>
      </c>
      <c r="C59" s="119" t="s">
        <v>295</v>
      </c>
      <c r="D59" s="120"/>
      <c r="E59" s="120"/>
      <c r="F59" s="120"/>
      <c r="G59" s="120"/>
      <c r="H59" s="120"/>
      <c r="I59" s="120"/>
      <c r="J59" s="120"/>
      <c r="K59" s="120"/>
      <c r="L59" s="120"/>
      <c r="M59" s="120"/>
      <c r="N59" s="120"/>
      <c r="O59" s="120"/>
      <c r="P59" s="120"/>
      <c r="Q59" s="120"/>
      <c r="R59" s="120"/>
      <c r="S59" s="120"/>
      <c r="T59" s="120"/>
      <c r="U59" s="120"/>
      <c r="V59" s="120"/>
      <c r="W59" s="120"/>
      <c r="X59" s="120"/>
      <c r="Y59" s="120"/>
      <c r="Z59" s="120"/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  <c r="AO59" s="120"/>
      <c r="AP59" s="120"/>
      <c r="AQ59" s="120"/>
      <c r="AR59" s="120"/>
      <c r="AS59" s="120"/>
      <c r="AT59" s="120"/>
      <c r="AU59" s="120"/>
      <c r="AV59" s="120"/>
      <c r="AW59" s="120"/>
      <c r="AX59" s="120"/>
      <c r="AY59" s="120"/>
    </row>
    <row r="60" spans="1:51" x14ac:dyDescent="0.2">
      <c r="A60" s="119"/>
      <c r="B60" s="130">
        <v>16</v>
      </c>
      <c r="C60" s="119" t="s">
        <v>295</v>
      </c>
      <c r="D60" s="120"/>
      <c r="E60" s="120"/>
      <c r="F60" s="120"/>
      <c r="G60" s="120"/>
      <c r="H60" s="120"/>
      <c r="I60" s="120"/>
      <c r="J60" s="120"/>
      <c r="K60" s="120"/>
      <c r="L60" s="120"/>
      <c r="M60" s="120"/>
      <c r="N60" s="120"/>
      <c r="O60" s="120"/>
      <c r="P60" s="120"/>
      <c r="Q60" s="120"/>
      <c r="R60" s="120"/>
      <c r="S60" s="120"/>
      <c r="T60" s="120"/>
      <c r="U60" s="120"/>
      <c r="V60" s="120"/>
      <c r="W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AQ60" s="120"/>
      <c r="AR60" s="120"/>
      <c r="AS60" s="120"/>
      <c r="AT60" s="120"/>
      <c r="AU60" s="120"/>
      <c r="AV60" s="120"/>
      <c r="AW60" s="120"/>
      <c r="AX60" s="120"/>
      <c r="AY60" s="120"/>
    </row>
    <row r="61" spans="1:51" x14ac:dyDescent="0.2">
      <c r="A61" s="119"/>
      <c r="B61" s="130">
        <v>17</v>
      </c>
      <c r="C61" s="119" t="s">
        <v>295</v>
      </c>
      <c r="D61" s="120"/>
      <c r="E61" s="120"/>
      <c r="F61" s="120"/>
      <c r="G61" s="120"/>
      <c r="H61" s="120"/>
      <c r="I61" s="120"/>
      <c r="J61" s="120"/>
      <c r="K61" s="120"/>
      <c r="L61" s="120"/>
      <c r="M61" s="120"/>
      <c r="N61" s="120"/>
      <c r="O61" s="120"/>
      <c r="P61" s="120"/>
      <c r="Q61" s="120"/>
      <c r="R61" s="120"/>
      <c r="S61" s="120"/>
      <c r="T61" s="120"/>
      <c r="U61" s="120"/>
      <c r="V61" s="120"/>
      <c r="W61" s="120"/>
      <c r="X61" s="120"/>
      <c r="Y61" s="120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AQ61" s="120"/>
      <c r="AR61" s="120"/>
      <c r="AS61" s="120"/>
      <c r="AT61" s="120"/>
      <c r="AU61" s="120"/>
      <c r="AV61" s="120"/>
      <c r="AW61" s="120"/>
      <c r="AX61" s="120"/>
      <c r="AY61" s="120"/>
    </row>
    <row r="62" spans="1:51" x14ac:dyDescent="0.2">
      <c r="A62" s="119"/>
      <c r="B62" s="130">
        <v>18</v>
      </c>
      <c r="C62" s="119" t="s">
        <v>295</v>
      </c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20"/>
      <c r="S62" s="120"/>
      <c r="T62" s="120"/>
      <c r="U62" s="120"/>
      <c r="V62" s="120"/>
      <c r="W62" s="120"/>
      <c r="X62" s="120"/>
      <c r="Y62" s="120"/>
      <c r="Z62" s="120"/>
      <c r="AA62" s="120"/>
      <c r="AB62" s="120"/>
      <c r="AC62" s="120"/>
      <c r="AD62" s="120"/>
      <c r="AE62" s="120"/>
      <c r="AF62" s="120"/>
      <c r="AG62" s="120"/>
      <c r="AH62" s="120"/>
      <c r="AI62" s="120"/>
      <c r="AJ62" s="120"/>
      <c r="AK62" s="120"/>
      <c r="AL62" s="120"/>
      <c r="AM62" s="120"/>
      <c r="AN62" s="120"/>
      <c r="AO62" s="120"/>
      <c r="AP62" s="120"/>
      <c r="AQ62" s="120"/>
      <c r="AR62" s="120"/>
      <c r="AS62" s="120"/>
      <c r="AT62" s="120"/>
      <c r="AU62" s="120"/>
      <c r="AV62" s="120"/>
      <c r="AW62" s="120"/>
      <c r="AX62" s="120"/>
      <c r="AY62" s="120"/>
    </row>
    <row r="63" spans="1:51" x14ac:dyDescent="0.2">
      <c r="A63" s="119"/>
      <c r="B63" s="130">
        <v>19</v>
      </c>
      <c r="C63" s="119" t="s">
        <v>295</v>
      </c>
      <c r="D63" s="120"/>
      <c r="E63" s="120"/>
      <c r="F63" s="120"/>
      <c r="G63" s="120"/>
      <c r="H63" s="120"/>
      <c r="I63" s="120"/>
      <c r="J63" s="120"/>
      <c r="K63" s="120"/>
      <c r="L63" s="120"/>
      <c r="M63" s="120"/>
      <c r="N63" s="120"/>
      <c r="O63" s="120"/>
      <c r="P63" s="120"/>
      <c r="Q63" s="120"/>
      <c r="R63" s="120"/>
      <c r="S63" s="120"/>
      <c r="T63" s="120"/>
      <c r="U63" s="120"/>
      <c r="V63" s="120"/>
      <c r="W63" s="120"/>
      <c r="X63" s="120"/>
      <c r="Y63" s="120"/>
      <c r="Z63" s="120"/>
      <c r="AA63" s="120"/>
      <c r="AB63" s="120"/>
      <c r="AC63" s="120"/>
      <c r="AD63" s="120"/>
      <c r="AE63" s="120"/>
      <c r="AF63" s="120"/>
      <c r="AG63" s="120"/>
      <c r="AH63" s="120"/>
      <c r="AI63" s="120"/>
      <c r="AJ63" s="120"/>
      <c r="AK63" s="120"/>
      <c r="AL63" s="120"/>
      <c r="AM63" s="120"/>
      <c r="AN63" s="120"/>
      <c r="AO63" s="120"/>
      <c r="AP63" s="120"/>
      <c r="AQ63" s="120"/>
      <c r="AR63" s="120"/>
      <c r="AS63" s="120"/>
      <c r="AT63" s="120"/>
      <c r="AU63" s="120"/>
      <c r="AV63" s="120"/>
      <c r="AW63" s="120"/>
      <c r="AX63" s="120"/>
      <c r="AY63" s="120"/>
    </row>
    <row r="64" spans="1:51" x14ac:dyDescent="0.2">
      <c r="A64" s="119"/>
      <c r="B64" s="130">
        <v>20</v>
      </c>
      <c r="C64" s="119" t="s">
        <v>295</v>
      </c>
      <c r="D64" s="120"/>
      <c r="E64" s="120"/>
      <c r="F64" s="120"/>
      <c r="G64" s="120"/>
      <c r="H64" s="120"/>
      <c r="I64" s="120"/>
      <c r="J64" s="120"/>
      <c r="K64" s="120"/>
      <c r="L64" s="120"/>
      <c r="M64" s="120"/>
      <c r="N64" s="120"/>
      <c r="O64" s="120"/>
      <c r="P64" s="120"/>
      <c r="Q64" s="120"/>
      <c r="R64" s="120"/>
      <c r="S64" s="120"/>
      <c r="T64" s="120"/>
      <c r="U64" s="120"/>
      <c r="V64" s="120"/>
      <c r="W64" s="120"/>
      <c r="X64" s="120"/>
      <c r="Y64" s="120"/>
      <c r="Z64" s="120"/>
      <c r="AA64" s="120"/>
      <c r="AB64" s="120"/>
      <c r="AC64" s="120"/>
      <c r="AD64" s="120"/>
      <c r="AE64" s="120"/>
      <c r="AF64" s="120"/>
      <c r="AG64" s="120"/>
      <c r="AH64" s="120"/>
      <c r="AI64" s="120"/>
      <c r="AJ64" s="120"/>
      <c r="AK64" s="120"/>
      <c r="AL64" s="120"/>
      <c r="AM64" s="120"/>
      <c r="AN64" s="120"/>
      <c r="AO64" s="120"/>
      <c r="AP64" s="120"/>
      <c r="AQ64" s="120"/>
      <c r="AR64" s="120"/>
      <c r="AS64" s="120"/>
      <c r="AT64" s="120"/>
      <c r="AU64" s="120"/>
      <c r="AV64" s="120"/>
      <c r="AW64" s="120"/>
      <c r="AX64" s="120"/>
      <c r="AY64" s="120"/>
    </row>
    <row r="65" spans="1:51" x14ac:dyDescent="0.2">
      <c r="A65" s="119"/>
      <c r="B65" s="130">
        <v>21</v>
      </c>
      <c r="C65" s="119" t="s">
        <v>295</v>
      </c>
      <c r="D65" s="120"/>
      <c r="E65" s="120"/>
      <c r="F65" s="120"/>
      <c r="G65" s="120"/>
      <c r="H65" s="120"/>
      <c r="I65" s="120"/>
      <c r="J65" s="120"/>
      <c r="K65" s="120"/>
      <c r="L65" s="120"/>
      <c r="M65" s="120"/>
      <c r="N65" s="120"/>
      <c r="O65" s="120"/>
      <c r="P65" s="120"/>
      <c r="Q65" s="120"/>
      <c r="R65" s="120"/>
      <c r="S65" s="120"/>
      <c r="T65" s="120"/>
      <c r="U65" s="120"/>
      <c r="V65" s="120"/>
      <c r="W65" s="120"/>
      <c r="X65" s="120"/>
      <c r="Y65" s="120"/>
      <c r="Z65" s="120"/>
      <c r="AA65" s="120"/>
      <c r="AB65" s="120"/>
      <c r="AC65" s="120"/>
      <c r="AD65" s="120"/>
      <c r="AE65" s="120"/>
      <c r="AF65" s="120"/>
      <c r="AG65" s="120"/>
      <c r="AH65" s="120"/>
      <c r="AI65" s="120"/>
      <c r="AJ65" s="120"/>
      <c r="AK65" s="120"/>
      <c r="AL65" s="120"/>
      <c r="AM65" s="120"/>
      <c r="AN65" s="120"/>
      <c r="AO65" s="120"/>
      <c r="AP65" s="120"/>
      <c r="AQ65" s="120"/>
      <c r="AR65" s="120"/>
      <c r="AS65" s="120"/>
      <c r="AT65" s="120"/>
      <c r="AU65" s="120"/>
      <c r="AV65" s="120"/>
      <c r="AW65" s="120"/>
      <c r="AX65" s="120"/>
      <c r="AY65" s="120"/>
    </row>
    <row r="66" spans="1:51" x14ac:dyDescent="0.2">
      <c r="A66" s="119"/>
      <c r="B66" s="130">
        <v>22</v>
      </c>
      <c r="C66" s="119" t="s">
        <v>295</v>
      </c>
      <c r="D66" s="120"/>
      <c r="E66" s="120"/>
      <c r="F66" s="120"/>
      <c r="G66" s="120"/>
      <c r="H66" s="120"/>
      <c r="I66" s="120"/>
      <c r="J66" s="120"/>
      <c r="K66" s="120"/>
      <c r="L66" s="120"/>
      <c r="M66" s="120"/>
      <c r="N66" s="120"/>
      <c r="O66" s="120"/>
      <c r="P66" s="120"/>
      <c r="Q66" s="120"/>
      <c r="R66" s="120"/>
      <c r="S66" s="120"/>
      <c r="T66" s="120"/>
      <c r="U66" s="120"/>
      <c r="V66" s="120"/>
      <c r="W66" s="120"/>
      <c r="X66" s="120"/>
      <c r="Y66" s="120"/>
      <c r="Z66" s="120"/>
      <c r="AA66" s="120"/>
      <c r="AB66" s="120"/>
      <c r="AC66" s="120"/>
      <c r="AD66" s="120"/>
      <c r="AE66" s="120"/>
      <c r="AF66" s="120"/>
      <c r="AG66" s="120"/>
      <c r="AH66" s="120"/>
      <c r="AI66" s="120"/>
      <c r="AJ66" s="120"/>
      <c r="AK66" s="120"/>
      <c r="AL66" s="120"/>
      <c r="AM66" s="120"/>
      <c r="AN66" s="120"/>
      <c r="AO66" s="120"/>
      <c r="AP66" s="120"/>
      <c r="AQ66" s="120"/>
      <c r="AR66" s="120"/>
      <c r="AS66" s="120"/>
      <c r="AT66" s="120"/>
      <c r="AU66" s="120"/>
      <c r="AV66" s="120"/>
      <c r="AW66" s="120"/>
      <c r="AX66" s="120"/>
      <c r="AY66" s="120"/>
    </row>
    <row r="67" spans="1:51" x14ac:dyDescent="0.2">
      <c r="A67" s="119"/>
      <c r="B67" s="130">
        <v>23</v>
      </c>
      <c r="C67" s="119" t="s">
        <v>295</v>
      </c>
      <c r="D67" s="120"/>
      <c r="E67" s="120"/>
      <c r="F67" s="120"/>
      <c r="G67" s="120"/>
      <c r="H67" s="120"/>
      <c r="I67" s="120"/>
      <c r="J67" s="120"/>
      <c r="K67" s="120"/>
      <c r="L67" s="120"/>
      <c r="M67" s="120"/>
      <c r="N67" s="120"/>
      <c r="O67" s="120"/>
      <c r="P67" s="120"/>
      <c r="Q67" s="120"/>
      <c r="R67" s="120"/>
      <c r="S67" s="120"/>
      <c r="T67" s="120"/>
      <c r="U67" s="120"/>
      <c r="V67" s="120"/>
      <c r="W67" s="120"/>
      <c r="X67" s="120"/>
      <c r="Y67" s="120"/>
      <c r="Z67" s="120"/>
      <c r="AA67" s="120"/>
      <c r="AB67" s="120"/>
      <c r="AC67" s="120"/>
      <c r="AD67" s="120"/>
      <c r="AE67" s="120"/>
      <c r="AF67" s="120"/>
      <c r="AG67" s="120"/>
      <c r="AH67" s="120"/>
      <c r="AI67" s="120"/>
      <c r="AJ67" s="120"/>
      <c r="AK67" s="120"/>
      <c r="AL67" s="120"/>
      <c r="AM67" s="120"/>
      <c r="AN67" s="120"/>
      <c r="AO67" s="120"/>
      <c r="AP67" s="120"/>
      <c r="AQ67" s="120"/>
      <c r="AR67" s="120"/>
      <c r="AS67" s="120"/>
      <c r="AT67" s="120"/>
      <c r="AU67" s="120"/>
      <c r="AV67" s="120"/>
      <c r="AW67" s="120"/>
      <c r="AX67" s="120"/>
      <c r="AY67" s="120"/>
    </row>
    <row r="68" spans="1:51" x14ac:dyDescent="0.2">
      <c r="A68" s="119"/>
      <c r="B68" s="130">
        <v>24</v>
      </c>
      <c r="C68" s="119" t="s">
        <v>295</v>
      </c>
      <c r="D68" s="120"/>
      <c r="E68" s="120"/>
      <c r="F68" s="120"/>
      <c r="G68" s="120"/>
      <c r="H68" s="120"/>
      <c r="I68" s="120"/>
      <c r="J68" s="120"/>
      <c r="K68" s="120"/>
      <c r="L68" s="120"/>
      <c r="M68" s="120"/>
      <c r="N68" s="120"/>
      <c r="O68" s="120"/>
      <c r="P68" s="120"/>
      <c r="Q68" s="120"/>
      <c r="R68" s="120"/>
      <c r="S68" s="120"/>
      <c r="T68" s="120"/>
      <c r="U68" s="120"/>
      <c r="V68" s="120"/>
      <c r="W68" s="120"/>
      <c r="X68" s="120"/>
      <c r="Y68" s="120"/>
      <c r="Z68" s="120"/>
      <c r="AA68" s="120"/>
      <c r="AB68" s="120"/>
      <c r="AC68" s="120"/>
      <c r="AD68" s="120"/>
      <c r="AE68" s="120"/>
      <c r="AF68" s="120"/>
      <c r="AG68" s="120"/>
      <c r="AH68" s="120"/>
      <c r="AI68" s="120"/>
      <c r="AJ68" s="120"/>
      <c r="AK68" s="120"/>
      <c r="AL68" s="120"/>
      <c r="AM68" s="120"/>
      <c r="AN68" s="120"/>
      <c r="AO68" s="120"/>
      <c r="AP68" s="120"/>
      <c r="AQ68" s="120"/>
      <c r="AR68" s="120"/>
      <c r="AS68" s="120"/>
      <c r="AT68" s="120"/>
      <c r="AU68" s="120"/>
      <c r="AV68" s="120"/>
      <c r="AW68" s="120"/>
      <c r="AX68" s="120"/>
      <c r="AY68" s="120"/>
    </row>
    <row r="69" spans="1:51" x14ac:dyDescent="0.2">
      <c r="A69" s="119"/>
      <c r="B69" s="137">
        <v>25</v>
      </c>
      <c r="C69" s="119" t="s">
        <v>295</v>
      </c>
      <c r="D69" s="120"/>
      <c r="E69" s="120"/>
      <c r="F69" s="120"/>
      <c r="G69" s="120"/>
      <c r="H69" s="120"/>
      <c r="I69" s="120"/>
      <c r="J69" s="120"/>
      <c r="K69" s="120"/>
      <c r="L69" s="120"/>
      <c r="M69" s="120"/>
      <c r="N69" s="120"/>
      <c r="O69" s="120"/>
      <c r="P69" s="120"/>
      <c r="Q69" s="120"/>
      <c r="R69" s="120"/>
      <c r="S69" s="120"/>
      <c r="T69" s="120"/>
      <c r="U69" s="120"/>
      <c r="V69" s="120"/>
      <c r="W69" s="120"/>
      <c r="X69" s="120"/>
      <c r="Y69" s="120"/>
      <c r="Z69" s="120"/>
      <c r="AA69" s="120"/>
      <c r="AB69" s="120"/>
      <c r="AC69" s="120"/>
      <c r="AD69" s="120"/>
      <c r="AE69" s="120"/>
      <c r="AF69" s="120"/>
      <c r="AG69" s="120"/>
      <c r="AH69" s="120"/>
      <c r="AI69" s="120"/>
      <c r="AJ69" s="120"/>
      <c r="AK69" s="120"/>
      <c r="AL69" s="120"/>
      <c r="AM69" s="120"/>
      <c r="AN69" s="120"/>
      <c r="AO69" s="120"/>
      <c r="AP69" s="120"/>
      <c r="AQ69" s="120"/>
      <c r="AR69" s="120"/>
      <c r="AS69" s="120"/>
      <c r="AT69" s="120"/>
      <c r="AU69" s="120"/>
      <c r="AV69" s="120"/>
      <c r="AW69" s="120"/>
      <c r="AX69" s="120"/>
      <c r="AY69" s="120"/>
    </row>
    <row r="70" spans="1:51" x14ac:dyDescent="0.2">
      <c r="A70" s="119"/>
      <c r="B70" s="137">
        <v>26</v>
      </c>
      <c r="C70" s="119" t="s">
        <v>295</v>
      </c>
      <c r="D70" s="120"/>
      <c r="E70" s="120"/>
      <c r="F70" s="120"/>
      <c r="G70" s="120"/>
      <c r="H70" s="120"/>
      <c r="I70" s="120"/>
      <c r="J70" s="120"/>
      <c r="K70" s="120"/>
      <c r="L70" s="120"/>
      <c r="M70" s="120"/>
      <c r="N70" s="120"/>
      <c r="O70" s="120"/>
      <c r="P70" s="120"/>
      <c r="Q70" s="120"/>
      <c r="R70" s="120"/>
      <c r="S70" s="120"/>
      <c r="T70" s="120"/>
      <c r="U70" s="120"/>
      <c r="V70" s="120"/>
      <c r="W70" s="120"/>
      <c r="X70" s="120"/>
      <c r="Y70" s="120"/>
      <c r="Z70" s="120"/>
      <c r="AA70" s="120"/>
      <c r="AB70" s="120"/>
      <c r="AC70" s="120"/>
      <c r="AD70" s="120"/>
      <c r="AE70" s="120"/>
      <c r="AF70" s="120"/>
      <c r="AG70" s="120"/>
      <c r="AH70" s="120"/>
      <c r="AI70" s="120"/>
      <c r="AJ70" s="120"/>
      <c r="AK70" s="120"/>
      <c r="AL70" s="120"/>
      <c r="AM70" s="120"/>
      <c r="AN70" s="120"/>
      <c r="AO70" s="120"/>
      <c r="AP70" s="120"/>
      <c r="AQ70" s="120"/>
      <c r="AR70" s="120"/>
      <c r="AS70" s="120"/>
      <c r="AT70" s="120"/>
      <c r="AU70" s="120"/>
      <c r="AV70" s="120"/>
      <c r="AW70" s="120"/>
      <c r="AX70" s="120"/>
      <c r="AY70" s="120"/>
    </row>
    <row r="71" spans="1:51" x14ac:dyDescent="0.2">
      <c r="A71" s="119"/>
      <c r="B71" s="137">
        <v>27</v>
      </c>
      <c r="C71" s="119" t="s">
        <v>295</v>
      </c>
      <c r="D71" s="120"/>
      <c r="E71" s="120"/>
      <c r="F71" s="120"/>
      <c r="G71" s="120"/>
      <c r="H71" s="120"/>
      <c r="I71" s="120"/>
      <c r="J71" s="120"/>
      <c r="K71" s="120"/>
      <c r="L71" s="120"/>
      <c r="M71" s="120"/>
      <c r="N71" s="120"/>
      <c r="O71" s="120"/>
      <c r="P71" s="120"/>
      <c r="Q71" s="120"/>
      <c r="R71" s="120"/>
      <c r="S71" s="120"/>
      <c r="T71" s="120"/>
      <c r="U71" s="120"/>
      <c r="V71" s="120"/>
      <c r="W71" s="120"/>
      <c r="X71" s="120"/>
      <c r="Y71" s="120"/>
      <c r="Z71" s="120"/>
      <c r="AA71" s="120"/>
      <c r="AB71" s="120"/>
      <c r="AC71" s="120"/>
      <c r="AD71" s="120"/>
      <c r="AE71" s="120"/>
      <c r="AF71" s="120"/>
      <c r="AG71" s="120"/>
      <c r="AH71" s="120"/>
      <c r="AI71" s="120"/>
      <c r="AJ71" s="120"/>
      <c r="AK71" s="120"/>
      <c r="AL71" s="120"/>
      <c r="AM71" s="120"/>
      <c r="AN71" s="120"/>
      <c r="AO71" s="120"/>
      <c r="AP71" s="120"/>
      <c r="AQ71" s="120"/>
      <c r="AR71" s="120"/>
      <c r="AS71" s="120"/>
      <c r="AT71" s="120"/>
      <c r="AU71" s="120"/>
      <c r="AV71" s="120"/>
      <c r="AW71" s="120"/>
      <c r="AX71" s="120"/>
      <c r="AY71" s="120"/>
    </row>
    <row r="72" spans="1:51" x14ac:dyDescent="0.2">
      <c r="A72" s="119"/>
      <c r="B72" s="137">
        <v>28</v>
      </c>
      <c r="C72" s="119" t="s">
        <v>295</v>
      </c>
      <c r="D72" s="120"/>
      <c r="E72" s="120"/>
      <c r="F72" s="120"/>
      <c r="G72" s="120"/>
      <c r="H72" s="120"/>
      <c r="I72" s="120"/>
      <c r="J72" s="120"/>
      <c r="K72" s="120"/>
      <c r="L72" s="120"/>
      <c r="M72" s="120"/>
      <c r="N72" s="120"/>
      <c r="O72" s="120"/>
      <c r="P72" s="120"/>
      <c r="Q72" s="120"/>
      <c r="R72" s="120"/>
      <c r="S72" s="120"/>
      <c r="T72" s="120"/>
      <c r="U72" s="120"/>
      <c r="V72" s="120"/>
      <c r="W72" s="120"/>
      <c r="X72" s="120"/>
      <c r="Y72" s="120"/>
      <c r="Z72" s="120"/>
      <c r="AA72" s="120"/>
      <c r="AB72" s="120"/>
      <c r="AC72" s="120"/>
      <c r="AD72" s="120"/>
      <c r="AE72" s="120"/>
      <c r="AF72" s="120"/>
      <c r="AG72" s="120"/>
      <c r="AH72" s="120"/>
      <c r="AI72" s="120"/>
      <c r="AJ72" s="120"/>
      <c r="AK72" s="120"/>
      <c r="AL72" s="120"/>
      <c r="AM72" s="120"/>
      <c r="AN72" s="120"/>
      <c r="AO72" s="120"/>
      <c r="AP72" s="120"/>
      <c r="AQ72" s="120"/>
      <c r="AR72" s="120"/>
      <c r="AS72" s="120"/>
      <c r="AT72" s="120"/>
      <c r="AU72" s="120"/>
      <c r="AV72" s="120"/>
      <c r="AW72" s="120"/>
      <c r="AX72" s="120"/>
      <c r="AY72" s="120"/>
    </row>
    <row r="73" spans="1:51" x14ac:dyDescent="0.2">
      <c r="A73" s="119"/>
      <c r="B73" s="137">
        <v>29</v>
      </c>
      <c r="C73" s="119" t="s">
        <v>295</v>
      </c>
      <c r="D73" s="120"/>
      <c r="E73" s="120"/>
      <c r="F73" s="120"/>
      <c r="G73" s="120"/>
      <c r="H73" s="120"/>
      <c r="I73" s="120"/>
      <c r="J73" s="120"/>
      <c r="K73" s="120"/>
      <c r="L73" s="120"/>
      <c r="M73" s="120"/>
      <c r="N73" s="120"/>
      <c r="O73" s="120"/>
      <c r="P73" s="120"/>
      <c r="Q73" s="120"/>
      <c r="R73" s="120"/>
      <c r="S73" s="120"/>
      <c r="T73" s="120"/>
      <c r="U73" s="120"/>
      <c r="V73" s="120"/>
      <c r="W73" s="120"/>
      <c r="X73" s="120"/>
      <c r="Y73" s="120"/>
      <c r="Z73" s="120"/>
      <c r="AA73" s="120"/>
      <c r="AB73" s="120"/>
      <c r="AC73" s="120"/>
      <c r="AD73" s="120"/>
      <c r="AE73" s="120"/>
      <c r="AF73" s="120"/>
      <c r="AG73" s="120"/>
      <c r="AH73" s="120"/>
      <c r="AI73" s="120"/>
      <c r="AJ73" s="120"/>
      <c r="AK73" s="120"/>
      <c r="AL73" s="120"/>
      <c r="AM73" s="120"/>
      <c r="AN73" s="120"/>
      <c r="AO73" s="120"/>
      <c r="AP73" s="120"/>
      <c r="AQ73" s="120"/>
      <c r="AR73" s="120"/>
      <c r="AS73" s="120"/>
      <c r="AT73" s="120"/>
      <c r="AU73" s="120"/>
      <c r="AV73" s="120"/>
      <c r="AW73" s="120"/>
      <c r="AX73" s="120"/>
      <c r="AY73" s="120"/>
    </row>
    <row r="74" spans="1:51" x14ac:dyDescent="0.2">
      <c r="A74" s="119"/>
      <c r="B74" s="137">
        <v>30</v>
      </c>
      <c r="C74" s="119" t="s">
        <v>295</v>
      </c>
      <c r="D74" s="120"/>
      <c r="E74" s="120"/>
      <c r="F74" s="120"/>
      <c r="G74" s="120"/>
      <c r="H74" s="120"/>
      <c r="I74" s="120"/>
      <c r="J74" s="120"/>
      <c r="K74" s="120"/>
      <c r="L74" s="120"/>
      <c r="M74" s="120"/>
      <c r="N74" s="120"/>
      <c r="O74" s="120"/>
      <c r="P74" s="120"/>
      <c r="Q74" s="120"/>
      <c r="R74" s="120"/>
      <c r="S74" s="120"/>
      <c r="T74" s="120"/>
      <c r="U74" s="120"/>
      <c r="V74" s="120"/>
      <c r="W74" s="120"/>
      <c r="X74" s="120"/>
      <c r="Y74" s="120"/>
      <c r="Z74" s="120"/>
      <c r="AA74" s="120"/>
      <c r="AB74" s="120"/>
      <c r="AC74" s="120"/>
      <c r="AD74" s="120"/>
      <c r="AE74" s="120"/>
      <c r="AF74" s="120"/>
      <c r="AG74" s="120"/>
      <c r="AH74" s="120"/>
      <c r="AI74" s="120"/>
      <c r="AJ74" s="120"/>
      <c r="AK74" s="120"/>
      <c r="AL74" s="120"/>
      <c r="AM74" s="120"/>
      <c r="AN74" s="120"/>
      <c r="AO74" s="120"/>
      <c r="AP74" s="120"/>
      <c r="AQ74" s="120"/>
      <c r="AR74" s="120"/>
      <c r="AS74" s="120"/>
      <c r="AT74" s="120"/>
      <c r="AU74" s="120"/>
      <c r="AV74" s="120"/>
      <c r="AW74" s="120"/>
      <c r="AX74" s="120"/>
      <c r="AY74" s="120"/>
    </row>
    <row r="75" spans="1:51" x14ac:dyDescent="0.2">
      <c r="A75" s="119"/>
      <c r="B75" s="137">
        <v>31</v>
      </c>
      <c r="C75" s="119" t="s">
        <v>295</v>
      </c>
      <c r="D75" s="120"/>
      <c r="E75" s="120"/>
      <c r="F75" s="120"/>
      <c r="G75" s="120"/>
      <c r="H75" s="120"/>
      <c r="I75" s="120"/>
      <c r="J75" s="120"/>
      <c r="K75" s="120"/>
      <c r="L75" s="120"/>
      <c r="M75" s="120"/>
      <c r="N75" s="120"/>
      <c r="O75" s="120"/>
      <c r="P75" s="120"/>
      <c r="Q75" s="120"/>
      <c r="R75" s="120"/>
      <c r="S75" s="120"/>
      <c r="T75" s="120"/>
      <c r="U75" s="120"/>
      <c r="V75" s="120"/>
      <c r="W75" s="120"/>
      <c r="X75" s="120"/>
      <c r="Y75" s="120"/>
      <c r="Z75" s="120"/>
      <c r="AA75" s="120"/>
      <c r="AB75" s="120"/>
      <c r="AC75" s="120"/>
      <c r="AD75" s="120"/>
      <c r="AE75" s="120"/>
      <c r="AF75" s="120"/>
      <c r="AG75" s="120"/>
      <c r="AH75" s="120"/>
      <c r="AI75" s="120"/>
      <c r="AJ75" s="120"/>
      <c r="AK75" s="120"/>
      <c r="AL75" s="120"/>
      <c r="AM75" s="120"/>
      <c r="AN75" s="120"/>
      <c r="AO75" s="120"/>
      <c r="AP75" s="120"/>
      <c r="AQ75" s="120"/>
      <c r="AR75" s="120"/>
      <c r="AS75" s="120"/>
      <c r="AT75" s="120"/>
      <c r="AU75" s="120"/>
      <c r="AV75" s="120"/>
      <c r="AW75" s="120"/>
      <c r="AX75" s="120"/>
      <c r="AY75" s="120"/>
    </row>
    <row r="76" spans="1:51" x14ac:dyDescent="0.2">
      <c r="A76" s="119"/>
      <c r="B76" s="137">
        <v>32</v>
      </c>
      <c r="C76" s="119" t="s">
        <v>295</v>
      </c>
      <c r="D76" s="120"/>
      <c r="E76" s="120"/>
      <c r="F76" s="120"/>
      <c r="G76" s="120"/>
      <c r="H76" s="120"/>
      <c r="I76" s="120"/>
      <c r="J76" s="120"/>
      <c r="K76" s="120"/>
      <c r="L76" s="120"/>
      <c r="M76" s="120"/>
      <c r="N76" s="120"/>
      <c r="O76" s="120"/>
      <c r="P76" s="120"/>
      <c r="Q76" s="120"/>
      <c r="R76" s="120"/>
      <c r="S76" s="120"/>
      <c r="T76" s="120"/>
      <c r="U76" s="120"/>
      <c r="V76" s="120"/>
      <c r="W76" s="120"/>
      <c r="X76" s="120"/>
      <c r="Y76" s="120"/>
      <c r="Z76" s="120"/>
      <c r="AA76" s="120"/>
      <c r="AB76" s="120"/>
      <c r="AC76" s="120"/>
      <c r="AD76" s="120"/>
      <c r="AE76" s="120"/>
      <c r="AF76" s="120"/>
      <c r="AG76" s="120"/>
      <c r="AH76" s="120"/>
      <c r="AI76" s="120"/>
      <c r="AJ76" s="120"/>
      <c r="AK76" s="120"/>
      <c r="AL76" s="120"/>
      <c r="AM76" s="120"/>
      <c r="AN76" s="120"/>
      <c r="AO76" s="120"/>
      <c r="AP76" s="120"/>
      <c r="AQ76" s="120"/>
      <c r="AR76" s="120"/>
      <c r="AS76" s="120"/>
      <c r="AT76" s="120"/>
      <c r="AU76" s="120"/>
      <c r="AV76" s="120"/>
      <c r="AW76" s="120"/>
      <c r="AX76" s="120"/>
      <c r="AY76" s="120"/>
    </row>
    <row r="77" spans="1:51" x14ac:dyDescent="0.2">
      <c r="A77" s="119"/>
      <c r="B77" s="137">
        <v>33</v>
      </c>
      <c r="C77" s="119" t="s">
        <v>295</v>
      </c>
      <c r="D77" s="120"/>
      <c r="E77" s="120"/>
      <c r="F77" s="120"/>
      <c r="G77" s="120"/>
      <c r="H77" s="120"/>
      <c r="I77" s="120"/>
      <c r="J77" s="120"/>
      <c r="K77" s="120"/>
      <c r="L77" s="120"/>
      <c r="M77" s="120"/>
      <c r="N77" s="120"/>
      <c r="O77" s="120"/>
      <c r="P77" s="120"/>
      <c r="Q77" s="120"/>
      <c r="R77" s="120"/>
      <c r="S77" s="120"/>
      <c r="T77" s="120"/>
      <c r="U77" s="120"/>
      <c r="V77" s="120"/>
      <c r="W77" s="120"/>
      <c r="X77" s="120"/>
      <c r="Y77" s="120"/>
      <c r="Z77" s="120"/>
      <c r="AA77" s="120"/>
      <c r="AB77" s="120"/>
      <c r="AC77" s="120"/>
      <c r="AD77" s="120"/>
      <c r="AE77" s="120"/>
      <c r="AF77" s="120"/>
      <c r="AG77" s="120"/>
      <c r="AH77" s="120"/>
      <c r="AI77" s="120"/>
      <c r="AJ77" s="120"/>
      <c r="AK77" s="120"/>
      <c r="AL77" s="120"/>
      <c r="AM77" s="120"/>
      <c r="AN77" s="120"/>
      <c r="AO77" s="120"/>
      <c r="AP77" s="120"/>
      <c r="AQ77" s="120"/>
      <c r="AR77" s="120"/>
      <c r="AS77" s="120"/>
      <c r="AT77" s="120"/>
      <c r="AU77" s="120"/>
      <c r="AV77" s="120"/>
      <c r="AW77" s="120"/>
      <c r="AX77" s="120"/>
      <c r="AY77" s="120"/>
    </row>
    <row r="78" spans="1:51" x14ac:dyDescent="0.2">
      <c r="A78" s="119"/>
      <c r="B78" s="137">
        <v>34</v>
      </c>
      <c r="C78" s="119" t="s">
        <v>295</v>
      </c>
      <c r="D78" s="120"/>
      <c r="E78" s="120"/>
      <c r="F78" s="120"/>
      <c r="G78" s="120"/>
      <c r="H78" s="120"/>
      <c r="I78" s="120"/>
      <c r="J78" s="120"/>
      <c r="K78" s="120"/>
      <c r="L78" s="120"/>
      <c r="M78" s="120"/>
      <c r="N78" s="120"/>
      <c r="O78" s="120"/>
      <c r="P78" s="120"/>
      <c r="Q78" s="120"/>
      <c r="R78" s="120"/>
      <c r="S78" s="120"/>
      <c r="T78" s="120"/>
      <c r="U78" s="120"/>
      <c r="V78" s="120"/>
      <c r="W78" s="120"/>
      <c r="X78" s="120"/>
      <c r="Y78" s="120"/>
      <c r="Z78" s="120"/>
      <c r="AA78" s="120"/>
      <c r="AB78" s="120"/>
      <c r="AC78" s="120"/>
      <c r="AD78" s="120"/>
      <c r="AE78" s="120"/>
      <c r="AF78" s="120"/>
      <c r="AG78" s="120"/>
      <c r="AH78" s="120"/>
      <c r="AI78" s="120"/>
      <c r="AJ78" s="120"/>
      <c r="AK78" s="120"/>
      <c r="AL78" s="120"/>
      <c r="AM78" s="120"/>
      <c r="AN78" s="120"/>
      <c r="AO78" s="120"/>
      <c r="AP78" s="120"/>
      <c r="AQ78" s="120"/>
      <c r="AR78" s="120"/>
      <c r="AS78" s="120"/>
      <c r="AT78" s="120"/>
      <c r="AU78" s="120"/>
      <c r="AV78" s="120"/>
      <c r="AW78" s="120"/>
      <c r="AX78" s="120"/>
      <c r="AY78" s="120"/>
    </row>
    <row r="79" spans="1:51" x14ac:dyDescent="0.2">
      <c r="A79" s="119"/>
      <c r="B79" s="137">
        <v>35</v>
      </c>
      <c r="C79" s="119" t="s">
        <v>295</v>
      </c>
      <c r="D79" s="120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0"/>
      <c r="P79" s="120"/>
      <c r="Q79" s="120"/>
      <c r="R79" s="120"/>
      <c r="S79" s="120"/>
      <c r="T79" s="120"/>
      <c r="U79" s="120"/>
      <c r="V79" s="120"/>
      <c r="W79" s="120"/>
      <c r="X79" s="120"/>
      <c r="Y79" s="120"/>
      <c r="Z79" s="120"/>
      <c r="AA79" s="120"/>
      <c r="AB79" s="120"/>
      <c r="AC79" s="120"/>
      <c r="AD79" s="120"/>
      <c r="AE79" s="120"/>
      <c r="AF79" s="120"/>
      <c r="AG79" s="120"/>
      <c r="AH79" s="120"/>
      <c r="AI79" s="120"/>
      <c r="AJ79" s="120"/>
      <c r="AK79" s="120"/>
      <c r="AL79" s="120"/>
      <c r="AM79" s="120"/>
      <c r="AN79" s="120"/>
      <c r="AO79" s="120"/>
      <c r="AP79" s="120"/>
      <c r="AQ79" s="120"/>
      <c r="AR79" s="120"/>
      <c r="AS79" s="120"/>
      <c r="AT79" s="120"/>
      <c r="AU79" s="120"/>
      <c r="AV79" s="120"/>
      <c r="AW79" s="120"/>
      <c r="AX79" s="120"/>
      <c r="AY79" s="120"/>
    </row>
    <row r="80" spans="1:51" x14ac:dyDescent="0.2">
      <c r="A80" s="119"/>
      <c r="B80" s="137">
        <v>36</v>
      </c>
      <c r="C80" s="119" t="s">
        <v>295</v>
      </c>
      <c r="D80" s="120"/>
      <c r="E80" s="120"/>
      <c r="F80" s="120"/>
      <c r="G80" s="120"/>
      <c r="H80" s="120"/>
      <c r="I80" s="120"/>
      <c r="J80" s="120"/>
      <c r="K80" s="120"/>
      <c r="L80" s="120"/>
      <c r="M80" s="120"/>
      <c r="N80" s="120"/>
      <c r="O80" s="120"/>
      <c r="P80" s="120"/>
      <c r="Q80" s="120"/>
      <c r="R80" s="120"/>
      <c r="S80" s="120"/>
      <c r="T80" s="120"/>
      <c r="U80" s="120"/>
      <c r="V80" s="120"/>
      <c r="W80" s="120"/>
      <c r="X80" s="120"/>
      <c r="Y80" s="120"/>
      <c r="Z80" s="120"/>
      <c r="AA80" s="120"/>
      <c r="AB80" s="120"/>
      <c r="AC80" s="120"/>
      <c r="AD80" s="120"/>
      <c r="AE80" s="120"/>
      <c r="AF80" s="120"/>
      <c r="AG80" s="120"/>
      <c r="AH80" s="120"/>
      <c r="AI80" s="120"/>
      <c r="AJ80" s="120"/>
      <c r="AK80" s="120"/>
      <c r="AL80" s="120"/>
      <c r="AM80" s="120"/>
      <c r="AN80" s="120"/>
      <c r="AO80" s="120"/>
      <c r="AP80" s="120"/>
      <c r="AQ80" s="120"/>
      <c r="AR80" s="120"/>
      <c r="AS80" s="120"/>
      <c r="AT80" s="120"/>
      <c r="AU80" s="120"/>
      <c r="AV80" s="120"/>
      <c r="AW80" s="120"/>
      <c r="AX80" s="120"/>
      <c r="AY80" s="120"/>
    </row>
    <row r="81" spans="1:52" x14ac:dyDescent="0.2">
      <c r="A81" s="119"/>
      <c r="B81" s="140">
        <v>37</v>
      </c>
      <c r="C81" s="119" t="s">
        <v>295</v>
      </c>
      <c r="D81" s="120"/>
      <c r="E81" s="120"/>
      <c r="F81" s="120"/>
      <c r="G81" s="120"/>
      <c r="H81" s="120"/>
      <c r="I81" s="120"/>
      <c r="J81" s="120"/>
      <c r="K81" s="120"/>
      <c r="L81" s="120"/>
      <c r="M81" s="120"/>
      <c r="N81" s="120"/>
      <c r="O81" s="120"/>
      <c r="P81" s="120"/>
      <c r="Q81" s="120"/>
      <c r="R81" s="120"/>
      <c r="S81" s="120"/>
      <c r="T81" s="120"/>
      <c r="U81" s="120"/>
      <c r="V81" s="120"/>
      <c r="W81" s="120"/>
      <c r="X81" s="120"/>
      <c r="Y81" s="120"/>
      <c r="Z81" s="120"/>
      <c r="AA81" s="120"/>
      <c r="AB81" s="120"/>
      <c r="AC81" s="120"/>
      <c r="AD81" s="120"/>
      <c r="AE81" s="120"/>
      <c r="AF81" s="120"/>
      <c r="AG81" s="120"/>
      <c r="AH81" s="120"/>
      <c r="AI81" s="120"/>
      <c r="AJ81" s="120"/>
      <c r="AK81" s="120"/>
      <c r="AL81" s="120"/>
      <c r="AM81" s="120"/>
      <c r="AN81" s="120"/>
      <c r="AO81" s="120"/>
      <c r="AP81" s="120"/>
      <c r="AQ81" s="120"/>
      <c r="AR81" s="120"/>
      <c r="AS81" s="120"/>
      <c r="AT81" s="120"/>
      <c r="AU81" s="120"/>
      <c r="AV81" s="120"/>
      <c r="AW81" s="120"/>
      <c r="AX81" s="120"/>
      <c r="AY81" s="120"/>
    </row>
    <row r="82" spans="1:52" x14ac:dyDescent="0.2">
      <c r="A82" s="119"/>
      <c r="B82" s="140">
        <v>38</v>
      </c>
      <c r="C82" s="119" t="s">
        <v>295</v>
      </c>
      <c r="D82" s="120"/>
      <c r="E82" s="120"/>
      <c r="F82" s="120"/>
      <c r="G82" s="120"/>
      <c r="H82" s="120"/>
      <c r="I82" s="120"/>
      <c r="J82" s="120"/>
      <c r="K82" s="120"/>
      <c r="L82" s="120"/>
      <c r="M82" s="120"/>
      <c r="N82" s="120"/>
      <c r="O82" s="120"/>
      <c r="P82" s="120"/>
      <c r="Q82" s="120"/>
      <c r="R82" s="120"/>
      <c r="S82" s="120"/>
      <c r="T82" s="120"/>
      <c r="U82" s="120"/>
      <c r="V82" s="120"/>
      <c r="W82" s="120"/>
      <c r="X82" s="120"/>
      <c r="Y82" s="120"/>
      <c r="Z82" s="120"/>
      <c r="AA82" s="120"/>
      <c r="AB82" s="120"/>
      <c r="AC82" s="120"/>
      <c r="AD82" s="120"/>
      <c r="AE82" s="120"/>
      <c r="AF82" s="120"/>
      <c r="AG82" s="120"/>
      <c r="AH82" s="120"/>
      <c r="AI82" s="120"/>
      <c r="AJ82" s="120"/>
      <c r="AK82" s="120"/>
      <c r="AL82" s="120"/>
      <c r="AM82" s="120"/>
      <c r="AN82" s="120"/>
      <c r="AO82" s="120"/>
      <c r="AP82" s="120"/>
      <c r="AQ82" s="120"/>
      <c r="AR82" s="120"/>
      <c r="AS82" s="120"/>
      <c r="AT82" s="120"/>
      <c r="AU82" s="120"/>
      <c r="AV82" s="120"/>
      <c r="AW82" s="120"/>
      <c r="AX82" s="120"/>
      <c r="AY82" s="120"/>
    </row>
    <row r="83" spans="1:52" x14ac:dyDescent="0.2">
      <c r="A83" s="119"/>
      <c r="B83" s="140">
        <v>39</v>
      </c>
      <c r="C83" s="119" t="s">
        <v>295</v>
      </c>
      <c r="D83" s="120"/>
      <c r="E83" s="120"/>
      <c r="F83" s="120"/>
      <c r="G83" s="120"/>
      <c r="H83" s="120"/>
      <c r="I83" s="120"/>
      <c r="J83" s="120"/>
      <c r="K83" s="120"/>
      <c r="L83" s="120"/>
      <c r="M83" s="120"/>
      <c r="N83" s="120"/>
      <c r="O83" s="120"/>
      <c r="P83" s="120"/>
      <c r="Q83" s="120"/>
      <c r="R83" s="120"/>
      <c r="S83" s="120"/>
      <c r="T83" s="120"/>
      <c r="U83" s="120"/>
      <c r="V83" s="120"/>
      <c r="W83" s="120"/>
      <c r="X83" s="120"/>
      <c r="Y83" s="120"/>
      <c r="Z83" s="120"/>
      <c r="AA83" s="120"/>
      <c r="AB83" s="120"/>
      <c r="AC83" s="120"/>
      <c r="AD83" s="120"/>
      <c r="AE83" s="120"/>
      <c r="AF83" s="120"/>
      <c r="AG83" s="120"/>
      <c r="AH83" s="120"/>
      <c r="AI83" s="120"/>
      <c r="AJ83" s="120"/>
      <c r="AK83" s="120"/>
      <c r="AL83" s="120"/>
      <c r="AM83" s="120"/>
      <c r="AN83" s="120"/>
      <c r="AO83" s="120"/>
      <c r="AP83" s="120"/>
      <c r="AQ83" s="120"/>
      <c r="AR83" s="120"/>
      <c r="AS83" s="120"/>
      <c r="AT83" s="120"/>
      <c r="AU83" s="120"/>
      <c r="AV83" s="120"/>
      <c r="AW83" s="120"/>
      <c r="AX83" s="120"/>
      <c r="AY83" s="120"/>
    </row>
    <row r="84" spans="1:52" x14ac:dyDescent="0.2">
      <c r="A84" s="119"/>
      <c r="B84" s="140">
        <v>40</v>
      </c>
      <c r="C84" s="119" t="s">
        <v>295</v>
      </c>
      <c r="D84" s="120"/>
      <c r="E84" s="120"/>
      <c r="F84" s="120"/>
      <c r="G84" s="120"/>
      <c r="H84" s="120"/>
      <c r="I84" s="120"/>
      <c r="J84" s="120"/>
      <c r="K84" s="120"/>
      <c r="L84" s="120"/>
      <c r="M84" s="120"/>
      <c r="N84" s="120"/>
      <c r="O84" s="120"/>
      <c r="P84" s="120"/>
      <c r="Q84" s="120"/>
      <c r="R84" s="120"/>
      <c r="S84" s="120"/>
      <c r="T84" s="120"/>
      <c r="U84" s="120"/>
      <c r="V84" s="120"/>
      <c r="W84" s="120"/>
      <c r="X84" s="120"/>
      <c r="Y84" s="120"/>
      <c r="Z84" s="120"/>
      <c r="AA84" s="120"/>
      <c r="AB84" s="120"/>
      <c r="AC84" s="120"/>
      <c r="AD84" s="120"/>
      <c r="AE84" s="120"/>
      <c r="AF84" s="120"/>
      <c r="AG84" s="120"/>
      <c r="AH84" s="120"/>
      <c r="AI84" s="120"/>
      <c r="AJ84" s="120"/>
      <c r="AK84" s="120"/>
      <c r="AL84" s="120"/>
      <c r="AM84" s="120"/>
      <c r="AN84" s="120"/>
      <c r="AO84" s="120"/>
      <c r="AP84" s="120"/>
      <c r="AQ84" s="120"/>
      <c r="AR84" s="120"/>
      <c r="AS84" s="120"/>
      <c r="AT84" s="120"/>
      <c r="AU84" s="120"/>
      <c r="AV84" s="120"/>
      <c r="AW84" s="120"/>
      <c r="AX84" s="120"/>
      <c r="AY84" s="120"/>
    </row>
    <row r="85" spans="1:52" x14ac:dyDescent="0.2">
      <c r="A85" s="119"/>
      <c r="B85" s="140">
        <v>41</v>
      </c>
      <c r="C85" s="119" t="s">
        <v>295</v>
      </c>
      <c r="D85" s="120"/>
      <c r="E85" s="120"/>
      <c r="F85" s="120"/>
      <c r="G85" s="120"/>
      <c r="H85" s="120"/>
      <c r="I85" s="120"/>
      <c r="J85" s="120"/>
      <c r="K85" s="120"/>
      <c r="L85" s="120"/>
      <c r="M85" s="120"/>
      <c r="N85" s="120"/>
      <c r="O85" s="120"/>
      <c r="P85" s="120"/>
      <c r="Q85" s="120"/>
      <c r="R85" s="120"/>
      <c r="S85" s="120"/>
      <c r="T85" s="120"/>
      <c r="U85" s="120"/>
      <c r="V85" s="120"/>
      <c r="W85" s="120"/>
      <c r="X85" s="120"/>
      <c r="Y85" s="120"/>
      <c r="Z85" s="120"/>
      <c r="AA85" s="120"/>
      <c r="AB85" s="120"/>
      <c r="AC85" s="120"/>
      <c r="AD85" s="120"/>
      <c r="AE85" s="120"/>
      <c r="AF85" s="120"/>
      <c r="AG85" s="120"/>
      <c r="AH85" s="120"/>
      <c r="AI85" s="120"/>
      <c r="AJ85" s="120"/>
      <c r="AK85" s="120"/>
      <c r="AL85" s="120"/>
      <c r="AM85" s="120"/>
      <c r="AN85" s="120"/>
      <c r="AO85" s="120"/>
      <c r="AP85" s="120"/>
      <c r="AQ85" s="120"/>
      <c r="AR85" s="120"/>
      <c r="AS85" s="120"/>
      <c r="AT85" s="120"/>
      <c r="AU85" s="120"/>
      <c r="AV85" s="120"/>
      <c r="AW85" s="120"/>
      <c r="AX85" s="120"/>
      <c r="AY85" s="120"/>
    </row>
    <row r="86" spans="1:52" x14ac:dyDescent="0.2">
      <c r="A86" s="119"/>
      <c r="B86" s="140">
        <v>42</v>
      </c>
      <c r="C86" s="119" t="s">
        <v>295</v>
      </c>
      <c r="D86" s="120"/>
      <c r="E86" s="120"/>
      <c r="F86" s="120"/>
      <c r="G86" s="120"/>
      <c r="H86" s="120"/>
      <c r="I86" s="120"/>
      <c r="J86" s="120"/>
      <c r="K86" s="120"/>
      <c r="L86" s="120"/>
      <c r="M86" s="120"/>
      <c r="N86" s="120"/>
      <c r="O86" s="120"/>
      <c r="P86" s="120"/>
      <c r="Q86" s="120"/>
      <c r="R86" s="120"/>
      <c r="S86" s="120"/>
      <c r="T86" s="120"/>
      <c r="U86" s="120"/>
      <c r="V86" s="120"/>
      <c r="W86" s="120"/>
      <c r="X86" s="120"/>
      <c r="Y86" s="120"/>
      <c r="Z86" s="120"/>
      <c r="AA86" s="120"/>
      <c r="AB86" s="120"/>
      <c r="AC86" s="120"/>
      <c r="AD86" s="120"/>
      <c r="AE86" s="120"/>
      <c r="AF86" s="120"/>
      <c r="AG86" s="120"/>
      <c r="AH86" s="120"/>
      <c r="AI86" s="120"/>
      <c r="AJ86" s="120"/>
      <c r="AK86" s="120"/>
      <c r="AL86" s="120"/>
      <c r="AM86" s="120"/>
      <c r="AN86" s="120"/>
      <c r="AO86" s="120"/>
      <c r="AP86" s="120"/>
      <c r="AQ86" s="120"/>
      <c r="AR86" s="120"/>
      <c r="AS86" s="120"/>
      <c r="AT86" s="120"/>
      <c r="AU86" s="120"/>
      <c r="AV86" s="120"/>
      <c r="AW86" s="120"/>
      <c r="AX86" s="120"/>
      <c r="AY86" s="120"/>
    </row>
    <row r="87" spans="1:52" x14ac:dyDescent="0.2">
      <c r="A87" s="119"/>
      <c r="B87" s="140">
        <v>43</v>
      </c>
      <c r="C87" s="119" t="s">
        <v>295</v>
      </c>
      <c r="D87" s="120"/>
      <c r="E87" s="120"/>
      <c r="F87" s="120"/>
      <c r="G87" s="120"/>
      <c r="H87" s="120"/>
      <c r="I87" s="120"/>
      <c r="J87" s="120"/>
      <c r="K87" s="120"/>
      <c r="L87" s="120"/>
      <c r="M87" s="120"/>
      <c r="N87" s="120"/>
      <c r="O87" s="120"/>
      <c r="P87" s="120"/>
      <c r="Q87" s="120"/>
      <c r="R87" s="120"/>
      <c r="S87" s="120"/>
      <c r="T87" s="120"/>
      <c r="U87" s="120"/>
      <c r="V87" s="120"/>
      <c r="W87" s="120"/>
      <c r="X87" s="120"/>
      <c r="Y87" s="120"/>
      <c r="Z87" s="120"/>
      <c r="AA87" s="120"/>
      <c r="AB87" s="120"/>
      <c r="AC87" s="120"/>
      <c r="AD87" s="120"/>
      <c r="AE87" s="120"/>
      <c r="AF87" s="120"/>
      <c r="AG87" s="120"/>
      <c r="AH87" s="120"/>
      <c r="AI87" s="120"/>
      <c r="AJ87" s="120"/>
      <c r="AK87" s="120"/>
      <c r="AL87" s="120"/>
      <c r="AM87" s="120"/>
      <c r="AN87" s="120"/>
      <c r="AO87" s="120"/>
      <c r="AP87" s="120"/>
      <c r="AQ87" s="120"/>
      <c r="AR87" s="120"/>
      <c r="AS87" s="120"/>
      <c r="AT87" s="120"/>
      <c r="AU87" s="120"/>
      <c r="AV87" s="120"/>
      <c r="AW87" s="120"/>
      <c r="AX87" s="120"/>
      <c r="AY87" s="120"/>
    </row>
    <row r="88" spans="1:52" x14ac:dyDescent="0.2">
      <c r="A88" s="119"/>
      <c r="B88" s="140">
        <v>44</v>
      </c>
      <c r="C88" s="119" t="s">
        <v>295</v>
      </c>
      <c r="D88" s="120"/>
      <c r="E88" s="120"/>
      <c r="F88" s="120"/>
      <c r="G88" s="120"/>
      <c r="H88" s="120"/>
      <c r="I88" s="120"/>
      <c r="J88" s="120"/>
      <c r="K88" s="120"/>
      <c r="L88" s="120"/>
      <c r="M88" s="120"/>
      <c r="N88" s="120"/>
      <c r="O88" s="120"/>
      <c r="P88" s="120"/>
      <c r="Q88" s="120"/>
      <c r="R88" s="120"/>
      <c r="S88" s="120"/>
      <c r="T88" s="120"/>
      <c r="U88" s="120"/>
      <c r="V88" s="120"/>
      <c r="W88" s="120"/>
      <c r="X88" s="120"/>
      <c r="Y88" s="120"/>
      <c r="Z88" s="120"/>
      <c r="AA88" s="120"/>
      <c r="AB88" s="120"/>
      <c r="AC88" s="120"/>
      <c r="AD88" s="120"/>
      <c r="AE88" s="120"/>
      <c r="AF88" s="120"/>
      <c r="AG88" s="120"/>
      <c r="AH88" s="120"/>
      <c r="AI88" s="120"/>
      <c r="AJ88" s="120"/>
      <c r="AK88" s="120"/>
      <c r="AL88" s="120"/>
      <c r="AM88" s="120"/>
      <c r="AN88" s="120"/>
      <c r="AO88" s="120"/>
      <c r="AP88" s="120"/>
      <c r="AQ88" s="120"/>
      <c r="AR88" s="120"/>
      <c r="AS88" s="120"/>
      <c r="AT88" s="120"/>
      <c r="AU88" s="120"/>
      <c r="AV88" s="120"/>
      <c r="AW88" s="120"/>
      <c r="AX88" s="120"/>
      <c r="AY88" s="120"/>
    </row>
    <row r="89" spans="1:52" x14ac:dyDescent="0.2">
      <c r="A89" s="119"/>
      <c r="B89" s="140">
        <v>45</v>
      </c>
      <c r="C89" s="119" t="s">
        <v>295</v>
      </c>
      <c r="D89" s="120"/>
      <c r="E89" s="120"/>
      <c r="F89" s="120"/>
      <c r="G89" s="120"/>
      <c r="H89" s="120"/>
      <c r="I89" s="120"/>
      <c r="J89" s="120"/>
      <c r="K89" s="120"/>
      <c r="L89" s="120"/>
      <c r="M89" s="120"/>
      <c r="N89" s="120"/>
      <c r="O89" s="120"/>
      <c r="P89" s="120"/>
      <c r="Q89" s="120"/>
      <c r="R89" s="120"/>
      <c r="S89" s="120"/>
      <c r="T89" s="120"/>
      <c r="U89" s="120"/>
      <c r="V89" s="120"/>
      <c r="W89" s="120"/>
      <c r="X89" s="120"/>
      <c r="Y89" s="120"/>
      <c r="Z89" s="120"/>
      <c r="AA89" s="120"/>
      <c r="AB89" s="120"/>
      <c r="AC89" s="120"/>
      <c r="AD89" s="120"/>
      <c r="AE89" s="120"/>
      <c r="AF89" s="120"/>
      <c r="AG89" s="120"/>
      <c r="AH89" s="120"/>
      <c r="AI89" s="120"/>
      <c r="AJ89" s="120">
        <v>0</v>
      </c>
      <c r="AK89" s="120"/>
      <c r="AL89" s="120">
        <v>0</v>
      </c>
      <c r="AM89" s="120"/>
      <c r="AN89" s="120"/>
      <c r="AO89" s="120"/>
      <c r="AP89" s="120"/>
      <c r="AQ89" s="120"/>
      <c r="AR89" s="120"/>
      <c r="AS89" s="120"/>
      <c r="AT89" s="120"/>
      <c r="AU89" s="120"/>
      <c r="AV89" s="120"/>
      <c r="AW89" s="120"/>
      <c r="AX89" s="120"/>
      <c r="AY89" s="120"/>
    </row>
    <row r="90" spans="1:52" x14ac:dyDescent="0.2">
      <c r="A90" s="119"/>
      <c r="B90" s="140">
        <v>46</v>
      </c>
      <c r="C90" s="119" t="s">
        <v>295</v>
      </c>
      <c r="D90" s="120"/>
      <c r="E90" s="120"/>
      <c r="F90" s="120"/>
      <c r="G90" s="120"/>
      <c r="H90" s="120"/>
      <c r="I90" s="120"/>
      <c r="J90" s="120"/>
      <c r="K90" s="120"/>
      <c r="L90" s="120"/>
      <c r="M90" s="120"/>
      <c r="N90" s="120"/>
      <c r="O90" s="120"/>
      <c r="P90" s="120"/>
      <c r="Q90" s="120"/>
      <c r="R90" s="120"/>
      <c r="S90" s="120"/>
      <c r="T90" s="120"/>
      <c r="U90" s="120">
        <v>0</v>
      </c>
      <c r="V90" s="120">
        <v>0</v>
      </c>
      <c r="W90" s="120">
        <v>0</v>
      </c>
      <c r="X90" s="120">
        <v>0</v>
      </c>
      <c r="Y90" s="120">
        <v>0</v>
      </c>
      <c r="Z90" s="120">
        <v>0</v>
      </c>
      <c r="AA90" s="120">
        <v>0</v>
      </c>
      <c r="AB90" s="120">
        <v>0</v>
      </c>
      <c r="AC90" s="120"/>
      <c r="AD90" s="120"/>
      <c r="AE90" s="120"/>
      <c r="AF90" s="120"/>
      <c r="AG90" s="120"/>
      <c r="AH90" s="120"/>
      <c r="AI90" s="120"/>
      <c r="AJ90" s="120">
        <v>0</v>
      </c>
      <c r="AK90" s="120">
        <v>0</v>
      </c>
      <c r="AL90" s="120">
        <v>0</v>
      </c>
      <c r="AM90" s="120">
        <v>0</v>
      </c>
      <c r="AN90" s="120">
        <v>0</v>
      </c>
      <c r="AO90" s="120"/>
      <c r="AP90" s="120">
        <v>0</v>
      </c>
      <c r="AQ90" s="120"/>
      <c r="AR90" s="120"/>
      <c r="AS90" s="120"/>
      <c r="AT90" s="120"/>
      <c r="AU90" s="120"/>
      <c r="AV90" s="120"/>
      <c r="AW90" s="120"/>
      <c r="AX90" s="120"/>
      <c r="AY90" s="120"/>
    </row>
    <row r="91" spans="1:52" x14ac:dyDescent="0.2">
      <c r="A91" s="119"/>
      <c r="B91" s="140">
        <v>47</v>
      </c>
      <c r="C91" s="119" t="s">
        <v>295</v>
      </c>
      <c r="D91" s="120"/>
      <c r="E91" s="120"/>
      <c r="F91" s="120">
        <v>0</v>
      </c>
      <c r="G91" s="120">
        <v>0</v>
      </c>
      <c r="H91" s="120">
        <v>0</v>
      </c>
      <c r="I91" s="120">
        <v>0</v>
      </c>
      <c r="J91" s="120">
        <v>0</v>
      </c>
      <c r="K91" s="120">
        <v>0</v>
      </c>
      <c r="L91" s="120"/>
      <c r="M91" s="120"/>
      <c r="N91" s="120"/>
      <c r="O91" s="120"/>
      <c r="P91" s="120"/>
      <c r="Q91" s="120"/>
      <c r="R91" s="120"/>
      <c r="S91" s="120"/>
      <c r="T91" s="120">
        <v>0</v>
      </c>
      <c r="U91" s="120">
        <v>0</v>
      </c>
      <c r="V91" s="120">
        <v>0</v>
      </c>
      <c r="W91" s="120">
        <v>0</v>
      </c>
      <c r="X91" s="120">
        <v>0</v>
      </c>
      <c r="Y91" s="120">
        <v>0</v>
      </c>
      <c r="Z91" s="120">
        <v>0</v>
      </c>
      <c r="AA91" s="120">
        <v>0</v>
      </c>
      <c r="AB91" s="120">
        <v>0</v>
      </c>
      <c r="AC91" s="120">
        <v>0</v>
      </c>
      <c r="AD91" s="120"/>
      <c r="AE91" s="120"/>
      <c r="AF91" s="120"/>
      <c r="AG91" s="120"/>
      <c r="AH91" s="120"/>
      <c r="AI91" s="120"/>
      <c r="AJ91" s="120">
        <v>0</v>
      </c>
      <c r="AK91" s="120">
        <v>0</v>
      </c>
      <c r="AL91" s="120">
        <v>0</v>
      </c>
      <c r="AM91" s="120">
        <v>0</v>
      </c>
      <c r="AN91" s="120">
        <v>0</v>
      </c>
      <c r="AO91" s="120">
        <v>0</v>
      </c>
      <c r="AP91" s="120">
        <v>0</v>
      </c>
      <c r="AQ91" s="120">
        <v>0</v>
      </c>
      <c r="AR91" s="120">
        <v>0</v>
      </c>
      <c r="AS91" s="120"/>
      <c r="AT91" s="120"/>
      <c r="AU91" s="120"/>
      <c r="AV91" s="120"/>
      <c r="AW91" s="120"/>
      <c r="AX91" s="120"/>
      <c r="AY91" s="120"/>
    </row>
    <row r="92" spans="1:52" x14ac:dyDescent="0.2">
      <c r="A92" s="138"/>
      <c r="B92" s="139">
        <v>48</v>
      </c>
      <c r="C92" s="138" t="s">
        <v>295</v>
      </c>
      <c r="D92" s="135">
        <v>0</v>
      </c>
      <c r="E92" s="135">
        <v>0</v>
      </c>
      <c r="F92" s="135">
        <v>0</v>
      </c>
      <c r="G92" s="135">
        <v>0</v>
      </c>
      <c r="H92" s="135">
        <v>0</v>
      </c>
      <c r="I92" s="135">
        <v>0</v>
      </c>
      <c r="J92" s="135">
        <v>0</v>
      </c>
      <c r="K92" s="135">
        <v>0</v>
      </c>
      <c r="L92" s="135">
        <v>0</v>
      </c>
      <c r="M92" s="135">
        <v>0</v>
      </c>
      <c r="N92" s="135">
        <v>0</v>
      </c>
      <c r="O92" s="135">
        <v>0</v>
      </c>
      <c r="P92" s="135">
        <v>0</v>
      </c>
      <c r="Q92" s="135">
        <v>0</v>
      </c>
      <c r="R92" s="135">
        <v>0</v>
      </c>
      <c r="S92" s="135">
        <v>0</v>
      </c>
      <c r="T92" s="135">
        <v>0</v>
      </c>
      <c r="U92" s="135">
        <v>0</v>
      </c>
      <c r="V92" s="135">
        <v>0</v>
      </c>
      <c r="W92" s="135">
        <v>0</v>
      </c>
      <c r="X92" s="135">
        <v>0</v>
      </c>
      <c r="Y92" s="135">
        <v>0</v>
      </c>
      <c r="Z92" s="135">
        <v>0</v>
      </c>
      <c r="AA92" s="135">
        <v>0</v>
      </c>
      <c r="AB92" s="135">
        <v>0</v>
      </c>
      <c r="AC92" s="135">
        <v>0</v>
      </c>
      <c r="AD92" s="135">
        <v>0</v>
      </c>
      <c r="AE92" s="135">
        <v>0</v>
      </c>
      <c r="AF92" s="135">
        <v>0</v>
      </c>
      <c r="AG92" s="135">
        <v>0</v>
      </c>
      <c r="AH92" s="135">
        <v>0</v>
      </c>
      <c r="AI92" s="135">
        <v>0</v>
      </c>
      <c r="AJ92" s="135">
        <v>0</v>
      </c>
      <c r="AK92" s="135">
        <v>0</v>
      </c>
      <c r="AL92" s="135">
        <v>0</v>
      </c>
      <c r="AM92" s="135">
        <v>0</v>
      </c>
      <c r="AN92" s="135">
        <v>0</v>
      </c>
      <c r="AO92" s="135">
        <v>0</v>
      </c>
      <c r="AP92" s="135">
        <v>0</v>
      </c>
      <c r="AQ92" s="135">
        <v>0</v>
      </c>
      <c r="AR92" s="135">
        <v>0</v>
      </c>
      <c r="AS92" s="135">
        <v>0</v>
      </c>
      <c r="AT92" s="135">
        <v>0</v>
      </c>
      <c r="AU92" s="135">
        <v>0</v>
      </c>
      <c r="AV92" s="135">
        <v>0</v>
      </c>
      <c r="AW92" s="135">
        <v>0</v>
      </c>
      <c r="AX92" s="135">
        <v>0</v>
      </c>
      <c r="AY92" s="135">
        <v>0</v>
      </c>
      <c r="AZ92" s="117">
        <f>SUM(D21:AY92)</f>
        <v>60452.873065867003</v>
      </c>
    </row>
    <row r="94" spans="1:52" x14ac:dyDescent="0.2">
      <c r="A94" s="112" t="s">
        <v>297</v>
      </c>
      <c r="B94" s="116"/>
      <c r="C94" s="116"/>
      <c r="D94" s="124"/>
      <c r="E94" s="124"/>
      <c r="F94" s="124"/>
      <c r="G94" s="124"/>
      <c r="H94" s="124"/>
      <c r="I94" s="124"/>
      <c r="J94" s="124"/>
      <c r="K94" s="124"/>
      <c r="L94" s="124"/>
      <c r="M94" s="124"/>
      <c r="N94" s="124"/>
      <c r="O94" s="124"/>
      <c r="P94" s="124"/>
      <c r="Q94" s="124"/>
      <c r="R94" s="124"/>
      <c r="S94" s="124"/>
      <c r="T94" s="124"/>
      <c r="U94" s="124"/>
      <c r="V94" s="124"/>
      <c r="W94" s="124"/>
      <c r="X94" s="124"/>
      <c r="Y94" s="124"/>
      <c r="Z94" s="124"/>
      <c r="AA94" s="124"/>
      <c r="AB94" s="124"/>
      <c r="AC94" s="124"/>
      <c r="AD94" s="124"/>
      <c r="AE94" s="124"/>
      <c r="AF94" s="124"/>
      <c r="AG94" s="124"/>
      <c r="AH94" s="124"/>
      <c r="AI94" s="124"/>
      <c r="AJ94" s="124"/>
      <c r="AK94" s="124"/>
      <c r="AL94" s="124"/>
      <c r="AM94" s="124"/>
      <c r="AN94" s="124"/>
      <c r="AO94" s="124"/>
      <c r="AP94" s="124"/>
      <c r="AQ94" s="124"/>
      <c r="AR94" s="124"/>
      <c r="AS94" s="124"/>
      <c r="AT94" s="124"/>
      <c r="AU94" s="124"/>
      <c r="AV94" s="124"/>
      <c r="AW94" s="124"/>
      <c r="AX94" s="124"/>
      <c r="AY94" s="124"/>
    </row>
    <row r="95" spans="1:52" x14ac:dyDescent="0.2">
      <c r="A95" s="136" t="s">
        <v>125</v>
      </c>
      <c r="B95" s="133">
        <v>1</v>
      </c>
      <c r="C95" s="134"/>
      <c r="D95" s="120">
        <v>2914.9982800412481</v>
      </c>
      <c r="E95" s="120">
        <v>2914.9982800412481</v>
      </c>
      <c r="F95" s="120">
        <v>2914.9982800412481</v>
      </c>
      <c r="G95" s="120">
        <v>2914.9982800412481</v>
      </c>
      <c r="H95" s="120">
        <v>2155.3416520251722</v>
      </c>
      <c r="I95" s="120">
        <v>2155.3416520251722</v>
      </c>
      <c r="J95" s="120">
        <v>2155.3416520251722</v>
      </c>
      <c r="K95" s="120">
        <v>2155.3416520251722</v>
      </c>
      <c r="L95" s="120">
        <v>1202.8399598256692</v>
      </c>
      <c r="M95" s="120">
        <v>1202.8399598256692</v>
      </c>
      <c r="N95" s="120">
        <v>1202.8399598256692</v>
      </c>
      <c r="O95" s="120">
        <v>1202.8399598256692</v>
      </c>
      <c r="P95" s="120">
        <v>1477.1600731077947</v>
      </c>
      <c r="Q95" s="120">
        <v>1477.1600731077947</v>
      </c>
      <c r="R95" s="120">
        <v>1477.1600731077947</v>
      </c>
      <c r="S95" s="120">
        <v>1477.1600731077947</v>
      </c>
      <c r="T95" s="120">
        <v>3115.8393911236299</v>
      </c>
      <c r="U95" s="120">
        <v>3115.8393911236299</v>
      </c>
      <c r="V95" s="120">
        <v>3115.8393911236299</v>
      </c>
      <c r="W95" s="120">
        <v>3115.8393911236299</v>
      </c>
      <c r="X95" s="120">
        <v>4203.1371484684432</v>
      </c>
      <c r="Y95" s="120">
        <v>4063.6031308129845</v>
      </c>
      <c r="Z95" s="120">
        <v>4203.1371484684432</v>
      </c>
      <c r="AA95" s="120">
        <v>4203.1371484684432</v>
      </c>
      <c r="AB95" s="120">
        <v>1027.948964545101</v>
      </c>
      <c r="AC95" s="120">
        <v>963.63013335942594</v>
      </c>
      <c r="AD95" s="120">
        <v>1301.5450582032772</v>
      </c>
      <c r="AE95" s="120">
        <v>1301.5450582032772</v>
      </c>
      <c r="AF95" s="120">
        <v>1326.376457231263</v>
      </c>
      <c r="AG95" s="120">
        <v>1326.376457231263</v>
      </c>
      <c r="AH95" s="120">
        <v>1326.376457231263</v>
      </c>
      <c r="AI95" s="120">
        <v>1326.376457231263</v>
      </c>
      <c r="AJ95" s="120">
        <v>4562.1055270925171</v>
      </c>
      <c r="AK95" s="120">
        <v>4736.7543825723496</v>
      </c>
      <c r="AL95" s="120">
        <v>4359.3869683455032</v>
      </c>
      <c r="AM95" s="120">
        <v>4736.7543825723496</v>
      </c>
      <c r="AN95" s="120">
        <v>2308.6061836517929</v>
      </c>
      <c r="AO95" s="120">
        <v>2308.6061836517929</v>
      </c>
      <c r="AP95" s="120">
        <v>2308.6061836517929</v>
      </c>
      <c r="AQ95" s="120">
        <v>2308.6061836517929</v>
      </c>
      <c r="AR95" s="120">
        <v>864.17208171050504</v>
      </c>
      <c r="AS95" s="120">
        <v>864.17208171050504</v>
      </c>
      <c r="AT95" s="120">
        <v>864.17208171050504</v>
      </c>
      <c r="AU95" s="120">
        <v>864.17208171050504</v>
      </c>
      <c r="AV95" s="120">
        <v>1214.455547374944</v>
      </c>
      <c r="AW95" s="120">
        <v>1214.455547374944</v>
      </c>
      <c r="AX95" s="120">
        <v>1214.455547374944</v>
      </c>
      <c r="AY95" s="120">
        <v>1214.455547374944</v>
      </c>
    </row>
    <row r="96" spans="1:52" x14ac:dyDescent="0.2">
      <c r="A96" s="119"/>
      <c r="B96" s="130">
        <v>2</v>
      </c>
      <c r="C96" s="120"/>
      <c r="D96" s="120">
        <v>0</v>
      </c>
      <c r="E96" s="120">
        <v>2340.9982800412481</v>
      </c>
      <c r="F96" s="120">
        <v>2914.9982800412481</v>
      </c>
      <c r="G96" s="120">
        <v>2914.9982800412481</v>
      </c>
      <c r="H96" s="120">
        <v>2914.9982800412481</v>
      </c>
      <c r="I96" s="120">
        <v>2155.3416520251722</v>
      </c>
      <c r="J96" s="120">
        <v>2155.3416520251722</v>
      </c>
      <c r="K96" s="120">
        <v>2155.3416520251722</v>
      </c>
      <c r="L96" s="120">
        <v>2155.3416520251722</v>
      </c>
      <c r="M96" s="120">
        <v>1202.8399598256692</v>
      </c>
      <c r="N96" s="120">
        <v>1202.8399598256692</v>
      </c>
      <c r="O96" s="120">
        <v>1202.8399598256692</v>
      </c>
      <c r="P96" s="120">
        <v>1202.8399598256692</v>
      </c>
      <c r="Q96" s="120">
        <v>1477.1600731077947</v>
      </c>
      <c r="R96" s="120">
        <v>1477.1600731077947</v>
      </c>
      <c r="S96" s="120">
        <v>1477.1600731077947</v>
      </c>
      <c r="T96" s="120">
        <v>1477.1600731077947</v>
      </c>
      <c r="U96" s="120">
        <v>1598.8735843505901</v>
      </c>
      <c r="V96" s="120">
        <v>1712.7110550499056</v>
      </c>
      <c r="W96" s="120">
        <v>1824.5485257492192</v>
      </c>
      <c r="X96" s="120">
        <v>774.61375353067524</v>
      </c>
      <c r="Y96" s="120">
        <v>1257.7317776921818</v>
      </c>
      <c r="Z96" s="120">
        <v>1298.8202374021398</v>
      </c>
      <c r="AA96" s="120">
        <v>1155.4636880922321</v>
      </c>
      <c r="AB96" s="120">
        <v>4100.5844777024613</v>
      </c>
      <c r="AC96" s="120">
        <v>1027.948964545101</v>
      </c>
      <c r="AD96" s="120">
        <v>963.63013335942594</v>
      </c>
      <c r="AE96" s="120">
        <v>1301.5450582032772</v>
      </c>
      <c r="AF96" s="120">
        <v>1301.5450582032772</v>
      </c>
      <c r="AG96" s="120">
        <v>1326.376457231263</v>
      </c>
      <c r="AH96" s="120">
        <v>1326.376457231263</v>
      </c>
      <c r="AI96" s="120">
        <v>1326.376457231263</v>
      </c>
      <c r="AJ96" s="120">
        <v>0</v>
      </c>
      <c r="AK96" s="120">
        <v>203.83462783444338</v>
      </c>
      <c r="AL96" s="120">
        <v>0</v>
      </c>
      <c r="AM96" s="120">
        <v>275.58819799286357</v>
      </c>
      <c r="AN96" s="120">
        <v>2454.6394856626812</v>
      </c>
      <c r="AO96" s="120">
        <v>2308.6061836517929</v>
      </c>
      <c r="AP96" s="120">
        <v>2028.9697128936405</v>
      </c>
      <c r="AQ96" s="120">
        <v>2308.6061836517929</v>
      </c>
      <c r="AR96" s="120">
        <v>2308.6061836517929</v>
      </c>
      <c r="AS96" s="120">
        <v>864.17208171050504</v>
      </c>
      <c r="AT96" s="120">
        <v>864.17208171050504</v>
      </c>
      <c r="AU96" s="120">
        <v>864.17208171050504</v>
      </c>
      <c r="AV96" s="120">
        <v>864.17208171050504</v>
      </c>
      <c r="AW96" s="120">
        <v>1214.455547374944</v>
      </c>
      <c r="AX96" s="120">
        <v>1214.455547374944</v>
      </c>
      <c r="AY96" s="120">
        <v>1214.455547374944</v>
      </c>
    </row>
    <row r="97" spans="1:52" x14ac:dyDescent="0.2">
      <c r="A97" s="119"/>
      <c r="B97" s="137">
        <v>3</v>
      </c>
      <c r="C97" s="120"/>
      <c r="D97" s="120">
        <v>0</v>
      </c>
      <c r="E97" s="120">
        <v>0</v>
      </c>
      <c r="F97" s="120">
        <v>1565.4901592058895</v>
      </c>
      <c r="G97" s="120">
        <v>255.03771974523443</v>
      </c>
      <c r="H97" s="120">
        <v>800.98868292318821</v>
      </c>
      <c r="I97" s="120">
        <v>2061.1167789582432</v>
      </c>
      <c r="J97" s="120">
        <v>1469.3645373345298</v>
      </c>
      <c r="K97" s="120">
        <v>1950.0420769315624</v>
      </c>
      <c r="L97" s="120">
        <v>2155.3416520251722</v>
      </c>
      <c r="M97" s="120">
        <v>2155.3416520251722</v>
      </c>
      <c r="N97" s="120">
        <v>1202.8399598256692</v>
      </c>
      <c r="O97" s="120">
        <v>1202.8399598256692</v>
      </c>
      <c r="P97" s="120">
        <v>1202.8399598256692</v>
      </c>
      <c r="Q97" s="120">
        <v>1202.8399598256692</v>
      </c>
      <c r="R97" s="120">
        <v>1477.1600731077947</v>
      </c>
      <c r="S97" s="120">
        <v>1477.1600731077947</v>
      </c>
      <c r="T97" s="120">
        <v>233.37591920708246</v>
      </c>
      <c r="U97" s="120">
        <v>0</v>
      </c>
      <c r="V97" s="120">
        <v>0</v>
      </c>
      <c r="W97" s="120">
        <v>0</v>
      </c>
      <c r="X97" s="120">
        <v>0</v>
      </c>
      <c r="Y97" s="120">
        <v>0</v>
      </c>
      <c r="Z97" s="120">
        <v>0</v>
      </c>
      <c r="AA97" s="120">
        <v>0</v>
      </c>
      <c r="AB97" s="120">
        <v>0</v>
      </c>
      <c r="AC97" s="120">
        <v>3062.3480586431306</v>
      </c>
      <c r="AD97" s="120">
        <v>1027.948964545101</v>
      </c>
      <c r="AE97" s="120">
        <v>963.63013335942594</v>
      </c>
      <c r="AF97" s="120">
        <v>1301.5450582032772</v>
      </c>
      <c r="AG97" s="120">
        <v>1301.5450582032772</v>
      </c>
      <c r="AH97" s="120">
        <v>1326.376457231263</v>
      </c>
      <c r="AI97" s="120">
        <v>1326.376457231263</v>
      </c>
      <c r="AJ97" s="120">
        <v>0</v>
      </c>
      <c r="AK97" s="120">
        <v>0</v>
      </c>
      <c r="AL97" s="120">
        <v>0</v>
      </c>
      <c r="AM97" s="120">
        <v>0</v>
      </c>
      <c r="AN97" s="120">
        <v>0</v>
      </c>
      <c r="AO97" s="120">
        <v>747.29544778570744</v>
      </c>
      <c r="AP97" s="120">
        <v>0</v>
      </c>
      <c r="AQ97" s="120">
        <v>475.87365345754733</v>
      </c>
      <c r="AR97" s="120">
        <v>1620.8973164988456</v>
      </c>
      <c r="AS97" s="120">
        <v>2308.6061836517929</v>
      </c>
      <c r="AT97" s="120">
        <v>864.17208171050504</v>
      </c>
      <c r="AU97" s="120">
        <v>864.17208171050504</v>
      </c>
      <c r="AV97" s="120">
        <v>864.17208171050504</v>
      </c>
      <c r="AW97" s="120">
        <v>864.17208171050504</v>
      </c>
      <c r="AX97" s="120">
        <v>1214.455547374944</v>
      </c>
      <c r="AY97" s="120">
        <v>1214.455547374944</v>
      </c>
    </row>
    <row r="98" spans="1:52" x14ac:dyDescent="0.2">
      <c r="A98" s="119"/>
      <c r="B98" s="140">
        <v>4</v>
      </c>
      <c r="C98" s="116"/>
      <c r="D98" s="120">
        <v>0</v>
      </c>
      <c r="E98" s="120">
        <v>0</v>
      </c>
      <c r="F98" s="120">
        <v>0</v>
      </c>
      <c r="G98" s="120">
        <v>0</v>
      </c>
      <c r="H98" s="120">
        <v>0</v>
      </c>
      <c r="I98" s="120">
        <v>0</v>
      </c>
      <c r="J98" s="120">
        <v>0</v>
      </c>
      <c r="K98" s="120">
        <v>0</v>
      </c>
      <c r="L98" s="120">
        <v>835.17733956021766</v>
      </c>
      <c r="M98" s="120">
        <v>2037.9122610527329</v>
      </c>
      <c r="N98" s="120">
        <v>2155.3416520251722</v>
      </c>
      <c r="O98" s="120">
        <v>1202.8399598256692</v>
      </c>
      <c r="P98" s="120">
        <v>1202.8399598256692</v>
      </c>
      <c r="Q98" s="120">
        <v>1034.3201648984032</v>
      </c>
      <c r="R98" s="120">
        <v>1202.8399598256692</v>
      </c>
      <c r="S98" s="120">
        <v>327.99938740689549</v>
      </c>
      <c r="T98" s="120">
        <v>0</v>
      </c>
      <c r="U98" s="120">
        <v>0</v>
      </c>
      <c r="V98" s="120">
        <v>0</v>
      </c>
      <c r="W98" s="120">
        <v>0</v>
      </c>
      <c r="X98" s="120">
        <v>0</v>
      </c>
      <c r="Y98" s="120">
        <v>0</v>
      </c>
      <c r="Z98" s="120">
        <v>0</v>
      </c>
      <c r="AA98" s="120">
        <v>0</v>
      </c>
      <c r="AB98" s="120">
        <v>0</v>
      </c>
      <c r="AC98" s="120">
        <v>0</v>
      </c>
      <c r="AD98" s="120">
        <v>2453.6252609372659</v>
      </c>
      <c r="AE98" s="120">
        <v>1027.948964545101</v>
      </c>
      <c r="AF98" s="120">
        <v>963.63013335942594</v>
      </c>
      <c r="AG98" s="120">
        <v>1056.1010047783038</v>
      </c>
      <c r="AH98" s="120">
        <v>1301.5450582032772</v>
      </c>
      <c r="AI98" s="120">
        <v>676.77630754433085</v>
      </c>
      <c r="AJ98" s="120">
        <v>0</v>
      </c>
      <c r="AK98" s="120">
        <v>0</v>
      </c>
      <c r="AL98" s="120">
        <v>0</v>
      </c>
      <c r="AM98" s="120">
        <v>0</v>
      </c>
      <c r="AN98" s="120">
        <v>0</v>
      </c>
      <c r="AO98" s="120">
        <v>0</v>
      </c>
      <c r="AP98" s="120">
        <v>0</v>
      </c>
      <c r="AQ98" s="120">
        <v>0</v>
      </c>
      <c r="AR98" s="120">
        <v>0</v>
      </c>
      <c r="AS98" s="120">
        <v>1441.9720329450565</v>
      </c>
      <c r="AT98" s="120">
        <v>2308.6061836517929</v>
      </c>
      <c r="AU98" s="120">
        <v>864.17208171050504</v>
      </c>
      <c r="AV98" s="120">
        <v>864.17208171050504</v>
      </c>
      <c r="AW98" s="120">
        <v>864.17208171050504</v>
      </c>
      <c r="AX98" s="120">
        <v>864.17208171050504</v>
      </c>
      <c r="AY98" s="120">
        <v>1214.455547374944</v>
      </c>
    </row>
    <row r="99" spans="1:52" x14ac:dyDescent="0.2">
      <c r="A99" s="138"/>
      <c r="B99" s="142" t="s">
        <v>298</v>
      </c>
      <c r="C99" s="135"/>
      <c r="D99" s="135">
        <v>0</v>
      </c>
      <c r="E99" s="135">
        <v>0</v>
      </c>
      <c r="F99" s="135">
        <v>0</v>
      </c>
      <c r="G99" s="135">
        <v>0</v>
      </c>
      <c r="H99" s="135">
        <v>0</v>
      </c>
      <c r="I99" s="135">
        <v>0</v>
      </c>
      <c r="J99" s="135">
        <v>0</v>
      </c>
      <c r="K99" s="135">
        <v>0</v>
      </c>
      <c r="L99" s="135">
        <v>0</v>
      </c>
      <c r="M99" s="135">
        <v>609.17733956021766</v>
      </c>
      <c r="N99" s="135">
        <v>1812.9122610527329</v>
      </c>
      <c r="O99" s="135">
        <v>1868.3416520251722</v>
      </c>
      <c r="P99" s="135">
        <v>881.83995982566921</v>
      </c>
      <c r="Q99" s="135">
        <v>673.83995982566921</v>
      </c>
      <c r="R99" s="135">
        <v>522.32016489840316</v>
      </c>
      <c r="S99" s="135">
        <v>615.83995982566921</v>
      </c>
      <c r="T99" s="135">
        <v>0</v>
      </c>
      <c r="U99" s="135">
        <v>0</v>
      </c>
      <c r="V99" s="135">
        <v>0</v>
      </c>
      <c r="W99" s="135">
        <v>0</v>
      </c>
      <c r="X99" s="135">
        <v>0</v>
      </c>
      <c r="Y99" s="135">
        <v>0</v>
      </c>
      <c r="Z99" s="135">
        <v>0</v>
      </c>
      <c r="AA99" s="135">
        <v>0</v>
      </c>
      <c r="AB99" s="135">
        <v>0</v>
      </c>
      <c r="AC99" s="135">
        <v>0</v>
      </c>
      <c r="AD99" s="135">
        <v>0</v>
      </c>
      <c r="AE99" s="135">
        <v>2022.6252609372659</v>
      </c>
      <c r="AF99" s="135">
        <v>612.94896454510103</v>
      </c>
      <c r="AG99" s="135">
        <v>663.63013335942594</v>
      </c>
      <c r="AH99" s="135">
        <v>756.10100477830383</v>
      </c>
      <c r="AI99" s="135">
        <v>993.54505820327722</v>
      </c>
      <c r="AJ99" s="135">
        <v>336.77630754433085</v>
      </c>
      <c r="AK99" s="135">
        <v>0</v>
      </c>
      <c r="AL99" s="135">
        <v>0</v>
      </c>
      <c r="AM99" s="135">
        <v>0</v>
      </c>
      <c r="AN99" s="135">
        <v>0</v>
      </c>
      <c r="AO99" s="135">
        <v>0</v>
      </c>
      <c r="AP99" s="135">
        <v>0</v>
      </c>
      <c r="AQ99" s="135">
        <v>0</v>
      </c>
      <c r="AR99" s="135">
        <v>0</v>
      </c>
      <c r="AS99" s="135">
        <v>0</v>
      </c>
      <c r="AT99" s="135">
        <v>1280.9720329450565</v>
      </c>
      <c r="AU99" s="135">
        <v>2125.6061836517929</v>
      </c>
      <c r="AV99" s="135">
        <v>692.17208171050504</v>
      </c>
      <c r="AW99" s="135">
        <v>428.17208171050504</v>
      </c>
      <c r="AX99" s="135">
        <v>495.17208171050504</v>
      </c>
      <c r="AY99" s="135">
        <v>558.17208171050504</v>
      </c>
      <c r="AZ99" s="117">
        <f>SUM($D99:$AY99)</f>
        <v>17950.164569820106</v>
      </c>
    </row>
    <row r="100" spans="1:52" x14ac:dyDescent="0.2">
      <c r="A100" s="141" t="s">
        <v>133</v>
      </c>
      <c r="B100" s="129">
        <v>1</v>
      </c>
      <c r="C100" s="116"/>
      <c r="D100" s="116">
        <v>0</v>
      </c>
      <c r="E100" s="116">
        <v>102.807443734697</v>
      </c>
      <c r="F100" s="116">
        <v>0</v>
      </c>
      <c r="G100" s="116">
        <v>280.88242844017594</v>
      </c>
      <c r="H100" s="116">
        <v>280.88242844017594</v>
      </c>
      <c r="I100" s="116">
        <v>77.517950912213749</v>
      </c>
      <c r="J100" s="116">
        <v>280.88242844017594</v>
      </c>
      <c r="K100" s="116">
        <v>77.517950912213749</v>
      </c>
      <c r="L100" s="116">
        <v>0</v>
      </c>
      <c r="M100" s="116">
        <v>77.517950912213749</v>
      </c>
      <c r="N100" s="116">
        <v>0</v>
      </c>
      <c r="O100" s="116">
        <v>280.88242844017594</v>
      </c>
      <c r="P100" s="116">
        <v>280.88242844017594</v>
      </c>
      <c r="Q100" s="116">
        <v>280.88242844017594</v>
      </c>
      <c r="R100" s="116">
        <v>0</v>
      </c>
      <c r="S100" s="116">
        <v>280.88242844017594</v>
      </c>
      <c r="T100" s="116">
        <v>280.88242844017594</v>
      </c>
      <c r="U100" s="116">
        <v>280.88242844017594</v>
      </c>
      <c r="V100" s="116">
        <v>280.88242844017594</v>
      </c>
      <c r="W100" s="116">
        <v>280.88242844017594</v>
      </c>
      <c r="X100" s="116">
        <v>280.88242844017594</v>
      </c>
      <c r="Y100" s="116">
        <v>0</v>
      </c>
      <c r="Z100" s="116">
        <v>77.517950912213749</v>
      </c>
      <c r="AA100" s="116">
        <v>0</v>
      </c>
      <c r="AB100" s="116">
        <v>280.88242844017594</v>
      </c>
      <c r="AC100" s="116">
        <v>280.88242844017594</v>
      </c>
      <c r="AD100" s="116">
        <v>0</v>
      </c>
      <c r="AE100" s="116">
        <v>77.517950912213749</v>
      </c>
      <c r="AF100" s="116">
        <v>0</v>
      </c>
      <c r="AG100" s="116">
        <v>280.88242844017594</v>
      </c>
      <c r="AH100" s="116">
        <v>0</v>
      </c>
      <c r="AI100" s="116">
        <v>280.88242844017594</v>
      </c>
      <c r="AJ100" s="116">
        <v>280.88242844017594</v>
      </c>
      <c r="AK100" s="116">
        <v>77.517950912213749</v>
      </c>
      <c r="AL100" s="116">
        <v>280.88242844017594</v>
      </c>
      <c r="AM100" s="116">
        <v>0</v>
      </c>
      <c r="AN100" s="116">
        <v>280.88242844017594</v>
      </c>
      <c r="AO100" s="116">
        <v>0</v>
      </c>
      <c r="AP100" s="116">
        <v>280.88242844017594</v>
      </c>
      <c r="AQ100" s="116">
        <v>0</v>
      </c>
      <c r="AR100" s="116">
        <v>280.88242844017594</v>
      </c>
      <c r="AS100" s="116">
        <v>0</v>
      </c>
      <c r="AT100" s="116">
        <v>280.88242844017594</v>
      </c>
      <c r="AU100" s="116">
        <v>280.88242844017594</v>
      </c>
      <c r="AV100" s="116">
        <v>280.88242844017594</v>
      </c>
      <c r="AW100" s="116">
        <v>0</v>
      </c>
      <c r="AX100" s="116">
        <v>0</v>
      </c>
      <c r="AY100" s="116">
        <v>77.517950912213749</v>
      </c>
    </row>
    <row r="101" spans="1:52" x14ac:dyDescent="0.2">
      <c r="A101" s="119"/>
      <c r="B101" s="129">
        <v>2</v>
      </c>
      <c r="C101" s="116"/>
      <c r="D101" s="116">
        <v>0</v>
      </c>
      <c r="E101" s="116">
        <v>0</v>
      </c>
      <c r="F101" s="116">
        <v>0</v>
      </c>
      <c r="G101" s="116">
        <v>280.88242844017594</v>
      </c>
      <c r="H101" s="116">
        <v>204.76485688035189</v>
      </c>
      <c r="I101" s="116">
        <v>197.64728532052783</v>
      </c>
      <c r="J101" s="116">
        <v>203.36447752796221</v>
      </c>
      <c r="K101" s="116">
        <v>171.24690596813815</v>
      </c>
      <c r="L101" s="116">
        <v>203.36447752796221</v>
      </c>
      <c r="M101" s="116">
        <v>0</v>
      </c>
      <c r="N101" s="116">
        <v>203.36447752796221</v>
      </c>
      <c r="O101" s="116">
        <v>280.88242844017594</v>
      </c>
      <c r="P101" s="116">
        <v>56.764856880351886</v>
      </c>
      <c r="Q101" s="116">
        <v>3.6472853205278284</v>
      </c>
      <c r="R101" s="116">
        <v>0</v>
      </c>
      <c r="S101" s="116">
        <v>280.88242844017594</v>
      </c>
      <c r="T101" s="116">
        <v>117.76485688035189</v>
      </c>
      <c r="U101" s="116">
        <v>98.647285320527828</v>
      </c>
      <c r="V101" s="116">
        <v>33.529713760703771</v>
      </c>
      <c r="W101" s="116">
        <v>5.412142200879714</v>
      </c>
      <c r="X101" s="116">
        <v>9.2945706410556568</v>
      </c>
      <c r="Y101" s="116">
        <v>134.1769990812316</v>
      </c>
      <c r="Z101" s="116">
        <v>0</v>
      </c>
      <c r="AA101" s="116">
        <v>203.36447752796221</v>
      </c>
      <c r="AB101" s="116">
        <v>0</v>
      </c>
      <c r="AC101" s="116">
        <v>23.882428440175943</v>
      </c>
      <c r="AD101" s="116">
        <v>0</v>
      </c>
      <c r="AE101" s="116">
        <v>0</v>
      </c>
      <c r="AF101" s="116">
        <v>203.36447752796221</v>
      </c>
      <c r="AG101" s="116">
        <v>280.88242844017594</v>
      </c>
      <c r="AH101" s="116">
        <v>234.76485688035189</v>
      </c>
      <c r="AI101" s="116">
        <v>280.88242844017594</v>
      </c>
      <c r="AJ101" s="116">
        <v>235.76485688035189</v>
      </c>
      <c r="AK101" s="116">
        <v>192.64728532052783</v>
      </c>
      <c r="AL101" s="116">
        <v>203.36447752796221</v>
      </c>
      <c r="AM101" s="116">
        <v>120.24690596813815</v>
      </c>
      <c r="AN101" s="116">
        <v>0</v>
      </c>
      <c r="AO101" s="116">
        <v>0</v>
      </c>
      <c r="AP101" s="116">
        <v>280.88242844017594</v>
      </c>
      <c r="AQ101" s="116">
        <v>56.764856880351886</v>
      </c>
      <c r="AR101" s="116">
        <v>0</v>
      </c>
      <c r="AS101" s="116">
        <v>19.882428440175943</v>
      </c>
      <c r="AT101" s="116">
        <v>0</v>
      </c>
      <c r="AU101" s="116">
        <v>0</v>
      </c>
      <c r="AV101" s="116">
        <v>230.76485688035189</v>
      </c>
      <c r="AW101" s="116">
        <v>21.647285320527828</v>
      </c>
      <c r="AX101" s="116">
        <v>280.88242844017594</v>
      </c>
      <c r="AY101" s="116">
        <v>0</v>
      </c>
    </row>
    <row r="102" spans="1:52" x14ac:dyDescent="0.2">
      <c r="A102" s="119"/>
      <c r="B102" s="130">
        <v>3</v>
      </c>
      <c r="C102" s="116"/>
      <c r="D102" s="116">
        <v>0</v>
      </c>
      <c r="E102" s="116">
        <v>0</v>
      </c>
      <c r="F102" s="116">
        <v>0</v>
      </c>
      <c r="G102" s="116">
        <v>0</v>
      </c>
      <c r="H102" s="116">
        <v>0</v>
      </c>
      <c r="I102" s="116">
        <v>0</v>
      </c>
      <c r="J102" s="116">
        <v>0</v>
      </c>
      <c r="K102" s="116">
        <v>0</v>
      </c>
      <c r="L102" s="116">
        <v>0</v>
      </c>
      <c r="M102" s="116">
        <v>0</v>
      </c>
      <c r="N102" s="116">
        <v>0</v>
      </c>
      <c r="O102" s="116">
        <v>0</v>
      </c>
      <c r="P102" s="116">
        <v>0</v>
      </c>
      <c r="Q102" s="116">
        <v>0</v>
      </c>
      <c r="R102" s="116">
        <v>0</v>
      </c>
      <c r="S102" s="116">
        <v>0</v>
      </c>
      <c r="T102" s="116">
        <v>0</v>
      </c>
      <c r="U102" s="116">
        <v>0</v>
      </c>
      <c r="V102" s="116">
        <v>0</v>
      </c>
      <c r="W102" s="116">
        <v>0</v>
      </c>
      <c r="X102" s="116">
        <v>0</v>
      </c>
      <c r="Y102" s="116">
        <v>0</v>
      </c>
      <c r="Z102" s="116">
        <v>0</v>
      </c>
      <c r="AA102" s="116">
        <v>0</v>
      </c>
      <c r="AB102" s="116">
        <v>0</v>
      </c>
      <c r="AC102" s="116">
        <v>0</v>
      </c>
      <c r="AD102" s="116">
        <v>0</v>
      </c>
      <c r="AE102" s="116">
        <v>0</v>
      </c>
      <c r="AF102" s="116">
        <v>0</v>
      </c>
      <c r="AG102" s="116">
        <v>0</v>
      </c>
      <c r="AH102" s="116">
        <v>0</v>
      </c>
      <c r="AI102" s="116">
        <v>0</v>
      </c>
      <c r="AJ102" s="116">
        <v>0</v>
      </c>
      <c r="AK102" s="116">
        <v>0</v>
      </c>
      <c r="AL102" s="116">
        <v>0</v>
      </c>
      <c r="AM102" s="116">
        <v>0</v>
      </c>
      <c r="AN102" s="116">
        <v>0</v>
      </c>
      <c r="AO102" s="116">
        <v>0</v>
      </c>
      <c r="AP102" s="116">
        <v>0</v>
      </c>
      <c r="AQ102" s="116">
        <v>0</v>
      </c>
      <c r="AR102" s="116">
        <v>0</v>
      </c>
      <c r="AS102" s="116">
        <v>0</v>
      </c>
      <c r="AT102" s="116">
        <v>0</v>
      </c>
      <c r="AU102" s="116">
        <v>280.88242844017594</v>
      </c>
      <c r="AV102" s="116">
        <v>0</v>
      </c>
      <c r="AW102" s="116">
        <v>0</v>
      </c>
      <c r="AX102" s="116">
        <v>0</v>
      </c>
      <c r="AY102" s="116">
        <v>0</v>
      </c>
    </row>
    <row r="103" spans="1:52" x14ac:dyDescent="0.2">
      <c r="A103" s="119"/>
      <c r="B103" s="130">
        <v>4</v>
      </c>
      <c r="C103" s="116"/>
      <c r="D103" s="116">
        <v>0</v>
      </c>
      <c r="E103" s="116">
        <v>0</v>
      </c>
      <c r="F103" s="116">
        <v>0</v>
      </c>
      <c r="G103" s="116">
        <v>0</v>
      </c>
      <c r="H103" s="116">
        <v>0</v>
      </c>
      <c r="I103" s="116">
        <v>0</v>
      </c>
      <c r="J103" s="116">
        <v>0</v>
      </c>
      <c r="K103" s="116">
        <v>0</v>
      </c>
      <c r="L103" s="116">
        <v>0</v>
      </c>
      <c r="M103" s="116">
        <v>0</v>
      </c>
      <c r="N103" s="116">
        <v>0</v>
      </c>
      <c r="O103" s="116">
        <v>0</v>
      </c>
      <c r="P103" s="116">
        <v>0</v>
      </c>
      <c r="Q103" s="116">
        <v>0</v>
      </c>
      <c r="R103" s="116">
        <v>0</v>
      </c>
      <c r="S103" s="116">
        <v>0</v>
      </c>
      <c r="T103" s="116">
        <v>0</v>
      </c>
      <c r="U103" s="116">
        <v>0</v>
      </c>
      <c r="V103" s="116">
        <v>0</v>
      </c>
      <c r="W103" s="116">
        <v>0</v>
      </c>
      <c r="X103" s="116">
        <v>0</v>
      </c>
      <c r="Y103" s="116">
        <v>0</v>
      </c>
      <c r="Z103" s="116">
        <v>0</v>
      </c>
      <c r="AA103" s="116">
        <v>0</v>
      </c>
      <c r="AB103" s="116">
        <v>0</v>
      </c>
      <c r="AC103" s="116">
        <v>0</v>
      </c>
      <c r="AD103" s="116">
        <v>0</v>
      </c>
      <c r="AE103" s="116">
        <v>0</v>
      </c>
      <c r="AF103" s="116">
        <v>0</v>
      </c>
      <c r="AG103" s="116">
        <v>0</v>
      </c>
      <c r="AH103" s="116">
        <v>0</v>
      </c>
      <c r="AI103" s="116">
        <v>0</v>
      </c>
      <c r="AJ103" s="116">
        <v>0</v>
      </c>
      <c r="AK103" s="116">
        <v>0</v>
      </c>
      <c r="AL103" s="116">
        <v>0</v>
      </c>
      <c r="AM103" s="116">
        <v>0</v>
      </c>
      <c r="AN103" s="116">
        <v>0</v>
      </c>
      <c r="AO103" s="116">
        <v>0</v>
      </c>
      <c r="AP103" s="116">
        <v>0</v>
      </c>
      <c r="AQ103" s="116">
        <v>0</v>
      </c>
      <c r="AR103" s="116">
        <v>0</v>
      </c>
      <c r="AS103" s="116">
        <v>0</v>
      </c>
      <c r="AT103" s="116">
        <v>0</v>
      </c>
      <c r="AU103" s="116">
        <v>0</v>
      </c>
      <c r="AV103" s="116">
        <v>0</v>
      </c>
      <c r="AW103" s="116">
        <v>0</v>
      </c>
      <c r="AX103" s="116">
        <v>0</v>
      </c>
      <c r="AY103" s="116">
        <v>0</v>
      </c>
    </row>
    <row r="104" spans="1:52" x14ac:dyDescent="0.2">
      <c r="A104" s="119"/>
      <c r="B104" s="137">
        <v>5</v>
      </c>
      <c r="C104" s="116"/>
      <c r="D104" s="116">
        <v>0</v>
      </c>
      <c r="E104" s="116">
        <v>0</v>
      </c>
      <c r="F104" s="116">
        <v>0</v>
      </c>
      <c r="G104" s="116">
        <v>0</v>
      </c>
      <c r="H104" s="116">
        <v>0</v>
      </c>
      <c r="I104" s="116">
        <v>0</v>
      </c>
      <c r="J104" s="116">
        <v>0</v>
      </c>
      <c r="K104" s="116">
        <v>0</v>
      </c>
      <c r="L104" s="116">
        <v>0</v>
      </c>
      <c r="M104" s="116">
        <v>0</v>
      </c>
      <c r="N104" s="116">
        <v>0</v>
      </c>
      <c r="O104" s="116">
        <v>0</v>
      </c>
      <c r="P104" s="116">
        <v>0</v>
      </c>
      <c r="Q104" s="116">
        <v>0</v>
      </c>
      <c r="R104" s="116">
        <v>0</v>
      </c>
      <c r="S104" s="116">
        <v>0</v>
      </c>
      <c r="T104" s="116">
        <v>0</v>
      </c>
      <c r="U104" s="116">
        <v>0</v>
      </c>
      <c r="V104" s="116">
        <v>0</v>
      </c>
      <c r="W104" s="116">
        <v>0</v>
      </c>
      <c r="X104" s="116">
        <v>0</v>
      </c>
      <c r="Y104" s="116">
        <v>0</v>
      </c>
      <c r="Z104" s="116">
        <v>0</v>
      </c>
      <c r="AA104" s="116">
        <v>0</v>
      </c>
      <c r="AB104" s="116">
        <v>0</v>
      </c>
      <c r="AC104" s="116">
        <v>0</v>
      </c>
      <c r="AD104" s="116">
        <v>0</v>
      </c>
      <c r="AE104" s="116">
        <v>0</v>
      </c>
      <c r="AF104" s="116">
        <v>0</v>
      </c>
      <c r="AG104" s="116">
        <v>0</v>
      </c>
      <c r="AH104" s="116">
        <v>0</v>
      </c>
      <c r="AI104" s="116">
        <v>0</v>
      </c>
      <c r="AJ104" s="116">
        <v>0</v>
      </c>
      <c r="AK104" s="116">
        <v>0</v>
      </c>
      <c r="AL104" s="116">
        <v>0</v>
      </c>
      <c r="AM104" s="116">
        <v>0</v>
      </c>
      <c r="AN104" s="116">
        <v>0</v>
      </c>
      <c r="AO104" s="116">
        <v>0</v>
      </c>
      <c r="AP104" s="116">
        <v>0</v>
      </c>
      <c r="AQ104" s="116">
        <v>0</v>
      </c>
      <c r="AR104" s="116">
        <v>0</v>
      </c>
      <c r="AS104" s="116">
        <v>0</v>
      </c>
      <c r="AT104" s="116">
        <v>0</v>
      </c>
      <c r="AU104" s="116">
        <v>0</v>
      </c>
      <c r="AV104" s="116">
        <v>0</v>
      </c>
      <c r="AW104" s="116">
        <v>0</v>
      </c>
      <c r="AX104" s="116">
        <v>0</v>
      </c>
      <c r="AY104" s="116">
        <v>0</v>
      </c>
    </row>
    <row r="105" spans="1:52" x14ac:dyDescent="0.2">
      <c r="A105" s="119"/>
      <c r="B105" s="137">
        <v>6</v>
      </c>
      <c r="C105" s="116"/>
      <c r="D105" s="116">
        <v>0</v>
      </c>
      <c r="E105" s="116">
        <v>0</v>
      </c>
      <c r="F105" s="116">
        <v>0</v>
      </c>
      <c r="G105" s="116">
        <v>0</v>
      </c>
      <c r="H105" s="116">
        <v>0</v>
      </c>
      <c r="I105" s="116">
        <v>0</v>
      </c>
      <c r="J105" s="116">
        <v>0</v>
      </c>
      <c r="K105" s="116">
        <v>0</v>
      </c>
      <c r="L105" s="116">
        <v>0</v>
      </c>
      <c r="M105" s="116">
        <v>0</v>
      </c>
      <c r="N105" s="116">
        <v>0</v>
      </c>
      <c r="O105" s="116">
        <v>0</v>
      </c>
      <c r="P105" s="116">
        <v>0</v>
      </c>
      <c r="Q105" s="116">
        <v>0</v>
      </c>
      <c r="R105" s="116">
        <v>0</v>
      </c>
      <c r="S105" s="116">
        <v>0</v>
      </c>
      <c r="T105" s="116">
        <v>0</v>
      </c>
      <c r="U105" s="116">
        <v>0</v>
      </c>
      <c r="V105" s="116">
        <v>0</v>
      </c>
      <c r="W105" s="116">
        <v>0</v>
      </c>
      <c r="X105" s="116">
        <v>0</v>
      </c>
      <c r="Y105" s="116">
        <v>0</v>
      </c>
      <c r="Z105" s="116">
        <v>0</v>
      </c>
      <c r="AA105" s="116">
        <v>0</v>
      </c>
      <c r="AB105" s="116">
        <v>0</v>
      </c>
      <c r="AC105" s="116">
        <v>0</v>
      </c>
      <c r="AD105" s="116">
        <v>0</v>
      </c>
      <c r="AE105" s="116">
        <v>0</v>
      </c>
      <c r="AF105" s="116">
        <v>0</v>
      </c>
      <c r="AG105" s="116">
        <v>0</v>
      </c>
      <c r="AH105" s="116">
        <v>0</v>
      </c>
      <c r="AI105" s="116">
        <v>0</v>
      </c>
      <c r="AJ105" s="116">
        <v>0</v>
      </c>
      <c r="AK105" s="116">
        <v>0</v>
      </c>
      <c r="AL105" s="116">
        <v>0</v>
      </c>
      <c r="AM105" s="116">
        <v>0</v>
      </c>
      <c r="AN105" s="116">
        <v>0</v>
      </c>
      <c r="AO105" s="116">
        <v>0</v>
      </c>
      <c r="AP105" s="116">
        <v>0</v>
      </c>
      <c r="AQ105" s="116">
        <v>0</v>
      </c>
      <c r="AR105" s="116">
        <v>0</v>
      </c>
      <c r="AS105" s="116">
        <v>0</v>
      </c>
      <c r="AT105" s="116">
        <v>0</v>
      </c>
      <c r="AU105" s="116">
        <v>0</v>
      </c>
      <c r="AV105" s="116">
        <v>0</v>
      </c>
      <c r="AW105" s="116">
        <v>0</v>
      </c>
      <c r="AX105" s="116">
        <v>0</v>
      </c>
      <c r="AY105" s="116">
        <v>0</v>
      </c>
    </row>
    <row r="106" spans="1:52" x14ac:dyDescent="0.2">
      <c r="A106" s="119"/>
      <c r="B106" s="140">
        <v>7</v>
      </c>
      <c r="C106" s="116"/>
      <c r="D106" s="116">
        <v>0</v>
      </c>
      <c r="E106" s="116">
        <v>0</v>
      </c>
      <c r="F106" s="116">
        <v>0</v>
      </c>
      <c r="G106" s="116">
        <v>0</v>
      </c>
      <c r="H106" s="116">
        <v>0</v>
      </c>
      <c r="I106" s="116">
        <v>0</v>
      </c>
      <c r="J106" s="116">
        <v>0</v>
      </c>
      <c r="K106" s="116">
        <v>0</v>
      </c>
      <c r="L106" s="116">
        <v>0</v>
      </c>
      <c r="M106" s="116">
        <v>0</v>
      </c>
      <c r="N106" s="116">
        <v>0</v>
      </c>
      <c r="O106" s="116">
        <v>0</v>
      </c>
      <c r="P106" s="116">
        <v>0</v>
      </c>
      <c r="Q106" s="116">
        <v>0</v>
      </c>
      <c r="R106" s="116">
        <v>0</v>
      </c>
      <c r="S106" s="116">
        <v>0</v>
      </c>
      <c r="T106" s="116">
        <v>0</v>
      </c>
      <c r="U106" s="116">
        <v>0</v>
      </c>
      <c r="V106" s="116">
        <v>0</v>
      </c>
      <c r="W106" s="116">
        <v>0</v>
      </c>
      <c r="X106" s="116">
        <v>0</v>
      </c>
      <c r="Y106" s="116">
        <v>0</v>
      </c>
      <c r="Z106" s="116">
        <v>0</v>
      </c>
      <c r="AA106" s="116">
        <v>0</v>
      </c>
      <c r="AB106" s="116">
        <v>0</v>
      </c>
      <c r="AC106" s="116">
        <v>0</v>
      </c>
      <c r="AD106" s="116">
        <v>0</v>
      </c>
      <c r="AE106" s="116">
        <v>0</v>
      </c>
      <c r="AF106" s="116">
        <v>0</v>
      </c>
      <c r="AG106" s="116">
        <v>0</v>
      </c>
      <c r="AH106" s="116">
        <v>0</v>
      </c>
      <c r="AI106" s="116">
        <v>0</v>
      </c>
      <c r="AJ106" s="116">
        <v>0</v>
      </c>
      <c r="AK106" s="116">
        <v>0</v>
      </c>
      <c r="AL106" s="116">
        <v>0</v>
      </c>
      <c r="AM106" s="116">
        <v>0</v>
      </c>
      <c r="AN106" s="116">
        <v>0</v>
      </c>
      <c r="AO106" s="116">
        <v>0</v>
      </c>
      <c r="AP106" s="116">
        <v>0</v>
      </c>
      <c r="AQ106" s="116">
        <v>0</v>
      </c>
      <c r="AR106" s="116">
        <v>0</v>
      </c>
      <c r="AS106" s="116">
        <v>0</v>
      </c>
      <c r="AT106" s="116">
        <v>0</v>
      </c>
      <c r="AU106" s="116">
        <v>0</v>
      </c>
      <c r="AV106" s="116">
        <v>0</v>
      </c>
      <c r="AW106" s="116">
        <v>0</v>
      </c>
      <c r="AX106" s="116">
        <v>0</v>
      </c>
      <c r="AY106" s="116">
        <v>0</v>
      </c>
    </row>
    <row r="107" spans="1:52" x14ac:dyDescent="0.2">
      <c r="A107" s="119"/>
      <c r="B107" s="140">
        <v>8</v>
      </c>
      <c r="C107" s="116"/>
      <c r="D107" s="116">
        <v>0</v>
      </c>
      <c r="E107" s="116">
        <v>0</v>
      </c>
      <c r="F107" s="116">
        <v>0</v>
      </c>
      <c r="G107" s="116">
        <v>0</v>
      </c>
      <c r="H107" s="116">
        <v>0</v>
      </c>
      <c r="I107" s="116">
        <v>0</v>
      </c>
      <c r="J107" s="116">
        <v>0</v>
      </c>
      <c r="K107" s="116">
        <v>0</v>
      </c>
      <c r="L107" s="116">
        <v>0</v>
      </c>
      <c r="M107" s="116">
        <v>0</v>
      </c>
      <c r="N107" s="116">
        <v>0</v>
      </c>
      <c r="O107" s="116">
        <v>0</v>
      </c>
      <c r="P107" s="116">
        <v>0</v>
      </c>
      <c r="Q107" s="116">
        <v>0</v>
      </c>
      <c r="R107" s="116">
        <v>0</v>
      </c>
      <c r="S107" s="116">
        <v>0</v>
      </c>
      <c r="T107" s="116">
        <v>0</v>
      </c>
      <c r="U107" s="116">
        <v>0</v>
      </c>
      <c r="V107" s="116">
        <v>0</v>
      </c>
      <c r="W107" s="116">
        <v>0</v>
      </c>
      <c r="X107" s="116">
        <v>0</v>
      </c>
      <c r="Y107" s="116">
        <v>0</v>
      </c>
      <c r="Z107" s="116">
        <v>0</v>
      </c>
      <c r="AA107" s="116">
        <v>0</v>
      </c>
      <c r="AB107" s="116">
        <v>0</v>
      </c>
      <c r="AC107" s="116">
        <v>0</v>
      </c>
      <c r="AD107" s="116">
        <v>0</v>
      </c>
      <c r="AE107" s="116">
        <v>0</v>
      </c>
      <c r="AF107" s="116">
        <v>0</v>
      </c>
      <c r="AG107" s="116">
        <v>0</v>
      </c>
      <c r="AH107" s="116">
        <v>0</v>
      </c>
      <c r="AI107" s="116">
        <v>0</v>
      </c>
      <c r="AJ107" s="116">
        <v>0</v>
      </c>
      <c r="AK107" s="116">
        <v>0</v>
      </c>
      <c r="AL107" s="116">
        <v>0</v>
      </c>
      <c r="AM107" s="116">
        <v>0</v>
      </c>
      <c r="AN107" s="116">
        <v>0</v>
      </c>
      <c r="AO107" s="116">
        <v>0</v>
      </c>
      <c r="AP107" s="116">
        <v>0</v>
      </c>
      <c r="AQ107" s="116">
        <v>0</v>
      </c>
      <c r="AR107" s="116">
        <v>0</v>
      </c>
      <c r="AS107" s="116">
        <v>0</v>
      </c>
      <c r="AT107" s="116">
        <v>0</v>
      </c>
      <c r="AU107" s="116">
        <v>0</v>
      </c>
      <c r="AV107" s="116">
        <v>0</v>
      </c>
      <c r="AW107" s="116">
        <v>0</v>
      </c>
      <c r="AX107" s="116">
        <v>0</v>
      </c>
      <c r="AY107" s="116">
        <v>0</v>
      </c>
    </row>
    <row r="108" spans="1:52" x14ac:dyDescent="0.2">
      <c r="A108" s="138"/>
      <c r="B108" s="142" t="s">
        <v>298</v>
      </c>
      <c r="C108" s="124"/>
      <c r="D108" s="135">
        <v>0</v>
      </c>
      <c r="E108" s="135">
        <v>0</v>
      </c>
      <c r="F108" s="135">
        <v>0</v>
      </c>
      <c r="G108" s="135">
        <v>0</v>
      </c>
      <c r="H108" s="135">
        <v>0</v>
      </c>
      <c r="I108" s="135">
        <v>0</v>
      </c>
      <c r="J108" s="135">
        <v>0</v>
      </c>
      <c r="K108" s="135">
        <v>0</v>
      </c>
      <c r="L108" s="135">
        <v>0</v>
      </c>
      <c r="M108" s="135">
        <v>0</v>
      </c>
      <c r="N108" s="135">
        <v>0</v>
      </c>
      <c r="O108" s="135">
        <v>0</v>
      </c>
      <c r="P108" s="135">
        <v>0</v>
      </c>
      <c r="Q108" s="135">
        <v>0</v>
      </c>
      <c r="R108" s="135">
        <v>0</v>
      </c>
      <c r="S108" s="135">
        <v>0</v>
      </c>
      <c r="T108" s="135">
        <v>0</v>
      </c>
      <c r="U108" s="135">
        <v>0</v>
      </c>
      <c r="V108" s="135">
        <v>0</v>
      </c>
      <c r="W108" s="135">
        <v>0</v>
      </c>
      <c r="X108" s="135">
        <v>0</v>
      </c>
      <c r="Y108" s="135">
        <v>0</v>
      </c>
      <c r="Z108" s="135">
        <v>0</v>
      </c>
      <c r="AA108" s="135">
        <v>0</v>
      </c>
      <c r="AB108" s="135">
        <v>0</v>
      </c>
      <c r="AC108" s="135">
        <v>0</v>
      </c>
      <c r="AD108" s="135">
        <v>0</v>
      </c>
      <c r="AE108" s="135">
        <v>0</v>
      </c>
      <c r="AF108" s="135">
        <v>0</v>
      </c>
      <c r="AG108" s="135">
        <v>0</v>
      </c>
      <c r="AH108" s="135">
        <v>0</v>
      </c>
      <c r="AI108" s="135">
        <v>0</v>
      </c>
      <c r="AJ108" s="135">
        <v>0</v>
      </c>
      <c r="AK108" s="135">
        <v>0</v>
      </c>
      <c r="AL108" s="135">
        <v>0</v>
      </c>
      <c r="AM108" s="135">
        <v>0</v>
      </c>
      <c r="AN108" s="135">
        <v>0</v>
      </c>
      <c r="AO108" s="135">
        <v>0</v>
      </c>
      <c r="AP108" s="135">
        <v>0</v>
      </c>
      <c r="AQ108" s="135">
        <v>0</v>
      </c>
      <c r="AR108" s="135">
        <v>0</v>
      </c>
      <c r="AS108" s="135">
        <v>0</v>
      </c>
      <c r="AT108" s="135">
        <v>0</v>
      </c>
      <c r="AU108" s="135">
        <v>0</v>
      </c>
      <c r="AV108" s="135">
        <v>0</v>
      </c>
      <c r="AW108" s="135">
        <v>0</v>
      </c>
      <c r="AX108" s="135">
        <v>0</v>
      </c>
      <c r="AY108" s="135">
        <v>0</v>
      </c>
      <c r="AZ108" s="117">
        <f>SUM($D108:$AY108)</f>
        <v>0</v>
      </c>
    </row>
    <row r="109" spans="1:52" x14ac:dyDescent="0.2">
      <c r="A109" s="141" t="s">
        <v>134</v>
      </c>
      <c r="B109" s="129">
        <v>1</v>
      </c>
      <c r="C109" s="116"/>
      <c r="D109" s="116">
        <v>0</v>
      </c>
      <c r="E109" s="116">
        <v>9.5923592381043665</v>
      </c>
      <c r="F109" s="116">
        <v>19.720132226016567</v>
      </c>
      <c r="G109" s="116">
        <v>20.029129550728644</v>
      </c>
      <c r="H109" s="116">
        <v>75.79458235905588</v>
      </c>
      <c r="I109" s="116">
        <v>49.912734939128185</v>
      </c>
      <c r="J109" s="116">
        <v>39.377232835261658</v>
      </c>
      <c r="K109" s="116">
        <v>55.062596931766002</v>
      </c>
      <c r="L109" s="116">
        <v>44.655811632768405</v>
      </c>
      <c r="M109" s="116">
        <v>0</v>
      </c>
      <c r="N109" s="116">
        <v>0</v>
      </c>
      <c r="O109" s="116">
        <v>0</v>
      </c>
      <c r="P109" s="116">
        <v>0</v>
      </c>
      <c r="Q109" s="116">
        <v>114.67143128375864</v>
      </c>
      <c r="R109" s="116">
        <v>118.42406439213688</v>
      </c>
      <c r="S109" s="116">
        <v>99.679906264260097</v>
      </c>
      <c r="T109" s="116">
        <v>127.38134178194207</v>
      </c>
      <c r="U109" s="116">
        <v>438.60009324727525</v>
      </c>
      <c r="V109" s="116">
        <v>404.65747945113213</v>
      </c>
      <c r="W109" s="116">
        <v>376.74598347161941</v>
      </c>
      <c r="X109" s="116">
        <v>360.85697690404425</v>
      </c>
      <c r="Y109" s="116">
        <v>178.59599287167549</v>
      </c>
      <c r="Z109" s="116">
        <v>158.66032473209094</v>
      </c>
      <c r="AA109" s="116">
        <v>147.5049635530211</v>
      </c>
      <c r="AB109" s="116">
        <v>155.63762475716675</v>
      </c>
      <c r="AC109" s="116">
        <v>77.190664671133547</v>
      </c>
      <c r="AD109" s="116">
        <v>82.995348578862391</v>
      </c>
      <c r="AE109" s="116">
        <v>68.353296853000884</v>
      </c>
      <c r="AF109" s="116">
        <v>61.463915869363397</v>
      </c>
      <c r="AG109" s="116">
        <v>92.90416827519762</v>
      </c>
      <c r="AH109" s="116">
        <v>129.00270804357419</v>
      </c>
      <c r="AI109" s="116">
        <v>113.55365509814257</v>
      </c>
      <c r="AJ109" s="116">
        <v>150.33416239045422</v>
      </c>
      <c r="AK109" s="116">
        <v>342.59018188563795</v>
      </c>
      <c r="AL109" s="116">
        <v>297.33912048015696</v>
      </c>
      <c r="AM109" s="116">
        <v>338.13612485401234</v>
      </c>
      <c r="AN109" s="116">
        <v>286.34920434176001</v>
      </c>
      <c r="AO109" s="116">
        <v>279.84244620908873</v>
      </c>
      <c r="AP109" s="116">
        <v>238.98868304612151</v>
      </c>
      <c r="AQ109" s="116">
        <v>306.96991350852045</v>
      </c>
      <c r="AR109" s="116">
        <v>263.99179152890957</v>
      </c>
      <c r="AS109" s="116">
        <v>213.28229536360706</v>
      </c>
      <c r="AT109" s="116">
        <v>173.6380666516566</v>
      </c>
      <c r="AU109" s="116">
        <v>186.28096795741399</v>
      </c>
      <c r="AV109" s="116">
        <v>227.25751181804247</v>
      </c>
      <c r="AW109" s="116">
        <v>122.13394317298071</v>
      </c>
      <c r="AX109" s="116">
        <v>111.56020451824594</v>
      </c>
      <c r="AY109" s="116">
        <v>121.57399031472136</v>
      </c>
    </row>
    <row r="110" spans="1:52" x14ac:dyDescent="0.2">
      <c r="A110" s="119"/>
      <c r="B110" s="129">
        <v>2</v>
      </c>
      <c r="C110" s="116"/>
      <c r="D110" s="116">
        <v>0</v>
      </c>
      <c r="E110" s="116">
        <v>0</v>
      </c>
      <c r="F110" s="116">
        <v>0</v>
      </c>
      <c r="G110" s="116">
        <v>0</v>
      </c>
      <c r="H110" s="116">
        <v>0</v>
      </c>
      <c r="I110" s="116">
        <v>0</v>
      </c>
      <c r="J110" s="116">
        <v>0</v>
      </c>
      <c r="K110" s="116">
        <v>0</v>
      </c>
      <c r="L110" s="116">
        <v>0</v>
      </c>
      <c r="M110" s="116">
        <v>0</v>
      </c>
      <c r="N110" s="116">
        <v>0</v>
      </c>
      <c r="O110" s="116">
        <v>0</v>
      </c>
      <c r="P110" s="116">
        <v>0</v>
      </c>
      <c r="Q110" s="116">
        <v>0</v>
      </c>
      <c r="R110" s="116">
        <v>0</v>
      </c>
      <c r="S110" s="116">
        <v>11.424064392136884</v>
      </c>
      <c r="T110" s="116">
        <v>0</v>
      </c>
      <c r="U110" s="116">
        <v>0</v>
      </c>
      <c r="V110" s="116">
        <v>133.60009324727525</v>
      </c>
      <c r="W110" s="116">
        <v>162.25757269840739</v>
      </c>
      <c r="X110" s="116">
        <v>235.0035561700268</v>
      </c>
      <c r="Y110" s="116">
        <v>360.85697690404425</v>
      </c>
      <c r="Z110" s="116">
        <v>178.59599287167549</v>
      </c>
      <c r="AA110" s="116">
        <v>158.66032473209094</v>
      </c>
      <c r="AB110" s="116">
        <v>147.5049635530211</v>
      </c>
      <c r="AC110" s="116">
        <v>155.63762475716675</v>
      </c>
      <c r="AD110" s="116">
        <v>77.190664671133547</v>
      </c>
      <c r="AE110" s="116">
        <v>82.995348578862391</v>
      </c>
      <c r="AF110" s="116">
        <v>68.353296853000884</v>
      </c>
      <c r="AG110" s="116">
        <v>7.1054273576010019E-15</v>
      </c>
      <c r="AH110" s="116">
        <v>0</v>
      </c>
      <c r="AI110" s="116">
        <v>0</v>
      </c>
      <c r="AJ110" s="116">
        <v>0</v>
      </c>
      <c r="AK110" s="116">
        <v>0</v>
      </c>
      <c r="AL110" s="116">
        <v>120.03060576272983</v>
      </c>
      <c r="AM110" s="116">
        <v>161.3697262428868</v>
      </c>
      <c r="AN110" s="116">
        <v>286.32231112429827</v>
      </c>
      <c r="AO110" s="116">
        <v>274.23671890658551</v>
      </c>
      <c r="AP110" s="116">
        <v>278.07916511567424</v>
      </c>
      <c r="AQ110" s="116">
        <v>238.98868304612151</v>
      </c>
      <c r="AR110" s="116">
        <v>306.96991350852045</v>
      </c>
      <c r="AS110" s="116">
        <v>263.99179152890957</v>
      </c>
      <c r="AT110" s="116">
        <v>213.28229536360706</v>
      </c>
      <c r="AU110" s="116">
        <v>103.35633077700646</v>
      </c>
      <c r="AV110" s="116">
        <v>50.637298734420455</v>
      </c>
      <c r="AW110" s="116">
        <v>147.89481055246293</v>
      </c>
      <c r="AX110" s="116">
        <v>122.13394317298071</v>
      </c>
      <c r="AY110" s="116">
        <v>111.56020451824594</v>
      </c>
    </row>
    <row r="111" spans="1:52" x14ac:dyDescent="0.2">
      <c r="A111" s="119"/>
      <c r="B111" s="129">
        <v>3</v>
      </c>
      <c r="C111" s="116"/>
      <c r="D111" s="116">
        <v>0</v>
      </c>
      <c r="E111" s="116">
        <v>0</v>
      </c>
      <c r="F111" s="116">
        <v>0</v>
      </c>
      <c r="G111" s="116">
        <v>0</v>
      </c>
      <c r="H111" s="116">
        <v>0</v>
      </c>
      <c r="I111" s="116">
        <v>0</v>
      </c>
      <c r="J111" s="116">
        <v>0</v>
      </c>
      <c r="K111" s="116">
        <v>0</v>
      </c>
      <c r="L111" s="116">
        <v>0</v>
      </c>
      <c r="M111" s="116">
        <v>0</v>
      </c>
      <c r="N111" s="116">
        <v>0</v>
      </c>
      <c r="O111" s="116">
        <v>0</v>
      </c>
      <c r="P111" s="116">
        <v>0</v>
      </c>
      <c r="Q111" s="116">
        <v>0</v>
      </c>
      <c r="R111" s="116">
        <v>0</v>
      </c>
      <c r="S111" s="116">
        <v>0</v>
      </c>
      <c r="T111" s="116">
        <v>0</v>
      </c>
      <c r="U111" s="116">
        <v>0</v>
      </c>
      <c r="V111" s="116">
        <v>0</v>
      </c>
      <c r="W111" s="116">
        <v>0</v>
      </c>
      <c r="X111" s="116">
        <v>0</v>
      </c>
      <c r="Y111" s="116">
        <v>72.003556170026798</v>
      </c>
      <c r="Z111" s="116">
        <v>263.92979718500294</v>
      </c>
      <c r="AA111" s="116">
        <v>178.59599287167549</v>
      </c>
      <c r="AB111" s="116">
        <v>158.66032473209094</v>
      </c>
      <c r="AC111" s="116">
        <v>147.5049635530211</v>
      </c>
      <c r="AD111" s="116">
        <v>155.63762475716675</v>
      </c>
      <c r="AE111" s="116">
        <v>77.190664671133547</v>
      </c>
      <c r="AF111" s="116">
        <v>13.189601314355997</v>
      </c>
      <c r="AG111" s="116">
        <v>0</v>
      </c>
      <c r="AH111" s="116">
        <v>0</v>
      </c>
      <c r="AI111" s="116">
        <v>0</v>
      </c>
      <c r="AJ111" s="116">
        <v>0</v>
      </c>
      <c r="AK111" s="116">
        <v>0</v>
      </c>
      <c r="AL111" s="116">
        <v>0</v>
      </c>
      <c r="AM111" s="116">
        <v>0</v>
      </c>
      <c r="AN111" s="116">
        <v>0</v>
      </c>
      <c r="AO111" s="116">
        <v>0</v>
      </c>
      <c r="AP111" s="116">
        <v>0</v>
      </c>
      <c r="AQ111" s="116">
        <v>38.079165115674243</v>
      </c>
      <c r="AR111" s="116">
        <v>18.168384440434551</v>
      </c>
      <c r="AS111" s="116">
        <v>63.138297948955</v>
      </c>
      <c r="AT111" s="116">
        <v>6.4359687617427994</v>
      </c>
      <c r="AU111" s="116">
        <v>0</v>
      </c>
      <c r="AV111" s="116">
        <v>0</v>
      </c>
      <c r="AW111" s="116">
        <v>0</v>
      </c>
      <c r="AX111" s="116">
        <v>7.7727008165645941</v>
      </c>
      <c r="AY111" s="116">
        <v>2.9303434481984709</v>
      </c>
    </row>
    <row r="112" spans="1:52" x14ac:dyDescent="0.2">
      <c r="A112" s="119"/>
      <c r="B112" s="130">
        <v>4</v>
      </c>
      <c r="C112" s="116"/>
      <c r="D112" s="116">
        <v>0</v>
      </c>
      <c r="E112" s="116">
        <v>0</v>
      </c>
      <c r="F112" s="116">
        <v>0</v>
      </c>
      <c r="G112" s="116">
        <v>0</v>
      </c>
      <c r="H112" s="116">
        <v>0</v>
      </c>
      <c r="I112" s="116">
        <v>0</v>
      </c>
      <c r="J112" s="116">
        <v>0</v>
      </c>
      <c r="K112" s="116">
        <v>0</v>
      </c>
      <c r="L112" s="116">
        <v>0</v>
      </c>
      <c r="M112" s="116">
        <v>0</v>
      </c>
      <c r="N112" s="116">
        <v>0</v>
      </c>
      <c r="O112" s="116">
        <v>0</v>
      </c>
      <c r="P112" s="116">
        <v>0</v>
      </c>
      <c r="Q112" s="116">
        <v>0</v>
      </c>
      <c r="R112" s="116">
        <v>0</v>
      </c>
      <c r="S112" s="116">
        <v>0</v>
      </c>
      <c r="T112" s="116">
        <v>0</v>
      </c>
      <c r="U112" s="116">
        <v>0</v>
      </c>
      <c r="V112" s="116">
        <v>0</v>
      </c>
      <c r="W112" s="116">
        <v>0</v>
      </c>
      <c r="X112" s="116">
        <v>0</v>
      </c>
      <c r="Y112" s="116">
        <v>0</v>
      </c>
      <c r="Z112" s="116">
        <v>0</v>
      </c>
      <c r="AA112" s="116">
        <v>51.048539859197405</v>
      </c>
      <c r="AB112" s="116">
        <v>37.057325801457296</v>
      </c>
      <c r="AC112" s="116">
        <v>35.717650533548237</v>
      </c>
      <c r="AD112" s="116">
        <v>49.001280117975739</v>
      </c>
      <c r="AE112" s="116">
        <v>31.638904875142487</v>
      </c>
      <c r="AF112" s="116">
        <v>0</v>
      </c>
      <c r="AG112" s="116">
        <v>0</v>
      </c>
      <c r="AH112" s="116">
        <v>0</v>
      </c>
      <c r="AI112" s="116">
        <v>0</v>
      </c>
      <c r="AJ112" s="116">
        <v>0</v>
      </c>
      <c r="AK112" s="116">
        <v>0</v>
      </c>
      <c r="AL112" s="116">
        <v>0</v>
      </c>
      <c r="AM112" s="116">
        <v>0</v>
      </c>
      <c r="AN112" s="116">
        <v>0</v>
      </c>
      <c r="AO112" s="116">
        <v>0</v>
      </c>
      <c r="AP112" s="116">
        <v>0</v>
      </c>
      <c r="AQ112" s="116">
        <v>0</v>
      </c>
      <c r="AR112" s="116">
        <v>0</v>
      </c>
      <c r="AS112" s="116">
        <v>0</v>
      </c>
      <c r="AT112" s="116">
        <v>0</v>
      </c>
      <c r="AU112" s="116">
        <v>0</v>
      </c>
      <c r="AV112" s="116">
        <v>0</v>
      </c>
      <c r="AW112" s="116">
        <v>0</v>
      </c>
      <c r="AX112" s="116">
        <v>0</v>
      </c>
      <c r="AY112" s="116">
        <v>0</v>
      </c>
    </row>
    <row r="113" spans="1:52" x14ac:dyDescent="0.2">
      <c r="A113" s="119"/>
      <c r="B113" s="130">
        <v>5</v>
      </c>
      <c r="C113" s="116"/>
      <c r="D113" s="116">
        <v>0</v>
      </c>
      <c r="E113" s="116">
        <v>0</v>
      </c>
      <c r="F113" s="116">
        <v>0</v>
      </c>
      <c r="G113" s="116">
        <v>0</v>
      </c>
      <c r="H113" s="116">
        <v>0</v>
      </c>
      <c r="I113" s="116">
        <v>0</v>
      </c>
      <c r="J113" s="116">
        <v>0</v>
      </c>
      <c r="K113" s="116">
        <v>0</v>
      </c>
      <c r="L113" s="116">
        <v>0</v>
      </c>
      <c r="M113" s="116">
        <v>0</v>
      </c>
      <c r="N113" s="116">
        <v>0</v>
      </c>
      <c r="O113" s="116">
        <v>0</v>
      </c>
      <c r="P113" s="116">
        <v>0</v>
      </c>
      <c r="Q113" s="116">
        <v>0</v>
      </c>
      <c r="R113" s="116">
        <v>0</v>
      </c>
      <c r="S113" s="116">
        <v>0</v>
      </c>
      <c r="T113" s="116">
        <v>0</v>
      </c>
      <c r="U113" s="116">
        <v>0</v>
      </c>
      <c r="V113" s="116">
        <v>0</v>
      </c>
      <c r="W113" s="116">
        <v>0</v>
      </c>
      <c r="X113" s="116">
        <v>0</v>
      </c>
      <c r="Y113" s="116">
        <v>0</v>
      </c>
      <c r="Z113" s="116">
        <v>0</v>
      </c>
      <c r="AA113" s="116">
        <v>0</v>
      </c>
      <c r="AB113" s="116">
        <v>0</v>
      </c>
      <c r="AC113" s="116">
        <v>0</v>
      </c>
      <c r="AD113" s="116">
        <v>0</v>
      </c>
      <c r="AE113" s="116">
        <v>0</v>
      </c>
      <c r="AF113" s="116">
        <v>0</v>
      </c>
      <c r="AG113" s="116">
        <v>0</v>
      </c>
      <c r="AH113" s="116">
        <v>0</v>
      </c>
      <c r="AI113" s="116">
        <v>0</v>
      </c>
      <c r="AJ113" s="116">
        <v>0</v>
      </c>
      <c r="AK113" s="116">
        <v>0</v>
      </c>
      <c r="AL113" s="116">
        <v>0</v>
      </c>
      <c r="AM113" s="116">
        <v>0</v>
      </c>
      <c r="AN113" s="116">
        <v>0</v>
      </c>
      <c r="AO113" s="116">
        <v>0</v>
      </c>
      <c r="AP113" s="116">
        <v>0</v>
      </c>
      <c r="AQ113" s="116">
        <v>0</v>
      </c>
      <c r="AR113" s="116">
        <v>0</v>
      </c>
      <c r="AS113" s="116">
        <v>0</v>
      </c>
      <c r="AT113" s="116">
        <v>0</v>
      </c>
      <c r="AU113" s="116">
        <v>0</v>
      </c>
      <c r="AV113" s="116">
        <v>0</v>
      </c>
      <c r="AW113" s="116">
        <v>0</v>
      </c>
      <c r="AX113" s="116">
        <v>0</v>
      </c>
      <c r="AY113" s="116">
        <v>0</v>
      </c>
    </row>
    <row r="114" spans="1:52" x14ac:dyDescent="0.2">
      <c r="A114" s="119"/>
      <c r="B114" s="130">
        <v>6</v>
      </c>
      <c r="C114" s="116"/>
      <c r="D114" s="116">
        <v>0</v>
      </c>
      <c r="E114" s="116">
        <v>0</v>
      </c>
      <c r="F114" s="116">
        <v>0</v>
      </c>
      <c r="G114" s="116">
        <v>0</v>
      </c>
      <c r="H114" s="116">
        <v>0</v>
      </c>
      <c r="I114" s="116">
        <v>0</v>
      </c>
      <c r="J114" s="116">
        <v>0</v>
      </c>
      <c r="K114" s="116">
        <v>0</v>
      </c>
      <c r="L114" s="116">
        <v>0</v>
      </c>
      <c r="M114" s="116">
        <v>0</v>
      </c>
      <c r="N114" s="116">
        <v>0</v>
      </c>
      <c r="O114" s="116">
        <v>0</v>
      </c>
      <c r="P114" s="116">
        <v>0</v>
      </c>
      <c r="Q114" s="116">
        <v>0</v>
      </c>
      <c r="R114" s="116">
        <v>0</v>
      </c>
      <c r="S114" s="116">
        <v>0</v>
      </c>
      <c r="T114" s="116">
        <v>0</v>
      </c>
      <c r="U114" s="116">
        <v>0</v>
      </c>
      <c r="V114" s="116">
        <v>0</v>
      </c>
      <c r="W114" s="116">
        <v>0</v>
      </c>
      <c r="X114" s="116">
        <v>0</v>
      </c>
      <c r="Y114" s="116">
        <v>0</v>
      </c>
      <c r="Z114" s="116">
        <v>0</v>
      </c>
      <c r="AA114" s="116">
        <v>0</v>
      </c>
      <c r="AB114" s="116">
        <v>0</v>
      </c>
      <c r="AC114" s="116">
        <v>0</v>
      </c>
      <c r="AD114" s="116">
        <v>0</v>
      </c>
      <c r="AE114" s="116">
        <v>0</v>
      </c>
      <c r="AF114" s="116">
        <v>0</v>
      </c>
      <c r="AG114" s="116">
        <v>0</v>
      </c>
      <c r="AH114" s="116">
        <v>0</v>
      </c>
      <c r="AI114" s="116">
        <v>0</v>
      </c>
      <c r="AJ114" s="116">
        <v>0</v>
      </c>
      <c r="AK114" s="116">
        <v>0</v>
      </c>
      <c r="AL114" s="116">
        <v>0</v>
      </c>
      <c r="AM114" s="116">
        <v>0</v>
      </c>
      <c r="AN114" s="116">
        <v>0</v>
      </c>
      <c r="AO114" s="116">
        <v>0</v>
      </c>
      <c r="AP114" s="116">
        <v>0</v>
      </c>
      <c r="AQ114" s="116">
        <v>0</v>
      </c>
      <c r="AR114" s="116">
        <v>0</v>
      </c>
      <c r="AS114" s="116">
        <v>0</v>
      </c>
      <c r="AT114" s="116">
        <v>0</v>
      </c>
      <c r="AU114" s="116">
        <v>0</v>
      </c>
      <c r="AV114" s="116">
        <v>0</v>
      </c>
      <c r="AW114" s="116">
        <v>0</v>
      </c>
      <c r="AX114" s="116">
        <v>0</v>
      </c>
      <c r="AY114" s="116">
        <v>0</v>
      </c>
    </row>
    <row r="115" spans="1:52" x14ac:dyDescent="0.2">
      <c r="A115" s="119"/>
      <c r="B115" s="137">
        <v>7</v>
      </c>
      <c r="C115" s="116"/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0</v>
      </c>
      <c r="AA115" s="116">
        <v>0</v>
      </c>
      <c r="AB115" s="116">
        <v>0</v>
      </c>
      <c r="AC115" s="116">
        <v>0</v>
      </c>
      <c r="AD115" s="116">
        <v>0</v>
      </c>
      <c r="AE115" s="116">
        <v>0</v>
      </c>
      <c r="AF115" s="116">
        <v>0</v>
      </c>
      <c r="AG115" s="116">
        <v>0</v>
      </c>
      <c r="AH115" s="116">
        <v>0</v>
      </c>
      <c r="AI115" s="116">
        <v>0</v>
      </c>
      <c r="AJ115" s="116">
        <v>0</v>
      </c>
      <c r="AK115" s="116">
        <v>0</v>
      </c>
      <c r="AL115" s="116">
        <v>0</v>
      </c>
      <c r="AM115" s="116">
        <v>0</v>
      </c>
      <c r="AN115" s="116">
        <v>0</v>
      </c>
      <c r="AO115" s="116">
        <v>0</v>
      </c>
      <c r="AP115" s="116">
        <v>0</v>
      </c>
      <c r="AQ115" s="116">
        <v>0</v>
      </c>
      <c r="AR115" s="116">
        <v>0</v>
      </c>
      <c r="AS115" s="116">
        <v>0</v>
      </c>
      <c r="AT115" s="116">
        <v>0</v>
      </c>
      <c r="AU115" s="116">
        <v>0</v>
      </c>
      <c r="AV115" s="116">
        <v>0</v>
      </c>
      <c r="AW115" s="116">
        <v>0</v>
      </c>
      <c r="AX115" s="116">
        <v>0</v>
      </c>
      <c r="AY115" s="116">
        <v>0</v>
      </c>
    </row>
    <row r="116" spans="1:52" x14ac:dyDescent="0.2">
      <c r="A116" s="119"/>
      <c r="B116" s="137">
        <v>8</v>
      </c>
      <c r="C116" s="116"/>
      <c r="D116" s="116">
        <v>0</v>
      </c>
      <c r="E116" s="116">
        <v>0</v>
      </c>
      <c r="F116" s="116">
        <v>0</v>
      </c>
      <c r="G116" s="116">
        <v>0</v>
      </c>
      <c r="H116" s="116">
        <v>0</v>
      </c>
      <c r="I116" s="116">
        <v>0</v>
      </c>
      <c r="J116" s="116">
        <v>0</v>
      </c>
      <c r="K116" s="116">
        <v>0</v>
      </c>
      <c r="L116" s="116">
        <v>0</v>
      </c>
      <c r="M116" s="116">
        <v>0</v>
      </c>
      <c r="N116" s="116">
        <v>0</v>
      </c>
      <c r="O116" s="116">
        <v>0</v>
      </c>
      <c r="P116" s="116">
        <v>0</v>
      </c>
      <c r="Q116" s="116">
        <v>0</v>
      </c>
      <c r="R116" s="116">
        <v>0</v>
      </c>
      <c r="S116" s="116">
        <v>0</v>
      </c>
      <c r="T116" s="116">
        <v>0</v>
      </c>
      <c r="U116" s="116">
        <v>0</v>
      </c>
      <c r="V116" s="116">
        <v>0</v>
      </c>
      <c r="W116" s="116">
        <v>0</v>
      </c>
      <c r="X116" s="116">
        <v>0</v>
      </c>
      <c r="Y116" s="116">
        <v>0</v>
      </c>
      <c r="Z116" s="116">
        <v>0</v>
      </c>
      <c r="AA116" s="116">
        <v>0</v>
      </c>
      <c r="AB116" s="116">
        <v>0</v>
      </c>
      <c r="AC116" s="116">
        <v>0</v>
      </c>
      <c r="AD116" s="116">
        <v>0</v>
      </c>
      <c r="AE116" s="116">
        <v>0</v>
      </c>
      <c r="AF116" s="116">
        <v>0</v>
      </c>
      <c r="AG116" s="116">
        <v>0</v>
      </c>
      <c r="AH116" s="116">
        <v>0</v>
      </c>
      <c r="AI116" s="116">
        <v>0</v>
      </c>
      <c r="AJ116" s="116">
        <v>0</v>
      </c>
      <c r="AK116" s="116">
        <v>0</v>
      </c>
      <c r="AL116" s="116">
        <v>0</v>
      </c>
      <c r="AM116" s="116">
        <v>0</v>
      </c>
      <c r="AN116" s="116">
        <v>0</v>
      </c>
      <c r="AO116" s="116">
        <v>0</v>
      </c>
      <c r="AP116" s="116">
        <v>0</v>
      </c>
      <c r="AQ116" s="116">
        <v>0</v>
      </c>
      <c r="AR116" s="116">
        <v>0</v>
      </c>
      <c r="AS116" s="116">
        <v>0</v>
      </c>
      <c r="AT116" s="116">
        <v>0</v>
      </c>
      <c r="AU116" s="116">
        <v>0</v>
      </c>
      <c r="AV116" s="116">
        <v>0</v>
      </c>
      <c r="AW116" s="116">
        <v>0</v>
      </c>
      <c r="AX116" s="116">
        <v>0</v>
      </c>
      <c r="AY116" s="116">
        <v>0</v>
      </c>
    </row>
    <row r="117" spans="1:52" x14ac:dyDescent="0.2">
      <c r="A117" s="119"/>
      <c r="B117" s="137">
        <v>9</v>
      </c>
      <c r="C117" s="116"/>
      <c r="D117" s="116">
        <v>0</v>
      </c>
      <c r="E117" s="116">
        <v>0</v>
      </c>
      <c r="F117" s="116">
        <v>0</v>
      </c>
      <c r="G117" s="116">
        <v>0</v>
      </c>
      <c r="H117" s="116">
        <v>0</v>
      </c>
      <c r="I117" s="116">
        <v>0</v>
      </c>
      <c r="J117" s="116">
        <v>0</v>
      </c>
      <c r="K117" s="116">
        <v>0</v>
      </c>
      <c r="L117" s="116">
        <v>0</v>
      </c>
      <c r="M117" s="116">
        <v>0</v>
      </c>
      <c r="N117" s="116">
        <v>0</v>
      </c>
      <c r="O117" s="116">
        <v>0</v>
      </c>
      <c r="P117" s="116">
        <v>0</v>
      </c>
      <c r="Q117" s="116">
        <v>0</v>
      </c>
      <c r="R117" s="116">
        <v>0</v>
      </c>
      <c r="S117" s="116">
        <v>0</v>
      </c>
      <c r="T117" s="116">
        <v>0</v>
      </c>
      <c r="U117" s="116">
        <v>0</v>
      </c>
      <c r="V117" s="116">
        <v>0</v>
      </c>
      <c r="W117" s="116">
        <v>0</v>
      </c>
      <c r="X117" s="116">
        <v>0</v>
      </c>
      <c r="Y117" s="116">
        <v>0</v>
      </c>
      <c r="Z117" s="116">
        <v>0</v>
      </c>
      <c r="AA117" s="116">
        <v>0</v>
      </c>
      <c r="AB117" s="116">
        <v>0</v>
      </c>
      <c r="AC117" s="116">
        <v>0</v>
      </c>
      <c r="AD117" s="116">
        <v>0</v>
      </c>
      <c r="AE117" s="116">
        <v>0</v>
      </c>
      <c r="AF117" s="116">
        <v>0</v>
      </c>
      <c r="AG117" s="116">
        <v>0</v>
      </c>
      <c r="AH117" s="116">
        <v>0</v>
      </c>
      <c r="AI117" s="116">
        <v>0</v>
      </c>
      <c r="AJ117" s="116">
        <v>0</v>
      </c>
      <c r="AK117" s="116">
        <v>0</v>
      </c>
      <c r="AL117" s="116">
        <v>0</v>
      </c>
      <c r="AM117" s="116">
        <v>0</v>
      </c>
      <c r="AN117" s="116">
        <v>0</v>
      </c>
      <c r="AO117" s="116">
        <v>0</v>
      </c>
      <c r="AP117" s="116">
        <v>0</v>
      </c>
      <c r="AQ117" s="116">
        <v>0</v>
      </c>
      <c r="AR117" s="116">
        <v>0</v>
      </c>
      <c r="AS117" s="116">
        <v>0</v>
      </c>
      <c r="AT117" s="116">
        <v>0</v>
      </c>
      <c r="AU117" s="116">
        <v>0</v>
      </c>
      <c r="AV117" s="116">
        <v>0</v>
      </c>
      <c r="AW117" s="116">
        <v>0</v>
      </c>
      <c r="AX117" s="116">
        <v>0</v>
      </c>
      <c r="AY117" s="116">
        <v>0</v>
      </c>
    </row>
    <row r="118" spans="1:52" x14ac:dyDescent="0.2">
      <c r="A118" s="119"/>
      <c r="B118" s="140">
        <v>10</v>
      </c>
      <c r="C118" s="116"/>
      <c r="D118" s="116">
        <v>0</v>
      </c>
      <c r="E118" s="116">
        <v>0</v>
      </c>
      <c r="F118" s="116">
        <v>0</v>
      </c>
      <c r="G118" s="116">
        <v>0</v>
      </c>
      <c r="H118" s="116">
        <v>0</v>
      </c>
      <c r="I118" s="116">
        <v>0</v>
      </c>
      <c r="J118" s="116">
        <v>0</v>
      </c>
      <c r="K118" s="116">
        <v>0</v>
      </c>
      <c r="L118" s="116">
        <v>0</v>
      </c>
      <c r="M118" s="116">
        <v>0</v>
      </c>
      <c r="N118" s="116">
        <v>0</v>
      </c>
      <c r="O118" s="116">
        <v>0</v>
      </c>
      <c r="P118" s="116">
        <v>0</v>
      </c>
      <c r="Q118" s="116">
        <v>0</v>
      </c>
      <c r="R118" s="116">
        <v>0</v>
      </c>
      <c r="S118" s="116">
        <v>0</v>
      </c>
      <c r="T118" s="116">
        <v>0</v>
      </c>
      <c r="U118" s="116">
        <v>0</v>
      </c>
      <c r="V118" s="116">
        <v>0</v>
      </c>
      <c r="W118" s="116">
        <v>0</v>
      </c>
      <c r="X118" s="116">
        <v>0</v>
      </c>
      <c r="Y118" s="116">
        <v>0</v>
      </c>
      <c r="Z118" s="116">
        <v>0</v>
      </c>
      <c r="AA118" s="116">
        <v>0</v>
      </c>
      <c r="AB118" s="116">
        <v>0</v>
      </c>
      <c r="AC118" s="116">
        <v>0</v>
      </c>
      <c r="AD118" s="116">
        <v>0</v>
      </c>
      <c r="AE118" s="116">
        <v>0</v>
      </c>
      <c r="AF118" s="116">
        <v>0</v>
      </c>
      <c r="AG118" s="116">
        <v>0</v>
      </c>
      <c r="AH118" s="116">
        <v>0</v>
      </c>
      <c r="AI118" s="116">
        <v>0</v>
      </c>
      <c r="AJ118" s="116">
        <v>0</v>
      </c>
      <c r="AK118" s="116">
        <v>0</v>
      </c>
      <c r="AL118" s="116">
        <v>0</v>
      </c>
      <c r="AM118" s="116">
        <v>0</v>
      </c>
      <c r="AN118" s="116">
        <v>0</v>
      </c>
      <c r="AO118" s="116">
        <v>0</v>
      </c>
      <c r="AP118" s="116">
        <v>0</v>
      </c>
      <c r="AQ118" s="116">
        <v>0</v>
      </c>
      <c r="AR118" s="116">
        <v>0</v>
      </c>
      <c r="AS118" s="116">
        <v>0</v>
      </c>
      <c r="AT118" s="116">
        <v>0</v>
      </c>
      <c r="AU118" s="116">
        <v>0</v>
      </c>
      <c r="AV118" s="116">
        <v>0</v>
      </c>
      <c r="AW118" s="116">
        <v>0</v>
      </c>
      <c r="AX118" s="116">
        <v>0</v>
      </c>
      <c r="AY118" s="116">
        <v>0</v>
      </c>
    </row>
    <row r="119" spans="1:52" x14ac:dyDescent="0.2">
      <c r="A119" s="119"/>
      <c r="B119" s="140">
        <v>11</v>
      </c>
      <c r="C119" s="116"/>
      <c r="D119" s="116">
        <v>0</v>
      </c>
      <c r="E119" s="116">
        <v>0</v>
      </c>
      <c r="F119" s="116">
        <v>0</v>
      </c>
      <c r="G119" s="116">
        <v>0</v>
      </c>
      <c r="H119" s="116">
        <v>0</v>
      </c>
      <c r="I119" s="116">
        <v>0</v>
      </c>
      <c r="J119" s="116">
        <v>0</v>
      </c>
      <c r="K119" s="116">
        <v>0</v>
      </c>
      <c r="L119" s="116">
        <v>0</v>
      </c>
      <c r="M119" s="116">
        <v>0</v>
      </c>
      <c r="N119" s="116">
        <v>0</v>
      </c>
      <c r="O119" s="116">
        <v>0</v>
      </c>
      <c r="P119" s="116">
        <v>0</v>
      </c>
      <c r="Q119" s="116">
        <v>0</v>
      </c>
      <c r="R119" s="116">
        <v>0</v>
      </c>
      <c r="S119" s="116">
        <v>0</v>
      </c>
      <c r="T119" s="116">
        <v>0</v>
      </c>
      <c r="U119" s="116">
        <v>0</v>
      </c>
      <c r="V119" s="116">
        <v>0</v>
      </c>
      <c r="W119" s="116">
        <v>0</v>
      </c>
      <c r="X119" s="116">
        <v>0</v>
      </c>
      <c r="Y119" s="116">
        <v>0</v>
      </c>
      <c r="Z119" s="116">
        <v>0</v>
      </c>
      <c r="AA119" s="116">
        <v>0</v>
      </c>
      <c r="AB119" s="116">
        <v>0</v>
      </c>
      <c r="AC119" s="116">
        <v>0</v>
      </c>
      <c r="AD119" s="116">
        <v>0</v>
      </c>
      <c r="AE119" s="116">
        <v>0</v>
      </c>
      <c r="AF119" s="116">
        <v>0</v>
      </c>
      <c r="AG119" s="116">
        <v>0</v>
      </c>
      <c r="AH119" s="116">
        <v>0</v>
      </c>
      <c r="AI119" s="116">
        <v>0</v>
      </c>
      <c r="AJ119" s="116">
        <v>0</v>
      </c>
      <c r="AK119" s="116">
        <v>0</v>
      </c>
      <c r="AL119" s="116">
        <v>0</v>
      </c>
      <c r="AM119" s="116">
        <v>0</v>
      </c>
      <c r="AN119" s="116">
        <v>0</v>
      </c>
      <c r="AO119" s="116">
        <v>0</v>
      </c>
      <c r="AP119" s="116">
        <v>0</v>
      </c>
      <c r="AQ119" s="116">
        <v>0</v>
      </c>
      <c r="AR119" s="116">
        <v>0</v>
      </c>
      <c r="AS119" s="116">
        <v>0</v>
      </c>
      <c r="AT119" s="116">
        <v>0</v>
      </c>
      <c r="AU119" s="116">
        <v>0</v>
      </c>
      <c r="AV119" s="116">
        <v>0</v>
      </c>
      <c r="AW119" s="116">
        <v>0</v>
      </c>
      <c r="AX119" s="116">
        <v>0</v>
      </c>
      <c r="AY119" s="116">
        <v>0</v>
      </c>
    </row>
    <row r="120" spans="1:52" x14ac:dyDescent="0.2">
      <c r="A120" s="119"/>
      <c r="B120" s="140">
        <v>12</v>
      </c>
      <c r="C120" s="116"/>
      <c r="D120" s="116">
        <v>0</v>
      </c>
      <c r="E120" s="116">
        <v>0</v>
      </c>
      <c r="F120" s="116">
        <v>0</v>
      </c>
      <c r="G120" s="116">
        <v>0</v>
      </c>
      <c r="H120" s="116">
        <v>0</v>
      </c>
      <c r="I120" s="116">
        <v>0</v>
      </c>
      <c r="J120" s="116">
        <v>0</v>
      </c>
      <c r="K120" s="116">
        <v>0</v>
      </c>
      <c r="L120" s="116">
        <v>0</v>
      </c>
      <c r="M120" s="116">
        <v>0</v>
      </c>
      <c r="N120" s="116">
        <v>0</v>
      </c>
      <c r="O120" s="116">
        <v>0</v>
      </c>
      <c r="P120" s="116">
        <v>0</v>
      </c>
      <c r="Q120" s="116">
        <v>0</v>
      </c>
      <c r="R120" s="116">
        <v>0</v>
      </c>
      <c r="S120" s="116">
        <v>0</v>
      </c>
      <c r="T120" s="116">
        <v>0</v>
      </c>
      <c r="U120" s="116">
        <v>0</v>
      </c>
      <c r="V120" s="116">
        <v>0</v>
      </c>
      <c r="W120" s="116">
        <v>0</v>
      </c>
      <c r="X120" s="116">
        <v>0</v>
      </c>
      <c r="Y120" s="116">
        <v>0</v>
      </c>
      <c r="Z120" s="116">
        <v>0</v>
      </c>
      <c r="AA120" s="116">
        <v>0</v>
      </c>
      <c r="AB120" s="116">
        <v>0</v>
      </c>
      <c r="AC120" s="116">
        <v>0</v>
      </c>
      <c r="AD120" s="116">
        <v>0</v>
      </c>
      <c r="AE120" s="116">
        <v>0</v>
      </c>
      <c r="AF120" s="116">
        <v>0</v>
      </c>
      <c r="AG120" s="116">
        <v>0</v>
      </c>
      <c r="AH120" s="116">
        <v>0</v>
      </c>
      <c r="AI120" s="116">
        <v>0</v>
      </c>
      <c r="AJ120" s="116">
        <v>0</v>
      </c>
      <c r="AK120" s="116">
        <v>0</v>
      </c>
      <c r="AL120" s="116">
        <v>0</v>
      </c>
      <c r="AM120" s="116">
        <v>0</v>
      </c>
      <c r="AN120" s="116">
        <v>0</v>
      </c>
      <c r="AO120" s="116">
        <v>0</v>
      </c>
      <c r="AP120" s="116">
        <v>0</v>
      </c>
      <c r="AQ120" s="116">
        <v>0</v>
      </c>
      <c r="AR120" s="116">
        <v>0</v>
      </c>
      <c r="AS120" s="116">
        <v>0</v>
      </c>
      <c r="AT120" s="116">
        <v>0</v>
      </c>
      <c r="AU120" s="116">
        <v>0</v>
      </c>
      <c r="AV120" s="116">
        <v>0</v>
      </c>
      <c r="AW120" s="116">
        <v>0</v>
      </c>
      <c r="AX120" s="116">
        <v>0</v>
      </c>
      <c r="AY120" s="116">
        <v>0</v>
      </c>
    </row>
    <row r="121" spans="1:52" x14ac:dyDescent="0.2">
      <c r="A121" s="138"/>
      <c r="B121" s="142" t="s">
        <v>298</v>
      </c>
      <c r="C121" s="124"/>
      <c r="D121" s="135">
        <v>0</v>
      </c>
      <c r="E121" s="135">
        <v>0</v>
      </c>
      <c r="F121" s="135">
        <v>0</v>
      </c>
      <c r="G121" s="135">
        <v>0</v>
      </c>
      <c r="H121" s="135">
        <v>0</v>
      </c>
      <c r="I121" s="135">
        <v>0</v>
      </c>
      <c r="J121" s="135">
        <v>0</v>
      </c>
      <c r="K121" s="135">
        <v>0</v>
      </c>
      <c r="L121" s="135">
        <v>0</v>
      </c>
      <c r="M121" s="135">
        <v>0</v>
      </c>
      <c r="N121" s="135">
        <v>0</v>
      </c>
      <c r="O121" s="135">
        <v>0</v>
      </c>
      <c r="P121" s="135">
        <v>0</v>
      </c>
      <c r="Q121" s="135">
        <v>0</v>
      </c>
      <c r="R121" s="135">
        <v>0</v>
      </c>
      <c r="S121" s="135">
        <v>0</v>
      </c>
      <c r="T121" s="135">
        <v>0</v>
      </c>
      <c r="U121" s="135">
        <v>0</v>
      </c>
      <c r="V121" s="135">
        <v>0</v>
      </c>
      <c r="W121" s="135">
        <v>0</v>
      </c>
      <c r="X121" s="135">
        <v>0</v>
      </c>
      <c r="Y121" s="135">
        <v>0</v>
      </c>
      <c r="Z121" s="135">
        <v>0</v>
      </c>
      <c r="AA121" s="135">
        <v>0</v>
      </c>
      <c r="AB121" s="135">
        <v>0</v>
      </c>
      <c r="AC121" s="135">
        <v>0</v>
      </c>
      <c r="AD121" s="135">
        <v>0</v>
      </c>
      <c r="AE121" s="135">
        <v>0</v>
      </c>
      <c r="AF121" s="135">
        <v>0</v>
      </c>
      <c r="AG121" s="135">
        <v>0</v>
      </c>
      <c r="AH121" s="135">
        <v>0</v>
      </c>
      <c r="AI121" s="135">
        <v>0</v>
      </c>
      <c r="AJ121" s="135">
        <v>0</v>
      </c>
      <c r="AK121" s="135">
        <v>0</v>
      </c>
      <c r="AL121" s="135">
        <v>0</v>
      </c>
      <c r="AM121" s="135">
        <v>0</v>
      </c>
      <c r="AN121" s="135">
        <v>0</v>
      </c>
      <c r="AO121" s="135">
        <v>0</v>
      </c>
      <c r="AP121" s="135">
        <v>0</v>
      </c>
      <c r="AQ121" s="135">
        <v>0</v>
      </c>
      <c r="AR121" s="135">
        <v>0</v>
      </c>
      <c r="AS121" s="135">
        <v>0</v>
      </c>
      <c r="AT121" s="135">
        <v>0</v>
      </c>
      <c r="AU121" s="135">
        <v>0</v>
      </c>
      <c r="AV121" s="135">
        <v>0</v>
      </c>
      <c r="AW121" s="135">
        <v>0</v>
      </c>
      <c r="AX121" s="135">
        <v>0</v>
      </c>
      <c r="AY121" s="135">
        <v>0</v>
      </c>
      <c r="AZ121" s="117">
        <f>SUM($D121:$AY121)</f>
        <v>0</v>
      </c>
    </row>
    <row r="122" spans="1:52" x14ac:dyDescent="0.2">
      <c r="A122" s="141" t="s">
        <v>123</v>
      </c>
      <c r="B122" s="129">
        <v>1</v>
      </c>
      <c r="C122" s="116"/>
      <c r="D122" s="116">
        <v>128.73052892711354</v>
      </c>
      <c r="E122" s="116">
        <v>264.64636998618101</v>
      </c>
      <c r="F122" s="116">
        <v>128.73052892711354</v>
      </c>
      <c r="G122" s="116">
        <v>500.06912186671707</v>
      </c>
      <c r="H122" s="116">
        <v>444.86262634140729</v>
      </c>
      <c r="I122" s="116">
        <v>176.00608248959</v>
      </c>
      <c r="J122" s="116">
        <v>444.86262634140729</v>
      </c>
      <c r="K122" s="116">
        <v>176.00608248959</v>
      </c>
      <c r="L122" s="116">
        <v>125.49822302669891</v>
      </c>
      <c r="M122" s="116">
        <v>227.98027211448516</v>
      </c>
      <c r="N122" s="116">
        <v>125.49822302669891</v>
      </c>
      <c r="O122" s="116">
        <v>496.83681596630242</v>
      </c>
      <c r="P122" s="116">
        <v>480.00471130655706</v>
      </c>
      <c r="Q122" s="116">
        <v>480.00471130655706</v>
      </c>
      <c r="R122" s="116">
        <v>108.66611836695355</v>
      </c>
      <c r="S122" s="116">
        <v>480.00471130655706</v>
      </c>
      <c r="T122" s="116">
        <v>461.28010086050915</v>
      </c>
      <c r="U122" s="116">
        <v>461.28010086050915</v>
      </c>
      <c r="V122" s="116">
        <v>461.28010086050915</v>
      </c>
      <c r="W122" s="116">
        <v>461.28010086050915</v>
      </c>
      <c r="X122" s="116">
        <v>438.75458643355535</v>
      </c>
      <c r="Y122" s="116">
        <v>67.415993493951788</v>
      </c>
      <c r="Z122" s="116">
        <v>169.89804258173803</v>
      </c>
      <c r="AA122" s="116">
        <v>67.415993493951788</v>
      </c>
      <c r="AB122" s="116">
        <v>450.72385725973004</v>
      </c>
      <c r="AC122" s="116">
        <v>450.7238572597301</v>
      </c>
      <c r="AD122" s="116">
        <v>79.385264320126552</v>
      </c>
      <c r="AE122" s="116">
        <v>181.8673134079128</v>
      </c>
      <c r="AF122" s="116">
        <v>80.281771666980717</v>
      </c>
      <c r="AG122" s="116">
        <v>451.62036460658425</v>
      </c>
      <c r="AH122" s="116">
        <v>80.281771666980717</v>
      </c>
      <c r="AI122" s="116">
        <v>451.62036460658425</v>
      </c>
      <c r="AJ122" s="116">
        <v>454.38298071989311</v>
      </c>
      <c r="AK122" s="116">
        <v>185.52643686807579</v>
      </c>
      <c r="AL122" s="116">
        <v>454.38298071989311</v>
      </c>
      <c r="AM122" s="116">
        <v>83.044387780289554</v>
      </c>
      <c r="AN122" s="116">
        <v>462.82846872390434</v>
      </c>
      <c r="AO122" s="116">
        <v>91.489875784300835</v>
      </c>
      <c r="AP122" s="116">
        <v>462.82846872390434</v>
      </c>
      <c r="AQ122" s="116">
        <v>91.489875784300835</v>
      </c>
      <c r="AR122" s="116">
        <v>437.09179478288758</v>
      </c>
      <c r="AS122" s="116">
        <v>65.753201843284074</v>
      </c>
      <c r="AT122" s="116">
        <v>437.09179478288758</v>
      </c>
      <c r="AU122" s="116">
        <v>437.09179478288763</v>
      </c>
      <c r="AV122" s="116">
        <v>429.98053127378728</v>
      </c>
      <c r="AW122" s="116">
        <v>58.641938334183791</v>
      </c>
      <c r="AX122" s="116">
        <v>58.641938334183791</v>
      </c>
      <c r="AY122" s="116">
        <v>161.12398742197004</v>
      </c>
    </row>
    <row r="123" spans="1:52" x14ac:dyDescent="0.2">
      <c r="A123" s="119"/>
      <c r="B123" s="129">
        <v>2</v>
      </c>
      <c r="C123" s="116"/>
      <c r="D123" s="116">
        <v>0</v>
      </c>
      <c r="E123" s="116">
        <v>0</v>
      </c>
      <c r="F123" s="116">
        <v>140.06261955848385</v>
      </c>
      <c r="G123" s="116">
        <v>490.47676262861273</v>
      </c>
      <c r="H123" s="116">
        <v>462.80645619752767</v>
      </c>
      <c r="I123" s="116">
        <v>427.11663326391778</v>
      </c>
      <c r="J123" s="116">
        <v>437.8415763891029</v>
      </c>
      <c r="K123" s="116">
        <v>427.11663326391778</v>
      </c>
      <c r="L123" s="116">
        <v>437.8415763891029</v>
      </c>
      <c r="M123" s="116">
        <v>125.49822302669891</v>
      </c>
      <c r="N123" s="116">
        <v>496.83681596630242</v>
      </c>
      <c r="O123" s="116">
        <v>496.83681596630242</v>
      </c>
      <c r="P123" s="116">
        <v>496.83681596630242</v>
      </c>
      <c r="Q123" s="116">
        <v>452.84969091245841</v>
      </c>
      <c r="R123" s="116">
        <v>452.84969091245841</v>
      </c>
      <c r="S123" s="116">
        <v>473.85720776983118</v>
      </c>
      <c r="T123" s="116">
        <v>452.84969091245841</v>
      </c>
      <c r="U123" s="116">
        <v>374.50799447278393</v>
      </c>
      <c r="V123" s="116">
        <v>374.50799447278393</v>
      </c>
      <c r="W123" s="116">
        <v>374.50799447278393</v>
      </c>
      <c r="X123" s="116">
        <v>374.50799447278393</v>
      </c>
      <c r="Y123" s="116">
        <v>395.70474955665355</v>
      </c>
      <c r="Z123" s="116">
        <v>60.801253471744843</v>
      </c>
      <c r="AA123" s="116">
        <v>422.08448600611194</v>
      </c>
      <c r="AB123" s="116">
        <v>60.801253471744843</v>
      </c>
      <c r="AC123" s="116">
        <v>431.1309045986967</v>
      </c>
      <c r="AD123" s="116">
        <v>431.13090459869676</v>
      </c>
      <c r="AE123" s="116">
        <v>75.934389242725089</v>
      </c>
      <c r="AF123" s="116">
        <v>442.81809055846315</v>
      </c>
      <c r="AG123" s="116">
        <v>446.49063960103086</v>
      </c>
      <c r="AH123" s="116">
        <v>422.76339957908755</v>
      </c>
      <c r="AI123" s="116">
        <v>446.49063960103086</v>
      </c>
      <c r="AJ123" s="116">
        <v>422.76339957908755</v>
      </c>
      <c r="AK123" s="116">
        <v>390.97252730959099</v>
      </c>
      <c r="AL123" s="116">
        <v>428.49223220910176</v>
      </c>
      <c r="AM123" s="116">
        <v>390.97252730959099</v>
      </c>
      <c r="AN123" s="116">
        <v>71.45530432917478</v>
      </c>
      <c r="AO123" s="116">
        <v>400.17414082650328</v>
      </c>
      <c r="AP123" s="116">
        <v>450.44323949959409</v>
      </c>
      <c r="AQ123" s="116">
        <v>400.17414082650328</v>
      </c>
      <c r="AR123" s="116">
        <v>79.104646559990556</v>
      </c>
      <c r="AS123" s="116">
        <v>390.94845361576199</v>
      </c>
      <c r="AT123" s="116">
        <v>58.811702456427327</v>
      </c>
      <c r="AU123" s="116">
        <v>390.94845361576199</v>
      </c>
      <c r="AV123" s="116">
        <v>390.94845361576205</v>
      </c>
      <c r="AW123" s="116">
        <v>406.36135930807103</v>
      </c>
      <c r="AX123" s="116">
        <v>426.75928304235038</v>
      </c>
      <c r="AY123" s="116">
        <v>55.420690102746825</v>
      </c>
    </row>
    <row r="124" spans="1:52" x14ac:dyDescent="0.2">
      <c r="A124" s="119"/>
      <c r="B124" s="129">
        <v>3</v>
      </c>
      <c r="C124" s="116"/>
      <c r="D124" s="116">
        <v>0</v>
      </c>
      <c r="E124" s="116">
        <v>0</v>
      </c>
      <c r="F124" s="116">
        <v>0</v>
      </c>
      <c r="G124" s="116">
        <v>26.62584924585957</v>
      </c>
      <c r="H124" s="116">
        <v>343.56043479187235</v>
      </c>
      <c r="I124" s="116">
        <v>383.99923006603422</v>
      </c>
      <c r="J124" s="116">
        <v>410.07854472068016</v>
      </c>
      <c r="K124" s="116">
        <v>420.37565966883625</v>
      </c>
      <c r="L124" s="116">
        <v>410.07854472068016</v>
      </c>
      <c r="M124" s="116">
        <v>437.8415763891029</v>
      </c>
      <c r="N124" s="116">
        <v>125.49822302669891</v>
      </c>
      <c r="O124" s="116">
        <v>496.83681596630242</v>
      </c>
      <c r="P124" s="116">
        <v>496.83681596630242</v>
      </c>
      <c r="Q124" s="116">
        <v>468.72956294918043</v>
      </c>
      <c r="R124" s="116">
        <v>427.230895299564</v>
      </c>
      <c r="S124" s="116">
        <v>427.230895299564</v>
      </c>
      <c r="T124" s="116">
        <v>447.04996642868849</v>
      </c>
      <c r="U124" s="116">
        <v>367.6634418542381</v>
      </c>
      <c r="V124" s="116">
        <v>304.0587219400565</v>
      </c>
      <c r="W124" s="116">
        <v>304.0587219400565</v>
      </c>
      <c r="X124" s="116">
        <v>304.0587219400565</v>
      </c>
      <c r="Y124" s="116">
        <v>337.76192145232432</v>
      </c>
      <c r="Z124" s="116">
        <v>356.87888779575553</v>
      </c>
      <c r="AA124" s="116">
        <v>54.835540235226546</v>
      </c>
      <c r="AB124" s="116">
        <v>380.6702903881573</v>
      </c>
      <c r="AC124" s="116">
        <v>58.158224792841544</v>
      </c>
      <c r="AD124" s="116">
        <v>412.38965700673026</v>
      </c>
      <c r="AE124" s="116">
        <v>412.38965700673032</v>
      </c>
      <c r="AF124" s="116">
        <v>72.633523602236366</v>
      </c>
      <c r="AG124" s="116">
        <v>414.52356012044817</v>
      </c>
      <c r="AH124" s="116">
        <v>417.96144609733358</v>
      </c>
      <c r="AI124" s="116">
        <v>395.7502938986413</v>
      </c>
      <c r="AJ124" s="116">
        <v>417.96144609733358</v>
      </c>
      <c r="AK124" s="116">
        <v>363.7655497693994</v>
      </c>
      <c r="AL124" s="116">
        <v>336.41118527077924</v>
      </c>
      <c r="AM124" s="116">
        <v>368.69490730902754</v>
      </c>
      <c r="AN124" s="116">
        <v>336.41118527077924</v>
      </c>
      <c r="AO124" s="116">
        <v>61.782208636093294</v>
      </c>
      <c r="AP124" s="116">
        <v>346.00149689962046</v>
      </c>
      <c r="AQ124" s="116">
        <v>389.46553321331373</v>
      </c>
      <c r="AR124" s="116">
        <v>346.00149689962046</v>
      </c>
      <c r="AS124" s="116">
        <v>70.753648582699228</v>
      </c>
      <c r="AT124" s="116">
        <v>349.67641856666444</v>
      </c>
      <c r="AU124" s="116">
        <v>423.94160311798345</v>
      </c>
      <c r="AV124" s="116">
        <v>349.67641856666444</v>
      </c>
      <c r="AW124" s="116">
        <v>369.4733446653014</v>
      </c>
      <c r="AX124" s="116">
        <v>384.03960721086241</v>
      </c>
      <c r="AY124" s="116">
        <v>403.3170567994955</v>
      </c>
    </row>
    <row r="125" spans="1:52" x14ac:dyDescent="0.2">
      <c r="A125" s="119"/>
      <c r="B125" s="129">
        <v>4</v>
      </c>
      <c r="C125" s="116"/>
      <c r="D125" s="116">
        <v>0</v>
      </c>
      <c r="E125" s="116">
        <v>0</v>
      </c>
      <c r="F125" s="116">
        <v>0</v>
      </c>
      <c r="G125" s="116">
        <v>0</v>
      </c>
      <c r="H125" s="116">
        <v>0</v>
      </c>
      <c r="I125" s="116">
        <v>0</v>
      </c>
      <c r="J125" s="116">
        <v>87.545272360535762</v>
      </c>
      <c r="K125" s="116">
        <v>95.948789783630787</v>
      </c>
      <c r="L125" s="116">
        <v>113.8607632665553</v>
      </c>
      <c r="M125" s="116">
        <v>216.22814482825612</v>
      </c>
      <c r="N125" s="116">
        <v>418.08018525341242</v>
      </c>
      <c r="O125" s="116">
        <v>125.49822302669891</v>
      </c>
      <c r="P125" s="116">
        <v>496.83681596630242</v>
      </c>
      <c r="Q125" s="116">
        <v>468.72956294918043</v>
      </c>
      <c r="R125" s="116">
        <v>442.21240480180359</v>
      </c>
      <c r="S125" s="116">
        <v>403.06141653909543</v>
      </c>
      <c r="T125" s="116">
        <v>403.06141653909543</v>
      </c>
      <c r="U125" s="116">
        <v>362.95471242745492</v>
      </c>
      <c r="V125" s="116">
        <v>298.50170859945672</v>
      </c>
      <c r="W125" s="116">
        <v>246.86176998162637</v>
      </c>
      <c r="X125" s="116">
        <v>246.86176998162637</v>
      </c>
      <c r="Y125" s="116">
        <v>274.22500900518111</v>
      </c>
      <c r="Z125" s="116">
        <v>304.62130920267094</v>
      </c>
      <c r="AA125" s="116">
        <v>321.86255205941319</v>
      </c>
      <c r="AB125" s="116">
        <v>49.455172405064197</v>
      </c>
      <c r="AC125" s="116">
        <v>364.1225641941586</v>
      </c>
      <c r="AD125" s="116">
        <v>55.630088491950673</v>
      </c>
      <c r="AE125" s="116">
        <v>394.46309088982611</v>
      </c>
      <c r="AF125" s="116">
        <v>394.46309088982616</v>
      </c>
      <c r="AG125" s="116">
        <v>67.992494953673443</v>
      </c>
      <c r="AH125" s="116">
        <v>388.03695142225661</v>
      </c>
      <c r="AI125" s="116">
        <v>391.25516848432255</v>
      </c>
      <c r="AJ125" s="116">
        <v>370.46323138851079</v>
      </c>
      <c r="AK125" s="116">
        <v>359.633722723831</v>
      </c>
      <c r="AL125" s="116">
        <v>313.00101979210933</v>
      </c>
      <c r="AM125" s="116">
        <v>289.46403562947813</v>
      </c>
      <c r="AN125" s="116">
        <v>317.24247129240013</v>
      </c>
      <c r="AO125" s="116">
        <v>290.870303206149</v>
      </c>
      <c r="AP125" s="116">
        <v>53.418585782935153</v>
      </c>
      <c r="AQ125" s="116">
        <v>299.16234869529404</v>
      </c>
      <c r="AR125" s="116">
        <v>336.74254214501866</v>
      </c>
      <c r="AS125" s="116">
        <v>309.47446686533254</v>
      </c>
      <c r="AT125" s="116">
        <v>63.284257062796407</v>
      </c>
      <c r="AU125" s="116">
        <v>312.76143074806464</v>
      </c>
      <c r="AV125" s="116">
        <v>379.18651445902532</v>
      </c>
      <c r="AW125" s="116">
        <v>330.46841526936419</v>
      </c>
      <c r="AX125" s="116">
        <v>349.17788049964253</v>
      </c>
      <c r="AY125" s="116">
        <v>362.94400667869837</v>
      </c>
    </row>
    <row r="126" spans="1:52" x14ac:dyDescent="0.2">
      <c r="A126" s="119"/>
      <c r="B126" s="129">
        <v>5</v>
      </c>
      <c r="C126" s="116"/>
      <c r="D126" s="116">
        <v>0</v>
      </c>
      <c r="E126" s="116">
        <v>0</v>
      </c>
      <c r="F126" s="116">
        <v>0</v>
      </c>
      <c r="G126" s="116">
        <v>0</v>
      </c>
      <c r="H126" s="116">
        <v>0</v>
      </c>
      <c r="I126" s="116">
        <v>0</v>
      </c>
      <c r="J126" s="116">
        <v>0</v>
      </c>
      <c r="K126" s="116">
        <v>0</v>
      </c>
      <c r="L126" s="116">
        <v>0</v>
      </c>
      <c r="M126" s="116">
        <v>0</v>
      </c>
      <c r="N126" s="116">
        <v>0</v>
      </c>
      <c r="O126" s="116">
        <v>192.97192176091494</v>
      </c>
      <c r="P126" s="116">
        <v>56.470144787613847</v>
      </c>
      <c r="Q126" s="116">
        <v>223.0050558985001</v>
      </c>
      <c r="R126" s="116">
        <v>331.02905837029215</v>
      </c>
      <c r="S126" s="116">
        <v>417.19538603498728</v>
      </c>
      <c r="T126" s="116">
        <v>380.25926329272181</v>
      </c>
      <c r="U126" s="116">
        <v>327.24091604173299</v>
      </c>
      <c r="V126" s="116">
        <v>294.67874547824283</v>
      </c>
      <c r="W126" s="116">
        <v>242.35009493307302</v>
      </c>
      <c r="X126" s="116">
        <v>200.42422427361097</v>
      </c>
      <c r="Y126" s="116">
        <v>222.64012248789319</v>
      </c>
      <c r="Z126" s="116">
        <v>247.3185280924676</v>
      </c>
      <c r="AA126" s="116">
        <v>274.73239618411907</v>
      </c>
      <c r="AB126" s="116">
        <v>290.28195828016294</v>
      </c>
      <c r="AC126" s="116">
        <v>47.305357532457414</v>
      </c>
      <c r="AD126" s="116">
        <v>348.29416716533416</v>
      </c>
      <c r="AE126" s="116">
        <v>53.211850200819363</v>
      </c>
      <c r="AF126" s="116">
        <v>377.31579206850904</v>
      </c>
      <c r="AG126" s="116">
        <v>369.2582761592904</v>
      </c>
      <c r="AH126" s="116">
        <v>63.648011837373787</v>
      </c>
      <c r="AI126" s="116">
        <v>363.2427445748242</v>
      </c>
      <c r="AJ126" s="116">
        <v>366.25532879902681</v>
      </c>
      <c r="AK126" s="116">
        <v>318.76402065448804</v>
      </c>
      <c r="AL126" s="116">
        <v>309.44580110884652</v>
      </c>
      <c r="AM126" s="116">
        <v>269.32082615576422</v>
      </c>
      <c r="AN126" s="116">
        <v>249.06849591062559</v>
      </c>
      <c r="AO126" s="116">
        <v>274.2965093161651</v>
      </c>
      <c r="AP126" s="116">
        <v>251.49441217044426</v>
      </c>
      <c r="AQ126" s="116">
        <v>46.187168928463244</v>
      </c>
      <c r="AR126" s="116">
        <v>258.66394128014207</v>
      </c>
      <c r="AS126" s="116">
        <v>301.19297065191614</v>
      </c>
      <c r="AT126" s="116">
        <v>276.80355865445063</v>
      </c>
      <c r="AU126" s="116">
        <v>56.60340169325741</v>
      </c>
      <c r="AV126" s="116">
        <v>279.74352106596945</v>
      </c>
      <c r="AW126" s="116">
        <v>358.35749816483047</v>
      </c>
      <c r="AX126" s="116">
        <v>312.3155228433701</v>
      </c>
      <c r="AY126" s="116">
        <v>329.99726229417786</v>
      </c>
    </row>
    <row r="127" spans="1:52" x14ac:dyDescent="0.2">
      <c r="A127" s="119"/>
      <c r="B127" s="129">
        <v>6</v>
      </c>
      <c r="C127" s="116"/>
      <c r="D127" s="116">
        <v>0</v>
      </c>
      <c r="E127" s="116">
        <v>0</v>
      </c>
      <c r="F127" s="116">
        <v>0</v>
      </c>
      <c r="G127" s="116">
        <v>0</v>
      </c>
      <c r="H127" s="116">
        <v>0</v>
      </c>
      <c r="I127" s="116">
        <v>0</v>
      </c>
      <c r="J127" s="116">
        <v>0</v>
      </c>
      <c r="K127" s="116">
        <v>0</v>
      </c>
      <c r="L127" s="116">
        <v>0</v>
      </c>
      <c r="M127" s="116">
        <v>0</v>
      </c>
      <c r="N127" s="116">
        <v>0</v>
      </c>
      <c r="O127" s="116">
        <v>0</v>
      </c>
      <c r="P127" s="116">
        <v>0</v>
      </c>
      <c r="Q127" s="116">
        <v>0</v>
      </c>
      <c r="R127" s="116">
        <v>0</v>
      </c>
      <c r="S127" s="116">
        <v>50.301948782937245</v>
      </c>
      <c r="T127" s="116">
        <v>187.09555142554993</v>
      </c>
      <c r="U127" s="116">
        <v>257.51005186108216</v>
      </c>
      <c r="V127" s="116">
        <v>265.68312603904508</v>
      </c>
      <c r="W127" s="116">
        <v>239.24627526082105</v>
      </c>
      <c r="X127" s="116">
        <v>196.76124732967912</v>
      </c>
      <c r="Y127" s="116">
        <v>180.75894799400862</v>
      </c>
      <c r="Z127" s="116">
        <v>200.79506091653406</v>
      </c>
      <c r="AA127" s="116">
        <v>223.05206428735693</v>
      </c>
      <c r="AB127" s="116">
        <v>247.77613132392761</v>
      </c>
      <c r="AC127" s="116">
        <v>277.66341019284067</v>
      </c>
      <c r="AD127" s="116">
        <v>45.24899504838195</v>
      </c>
      <c r="AE127" s="116">
        <v>296.07338063668999</v>
      </c>
      <c r="AF127" s="116">
        <v>50.898732656234046</v>
      </c>
      <c r="AG127" s="116">
        <v>269.04666195931622</v>
      </c>
      <c r="AH127" s="116">
        <v>345.6639611187702</v>
      </c>
      <c r="AI127" s="116">
        <v>59.581126028845716</v>
      </c>
      <c r="AJ127" s="116">
        <v>340.03280100680382</v>
      </c>
      <c r="AK127" s="116">
        <v>315.14334298853186</v>
      </c>
      <c r="AL127" s="116">
        <v>274.2795836525388</v>
      </c>
      <c r="AM127" s="116">
        <v>266.26174847743363</v>
      </c>
      <c r="AN127" s="116">
        <v>231.73632932378044</v>
      </c>
      <c r="AO127" s="116">
        <v>215.35142735016507</v>
      </c>
      <c r="AP127" s="116">
        <v>237.16425709496565</v>
      </c>
      <c r="AQ127" s="116">
        <v>217.44894083646079</v>
      </c>
      <c r="AR127" s="116">
        <v>39.934688317935212</v>
      </c>
      <c r="AS127" s="116">
        <v>231.35704915225026</v>
      </c>
      <c r="AT127" s="116">
        <v>269.39633166711235</v>
      </c>
      <c r="AU127" s="116">
        <v>247.58168536439902</v>
      </c>
      <c r="AV127" s="116">
        <v>50.627837505764028</v>
      </c>
      <c r="AW127" s="116">
        <v>264.37698735157448</v>
      </c>
      <c r="AX127" s="116">
        <v>338.67263627286377</v>
      </c>
      <c r="AY127" s="116">
        <v>295.15978321081656</v>
      </c>
    </row>
    <row r="128" spans="1:52" x14ac:dyDescent="0.2">
      <c r="A128" s="119"/>
      <c r="B128" s="129">
        <v>7</v>
      </c>
      <c r="C128" s="116"/>
      <c r="D128" s="116">
        <v>0</v>
      </c>
      <c r="E128" s="116">
        <v>0</v>
      </c>
      <c r="F128" s="116">
        <v>0</v>
      </c>
      <c r="G128" s="116">
        <v>0</v>
      </c>
      <c r="H128" s="116">
        <v>0</v>
      </c>
      <c r="I128" s="116">
        <v>0</v>
      </c>
      <c r="J128" s="116">
        <v>0</v>
      </c>
      <c r="K128" s="116">
        <v>0</v>
      </c>
      <c r="L128" s="116">
        <v>0</v>
      </c>
      <c r="M128" s="116">
        <v>0</v>
      </c>
      <c r="N128" s="116">
        <v>0</v>
      </c>
      <c r="O128" s="116">
        <v>0</v>
      </c>
      <c r="P128" s="116">
        <v>0</v>
      </c>
      <c r="Q128" s="116">
        <v>0</v>
      </c>
      <c r="R128" s="116">
        <v>0</v>
      </c>
      <c r="S128" s="116">
        <v>0</v>
      </c>
      <c r="T128" s="116">
        <v>0</v>
      </c>
      <c r="U128" s="116">
        <v>0</v>
      </c>
      <c r="V128" s="116">
        <v>4.0694415370840602</v>
      </c>
      <c r="W128" s="116">
        <v>50.008998867198045</v>
      </c>
      <c r="X128" s="116">
        <v>58.843021414266957</v>
      </c>
      <c r="Y128" s="116">
        <v>138.52482247784297</v>
      </c>
      <c r="Z128" s="116">
        <v>163.0231944183343</v>
      </c>
      <c r="AA128" s="116">
        <v>181.09339879053957</v>
      </c>
      <c r="AB128" s="116">
        <v>201.16658370314178</v>
      </c>
      <c r="AC128" s="116">
        <v>237.00531026937185</v>
      </c>
      <c r="AD128" s="116">
        <v>200.34658819857142</v>
      </c>
      <c r="AE128" s="116">
        <v>0</v>
      </c>
      <c r="AF128" s="116">
        <v>35.567762781106268</v>
      </c>
      <c r="AG128" s="116">
        <v>0</v>
      </c>
      <c r="AH128" s="116">
        <v>58.79403270391262</v>
      </c>
      <c r="AI128" s="116">
        <v>244.83547158913743</v>
      </c>
      <c r="AJ128" s="116">
        <v>55.774100029008402</v>
      </c>
      <c r="AK128" s="116">
        <v>196.84997116090966</v>
      </c>
      <c r="AL128" s="116">
        <v>271.1641819810468</v>
      </c>
      <c r="AM128" s="116">
        <v>236.00307793253717</v>
      </c>
      <c r="AN128" s="116">
        <v>229.10415474444568</v>
      </c>
      <c r="AO128" s="116">
        <v>200.36556251847921</v>
      </c>
      <c r="AP128" s="116">
        <v>186.19872855535624</v>
      </c>
      <c r="AQ128" s="116">
        <v>205.05869718733663</v>
      </c>
      <c r="AR128" s="116">
        <v>188.01229603007246</v>
      </c>
      <c r="AS128" s="116">
        <v>35.718823436800513</v>
      </c>
      <c r="AT128" s="116">
        <v>206.93291816220383</v>
      </c>
      <c r="AU128" s="116">
        <v>240.95643188024414</v>
      </c>
      <c r="AV128" s="116">
        <v>221.44473584747647</v>
      </c>
      <c r="AW128" s="116">
        <v>47.84681019562386</v>
      </c>
      <c r="AX128" s="116">
        <v>249.85454953436371</v>
      </c>
      <c r="AY128" s="116">
        <v>320.06907947340994</v>
      </c>
    </row>
    <row r="129" spans="1:51" x14ac:dyDescent="0.2">
      <c r="A129" s="119"/>
      <c r="B129" s="129">
        <v>8</v>
      </c>
      <c r="C129" s="116"/>
      <c r="D129" s="116">
        <v>0</v>
      </c>
      <c r="E129" s="116">
        <v>0</v>
      </c>
      <c r="F129" s="116">
        <v>0</v>
      </c>
      <c r="G129" s="116">
        <v>0</v>
      </c>
      <c r="H129" s="116">
        <v>0</v>
      </c>
      <c r="I129" s="116">
        <v>0</v>
      </c>
      <c r="J129" s="116">
        <v>0</v>
      </c>
      <c r="K129" s="116">
        <v>0</v>
      </c>
      <c r="L129" s="116">
        <v>0</v>
      </c>
      <c r="M129" s="116">
        <v>0</v>
      </c>
      <c r="N129" s="116">
        <v>0</v>
      </c>
      <c r="O129" s="116">
        <v>0</v>
      </c>
      <c r="P129" s="116">
        <v>0</v>
      </c>
      <c r="Q129" s="116">
        <v>0</v>
      </c>
      <c r="R129" s="116">
        <v>0</v>
      </c>
      <c r="S129" s="116">
        <v>0</v>
      </c>
      <c r="T129" s="116">
        <v>0</v>
      </c>
      <c r="U129" s="116">
        <v>0</v>
      </c>
      <c r="V129" s="116">
        <v>0</v>
      </c>
      <c r="W129" s="116">
        <v>0</v>
      </c>
      <c r="X129" s="116">
        <v>0</v>
      </c>
      <c r="Y129" s="116">
        <v>0</v>
      </c>
      <c r="Z129" s="116">
        <v>2.2719491893070654E-3</v>
      </c>
      <c r="AA129" s="116">
        <v>41.148433838658022</v>
      </c>
      <c r="AB129" s="116">
        <v>94.848643636596051</v>
      </c>
      <c r="AC129" s="116">
        <v>43.147454217024347</v>
      </c>
      <c r="AD129" s="116">
        <v>0</v>
      </c>
      <c r="AE129" s="116">
        <v>0</v>
      </c>
      <c r="AF129" s="116">
        <v>0</v>
      </c>
      <c r="AG129" s="116">
        <v>0</v>
      </c>
      <c r="AH129" s="116">
        <v>0</v>
      </c>
      <c r="AI129" s="116">
        <v>0</v>
      </c>
      <c r="AJ129" s="116">
        <v>27.279737576836538</v>
      </c>
      <c r="AK129" s="116">
        <v>0</v>
      </c>
      <c r="AL129" s="116">
        <v>35.819414709156462</v>
      </c>
      <c r="AM129" s="116">
        <v>148.14315177562796</v>
      </c>
      <c r="AN129" s="116">
        <v>169.35397718418238</v>
      </c>
      <c r="AO129" s="116">
        <v>198.08971245313026</v>
      </c>
      <c r="AP129" s="116">
        <v>173.24154033377468</v>
      </c>
      <c r="AQ129" s="116">
        <v>160.99250858113552</v>
      </c>
      <c r="AR129" s="116">
        <v>177.29935280816989</v>
      </c>
      <c r="AS129" s="116">
        <v>168.16402703284831</v>
      </c>
      <c r="AT129" s="116">
        <v>31.948023171031863</v>
      </c>
      <c r="AU129" s="116">
        <v>42.807032678080674</v>
      </c>
      <c r="AV129" s="116">
        <v>121.80684100197485</v>
      </c>
      <c r="AW129" s="116">
        <v>195.39649520867772</v>
      </c>
      <c r="AX129" s="116">
        <v>45.218546923625063</v>
      </c>
      <c r="AY129" s="116">
        <v>165.76289610185674</v>
      </c>
    </row>
    <row r="130" spans="1:51" x14ac:dyDescent="0.2">
      <c r="A130" s="119"/>
      <c r="B130" s="129">
        <v>9</v>
      </c>
      <c r="C130" s="116"/>
      <c r="D130" s="116">
        <v>0</v>
      </c>
      <c r="E130" s="116">
        <v>0</v>
      </c>
      <c r="F130" s="116">
        <v>0</v>
      </c>
      <c r="G130" s="116">
        <v>0</v>
      </c>
      <c r="H130" s="116">
        <v>0</v>
      </c>
      <c r="I130" s="116">
        <v>0</v>
      </c>
      <c r="J130" s="116">
        <v>0</v>
      </c>
      <c r="K130" s="116">
        <v>0</v>
      </c>
      <c r="L130" s="116">
        <v>0</v>
      </c>
      <c r="M130" s="116">
        <v>0</v>
      </c>
      <c r="N130" s="116">
        <v>0</v>
      </c>
      <c r="O130" s="116">
        <v>0</v>
      </c>
      <c r="P130" s="116">
        <v>0</v>
      </c>
      <c r="Q130" s="116">
        <v>0</v>
      </c>
      <c r="R130" s="116">
        <v>0</v>
      </c>
      <c r="S130" s="116">
        <v>0</v>
      </c>
      <c r="T130" s="116">
        <v>0</v>
      </c>
      <c r="U130" s="116">
        <v>0</v>
      </c>
      <c r="V130" s="116">
        <v>0</v>
      </c>
      <c r="W130" s="116">
        <v>0</v>
      </c>
      <c r="X130" s="116">
        <v>0</v>
      </c>
      <c r="Y130" s="116">
        <v>0</v>
      </c>
      <c r="Z130" s="116">
        <v>0</v>
      </c>
      <c r="AA130" s="116">
        <v>0</v>
      </c>
      <c r="AB130" s="116">
        <v>0</v>
      </c>
      <c r="AC130" s="116">
        <v>0</v>
      </c>
      <c r="AD130" s="116">
        <v>0</v>
      </c>
      <c r="AE130" s="116">
        <v>0</v>
      </c>
      <c r="AF130" s="116">
        <v>0</v>
      </c>
      <c r="AG130" s="116">
        <v>0</v>
      </c>
      <c r="AH130" s="116">
        <v>0</v>
      </c>
      <c r="AI130" s="116">
        <v>0</v>
      </c>
      <c r="AJ130" s="116">
        <v>0</v>
      </c>
      <c r="AK130" s="116">
        <v>0</v>
      </c>
      <c r="AL130" s="116">
        <v>0</v>
      </c>
      <c r="AM130" s="116">
        <v>0</v>
      </c>
      <c r="AN130" s="116">
        <v>0</v>
      </c>
      <c r="AO130" s="116">
        <v>32.993279704045861</v>
      </c>
      <c r="AP130" s="116">
        <v>106.80066935182342</v>
      </c>
      <c r="AQ130" s="116">
        <v>140.1321466353906</v>
      </c>
      <c r="AR130" s="116">
        <v>139.19852203255775</v>
      </c>
      <c r="AS130" s="116">
        <v>71.420165519599593</v>
      </c>
      <c r="AT130" s="116">
        <v>70.597409592027319</v>
      </c>
      <c r="AU130" s="116">
        <v>0</v>
      </c>
      <c r="AV130" s="116">
        <v>0</v>
      </c>
      <c r="AW130" s="116">
        <v>0</v>
      </c>
      <c r="AX130" s="116">
        <v>48.541100856008256</v>
      </c>
      <c r="AY130" s="116">
        <v>0</v>
      </c>
    </row>
    <row r="131" spans="1:51" x14ac:dyDescent="0.2">
      <c r="A131" s="119"/>
      <c r="B131" s="129">
        <v>10</v>
      </c>
      <c r="C131" s="116"/>
      <c r="D131" s="116">
        <v>0</v>
      </c>
      <c r="E131" s="116">
        <v>0</v>
      </c>
      <c r="F131" s="116">
        <v>0</v>
      </c>
      <c r="G131" s="116">
        <v>0</v>
      </c>
      <c r="H131" s="116">
        <v>0</v>
      </c>
      <c r="I131" s="116">
        <v>0</v>
      </c>
      <c r="J131" s="116">
        <v>0</v>
      </c>
      <c r="K131" s="116">
        <v>0</v>
      </c>
      <c r="L131" s="116">
        <v>0</v>
      </c>
      <c r="M131" s="116">
        <v>0</v>
      </c>
      <c r="N131" s="116">
        <v>0</v>
      </c>
      <c r="O131" s="116">
        <v>0</v>
      </c>
      <c r="P131" s="116">
        <v>0</v>
      </c>
      <c r="Q131" s="116">
        <v>0</v>
      </c>
      <c r="R131" s="116">
        <v>0</v>
      </c>
      <c r="S131" s="116">
        <v>0</v>
      </c>
      <c r="T131" s="116">
        <v>0</v>
      </c>
      <c r="U131" s="116">
        <v>0</v>
      </c>
      <c r="V131" s="116">
        <v>0</v>
      </c>
      <c r="W131" s="116">
        <v>0</v>
      </c>
      <c r="X131" s="116">
        <v>0</v>
      </c>
      <c r="Y131" s="116">
        <v>0</v>
      </c>
      <c r="Z131" s="116">
        <v>0</v>
      </c>
      <c r="AA131" s="116">
        <v>0</v>
      </c>
      <c r="AB131" s="116">
        <v>0</v>
      </c>
      <c r="AC131" s="116">
        <v>0</v>
      </c>
      <c r="AD131" s="116">
        <v>0</v>
      </c>
      <c r="AE131" s="116">
        <v>0</v>
      </c>
      <c r="AF131" s="116">
        <v>0</v>
      </c>
      <c r="AG131" s="116">
        <v>0</v>
      </c>
      <c r="AH131" s="116">
        <v>0</v>
      </c>
      <c r="AI131" s="116">
        <v>0</v>
      </c>
      <c r="AJ131" s="116">
        <v>0</v>
      </c>
      <c r="AK131" s="116">
        <v>0</v>
      </c>
      <c r="AL131" s="116">
        <v>0</v>
      </c>
      <c r="AM131" s="116">
        <v>0</v>
      </c>
      <c r="AN131" s="116">
        <v>0</v>
      </c>
      <c r="AO131" s="116">
        <v>0</v>
      </c>
      <c r="AP131" s="116">
        <v>0</v>
      </c>
      <c r="AQ131" s="116">
        <v>0</v>
      </c>
      <c r="AR131" s="116">
        <v>18.2626193644209</v>
      </c>
      <c r="AS131" s="116">
        <v>0</v>
      </c>
      <c r="AT131" s="116">
        <v>0</v>
      </c>
      <c r="AU131" s="116">
        <v>0</v>
      </c>
      <c r="AV131" s="116">
        <v>0</v>
      </c>
      <c r="AW131" s="116">
        <v>0</v>
      </c>
      <c r="AX131" s="116">
        <v>0</v>
      </c>
      <c r="AY131" s="116">
        <v>0</v>
      </c>
    </row>
    <row r="132" spans="1:51" x14ac:dyDescent="0.2">
      <c r="A132" s="119"/>
      <c r="B132" s="129">
        <v>11</v>
      </c>
      <c r="C132" s="116"/>
      <c r="D132" s="116">
        <v>0</v>
      </c>
      <c r="E132" s="116">
        <v>0</v>
      </c>
      <c r="F132" s="116">
        <v>0</v>
      </c>
      <c r="G132" s="116">
        <v>0</v>
      </c>
      <c r="H132" s="116">
        <v>0</v>
      </c>
      <c r="I132" s="116">
        <v>0</v>
      </c>
      <c r="J132" s="116">
        <v>0</v>
      </c>
      <c r="K132" s="116">
        <v>0</v>
      </c>
      <c r="L132" s="116">
        <v>0</v>
      </c>
      <c r="M132" s="116">
        <v>0</v>
      </c>
      <c r="N132" s="116">
        <v>0</v>
      </c>
      <c r="O132" s="116">
        <v>0</v>
      </c>
      <c r="P132" s="116">
        <v>0</v>
      </c>
      <c r="Q132" s="116">
        <v>0</v>
      </c>
      <c r="R132" s="116">
        <v>0</v>
      </c>
      <c r="S132" s="116">
        <v>0</v>
      </c>
      <c r="T132" s="116">
        <v>0</v>
      </c>
      <c r="U132" s="116">
        <v>0</v>
      </c>
      <c r="V132" s="116">
        <v>0</v>
      </c>
      <c r="W132" s="116">
        <v>0</v>
      </c>
      <c r="X132" s="116">
        <v>0</v>
      </c>
      <c r="Y132" s="116">
        <v>0</v>
      </c>
      <c r="Z132" s="116">
        <v>0</v>
      </c>
      <c r="AA132" s="116">
        <v>0</v>
      </c>
      <c r="AB132" s="116">
        <v>0</v>
      </c>
      <c r="AC132" s="116">
        <v>0</v>
      </c>
      <c r="AD132" s="116">
        <v>0</v>
      </c>
      <c r="AE132" s="116">
        <v>0</v>
      </c>
      <c r="AF132" s="116">
        <v>0</v>
      </c>
      <c r="AG132" s="116">
        <v>0</v>
      </c>
      <c r="AH132" s="116">
        <v>0</v>
      </c>
      <c r="AI132" s="116">
        <v>0</v>
      </c>
      <c r="AJ132" s="116">
        <v>0</v>
      </c>
      <c r="AK132" s="116">
        <v>0</v>
      </c>
      <c r="AL132" s="116">
        <v>0</v>
      </c>
      <c r="AM132" s="116">
        <v>0</v>
      </c>
      <c r="AN132" s="116">
        <v>0</v>
      </c>
      <c r="AO132" s="116">
        <v>0</v>
      </c>
      <c r="AP132" s="116">
        <v>0</v>
      </c>
      <c r="AQ132" s="116">
        <v>0</v>
      </c>
      <c r="AR132" s="116">
        <v>0</v>
      </c>
      <c r="AS132" s="116">
        <v>0</v>
      </c>
      <c r="AT132" s="116">
        <v>0</v>
      </c>
      <c r="AU132" s="116">
        <v>0</v>
      </c>
      <c r="AV132" s="116">
        <v>0</v>
      </c>
      <c r="AW132" s="116">
        <v>0</v>
      </c>
      <c r="AX132" s="116">
        <v>0</v>
      </c>
      <c r="AY132" s="116">
        <v>0</v>
      </c>
    </row>
    <row r="133" spans="1:51" x14ac:dyDescent="0.2">
      <c r="A133" s="119"/>
      <c r="B133" s="129">
        <v>12</v>
      </c>
      <c r="C133" s="116"/>
      <c r="D133" s="116">
        <v>0</v>
      </c>
      <c r="E133" s="116">
        <v>0</v>
      </c>
      <c r="F133" s="116">
        <v>0</v>
      </c>
      <c r="G133" s="116">
        <v>0</v>
      </c>
      <c r="H133" s="116">
        <v>0</v>
      </c>
      <c r="I133" s="116">
        <v>0</v>
      </c>
      <c r="J133" s="116">
        <v>0</v>
      </c>
      <c r="K133" s="116">
        <v>0</v>
      </c>
      <c r="L133" s="116">
        <v>0</v>
      </c>
      <c r="M133" s="116">
        <v>0</v>
      </c>
      <c r="N133" s="116">
        <v>0</v>
      </c>
      <c r="O133" s="116">
        <v>0</v>
      </c>
      <c r="P133" s="116">
        <v>0</v>
      </c>
      <c r="Q133" s="116">
        <v>0</v>
      </c>
      <c r="R133" s="116">
        <v>0</v>
      </c>
      <c r="S133" s="116">
        <v>0</v>
      </c>
      <c r="T133" s="116">
        <v>0</v>
      </c>
      <c r="U133" s="116">
        <v>0</v>
      </c>
      <c r="V133" s="116">
        <v>0</v>
      </c>
      <c r="W133" s="116">
        <v>0</v>
      </c>
      <c r="X133" s="116">
        <v>0</v>
      </c>
      <c r="Y133" s="116">
        <v>0</v>
      </c>
      <c r="Z133" s="116">
        <v>0</v>
      </c>
      <c r="AA133" s="116">
        <v>0</v>
      </c>
      <c r="AB133" s="116">
        <v>0</v>
      </c>
      <c r="AC133" s="116">
        <v>0</v>
      </c>
      <c r="AD133" s="116">
        <v>0</v>
      </c>
      <c r="AE133" s="116">
        <v>0</v>
      </c>
      <c r="AF133" s="116">
        <v>0</v>
      </c>
      <c r="AG133" s="116">
        <v>0</v>
      </c>
      <c r="AH133" s="116">
        <v>0</v>
      </c>
      <c r="AI133" s="116">
        <v>0</v>
      </c>
      <c r="AJ133" s="116">
        <v>0</v>
      </c>
      <c r="AK133" s="116">
        <v>0</v>
      </c>
      <c r="AL133" s="116">
        <v>0</v>
      </c>
      <c r="AM133" s="116">
        <v>0</v>
      </c>
      <c r="AN133" s="116">
        <v>0</v>
      </c>
      <c r="AO133" s="116">
        <v>0</v>
      </c>
      <c r="AP133" s="116">
        <v>0</v>
      </c>
      <c r="AQ133" s="116">
        <v>0</v>
      </c>
      <c r="AR133" s="116">
        <v>0</v>
      </c>
      <c r="AS133" s="116">
        <v>0</v>
      </c>
      <c r="AT133" s="116">
        <v>0</v>
      </c>
      <c r="AU133" s="116">
        <v>0</v>
      </c>
      <c r="AV133" s="116">
        <v>0</v>
      </c>
      <c r="AW133" s="116">
        <v>0</v>
      </c>
      <c r="AX133" s="116">
        <v>0</v>
      </c>
      <c r="AY133" s="116">
        <v>0</v>
      </c>
    </row>
    <row r="134" spans="1:51" x14ac:dyDescent="0.2">
      <c r="A134" s="119"/>
      <c r="B134" s="130">
        <v>13</v>
      </c>
      <c r="C134" s="116"/>
      <c r="D134" s="116">
        <v>0</v>
      </c>
      <c r="E134" s="116">
        <v>0</v>
      </c>
      <c r="F134" s="116">
        <v>0</v>
      </c>
      <c r="G134" s="116">
        <v>0</v>
      </c>
      <c r="H134" s="116">
        <v>0</v>
      </c>
      <c r="I134" s="116">
        <v>0</v>
      </c>
      <c r="J134" s="116">
        <v>0</v>
      </c>
      <c r="K134" s="116">
        <v>0</v>
      </c>
      <c r="L134" s="116">
        <v>0</v>
      </c>
      <c r="M134" s="116">
        <v>0</v>
      </c>
      <c r="N134" s="116">
        <v>0</v>
      </c>
      <c r="O134" s="116">
        <v>0</v>
      </c>
      <c r="P134" s="116">
        <v>0</v>
      </c>
      <c r="Q134" s="116">
        <v>0</v>
      </c>
      <c r="R134" s="116">
        <v>0</v>
      </c>
      <c r="S134" s="116">
        <v>0</v>
      </c>
      <c r="T134" s="116">
        <v>0</v>
      </c>
      <c r="U134" s="116">
        <v>0</v>
      </c>
      <c r="V134" s="116">
        <v>0</v>
      </c>
      <c r="W134" s="116">
        <v>0</v>
      </c>
      <c r="X134" s="116">
        <v>0</v>
      </c>
      <c r="Y134" s="116">
        <v>0</v>
      </c>
      <c r="Z134" s="116">
        <v>0</v>
      </c>
      <c r="AA134" s="116">
        <v>0</v>
      </c>
      <c r="AB134" s="116">
        <v>0</v>
      </c>
      <c r="AC134" s="116">
        <v>0</v>
      </c>
      <c r="AD134" s="116">
        <v>0</v>
      </c>
      <c r="AE134" s="116">
        <v>0</v>
      </c>
      <c r="AF134" s="116">
        <v>0</v>
      </c>
      <c r="AG134" s="116">
        <v>0</v>
      </c>
      <c r="AH134" s="116">
        <v>0</v>
      </c>
      <c r="AI134" s="116">
        <v>0</v>
      </c>
      <c r="AJ134" s="116">
        <v>0</v>
      </c>
      <c r="AK134" s="116">
        <v>0</v>
      </c>
      <c r="AL134" s="116">
        <v>0</v>
      </c>
      <c r="AM134" s="116">
        <v>0</v>
      </c>
      <c r="AN134" s="116">
        <v>0</v>
      </c>
      <c r="AO134" s="116">
        <v>0</v>
      </c>
      <c r="AP134" s="116">
        <v>0</v>
      </c>
      <c r="AQ134" s="116">
        <v>0</v>
      </c>
      <c r="AR134" s="116">
        <v>0</v>
      </c>
      <c r="AS134" s="116">
        <v>0</v>
      </c>
      <c r="AT134" s="116">
        <v>0</v>
      </c>
      <c r="AU134" s="116">
        <v>0</v>
      </c>
      <c r="AV134" s="116">
        <v>0</v>
      </c>
      <c r="AW134" s="116">
        <v>0</v>
      </c>
      <c r="AX134" s="116">
        <v>0</v>
      </c>
      <c r="AY134" s="116">
        <v>0</v>
      </c>
    </row>
    <row r="135" spans="1:51" x14ac:dyDescent="0.2">
      <c r="A135" s="119"/>
      <c r="B135" s="130">
        <v>14</v>
      </c>
      <c r="C135" s="116"/>
      <c r="D135" s="116">
        <v>0</v>
      </c>
      <c r="E135" s="116">
        <v>0</v>
      </c>
      <c r="F135" s="116">
        <v>0</v>
      </c>
      <c r="G135" s="116">
        <v>0</v>
      </c>
      <c r="H135" s="116">
        <v>0</v>
      </c>
      <c r="I135" s="116">
        <v>0</v>
      </c>
      <c r="J135" s="116">
        <v>0</v>
      </c>
      <c r="K135" s="116">
        <v>0</v>
      </c>
      <c r="L135" s="116">
        <v>0</v>
      </c>
      <c r="M135" s="116">
        <v>0</v>
      </c>
      <c r="N135" s="116">
        <v>0</v>
      </c>
      <c r="O135" s="116">
        <v>0</v>
      </c>
      <c r="P135" s="116">
        <v>0</v>
      </c>
      <c r="Q135" s="116">
        <v>0</v>
      </c>
      <c r="R135" s="116">
        <v>0</v>
      </c>
      <c r="S135" s="116">
        <v>0</v>
      </c>
      <c r="T135" s="116">
        <v>0</v>
      </c>
      <c r="U135" s="116">
        <v>0</v>
      </c>
      <c r="V135" s="116">
        <v>0</v>
      </c>
      <c r="W135" s="116">
        <v>0</v>
      </c>
      <c r="X135" s="116">
        <v>0</v>
      </c>
      <c r="Y135" s="116">
        <v>0</v>
      </c>
      <c r="Z135" s="116">
        <v>0</v>
      </c>
      <c r="AA135" s="116">
        <v>0</v>
      </c>
      <c r="AB135" s="116">
        <v>0</v>
      </c>
      <c r="AC135" s="116">
        <v>0</v>
      </c>
      <c r="AD135" s="116">
        <v>0</v>
      </c>
      <c r="AE135" s="116">
        <v>0</v>
      </c>
      <c r="AF135" s="116">
        <v>0</v>
      </c>
      <c r="AG135" s="116">
        <v>0</v>
      </c>
      <c r="AH135" s="116">
        <v>0</v>
      </c>
      <c r="AI135" s="116">
        <v>0</v>
      </c>
      <c r="AJ135" s="116">
        <v>0</v>
      </c>
      <c r="AK135" s="116">
        <v>0</v>
      </c>
      <c r="AL135" s="116">
        <v>0</v>
      </c>
      <c r="AM135" s="116">
        <v>0</v>
      </c>
      <c r="AN135" s="116">
        <v>0</v>
      </c>
      <c r="AO135" s="116">
        <v>0</v>
      </c>
      <c r="AP135" s="116">
        <v>0</v>
      </c>
      <c r="AQ135" s="116">
        <v>0</v>
      </c>
      <c r="AR135" s="116">
        <v>0</v>
      </c>
      <c r="AS135" s="116">
        <v>0</v>
      </c>
      <c r="AT135" s="116">
        <v>0</v>
      </c>
      <c r="AU135" s="116">
        <v>0</v>
      </c>
      <c r="AV135" s="116">
        <v>0</v>
      </c>
      <c r="AW135" s="116">
        <v>0</v>
      </c>
      <c r="AX135" s="116">
        <v>0</v>
      </c>
      <c r="AY135" s="116">
        <v>0</v>
      </c>
    </row>
    <row r="136" spans="1:51" x14ac:dyDescent="0.2">
      <c r="A136" s="119"/>
      <c r="B136" s="130">
        <v>15</v>
      </c>
      <c r="C136" s="116"/>
      <c r="D136" s="116">
        <v>0</v>
      </c>
      <c r="E136" s="116">
        <v>0</v>
      </c>
      <c r="F136" s="116">
        <v>0</v>
      </c>
      <c r="G136" s="116">
        <v>0</v>
      </c>
      <c r="H136" s="116">
        <v>0</v>
      </c>
      <c r="I136" s="116">
        <v>0</v>
      </c>
      <c r="J136" s="116">
        <v>0</v>
      </c>
      <c r="K136" s="116">
        <v>0</v>
      </c>
      <c r="L136" s="116">
        <v>0</v>
      </c>
      <c r="M136" s="116">
        <v>0</v>
      </c>
      <c r="N136" s="116">
        <v>0</v>
      </c>
      <c r="O136" s="116">
        <v>0</v>
      </c>
      <c r="P136" s="116">
        <v>0</v>
      </c>
      <c r="Q136" s="116">
        <v>0</v>
      </c>
      <c r="R136" s="116">
        <v>0</v>
      </c>
      <c r="S136" s="116">
        <v>0</v>
      </c>
      <c r="T136" s="116">
        <v>0</v>
      </c>
      <c r="U136" s="116">
        <v>0</v>
      </c>
      <c r="V136" s="116">
        <v>0</v>
      </c>
      <c r="W136" s="116">
        <v>0</v>
      </c>
      <c r="X136" s="116">
        <v>0</v>
      </c>
      <c r="Y136" s="116">
        <v>0</v>
      </c>
      <c r="Z136" s="116">
        <v>0</v>
      </c>
      <c r="AA136" s="116">
        <v>0</v>
      </c>
      <c r="AB136" s="116">
        <v>0</v>
      </c>
      <c r="AC136" s="116">
        <v>0</v>
      </c>
      <c r="AD136" s="116">
        <v>0</v>
      </c>
      <c r="AE136" s="116">
        <v>0</v>
      </c>
      <c r="AF136" s="116">
        <v>0</v>
      </c>
      <c r="AG136" s="116">
        <v>0</v>
      </c>
      <c r="AH136" s="116">
        <v>0</v>
      </c>
      <c r="AI136" s="116">
        <v>0</v>
      </c>
      <c r="AJ136" s="116">
        <v>0</v>
      </c>
      <c r="AK136" s="116">
        <v>0</v>
      </c>
      <c r="AL136" s="116">
        <v>0</v>
      </c>
      <c r="AM136" s="116">
        <v>0</v>
      </c>
      <c r="AN136" s="116">
        <v>0</v>
      </c>
      <c r="AO136" s="116">
        <v>0</v>
      </c>
      <c r="AP136" s="116">
        <v>0</v>
      </c>
      <c r="AQ136" s="116">
        <v>0</v>
      </c>
      <c r="AR136" s="116">
        <v>0</v>
      </c>
      <c r="AS136" s="116">
        <v>0</v>
      </c>
      <c r="AT136" s="116">
        <v>0</v>
      </c>
      <c r="AU136" s="116">
        <v>0</v>
      </c>
      <c r="AV136" s="116">
        <v>0</v>
      </c>
      <c r="AW136" s="116">
        <v>0</v>
      </c>
      <c r="AX136" s="116">
        <v>0</v>
      </c>
      <c r="AY136" s="116">
        <v>0</v>
      </c>
    </row>
    <row r="137" spans="1:51" x14ac:dyDescent="0.2">
      <c r="A137" s="119"/>
      <c r="B137" s="130">
        <v>16</v>
      </c>
      <c r="C137" s="116"/>
      <c r="D137" s="116">
        <v>0</v>
      </c>
      <c r="E137" s="116">
        <v>0</v>
      </c>
      <c r="F137" s="116">
        <v>0</v>
      </c>
      <c r="G137" s="116">
        <v>0</v>
      </c>
      <c r="H137" s="116">
        <v>0</v>
      </c>
      <c r="I137" s="116">
        <v>0</v>
      </c>
      <c r="J137" s="116">
        <v>0</v>
      </c>
      <c r="K137" s="116">
        <v>0</v>
      </c>
      <c r="L137" s="116">
        <v>0</v>
      </c>
      <c r="M137" s="116">
        <v>0</v>
      </c>
      <c r="N137" s="116">
        <v>0</v>
      </c>
      <c r="O137" s="116">
        <v>0</v>
      </c>
      <c r="P137" s="116">
        <v>0</v>
      </c>
      <c r="Q137" s="116">
        <v>0</v>
      </c>
      <c r="R137" s="116">
        <v>0</v>
      </c>
      <c r="S137" s="116">
        <v>0</v>
      </c>
      <c r="T137" s="116">
        <v>0</v>
      </c>
      <c r="U137" s="116">
        <v>0</v>
      </c>
      <c r="V137" s="116">
        <v>0</v>
      </c>
      <c r="W137" s="116">
        <v>0</v>
      </c>
      <c r="X137" s="116">
        <v>0</v>
      </c>
      <c r="Y137" s="116">
        <v>0</v>
      </c>
      <c r="Z137" s="116">
        <v>0</v>
      </c>
      <c r="AA137" s="116">
        <v>0</v>
      </c>
      <c r="AB137" s="116">
        <v>0</v>
      </c>
      <c r="AC137" s="116">
        <v>0</v>
      </c>
      <c r="AD137" s="116">
        <v>0</v>
      </c>
      <c r="AE137" s="116">
        <v>0</v>
      </c>
      <c r="AF137" s="116">
        <v>0</v>
      </c>
      <c r="AG137" s="116">
        <v>0</v>
      </c>
      <c r="AH137" s="116">
        <v>0</v>
      </c>
      <c r="AI137" s="116">
        <v>0</v>
      </c>
      <c r="AJ137" s="116">
        <v>0</v>
      </c>
      <c r="AK137" s="116">
        <v>0</v>
      </c>
      <c r="AL137" s="116">
        <v>0</v>
      </c>
      <c r="AM137" s="116">
        <v>0</v>
      </c>
      <c r="AN137" s="116">
        <v>0</v>
      </c>
      <c r="AO137" s="116">
        <v>0</v>
      </c>
      <c r="AP137" s="116">
        <v>0</v>
      </c>
      <c r="AQ137" s="116">
        <v>0</v>
      </c>
      <c r="AR137" s="116">
        <v>0</v>
      </c>
      <c r="AS137" s="116">
        <v>0</v>
      </c>
      <c r="AT137" s="116">
        <v>0</v>
      </c>
      <c r="AU137" s="116">
        <v>0</v>
      </c>
      <c r="AV137" s="116">
        <v>0</v>
      </c>
      <c r="AW137" s="116">
        <v>0</v>
      </c>
      <c r="AX137" s="116">
        <v>0</v>
      </c>
      <c r="AY137" s="116">
        <v>0</v>
      </c>
    </row>
    <row r="138" spans="1:51" x14ac:dyDescent="0.2">
      <c r="A138" s="119"/>
      <c r="B138" s="130">
        <v>17</v>
      </c>
      <c r="C138" s="116"/>
      <c r="D138" s="116">
        <v>0</v>
      </c>
      <c r="E138" s="116">
        <v>0</v>
      </c>
      <c r="F138" s="116">
        <v>0</v>
      </c>
      <c r="G138" s="116">
        <v>0</v>
      </c>
      <c r="H138" s="116">
        <v>0</v>
      </c>
      <c r="I138" s="116">
        <v>0</v>
      </c>
      <c r="J138" s="116">
        <v>0</v>
      </c>
      <c r="K138" s="116">
        <v>0</v>
      </c>
      <c r="L138" s="116">
        <v>0</v>
      </c>
      <c r="M138" s="116">
        <v>0</v>
      </c>
      <c r="N138" s="116">
        <v>0</v>
      </c>
      <c r="O138" s="116">
        <v>0</v>
      </c>
      <c r="P138" s="116">
        <v>0</v>
      </c>
      <c r="Q138" s="116">
        <v>0</v>
      </c>
      <c r="R138" s="116">
        <v>0</v>
      </c>
      <c r="S138" s="116">
        <v>0</v>
      </c>
      <c r="T138" s="116">
        <v>0</v>
      </c>
      <c r="U138" s="116">
        <v>0</v>
      </c>
      <c r="V138" s="116">
        <v>0</v>
      </c>
      <c r="W138" s="116">
        <v>0</v>
      </c>
      <c r="X138" s="116">
        <v>0</v>
      </c>
      <c r="Y138" s="116">
        <v>0</v>
      </c>
      <c r="Z138" s="116">
        <v>0</v>
      </c>
      <c r="AA138" s="116">
        <v>0</v>
      </c>
      <c r="AB138" s="116">
        <v>0</v>
      </c>
      <c r="AC138" s="116">
        <v>0</v>
      </c>
      <c r="AD138" s="116">
        <v>0</v>
      </c>
      <c r="AE138" s="116">
        <v>0</v>
      </c>
      <c r="AF138" s="116">
        <v>0</v>
      </c>
      <c r="AG138" s="116">
        <v>0</v>
      </c>
      <c r="AH138" s="116">
        <v>0</v>
      </c>
      <c r="AI138" s="116">
        <v>0</v>
      </c>
      <c r="AJ138" s="116">
        <v>0</v>
      </c>
      <c r="AK138" s="116">
        <v>0</v>
      </c>
      <c r="AL138" s="116">
        <v>0</v>
      </c>
      <c r="AM138" s="116">
        <v>0</v>
      </c>
      <c r="AN138" s="116">
        <v>0</v>
      </c>
      <c r="AO138" s="116">
        <v>0</v>
      </c>
      <c r="AP138" s="116">
        <v>0</v>
      </c>
      <c r="AQ138" s="116">
        <v>0</v>
      </c>
      <c r="AR138" s="116">
        <v>0</v>
      </c>
      <c r="AS138" s="116">
        <v>0</v>
      </c>
      <c r="AT138" s="116">
        <v>0</v>
      </c>
      <c r="AU138" s="116">
        <v>0</v>
      </c>
      <c r="AV138" s="116">
        <v>0</v>
      </c>
      <c r="AW138" s="116">
        <v>0</v>
      </c>
      <c r="AX138" s="116">
        <v>0</v>
      </c>
      <c r="AY138" s="116">
        <v>0</v>
      </c>
    </row>
    <row r="139" spans="1:51" x14ac:dyDescent="0.2">
      <c r="A139" s="119"/>
      <c r="B139" s="130">
        <v>18</v>
      </c>
      <c r="C139" s="116"/>
      <c r="D139" s="116">
        <v>0</v>
      </c>
      <c r="E139" s="116">
        <v>0</v>
      </c>
      <c r="F139" s="116">
        <v>0</v>
      </c>
      <c r="G139" s="116">
        <v>0</v>
      </c>
      <c r="H139" s="116">
        <v>0</v>
      </c>
      <c r="I139" s="116">
        <v>0</v>
      </c>
      <c r="J139" s="116">
        <v>0</v>
      </c>
      <c r="K139" s="116">
        <v>0</v>
      </c>
      <c r="L139" s="116">
        <v>0</v>
      </c>
      <c r="M139" s="116">
        <v>0</v>
      </c>
      <c r="N139" s="116">
        <v>0</v>
      </c>
      <c r="O139" s="116">
        <v>0</v>
      </c>
      <c r="P139" s="116">
        <v>0</v>
      </c>
      <c r="Q139" s="116">
        <v>0</v>
      </c>
      <c r="R139" s="116">
        <v>0</v>
      </c>
      <c r="S139" s="116">
        <v>0</v>
      </c>
      <c r="T139" s="116">
        <v>0</v>
      </c>
      <c r="U139" s="116">
        <v>0</v>
      </c>
      <c r="V139" s="116">
        <v>0</v>
      </c>
      <c r="W139" s="116">
        <v>0</v>
      </c>
      <c r="X139" s="116">
        <v>0</v>
      </c>
      <c r="Y139" s="116">
        <v>0</v>
      </c>
      <c r="Z139" s="116">
        <v>0</v>
      </c>
      <c r="AA139" s="116">
        <v>0</v>
      </c>
      <c r="AB139" s="116">
        <v>0</v>
      </c>
      <c r="AC139" s="116">
        <v>0</v>
      </c>
      <c r="AD139" s="116">
        <v>0</v>
      </c>
      <c r="AE139" s="116">
        <v>0</v>
      </c>
      <c r="AF139" s="116">
        <v>0</v>
      </c>
      <c r="AG139" s="116">
        <v>0</v>
      </c>
      <c r="AH139" s="116">
        <v>0</v>
      </c>
      <c r="AI139" s="116">
        <v>0</v>
      </c>
      <c r="AJ139" s="116">
        <v>0</v>
      </c>
      <c r="AK139" s="116">
        <v>0</v>
      </c>
      <c r="AL139" s="116">
        <v>0</v>
      </c>
      <c r="AM139" s="116">
        <v>0</v>
      </c>
      <c r="AN139" s="116">
        <v>0</v>
      </c>
      <c r="AO139" s="116">
        <v>0</v>
      </c>
      <c r="AP139" s="116">
        <v>0</v>
      </c>
      <c r="AQ139" s="116">
        <v>0</v>
      </c>
      <c r="AR139" s="116">
        <v>0</v>
      </c>
      <c r="AS139" s="116">
        <v>0</v>
      </c>
      <c r="AT139" s="116">
        <v>0</v>
      </c>
      <c r="AU139" s="116">
        <v>0</v>
      </c>
      <c r="AV139" s="116">
        <v>0</v>
      </c>
      <c r="AW139" s="116">
        <v>0</v>
      </c>
      <c r="AX139" s="116">
        <v>0</v>
      </c>
      <c r="AY139" s="116">
        <v>0</v>
      </c>
    </row>
    <row r="140" spans="1:51" x14ac:dyDescent="0.2">
      <c r="A140" s="119"/>
      <c r="B140" s="130">
        <v>19</v>
      </c>
      <c r="C140" s="116"/>
      <c r="D140" s="116">
        <v>0</v>
      </c>
      <c r="E140" s="116">
        <v>0</v>
      </c>
      <c r="F140" s="116">
        <v>0</v>
      </c>
      <c r="G140" s="116">
        <v>0</v>
      </c>
      <c r="H140" s="116">
        <v>0</v>
      </c>
      <c r="I140" s="116">
        <v>0</v>
      </c>
      <c r="J140" s="116">
        <v>0</v>
      </c>
      <c r="K140" s="116">
        <v>0</v>
      </c>
      <c r="L140" s="116">
        <v>0</v>
      </c>
      <c r="M140" s="116">
        <v>0</v>
      </c>
      <c r="N140" s="116">
        <v>0</v>
      </c>
      <c r="O140" s="116">
        <v>0</v>
      </c>
      <c r="P140" s="116">
        <v>0</v>
      </c>
      <c r="Q140" s="116">
        <v>0</v>
      </c>
      <c r="R140" s="116">
        <v>0</v>
      </c>
      <c r="S140" s="116">
        <v>0</v>
      </c>
      <c r="T140" s="116">
        <v>0</v>
      </c>
      <c r="U140" s="116">
        <v>0</v>
      </c>
      <c r="V140" s="116">
        <v>0</v>
      </c>
      <c r="W140" s="116">
        <v>0</v>
      </c>
      <c r="X140" s="116">
        <v>0</v>
      </c>
      <c r="Y140" s="116">
        <v>0</v>
      </c>
      <c r="Z140" s="116">
        <v>0</v>
      </c>
      <c r="AA140" s="116">
        <v>0</v>
      </c>
      <c r="AB140" s="116">
        <v>0</v>
      </c>
      <c r="AC140" s="116">
        <v>0</v>
      </c>
      <c r="AD140" s="116">
        <v>0</v>
      </c>
      <c r="AE140" s="116">
        <v>0</v>
      </c>
      <c r="AF140" s="116">
        <v>0</v>
      </c>
      <c r="AG140" s="116">
        <v>0</v>
      </c>
      <c r="AH140" s="116">
        <v>0</v>
      </c>
      <c r="AI140" s="116">
        <v>0</v>
      </c>
      <c r="AJ140" s="116">
        <v>0</v>
      </c>
      <c r="AK140" s="116">
        <v>0</v>
      </c>
      <c r="AL140" s="116">
        <v>0</v>
      </c>
      <c r="AM140" s="116">
        <v>0</v>
      </c>
      <c r="AN140" s="116">
        <v>0</v>
      </c>
      <c r="AO140" s="116">
        <v>0</v>
      </c>
      <c r="AP140" s="116">
        <v>0</v>
      </c>
      <c r="AQ140" s="116">
        <v>0</v>
      </c>
      <c r="AR140" s="116">
        <v>0</v>
      </c>
      <c r="AS140" s="116">
        <v>0</v>
      </c>
      <c r="AT140" s="116">
        <v>0</v>
      </c>
      <c r="AU140" s="116">
        <v>0</v>
      </c>
      <c r="AV140" s="116">
        <v>0</v>
      </c>
      <c r="AW140" s="116">
        <v>0</v>
      </c>
      <c r="AX140" s="116">
        <v>0</v>
      </c>
      <c r="AY140" s="116">
        <v>0</v>
      </c>
    </row>
    <row r="141" spans="1:51" x14ac:dyDescent="0.2">
      <c r="A141" s="119"/>
      <c r="B141" s="130">
        <v>20</v>
      </c>
      <c r="C141" s="116"/>
      <c r="D141" s="116">
        <v>0</v>
      </c>
      <c r="E141" s="116">
        <v>0</v>
      </c>
      <c r="F141" s="116">
        <v>0</v>
      </c>
      <c r="G141" s="116">
        <v>0</v>
      </c>
      <c r="H141" s="116">
        <v>0</v>
      </c>
      <c r="I141" s="116">
        <v>0</v>
      </c>
      <c r="J141" s="116">
        <v>0</v>
      </c>
      <c r="K141" s="116">
        <v>0</v>
      </c>
      <c r="L141" s="116">
        <v>0</v>
      </c>
      <c r="M141" s="116">
        <v>0</v>
      </c>
      <c r="N141" s="116">
        <v>0</v>
      </c>
      <c r="O141" s="116">
        <v>0</v>
      </c>
      <c r="P141" s="116">
        <v>0</v>
      </c>
      <c r="Q141" s="116">
        <v>0</v>
      </c>
      <c r="R141" s="116">
        <v>0</v>
      </c>
      <c r="S141" s="116">
        <v>0</v>
      </c>
      <c r="T141" s="116">
        <v>0</v>
      </c>
      <c r="U141" s="116">
        <v>0</v>
      </c>
      <c r="V141" s="116">
        <v>0</v>
      </c>
      <c r="W141" s="116">
        <v>0</v>
      </c>
      <c r="X141" s="116">
        <v>0</v>
      </c>
      <c r="Y141" s="116">
        <v>0</v>
      </c>
      <c r="Z141" s="116">
        <v>0</v>
      </c>
      <c r="AA141" s="116">
        <v>0</v>
      </c>
      <c r="AB141" s="116">
        <v>0</v>
      </c>
      <c r="AC141" s="116">
        <v>0</v>
      </c>
      <c r="AD141" s="116">
        <v>0</v>
      </c>
      <c r="AE141" s="116">
        <v>0</v>
      </c>
      <c r="AF141" s="116">
        <v>0</v>
      </c>
      <c r="AG141" s="116">
        <v>0</v>
      </c>
      <c r="AH141" s="116">
        <v>0</v>
      </c>
      <c r="AI141" s="116">
        <v>0</v>
      </c>
      <c r="AJ141" s="116">
        <v>0</v>
      </c>
      <c r="AK141" s="116">
        <v>0</v>
      </c>
      <c r="AL141" s="116">
        <v>0</v>
      </c>
      <c r="AM141" s="116">
        <v>0</v>
      </c>
      <c r="AN141" s="116">
        <v>0</v>
      </c>
      <c r="AO141" s="116">
        <v>0</v>
      </c>
      <c r="AP141" s="116">
        <v>0</v>
      </c>
      <c r="AQ141" s="116">
        <v>0</v>
      </c>
      <c r="AR141" s="116">
        <v>0</v>
      </c>
      <c r="AS141" s="116">
        <v>0</v>
      </c>
      <c r="AT141" s="116">
        <v>0</v>
      </c>
      <c r="AU141" s="116">
        <v>0</v>
      </c>
      <c r="AV141" s="116">
        <v>0</v>
      </c>
      <c r="AW141" s="116">
        <v>0</v>
      </c>
      <c r="AX141" s="116">
        <v>0</v>
      </c>
      <c r="AY141" s="116">
        <v>0</v>
      </c>
    </row>
    <row r="142" spans="1:51" x14ac:dyDescent="0.2">
      <c r="A142" s="119"/>
      <c r="B142" s="130">
        <v>21</v>
      </c>
      <c r="C142" s="116"/>
      <c r="D142" s="116">
        <v>0</v>
      </c>
      <c r="E142" s="116">
        <v>0</v>
      </c>
      <c r="F142" s="116">
        <v>0</v>
      </c>
      <c r="G142" s="116">
        <v>0</v>
      </c>
      <c r="H142" s="116">
        <v>0</v>
      </c>
      <c r="I142" s="116">
        <v>0</v>
      </c>
      <c r="J142" s="116">
        <v>0</v>
      </c>
      <c r="K142" s="116">
        <v>0</v>
      </c>
      <c r="L142" s="116">
        <v>0</v>
      </c>
      <c r="M142" s="116">
        <v>0</v>
      </c>
      <c r="N142" s="116">
        <v>0</v>
      </c>
      <c r="O142" s="116">
        <v>0</v>
      </c>
      <c r="P142" s="116">
        <v>0</v>
      </c>
      <c r="Q142" s="116">
        <v>0</v>
      </c>
      <c r="R142" s="116">
        <v>0</v>
      </c>
      <c r="S142" s="116">
        <v>0</v>
      </c>
      <c r="T142" s="116">
        <v>0</v>
      </c>
      <c r="U142" s="116">
        <v>0</v>
      </c>
      <c r="V142" s="116">
        <v>0</v>
      </c>
      <c r="W142" s="116">
        <v>0</v>
      </c>
      <c r="X142" s="116">
        <v>0</v>
      </c>
      <c r="Y142" s="116">
        <v>0</v>
      </c>
      <c r="Z142" s="116">
        <v>0</v>
      </c>
      <c r="AA142" s="116">
        <v>0</v>
      </c>
      <c r="AB142" s="116">
        <v>0</v>
      </c>
      <c r="AC142" s="116">
        <v>0</v>
      </c>
      <c r="AD142" s="116">
        <v>0</v>
      </c>
      <c r="AE142" s="116">
        <v>0</v>
      </c>
      <c r="AF142" s="116">
        <v>0</v>
      </c>
      <c r="AG142" s="116">
        <v>0</v>
      </c>
      <c r="AH142" s="116">
        <v>0</v>
      </c>
      <c r="AI142" s="116">
        <v>0</v>
      </c>
      <c r="AJ142" s="116">
        <v>0</v>
      </c>
      <c r="AK142" s="116">
        <v>0</v>
      </c>
      <c r="AL142" s="116">
        <v>0</v>
      </c>
      <c r="AM142" s="116">
        <v>0</v>
      </c>
      <c r="AN142" s="116">
        <v>0</v>
      </c>
      <c r="AO142" s="116">
        <v>0</v>
      </c>
      <c r="AP142" s="116">
        <v>0</v>
      </c>
      <c r="AQ142" s="116">
        <v>0</v>
      </c>
      <c r="AR142" s="116">
        <v>0</v>
      </c>
      <c r="AS142" s="116">
        <v>0</v>
      </c>
      <c r="AT142" s="116">
        <v>0</v>
      </c>
      <c r="AU142" s="116">
        <v>0</v>
      </c>
      <c r="AV142" s="116">
        <v>0</v>
      </c>
      <c r="AW142" s="116">
        <v>0</v>
      </c>
      <c r="AX142" s="116">
        <v>0</v>
      </c>
      <c r="AY142" s="116">
        <v>0</v>
      </c>
    </row>
    <row r="143" spans="1:51" x14ac:dyDescent="0.2">
      <c r="A143" s="119"/>
      <c r="B143" s="130">
        <v>22</v>
      </c>
      <c r="C143" s="116"/>
      <c r="D143" s="116">
        <v>0</v>
      </c>
      <c r="E143" s="116">
        <v>0</v>
      </c>
      <c r="F143" s="116">
        <v>0</v>
      </c>
      <c r="G143" s="116">
        <v>0</v>
      </c>
      <c r="H143" s="116">
        <v>0</v>
      </c>
      <c r="I143" s="116">
        <v>0</v>
      </c>
      <c r="J143" s="116">
        <v>0</v>
      </c>
      <c r="K143" s="116">
        <v>0</v>
      </c>
      <c r="L143" s="116">
        <v>0</v>
      </c>
      <c r="M143" s="116">
        <v>0</v>
      </c>
      <c r="N143" s="116">
        <v>0</v>
      </c>
      <c r="O143" s="116">
        <v>0</v>
      </c>
      <c r="P143" s="116">
        <v>0</v>
      </c>
      <c r="Q143" s="116">
        <v>0</v>
      </c>
      <c r="R143" s="116">
        <v>0</v>
      </c>
      <c r="S143" s="116">
        <v>0</v>
      </c>
      <c r="T143" s="116">
        <v>0</v>
      </c>
      <c r="U143" s="116">
        <v>0</v>
      </c>
      <c r="V143" s="116">
        <v>0</v>
      </c>
      <c r="W143" s="116">
        <v>0</v>
      </c>
      <c r="X143" s="116">
        <v>0</v>
      </c>
      <c r="Y143" s="116">
        <v>0</v>
      </c>
      <c r="Z143" s="116">
        <v>0</v>
      </c>
      <c r="AA143" s="116">
        <v>0</v>
      </c>
      <c r="AB143" s="116">
        <v>0</v>
      </c>
      <c r="AC143" s="116">
        <v>0</v>
      </c>
      <c r="AD143" s="116">
        <v>0</v>
      </c>
      <c r="AE143" s="116">
        <v>0</v>
      </c>
      <c r="AF143" s="116">
        <v>0</v>
      </c>
      <c r="AG143" s="116">
        <v>0</v>
      </c>
      <c r="AH143" s="116">
        <v>0</v>
      </c>
      <c r="AI143" s="116">
        <v>0</v>
      </c>
      <c r="AJ143" s="116">
        <v>0</v>
      </c>
      <c r="AK143" s="116">
        <v>0</v>
      </c>
      <c r="AL143" s="116">
        <v>0</v>
      </c>
      <c r="AM143" s="116">
        <v>0</v>
      </c>
      <c r="AN143" s="116">
        <v>0</v>
      </c>
      <c r="AO143" s="116">
        <v>0</v>
      </c>
      <c r="AP143" s="116">
        <v>0</v>
      </c>
      <c r="AQ143" s="116">
        <v>0</v>
      </c>
      <c r="AR143" s="116">
        <v>0</v>
      </c>
      <c r="AS143" s="116">
        <v>0</v>
      </c>
      <c r="AT143" s="116">
        <v>0</v>
      </c>
      <c r="AU143" s="116">
        <v>0</v>
      </c>
      <c r="AV143" s="116">
        <v>0</v>
      </c>
      <c r="AW143" s="116">
        <v>0</v>
      </c>
      <c r="AX143" s="116">
        <v>0</v>
      </c>
      <c r="AY143" s="116">
        <v>0</v>
      </c>
    </row>
    <row r="144" spans="1:51" x14ac:dyDescent="0.2">
      <c r="A144" s="119"/>
      <c r="B144" s="130">
        <v>23</v>
      </c>
      <c r="C144" s="116"/>
      <c r="D144" s="116">
        <v>0</v>
      </c>
      <c r="E144" s="116">
        <v>0</v>
      </c>
      <c r="F144" s="116">
        <v>0</v>
      </c>
      <c r="G144" s="116">
        <v>0</v>
      </c>
      <c r="H144" s="116">
        <v>0</v>
      </c>
      <c r="I144" s="116">
        <v>0</v>
      </c>
      <c r="J144" s="116">
        <v>0</v>
      </c>
      <c r="K144" s="116">
        <v>0</v>
      </c>
      <c r="L144" s="116">
        <v>0</v>
      </c>
      <c r="M144" s="116">
        <v>0</v>
      </c>
      <c r="N144" s="116">
        <v>0</v>
      </c>
      <c r="O144" s="116">
        <v>0</v>
      </c>
      <c r="P144" s="116">
        <v>0</v>
      </c>
      <c r="Q144" s="116">
        <v>0</v>
      </c>
      <c r="R144" s="116">
        <v>0</v>
      </c>
      <c r="S144" s="116">
        <v>0</v>
      </c>
      <c r="T144" s="116">
        <v>0</v>
      </c>
      <c r="U144" s="116">
        <v>0</v>
      </c>
      <c r="V144" s="116">
        <v>0</v>
      </c>
      <c r="W144" s="116">
        <v>0</v>
      </c>
      <c r="X144" s="116">
        <v>0</v>
      </c>
      <c r="Y144" s="116">
        <v>0</v>
      </c>
      <c r="Z144" s="116">
        <v>0</v>
      </c>
      <c r="AA144" s="116">
        <v>0</v>
      </c>
      <c r="AB144" s="116">
        <v>0</v>
      </c>
      <c r="AC144" s="116">
        <v>0</v>
      </c>
      <c r="AD144" s="116">
        <v>0</v>
      </c>
      <c r="AE144" s="116">
        <v>0</v>
      </c>
      <c r="AF144" s="116">
        <v>0</v>
      </c>
      <c r="AG144" s="116">
        <v>0</v>
      </c>
      <c r="AH144" s="116">
        <v>0</v>
      </c>
      <c r="AI144" s="116">
        <v>0</v>
      </c>
      <c r="AJ144" s="116">
        <v>0</v>
      </c>
      <c r="AK144" s="116">
        <v>0</v>
      </c>
      <c r="AL144" s="116">
        <v>0</v>
      </c>
      <c r="AM144" s="116">
        <v>0</v>
      </c>
      <c r="AN144" s="116">
        <v>0</v>
      </c>
      <c r="AO144" s="116">
        <v>0</v>
      </c>
      <c r="AP144" s="116">
        <v>0</v>
      </c>
      <c r="AQ144" s="116">
        <v>0</v>
      </c>
      <c r="AR144" s="116">
        <v>0</v>
      </c>
      <c r="AS144" s="116">
        <v>0</v>
      </c>
      <c r="AT144" s="116">
        <v>0</v>
      </c>
      <c r="AU144" s="116">
        <v>0</v>
      </c>
      <c r="AV144" s="116">
        <v>0</v>
      </c>
      <c r="AW144" s="116">
        <v>0</v>
      </c>
      <c r="AX144" s="116">
        <v>0</v>
      </c>
      <c r="AY144" s="116">
        <v>0</v>
      </c>
    </row>
    <row r="145" spans="1:51" x14ac:dyDescent="0.2">
      <c r="A145" s="119"/>
      <c r="B145" s="130">
        <v>24</v>
      </c>
      <c r="C145" s="116"/>
      <c r="D145" s="116">
        <v>0</v>
      </c>
      <c r="E145" s="116">
        <v>0</v>
      </c>
      <c r="F145" s="116">
        <v>0</v>
      </c>
      <c r="G145" s="116">
        <v>0</v>
      </c>
      <c r="H145" s="116">
        <v>0</v>
      </c>
      <c r="I145" s="116">
        <v>0</v>
      </c>
      <c r="J145" s="116">
        <v>0</v>
      </c>
      <c r="K145" s="116">
        <v>0</v>
      </c>
      <c r="L145" s="116">
        <v>0</v>
      </c>
      <c r="M145" s="116">
        <v>0</v>
      </c>
      <c r="N145" s="116">
        <v>0</v>
      </c>
      <c r="O145" s="116">
        <v>0</v>
      </c>
      <c r="P145" s="116">
        <v>0</v>
      </c>
      <c r="Q145" s="116">
        <v>0</v>
      </c>
      <c r="R145" s="116">
        <v>0</v>
      </c>
      <c r="S145" s="116">
        <v>0</v>
      </c>
      <c r="T145" s="116">
        <v>0</v>
      </c>
      <c r="U145" s="116">
        <v>0</v>
      </c>
      <c r="V145" s="116">
        <v>0</v>
      </c>
      <c r="W145" s="116">
        <v>0</v>
      </c>
      <c r="X145" s="116">
        <v>0</v>
      </c>
      <c r="Y145" s="116">
        <v>0</v>
      </c>
      <c r="Z145" s="116">
        <v>0</v>
      </c>
      <c r="AA145" s="116">
        <v>0</v>
      </c>
      <c r="AB145" s="116">
        <v>0</v>
      </c>
      <c r="AC145" s="116">
        <v>0</v>
      </c>
      <c r="AD145" s="116">
        <v>0</v>
      </c>
      <c r="AE145" s="116">
        <v>0</v>
      </c>
      <c r="AF145" s="116">
        <v>0</v>
      </c>
      <c r="AG145" s="116">
        <v>0</v>
      </c>
      <c r="AH145" s="116">
        <v>0</v>
      </c>
      <c r="AI145" s="116">
        <v>0</v>
      </c>
      <c r="AJ145" s="116">
        <v>0</v>
      </c>
      <c r="AK145" s="116">
        <v>0</v>
      </c>
      <c r="AL145" s="116">
        <v>0</v>
      </c>
      <c r="AM145" s="116">
        <v>0</v>
      </c>
      <c r="AN145" s="116">
        <v>0</v>
      </c>
      <c r="AO145" s="116">
        <v>0</v>
      </c>
      <c r="AP145" s="116">
        <v>0</v>
      </c>
      <c r="AQ145" s="116">
        <v>0</v>
      </c>
      <c r="AR145" s="116">
        <v>0</v>
      </c>
      <c r="AS145" s="116">
        <v>0</v>
      </c>
      <c r="AT145" s="116">
        <v>0</v>
      </c>
      <c r="AU145" s="116">
        <v>0</v>
      </c>
      <c r="AV145" s="116">
        <v>0</v>
      </c>
      <c r="AW145" s="116">
        <v>0</v>
      </c>
      <c r="AX145" s="116">
        <v>0</v>
      </c>
      <c r="AY145" s="116">
        <v>0</v>
      </c>
    </row>
    <row r="146" spans="1:51" x14ac:dyDescent="0.2">
      <c r="A146" s="119"/>
      <c r="B146" s="137">
        <v>25</v>
      </c>
      <c r="C146" s="116"/>
      <c r="D146" s="116">
        <v>0</v>
      </c>
      <c r="E146" s="116">
        <v>0</v>
      </c>
      <c r="F146" s="116">
        <v>0</v>
      </c>
      <c r="G146" s="116">
        <v>0</v>
      </c>
      <c r="H146" s="116">
        <v>0</v>
      </c>
      <c r="I146" s="116">
        <v>0</v>
      </c>
      <c r="J146" s="116">
        <v>0</v>
      </c>
      <c r="K146" s="116">
        <v>0</v>
      </c>
      <c r="L146" s="116">
        <v>0</v>
      </c>
      <c r="M146" s="116">
        <v>0</v>
      </c>
      <c r="N146" s="116">
        <v>0</v>
      </c>
      <c r="O146" s="116">
        <v>0</v>
      </c>
      <c r="P146" s="116">
        <v>0</v>
      </c>
      <c r="Q146" s="116">
        <v>0</v>
      </c>
      <c r="R146" s="116">
        <v>0</v>
      </c>
      <c r="S146" s="116">
        <v>0</v>
      </c>
      <c r="T146" s="116">
        <v>0</v>
      </c>
      <c r="U146" s="116">
        <v>0</v>
      </c>
      <c r="V146" s="116">
        <v>0</v>
      </c>
      <c r="W146" s="116">
        <v>0</v>
      </c>
      <c r="X146" s="116">
        <v>0</v>
      </c>
      <c r="Y146" s="116">
        <v>0</v>
      </c>
      <c r="Z146" s="116">
        <v>0</v>
      </c>
      <c r="AA146" s="116">
        <v>0</v>
      </c>
      <c r="AB146" s="116">
        <v>0</v>
      </c>
      <c r="AC146" s="116">
        <v>0</v>
      </c>
      <c r="AD146" s="116">
        <v>0</v>
      </c>
      <c r="AE146" s="116">
        <v>0</v>
      </c>
      <c r="AF146" s="116">
        <v>0</v>
      </c>
      <c r="AG146" s="116">
        <v>0</v>
      </c>
      <c r="AH146" s="116">
        <v>0</v>
      </c>
      <c r="AI146" s="116">
        <v>0</v>
      </c>
      <c r="AJ146" s="116">
        <v>0</v>
      </c>
      <c r="AK146" s="116">
        <v>0</v>
      </c>
      <c r="AL146" s="116">
        <v>0</v>
      </c>
      <c r="AM146" s="116">
        <v>0</v>
      </c>
      <c r="AN146" s="116">
        <v>0</v>
      </c>
      <c r="AO146" s="116">
        <v>0</v>
      </c>
      <c r="AP146" s="116">
        <v>0</v>
      </c>
      <c r="AQ146" s="116">
        <v>0</v>
      </c>
      <c r="AR146" s="116">
        <v>0</v>
      </c>
      <c r="AS146" s="116">
        <v>0</v>
      </c>
      <c r="AT146" s="116">
        <v>0</v>
      </c>
      <c r="AU146" s="116">
        <v>0</v>
      </c>
      <c r="AV146" s="116">
        <v>0</v>
      </c>
      <c r="AW146" s="116">
        <v>0</v>
      </c>
      <c r="AX146" s="116">
        <v>0</v>
      </c>
      <c r="AY146" s="116">
        <v>0</v>
      </c>
    </row>
    <row r="147" spans="1:51" x14ac:dyDescent="0.2">
      <c r="A147" s="119"/>
      <c r="B147" s="137">
        <v>26</v>
      </c>
      <c r="C147" s="116"/>
      <c r="D147" s="116">
        <v>0</v>
      </c>
      <c r="E147" s="116">
        <v>0</v>
      </c>
      <c r="F147" s="116">
        <v>0</v>
      </c>
      <c r="G147" s="116">
        <v>0</v>
      </c>
      <c r="H147" s="116">
        <v>0</v>
      </c>
      <c r="I147" s="116">
        <v>0</v>
      </c>
      <c r="J147" s="116">
        <v>0</v>
      </c>
      <c r="K147" s="116">
        <v>0</v>
      </c>
      <c r="L147" s="116">
        <v>0</v>
      </c>
      <c r="M147" s="116">
        <v>0</v>
      </c>
      <c r="N147" s="116">
        <v>0</v>
      </c>
      <c r="O147" s="116">
        <v>0</v>
      </c>
      <c r="P147" s="116">
        <v>0</v>
      </c>
      <c r="Q147" s="116">
        <v>0</v>
      </c>
      <c r="R147" s="116">
        <v>0</v>
      </c>
      <c r="S147" s="116">
        <v>0</v>
      </c>
      <c r="T147" s="116">
        <v>0</v>
      </c>
      <c r="U147" s="116">
        <v>0</v>
      </c>
      <c r="V147" s="116">
        <v>0</v>
      </c>
      <c r="W147" s="116">
        <v>0</v>
      </c>
      <c r="X147" s="116">
        <v>0</v>
      </c>
      <c r="Y147" s="116">
        <v>0</v>
      </c>
      <c r="Z147" s="116">
        <v>0</v>
      </c>
      <c r="AA147" s="116">
        <v>0</v>
      </c>
      <c r="AB147" s="116">
        <v>0</v>
      </c>
      <c r="AC147" s="116">
        <v>0</v>
      </c>
      <c r="AD147" s="116">
        <v>0</v>
      </c>
      <c r="AE147" s="116">
        <v>0</v>
      </c>
      <c r="AF147" s="116">
        <v>0</v>
      </c>
      <c r="AG147" s="116">
        <v>0</v>
      </c>
      <c r="AH147" s="116">
        <v>0</v>
      </c>
      <c r="AI147" s="116">
        <v>0</v>
      </c>
      <c r="AJ147" s="116">
        <v>0</v>
      </c>
      <c r="AK147" s="116">
        <v>0</v>
      </c>
      <c r="AL147" s="116">
        <v>0</v>
      </c>
      <c r="AM147" s="116">
        <v>0</v>
      </c>
      <c r="AN147" s="116">
        <v>0</v>
      </c>
      <c r="AO147" s="116">
        <v>0</v>
      </c>
      <c r="AP147" s="116">
        <v>0</v>
      </c>
      <c r="AQ147" s="116">
        <v>0</v>
      </c>
      <c r="AR147" s="116">
        <v>0</v>
      </c>
      <c r="AS147" s="116">
        <v>0</v>
      </c>
      <c r="AT147" s="116">
        <v>0</v>
      </c>
      <c r="AU147" s="116">
        <v>0</v>
      </c>
      <c r="AV147" s="116">
        <v>0</v>
      </c>
      <c r="AW147" s="116">
        <v>0</v>
      </c>
      <c r="AX147" s="116">
        <v>0</v>
      </c>
      <c r="AY147" s="116">
        <v>0</v>
      </c>
    </row>
    <row r="148" spans="1:51" x14ac:dyDescent="0.2">
      <c r="A148" s="119"/>
      <c r="B148" s="137">
        <v>27</v>
      </c>
      <c r="C148" s="116"/>
      <c r="D148" s="116">
        <v>0</v>
      </c>
      <c r="E148" s="116">
        <v>0</v>
      </c>
      <c r="F148" s="116">
        <v>0</v>
      </c>
      <c r="G148" s="116">
        <v>0</v>
      </c>
      <c r="H148" s="116">
        <v>0</v>
      </c>
      <c r="I148" s="116">
        <v>0</v>
      </c>
      <c r="J148" s="116">
        <v>0</v>
      </c>
      <c r="K148" s="116">
        <v>0</v>
      </c>
      <c r="L148" s="116">
        <v>0</v>
      </c>
      <c r="M148" s="116">
        <v>0</v>
      </c>
      <c r="N148" s="116">
        <v>0</v>
      </c>
      <c r="O148" s="116">
        <v>0</v>
      </c>
      <c r="P148" s="116">
        <v>0</v>
      </c>
      <c r="Q148" s="116">
        <v>0</v>
      </c>
      <c r="R148" s="116">
        <v>0</v>
      </c>
      <c r="S148" s="116">
        <v>0</v>
      </c>
      <c r="T148" s="116">
        <v>0</v>
      </c>
      <c r="U148" s="116">
        <v>0</v>
      </c>
      <c r="V148" s="116">
        <v>0</v>
      </c>
      <c r="W148" s="116">
        <v>0</v>
      </c>
      <c r="X148" s="116">
        <v>0</v>
      </c>
      <c r="Y148" s="116">
        <v>0</v>
      </c>
      <c r="Z148" s="116">
        <v>0</v>
      </c>
      <c r="AA148" s="116">
        <v>0</v>
      </c>
      <c r="AB148" s="116">
        <v>0</v>
      </c>
      <c r="AC148" s="116">
        <v>0</v>
      </c>
      <c r="AD148" s="116">
        <v>0</v>
      </c>
      <c r="AE148" s="116">
        <v>0</v>
      </c>
      <c r="AF148" s="116">
        <v>0</v>
      </c>
      <c r="AG148" s="116">
        <v>0</v>
      </c>
      <c r="AH148" s="116">
        <v>0</v>
      </c>
      <c r="AI148" s="116">
        <v>0</v>
      </c>
      <c r="AJ148" s="116">
        <v>0</v>
      </c>
      <c r="AK148" s="116">
        <v>0</v>
      </c>
      <c r="AL148" s="116">
        <v>0</v>
      </c>
      <c r="AM148" s="116">
        <v>0</v>
      </c>
      <c r="AN148" s="116">
        <v>0</v>
      </c>
      <c r="AO148" s="116">
        <v>0</v>
      </c>
      <c r="AP148" s="116">
        <v>0</v>
      </c>
      <c r="AQ148" s="116">
        <v>0</v>
      </c>
      <c r="AR148" s="116">
        <v>0</v>
      </c>
      <c r="AS148" s="116">
        <v>0</v>
      </c>
      <c r="AT148" s="116">
        <v>0</v>
      </c>
      <c r="AU148" s="116">
        <v>0</v>
      </c>
      <c r="AV148" s="116">
        <v>0</v>
      </c>
      <c r="AW148" s="116">
        <v>0</v>
      </c>
      <c r="AX148" s="116">
        <v>0</v>
      </c>
      <c r="AY148" s="116">
        <v>0</v>
      </c>
    </row>
    <row r="149" spans="1:51" x14ac:dyDescent="0.2">
      <c r="A149" s="119"/>
      <c r="B149" s="137">
        <v>28</v>
      </c>
      <c r="C149" s="116"/>
      <c r="D149" s="116">
        <v>0</v>
      </c>
      <c r="E149" s="116">
        <v>0</v>
      </c>
      <c r="F149" s="116">
        <v>0</v>
      </c>
      <c r="G149" s="116">
        <v>0</v>
      </c>
      <c r="H149" s="116">
        <v>0</v>
      </c>
      <c r="I149" s="116">
        <v>0</v>
      </c>
      <c r="J149" s="116">
        <v>0</v>
      </c>
      <c r="K149" s="116">
        <v>0</v>
      </c>
      <c r="L149" s="116">
        <v>0</v>
      </c>
      <c r="M149" s="116">
        <v>0</v>
      </c>
      <c r="N149" s="116">
        <v>0</v>
      </c>
      <c r="O149" s="116">
        <v>0</v>
      </c>
      <c r="P149" s="116">
        <v>0</v>
      </c>
      <c r="Q149" s="116">
        <v>0</v>
      </c>
      <c r="R149" s="116">
        <v>0</v>
      </c>
      <c r="S149" s="116">
        <v>0</v>
      </c>
      <c r="T149" s="116">
        <v>0</v>
      </c>
      <c r="U149" s="116">
        <v>0</v>
      </c>
      <c r="V149" s="116">
        <v>0</v>
      </c>
      <c r="W149" s="116">
        <v>0</v>
      </c>
      <c r="X149" s="116">
        <v>0</v>
      </c>
      <c r="Y149" s="116">
        <v>0</v>
      </c>
      <c r="Z149" s="116">
        <v>0</v>
      </c>
      <c r="AA149" s="116">
        <v>0</v>
      </c>
      <c r="AB149" s="116">
        <v>0</v>
      </c>
      <c r="AC149" s="116">
        <v>0</v>
      </c>
      <c r="AD149" s="116">
        <v>0</v>
      </c>
      <c r="AE149" s="116">
        <v>0</v>
      </c>
      <c r="AF149" s="116">
        <v>0</v>
      </c>
      <c r="AG149" s="116">
        <v>0</v>
      </c>
      <c r="AH149" s="116">
        <v>0</v>
      </c>
      <c r="AI149" s="116">
        <v>0</v>
      </c>
      <c r="AJ149" s="116">
        <v>0</v>
      </c>
      <c r="AK149" s="116">
        <v>0</v>
      </c>
      <c r="AL149" s="116">
        <v>0</v>
      </c>
      <c r="AM149" s="116">
        <v>0</v>
      </c>
      <c r="AN149" s="116">
        <v>0</v>
      </c>
      <c r="AO149" s="116">
        <v>0</v>
      </c>
      <c r="AP149" s="116">
        <v>0</v>
      </c>
      <c r="AQ149" s="116">
        <v>0</v>
      </c>
      <c r="AR149" s="116">
        <v>0</v>
      </c>
      <c r="AS149" s="116">
        <v>0</v>
      </c>
      <c r="AT149" s="116">
        <v>0</v>
      </c>
      <c r="AU149" s="116">
        <v>0</v>
      </c>
      <c r="AV149" s="116">
        <v>0</v>
      </c>
      <c r="AW149" s="116">
        <v>0</v>
      </c>
      <c r="AX149" s="116">
        <v>0</v>
      </c>
      <c r="AY149" s="116">
        <v>0</v>
      </c>
    </row>
    <row r="150" spans="1:51" x14ac:dyDescent="0.2">
      <c r="A150" s="119"/>
      <c r="B150" s="137">
        <v>29</v>
      </c>
      <c r="C150" s="116"/>
      <c r="D150" s="116">
        <v>0</v>
      </c>
      <c r="E150" s="116">
        <v>0</v>
      </c>
      <c r="F150" s="116">
        <v>0</v>
      </c>
      <c r="G150" s="116">
        <v>0</v>
      </c>
      <c r="H150" s="116">
        <v>0</v>
      </c>
      <c r="I150" s="116">
        <v>0</v>
      </c>
      <c r="J150" s="116">
        <v>0</v>
      </c>
      <c r="K150" s="116">
        <v>0</v>
      </c>
      <c r="L150" s="116">
        <v>0</v>
      </c>
      <c r="M150" s="116">
        <v>0</v>
      </c>
      <c r="N150" s="116">
        <v>0</v>
      </c>
      <c r="O150" s="116">
        <v>0</v>
      </c>
      <c r="P150" s="116">
        <v>0</v>
      </c>
      <c r="Q150" s="116">
        <v>0</v>
      </c>
      <c r="R150" s="116">
        <v>0</v>
      </c>
      <c r="S150" s="116">
        <v>0</v>
      </c>
      <c r="T150" s="116">
        <v>0</v>
      </c>
      <c r="U150" s="116">
        <v>0</v>
      </c>
      <c r="V150" s="116">
        <v>0</v>
      </c>
      <c r="W150" s="116">
        <v>0</v>
      </c>
      <c r="X150" s="116">
        <v>0</v>
      </c>
      <c r="Y150" s="116">
        <v>0</v>
      </c>
      <c r="Z150" s="116">
        <v>0</v>
      </c>
      <c r="AA150" s="116">
        <v>0</v>
      </c>
      <c r="AB150" s="116">
        <v>0</v>
      </c>
      <c r="AC150" s="116">
        <v>0</v>
      </c>
      <c r="AD150" s="116">
        <v>0</v>
      </c>
      <c r="AE150" s="116">
        <v>0</v>
      </c>
      <c r="AF150" s="116">
        <v>0</v>
      </c>
      <c r="AG150" s="116">
        <v>0</v>
      </c>
      <c r="AH150" s="116">
        <v>0</v>
      </c>
      <c r="AI150" s="116">
        <v>0</v>
      </c>
      <c r="AJ150" s="116">
        <v>0</v>
      </c>
      <c r="AK150" s="116">
        <v>0</v>
      </c>
      <c r="AL150" s="116">
        <v>0</v>
      </c>
      <c r="AM150" s="116">
        <v>0</v>
      </c>
      <c r="AN150" s="116">
        <v>0</v>
      </c>
      <c r="AO150" s="116">
        <v>0</v>
      </c>
      <c r="AP150" s="116">
        <v>0</v>
      </c>
      <c r="AQ150" s="116">
        <v>0</v>
      </c>
      <c r="AR150" s="116">
        <v>0</v>
      </c>
      <c r="AS150" s="116">
        <v>0</v>
      </c>
      <c r="AT150" s="116">
        <v>0</v>
      </c>
      <c r="AU150" s="116">
        <v>0</v>
      </c>
      <c r="AV150" s="116">
        <v>0</v>
      </c>
      <c r="AW150" s="116">
        <v>0</v>
      </c>
      <c r="AX150" s="116">
        <v>0</v>
      </c>
      <c r="AY150" s="116">
        <v>0</v>
      </c>
    </row>
    <row r="151" spans="1:51" x14ac:dyDescent="0.2">
      <c r="A151" s="119"/>
      <c r="B151" s="137">
        <v>30</v>
      </c>
      <c r="C151" s="116"/>
      <c r="D151" s="116">
        <v>0</v>
      </c>
      <c r="E151" s="116">
        <v>0</v>
      </c>
      <c r="F151" s="116">
        <v>0</v>
      </c>
      <c r="G151" s="116">
        <v>0</v>
      </c>
      <c r="H151" s="116">
        <v>0</v>
      </c>
      <c r="I151" s="116">
        <v>0</v>
      </c>
      <c r="J151" s="116">
        <v>0</v>
      </c>
      <c r="K151" s="116">
        <v>0</v>
      </c>
      <c r="L151" s="116">
        <v>0</v>
      </c>
      <c r="M151" s="116">
        <v>0</v>
      </c>
      <c r="N151" s="116">
        <v>0</v>
      </c>
      <c r="O151" s="116">
        <v>0</v>
      </c>
      <c r="P151" s="116">
        <v>0</v>
      </c>
      <c r="Q151" s="116">
        <v>0</v>
      </c>
      <c r="R151" s="116">
        <v>0</v>
      </c>
      <c r="S151" s="116">
        <v>0</v>
      </c>
      <c r="T151" s="116">
        <v>0</v>
      </c>
      <c r="U151" s="116">
        <v>0</v>
      </c>
      <c r="V151" s="116">
        <v>0</v>
      </c>
      <c r="W151" s="116">
        <v>0</v>
      </c>
      <c r="X151" s="116">
        <v>0</v>
      </c>
      <c r="Y151" s="116">
        <v>0</v>
      </c>
      <c r="Z151" s="116">
        <v>0</v>
      </c>
      <c r="AA151" s="116">
        <v>0</v>
      </c>
      <c r="AB151" s="116">
        <v>0</v>
      </c>
      <c r="AC151" s="116">
        <v>0</v>
      </c>
      <c r="AD151" s="116">
        <v>0</v>
      </c>
      <c r="AE151" s="116">
        <v>0</v>
      </c>
      <c r="AF151" s="116">
        <v>0</v>
      </c>
      <c r="AG151" s="116">
        <v>0</v>
      </c>
      <c r="AH151" s="116">
        <v>0</v>
      </c>
      <c r="AI151" s="116">
        <v>0</v>
      </c>
      <c r="AJ151" s="116">
        <v>0</v>
      </c>
      <c r="AK151" s="116">
        <v>0</v>
      </c>
      <c r="AL151" s="116">
        <v>0</v>
      </c>
      <c r="AM151" s="116">
        <v>0</v>
      </c>
      <c r="AN151" s="116">
        <v>0</v>
      </c>
      <c r="AO151" s="116">
        <v>0</v>
      </c>
      <c r="AP151" s="116">
        <v>0</v>
      </c>
      <c r="AQ151" s="116">
        <v>0</v>
      </c>
      <c r="AR151" s="116">
        <v>0</v>
      </c>
      <c r="AS151" s="116">
        <v>0</v>
      </c>
      <c r="AT151" s="116">
        <v>0</v>
      </c>
      <c r="AU151" s="116">
        <v>0</v>
      </c>
      <c r="AV151" s="116">
        <v>0</v>
      </c>
      <c r="AW151" s="116">
        <v>0</v>
      </c>
      <c r="AX151" s="116">
        <v>0</v>
      </c>
      <c r="AY151" s="116">
        <v>0</v>
      </c>
    </row>
    <row r="152" spans="1:51" x14ac:dyDescent="0.2">
      <c r="A152" s="119"/>
      <c r="B152" s="137">
        <v>31</v>
      </c>
      <c r="C152" s="116"/>
      <c r="D152" s="116">
        <v>0</v>
      </c>
      <c r="E152" s="116">
        <v>0</v>
      </c>
      <c r="F152" s="116">
        <v>0</v>
      </c>
      <c r="G152" s="116">
        <v>0</v>
      </c>
      <c r="H152" s="116">
        <v>0</v>
      </c>
      <c r="I152" s="116">
        <v>0</v>
      </c>
      <c r="J152" s="116">
        <v>0</v>
      </c>
      <c r="K152" s="116">
        <v>0</v>
      </c>
      <c r="L152" s="116">
        <v>0</v>
      </c>
      <c r="M152" s="116">
        <v>0</v>
      </c>
      <c r="N152" s="116">
        <v>0</v>
      </c>
      <c r="O152" s="116">
        <v>0</v>
      </c>
      <c r="P152" s="116">
        <v>0</v>
      </c>
      <c r="Q152" s="116">
        <v>0</v>
      </c>
      <c r="R152" s="116">
        <v>0</v>
      </c>
      <c r="S152" s="116">
        <v>0</v>
      </c>
      <c r="T152" s="116">
        <v>0</v>
      </c>
      <c r="U152" s="116">
        <v>0</v>
      </c>
      <c r="V152" s="116">
        <v>0</v>
      </c>
      <c r="W152" s="116">
        <v>0</v>
      </c>
      <c r="X152" s="116">
        <v>0</v>
      </c>
      <c r="Y152" s="116">
        <v>0</v>
      </c>
      <c r="Z152" s="116">
        <v>0</v>
      </c>
      <c r="AA152" s="116">
        <v>0</v>
      </c>
      <c r="AB152" s="116">
        <v>0</v>
      </c>
      <c r="AC152" s="116">
        <v>0</v>
      </c>
      <c r="AD152" s="116">
        <v>0</v>
      </c>
      <c r="AE152" s="116">
        <v>0</v>
      </c>
      <c r="AF152" s="116">
        <v>0</v>
      </c>
      <c r="AG152" s="116">
        <v>0</v>
      </c>
      <c r="AH152" s="116">
        <v>0</v>
      </c>
      <c r="AI152" s="116">
        <v>0</v>
      </c>
      <c r="AJ152" s="116">
        <v>0</v>
      </c>
      <c r="AK152" s="116">
        <v>0</v>
      </c>
      <c r="AL152" s="116">
        <v>0</v>
      </c>
      <c r="AM152" s="116">
        <v>0</v>
      </c>
      <c r="AN152" s="116">
        <v>0</v>
      </c>
      <c r="AO152" s="116">
        <v>0</v>
      </c>
      <c r="AP152" s="116">
        <v>0</v>
      </c>
      <c r="AQ152" s="116">
        <v>0</v>
      </c>
      <c r="AR152" s="116">
        <v>0</v>
      </c>
      <c r="AS152" s="116">
        <v>0</v>
      </c>
      <c r="AT152" s="116">
        <v>0</v>
      </c>
      <c r="AU152" s="116">
        <v>0</v>
      </c>
      <c r="AV152" s="116">
        <v>0</v>
      </c>
      <c r="AW152" s="116">
        <v>0</v>
      </c>
      <c r="AX152" s="116">
        <v>0</v>
      </c>
      <c r="AY152" s="116">
        <v>0</v>
      </c>
    </row>
    <row r="153" spans="1:51" x14ac:dyDescent="0.2">
      <c r="A153" s="119"/>
      <c r="B153" s="137">
        <v>32</v>
      </c>
      <c r="C153" s="116"/>
      <c r="D153" s="116">
        <v>0</v>
      </c>
      <c r="E153" s="116">
        <v>0</v>
      </c>
      <c r="F153" s="116">
        <v>0</v>
      </c>
      <c r="G153" s="116">
        <v>0</v>
      </c>
      <c r="H153" s="116">
        <v>0</v>
      </c>
      <c r="I153" s="116">
        <v>0</v>
      </c>
      <c r="J153" s="116">
        <v>0</v>
      </c>
      <c r="K153" s="116">
        <v>0</v>
      </c>
      <c r="L153" s="116">
        <v>0</v>
      </c>
      <c r="M153" s="116">
        <v>0</v>
      </c>
      <c r="N153" s="116">
        <v>0</v>
      </c>
      <c r="O153" s="116">
        <v>0</v>
      </c>
      <c r="P153" s="116">
        <v>0</v>
      </c>
      <c r="Q153" s="116">
        <v>0</v>
      </c>
      <c r="R153" s="116">
        <v>0</v>
      </c>
      <c r="S153" s="116">
        <v>0</v>
      </c>
      <c r="T153" s="116">
        <v>0</v>
      </c>
      <c r="U153" s="116">
        <v>0</v>
      </c>
      <c r="V153" s="116">
        <v>0</v>
      </c>
      <c r="W153" s="116">
        <v>0</v>
      </c>
      <c r="X153" s="116">
        <v>0</v>
      </c>
      <c r="Y153" s="116">
        <v>0</v>
      </c>
      <c r="Z153" s="116">
        <v>0</v>
      </c>
      <c r="AA153" s="116">
        <v>0</v>
      </c>
      <c r="AB153" s="116">
        <v>0</v>
      </c>
      <c r="AC153" s="116">
        <v>0</v>
      </c>
      <c r="AD153" s="116">
        <v>0</v>
      </c>
      <c r="AE153" s="116">
        <v>0</v>
      </c>
      <c r="AF153" s="116">
        <v>0</v>
      </c>
      <c r="AG153" s="116">
        <v>0</v>
      </c>
      <c r="AH153" s="116">
        <v>0</v>
      </c>
      <c r="AI153" s="116">
        <v>0</v>
      </c>
      <c r="AJ153" s="116">
        <v>0</v>
      </c>
      <c r="AK153" s="116">
        <v>0</v>
      </c>
      <c r="AL153" s="116">
        <v>0</v>
      </c>
      <c r="AM153" s="116">
        <v>0</v>
      </c>
      <c r="AN153" s="116">
        <v>0</v>
      </c>
      <c r="AO153" s="116">
        <v>0</v>
      </c>
      <c r="AP153" s="116">
        <v>0</v>
      </c>
      <c r="AQ153" s="116">
        <v>0</v>
      </c>
      <c r="AR153" s="116">
        <v>0</v>
      </c>
      <c r="AS153" s="116">
        <v>0</v>
      </c>
      <c r="AT153" s="116">
        <v>0</v>
      </c>
      <c r="AU153" s="116">
        <v>0</v>
      </c>
      <c r="AV153" s="116">
        <v>0</v>
      </c>
      <c r="AW153" s="116">
        <v>0</v>
      </c>
      <c r="AX153" s="116">
        <v>0</v>
      </c>
      <c r="AY153" s="116">
        <v>0</v>
      </c>
    </row>
    <row r="154" spans="1:51" x14ac:dyDescent="0.2">
      <c r="A154" s="119"/>
      <c r="B154" s="137">
        <v>33</v>
      </c>
      <c r="C154" s="116"/>
      <c r="D154" s="116">
        <v>0</v>
      </c>
      <c r="E154" s="116">
        <v>0</v>
      </c>
      <c r="F154" s="116">
        <v>0</v>
      </c>
      <c r="G154" s="116">
        <v>0</v>
      </c>
      <c r="H154" s="116">
        <v>0</v>
      </c>
      <c r="I154" s="116">
        <v>0</v>
      </c>
      <c r="J154" s="116">
        <v>0</v>
      </c>
      <c r="K154" s="116">
        <v>0</v>
      </c>
      <c r="L154" s="116">
        <v>0</v>
      </c>
      <c r="M154" s="116">
        <v>0</v>
      </c>
      <c r="N154" s="116">
        <v>0</v>
      </c>
      <c r="O154" s="116">
        <v>0</v>
      </c>
      <c r="P154" s="116">
        <v>0</v>
      </c>
      <c r="Q154" s="116">
        <v>0</v>
      </c>
      <c r="R154" s="116">
        <v>0</v>
      </c>
      <c r="S154" s="116">
        <v>0</v>
      </c>
      <c r="T154" s="116">
        <v>0</v>
      </c>
      <c r="U154" s="116">
        <v>0</v>
      </c>
      <c r="V154" s="116">
        <v>0</v>
      </c>
      <c r="W154" s="116">
        <v>0</v>
      </c>
      <c r="X154" s="116">
        <v>0</v>
      </c>
      <c r="Y154" s="116">
        <v>0</v>
      </c>
      <c r="Z154" s="116">
        <v>0</v>
      </c>
      <c r="AA154" s="116">
        <v>0</v>
      </c>
      <c r="AB154" s="116">
        <v>0</v>
      </c>
      <c r="AC154" s="116">
        <v>0</v>
      </c>
      <c r="AD154" s="116">
        <v>0</v>
      </c>
      <c r="AE154" s="116">
        <v>0</v>
      </c>
      <c r="AF154" s="116">
        <v>0</v>
      </c>
      <c r="AG154" s="116">
        <v>0</v>
      </c>
      <c r="AH154" s="116">
        <v>0</v>
      </c>
      <c r="AI154" s="116">
        <v>0</v>
      </c>
      <c r="AJ154" s="116">
        <v>0</v>
      </c>
      <c r="AK154" s="116">
        <v>0</v>
      </c>
      <c r="AL154" s="116">
        <v>0</v>
      </c>
      <c r="AM154" s="116">
        <v>0</v>
      </c>
      <c r="AN154" s="116">
        <v>0</v>
      </c>
      <c r="AO154" s="116">
        <v>0</v>
      </c>
      <c r="AP154" s="116">
        <v>0</v>
      </c>
      <c r="AQ154" s="116">
        <v>0</v>
      </c>
      <c r="AR154" s="116">
        <v>0</v>
      </c>
      <c r="AS154" s="116">
        <v>0</v>
      </c>
      <c r="AT154" s="116">
        <v>0</v>
      </c>
      <c r="AU154" s="116">
        <v>0</v>
      </c>
      <c r="AV154" s="116">
        <v>0</v>
      </c>
      <c r="AW154" s="116">
        <v>0</v>
      </c>
      <c r="AX154" s="116">
        <v>0</v>
      </c>
      <c r="AY154" s="116">
        <v>0</v>
      </c>
    </row>
    <row r="155" spans="1:51" x14ac:dyDescent="0.2">
      <c r="A155" s="119"/>
      <c r="B155" s="137">
        <v>34</v>
      </c>
      <c r="C155" s="116"/>
      <c r="D155" s="116">
        <v>0</v>
      </c>
      <c r="E155" s="116">
        <v>0</v>
      </c>
      <c r="F155" s="116">
        <v>0</v>
      </c>
      <c r="G155" s="116">
        <v>0</v>
      </c>
      <c r="H155" s="116">
        <v>0</v>
      </c>
      <c r="I155" s="116">
        <v>0</v>
      </c>
      <c r="J155" s="116">
        <v>0</v>
      </c>
      <c r="K155" s="116">
        <v>0</v>
      </c>
      <c r="L155" s="116">
        <v>0</v>
      </c>
      <c r="M155" s="116">
        <v>0</v>
      </c>
      <c r="N155" s="116">
        <v>0</v>
      </c>
      <c r="O155" s="116">
        <v>0</v>
      </c>
      <c r="P155" s="116">
        <v>0</v>
      </c>
      <c r="Q155" s="116">
        <v>0</v>
      </c>
      <c r="R155" s="116">
        <v>0</v>
      </c>
      <c r="S155" s="116">
        <v>0</v>
      </c>
      <c r="T155" s="116">
        <v>0</v>
      </c>
      <c r="U155" s="116">
        <v>0</v>
      </c>
      <c r="V155" s="116">
        <v>0</v>
      </c>
      <c r="W155" s="116">
        <v>0</v>
      </c>
      <c r="X155" s="116">
        <v>0</v>
      </c>
      <c r="Y155" s="116">
        <v>0</v>
      </c>
      <c r="Z155" s="116">
        <v>0</v>
      </c>
      <c r="AA155" s="116">
        <v>0</v>
      </c>
      <c r="AB155" s="116">
        <v>0</v>
      </c>
      <c r="AC155" s="116">
        <v>0</v>
      </c>
      <c r="AD155" s="116">
        <v>0</v>
      </c>
      <c r="AE155" s="116">
        <v>0</v>
      </c>
      <c r="AF155" s="116">
        <v>0</v>
      </c>
      <c r="AG155" s="116">
        <v>0</v>
      </c>
      <c r="AH155" s="116">
        <v>0</v>
      </c>
      <c r="AI155" s="116">
        <v>0</v>
      </c>
      <c r="AJ155" s="116">
        <v>0</v>
      </c>
      <c r="AK155" s="116">
        <v>0</v>
      </c>
      <c r="AL155" s="116">
        <v>0</v>
      </c>
      <c r="AM155" s="116">
        <v>0</v>
      </c>
      <c r="AN155" s="116">
        <v>0</v>
      </c>
      <c r="AO155" s="116">
        <v>0</v>
      </c>
      <c r="AP155" s="116">
        <v>0</v>
      </c>
      <c r="AQ155" s="116">
        <v>0</v>
      </c>
      <c r="AR155" s="116">
        <v>0</v>
      </c>
      <c r="AS155" s="116">
        <v>0</v>
      </c>
      <c r="AT155" s="116">
        <v>0</v>
      </c>
      <c r="AU155" s="116">
        <v>0</v>
      </c>
      <c r="AV155" s="116">
        <v>0</v>
      </c>
      <c r="AW155" s="116">
        <v>0</v>
      </c>
      <c r="AX155" s="116">
        <v>0</v>
      </c>
      <c r="AY155" s="116">
        <v>0</v>
      </c>
    </row>
    <row r="156" spans="1:51" x14ac:dyDescent="0.2">
      <c r="A156" s="119"/>
      <c r="B156" s="137">
        <v>35</v>
      </c>
      <c r="C156" s="116"/>
      <c r="D156" s="116">
        <v>0</v>
      </c>
      <c r="E156" s="116">
        <v>0</v>
      </c>
      <c r="F156" s="116">
        <v>0</v>
      </c>
      <c r="G156" s="116">
        <v>0</v>
      </c>
      <c r="H156" s="116">
        <v>0</v>
      </c>
      <c r="I156" s="116">
        <v>0</v>
      </c>
      <c r="J156" s="116">
        <v>0</v>
      </c>
      <c r="K156" s="116">
        <v>0</v>
      </c>
      <c r="L156" s="116">
        <v>0</v>
      </c>
      <c r="M156" s="116">
        <v>0</v>
      </c>
      <c r="N156" s="116">
        <v>0</v>
      </c>
      <c r="O156" s="116">
        <v>0</v>
      </c>
      <c r="P156" s="116">
        <v>0</v>
      </c>
      <c r="Q156" s="116">
        <v>0</v>
      </c>
      <c r="R156" s="116">
        <v>0</v>
      </c>
      <c r="S156" s="116">
        <v>0</v>
      </c>
      <c r="T156" s="116">
        <v>0</v>
      </c>
      <c r="U156" s="116">
        <v>0</v>
      </c>
      <c r="V156" s="116">
        <v>0</v>
      </c>
      <c r="W156" s="116">
        <v>0</v>
      </c>
      <c r="X156" s="116">
        <v>0</v>
      </c>
      <c r="Y156" s="116">
        <v>0</v>
      </c>
      <c r="Z156" s="116">
        <v>0</v>
      </c>
      <c r="AA156" s="116">
        <v>0</v>
      </c>
      <c r="AB156" s="116">
        <v>0</v>
      </c>
      <c r="AC156" s="116">
        <v>0</v>
      </c>
      <c r="AD156" s="116">
        <v>0</v>
      </c>
      <c r="AE156" s="116">
        <v>0</v>
      </c>
      <c r="AF156" s="116">
        <v>0</v>
      </c>
      <c r="AG156" s="116">
        <v>0</v>
      </c>
      <c r="AH156" s="116">
        <v>0</v>
      </c>
      <c r="AI156" s="116">
        <v>0</v>
      </c>
      <c r="AJ156" s="116">
        <v>0</v>
      </c>
      <c r="AK156" s="116">
        <v>0</v>
      </c>
      <c r="AL156" s="116">
        <v>0</v>
      </c>
      <c r="AM156" s="116">
        <v>0</v>
      </c>
      <c r="AN156" s="116">
        <v>0</v>
      </c>
      <c r="AO156" s="116">
        <v>0</v>
      </c>
      <c r="AP156" s="116">
        <v>0</v>
      </c>
      <c r="AQ156" s="116">
        <v>0</v>
      </c>
      <c r="AR156" s="116">
        <v>0</v>
      </c>
      <c r="AS156" s="116">
        <v>0</v>
      </c>
      <c r="AT156" s="116">
        <v>0</v>
      </c>
      <c r="AU156" s="116">
        <v>0</v>
      </c>
      <c r="AV156" s="116">
        <v>0</v>
      </c>
      <c r="AW156" s="116">
        <v>0</v>
      </c>
      <c r="AX156" s="116">
        <v>0</v>
      </c>
      <c r="AY156" s="116">
        <v>0</v>
      </c>
    </row>
    <row r="157" spans="1:51" x14ac:dyDescent="0.2">
      <c r="A157" s="119"/>
      <c r="B157" s="137">
        <v>36</v>
      </c>
      <c r="C157" s="116"/>
      <c r="D157" s="116">
        <v>0</v>
      </c>
      <c r="E157" s="116">
        <v>0</v>
      </c>
      <c r="F157" s="116">
        <v>0</v>
      </c>
      <c r="G157" s="116">
        <v>0</v>
      </c>
      <c r="H157" s="116">
        <v>0</v>
      </c>
      <c r="I157" s="116">
        <v>0</v>
      </c>
      <c r="J157" s="116">
        <v>0</v>
      </c>
      <c r="K157" s="116">
        <v>0</v>
      </c>
      <c r="L157" s="116">
        <v>0</v>
      </c>
      <c r="M157" s="116">
        <v>0</v>
      </c>
      <c r="N157" s="116">
        <v>0</v>
      </c>
      <c r="O157" s="116">
        <v>0</v>
      </c>
      <c r="P157" s="116">
        <v>0</v>
      </c>
      <c r="Q157" s="116">
        <v>0</v>
      </c>
      <c r="R157" s="116">
        <v>0</v>
      </c>
      <c r="S157" s="116">
        <v>0</v>
      </c>
      <c r="T157" s="116">
        <v>0</v>
      </c>
      <c r="U157" s="116">
        <v>0</v>
      </c>
      <c r="V157" s="116">
        <v>0</v>
      </c>
      <c r="W157" s="116">
        <v>0</v>
      </c>
      <c r="X157" s="116">
        <v>0</v>
      </c>
      <c r="Y157" s="116">
        <v>0</v>
      </c>
      <c r="Z157" s="116">
        <v>0</v>
      </c>
      <c r="AA157" s="116">
        <v>0</v>
      </c>
      <c r="AB157" s="116">
        <v>0</v>
      </c>
      <c r="AC157" s="116">
        <v>0</v>
      </c>
      <c r="AD157" s="116">
        <v>0</v>
      </c>
      <c r="AE157" s="116">
        <v>0</v>
      </c>
      <c r="AF157" s="116">
        <v>0</v>
      </c>
      <c r="AG157" s="116">
        <v>0</v>
      </c>
      <c r="AH157" s="116">
        <v>0</v>
      </c>
      <c r="AI157" s="116">
        <v>0</v>
      </c>
      <c r="AJ157" s="116">
        <v>0</v>
      </c>
      <c r="AK157" s="116">
        <v>0</v>
      </c>
      <c r="AL157" s="116">
        <v>0</v>
      </c>
      <c r="AM157" s="116">
        <v>0</v>
      </c>
      <c r="AN157" s="116">
        <v>0</v>
      </c>
      <c r="AO157" s="116">
        <v>0</v>
      </c>
      <c r="AP157" s="116">
        <v>0</v>
      </c>
      <c r="AQ157" s="116">
        <v>0</v>
      </c>
      <c r="AR157" s="116">
        <v>0</v>
      </c>
      <c r="AS157" s="116">
        <v>0</v>
      </c>
      <c r="AT157" s="116">
        <v>0</v>
      </c>
      <c r="AU157" s="116">
        <v>0</v>
      </c>
      <c r="AV157" s="116">
        <v>0</v>
      </c>
      <c r="AW157" s="116">
        <v>0</v>
      </c>
      <c r="AX157" s="116">
        <v>0</v>
      </c>
      <c r="AY157" s="116">
        <v>0</v>
      </c>
    </row>
    <row r="158" spans="1:51" x14ac:dyDescent="0.2">
      <c r="A158" s="119"/>
      <c r="B158" s="140">
        <v>37</v>
      </c>
      <c r="C158" s="116"/>
      <c r="D158" s="116">
        <v>0</v>
      </c>
      <c r="E158" s="116">
        <v>0</v>
      </c>
      <c r="F158" s="116">
        <v>0</v>
      </c>
      <c r="G158" s="116">
        <v>0</v>
      </c>
      <c r="H158" s="116">
        <v>0</v>
      </c>
      <c r="I158" s="116">
        <v>0</v>
      </c>
      <c r="J158" s="116">
        <v>0</v>
      </c>
      <c r="K158" s="116">
        <v>0</v>
      </c>
      <c r="L158" s="116">
        <v>0</v>
      </c>
      <c r="M158" s="116">
        <v>0</v>
      </c>
      <c r="N158" s="116">
        <v>0</v>
      </c>
      <c r="O158" s="116">
        <v>0</v>
      </c>
      <c r="P158" s="116">
        <v>0</v>
      </c>
      <c r="Q158" s="116">
        <v>0</v>
      </c>
      <c r="R158" s="116">
        <v>0</v>
      </c>
      <c r="S158" s="116">
        <v>0</v>
      </c>
      <c r="T158" s="116">
        <v>0</v>
      </c>
      <c r="U158" s="116">
        <v>0</v>
      </c>
      <c r="V158" s="116">
        <v>0</v>
      </c>
      <c r="W158" s="116">
        <v>0</v>
      </c>
      <c r="X158" s="116">
        <v>0</v>
      </c>
      <c r="Y158" s="116">
        <v>0</v>
      </c>
      <c r="Z158" s="116">
        <v>0</v>
      </c>
      <c r="AA158" s="116">
        <v>0</v>
      </c>
      <c r="AB158" s="116">
        <v>0</v>
      </c>
      <c r="AC158" s="116">
        <v>0</v>
      </c>
      <c r="AD158" s="116">
        <v>0</v>
      </c>
      <c r="AE158" s="116">
        <v>0</v>
      </c>
      <c r="AF158" s="116">
        <v>0</v>
      </c>
      <c r="AG158" s="116">
        <v>0</v>
      </c>
      <c r="AH158" s="116">
        <v>0</v>
      </c>
      <c r="AI158" s="116">
        <v>0</v>
      </c>
      <c r="AJ158" s="116">
        <v>0</v>
      </c>
      <c r="AK158" s="116">
        <v>0</v>
      </c>
      <c r="AL158" s="116">
        <v>0</v>
      </c>
      <c r="AM158" s="116">
        <v>0</v>
      </c>
      <c r="AN158" s="116">
        <v>0</v>
      </c>
      <c r="AO158" s="116">
        <v>0</v>
      </c>
      <c r="AP158" s="116">
        <v>0</v>
      </c>
      <c r="AQ158" s="116">
        <v>0</v>
      </c>
      <c r="AR158" s="116">
        <v>0</v>
      </c>
      <c r="AS158" s="116">
        <v>0</v>
      </c>
      <c r="AT158" s="116">
        <v>0</v>
      </c>
      <c r="AU158" s="116">
        <v>0</v>
      </c>
      <c r="AV158" s="116">
        <v>0</v>
      </c>
      <c r="AW158" s="116">
        <v>0</v>
      </c>
      <c r="AX158" s="116">
        <v>0</v>
      </c>
      <c r="AY158" s="116">
        <v>0</v>
      </c>
    </row>
    <row r="159" spans="1:51" x14ac:dyDescent="0.2">
      <c r="A159" s="119"/>
      <c r="B159" s="140">
        <v>38</v>
      </c>
      <c r="C159" s="116"/>
      <c r="D159" s="116">
        <v>0</v>
      </c>
      <c r="E159" s="116">
        <v>0</v>
      </c>
      <c r="F159" s="116">
        <v>0</v>
      </c>
      <c r="G159" s="116">
        <v>0</v>
      </c>
      <c r="H159" s="116">
        <v>0</v>
      </c>
      <c r="I159" s="116">
        <v>0</v>
      </c>
      <c r="J159" s="116">
        <v>0</v>
      </c>
      <c r="K159" s="116">
        <v>0</v>
      </c>
      <c r="L159" s="116">
        <v>0</v>
      </c>
      <c r="M159" s="116">
        <v>0</v>
      </c>
      <c r="N159" s="116">
        <v>0</v>
      </c>
      <c r="O159" s="116">
        <v>0</v>
      </c>
      <c r="P159" s="116">
        <v>0</v>
      </c>
      <c r="Q159" s="116">
        <v>0</v>
      </c>
      <c r="R159" s="116">
        <v>0</v>
      </c>
      <c r="S159" s="116">
        <v>0</v>
      </c>
      <c r="T159" s="116">
        <v>0</v>
      </c>
      <c r="U159" s="116">
        <v>0</v>
      </c>
      <c r="V159" s="116">
        <v>0</v>
      </c>
      <c r="W159" s="116">
        <v>0</v>
      </c>
      <c r="X159" s="116">
        <v>0</v>
      </c>
      <c r="Y159" s="116">
        <v>0</v>
      </c>
      <c r="Z159" s="116">
        <v>0</v>
      </c>
      <c r="AA159" s="116">
        <v>0</v>
      </c>
      <c r="AB159" s="116">
        <v>0</v>
      </c>
      <c r="AC159" s="116">
        <v>0</v>
      </c>
      <c r="AD159" s="116">
        <v>0</v>
      </c>
      <c r="AE159" s="116">
        <v>0</v>
      </c>
      <c r="AF159" s="116">
        <v>0</v>
      </c>
      <c r="AG159" s="116">
        <v>0</v>
      </c>
      <c r="AH159" s="116">
        <v>0</v>
      </c>
      <c r="AI159" s="116">
        <v>0</v>
      </c>
      <c r="AJ159" s="116">
        <v>0</v>
      </c>
      <c r="AK159" s="116">
        <v>0</v>
      </c>
      <c r="AL159" s="116">
        <v>0</v>
      </c>
      <c r="AM159" s="116">
        <v>0</v>
      </c>
      <c r="AN159" s="116">
        <v>0</v>
      </c>
      <c r="AO159" s="116">
        <v>0</v>
      </c>
      <c r="AP159" s="116">
        <v>0</v>
      </c>
      <c r="AQ159" s="116">
        <v>0</v>
      </c>
      <c r="AR159" s="116">
        <v>0</v>
      </c>
      <c r="AS159" s="116">
        <v>0</v>
      </c>
      <c r="AT159" s="116">
        <v>0</v>
      </c>
      <c r="AU159" s="116">
        <v>0</v>
      </c>
      <c r="AV159" s="116">
        <v>0</v>
      </c>
      <c r="AW159" s="116">
        <v>0</v>
      </c>
      <c r="AX159" s="116">
        <v>0</v>
      </c>
      <c r="AY159" s="116">
        <v>0</v>
      </c>
    </row>
    <row r="160" spans="1:51" x14ac:dyDescent="0.2">
      <c r="A160" s="119"/>
      <c r="B160" s="140">
        <v>39</v>
      </c>
      <c r="C160" s="116"/>
      <c r="D160" s="116">
        <v>0</v>
      </c>
      <c r="E160" s="116">
        <v>0</v>
      </c>
      <c r="F160" s="116">
        <v>0</v>
      </c>
      <c r="G160" s="116">
        <v>0</v>
      </c>
      <c r="H160" s="116">
        <v>0</v>
      </c>
      <c r="I160" s="116">
        <v>0</v>
      </c>
      <c r="J160" s="116">
        <v>0</v>
      </c>
      <c r="K160" s="116">
        <v>0</v>
      </c>
      <c r="L160" s="116">
        <v>0</v>
      </c>
      <c r="M160" s="116">
        <v>0</v>
      </c>
      <c r="N160" s="116">
        <v>0</v>
      </c>
      <c r="O160" s="116">
        <v>0</v>
      </c>
      <c r="P160" s="116">
        <v>0</v>
      </c>
      <c r="Q160" s="116">
        <v>0</v>
      </c>
      <c r="R160" s="116">
        <v>0</v>
      </c>
      <c r="S160" s="116">
        <v>0</v>
      </c>
      <c r="T160" s="116">
        <v>0</v>
      </c>
      <c r="U160" s="116">
        <v>0</v>
      </c>
      <c r="V160" s="116">
        <v>0</v>
      </c>
      <c r="W160" s="116">
        <v>0</v>
      </c>
      <c r="X160" s="116">
        <v>0</v>
      </c>
      <c r="Y160" s="116">
        <v>0</v>
      </c>
      <c r="Z160" s="116">
        <v>0</v>
      </c>
      <c r="AA160" s="116">
        <v>0</v>
      </c>
      <c r="AB160" s="116">
        <v>0</v>
      </c>
      <c r="AC160" s="116">
        <v>0</v>
      </c>
      <c r="AD160" s="116">
        <v>0</v>
      </c>
      <c r="AE160" s="116">
        <v>0</v>
      </c>
      <c r="AF160" s="116">
        <v>0</v>
      </c>
      <c r="AG160" s="116">
        <v>0</v>
      </c>
      <c r="AH160" s="116">
        <v>0</v>
      </c>
      <c r="AI160" s="116">
        <v>0</v>
      </c>
      <c r="AJ160" s="116">
        <v>0</v>
      </c>
      <c r="AK160" s="116">
        <v>0</v>
      </c>
      <c r="AL160" s="116">
        <v>0</v>
      </c>
      <c r="AM160" s="116">
        <v>0</v>
      </c>
      <c r="AN160" s="116">
        <v>0</v>
      </c>
      <c r="AO160" s="116">
        <v>0</v>
      </c>
      <c r="AP160" s="116">
        <v>0</v>
      </c>
      <c r="AQ160" s="116">
        <v>0</v>
      </c>
      <c r="AR160" s="116">
        <v>0</v>
      </c>
      <c r="AS160" s="116">
        <v>0</v>
      </c>
      <c r="AT160" s="116">
        <v>0</v>
      </c>
      <c r="AU160" s="116">
        <v>0</v>
      </c>
      <c r="AV160" s="116">
        <v>0</v>
      </c>
      <c r="AW160" s="116">
        <v>0</v>
      </c>
      <c r="AX160" s="116">
        <v>0</v>
      </c>
      <c r="AY160" s="116">
        <v>0</v>
      </c>
    </row>
    <row r="161" spans="1:52" x14ac:dyDescent="0.2">
      <c r="A161" s="119"/>
      <c r="B161" s="140">
        <v>40</v>
      </c>
      <c r="C161" s="116"/>
      <c r="D161" s="116">
        <v>0</v>
      </c>
      <c r="E161" s="116">
        <v>0</v>
      </c>
      <c r="F161" s="116">
        <v>0</v>
      </c>
      <c r="G161" s="116">
        <v>0</v>
      </c>
      <c r="H161" s="116">
        <v>0</v>
      </c>
      <c r="I161" s="116">
        <v>0</v>
      </c>
      <c r="J161" s="116">
        <v>0</v>
      </c>
      <c r="K161" s="116">
        <v>0</v>
      </c>
      <c r="L161" s="116">
        <v>0</v>
      </c>
      <c r="M161" s="116">
        <v>0</v>
      </c>
      <c r="N161" s="116">
        <v>0</v>
      </c>
      <c r="O161" s="116">
        <v>0</v>
      </c>
      <c r="P161" s="116">
        <v>0</v>
      </c>
      <c r="Q161" s="116">
        <v>0</v>
      </c>
      <c r="R161" s="116">
        <v>0</v>
      </c>
      <c r="S161" s="116">
        <v>0</v>
      </c>
      <c r="T161" s="116">
        <v>0</v>
      </c>
      <c r="U161" s="116">
        <v>0</v>
      </c>
      <c r="V161" s="116">
        <v>0</v>
      </c>
      <c r="W161" s="116">
        <v>0</v>
      </c>
      <c r="X161" s="116">
        <v>0</v>
      </c>
      <c r="Y161" s="116">
        <v>0</v>
      </c>
      <c r="Z161" s="116">
        <v>0</v>
      </c>
      <c r="AA161" s="116">
        <v>0</v>
      </c>
      <c r="AB161" s="116">
        <v>0</v>
      </c>
      <c r="AC161" s="116">
        <v>0</v>
      </c>
      <c r="AD161" s="116">
        <v>0</v>
      </c>
      <c r="AE161" s="116">
        <v>0</v>
      </c>
      <c r="AF161" s="116">
        <v>0</v>
      </c>
      <c r="AG161" s="116">
        <v>0</v>
      </c>
      <c r="AH161" s="116">
        <v>0</v>
      </c>
      <c r="AI161" s="116">
        <v>0</v>
      </c>
      <c r="AJ161" s="116">
        <v>0</v>
      </c>
      <c r="AK161" s="116">
        <v>0</v>
      </c>
      <c r="AL161" s="116">
        <v>0</v>
      </c>
      <c r="AM161" s="116">
        <v>0</v>
      </c>
      <c r="AN161" s="116">
        <v>0</v>
      </c>
      <c r="AO161" s="116">
        <v>0</v>
      </c>
      <c r="AP161" s="116">
        <v>0</v>
      </c>
      <c r="AQ161" s="116">
        <v>0</v>
      </c>
      <c r="AR161" s="116">
        <v>0</v>
      </c>
      <c r="AS161" s="116">
        <v>0</v>
      </c>
      <c r="AT161" s="116">
        <v>0</v>
      </c>
      <c r="AU161" s="116">
        <v>0</v>
      </c>
      <c r="AV161" s="116">
        <v>0</v>
      </c>
      <c r="AW161" s="116">
        <v>0</v>
      </c>
      <c r="AX161" s="116">
        <v>0</v>
      </c>
      <c r="AY161" s="116">
        <v>0</v>
      </c>
    </row>
    <row r="162" spans="1:52" x14ac:dyDescent="0.2">
      <c r="A162" s="119"/>
      <c r="B162" s="140">
        <v>41</v>
      </c>
      <c r="C162" s="116"/>
      <c r="D162" s="116">
        <v>0</v>
      </c>
      <c r="E162" s="116">
        <v>0</v>
      </c>
      <c r="F162" s="116">
        <v>0</v>
      </c>
      <c r="G162" s="116">
        <v>0</v>
      </c>
      <c r="H162" s="116">
        <v>0</v>
      </c>
      <c r="I162" s="116">
        <v>0</v>
      </c>
      <c r="J162" s="116">
        <v>0</v>
      </c>
      <c r="K162" s="116">
        <v>0</v>
      </c>
      <c r="L162" s="116">
        <v>0</v>
      </c>
      <c r="M162" s="116">
        <v>0</v>
      </c>
      <c r="N162" s="116">
        <v>0</v>
      </c>
      <c r="O162" s="116">
        <v>0</v>
      </c>
      <c r="P162" s="116">
        <v>0</v>
      </c>
      <c r="Q162" s="116">
        <v>0</v>
      </c>
      <c r="R162" s="116">
        <v>0</v>
      </c>
      <c r="S162" s="116">
        <v>0</v>
      </c>
      <c r="T162" s="116">
        <v>0</v>
      </c>
      <c r="U162" s="116">
        <v>0</v>
      </c>
      <c r="V162" s="116">
        <v>0</v>
      </c>
      <c r="W162" s="116">
        <v>0</v>
      </c>
      <c r="X162" s="116">
        <v>0</v>
      </c>
      <c r="Y162" s="116">
        <v>0</v>
      </c>
      <c r="Z162" s="116">
        <v>0</v>
      </c>
      <c r="AA162" s="116">
        <v>0</v>
      </c>
      <c r="AB162" s="116">
        <v>0</v>
      </c>
      <c r="AC162" s="116">
        <v>0</v>
      </c>
      <c r="AD162" s="116">
        <v>0</v>
      </c>
      <c r="AE162" s="116">
        <v>0</v>
      </c>
      <c r="AF162" s="116">
        <v>0</v>
      </c>
      <c r="AG162" s="116">
        <v>0</v>
      </c>
      <c r="AH162" s="116">
        <v>0</v>
      </c>
      <c r="AI162" s="116">
        <v>0</v>
      </c>
      <c r="AJ162" s="116">
        <v>0</v>
      </c>
      <c r="AK162" s="116">
        <v>0</v>
      </c>
      <c r="AL162" s="116">
        <v>0</v>
      </c>
      <c r="AM162" s="116">
        <v>0</v>
      </c>
      <c r="AN162" s="116">
        <v>0</v>
      </c>
      <c r="AO162" s="116">
        <v>0</v>
      </c>
      <c r="AP162" s="116">
        <v>0</v>
      </c>
      <c r="AQ162" s="116">
        <v>0</v>
      </c>
      <c r="AR162" s="116">
        <v>0</v>
      </c>
      <c r="AS162" s="116">
        <v>0</v>
      </c>
      <c r="AT162" s="116">
        <v>0</v>
      </c>
      <c r="AU162" s="116">
        <v>0</v>
      </c>
      <c r="AV162" s="116">
        <v>0</v>
      </c>
      <c r="AW162" s="116">
        <v>0</v>
      </c>
      <c r="AX162" s="116">
        <v>0</v>
      </c>
      <c r="AY162" s="116">
        <v>0</v>
      </c>
    </row>
    <row r="163" spans="1:52" x14ac:dyDescent="0.2">
      <c r="A163" s="119"/>
      <c r="B163" s="140">
        <v>42</v>
      </c>
      <c r="C163" s="116"/>
      <c r="D163" s="116">
        <v>0</v>
      </c>
      <c r="E163" s="116">
        <v>0</v>
      </c>
      <c r="F163" s="116">
        <v>0</v>
      </c>
      <c r="G163" s="116">
        <v>0</v>
      </c>
      <c r="H163" s="116">
        <v>0</v>
      </c>
      <c r="I163" s="116">
        <v>0</v>
      </c>
      <c r="J163" s="116">
        <v>0</v>
      </c>
      <c r="K163" s="116">
        <v>0</v>
      </c>
      <c r="L163" s="116">
        <v>0</v>
      </c>
      <c r="M163" s="116">
        <v>0</v>
      </c>
      <c r="N163" s="116">
        <v>0</v>
      </c>
      <c r="O163" s="116">
        <v>0</v>
      </c>
      <c r="P163" s="116">
        <v>0</v>
      </c>
      <c r="Q163" s="116">
        <v>0</v>
      </c>
      <c r="R163" s="116">
        <v>0</v>
      </c>
      <c r="S163" s="116">
        <v>0</v>
      </c>
      <c r="T163" s="116">
        <v>0</v>
      </c>
      <c r="U163" s="116">
        <v>0</v>
      </c>
      <c r="V163" s="116">
        <v>0</v>
      </c>
      <c r="W163" s="116">
        <v>0</v>
      </c>
      <c r="X163" s="116">
        <v>0</v>
      </c>
      <c r="Y163" s="116">
        <v>0</v>
      </c>
      <c r="Z163" s="116">
        <v>0</v>
      </c>
      <c r="AA163" s="116">
        <v>0</v>
      </c>
      <c r="AB163" s="116">
        <v>0</v>
      </c>
      <c r="AC163" s="116">
        <v>0</v>
      </c>
      <c r="AD163" s="116">
        <v>0</v>
      </c>
      <c r="AE163" s="116">
        <v>0</v>
      </c>
      <c r="AF163" s="116">
        <v>0</v>
      </c>
      <c r="AG163" s="116">
        <v>0</v>
      </c>
      <c r="AH163" s="116">
        <v>0</v>
      </c>
      <c r="AI163" s="116">
        <v>0</v>
      </c>
      <c r="AJ163" s="116">
        <v>0</v>
      </c>
      <c r="AK163" s="116">
        <v>0</v>
      </c>
      <c r="AL163" s="116">
        <v>0</v>
      </c>
      <c r="AM163" s="116">
        <v>0</v>
      </c>
      <c r="AN163" s="116">
        <v>0</v>
      </c>
      <c r="AO163" s="116">
        <v>0</v>
      </c>
      <c r="AP163" s="116">
        <v>0</v>
      </c>
      <c r="AQ163" s="116">
        <v>0</v>
      </c>
      <c r="AR163" s="116">
        <v>0</v>
      </c>
      <c r="AS163" s="116">
        <v>0</v>
      </c>
      <c r="AT163" s="116">
        <v>0</v>
      </c>
      <c r="AU163" s="116">
        <v>0</v>
      </c>
      <c r="AV163" s="116">
        <v>0</v>
      </c>
      <c r="AW163" s="116">
        <v>0</v>
      </c>
      <c r="AX163" s="116">
        <v>0</v>
      </c>
      <c r="AY163" s="116">
        <v>0</v>
      </c>
    </row>
    <row r="164" spans="1:52" x14ac:dyDescent="0.2">
      <c r="A164" s="119"/>
      <c r="B164" s="140">
        <v>43</v>
      </c>
      <c r="C164" s="116"/>
      <c r="D164" s="116">
        <v>0</v>
      </c>
      <c r="E164" s="116">
        <v>0</v>
      </c>
      <c r="F164" s="116">
        <v>0</v>
      </c>
      <c r="G164" s="116">
        <v>0</v>
      </c>
      <c r="H164" s="116">
        <v>0</v>
      </c>
      <c r="I164" s="116">
        <v>0</v>
      </c>
      <c r="J164" s="116">
        <v>0</v>
      </c>
      <c r="K164" s="116">
        <v>0</v>
      </c>
      <c r="L164" s="116">
        <v>0</v>
      </c>
      <c r="M164" s="116">
        <v>0</v>
      </c>
      <c r="N164" s="116">
        <v>0</v>
      </c>
      <c r="O164" s="116">
        <v>0</v>
      </c>
      <c r="P164" s="116">
        <v>0</v>
      </c>
      <c r="Q164" s="116">
        <v>0</v>
      </c>
      <c r="R164" s="116">
        <v>0</v>
      </c>
      <c r="S164" s="116">
        <v>0</v>
      </c>
      <c r="T164" s="116">
        <v>0</v>
      </c>
      <c r="U164" s="116">
        <v>0</v>
      </c>
      <c r="V164" s="116">
        <v>0</v>
      </c>
      <c r="W164" s="116">
        <v>0</v>
      </c>
      <c r="X164" s="116">
        <v>0</v>
      </c>
      <c r="Y164" s="116">
        <v>0</v>
      </c>
      <c r="Z164" s="116">
        <v>0</v>
      </c>
      <c r="AA164" s="116">
        <v>0</v>
      </c>
      <c r="AB164" s="116">
        <v>0</v>
      </c>
      <c r="AC164" s="116">
        <v>0</v>
      </c>
      <c r="AD164" s="116">
        <v>0</v>
      </c>
      <c r="AE164" s="116">
        <v>0</v>
      </c>
      <c r="AF164" s="116">
        <v>0</v>
      </c>
      <c r="AG164" s="116">
        <v>0</v>
      </c>
      <c r="AH164" s="116">
        <v>0</v>
      </c>
      <c r="AI164" s="116">
        <v>0</v>
      </c>
      <c r="AJ164" s="116">
        <v>0</v>
      </c>
      <c r="AK164" s="116">
        <v>0</v>
      </c>
      <c r="AL164" s="116">
        <v>0</v>
      </c>
      <c r="AM164" s="116">
        <v>0</v>
      </c>
      <c r="AN164" s="116">
        <v>0</v>
      </c>
      <c r="AO164" s="116">
        <v>0</v>
      </c>
      <c r="AP164" s="116">
        <v>0</v>
      </c>
      <c r="AQ164" s="116">
        <v>0</v>
      </c>
      <c r="AR164" s="116">
        <v>0</v>
      </c>
      <c r="AS164" s="116">
        <v>0</v>
      </c>
      <c r="AT164" s="116">
        <v>0</v>
      </c>
      <c r="AU164" s="116">
        <v>0</v>
      </c>
      <c r="AV164" s="116">
        <v>0</v>
      </c>
      <c r="AW164" s="116">
        <v>0</v>
      </c>
      <c r="AX164" s="116">
        <v>0</v>
      </c>
      <c r="AY164" s="116">
        <v>0</v>
      </c>
    </row>
    <row r="165" spans="1:52" x14ac:dyDescent="0.2">
      <c r="A165" s="119"/>
      <c r="B165" s="140">
        <v>44</v>
      </c>
      <c r="C165" s="116"/>
      <c r="D165" s="116">
        <v>0</v>
      </c>
      <c r="E165" s="116">
        <v>0</v>
      </c>
      <c r="F165" s="116">
        <v>0</v>
      </c>
      <c r="G165" s="116">
        <v>0</v>
      </c>
      <c r="H165" s="116">
        <v>0</v>
      </c>
      <c r="I165" s="116">
        <v>0</v>
      </c>
      <c r="J165" s="116">
        <v>0</v>
      </c>
      <c r="K165" s="116">
        <v>0</v>
      </c>
      <c r="L165" s="116">
        <v>0</v>
      </c>
      <c r="M165" s="116">
        <v>0</v>
      </c>
      <c r="N165" s="116">
        <v>0</v>
      </c>
      <c r="O165" s="116">
        <v>0</v>
      </c>
      <c r="P165" s="116">
        <v>0</v>
      </c>
      <c r="Q165" s="116">
        <v>0</v>
      </c>
      <c r="R165" s="116">
        <v>0</v>
      </c>
      <c r="S165" s="116">
        <v>0</v>
      </c>
      <c r="T165" s="116">
        <v>0</v>
      </c>
      <c r="U165" s="116">
        <v>0</v>
      </c>
      <c r="V165" s="116">
        <v>0</v>
      </c>
      <c r="W165" s="116">
        <v>0</v>
      </c>
      <c r="X165" s="116">
        <v>0</v>
      </c>
      <c r="Y165" s="116">
        <v>0</v>
      </c>
      <c r="Z165" s="116">
        <v>0</v>
      </c>
      <c r="AA165" s="116">
        <v>0</v>
      </c>
      <c r="AB165" s="116">
        <v>0</v>
      </c>
      <c r="AC165" s="116">
        <v>0</v>
      </c>
      <c r="AD165" s="116">
        <v>0</v>
      </c>
      <c r="AE165" s="116">
        <v>0</v>
      </c>
      <c r="AF165" s="116">
        <v>0</v>
      </c>
      <c r="AG165" s="116">
        <v>0</v>
      </c>
      <c r="AH165" s="116">
        <v>0</v>
      </c>
      <c r="AI165" s="116">
        <v>0</v>
      </c>
      <c r="AJ165" s="116">
        <v>0</v>
      </c>
      <c r="AK165" s="116">
        <v>0</v>
      </c>
      <c r="AL165" s="116">
        <v>0</v>
      </c>
      <c r="AM165" s="116">
        <v>0</v>
      </c>
      <c r="AN165" s="116">
        <v>0</v>
      </c>
      <c r="AO165" s="116">
        <v>0</v>
      </c>
      <c r="AP165" s="116">
        <v>0</v>
      </c>
      <c r="AQ165" s="116">
        <v>0</v>
      </c>
      <c r="AR165" s="116">
        <v>0</v>
      </c>
      <c r="AS165" s="116">
        <v>0</v>
      </c>
      <c r="AT165" s="116">
        <v>0</v>
      </c>
      <c r="AU165" s="116">
        <v>0</v>
      </c>
      <c r="AV165" s="116">
        <v>0</v>
      </c>
      <c r="AW165" s="116">
        <v>0</v>
      </c>
      <c r="AX165" s="116">
        <v>0</v>
      </c>
      <c r="AY165" s="116">
        <v>0</v>
      </c>
    </row>
    <row r="166" spans="1:52" x14ac:dyDescent="0.2">
      <c r="A166" s="119"/>
      <c r="B166" s="140">
        <v>45</v>
      </c>
      <c r="C166" s="116"/>
      <c r="D166" s="116">
        <v>0</v>
      </c>
      <c r="E166" s="116">
        <v>0</v>
      </c>
      <c r="F166" s="116">
        <v>0</v>
      </c>
      <c r="G166" s="116">
        <v>0</v>
      </c>
      <c r="H166" s="116">
        <v>0</v>
      </c>
      <c r="I166" s="116">
        <v>0</v>
      </c>
      <c r="J166" s="116">
        <v>0</v>
      </c>
      <c r="K166" s="116">
        <v>0</v>
      </c>
      <c r="L166" s="116">
        <v>0</v>
      </c>
      <c r="M166" s="116">
        <v>0</v>
      </c>
      <c r="N166" s="116">
        <v>0</v>
      </c>
      <c r="O166" s="116">
        <v>0</v>
      </c>
      <c r="P166" s="116">
        <v>0</v>
      </c>
      <c r="Q166" s="116">
        <v>0</v>
      </c>
      <c r="R166" s="116">
        <v>0</v>
      </c>
      <c r="S166" s="116">
        <v>0</v>
      </c>
      <c r="T166" s="116">
        <v>0</v>
      </c>
      <c r="U166" s="116">
        <v>0</v>
      </c>
      <c r="V166" s="116">
        <v>0</v>
      </c>
      <c r="W166" s="116">
        <v>0</v>
      </c>
      <c r="X166" s="116">
        <v>0</v>
      </c>
      <c r="Y166" s="116">
        <v>0</v>
      </c>
      <c r="Z166" s="116">
        <v>0</v>
      </c>
      <c r="AA166" s="116">
        <v>0</v>
      </c>
      <c r="AB166" s="116">
        <v>0</v>
      </c>
      <c r="AC166" s="116">
        <v>0</v>
      </c>
      <c r="AD166" s="116">
        <v>0</v>
      </c>
      <c r="AE166" s="116">
        <v>0</v>
      </c>
      <c r="AF166" s="116">
        <v>0</v>
      </c>
      <c r="AG166" s="116">
        <v>0</v>
      </c>
      <c r="AH166" s="116">
        <v>0</v>
      </c>
      <c r="AI166" s="116">
        <v>0</v>
      </c>
      <c r="AJ166" s="116">
        <v>0</v>
      </c>
      <c r="AK166" s="116">
        <v>0</v>
      </c>
      <c r="AL166" s="116">
        <v>0</v>
      </c>
      <c r="AM166" s="116">
        <v>0</v>
      </c>
      <c r="AN166" s="116">
        <v>0</v>
      </c>
      <c r="AO166" s="116">
        <v>0</v>
      </c>
      <c r="AP166" s="116">
        <v>0</v>
      </c>
      <c r="AQ166" s="116">
        <v>0</v>
      </c>
      <c r="AR166" s="116">
        <v>0</v>
      </c>
      <c r="AS166" s="116">
        <v>0</v>
      </c>
      <c r="AT166" s="116">
        <v>0</v>
      </c>
      <c r="AU166" s="116">
        <v>0</v>
      </c>
      <c r="AV166" s="116">
        <v>0</v>
      </c>
      <c r="AW166" s="116">
        <v>0</v>
      </c>
      <c r="AX166" s="116">
        <v>0</v>
      </c>
      <c r="AY166" s="116">
        <v>0</v>
      </c>
    </row>
    <row r="167" spans="1:52" x14ac:dyDescent="0.2">
      <c r="A167" s="119"/>
      <c r="B167" s="140">
        <v>46</v>
      </c>
      <c r="C167" s="116"/>
      <c r="D167" s="116">
        <v>0</v>
      </c>
      <c r="E167" s="116">
        <v>0</v>
      </c>
      <c r="F167" s="116">
        <v>0</v>
      </c>
      <c r="G167" s="116">
        <v>0</v>
      </c>
      <c r="H167" s="116">
        <v>0</v>
      </c>
      <c r="I167" s="116">
        <v>0</v>
      </c>
      <c r="J167" s="116">
        <v>0</v>
      </c>
      <c r="K167" s="116">
        <v>0</v>
      </c>
      <c r="L167" s="116">
        <v>0</v>
      </c>
      <c r="M167" s="116">
        <v>0</v>
      </c>
      <c r="N167" s="116">
        <v>0</v>
      </c>
      <c r="O167" s="116">
        <v>0</v>
      </c>
      <c r="P167" s="116">
        <v>0</v>
      </c>
      <c r="Q167" s="116">
        <v>0</v>
      </c>
      <c r="R167" s="116">
        <v>0</v>
      </c>
      <c r="S167" s="116">
        <v>0</v>
      </c>
      <c r="T167" s="116">
        <v>0</v>
      </c>
      <c r="U167" s="116">
        <v>0</v>
      </c>
      <c r="V167" s="116">
        <v>0</v>
      </c>
      <c r="W167" s="116">
        <v>0</v>
      </c>
      <c r="X167" s="116">
        <v>0</v>
      </c>
      <c r="Y167" s="116">
        <v>0</v>
      </c>
      <c r="Z167" s="116">
        <v>0</v>
      </c>
      <c r="AA167" s="116">
        <v>0</v>
      </c>
      <c r="AB167" s="116">
        <v>0</v>
      </c>
      <c r="AC167" s="116">
        <v>0</v>
      </c>
      <c r="AD167" s="116">
        <v>0</v>
      </c>
      <c r="AE167" s="116">
        <v>0</v>
      </c>
      <c r="AF167" s="116">
        <v>0</v>
      </c>
      <c r="AG167" s="116">
        <v>0</v>
      </c>
      <c r="AH167" s="116">
        <v>0</v>
      </c>
      <c r="AI167" s="116">
        <v>0</v>
      </c>
      <c r="AJ167" s="116">
        <v>0</v>
      </c>
      <c r="AK167" s="116">
        <v>0</v>
      </c>
      <c r="AL167" s="116">
        <v>0</v>
      </c>
      <c r="AM167" s="116">
        <v>0</v>
      </c>
      <c r="AN167" s="116">
        <v>0</v>
      </c>
      <c r="AO167" s="116">
        <v>0</v>
      </c>
      <c r="AP167" s="116">
        <v>0</v>
      </c>
      <c r="AQ167" s="116">
        <v>0</v>
      </c>
      <c r="AR167" s="116">
        <v>0</v>
      </c>
      <c r="AS167" s="116">
        <v>0</v>
      </c>
      <c r="AT167" s="116">
        <v>0</v>
      </c>
      <c r="AU167" s="116">
        <v>0</v>
      </c>
      <c r="AV167" s="116">
        <v>0</v>
      </c>
      <c r="AW167" s="116">
        <v>0</v>
      </c>
      <c r="AX167" s="116">
        <v>0</v>
      </c>
      <c r="AY167" s="116">
        <v>0</v>
      </c>
    </row>
    <row r="168" spans="1:52" x14ac:dyDescent="0.2">
      <c r="A168" s="119"/>
      <c r="B168" s="140">
        <v>47</v>
      </c>
      <c r="C168" s="116"/>
      <c r="D168" s="116">
        <v>0</v>
      </c>
      <c r="E168" s="116">
        <v>0</v>
      </c>
      <c r="F168" s="116">
        <v>0</v>
      </c>
      <c r="G168" s="116">
        <v>0</v>
      </c>
      <c r="H168" s="116">
        <v>0</v>
      </c>
      <c r="I168" s="116">
        <v>0</v>
      </c>
      <c r="J168" s="116">
        <v>0</v>
      </c>
      <c r="K168" s="116">
        <v>0</v>
      </c>
      <c r="L168" s="116">
        <v>0</v>
      </c>
      <c r="M168" s="116">
        <v>0</v>
      </c>
      <c r="N168" s="116">
        <v>0</v>
      </c>
      <c r="O168" s="116">
        <v>0</v>
      </c>
      <c r="P168" s="116">
        <v>0</v>
      </c>
      <c r="Q168" s="116">
        <v>0</v>
      </c>
      <c r="R168" s="116">
        <v>0</v>
      </c>
      <c r="S168" s="116">
        <v>0</v>
      </c>
      <c r="T168" s="116">
        <v>0</v>
      </c>
      <c r="U168" s="116">
        <v>0</v>
      </c>
      <c r="V168" s="116">
        <v>0</v>
      </c>
      <c r="W168" s="116">
        <v>0</v>
      </c>
      <c r="X168" s="116">
        <v>0</v>
      </c>
      <c r="Y168" s="116">
        <v>0</v>
      </c>
      <c r="Z168" s="116">
        <v>0</v>
      </c>
      <c r="AA168" s="116">
        <v>0</v>
      </c>
      <c r="AB168" s="116">
        <v>0</v>
      </c>
      <c r="AC168" s="116">
        <v>0</v>
      </c>
      <c r="AD168" s="116">
        <v>0</v>
      </c>
      <c r="AE168" s="116">
        <v>0</v>
      </c>
      <c r="AF168" s="116">
        <v>0</v>
      </c>
      <c r="AG168" s="116">
        <v>0</v>
      </c>
      <c r="AH168" s="116">
        <v>0</v>
      </c>
      <c r="AI168" s="116">
        <v>0</v>
      </c>
      <c r="AJ168" s="116">
        <v>0</v>
      </c>
      <c r="AK168" s="116">
        <v>0</v>
      </c>
      <c r="AL168" s="116">
        <v>0</v>
      </c>
      <c r="AM168" s="116">
        <v>0</v>
      </c>
      <c r="AN168" s="116">
        <v>0</v>
      </c>
      <c r="AO168" s="116">
        <v>0</v>
      </c>
      <c r="AP168" s="116">
        <v>0</v>
      </c>
      <c r="AQ168" s="116">
        <v>0</v>
      </c>
      <c r="AR168" s="116">
        <v>0</v>
      </c>
      <c r="AS168" s="116">
        <v>0</v>
      </c>
      <c r="AT168" s="116">
        <v>0</v>
      </c>
      <c r="AU168" s="116">
        <v>0</v>
      </c>
      <c r="AV168" s="116">
        <v>0</v>
      </c>
      <c r="AW168" s="116">
        <v>0</v>
      </c>
      <c r="AX168" s="116">
        <v>0</v>
      </c>
      <c r="AY168" s="116">
        <v>0</v>
      </c>
    </row>
    <row r="169" spans="1:52" x14ac:dyDescent="0.2">
      <c r="A169" s="119"/>
      <c r="B169" s="140">
        <v>48</v>
      </c>
      <c r="C169" s="116"/>
      <c r="D169" s="116">
        <v>0</v>
      </c>
      <c r="E169" s="116">
        <v>0</v>
      </c>
      <c r="F169" s="116">
        <v>0</v>
      </c>
      <c r="G169" s="116">
        <v>0</v>
      </c>
      <c r="H169" s="116">
        <v>0</v>
      </c>
      <c r="I169" s="116">
        <v>0</v>
      </c>
      <c r="J169" s="116">
        <v>0</v>
      </c>
      <c r="K169" s="116">
        <v>0</v>
      </c>
      <c r="L169" s="116">
        <v>0</v>
      </c>
      <c r="M169" s="116">
        <v>0</v>
      </c>
      <c r="N169" s="116">
        <v>0</v>
      </c>
      <c r="O169" s="116">
        <v>0</v>
      </c>
      <c r="P169" s="116">
        <v>0</v>
      </c>
      <c r="Q169" s="116">
        <v>0</v>
      </c>
      <c r="R169" s="116">
        <v>0</v>
      </c>
      <c r="S169" s="116">
        <v>0</v>
      </c>
      <c r="T169" s="116">
        <v>0</v>
      </c>
      <c r="U169" s="116">
        <v>0</v>
      </c>
      <c r="V169" s="116">
        <v>0</v>
      </c>
      <c r="W169" s="116">
        <v>0</v>
      </c>
      <c r="X169" s="116">
        <v>0</v>
      </c>
      <c r="Y169" s="116">
        <v>0</v>
      </c>
      <c r="Z169" s="116">
        <v>0</v>
      </c>
      <c r="AA169" s="116">
        <v>0</v>
      </c>
      <c r="AB169" s="116">
        <v>0</v>
      </c>
      <c r="AC169" s="116">
        <v>0</v>
      </c>
      <c r="AD169" s="116">
        <v>0</v>
      </c>
      <c r="AE169" s="116">
        <v>0</v>
      </c>
      <c r="AF169" s="116">
        <v>0</v>
      </c>
      <c r="AG169" s="116">
        <v>0</v>
      </c>
      <c r="AH169" s="116">
        <v>0</v>
      </c>
      <c r="AI169" s="116">
        <v>0</v>
      </c>
      <c r="AJ169" s="116">
        <v>0</v>
      </c>
      <c r="AK169" s="116">
        <v>0</v>
      </c>
      <c r="AL169" s="116">
        <v>0</v>
      </c>
      <c r="AM169" s="116">
        <v>0</v>
      </c>
      <c r="AN169" s="116">
        <v>0</v>
      </c>
      <c r="AO169" s="116">
        <v>0</v>
      </c>
      <c r="AP169" s="116">
        <v>0</v>
      </c>
      <c r="AQ169" s="116">
        <v>0</v>
      </c>
      <c r="AR169" s="116">
        <v>0</v>
      </c>
      <c r="AS169" s="116">
        <v>0</v>
      </c>
      <c r="AT169" s="116">
        <v>0</v>
      </c>
      <c r="AU169" s="116">
        <v>0</v>
      </c>
      <c r="AV169" s="116">
        <v>0</v>
      </c>
      <c r="AW169" s="116">
        <v>0</v>
      </c>
      <c r="AX169" s="116">
        <v>0</v>
      </c>
      <c r="AY169" s="116">
        <v>0</v>
      </c>
    </row>
    <row r="170" spans="1:52" x14ac:dyDescent="0.2">
      <c r="A170" s="138"/>
      <c r="B170" s="142" t="s">
        <v>298</v>
      </c>
      <c r="C170" s="124"/>
      <c r="D170" s="135">
        <v>0</v>
      </c>
      <c r="E170" s="135">
        <v>0</v>
      </c>
      <c r="F170" s="135">
        <v>0</v>
      </c>
      <c r="G170" s="135">
        <v>0</v>
      </c>
      <c r="H170" s="135">
        <v>0</v>
      </c>
      <c r="I170" s="135">
        <v>0</v>
      </c>
      <c r="J170" s="135">
        <v>0</v>
      </c>
      <c r="K170" s="135">
        <v>0</v>
      </c>
      <c r="L170" s="135">
        <v>0</v>
      </c>
      <c r="M170" s="135">
        <v>0</v>
      </c>
      <c r="N170" s="135">
        <v>0</v>
      </c>
      <c r="O170" s="135">
        <v>0</v>
      </c>
      <c r="P170" s="135">
        <v>0</v>
      </c>
      <c r="Q170" s="135">
        <v>0</v>
      </c>
      <c r="R170" s="135">
        <v>0</v>
      </c>
      <c r="S170" s="135">
        <v>0</v>
      </c>
      <c r="T170" s="135">
        <v>0</v>
      </c>
      <c r="U170" s="135">
        <v>0</v>
      </c>
      <c r="V170" s="135">
        <v>0</v>
      </c>
      <c r="W170" s="135">
        <v>0</v>
      </c>
      <c r="X170" s="135">
        <v>0</v>
      </c>
      <c r="Y170" s="135">
        <v>0</v>
      </c>
      <c r="Z170" s="135">
        <v>0</v>
      </c>
      <c r="AA170" s="135">
        <v>0</v>
      </c>
      <c r="AB170" s="135">
        <v>0</v>
      </c>
      <c r="AC170" s="135">
        <v>0</v>
      </c>
      <c r="AD170" s="135">
        <v>0</v>
      </c>
      <c r="AE170" s="135">
        <v>0</v>
      </c>
      <c r="AF170" s="135">
        <v>0</v>
      </c>
      <c r="AG170" s="135">
        <v>0</v>
      </c>
      <c r="AH170" s="135">
        <v>0</v>
      </c>
      <c r="AI170" s="135">
        <v>0</v>
      </c>
      <c r="AJ170" s="135">
        <v>0</v>
      </c>
      <c r="AK170" s="135">
        <v>0</v>
      </c>
      <c r="AL170" s="135">
        <v>0</v>
      </c>
      <c r="AM170" s="135">
        <v>0</v>
      </c>
      <c r="AN170" s="135">
        <v>0</v>
      </c>
      <c r="AO170" s="135">
        <v>0</v>
      </c>
      <c r="AP170" s="135">
        <v>0</v>
      </c>
      <c r="AQ170" s="135">
        <v>0</v>
      </c>
      <c r="AR170" s="135">
        <v>0</v>
      </c>
      <c r="AS170" s="135">
        <v>0</v>
      </c>
      <c r="AT170" s="135">
        <v>0</v>
      </c>
      <c r="AU170" s="135">
        <v>0</v>
      </c>
      <c r="AV170" s="135">
        <v>0</v>
      </c>
      <c r="AW170" s="135">
        <v>0</v>
      </c>
      <c r="AX170" s="135">
        <v>0</v>
      </c>
      <c r="AY170" s="135">
        <v>0</v>
      </c>
      <c r="AZ170" s="117">
        <f>SUM($D170:$AY170)</f>
        <v>0</v>
      </c>
    </row>
    <row r="172" spans="1:52" x14ac:dyDescent="0.2">
      <c r="A172" s="112" t="s">
        <v>124</v>
      </c>
      <c r="B172" s="143" t="s">
        <v>299</v>
      </c>
      <c r="C172" s="144"/>
      <c r="D172" s="144">
        <v>7.4515030102420401E-2</v>
      </c>
      <c r="E172" s="144">
        <v>7.4515030102420401E-2</v>
      </c>
      <c r="F172" s="144">
        <v>7.4515030102420401E-2</v>
      </c>
      <c r="G172" s="144">
        <v>7.4515030102420401E-2</v>
      </c>
      <c r="H172" s="144">
        <v>3.9890950659160297E-2</v>
      </c>
      <c r="I172" s="144">
        <v>3.9890950659160297E-2</v>
      </c>
      <c r="J172" s="144">
        <v>3.9890950659160297E-2</v>
      </c>
      <c r="K172" s="144">
        <v>3.9890950659160297E-2</v>
      </c>
      <c r="L172" s="144">
        <v>0</v>
      </c>
      <c r="M172" s="144">
        <v>0</v>
      </c>
      <c r="N172" s="144">
        <v>0</v>
      </c>
      <c r="O172" s="144">
        <v>0</v>
      </c>
      <c r="P172" s="144">
        <v>5.6572403883669305E-2</v>
      </c>
      <c r="Q172" s="144">
        <v>5.6572403883669305E-2</v>
      </c>
      <c r="R172" s="144">
        <v>5.6572403883669305E-2</v>
      </c>
      <c r="S172" s="144">
        <v>5.6572403883669305E-2</v>
      </c>
      <c r="T172" s="144">
        <v>0.18811153185635698</v>
      </c>
      <c r="U172" s="144">
        <v>0.18811153185635698</v>
      </c>
      <c r="V172" s="144">
        <v>0.18811153185635698</v>
      </c>
      <c r="W172" s="144">
        <v>0.18811153185635698</v>
      </c>
      <c r="X172" s="144">
        <v>9.8118260658732109E-2</v>
      </c>
      <c r="Y172" s="144">
        <v>9.8118260658732109E-2</v>
      </c>
      <c r="Z172" s="144">
        <v>9.8118260658732109E-2</v>
      </c>
      <c r="AA172" s="144">
        <v>9.8118260658732109E-2</v>
      </c>
      <c r="AB172" s="144">
        <v>4.3469970238879198E-2</v>
      </c>
      <c r="AC172" s="144">
        <v>4.3469970238879198E-2</v>
      </c>
      <c r="AD172" s="144">
        <v>4.3469970238879198E-2</v>
      </c>
      <c r="AE172" s="144">
        <v>4.3469970238879198E-2</v>
      </c>
      <c r="AF172" s="144">
        <v>6.3896509743608595E-2</v>
      </c>
      <c r="AG172" s="144">
        <v>6.3896509743608595E-2</v>
      </c>
      <c r="AH172" s="144">
        <v>6.3896509743608595E-2</v>
      </c>
      <c r="AI172" s="144">
        <v>6.3896509743608595E-2</v>
      </c>
      <c r="AJ172" s="144">
        <v>0.13955287962114901</v>
      </c>
      <c r="AK172" s="144">
        <v>0.13955287962114901</v>
      </c>
      <c r="AL172" s="144">
        <v>0.13955287962114901</v>
      </c>
      <c r="AM172" s="144">
        <v>0.13955287962114901</v>
      </c>
      <c r="AN172" s="144">
        <v>0.13537267504341199</v>
      </c>
      <c r="AO172" s="144">
        <v>0.13537267504341199</v>
      </c>
      <c r="AP172" s="144">
        <v>0.13537267504341199</v>
      </c>
      <c r="AQ172" s="144">
        <v>0.13537267504341199</v>
      </c>
      <c r="AR172" s="144">
        <v>0.10556899424306501</v>
      </c>
      <c r="AS172" s="144">
        <v>0.10556899424306501</v>
      </c>
      <c r="AT172" s="144">
        <v>0.10556899424306501</v>
      </c>
      <c r="AU172" s="144">
        <v>0.10556899424306501</v>
      </c>
      <c r="AV172" s="144">
        <v>5.49307939495449E-2</v>
      </c>
      <c r="AW172" s="144">
        <v>5.49307939495449E-2</v>
      </c>
      <c r="AX172" s="144">
        <v>5.49307939495449E-2</v>
      </c>
      <c r="AY172" s="144">
        <v>5.49307939495449E-2</v>
      </c>
    </row>
    <row r="174" spans="1:52" x14ac:dyDescent="0.2">
      <c r="A174" s="112" t="s">
        <v>274</v>
      </c>
    </row>
    <row r="175" spans="1:52" x14ac:dyDescent="0.2">
      <c r="A175" s="145" t="s">
        <v>125</v>
      </c>
      <c r="B175" s="145" t="s">
        <v>300</v>
      </c>
      <c r="C175" s="134" t="s">
        <v>295</v>
      </c>
      <c r="D175" s="134">
        <f t="shared" ref="D175:AY175" si="1">SUM(D95:D98)</f>
        <v>2914.9982800412481</v>
      </c>
      <c r="E175" s="134">
        <f t="shared" si="1"/>
        <v>5255.9965600824962</v>
      </c>
      <c r="F175" s="134">
        <f t="shared" si="1"/>
        <v>7395.4867192883858</v>
      </c>
      <c r="G175" s="134">
        <f t="shared" si="1"/>
        <v>6085.0342798277306</v>
      </c>
      <c r="H175" s="134">
        <f t="shared" si="1"/>
        <v>5871.3286149896085</v>
      </c>
      <c r="I175" s="134">
        <f t="shared" si="1"/>
        <v>6371.8000830085875</v>
      </c>
      <c r="J175" s="134">
        <f t="shared" si="1"/>
        <v>5780.0478413848741</v>
      </c>
      <c r="K175" s="134">
        <f t="shared" si="1"/>
        <v>6260.7253809819067</v>
      </c>
      <c r="L175" s="134">
        <f t="shared" si="1"/>
        <v>6348.7006034362312</v>
      </c>
      <c r="M175" s="134">
        <f t="shared" si="1"/>
        <v>6598.9338327292435</v>
      </c>
      <c r="N175" s="134">
        <f t="shared" si="1"/>
        <v>5763.8615315021798</v>
      </c>
      <c r="O175" s="134">
        <f t="shared" si="1"/>
        <v>4811.3598393026768</v>
      </c>
      <c r="P175" s="134">
        <f t="shared" si="1"/>
        <v>5085.6799525848019</v>
      </c>
      <c r="Q175" s="134">
        <f t="shared" si="1"/>
        <v>5191.4802709396618</v>
      </c>
      <c r="R175" s="134">
        <f t="shared" si="1"/>
        <v>5634.3201791490537</v>
      </c>
      <c r="S175" s="134">
        <f t="shared" si="1"/>
        <v>4759.4796067302796</v>
      </c>
      <c r="T175" s="134">
        <f t="shared" si="1"/>
        <v>4826.3753834385079</v>
      </c>
      <c r="U175" s="134">
        <f t="shared" si="1"/>
        <v>4714.71297547422</v>
      </c>
      <c r="V175" s="134">
        <f t="shared" si="1"/>
        <v>4828.5504461735354</v>
      </c>
      <c r="W175" s="134">
        <f t="shared" si="1"/>
        <v>4940.387916872849</v>
      </c>
      <c r="X175" s="134">
        <f t="shared" si="1"/>
        <v>4977.7509019991185</v>
      </c>
      <c r="Y175" s="134">
        <f t="shared" si="1"/>
        <v>5321.3349085051668</v>
      </c>
      <c r="Z175" s="134">
        <f t="shared" si="1"/>
        <v>5501.9573858705826</v>
      </c>
      <c r="AA175" s="134">
        <f t="shared" si="1"/>
        <v>5358.6008365606758</v>
      </c>
      <c r="AB175" s="134">
        <f t="shared" si="1"/>
        <v>5128.5334422475626</v>
      </c>
      <c r="AC175" s="134">
        <f t="shared" si="1"/>
        <v>5053.9271565476574</v>
      </c>
      <c r="AD175" s="134">
        <f t="shared" si="1"/>
        <v>5746.74941704507</v>
      </c>
      <c r="AE175" s="134">
        <f t="shared" si="1"/>
        <v>4594.6692143110813</v>
      </c>
      <c r="AF175" s="134">
        <f t="shared" si="1"/>
        <v>4893.096706997243</v>
      </c>
      <c r="AG175" s="134">
        <f t="shared" si="1"/>
        <v>5010.398977444107</v>
      </c>
      <c r="AH175" s="134">
        <f t="shared" si="1"/>
        <v>5280.6744298970661</v>
      </c>
      <c r="AI175" s="134">
        <f t="shared" si="1"/>
        <v>4655.9056792381198</v>
      </c>
      <c r="AJ175" s="134">
        <f t="shared" si="1"/>
        <v>4562.1055270925171</v>
      </c>
      <c r="AK175" s="134">
        <f t="shared" si="1"/>
        <v>4940.589010406793</v>
      </c>
      <c r="AL175" s="134">
        <f t="shared" si="1"/>
        <v>4359.3869683455032</v>
      </c>
      <c r="AM175" s="134">
        <f t="shared" si="1"/>
        <v>5012.3425805652132</v>
      </c>
      <c r="AN175" s="134">
        <f t="shared" si="1"/>
        <v>4763.2456693144741</v>
      </c>
      <c r="AO175" s="134">
        <f t="shared" si="1"/>
        <v>5364.5078150892932</v>
      </c>
      <c r="AP175" s="134">
        <f t="shared" si="1"/>
        <v>4337.5758965454334</v>
      </c>
      <c r="AQ175" s="134">
        <f t="shared" si="1"/>
        <v>5093.0860207611331</v>
      </c>
      <c r="AR175" s="134">
        <f t="shared" si="1"/>
        <v>4793.6755818611437</v>
      </c>
      <c r="AS175" s="134">
        <f t="shared" si="1"/>
        <v>5478.9223800178597</v>
      </c>
      <c r="AT175" s="134">
        <f t="shared" si="1"/>
        <v>4901.1224287833084</v>
      </c>
      <c r="AU175" s="134">
        <f t="shared" si="1"/>
        <v>3456.6883268420202</v>
      </c>
      <c r="AV175" s="134">
        <f t="shared" si="1"/>
        <v>3806.9717925064592</v>
      </c>
      <c r="AW175" s="134">
        <f t="shared" si="1"/>
        <v>4157.2552581708978</v>
      </c>
      <c r="AX175" s="134">
        <f t="shared" si="1"/>
        <v>4507.5387238353369</v>
      </c>
      <c r="AY175" s="134">
        <f t="shared" si="1"/>
        <v>4857.822189499776</v>
      </c>
    </row>
    <row r="176" spans="1:52" x14ac:dyDescent="0.2">
      <c r="A176" s="135"/>
      <c r="B176" s="146" t="s">
        <v>301</v>
      </c>
      <c r="C176" s="135" t="s">
        <v>295</v>
      </c>
      <c r="D176" s="135">
        <v>574</v>
      </c>
      <c r="E176" s="135">
        <v>568</v>
      </c>
      <c r="F176" s="135">
        <v>650</v>
      </c>
      <c r="G176" s="135">
        <v>474</v>
      </c>
      <c r="H176" s="135">
        <v>616</v>
      </c>
      <c r="I176" s="135">
        <v>616</v>
      </c>
      <c r="J176" s="135">
        <v>567</v>
      </c>
      <c r="K176" s="135">
        <v>537</v>
      </c>
      <c r="L176" s="135">
        <v>226</v>
      </c>
      <c r="M176" s="135">
        <v>225</v>
      </c>
      <c r="N176" s="135">
        <v>287</v>
      </c>
      <c r="O176" s="135">
        <v>321</v>
      </c>
      <c r="P176" s="135">
        <v>529</v>
      </c>
      <c r="Q176" s="135">
        <v>512</v>
      </c>
      <c r="R176" s="135">
        <v>587</v>
      </c>
      <c r="S176" s="135">
        <v>577</v>
      </c>
      <c r="T176" s="135">
        <v>1012</v>
      </c>
      <c r="U176" s="135">
        <v>840</v>
      </c>
      <c r="V176" s="135">
        <v>932</v>
      </c>
      <c r="W176" s="135">
        <v>884</v>
      </c>
      <c r="X176" s="135">
        <v>882</v>
      </c>
      <c r="Y176" s="135">
        <v>969</v>
      </c>
      <c r="Z176" s="135">
        <v>700</v>
      </c>
      <c r="AA176" s="135">
        <v>721</v>
      </c>
      <c r="AB176" s="135">
        <v>467</v>
      </c>
      <c r="AC176" s="135">
        <v>408</v>
      </c>
      <c r="AD176" s="135">
        <v>431</v>
      </c>
      <c r="AE176" s="135">
        <v>415</v>
      </c>
      <c r="AF176" s="135">
        <v>300</v>
      </c>
      <c r="AG176" s="135">
        <v>300</v>
      </c>
      <c r="AH176" s="135">
        <v>308</v>
      </c>
      <c r="AI176" s="135">
        <v>340</v>
      </c>
      <c r="AJ176" s="135">
        <v>590</v>
      </c>
      <c r="AK176" s="135">
        <v>452</v>
      </c>
      <c r="AL176" s="135">
        <v>511</v>
      </c>
      <c r="AM176" s="135">
        <v>358</v>
      </c>
      <c r="AN176" s="135">
        <v>390</v>
      </c>
      <c r="AO176" s="135">
        <v>471</v>
      </c>
      <c r="AP176" s="135">
        <v>423</v>
      </c>
      <c r="AQ176" s="135">
        <v>504</v>
      </c>
      <c r="AR176" s="135">
        <v>172</v>
      </c>
      <c r="AS176" s="135">
        <v>161</v>
      </c>
      <c r="AT176" s="135">
        <v>183</v>
      </c>
      <c r="AU176" s="135">
        <v>172</v>
      </c>
      <c r="AV176" s="135">
        <v>436</v>
      </c>
      <c r="AW176" s="135">
        <v>369</v>
      </c>
      <c r="AX176" s="135">
        <v>306</v>
      </c>
      <c r="AY176" s="135">
        <v>345</v>
      </c>
    </row>
    <row r="177" spans="1:51" x14ac:dyDescent="0.2">
      <c r="A177" s="145" t="s">
        <v>133</v>
      </c>
      <c r="B177" s="145" t="s">
        <v>300</v>
      </c>
      <c r="C177" s="134" t="s">
        <v>295</v>
      </c>
      <c r="D177" s="134">
        <f t="shared" ref="D177:AY177" si="2">SUM(D100:D107)</f>
        <v>0</v>
      </c>
      <c r="E177" s="134">
        <f t="shared" si="2"/>
        <v>102.807443734697</v>
      </c>
      <c r="F177" s="134">
        <f t="shared" si="2"/>
        <v>0</v>
      </c>
      <c r="G177" s="134">
        <f t="shared" si="2"/>
        <v>561.76485688035189</v>
      </c>
      <c r="H177" s="134">
        <f t="shared" si="2"/>
        <v>485.64728532052783</v>
      </c>
      <c r="I177" s="134">
        <f t="shared" si="2"/>
        <v>275.16523623274156</v>
      </c>
      <c r="J177" s="134">
        <f t="shared" si="2"/>
        <v>484.24690596813815</v>
      </c>
      <c r="K177" s="134">
        <f t="shared" si="2"/>
        <v>248.76485688035189</v>
      </c>
      <c r="L177" s="134">
        <f t="shared" si="2"/>
        <v>203.36447752796221</v>
      </c>
      <c r="M177" s="134">
        <f t="shared" si="2"/>
        <v>77.517950912213749</v>
      </c>
      <c r="N177" s="134">
        <f t="shared" si="2"/>
        <v>203.36447752796221</v>
      </c>
      <c r="O177" s="134">
        <f t="shared" si="2"/>
        <v>561.76485688035189</v>
      </c>
      <c r="P177" s="134">
        <f t="shared" si="2"/>
        <v>337.64728532052783</v>
      </c>
      <c r="Q177" s="134">
        <f t="shared" si="2"/>
        <v>284.52971376070377</v>
      </c>
      <c r="R177" s="134">
        <f t="shared" si="2"/>
        <v>0</v>
      </c>
      <c r="S177" s="134">
        <f t="shared" si="2"/>
        <v>561.76485688035189</v>
      </c>
      <c r="T177" s="134">
        <f t="shared" si="2"/>
        <v>398.64728532052783</v>
      </c>
      <c r="U177" s="134">
        <f t="shared" si="2"/>
        <v>379.52971376070377</v>
      </c>
      <c r="V177" s="134">
        <f t="shared" si="2"/>
        <v>314.41214220087971</v>
      </c>
      <c r="W177" s="134">
        <f t="shared" si="2"/>
        <v>286.29457064105566</v>
      </c>
      <c r="X177" s="134">
        <f t="shared" si="2"/>
        <v>290.1769990812316</v>
      </c>
      <c r="Y177" s="134">
        <f t="shared" si="2"/>
        <v>134.1769990812316</v>
      </c>
      <c r="Z177" s="134">
        <f t="shared" si="2"/>
        <v>77.517950912213749</v>
      </c>
      <c r="AA177" s="134">
        <f t="shared" si="2"/>
        <v>203.36447752796221</v>
      </c>
      <c r="AB177" s="134">
        <f t="shared" si="2"/>
        <v>280.88242844017594</v>
      </c>
      <c r="AC177" s="134">
        <f t="shared" si="2"/>
        <v>304.76485688035189</v>
      </c>
      <c r="AD177" s="134">
        <f t="shared" si="2"/>
        <v>0</v>
      </c>
      <c r="AE177" s="134">
        <f t="shared" si="2"/>
        <v>77.517950912213749</v>
      </c>
      <c r="AF177" s="134">
        <f t="shared" si="2"/>
        <v>203.36447752796221</v>
      </c>
      <c r="AG177" s="134">
        <f t="shared" si="2"/>
        <v>561.76485688035189</v>
      </c>
      <c r="AH177" s="134">
        <f t="shared" si="2"/>
        <v>234.76485688035189</v>
      </c>
      <c r="AI177" s="134">
        <f t="shared" si="2"/>
        <v>561.76485688035189</v>
      </c>
      <c r="AJ177" s="134">
        <f t="shared" si="2"/>
        <v>516.64728532052777</v>
      </c>
      <c r="AK177" s="134">
        <f t="shared" si="2"/>
        <v>270.16523623274156</v>
      </c>
      <c r="AL177" s="134">
        <f t="shared" si="2"/>
        <v>484.24690596813815</v>
      </c>
      <c r="AM177" s="134">
        <f t="shared" si="2"/>
        <v>120.24690596813815</v>
      </c>
      <c r="AN177" s="134">
        <f t="shared" si="2"/>
        <v>280.88242844017594</v>
      </c>
      <c r="AO177" s="134">
        <f t="shared" si="2"/>
        <v>0</v>
      </c>
      <c r="AP177" s="134">
        <f t="shared" si="2"/>
        <v>561.76485688035189</v>
      </c>
      <c r="AQ177" s="134">
        <f t="shared" si="2"/>
        <v>56.764856880351886</v>
      </c>
      <c r="AR177" s="134">
        <f t="shared" si="2"/>
        <v>280.88242844017594</v>
      </c>
      <c r="AS177" s="134">
        <f t="shared" si="2"/>
        <v>19.882428440175943</v>
      </c>
      <c r="AT177" s="134">
        <f t="shared" si="2"/>
        <v>280.88242844017594</v>
      </c>
      <c r="AU177" s="134">
        <f t="shared" si="2"/>
        <v>561.76485688035189</v>
      </c>
      <c r="AV177" s="134">
        <f t="shared" si="2"/>
        <v>511.64728532052783</v>
      </c>
      <c r="AW177" s="134">
        <f t="shared" si="2"/>
        <v>21.647285320527828</v>
      </c>
      <c r="AX177" s="134">
        <f t="shared" si="2"/>
        <v>280.88242844017594</v>
      </c>
      <c r="AY177" s="134">
        <f t="shared" si="2"/>
        <v>77.517950912213749</v>
      </c>
    </row>
    <row r="178" spans="1:51" x14ac:dyDescent="0.2">
      <c r="A178" s="135"/>
      <c r="B178" s="146" t="s">
        <v>301</v>
      </c>
      <c r="C178" s="135" t="s">
        <v>295</v>
      </c>
      <c r="D178" s="135">
        <v>0</v>
      </c>
      <c r="E178" s="135">
        <v>102.807443734697</v>
      </c>
      <c r="F178" s="135">
        <v>0</v>
      </c>
      <c r="G178" s="135">
        <v>357</v>
      </c>
      <c r="H178" s="135">
        <v>288</v>
      </c>
      <c r="I178" s="135">
        <v>275.16523623274156</v>
      </c>
      <c r="J178" s="135">
        <v>313</v>
      </c>
      <c r="K178" s="135">
        <v>248.76485688035189</v>
      </c>
      <c r="L178" s="135">
        <v>203.36447752796221</v>
      </c>
      <c r="M178" s="135">
        <v>77.517950912213749</v>
      </c>
      <c r="N178" s="135">
        <v>203.36447752796221</v>
      </c>
      <c r="O178" s="135">
        <v>505</v>
      </c>
      <c r="P178" s="135">
        <v>334</v>
      </c>
      <c r="Q178" s="135">
        <v>284.52971376070377</v>
      </c>
      <c r="R178" s="135">
        <v>0</v>
      </c>
      <c r="S178" s="135">
        <v>444</v>
      </c>
      <c r="T178" s="135">
        <v>300</v>
      </c>
      <c r="U178" s="135">
        <v>346</v>
      </c>
      <c r="V178" s="135">
        <v>309</v>
      </c>
      <c r="W178" s="135">
        <v>277</v>
      </c>
      <c r="X178" s="135">
        <v>156</v>
      </c>
      <c r="Y178" s="135">
        <v>134.1769990812316</v>
      </c>
      <c r="Z178" s="135">
        <v>77.517950912213749</v>
      </c>
      <c r="AA178" s="135">
        <v>203.36447752796221</v>
      </c>
      <c r="AB178" s="135">
        <v>257</v>
      </c>
      <c r="AC178" s="135">
        <v>304.76485688035189</v>
      </c>
      <c r="AD178" s="135">
        <v>0</v>
      </c>
      <c r="AE178" s="135">
        <v>77.517950912213749</v>
      </c>
      <c r="AF178" s="135">
        <v>203.36447752796221</v>
      </c>
      <c r="AG178" s="135">
        <v>327</v>
      </c>
      <c r="AH178" s="135">
        <v>234.76485688035189</v>
      </c>
      <c r="AI178" s="135">
        <v>326</v>
      </c>
      <c r="AJ178" s="135">
        <v>324</v>
      </c>
      <c r="AK178" s="135">
        <v>270.16523623274156</v>
      </c>
      <c r="AL178" s="135">
        <v>364</v>
      </c>
      <c r="AM178" s="135">
        <v>120.24690596813815</v>
      </c>
      <c r="AN178" s="135">
        <v>280.88242844017594</v>
      </c>
      <c r="AO178" s="135">
        <v>0</v>
      </c>
      <c r="AP178" s="135">
        <v>505</v>
      </c>
      <c r="AQ178" s="135">
        <v>56.764856880351886</v>
      </c>
      <c r="AR178" s="135">
        <v>261</v>
      </c>
      <c r="AS178" s="135">
        <v>19.882428440175943</v>
      </c>
      <c r="AT178" s="135">
        <v>280.88242844017594</v>
      </c>
      <c r="AU178" s="135">
        <v>331</v>
      </c>
      <c r="AV178" s="135">
        <v>490</v>
      </c>
      <c r="AW178" s="135">
        <v>21.647285320527828</v>
      </c>
      <c r="AX178" s="135">
        <v>280.88242844017594</v>
      </c>
      <c r="AY178" s="135">
        <v>77.517950912213749</v>
      </c>
    </row>
    <row r="179" spans="1:51" x14ac:dyDescent="0.2">
      <c r="A179" s="145" t="s">
        <v>134</v>
      </c>
      <c r="B179" s="145" t="s">
        <v>300</v>
      </c>
      <c r="C179" s="134" t="s">
        <v>295</v>
      </c>
      <c r="D179" s="134">
        <f t="shared" ref="D179:AY179" si="3">SUM(D109:D120)</f>
        <v>0</v>
      </c>
      <c r="E179" s="134">
        <f t="shared" si="3"/>
        <v>9.5923592381043665</v>
      </c>
      <c r="F179" s="134">
        <f t="shared" si="3"/>
        <v>19.720132226016567</v>
      </c>
      <c r="G179" s="134">
        <f t="shared" si="3"/>
        <v>20.029129550728644</v>
      </c>
      <c r="H179" s="134">
        <f t="shared" si="3"/>
        <v>75.79458235905588</v>
      </c>
      <c r="I179" s="134">
        <f t="shared" si="3"/>
        <v>49.912734939128185</v>
      </c>
      <c r="J179" s="134">
        <f t="shared" si="3"/>
        <v>39.377232835261658</v>
      </c>
      <c r="K179" s="134">
        <f t="shared" si="3"/>
        <v>55.062596931766002</v>
      </c>
      <c r="L179" s="134">
        <f t="shared" si="3"/>
        <v>44.655811632768405</v>
      </c>
      <c r="M179" s="134">
        <f t="shared" si="3"/>
        <v>0</v>
      </c>
      <c r="N179" s="134">
        <f t="shared" si="3"/>
        <v>0</v>
      </c>
      <c r="O179" s="134">
        <f t="shared" si="3"/>
        <v>0</v>
      </c>
      <c r="P179" s="134">
        <f t="shared" si="3"/>
        <v>0</v>
      </c>
      <c r="Q179" s="134">
        <f t="shared" si="3"/>
        <v>114.67143128375864</v>
      </c>
      <c r="R179" s="134">
        <f t="shared" si="3"/>
        <v>118.42406439213688</v>
      </c>
      <c r="S179" s="134">
        <f t="shared" si="3"/>
        <v>111.10397065639698</v>
      </c>
      <c r="T179" s="134">
        <f t="shared" si="3"/>
        <v>127.38134178194207</v>
      </c>
      <c r="U179" s="134">
        <f t="shared" si="3"/>
        <v>438.60009324727525</v>
      </c>
      <c r="V179" s="134">
        <f t="shared" si="3"/>
        <v>538.25757269840733</v>
      </c>
      <c r="W179" s="134">
        <f t="shared" si="3"/>
        <v>539.00355617002674</v>
      </c>
      <c r="X179" s="134">
        <f t="shared" si="3"/>
        <v>595.8605330740711</v>
      </c>
      <c r="Y179" s="134">
        <f t="shared" si="3"/>
        <v>611.45652594574653</v>
      </c>
      <c r="Z179" s="134">
        <f t="shared" si="3"/>
        <v>601.18611478876937</v>
      </c>
      <c r="AA179" s="134">
        <f t="shared" si="3"/>
        <v>535.80982101598499</v>
      </c>
      <c r="AB179" s="134">
        <f t="shared" si="3"/>
        <v>498.86023884373611</v>
      </c>
      <c r="AC179" s="134">
        <f t="shared" si="3"/>
        <v>416.05090351486962</v>
      </c>
      <c r="AD179" s="134">
        <f t="shared" si="3"/>
        <v>364.82491812513842</v>
      </c>
      <c r="AE179" s="134">
        <f t="shared" si="3"/>
        <v>260.17821497813929</v>
      </c>
      <c r="AF179" s="134">
        <f t="shared" si="3"/>
        <v>143.00681403672027</v>
      </c>
      <c r="AG179" s="134">
        <f t="shared" si="3"/>
        <v>92.904168275197634</v>
      </c>
      <c r="AH179" s="134">
        <f t="shared" si="3"/>
        <v>129.00270804357419</v>
      </c>
      <c r="AI179" s="134">
        <f t="shared" si="3"/>
        <v>113.55365509814257</v>
      </c>
      <c r="AJ179" s="134">
        <f t="shared" si="3"/>
        <v>150.33416239045422</v>
      </c>
      <c r="AK179" s="134">
        <f t="shared" si="3"/>
        <v>342.59018188563795</v>
      </c>
      <c r="AL179" s="134">
        <f t="shared" si="3"/>
        <v>417.36972624288683</v>
      </c>
      <c r="AM179" s="134">
        <f t="shared" si="3"/>
        <v>499.50585109689916</v>
      </c>
      <c r="AN179" s="134">
        <f t="shared" si="3"/>
        <v>572.67151546605828</v>
      </c>
      <c r="AO179" s="134">
        <f t="shared" si="3"/>
        <v>554.07916511567419</v>
      </c>
      <c r="AP179" s="134">
        <f t="shared" si="3"/>
        <v>517.06784816179572</v>
      </c>
      <c r="AQ179" s="134">
        <f t="shared" si="3"/>
        <v>584.03776167031629</v>
      </c>
      <c r="AR179" s="134">
        <f t="shared" si="3"/>
        <v>589.13008947786454</v>
      </c>
      <c r="AS179" s="134">
        <f t="shared" si="3"/>
        <v>540.41238484147163</v>
      </c>
      <c r="AT179" s="134">
        <f t="shared" si="3"/>
        <v>393.35633077700646</v>
      </c>
      <c r="AU179" s="134">
        <f t="shared" si="3"/>
        <v>289.63729873442048</v>
      </c>
      <c r="AV179" s="134">
        <f t="shared" si="3"/>
        <v>277.8948105524629</v>
      </c>
      <c r="AW179" s="134">
        <f t="shared" si="3"/>
        <v>270.02875372544361</v>
      </c>
      <c r="AX179" s="134">
        <f t="shared" si="3"/>
        <v>241.46684850779124</v>
      </c>
      <c r="AY179" s="134">
        <f t="shared" si="3"/>
        <v>236.06453828116577</v>
      </c>
    </row>
    <row r="180" spans="1:51" x14ac:dyDescent="0.2">
      <c r="A180" s="135"/>
      <c r="B180" s="146" t="s">
        <v>301</v>
      </c>
      <c r="C180" s="135" t="s">
        <v>295</v>
      </c>
      <c r="D180" s="135">
        <v>0</v>
      </c>
      <c r="E180" s="135">
        <v>9.5923592381043665</v>
      </c>
      <c r="F180" s="135">
        <v>19.720132226016567</v>
      </c>
      <c r="G180" s="135">
        <v>20.029129550728644</v>
      </c>
      <c r="H180" s="135">
        <v>75.79458235905588</v>
      </c>
      <c r="I180" s="135">
        <v>49.912734939128185</v>
      </c>
      <c r="J180" s="135">
        <v>39.377232835261658</v>
      </c>
      <c r="K180" s="135">
        <v>55.062596931766002</v>
      </c>
      <c r="L180" s="135">
        <v>44.655811632768405</v>
      </c>
      <c r="M180" s="135">
        <v>0</v>
      </c>
      <c r="N180" s="135">
        <v>0</v>
      </c>
      <c r="O180" s="135">
        <v>0</v>
      </c>
      <c r="P180" s="135">
        <v>0</v>
      </c>
      <c r="Q180" s="135">
        <v>114.67143128375864</v>
      </c>
      <c r="R180" s="135">
        <v>107</v>
      </c>
      <c r="S180" s="135">
        <v>111.10397065639698</v>
      </c>
      <c r="T180" s="135">
        <v>127.38134178194207</v>
      </c>
      <c r="U180" s="135">
        <v>305</v>
      </c>
      <c r="V180" s="135">
        <v>376</v>
      </c>
      <c r="W180" s="135">
        <v>304</v>
      </c>
      <c r="X180" s="135">
        <v>163</v>
      </c>
      <c r="Y180" s="135">
        <v>168.93073588906807</v>
      </c>
      <c r="Z180" s="135">
        <v>212.88125732580554</v>
      </c>
      <c r="AA180" s="135">
        <v>192.5872069294156</v>
      </c>
      <c r="AB180" s="135">
        <v>160</v>
      </c>
      <c r="AC180" s="135">
        <v>134.2213339685936</v>
      </c>
      <c r="AD180" s="135">
        <v>173</v>
      </c>
      <c r="AE180" s="135">
        <v>178.63531681078243</v>
      </c>
      <c r="AF180" s="135">
        <v>143.00681403672027</v>
      </c>
      <c r="AG180" s="135">
        <v>92.904168275197634</v>
      </c>
      <c r="AH180" s="135">
        <v>129.00270804357419</v>
      </c>
      <c r="AI180" s="135">
        <v>113.55365509814257</v>
      </c>
      <c r="AJ180" s="135">
        <v>150.33416239045422</v>
      </c>
      <c r="AK180" s="135">
        <v>222.55957612290811</v>
      </c>
      <c r="AL180" s="135">
        <v>256</v>
      </c>
      <c r="AM180" s="135">
        <v>213.1835399726009</v>
      </c>
      <c r="AN180" s="135">
        <v>298.43479655947277</v>
      </c>
      <c r="AO180" s="135">
        <v>276</v>
      </c>
      <c r="AP180" s="135">
        <v>240</v>
      </c>
      <c r="AQ180" s="135">
        <v>258.8994637213612</v>
      </c>
      <c r="AR180" s="135">
        <v>262</v>
      </c>
      <c r="AS180" s="135">
        <v>320.6941207161218</v>
      </c>
      <c r="AT180" s="135">
        <v>290</v>
      </c>
      <c r="AU180" s="135">
        <v>239</v>
      </c>
      <c r="AV180" s="135">
        <v>130</v>
      </c>
      <c r="AW180" s="135">
        <v>140.12210973589833</v>
      </c>
      <c r="AX180" s="135">
        <v>126.97630054134683</v>
      </c>
      <c r="AY180" s="135">
        <v>178.36788305368066</v>
      </c>
    </row>
    <row r="181" spans="1:51" x14ac:dyDescent="0.2">
      <c r="A181" s="145" t="s">
        <v>123</v>
      </c>
      <c r="B181" s="145" t="s">
        <v>300</v>
      </c>
      <c r="C181" s="134" t="s">
        <v>295</v>
      </c>
      <c r="D181" s="134">
        <f t="shared" ref="D181:AY181" si="4">(1-D172)*SUM(D122:D169)</f>
        <v>119.13816968900917</v>
      </c>
      <c r="E181" s="134">
        <f t="shared" si="4"/>
        <v>244.92623776016444</v>
      </c>
      <c r="F181" s="134">
        <f t="shared" si="4"/>
        <v>248.76401893486872</v>
      </c>
      <c r="G181" s="134">
        <f t="shared" si="4"/>
        <v>941.37715138213355</v>
      </c>
      <c r="H181" s="134">
        <f t="shared" si="4"/>
        <v>1201.3167823916792</v>
      </c>
      <c r="I181" s="134">
        <f t="shared" si="4"/>
        <v>947.74471298428045</v>
      </c>
      <c r="J181" s="134">
        <f t="shared" si="4"/>
        <v>1325.2654228799602</v>
      </c>
      <c r="K181" s="134">
        <f t="shared" si="4"/>
        <v>1074.7913535732064</v>
      </c>
      <c r="L181" s="134">
        <f t="shared" si="4"/>
        <v>1087.2791074030374</v>
      </c>
      <c r="M181" s="134">
        <f t="shared" si="4"/>
        <v>1007.548216358543</v>
      </c>
      <c r="N181" s="134">
        <f t="shared" si="4"/>
        <v>1165.9134472731128</v>
      </c>
      <c r="O181" s="134">
        <f t="shared" si="4"/>
        <v>1808.9805926865213</v>
      </c>
      <c r="P181" s="134">
        <f t="shared" si="4"/>
        <v>1912.3138727093196</v>
      </c>
      <c r="Q181" s="134">
        <f t="shared" si="4"/>
        <v>1974.8945196237391</v>
      </c>
      <c r="R181" s="134">
        <f t="shared" si="4"/>
        <v>1662.3082614868117</v>
      </c>
      <c r="S181" s="134">
        <f t="shared" si="4"/>
        <v>2124.2702239510299</v>
      </c>
      <c r="T181" s="134">
        <f t="shared" si="4"/>
        <v>1892.995896211748</v>
      </c>
      <c r="U181" s="134">
        <f t="shared" si="4"/>
        <v>1746.4997380666691</v>
      </c>
      <c r="V181" s="134">
        <f t="shared" si="4"/>
        <v>1626.033855455559</v>
      </c>
      <c r="W181" s="134">
        <f t="shared" si="4"/>
        <v>1557.4569794120239</v>
      </c>
      <c r="X181" s="134">
        <f t="shared" si="4"/>
        <v>1641.6155729739039</v>
      </c>
      <c r="Y181" s="134">
        <f t="shared" si="4"/>
        <v>1458.3712417357647</v>
      </c>
      <c r="Z181" s="134">
        <f t="shared" si="4"/>
        <v>1355.8335848754134</v>
      </c>
      <c r="AA181" s="134">
        <f t="shared" si="4"/>
        <v>1430.5872401382105</v>
      </c>
      <c r="AB181" s="134">
        <f t="shared" si="4"/>
        <v>1698.533225797391</v>
      </c>
      <c r="AC181" s="134">
        <f t="shared" si="4"/>
        <v>1826.2617344782593</v>
      </c>
      <c r="AD181" s="134">
        <f t="shared" si="4"/>
        <v>1504.0723679767907</v>
      </c>
      <c r="AE181" s="134">
        <f t="shared" si="4"/>
        <v>1352.4757655153401</v>
      </c>
      <c r="AF181" s="134">
        <f t="shared" si="4"/>
        <v>1361.0745959481578</v>
      </c>
      <c r="AG181" s="134">
        <f t="shared" si="4"/>
        <v>1889.929289356769</v>
      </c>
      <c r="AH181" s="134">
        <f t="shared" si="4"/>
        <v>1663.5959193275723</v>
      </c>
      <c r="AI181" s="134">
        <f t="shared" si="4"/>
        <v>2202.4416463929319</v>
      </c>
      <c r="AJ181" s="134">
        <f t="shared" si="4"/>
        <v>2112.322843310862</v>
      </c>
      <c r="AK181" s="134">
        <f t="shared" si="4"/>
        <v>1833.3164509946698</v>
      </c>
      <c r="AL181" s="134">
        <f t="shared" si="4"/>
        <v>2084.8602745894596</v>
      </c>
      <c r="AM181" s="134">
        <f t="shared" si="4"/>
        <v>1765.5554580279891</v>
      </c>
      <c r="AN181" s="134">
        <f t="shared" si="4"/>
        <v>1787.3579405702037</v>
      </c>
      <c r="AO181" s="134">
        <f t="shared" si="4"/>
        <v>1526.4243367489105</v>
      </c>
      <c r="AP181" s="134">
        <f t="shared" si="4"/>
        <v>1960.6214849038977</v>
      </c>
      <c r="AQ181" s="134">
        <f t="shared" si="4"/>
        <v>1686.1195691592895</v>
      </c>
      <c r="AR181" s="134">
        <f t="shared" si="4"/>
        <v>1807.0296048572088</v>
      </c>
      <c r="AS181" s="134">
        <f t="shared" si="4"/>
        <v>1471.144740048836</v>
      </c>
      <c r="AT181" s="134">
        <f t="shared" si="4"/>
        <v>1578.2614461581879</v>
      </c>
      <c r="AU181" s="134">
        <f t="shared" si="4"/>
        <v>1925.4343220626367</v>
      </c>
      <c r="AV181" s="134">
        <f t="shared" si="4"/>
        <v>2101.2809101634434</v>
      </c>
      <c r="AW181" s="134">
        <f t="shared" si="4"/>
        <v>1919.3626439793811</v>
      </c>
      <c r="AX181" s="134">
        <f t="shared" si="4"/>
        <v>2091.6470752025484</v>
      </c>
      <c r="AY181" s="134">
        <f t="shared" si="4"/>
        <v>1978.7809534345447</v>
      </c>
    </row>
    <row r="182" spans="1:51" x14ac:dyDescent="0.2">
      <c r="A182" s="135"/>
      <c r="B182" s="146" t="s">
        <v>301</v>
      </c>
      <c r="C182" s="135" t="s">
        <v>295</v>
      </c>
      <c r="D182" s="135">
        <v>119.13816968900917</v>
      </c>
      <c r="E182" s="135">
        <v>104.86361820168061</v>
      </c>
      <c r="F182" s="135">
        <v>103</v>
      </c>
      <c r="G182" s="135">
        <v>135.01026039273339</v>
      </c>
      <c r="H182" s="135">
        <v>390.20091906172718</v>
      </c>
      <c r="I182" s="135">
        <v>281.13586336577873</v>
      </c>
      <c r="J182" s="135">
        <v>381.82434016357536</v>
      </c>
      <c r="K182" s="135">
        <v>381.86701304868529</v>
      </c>
      <c r="L182" s="135">
        <v>307.71116315897933</v>
      </c>
      <c r="M182" s="135">
        <v>235.98953596394662</v>
      </c>
      <c r="N182" s="135">
        <v>225.10826349249749</v>
      </c>
      <c r="O182" s="135">
        <v>262</v>
      </c>
      <c r="P182" s="135">
        <v>299</v>
      </c>
      <c r="Q182" s="135">
        <v>321.57247023962134</v>
      </c>
      <c r="R182" s="135">
        <v>262</v>
      </c>
      <c r="S182" s="135">
        <v>253.95433535251595</v>
      </c>
      <c r="T182" s="135">
        <v>203.11877955445584</v>
      </c>
      <c r="U182" s="135">
        <v>205</v>
      </c>
      <c r="V182" s="135">
        <v>169</v>
      </c>
      <c r="W182" s="135">
        <v>176</v>
      </c>
      <c r="X182" s="135">
        <v>92</v>
      </c>
      <c r="Y182" s="135">
        <v>124.93073588906807</v>
      </c>
      <c r="Z182" s="135">
        <v>105.88125732580554</v>
      </c>
      <c r="AA182" s="135">
        <v>105.58720692941561</v>
      </c>
      <c r="AB182" s="135">
        <v>240</v>
      </c>
      <c r="AC182" s="135">
        <v>333.22133396859357</v>
      </c>
      <c r="AD182" s="135">
        <v>272</v>
      </c>
      <c r="AE182" s="135">
        <v>247.63531681078243</v>
      </c>
      <c r="AF182" s="135">
        <v>165.10155609400255</v>
      </c>
      <c r="AG182" s="135">
        <v>193.06148659803478</v>
      </c>
      <c r="AH182" s="135">
        <v>133.77906809037393</v>
      </c>
      <c r="AI182" s="135">
        <v>201.91160191632457</v>
      </c>
      <c r="AJ182" s="135">
        <v>167.19370870411157</v>
      </c>
      <c r="AK182" s="135">
        <v>133.55957612290811</v>
      </c>
      <c r="AL182" s="135">
        <v>116</v>
      </c>
      <c r="AM182" s="135">
        <v>161.1835399726009</v>
      </c>
      <c r="AN182" s="135">
        <v>113.43479655947279</v>
      </c>
      <c r="AO182" s="135">
        <v>93</v>
      </c>
      <c r="AP182" s="135">
        <v>102</v>
      </c>
      <c r="AQ182" s="135">
        <v>102.8994637213612</v>
      </c>
      <c r="AR182" s="135">
        <v>228</v>
      </c>
      <c r="AS182" s="135">
        <v>143.69412071612183</v>
      </c>
      <c r="AT182" s="135">
        <v>234</v>
      </c>
      <c r="AU182" s="135">
        <v>132</v>
      </c>
      <c r="AV182" s="135">
        <v>129</v>
      </c>
      <c r="AW182" s="135">
        <v>136.12210973589833</v>
      </c>
      <c r="AX182" s="135">
        <v>158.97630054134683</v>
      </c>
      <c r="AY182" s="135">
        <v>154.36788305368066</v>
      </c>
    </row>
    <row r="184" spans="1:51" x14ac:dyDescent="0.2">
      <c r="A184" s="112" t="s">
        <v>302</v>
      </c>
    </row>
    <row r="185" spans="1:51" x14ac:dyDescent="0.2">
      <c r="A185" s="136" t="s">
        <v>125</v>
      </c>
      <c r="B185" s="133">
        <v>1</v>
      </c>
      <c r="C185" s="134"/>
      <c r="D185" s="134">
        <v>574</v>
      </c>
      <c r="E185" s="134">
        <v>0</v>
      </c>
      <c r="F185" s="134">
        <v>0</v>
      </c>
      <c r="G185" s="134">
        <v>0</v>
      </c>
      <c r="H185" s="134">
        <v>0</v>
      </c>
      <c r="I185" s="134">
        <v>0</v>
      </c>
      <c r="J185" s="134">
        <v>0</v>
      </c>
      <c r="K185" s="134">
        <v>0</v>
      </c>
      <c r="L185" s="134">
        <v>0</v>
      </c>
      <c r="M185" s="134">
        <v>0</v>
      </c>
      <c r="N185" s="134">
        <v>0</v>
      </c>
      <c r="O185" s="134">
        <v>0</v>
      </c>
      <c r="P185" s="134">
        <v>0</v>
      </c>
      <c r="Q185" s="134">
        <v>0</v>
      </c>
      <c r="R185" s="134">
        <v>0</v>
      </c>
      <c r="S185" s="134">
        <v>0</v>
      </c>
      <c r="T185" s="134">
        <v>0</v>
      </c>
      <c r="U185" s="134">
        <v>0</v>
      </c>
      <c r="V185" s="134">
        <v>0</v>
      </c>
      <c r="W185" s="134">
        <v>0</v>
      </c>
      <c r="X185" s="134">
        <v>107.38624646932476</v>
      </c>
      <c r="Y185" s="134">
        <v>0</v>
      </c>
      <c r="Z185" s="134">
        <v>0</v>
      </c>
      <c r="AA185" s="134">
        <v>0</v>
      </c>
      <c r="AB185" s="134">
        <v>0</v>
      </c>
      <c r="AC185" s="134">
        <v>0</v>
      </c>
      <c r="AD185" s="134">
        <v>0</v>
      </c>
      <c r="AE185" s="134">
        <v>0</v>
      </c>
      <c r="AF185" s="134">
        <v>0</v>
      </c>
      <c r="AG185" s="134">
        <v>0</v>
      </c>
      <c r="AH185" s="134">
        <v>0</v>
      </c>
      <c r="AI185" s="134">
        <v>0</v>
      </c>
      <c r="AJ185" s="134">
        <v>590</v>
      </c>
      <c r="AK185" s="134">
        <v>248.16537216555662</v>
      </c>
      <c r="AL185" s="134">
        <v>511</v>
      </c>
      <c r="AM185" s="134">
        <v>82.41180200713643</v>
      </c>
      <c r="AN185" s="134">
        <v>0</v>
      </c>
      <c r="AO185" s="134">
        <v>0</v>
      </c>
      <c r="AP185" s="134">
        <v>0</v>
      </c>
      <c r="AQ185" s="134">
        <v>0</v>
      </c>
      <c r="AR185" s="134">
        <v>0</v>
      </c>
      <c r="AS185" s="134">
        <v>0</v>
      </c>
      <c r="AT185" s="134">
        <v>0</v>
      </c>
      <c r="AU185" s="134">
        <v>0</v>
      </c>
      <c r="AV185" s="134">
        <v>0</v>
      </c>
      <c r="AW185" s="134">
        <v>0</v>
      </c>
      <c r="AX185" s="134">
        <v>0</v>
      </c>
      <c r="AY185" s="134">
        <v>0</v>
      </c>
    </row>
    <row r="186" spans="1:51" x14ac:dyDescent="0.2">
      <c r="A186" s="119"/>
      <c r="B186" s="130">
        <v>2</v>
      </c>
      <c r="C186" s="116"/>
      <c r="D186" s="116">
        <v>0</v>
      </c>
      <c r="E186" s="116">
        <v>568</v>
      </c>
      <c r="F186" s="116">
        <v>0</v>
      </c>
      <c r="G186" s="116">
        <v>218.96228025476557</v>
      </c>
      <c r="H186" s="116">
        <v>0</v>
      </c>
      <c r="I186" s="116">
        <v>0</v>
      </c>
      <c r="J186" s="116">
        <v>0</v>
      </c>
      <c r="K186" s="116">
        <v>0</v>
      </c>
      <c r="L186" s="116">
        <v>0</v>
      </c>
      <c r="M186" s="116">
        <v>0</v>
      </c>
      <c r="N186" s="116">
        <v>0</v>
      </c>
      <c r="O186" s="116">
        <v>0</v>
      </c>
      <c r="P186" s="116">
        <v>0</v>
      </c>
      <c r="Q186" s="116">
        <v>0</v>
      </c>
      <c r="R186" s="116">
        <v>0</v>
      </c>
      <c r="S186" s="116">
        <v>0</v>
      </c>
      <c r="T186" s="116">
        <v>778.62408079291754</v>
      </c>
      <c r="U186" s="116">
        <v>840</v>
      </c>
      <c r="V186" s="116">
        <v>932</v>
      </c>
      <c r="W186" s="116">
        <v>884</v>
      </c>
      <c r="X186" s="116">
        <v>774.61375353067524</v>
      </c>
      <c r="Y186" s="116">
        <v>969</v>
      </c>
      <c r="Z186" s="116">
        <v>700</v>
      </c>
      <c r="AA186" s="116">
        <v>721</v>
      </c>
      <c r="AB186" s="116">
        <v>467</v>
      </c>
      <c r="AC186" s="116">
        <v>0</v>
      </c>
      <c r="AD186" s="116">
        <v>0</v>
      </c>
      <c r="AE186" s="116">
        <v>0</v>
      </c>
      <c r="AF186" s="116">
        <v>0</v>
      </c>
      <c r="AG186" s="116">
        <v>0</v>
      </c>
      <c r="AH186" s="116">
        <v>0</v>
      </c>
      <c r="AI186" s="116">
        <v>0</v>
      </c>
      <c r="AJ186" s="116">
        <v>0</v>
      </c>
      <c r="AK186" s="116">
        <v>203.83462783444338</v>
      </c>
      <c r="AL186" s="116">
        <v>0</v>
      </c>
      <c r="AM186" s="116">
        <v>275.58819799286357</v>
      </c>
      <c r="AN186" s="116">
        <v>390</v>
      </c>
      <c r="AO186" s="116">
        <v>0</v>
      </c>
      <c r="AP186" s="116">
        <v>423</v>
      </c>
      <c r="AQ186" s="116">
        <v>28.126346542452666</v>
      </c>
      <c r="AR186" s="116">
        <v>0</v>
      </c>
      <c r="AS186" s="116">
        <v>0</v>
      </c>
      <c r="AT186" s="116">
        <v>0</v>
      </c>
      <c r="AU186" s="116">
        <v>0</v>
      </c>
      <c r="AV186" s="116">
        <v>0</v>
      </c>
      <c r="AW186" s="116">
        <v>0</v>
      </c>
      <c r="AX186" s="116">
        <v>0</v>
      </c>
      <c r="AY186" s="116">
        <v>0</v>
      </c>
    </row>
    <row r="187" spans="1:51" x14ac:dyDescent="0.2">
      <c r="A187" s="119"/>
      <c r="B187" s="137">
        <v>3</v>
      </c>
      <c r="C187" s="116"/>
      <c r="D187" s="116">
        <v>0</v>
      </c>
      <c r="E187" s="116">
        <v>0</v>
      </c>
      <c r="F187" s="116">
        <v>650</v>
      </c>
      <c r="G187" s="116">
        <v>255.03771974523443</v>
      </c>
      <c r="H187" s="116">
        <v>616</v>
      </c>
      <c r="I187" s="116">
        <v>616</v>
      </c>
      <c r="J187" s="116">
        <v>567</v>
      </c>
      <c r="K187" s="116">
        <v>537</v>
      </c>
      <c r="L187" s="116">
        <v>0</v>
      </c>
      <c r="M187" s="116">
        <v>0</v>
      </c>
      <c r="N187" s="116">
        <v>0</v>
      </c>
      <c r="O187" s="116">
        <v>0</v>
      </c>
      <c r="P187" s="116">
        <v>0</v>
      </c>
      <c r="Q187" s="116">
        <v>0</v>
      </c>
      <c r="R187" s="116">
        <v>0</v>
      </c>
      <c r="S187" s="116">
        <v>249.00061259310451</v>
      </c>
      <c r="T187" s="116">
        <v>233.37591920708246</v>
      </c>
      <c r="U187" s="116">
        <v>0</v>
      </c>
      <c r="V187" s="116">
        <v>0</v>
      </c>
      <c r="W187" s="116">
        <v>0</v>
      </c>
      <c r="X187" s="116">
        <v>0</v>
      </c>
      <c r="Y187" s="116">
        <v>0</v>
      </c>
      <c r="Z187" s="116">
        <v>0</v>
      </c>
      <c r="AA187" s="116">
        <v>0</v>
      </c>
      <c r="AB187" s="116">
        <v>0</v>
      </c>
      <c r="AC187" s="116">
        <v>408</v>
      </c>
      <c r="AD187" s="116">
        <v>0</v>
      </c>
      <c r="AE187" s="116">
        <v>0</v>
      </c>
      <c r="AF187" s="116">
        <v>0</v>
      </c>
      <c r="AG187" s="116">
        <v>0</v>
      </c>
      <c r="AH187" s="116">
        <v>0</v>
      </c>
      <c r="AI187" s="116">
        <v>0</v>
      </c>
      <c r="AJ187" s="116">
        <v>0</v>
      </c>
      <c r="AK187" s="116">
        <v>0</v>
      </c>
      <c r="AL187" s="116">
        <v>0</v>
      </c>
      <c r="AM187" s="116">
        <v>0</v>
      </c>
      <c r="AN187" s="116">
        <v>0</v>
      </c>
      <c r="AO187" s="116">
        <v>471</v>
      </c>
      <c r="AP187" s="116">
        <v>0</v>
      </c>
      <c r="AQ187" s="116">
        <v>475.87365345754733</v>
      </c>
      <c r="AR187" s="116">
        <v>172</v>
      </c>
      <c r="AS187" s="116">
        <v>0</v>
      </c>
      <c r="AT187" s="116">
        <v>0</v>
      </c>
      <c r="AU187" s="116">
        <v>0</v>
      </c>
      <c r="AV187" s="116">
        <v>0</v>
      </c>
      <c r="AW187" s="116">
        <v>0</v>
      </c>
      <c r="AX187" s="116">
        <v>0</v>
      </c>
      <c r="AY187" s="116">
        <v>0</v>
      </c>
    </row>
    <row r="188" spans="1:51" x14ac:dyDescent="0.2">
      <c r="A188" s="138"/>
      <c r="B188" s="139">
        <v>4</v>
      </c>
      <c r="C188" s="116"/>
      <c r="D188" s="116">
        <v>0</v>
      </c>
      <c r="E188" s="116">
        <v>0</v>
      </c>
      <c r="F188" s="116">
        <v>0</v>
      </c>
      <c r="G188" s="116">
        <v>0</v>
      </c>
      <c r="H188" s="116">
        <v>0</v>
      </c>
      <c r="I188" s="116">
        <v>0</v>
      </c>
      <c r="J188" s="116">
        <v>0</v>
      </c>
      <c r="K188" s="116">
        <v>0</v>
      </c>
      <c r="L188" s="116">
        <v>226</v>
      </c>
      <c r="M188" s="116">
        <v>225</v>
      </c>
      <c r="N188" s="116">
        <v>287</v>
      </c>
      <c r="O188" s="116">
        <v>321</v>
      </c>
      <c r="P188" s="116">
        <v>529</v>
      </c>
      <c r="Q188" s="116">
        <v>512</v>
      </c>
      <c r="R188" s="116">
        <v>587</v>
      </c>
      <c r="S188" s="116">
        <v>327.99938740689549</v>
      </c>
      <c r="T188" s="116">
        <v>0</v>
      </c>
      <c r="U188" s="116">
        <v>0</v>
      </c>
      <c r="V188" s="116">
        <v>0</v>
      </c>
      <c r="W188" s="116">
        <v>0</v>
      </c>
      <c r="X188" s="116">
        <v>0</v>
      </c>
      <c r="Y188" s="116">
        <v>0</v>
      </c>
      <c r="Z188" s="116">
        <v>0</v>
      </c>
      <c r="AA188" s="116">
        <v>0</v>
      </c>
      <c r="AB188" s="116">
        <v>0</v>
      </c>
      <c r="AC188" s="116">
        <v>0</v>
      </c>
      <c r="AD188" s="116">
        <v>431</v>
      </c>
      <c r="AE188" s="116">
        <v>415</v>
      </c>
      <c r="AF188" s="116">
        <v>300</v>
      </c>
      <c r="AG188" s="116">
        <v>300</v>
      </c>
      <c r="AH188" s="116">
        <v>308</v>
      </c>
      <c r="AI188" s="116">
        <v>340</v>
      </c>
      <c r="AJ188" s="116">
        <v>0</v>
      </c>
      <c r="AK188" s="116">
        <v>0</v>
      </c>
      <c r="AL188" s="116">
        <v>0</v>
      </c>
      <c r="AM188" s="116">
        <v>0</v>
      </c>
      <c r="AN188" s="116">
        <v>0</v>
      </c>
      <c r="AO188" s="116">
        <v>0</v>
      </c>
      <c r="AP188" s="116">
        <v>0</v>
      </c>
      <c r="AQ188" s="116">
        <v>0</v>
      </c>
      <c r="AR188" s="116">
        <v>0</v>
      </c>
      <c r="AS188" s="116">
        <v>161</v>
      </c>
      <c r="AT188" s="116">
        <v>183</v>
      </c>
      <c r="AU188" s="116">
        <v>172</v>
      </c>
      <c r="AV188" s="116">
        <v>436</v>
      </c>
      <c r="AW188" s="116">
        <v>369</v>
      </c>
      <c r="AX188" s="116">
        <v>306</v>
      </c>
      <c r="AY188" s="116">
        <v>345</v>
      </c>
    </row>
    <row r="189" spans="1:51" x14ac:dyDescent="0.2">
      <c r="A189" s="136" t="s">
        <v>133</v>
      </c>
      <c r="B189" s="133">
        <v>1</v>
      </c>
      <c r="C189" s="134"/>
      <c r="D189" s="134">
        <v>0</v>
      </c>
      <c r="E189" s="134">
        <v>102.807443734697</v>
      </c>
      <c r="F189" s="134">
        <v>0</v>
      </c>
      <c r="G189" s="134">
        <v>76.117571559824057</v>
      </c>
      <c r="H189" s="134">
        <v>83.235143119648114</v>
      </c>
      <c r="I189" s="134">
        <v>77.517950912213735</v>
      </c>
      <c r="J189" s="134">
        <v>109.63552247203779</v>
      </c>
      <c r="K189" s="134">
        <v>77.517950912213735</v>
      </c>
      <c r="L189" s="134">
        <v>0</v>
      </c>
      <c r="M189" s="134">
        <v>77.517950912213749</v>
      </c>
      <c r="N189" s="134">
        <v>0</v>
      </c>
      <c r="O189" s="134">
        <v>224.11757155982406</v>
      </c>
      <c r="P189" s="134">
        <v>277.23514311964811</v>
      </c>
      <c r="Q189" s="134">
        <v>280.88242844017594</v>
      </c>
      <c r="R189" s="134">
        <v>0</v>
      </c>
      <c r="S189" s="134">
        <v>163.11757155982406</v>
      </c>
      <c r="T189" s="134">
        <v>182.23514311964811</v>
      </c>
      <c r="U189" s="134">
        <v>247.35271467947217</v>
      </c>
      <c r="V189" s="134">
        <v>275.47028623929623</v>
      </c>
      <c r="W189" s="134">
        <v>271.58785779912029</v>
      </c>
      <c r="X189" s="134">
        <v>146.70542935894434</v>
      </c>
      <c r="Y189" s="134">
        <v>0</v>
      </c>
      <c r="Z189" s="134">
        <v>77.517950912213749</v>
      </c>
      <c r="AA189" s="134">
        <v>0</v>
      </c>
      <c r="AB189" s="134">
        <v>257</v>
      </c>
      <c r="AC189" s="134">
        <v>280.88242844017594</v>
      </c>
      <c r="AD189" s="134">
        <v>0</v>
      </c>
      <c r="AE189" s="134">
        <v>77.517950912213749</v>
      </c>
      <c r="AF189" s="134">
        <v>0</v>
      </c>
      <c r="AG189" s="134">
        <v>46.117571559824057</v>
      </c>
      <c r="AH189" s="134">
        <v>0</v>
      </c>
      <c r="AI189" s="134">
        <v>45.117571559824057</v>
      </c>
      <c r="AJ189" s="134">
        <v>88.235143119648114</v>
      </c>
      <c r="AK189" s="134">
        <v>77.517950912213735</v>
      </c>
      <c r="AL189" s="134">
        <v>160.63552247203779</v>
      </c>
      <c r="AM189" s="134">
        <v>0</v>
      </c>
      <c r="AN189" s="134">
        <v>280.88242844017594</v>
      </c>
      <c r="AO189" s="134">
        <v>0</v>
      </c>
      <c r="AP189" s="134">
        <v>224.11757155982406</v>
      </c>
      <c r="AQ189" s="134">
        <v>0</v>
      </c>
      <c r="AR189" s="134">
        <v>261</v>
      </c>
      <c r="AS189" s="134">
        <v>0</v>
      </c>
      <c r="AT189" s="134">
        <v>280.88242844017594</v>
      </c>
      <c r="AU189" s="134">
        <v>50.117571559824057</v>
      </c>
      <c r="AV189" s="134">
        <v>259.23514311964811</v>
      </c>
      <c r="AW189" s="134">
        <v>0</v>
      </c>
      <c r="AX189" s="134">
        <v>0</v>
      </c>
      <c r="AY189" s="134">
        <v>77.517950912213749</v>
      </c>
    </row>
    <row r="190" spans="1:51" x14ac:dyDescent="0.2">
      <c r="A190" s="119"/>
      <c r="B190" s="129">
        <v>2</v>
      </c>
      <c r="C190" s="116"/>
      <c r="D190" s="116">
        <v>0</v>
      </c>
      <c r="E190" s="116">
        <v>0</v>
      </c>
      <c r="F190" s="116">
        <v>0</v>
      </c>
      <c r="G190" s="116">
        <v>280.88242844017594</v>
      </c>
      <c r="H190" s="116">
        <v>204.76485688035189</v>
      </c>
      <c r="I190" s="116">
        <v>197.64728532052783</v>
      </c>
      <c r="J190" s="116">
        <v>203.36447752796221</v>
      </c>
      <c r="K190" s="116">
        <v>171.24690596813815</v>
      </c>
      <c r="L190" s="116">
        <v>203.36447752796221</v>
      </c>
      <c r="M190" s="116">
        <v>0</v>
      </c>
      <c r="N190" s="116">
        <v>203.36447752796221</v>
      </c>
      <c r="O190" s="116">
        <v>280.88242844017594</v>
      </c>
      <c r="P190" s="116">
        <v>56.764856880351886</v>
      </c>
      <c r="Q190" s="116">
        <v>3.6472853205278284</v>
      </c>
      <c r="R190" s="116">
        <v>0</v>
      </c>
      <c r="S190" s="116">
        <v>280.88242844017594</v>
      </c>
      <c r="T190" s="116">
        <v>117.76485688035189</v>
      </c>
      <c r="U190" s="116">
        <v>98.647285320527828</v>
      </c>
      <c r="V190" s="116">
        <v>33.529713760703771</v>
      </c>
      <c r="W190" s="116">
        <v>5.412142200879714</v>
      </c>
      <c r="X190" s="116">
        <v>9.2945706410556568</v>
      </c>
      <c r="Y190" s="116">
        <v>134.1769990812316</v>
      </c>
      <c r="Z190" s="116">
        <v>0</v>
      </c>
      <c r="AA190" s="116">
        <v>203.36447752796221</v>
      </c>
      <c r="AB190" s="116">
        <v>0</v>
      </c>
      <c r="AC190" s="116">
        <v>23.882428440175943</v>
      </c>
      <c r="AD190" s="116">
        <v>0</v>
      </c>
      <c r="AE190" s="116">
        <v>0</v>
      </c>
      <c r="AF190" s="116">
        <v>203.36447752796221</v>
      </c>
      <c r="AG190" s="116">
        <v>280.88242844017594</v>
      </c>
      <c r="AH190" s="116">
        <v>234.76485688035189</v>
      </c>
      <c r="AI190" s="116">
        <v>280.88242844017594</v>
      </c>
      <c r="AJ190" s="116">
        <v>235.76485688035189</v>
      </c>
      <c r="AK190" s="116">
        <v>192.64728532052783</v>
      </c>
      <c r="AL190" s="116">
        <v>203.36447752796221</v>
      </c>
      <c r="AM190" s="116">
        <v>120.24690596813815</v>
      </c>
      <c r="AN190" s="116">
        <v>0</v>
      </c>
      <c r="AO190" s="116">
        <v>0</v>
      </c>
      <c r="AP190" s="116">
        <v>280.88242844017594</v>
      </c>
      <c r="AQ190" s="116">
        <v>56.764856880351886</v>
      </c>
      <c r="AR190" s="116">
        <v>0</v>
      </c>
      <c r="AS190" s="116">
        <v>19.882428440175943</v>
      </c>
      <c r="AT190" s="116">
        <v>0</v>
      </c>
      <c r="AU190" s="116">
        <v>0</v>
      </c>
      <c r="AV190" s="116">
        <v>230.76485688035189</v>
      </c>
      <c r="AW190" s="116">
        <v>21.647285320527828</v>
      </c>
      <c r="AX190" s="116">
        <v>280.88242844017594</v>
      </c>
      <c r="AY190" s="116">
        <v>0</v>
      </c>
    </row>
    <row r="191" spans="1:51" x14ac:dyDescent="0.2">
      <c r="A191" s="119"/>
      <c r="B191" s="130">
        <v>3</v>
      </c>
      <c r="C191" s="116"/>
      <c r="D191" s="116">
        <v>0</v>
      </c>
      <c r="E191" s="116">
        <v>0</v>
      </c>
      <c r="F191" s="116">
        <v>0</v>
      </c>
      <c r="G191" s="116">
        <v>0</v>
      </c>
      <c r="H191" s="116">
        <v>0</v>
      </c>
      <c r="I191" s="116">
        <v>0</v>
      </c>
      <c r="J191" s="116">
        <v>0</v>
      </c>
      <c r="K191" s="116">
        <v>0</v>
      </c>
      <c r="L191" s="116">
        <v>0</v>
      </c>
      <c r="M191" s="116">
        <v>0</v>
      </c>
      <c r="N191" s="116">
        <v>0</v>
      </c>
      <c r="O191" s="116">
        <v>0</v>
      </c>
      <c r="P191" s="116">
        <v>0</v>
      </c>
      <c r="Q191" s="116">
        <v>0</v>
      </c>
      <c r="R191" s="116">
        <v>0</v>
      </c>
      <c r="S191" s="116">
        <v>0</v>
      </c>
      <c r="T191" s="116">
        <v>0</v>
      </c>
      <c r="U191" s="116">
        <v>0</v>
      </c>
      <c r="V191" s="116">
        <v>0</v>
      </c>
      <c r="W191" s="116">
        <v>0</v>
      </c>
      <c r="X191" s="116">
        <v>0</v>
      </c>
      <c r="Y191" s="116">
        <v>0</v>
      </c>
      <c r="Z191" s="116">
        <v>0</v>
      </c>
      <c r="AA191" s="116">
        <v>0</v>
      </c>
      <c r="AB191" s="116">
        <v>0</v>
      </c>
      <c r="AC191" s="116">
        <v>0</v>
      </c>
      <c r="AD191" s="116">
        <v>0</v>
      </c>
      <c r="AE191" s="116">
        <v>0</v>
      </c>
      <c r="AF191" s="116">
        <v>0</v>
      </c>
      <c r="AG191" s="116">
        <v>0</v>
      </c>
      <c r="AH191" s="116">
        <v>0</v>
      </c>
      <c r="AI191" s="116">
        <v>0</v>
      </c>
      <c r="AJ191" s="116">
        <v>0</v>
      </c>
      <c r="AK191" s="116">
        <v>0</v>
      </c>
      <c r="AL191" s="116">
        <v>0</v>
      </c>
      <c r="AM191" s="116">
        <v>0</v>
      </c>
      <c r="AN191" s="116">
        <v>0</v>
      </c>
      <c r="AO191" s="116">
        <v>0</v>
      </c>
      <c r="AP191" s="116">
        <v>0</v>
      </c>
      <c r="AQ191" s="116">
        <v>0</v>
      </c>
      <c r="AR191" s="116">
        <v>0</v>
      </c>
      <c r="AS191" s="116">
        <v>0</v>
      </c>
      <c r="AT191" s="116">
        <v>0</v>
      </c>
      <c r="AU191" s="116">
        <v>280.88242844017594</v>
      </c>
      <c r="AV191" s="116">
        <v>0</v>
      </c>
      <c r="AW191" s="116">
        <v>0</v>
      </c>
      <c r="AX191" s="116">
        <v>0</v>
      </c>
      <c r="AY191" s="116">
        <v>0</v>
      </c>
    </row>
    <row r="192" spans="1:51" x14ac:dyDescent="0.2">
      <c r="A192" s="119"/>
      <c r="B192" s="130">
        <v>4</v>
      </c>
      <c r="C192" s="116"/>
      <c r="D192" s="116">
        <v>0</v>
      </c>
      <c r="E192" s="116">
        <v>0</v>
      </c>
      <c r="F192" s="116">
        <v>0</v>
      </c>
      <c r="G192" s="116">
        <v>0</v>
      </c>
      <c r="H192" s="116">
        <v>0</v>
      </c>
      <c r="I192" s="116">
        <v>0</v>
      </c>
      <c r="J192" s="116">
        <v>0</v>
      </c>
      <c r="K192" s="116">
        <v>0</v>
      </c>
      <c r="L192" s="116">
        <v>0</v>
      </c>
      <c r="M192" s="116">
        <v>0</v>
      </c>
      <c r="N192" s="116">
        <v>0</v>
      </c>
      <c r="O192" s="116">
        <v>0</v>
      </c>
      <c r="P192" s="116">
        <v>0</v>
      </c>
      <c r="Q192" s="116">
        <v>0</v>
      </c>
      <c r="R192" s="116">
        <v>0</v>
      </c>
      <c r="S192" s="116">
        <v>0</v>
      </c>
      <c r="T192" s="116">
        <v>0</v>
      </c>
      <c r="U192" s="116">
        <v>0</v>
      </c>
      <c r="V192" s="116">
        <v>0</v>
      </c>
      <c r="W192" s="116">
        <v>0</v>
      </c>
      <c r="X192" s="116">
        <v>0</v>
      </c>
      <c r="Y192" s="116">
        <v>0</v>
      </c>
      <c r="Z192" s="116">
        <v>0</v>
      </c>
      <c r="AA192" s="116">
        <v>0</v>
      </c>
      <c r="AB192" s="116">
        <v>0</v>
      </c>
      <c r="AC192" s="116">
        <v>0</v>
      </c>
      <c r="AD192" s="116">
        <v>0</v>
      </c>
      <c r="AE192" s="116">
        <v>0</v>
      </c>
      <c r="AF192" s="116">
        <v>0</v>
      </c>
      <c r="AG192" s="116">
        <v>0</v>
      </c>
      <c r="AH192" s="116">
        <v>0</v>
      </c>
      <c r="AI192" s="116">
        <v>0</v>
      </c>
      <c r="AJ192" s="116">
        <v>0</v>
      </c>
      <c r="AK192" s="116">
        <v>0</v>
      </c>
      <c r="AL192" s="116">
        <v>0</v>
      </c>
      <c r="AM192" s="116">
        <v>0</v>
      </c>
      <c r="AN192" s="116">
        <v>0</v>
      </c>
      <c r="AO192" s="116">
        <v>0</v>
      </c>
      <c r="AP192" s="116">
        <v>0</v>
      </c>
      <c r="AQ192" s="116">
        <v>0</v>
      </c>
      <c r="AR192" s="116">
        <v>0</v>
      </c>
      <c r="AS192" s="116">
        <v>0</v>
      </c>
      <c r="AT192" s="116">
        <v>0</v>
      </c>
      <c r="AU192" s="116">
        <v>0</v>
      </c>
      <c r="AV192" s="116">
        <v>0</v>
      </c>
      <c r="AW192" s="116">
        <v>0</v>
      </c>
      <c r="AX192" s="116">
        <v>0</v>
      </c>
      <c r="AY192" s="116">
        <v>0</v>
      </c>
    </row>
    <row r="193" spans="1:51" x14ac:dyDescent="0.2">
      <c r="A193" s="119"/>
      <c r="B193" s="137">
        <v>5</v>
      </c>
      <c r="C193" s="116"/>
      <c r="D193" s="116">
        <v>0</v>
      </c>
      <c r="E193" s="116">
        <v>0</v>
      </c>
      <c r="F193" s="116">
        <v>0</v>
      </c>
      <c r="G193" s="116">
        <v>0</v>
      </c>
      <c r="H193" s="116">
        <v>0</v>
      </c>
      <c r="I193" s="116">
        <v>0</v>
      </c>
      <c r="J193" s="116">
        <v>0</v>
      </c>
      <c r="K193" s="116">
        <v>0</v>
      </c>
      <c r="L193" s="116">
        <v>0</v>
      </c>
      <c r="M193" s="116">
        <v>0</v>
      </c>
      <c r="N193" s="116">
        <v>0</v>
      </c>
      <c r="O193" s="116">
        <v>0</v>
      </c>
      <c r="P193" s="116">
        <v>0</v>
      </c>
      <c r="Q193" s="116">
        <v>0</v>
      </c>
      <c r="R193" s="116">
        <v>0</v>
      </c>
      <c r="S193" s="116">
        <v>0</v>
      </c>
      <c r="T193" s="116">
        <v>0</v>
      </c>
      <c r="U193" s="116">
        <v>0</v>
      </c>
      <c r="V193" s="116">
        <v>0</v>
      </c>
      <c r="W193" s="116">
        <v>0</v>
      </c>
      <c r="X193" s="116">
        <v>0</v>
      </c>
      <c r="Y193" s="116">
        <v>0</v>
      </c>
      <c r="Z193" s="116">
        <v>0</v>
      </c>
      <c r="AA193" s="116">
        <v>0</v>
      </c>
      <c r="AB193" s="116">
        <v>0</v>
      </c>
      <c r="AC193" s="116">
        <v>0</v>
      </c>
      <c r="AD193" s="116">
        <v>0</v>
      </c>
      <c r="AE193" s="116">
        <v>0</v>
      </c>
      <c r="AF193" s="116">
        <v>0</v>
      </c>
      <c r="AG193" s="116">
        <v>0</v>
      </c>
      <c r="AH193" s="116">
        <v>0</v>
      </c>
      <c r="AI193" s="116">
        <v>0</v>
      </c>
      <c r="AJ193" s="116">
        <v>0</v>
      </c>
      <c r="AK193" s="116">
        <v>0</v>
      </c>
      <c r="AL193" s="116">
        <v>0</v>
      </c>
      <c r="AM193" s="116">
        <v>0</v>
      </c>
      <c r="AN193" s="116">
        <v>0</v>
      </c>
      <c r="AO193" s="116">
        <v>0</v>
      </c>
      <c r="AP193" s="116">
        <v>0</v>
      </c>
      <c r="AQ193" s="116">
        <v>0</v>
      </c>
      <c r="AR193" s="116">
        <v>0</v>
      </c>
      <c r="AS193" s="116">
        <v>0</v>
      </c>
      <c r="AT193" s="116">
        <v>0</v>
      </c>
      <c r="AU193" s="116">
        <v>0</v>
      </c>
      <c r="AV193" s="116">
        <v>0</v>
      </c>
      <c r="AW193" s="116">
        <v>0</v>
      </c>
      <c r="AX193" s="116">
        <v>0</v>
      </c>
      <c r="AY193" s="116">
        <v>0</v>
      </c>
    </row>
    <row r="194" spans="1:51" x14ac:dyDescent="0.2">
      <c r="A194" s="119"/>
      <c r="B194" s="137">
        <v>6</v>
      </c>
      <c r="C194" s="116"/>
      <c r="D194" s="116">
        <v>0</v>
      </c>
      <c r="E194" s="116">
        <v>0</v>
      </c>
      <c r="F194" s="116">
        <v>0</v>
      </c>
      <c r="G194" s="116">
        <v>0</v>
      </c>
      <c r="H194" s="116">
        <v>0</v>
      </c>
      <c r="I194" s="116">
        <v>0</v>
      </c>
      <c r="J194" s="116">
        <v>0</v>
      </c>
      <c r="K194" s="116">
        <v>0</v>
      </c>
      <c r="L194" s="116">
        <v>0</v>
      </c>
      <c r="M194" s="116">
        <v>0</v>
      </c>
      <c r="N194" s="116">
        <v>0</v>
      </c>
      <c r="O194" s="116">
        <v>0</v>
      </c>
      <c r="P194" s="116">
        <v>0</v>
      </c>
      <c r="Q194" s="116">
        <v>0</v>
      </c>
      <c r="R194" s="116">
        <v>0</v>
      </c>
      <c r="S194" s="116">
        <v>0</v>
      </c>
      <c r="T194" s="116">
        <v>0</v>
      </c>
      <c r="U194" s="116">
        <v>0</v>
      </c>
      <c r="V194" s="116">
        <v>0</v>
      </c>
      <c r="W194" s="116">
        <v>0</v>
      </c>
      <c r="X194" s="116">
        <v>0</v>
      </c>
      <c r="Y194" s="116">
        <v>0</v>
      </c>
      <c r="Z194" s="116">
        <v>0</v>
      </c>
      <c r="AA194" s="116">
        <v>0</v>
      </c>
      <c r="AB194" s="116">
        <v>0</v>
      </c>
      <c r="AC194" s="116">
        <v>0</v>
      </c>
      <c r="AD194" s="116">
        <v>0</v>
      </c>
      <c r="AE194" s="116">
        <v>0</v>
      </c>
      <c r="AF194" s="116">
        <v>0</v>
      </c>
      <c r="AG194" s="116">
        <v>0</v>
      </c>
      <c r="AH194" s="116">
        <v>0</v>
      </c>
      <c r="AI194" s="116">
        <v>0</v>
      </c>
      <c r="AJ194" s="116">
        <v>0</v>
      </c>
      <c r="AK194" s="116">
        <v>0</v>
      </c>
      <c r="AL194" s="116">
        <v>0</v>
      </c>
      <c r="AM194" s="116">
        <v>0</v>
      </c>
      <c r="AN194" s="116">
        <v>0</v>
      </c>
      <c r="AO194" s="116">
        <v>0</v>
      </c>
      <c r="AP194" s="116">
        <v>0</v>
      </c>
      <c r="AQ194" s="116">
        <v>0</v>
      </c>
      <c r="AR194" s="116">
        <v>0</v>
      </c>
      <c r="AS194" s="116">
        <v>0</v>
      </c>
      <c r="AT194" s="116">
        <v>0</v>
      </c>
      <c r="AU194" s="116">
        <v>0</v>
      </c>
      <c r="AV194" s="116">
        <v>0</v>
      </c>
      <c r="AW194" s="116">
        <v>0</v>
      </c>
      <c r="AX194" s="116">
        <v>0</v>
      </c>
      <c r="AY194" s="116">
        <v>0</v>
      </c>
    </row>
    <row r="195" spans="1:51" x14ac:dyDescent="0.2">
      <c r="A195" s="119"/>
      <c r="B195" s="140">
        <v>7</v>
      </c>
      <c r="C195" s="116"/>
      <c r="D195" s="116">
        <v>0</v>
      </c>
      <c r="E195" s="116">
        <v>0</v>
      </c>
      <c r="F195" s="116">
        <v>0</v>
      </c>
      <c r="G195" s="116">
        <v>0</v>
      </c>
      <c r="H195" s="116">
        <v>0</v>
      </c>
      <c r="I195" s="116">
        <v>0</v>
      </c>
      <c r="J195" s="116">
        <v>0</v>
      </c>
      <c r="K195" s="116">
        <v>0</v>
      </c>
      <c r="L195" s="116">
        <v>0</v>
      </c>
      <c r="M195" s="116">
        <v>0</v>
      </c>
      <c r="N195" s="116">
        <v>0</v>
      </c>
      <c r="O195" s="116">
        <v>0</v>
      </c>
      <c r="P195" s="116">
        <v>0</v>
      </c>
      <c r="Q195" s="116">
        <v>0</v>
      </c>
      <c r="R195" s="116">
        <v>0</v>
      </c>
      <c r="S195" s="116">
        <v>0</v>
      </c>
      <c r="T195" s="116">
        <v>0</v>
      </c>
      <c r="U195" s="116">
        <v>0</v>
      </c>
      <c r="V195" s="116">
        <v>0</v>
      </c>
      <c r="W195" s="116">
        <v>0</v>
      </c>
      <c r="X195" s="116">
        <v>0</v>
      </c>
      <c r="Y195" s="116">
        <v>0</v>
      </c>
      <c r="Z195" s="116">
        <v>0</v>
      </c>
      <c r="AA195" s="116">
        <v>0</v>
      </c>
      <c r="AB195" s="116">
        <v>0</v>
      </c>
      <c r="AC195" s="116">
        <v>0</v>
      </c>
      <c r="AD195" s="116">
        <v>0</v>
      </c>
      <c r="AE195" s="116">
        <v>0</v>
      </c>
      <c r="AF195" s="116">
        <v>0</v>
      </c>
      <c r="AG195" s="116">
        <v>0</v>
      </c>
      <c r="AH195" s="116">
        <v>0</v>
      </c>
      <c r="AI195" s="116">
        <v>0</v>
      </c>
      <c r="AJ195" s="116">
        <v>0</v>
      </c>
      <c r="AK195" s="116">
        <v>0</v>
      </c>
      <c r="AL195" s="116">
        <v>0</v>
      </c>
      <c r="AM195" s="116">
        <v>0</v>
      </c>
      <c r="AN195" s="116">
        <v>0</v>
      </c>
      <c r="AO195" s="116">
        <v>0</v>
      </c>
      <c r="AP195" s="116">
        <v>0</v>
      </c>
      <c r="AQ195" s="116">
        <v>0</v>
      </c>
      <c r="AR195" s="116">
        <v>0</v>
      </c>
      <c r="AS195" s="116">
        <v>0</v>
      </c>
      <c r="AT195" s="116">
        <v>0</v>
      </c>
      <c r="AU195" s="116">
        <v>0</v>
      </c>
      <c r="AV195" s="116">
        <v>0</v>
      </c>
      <c r="AW195" s="116">
        <v>0</v>
      </c>
      <c r="AX195" s="116">
        <v>0</v>
      </c>
      <c r="AY195" s="116">
        <v>0</v>
      </c>
    </row>
    <row r="196" spans="1:51" x14ac:dyDescent="0.2">
      <c r="A196" s="138"/>
      <c r="B196" s="139">
        <v>8</v>
      </c>
      <c r="C196" s="124"/>
      <c r="D196" s="124">
        <v>0</v>
      </c>
      <c r="E196" s="124">
        <v>0</v>
      </c>
      <c r="F196" s="124">
        <v>0</v>
      </c>
      <c r="G196" s="124">
        <v>0</v>
      </c>
      <c r="H196" s="124">
        <v>0</v>
      </c>
      <c r="I196" s="124">
        <v>0</v>
      </c>
      <c r="J196" s="124">
        <v>0</v>
      </c>
      <c r="K196" s="124">
        <v>0</v>
      </c>
      <c r="L196" s="124">
        <v>0</v>
      </c>
      <c r="M196" s="124">
        <v>0</v>
      </c>
      <c r="N196" s="124">
        <v>0</v>
      </c>
      <c r="O196" s="124">
        <v>0</v>
      </c>
      <c r="P196" s="124">
        <v>0</v>
      </c>
      <c r="Q196" s="124">
        <v>0</v>
      </c>
      <c r="R196" s="124">
        <v>0</v>
      </c>
      <c r="S196" s="124">
        <v>0</v>
      </c>
      <c r="T196" s="124">
        <v>0</v>
      </c>
      <c r="U196" s="124">
        <v>0</v>
      </c>
      <c r="V196" s="124">
        <v>0</v>
      </c>
      <c r="W196" s="124">
        <v>0</v>
      </c>
      <c r="X196" s="124">
        <v>0</v>
      </c>
      <c r="Y196" s="124">
        <v>0</v>
      </c>
      <c r="Z196" s="124">
        <v>0</v>
      </c>
      <c r="AA196" s="124">
        <v>0</v>
      </c>
      <c r="AB196" s="124">
        <v>0</v>
      </c>
      <c r="AC196" s="124">
        <v>0</v>
      </c>
      <c r="AD196" s="124">
        <v>0</v>
      </c>
      <c r="AE196" s="124">
        <v>0</v>
      </c>
      <c r="AF196" s="124">
        <v>0</v>
      </c>
      <c r="AG196" s="124">
        <v>0</v>
      </c>
      <c r="AH196" s="124">
        <v>0</v>
      </c>
      <c r="AI196" s="124">
        <v>0</v>
      </c>
      <c r="AJ196" s="124">
        <v>0</v>
      </c>
      <c r="AK196" s="124">
        <v>0</v>
      </c>
      <c r="AL196" s="124">
        <v>0</v>
      </c>
      <c r="AM196" s="124">
        <v>0</v>
      </c>
      <c r="AN196" s="124">
        <v>0</v>
      </c>
      <c r="AO196" s="124">
        <v>0</v>
      </c>
      <c r="AP196" s="124">
        <v>0</v>
      </c>
      <c r="AQ196" s="124">
        <v>0</v>
      </c>
      <c r="AR196" s="124">
        <v>0</v>
      </c>
      <c r="AS196" s="124">
        <v>0</v>
      </c>
      <c r="AT196" s="124">
        <v>0</v>
      </c>
      <c r="AU196" s="124">
        <v>0</v>
      </c>
      <c r="AV196" s="124">
        <v>0</v>
      </c>
      <c r="AW196" s="124">
        <v>0</v>
      </c>
      <c r="AX196" s="124">
        <v>0</v>
      </c>
      <c r="AY196" s="124">
        <v>0</v>
      </c>
    </row>
    <row r="197" spans="1:51" x14ac:dyDescent="0.2">
      <c r="A197" s="141" t="s">
        <v>134</v>
      </c>
      <c r="B197" s="129">
        <v>1</v>
      </c>
      <c r="C197" s="116"/>
      <c r="D197" s="116">
        <v>0</v>
      </c>
      <c r="E197" s="116">
        <v>9.5923592381043665</v>
      </c>
      <c r="F197" s="116">
        <v>19.720132226016567</v>
      </c>
      <c r="G197" s="116">
        <v>20.029129550728644</v>
      </c>
      <c r="H197" s="116">
        <v>75.79458235905588</v>
      </c>
      <c r="I197" s="116">
        <v>49.912734939128185</v>
      </c>
      <c r="J197" s="116">
        <v>39.377232835261658</v>
      </c>
      <c r="K197" s="116">
        <v>55.062596931766002</v>
      </c>
      <c r="L197" s="116">
        <v>44.655811632768405</v>
      </c>
      <c r="M197" s="116">
        <v>0</v>
      </c>
      <c r="N197" s="116">
        <v>0</v>
      </c>
      <c r="O197" s="116">
        <v>0</v>
      </c>
      <c r="P197" s="116">
        <v>0</v>
      </c>
      <c r="Q197" s="116">
        <v>114.67143128375864</v>
      </c>
      <c r="R197" s="116">
        <v>107</v>
      </c>
      <c r="S197" s="116">
        <v>99.679906264260097</v>
      </c>
      <c r="T197" s="116">
        <v>127.38134178194207</v>
      </c>
      <c r="U197" s="116">
        <v>305</v>
      </c>
      <c r="V197" s="116">
        <v>242.39990675272475</v>
      </c>
      <c r="W197" s="116">
        <v>141.74242730159261</v>
      </c>
      <c r="X197" s="116">
        <v>0</v>
      </c>
      <c r="Y197" s="116">
        <v>0</v>
      </c>
      <c r="Z197" s="116">
        <v>0</v>
      </c>
      <c r="AA197" s="116">
        <v>0</v>
      </c>
      <c r="AB197" s="116">
        <v>0</v>
      </c>
      <c r="AC197" s="116">
        <v>0</v>
      </c>
      <c r="AD197" s="116">
        <v>0</v>
      </c>
      <c r="AE197" s="116">
        <v>0</v>
      </c>
      <c r="AF197" s="116">
        <v>61.46391586936339</v>
      </c>
      <c r="AG197" s="116">
        <v>92.90416827519762</v>
      </c>
      <c r="AH197" s="116">
        <v>129.00270804357419</v>
      </c>
      <c r="AI197" s="116">
        <v>113.55365509814257</v>
      </c>
      <c r="AJ197" s="116">
        <v>150.33416239045422</v>
      </c>
      <c r="AK197" s="116">
        <v>222.55957612290811</v>
      </c>
      <c r="AL197" s="116">
        <v>135.96939423727017</v>
      </c>
      <c r="AM197" s="116">
        <v>51.813813729714099</v>
      </c>
      <c r="AN197" s="116">
        <v>12.112485435174506</v>
      </c>
      <c r="AO197" s="116">
        <v>1.7632810934144914</v>
      </c>
      <c r="AP197" s="116">
        <v>0</v>
      </c>
      <c r="AQ197" s="116">
        <v>0</v>
      </c>
      <c r="AR197" s="116">
        <v>0</v>
      </c>
      <c r="AS197" s="116">
        <v>0</v>
      </c>
      <c r="AT197" s="116">
        <v>70.281735874650138</v>
      </c>
      <c r="AU197" s="116">
        <v>135.64366922299354</v>
      </c>
      <c r="AV197" s="116">
        <v>79.362701265579545</v>
      </c>
      <c r="AW197" s="116">
        <v>0</v>
      </c>
      <c r="AX197" s="116">
        <v>0</v>
      </c>
      <c r="AY197" s="116">
        <v>63.877335087236247</v>
      </c>
    </row>
    <row r="198" spans="1:51" x14ac:dyDescent="0.2">
      <c r="A198" s="119"/>
      <c r="B198" s="129">
        <v>2</v>
      </c>
      <c r="C198" s="116"/>
      <c r="D198" s="116">
        <v>0</v>
      </c>
      <c r="E198" s="116">
        <v>0</v>
      </c>
      <c r="F198" s="116">
        <v>0</v>
      </c>
      <c r="G198" s="116">
        <v>0</v>
      </c>
      <c r="H198" s="116">
        <v>0</v>
      </c>
      <c r="I198" s="116">
        <v>0</v>
      </c>
      <c r="J198" s="116">
        <v>0</v>
      </c>
      <c r="K198" s="116">
        <v>0</v>
      </c>
      <c r="L198" s="116">
        <v>0</v>
      </c>
      <c r="M198" s="116">
        <v>0</v>
      </c>
      <c r="N198" s="116">
        <v>0</v>
      </c>
      <c r="O198" s="116">
        <v>0</v>
      </c>
      <c r="P198" s="116">
        <v>0</v>
      </c>
      <c r="Q198" s="116">
        <v>0</v>
      </c>
      <c r="R198" s="116">
        <v>0</v>
      </c>
      <c r="S198" s="116">
        <v>11.424064392136884</v>
      </c>
      <c r="T198" s="116">
        <v>0</v>
      </c>
      <c r="U198" s="116">
        <v>0</v>
      </c>
      <c r="V198" s="116">
        <v>133.60009324727525</v>
      </c>
      <c r="W198" s="116">
        <v>162.25757269840739</v>
      </c>
      <c r="X198" s="116">
        <v>163</v>
      </c>
      <c r="Y198" s="116">
        <v>96.927179719041277</v>
      </c>
      <c r="Z198" s="116">
        <v>0</v>
      </c>
      <c r="AA198" s="116">
        <v>0</v>
      </c>
      <c r="AB198" s="116">
        <v>0</v>
      </c>
      <c r="AC198" s="116">
        <v>0</v>
      </c>
      <c r="AD198" s="116">
        <v>0</v>
      </c>
      <c r="AE198" s="116">
        <v>69.805747264506394</v>
      </c>
      <c r="AF198" s="116">
        <v>68.353296853000884</v>
      </c>
      <c r="AG198" s="116">
        <v>7.1054273576010019E-15</v>
      </c>
      <c r="AH198" s="116">
        <v>0</v>
      </c>
      <c r="AI198" s="116">
        <v>0</v>
      </c>
      <c r="AJ198" s="116">
        <v>0</v>
      </c>
      <c r="AK198" s="116">
        <v>0</v>
      </c>
      <c r="AL198" s="116">
        <v>120.03060576272983</v>
      </c>
      <c r="AM198" s="116">
        <v>161.3697262428868</v>
      </c>
      <c r="AN198" s="116">
        <v>286.32231112429827</v>
      </c>
      <c r="AO198" s="116">
        <v>274.23671890658551</v>
      </c>
      <c r="AP198" s="116">
        <v>240</v>
      </c>
      <c r="AQ198" s="116">
        <v>220.82029860568696</v>
      </c>
      <c r="AR198" s="116">
        <v>243.83161555956545</v>
      </c>
      <c r="AS198" s="116">
        <v>257.55582276716677</v>
      </c>
      <c r="AT198" s="116">
        <v>213.28229536360706</v>
      </c>
      <c r="AU198" s="116">
        <v>103.35633077700646</v>
      </c>
      <c r="AV198" s="116">
        <v>50.637298734420455</v>
      </c>
      <c r="AW198" s="116">
        <v>140.12210973589833</v>
      </c>
      <c r="AX198" s="116">
        <v>119.20359972478224</v>
      </c>
      <c r="AY198" s="116">
        <v>111.56020451824594</v>
      </c>
    </row>
    <row r="199" spans="1:51" x14ac:dyDescent="0.2">
      <c r="A199" s="119"/>
      <c r="B199" s="129">
        <v>3</v>
      </c>
      <c r="C199" s="116"/>
      <c r="D199" s="116">
        <v>0</v>
      </c>
      <c r="E199" s="116">
        <v>0</v>
      </c>
      <c r="F199" s="116">
        <v>0</v>
      </c>
      <c r="G199" s="116">
        <v>0</v>
      </c>
      <c r="H199" s="116">
        <v>0</v>
      </c>
      <c r="I199" s="116">
        <v>0</v>
      </c>
      <c r="J199" s="116">
        <v>0</v>
      </c>
      <c r="K199" s="116">
        <v>0</v>
      </c>
      <c r="L199" s="116">
        <v>0</v>
      </c>
      <c r="M199" s="116">
        <v>0</v>
      </c>
      <c r="N199" s="116">
        <v>0</v>
      </c>
      <c r="O199" s="116">
        <v>0</v>
      </c>
      <c r="P199" s="116">
        <v>0</v>
      </c>
      <c r="Q199" s="116">
        <v>0</v>
      </c>
      <c r="R199" s="116">
        <v>0</v>
      </c>
      <c r="S199" s="116">
        <v>0</v>
      </c>
      <c r="T199" s="116">
        <v>0</v>
      </c>
      <c r="U199" s="116">
        <v>0</v>
      </c>
      <c r="V199" s="116">
        <v>0</v>
      </c>
      <c r="W199" s="116">
        <v>0</v>
      </c>
      <c r="X199" s="116">
        <v>0</v>
      </c>
      <c r="Y199" s="116">
        <v>72.003556170026798</v>
      </c>
      <c r="Z199" s="116">
        <v>212.88125732580554</v>
      </c>
      <c r="AA199" s="116">
        <v>141.5386670702182</v>
      </c>
      <c r="AB199" s="116">
        <v>122.9426741985427</v>
      </c>
      <c r="AC199" s="116">
        <v>98.50368343504536</v>
      </c>
      <c r="AD199" s="116">
        <v>123.99871988202426</v>
      </c>
      <c r="AE199" s="116">
        <v>77.190664671133547</v>
      </c>
      <c r="AF199" s="116">
        <v>13.189601314355997</v>
      </c>
      <c r="AG199" s="116">
        <v>0</v>
      </c>
      <c r="AH199" s="116">
        <v>0</v>
      </c>
      <c r="AI199" s="116">
        <v>0</v>
      </c>
      <c r="AJ199" s="116">
        <v>0</v>
      </c>
      <c r="AK199" s="116">
        <v>0</v>
      </c>
      <c r="AL199" s="116">
        <v>0</v>
      </c>
      <c r="AM199" s="116">
        <v>0</v>
      </c>
      <c r="AN199" s="116">
        <v>0</v>
      </c>
      <c r="AO199" s="116">
        <v>0</v>
      </c>
      <c r="AP199" s="116">
        <v>0</v>
      </c>
      <c r="AQ199" s="116">
        <v>38.079165115674243</v>
      </c>
      <c r="AR199" s="116">
        <v>18.168384440434551</v>
      </c>
      <c r="AS199" s="116">
        <v>63.138297948955</v>
      </c>
      <c r="AT199" s="116">
        <v>6.4359687617427994</v>
      </c>
      <c r="AU199" s="116">
        <v>0</v>
      </c>
      <c r="AV199" s="116">
        <v>0</v>
      </c>
      <c r="AW199" s="116">
        <v>0</v>
      </c>
      <c r="AX199" s="116">
        <v>7.7727008165645941</v>
      </c>
      <c r="AY199" s="116">
        <v>2.9303434481984709</v>
      </c>
    </row>
    <row r="200" spans="1:51" x14ac:dyDescent="0.2">
      <c r="A200" s="119"/>
      <c r="B200" s="130">
        <v>4</v>
      </c>
      <c r="C200" s="116"/>
      <c r="D200" s="116">
        <v>0</v>
      </c>
      <c r="E200" s="116">
        <v>0</v>
      </c>
      <c r="F200" s="116">
        <v>0</v>
      </c>
      <c r="G200" s="116">
        <v>0</v>
      </c>
      <c r="H200" s="116">
        <v>0</v>
      </c>
      <c r="I200" s="116">
        <v>0</v>
      </c>
      <c r="J200" s="116">
        <v>0</v>
      </c>
      <c r="K200" s="116">
        <v>0</v>
      </c>
      <c r="L200" s="116">
        <v>0</v>
      </c>
      <c r="M200" s="116">
        <v>0</v>
      </c>
      <c r="N200" s="116">
        <v>0</v>
      </c>
      <c r="O200" s="116">
        <v>0</v>
      </c>
      <c r="P200" s="116">
        <v>0</v>
      </c>
      <c r="Q200" s="116">
        <v>0</v>
      </c>
      <c r="R200" s="116">
        <v>0</v>
      </c>
      <c r="S200" s="116">
        <v>0</v>
      </c>
      <c r="T200" s="116">
        <v>0</v>
      </c>
      <c r="U200" s="116">
        <v>0</v>
      </c>
      <c r="V200" s="116">
        <v>0</v>
      </c>
      <c r="W200" s="116">
        <v>0</v>
      </c>
      <c r="X200" s="116">
        <v>0</v>
      </c>
      <c r="Y200" s="116">
        <v>0</v>
      </c>
      <c r="Z200" s="116">
        <v>0</v>
      </c>
      <c r="AA200" s="116">
        <v>51.048539859197405</v>
      </c>
      <c r="AB200" s="116">
        <v>37.057325801457296</v>
      </c>
      <c r="AC200" s="116">
        <v>35.717650533548237</v>
      </c>
      <c r="AD200" s="116">
        <v>49.001280117975739</v>
      </c>
      <c r="AE200" s="116">
        <v>31.638904875142487</v>
      </c>
      <c r="AF200" s="116">
        <v>0</v>
      </c>
      <c r="AG200" s="116">
        <v>0</v>
      </c>
      <c r="AH200" s="116">
        <v>0</v>
      </c>
      <c r="AI200" s="116">
        <v>0</v>
      </c>
      <c r="AJ200" s="116">
        <v>0</v>
      </c>
      <c r="AK200" s="116">
        <v>0</v>
      </c>
      <c r="AL200" s="116">
        <v>0</v>
      </c>
      <c r="AM200" s="116">
        <v>0</v>
      </c>
      <c r="AN200" s="116">
        <v>0</v>
      </c>
      <c r="AO200" s="116">
        <v>0</v>
      </c>
      <c r="AP200" s="116">
        <v>0</v>
      </c>
      <c r="AQ200" s="116">
        <v>0</v>
      </c>
      <c r="AR200" s="116">
        <v>0</v>
      </c>
      <c r="AS200" s="116">
        <v>0</v>
      </c>
      <c r="AT200" s="116">
        <v>0</v>
      </c>
      <c r="AU200" s="116">
        <v>0</v>
      </c>
      <c r="AV200" s="116">
        <v>0</v>
      </c>
      <c r="AW200" s="116">
        <v>0</v>
      </c>
      <c r="AX200" s="116">
        <v>0</v>
      </c>
      <c r="AY200" s="116">
        <v>0</v>
      </c>
    </row>
    <row r="201" spans="1:51" x14ac:dyDescent="0.2">
      <c r="A201" s="119"/>
      <c r="B201" s="130">
        <v>5</v>
      </c>
      <c r="C201" s="116"/>
      <c r="D201" s="116">
        <v>0</v>
      </c>
      <c r="E201" s="116">
        <v>0</v>
      </c>
      <c r="F201" s="116">
        <v>0</v>
      </c>
      <c r="G201" s="116">
        <v>0</v>
      </c>
      <c r="H201" s="116">
        <v>0</v>
      </c>
      <c r="I201" s="116">
        <v>0</v>
      </c>
      <c r="J201" s="116">
        <v>0</v>
      </c>
      <c r="K201" s="116">
        <v>0</v>
      </c>
      <c r="L201" s="116">
        <v>0</v>
      </c>
      <c r="M201" s="116">
        <v>0</v>
      </c>
      <c r="N201" s="116">
        <v>0</v>
      </c>
      <c r="O201" s="116">
        <v>0</v>
      </c>
      <c r="P201" s="116">
        <v>0</v>
      </c>
      <c r="Q201" s="116">
        <v>0</v>
      </c>
      <c r="R201" s="116">
        <v>0</v>
      </c>
      <c r="S201" s="116">
        <v>0</v>
      </c>
      <c r="T201" s="116">
        <v>0</v>
      </c>
      <c r="U201" s="116">
        <v>0</v>
      </c>
      <c r="V201" s="116">
        <v>0</v>
      </c>
      <c r="W201" s="116">
        <v>0</v>
      </c>
      <c r="X201" s="116">
        <v>0</v>
      </c>
      <c r="Y201" s="116">
        <v>0</v>
      </c>
      <c r="Z201" s="116">
        <v>0</v>
      </c>
      <c r="AA201" s="116">
        <v>0</v>
      </c>
      <c r="AB201" s="116">
        <v>0</v>
      </c>
      <c r="AC201" s="116">
        <v>0</v>
      </c>
      <c r="AD201" s="116">
        <v>0</v>
      </c>
      <c r="AE201" s="116">
        <v>0</v>
      </c>
      <c r="AF201" s="116">
        <v>0</v>
      </c>
      <c r="AG201" s="116">
        <v>0</v>
      </c>
      <c r="AH201" s="116">
        <v>0</v>
      </c>
      <c r="AI201" s="116">
        <v>0</v>
      </c>
      <c r="AJ201" s="116">
        <v>0</v>
      </c>
      <c r="AK201" s="116">
        <v>0</v>
      </c>
      <c r="AL201" s="116">
        <v>0</v>
      </c>
      <c r="AM201" s="116">
        <v>0</v>
      </c>
      <c r="AN201" s="116">
        <v>0</v>
      </c>
      <c r="AO201" s="116">
        <v>0</v>
      </c>
      <c r="AP201" s="116">
        <v>0</v>
      </c>
      <c r="AQ201" s="116">
        <v>0</v>
      </c>
      <c r="AR201" s="116">
        <v>0</v>
      </c>
      <c r="AS201" s="116">
        <v>0</v>
      </c>
      <c r="AT201" s="116">
        <v>0</v>
      </c>
      <c r="AU201" s="116">
        <v>0</v>
      </c>
      <c r="AV201" s="116">
        <v>0</v>
      </c>
      <c r="AW201" s="116">
        <v>0</v>
      </c>
      <c r="AX201" s="116">
        <v>0</v>
      </c>
      <c r="AY201" s="116">
        <v>0</v>
      </c>
    </row>
    <row r="202" spans="1:51" x14ac:dyDescent="0.2">
      <c r="A202" s="119"/>
      <c r="B202" s="130">
        <v>6</v>
      </c>
      <c r="C202" s="116"/>
      <c r="D202" s="116">
        <v>0</v>
      </c>
      <c r="E202" s="116">
        <v>0</v>
      </c>
      <c r="F202" s="116">
        <v>0</v>
      </c>
      <c r="G202" s="116">
        <v>0</v>
      </c>
      <c r="H202" s="116">
        <v>0</v>
      </c>
      <c r="I202" s="116">
        <v>0</v>
      </c>
      <c r="J202" s="116">
        <v>0</v>
      </c>
      <c r="K202" s="116">
        <v>0</v>
      </c>
      <c r="L202" s="116">
        <v>0</v>
      </c>
      <c r="M202" s="116">
        <v>0</v>
      </c>
      <c r="N202" s="116">
        <v>0</v>
      </c>
      <c r="O202" s="116">
        <v>0</v>
      </c>
      <c r="P202" s="116">
        <v>0</v>
      </c>
      <c r="Q202" s="116">
        <v>0</v>
      </c>
      <c r="R202" s="116">
        <v>0</v>
      </c>
      <c r="S202" s="116">
        <v>0</v>
      </c>
      <c r="T202" s="116">
        <v>0</v>
      </c>
      <c r="U202" s="116">
        <v>0</v>
      </c>
      <c r="V202" s="116">
        <v>0</v>
      </c>
      <c r="W202" s="116">
        <v>0</v>
      </c>
      <c r="X202" s="116">
        <v>0</v>
      </c>
      <c r="Y202" s="116">
        <v>0</v>
      </c>
      <c r="Z202" s="116">
        <v>0</v>
      </c>
      <c r="AA202" s="116">
        <v>0</v>
      </c>
      <c r="AB202" s="116">
        <v>0</v>
      </c>
      <c r="AC202" s="116">
        <v>0</v>
      </c>
      <c r="AD202" s="116">
        <v>0</v>
      </c>
      <c r="AE202" s="116">
        <v>0</v>
      </c>
      <c r="AF202" s="116">
        <v>0</v>
      </c>
      <c r="AG202" s="116">
        <v>0</v>
      </c>
      <c r="AH202" s="116">
        <v>0</v>
      </c>
      <c r="AI202" s="116">
        <v>0</v>
      </c>
      <c r="AJ202" s="116">
        <v>0</v>
      </c>
      <c r="AK202" s="116">
        <v>0</v>
      </c>
      <c r="AL202" s="116">
        <v>0</v>
      </c>
      <c r="AM202" s="116">
        <v>0</v>
      </c>
      <c r="AN202" s="116">
        <v>0</v>
      </c>
      <c r="AO202" s="116">
        <v>0</v>
      </c>
      <c r="AP202" s="116">
        <v>0</v>
      </c>
      <c r="AQ202" s="116">
        <v>0</v>
      </c>
      <c r="AR202" s="116">
        <v>0</v>
      </c>
      <c r="AS202" s="116">
        <v>0</v>
      </c>
      <c r="AT202" s="116">
        <v>0</v>
      </c>
      <c r="AU202" s="116">
        <v>0</v>
      </c>
      <c r="AV202" s="116">
        <v>0</v>
      </c>
      <c r="AW202" s="116">
        <v>0</v>
      </c>
      <c r="AX202" s="116">
        <v>0</v>
      </c>
      <c r="AY202" s="116">
        <v>0</v>
      </c>
    </row>
    <row r="203" spans="1:51" x14ac:dyDescent="0.2">
      <c r="A203" s="119"/>
      <c r="B203" s="137">
        <v>7</v>
      </c>
      <c r="C203" s="116"/>
      <c r="D203" s="116">
        <v>0</v>
      </c>
      <c r="E203" s="116">
        <v>0</v>
      </c>
      <c r="F203" s="116">
        <v>0</v>
      </c>
      <c r="G203" s="116">
        <v>0</v>
      </c>
      <c r="H203" s="116">
        <v>0</v>
      </c>
      <c r="I203" s="116">
        <v>0</v>
      </c>
      <c r="J203" s="116">
        <v>0</v>
      </c>
      <c r="K203" s="116">
        <v>0</v>
      </c>
      <c r="L203" s="116">
        <v>0</v>
      </c>
      <c r="M203" s="116">
        <v>0</v>
      </c>
      <c r="N203" s="116">
        <v>0</v>
      </c>
      <c r="O203" s="116">
        <v>0</v>
      </c>
      <c r="P203" s="116">
        <v>0</v>
      </c>
      <c r="Q203" s="116">
        <v>0</v>
      </c>
      <c r="R203" s="116">
        <v>0</v>
      </c>
      <c r="S203" s="116">
        <v>0</v>
      </c>
      <c r="T203" s="116">
        <v>0</v>
      </c>
      <c r="U203" s="116">
        <v>0</v>
      </c>
      <c r="V203" s="116">
        <v>0</v>
      </c>
      <c r="W203" s="116">
        <v>0</v>
      </c>
      <c r="X203" s="116">
        <v>0</v>
      </c>
      <c r="Y203" s="116">
        <v>0</v>
      </c>
      <c r="Z203" s="116">
        <v>0</v>
      </c>
      <c r="AA203" s="116">
        <v>0</v>
      </c>
      <c r="AB203" s="116">
        <v>0</v>
      </c>
      <c r="AC203" s="116">
        <v>0</v>
      </c>
      <c r="AD203" s="116">
        <v>0</v>
      </c>
      <c r="AE203" s="116">
        <v>0</v>
      </c>
      <c r="AF203" s="116">
        <v>0</v>
      </c>
      <c r="AG203" s="116">
        <v>0</v>
      </c>
      <c r="AH203" s="116">
        <v>0</v>
      </c>
      <c r="AI203" s="116">
        <v>0</v>
      </c>
      <c r="AJ203" s="116">
        <v>0</v>
      </c>
      <c r="AK203" s="116">
        <v>0</v>
      </c>
      <c r="AL203" s="116">
        <v>0</v>
      </c>
      <c r="AM203" s="116">
        <v>0</v>
      </c>
      <c r="AN203" s="116">
        <v>0</v>
      </c>
      <c r="AO203" s="116">
        <v>0</v>
      </c>
      <c r="AP203" s="116">
        <v>0</v>
      </c>
      <c r="AQ203" s="116">
        <v>0</v>
      </c>
      <c r="AR203" s="116">
        <v>0</v>
      </c>
      <c r="AS203" s="116">
        <v>0</v>
      </c>
      <c r="AT203" s="116">
        <v>0</v>
      </c>
      <c r="AU203" s="116">
        <v>0</v>
      </c>
      <c r="AV203" s="116">
        <v>0</v>
      </c>
      <c r="AW203" s="116">
        <v>0</v>
      </c>
      <c r="AX203" s="116">
        <v>0</v>
      </c>
      <c r="AY203" s="116">
        <v>0</v>
      </c>
    </row>
    <row r="204" spans="1:51" x14ac:dyDescent="0.2">
      <c r="A204" s="119"/>
      <c r="B204" s="137">
        <v>8</v>
      </c>
      <c r="C204" s="116"/>
      <c r="D204" s="116">
        <v>0</v>
      </c>
      <c r="E204" s="116">
        <v>0</v>
      </c>
      <c r="F204" s="116">
        <v>0</v>
      </c>
      <c r="G204" s="116">
        <v>0</v>
      </c>
      <c r="H204" s="116">
        <v>0</v>
      </c>
      <c r="I204" s="116">
        <v>0</v>
      </c>
      <c r="J204" s="116">
        <v>0</v>
      </c>
      <c r="K204" s="116">
        <v>0</v>
      </c>
      <c r="L204" s="116">
        <v>0</v>
      </c>
      <c r="M204" s="116">
        <v>0</v>
      </c>
      <c r="N204" s="116">
        <v>0</v>
      </c>
      <c r="O204" s="116">
        <v>0</v>
      </c>
      <c r="P204" s="116">
        <v>0</v>
      </c>
      <c r="Q204" s="116">
        <v>0</v>
      </c>
      <c r="R204" s="116">
        <v>0</v>
      </c>
      <c r="S204" s="116">
        <v>0</v>
      </c>
      <c r="T204" s="116">
        <v>0</v>
      </c>
      <c r="U204" s="116">
        <v>0</v>
      </c>
      <c r="V204" s="116">
        <v>0</v>
      </c>
      <c r="W204" s="116">
        <v>0</v>
      </c>
      <c r="X204" s="116">
        <v>0</v>
      </c>
      <c r="Y204" s="116">
        <v>0</v>
      </c>
      <c r="Z204" s="116">
        <v>0</v>
      </c>
      <c r="AA204" s="116">
        <v>0</v>
      </c>
      <c r="AB204" s="116">
        <v>0</v>
      </c>
      <c r="AC204" s="116">
        <v>0</v>
      </c>
      <c r="AD204" s="116">
        <v>0</v>
      </c>
      <c r="AE204" s="116">
        <v>0</v>
      </c>
      <c r="AF204" s="116">
        <v>0</v>
      </c>
      <c r="AG204" s="116">
        <v>0</v>
      </c>
      <c r="AH204" s="116">
        <v>0</v>
      </c>
      <c r="AI204" s="116">
        <v>0</v>
      </c>
      <c r="AJ204" s="116">
        <v>0</v>
      </c>
      <c r="AK204" s="116">
        <v>0</v>
      </c>
      <c r="AL204" s="116">
        <v>0</v>
      </c>
      <c r="AM204" s="116">
        <v>0</v>
      </c>
      <c r="AN204" s="116">
        <v>0</v>
      </c>
      <c r="AO204" s="116">
        <v>0</v>
      </c>
      <c r="AP204" s="116">
        <v>0</v>
      </c>
      <c r="AQ204" s="116">
        <v>0</v>
      </c>
      <c r="AR204" s="116">
        <v>0</v>
      </c>
      <c r="AS204" s="116">
        <v>0</v>
      </c>
      <c r="AT204" s="116">
        <v>0</v>
      </c>
      <c r="AU204" s="116">
        <v>0</v>
      </c>
      <c r="AV204" s="116">
        <v>0</v>
      </c>
      <c r="AW204" s="116">
        <v>0</v>
      </c>
      <c r="AX204" s="116">
        <v>0</v>
      </c>
      <c r="AY204" s="116">
        <v>0</v>
      </c>
    </row>
    <row r="205" spans="1:51" x14ac:dyDescent="0.2">
      <c r="A205" s="119"/>
      <c r="B205" s="137">
        <v>9</v>
      </c>
      <c r="C205" s="116"/>
      <c r="D205" s="116">
        <v>0</v>
      </c>
      <c r="E205" s="116">
        <v>0</v>
      </c>
      <c r="F205" s="116">
        <v>0</v>
      </c>
      <c r="G205" s="116">
        <v>0</v>
      </c>
      <c r="H205" s="116">
        <v>0</v>
      </c>
      <c r="I205" s="116">
        <v>0</v>
      </c>
      <c r="J205" s="116">
        <v>0</v>
      </c>
      <c r="K205" s="116">
        <v>0</v>
      </c>
      <c r="L205" s="116">
        <v>0</v>
      </c>
      <c r="M205" s="116">
        <v>0</v>
      </c>
      <c r="N205" s="116">
        <v>0</v>
      </c>
      <c r="O205" s="116">
        <v>0</v>
      </c>
      <c r="P205" s="116">
        <v>0</v>
      </c>
      <c r="Q205" s="116">
        <v>0</v>
      </c>
      <c r="R205" s="116">
        <v>0</v>
      </c>
      <c r="S205" s="116">
        <v>0</v>
      </c>
      <c r="T205" s="116">
        <v>0</v>
      </c>
      <c r="U205" s="116">
        <v>0</v>
      </c>
      <c r="V205" s="116">
        <v>0</v>
      </c>
      <c r="W205" s="116">
        <v>0</v>
      </c>
      <c r="X205" s="116">
        <v>0</v>
      </c>
      <c r="Y205" s="116">
        <v>0</v>
      </c>
      <c r="Z205" s="116">
        <v>0</v>
      </c>
      <c r="AA205" s="116">
        <v>0</v>
      </c>
      <c r="AB205" s="116">
        <v>0</v>
      </c>
      <c r="AC205" s="116">
        <v>0</v>
      </c>
      <c r="AD205" s="116">
        <v>0</v>
      </c>
      <c r="AE205" s="116">
        <v>0</v>
      </c>
      <c r="AF205" s="116">
        <v>0</v>
      </c>
      <c r="AG205" s="116">
        <v>0</v>
      </c>
      <c r="AH205" s="116">
        <v>0</v>
      </c>
      <c r="AI205" s="116">
        <v>0</v>
      </c>
      <c r="AJ205" s="116">
        <v>0</v>
      </c>
      <c r="AK205" s="116">
        <v>0</v>
      </c>
      <c r="AL205" s="116">
        <v>0</v>
      </c>
      <c r="AM205" s="116">
        <v>0</v>
      </c>
      <c r="AN205" s="116">
        <v>0</v>
      </c>
      <c r="AO205" s="116">
        <v>0</v>
      </c>
      <c r="AP205" s="116">
        <v>0</v>
      </c>
      <c r="AQ205" s="116">
        <v>0</v>
      </c>
      <c r="AR205" s="116">
        <v>0</v>
      </c>
      <c r="AS205" s="116">
        <v>0</v>
      </c>
      <c r="AT205" s="116">
        <v>0</v>
      </c>
      <c r="AU205" s="116">
        <v>0</v>
      </c>
      <c r="AV205" s="116">
        <v>0</v>
      </c>
      <c r="AW205" s="116">
        <v>0</v>
      </c>
      <c r="AX205" s="116">
        <v>0</v>
      </c>
      <c r="AY205" s="116">
        <v>0</v>
      </c>
    </row>
    <row r="206" spans="1:51" x14ac:dyDescent="0.2">
      <c r="A206" s="119"/>
      <c r="B206" s="140">
        <v>10</v>
      </c>
      <c r="C206" s="116"/>
      <c r="D206" s="116">
        <v>0</v>
      </c>
      <c r="E206" s="116">
        <v>0</v>
      </c>
      <c r="F206" s="116">
        <v>0</v>
      </c>
      <c r="G206" s="116">
        <v>0</v>
      </c>
      <c r="H206" s="116">
        <v>0</v>
      </c>
      <c r="I206" s="116">
        <v>0</v>
      </c>
      <c r="J206" s="116">
        <v>0</v>
      </c>
      <c r="K206" s="116">
        <v>0</v>
      </c>
      <c r="L206" s="116">
        <v>0</v>
      </c>
      <c r="M206" s="116">
        <v>0</v>
      </c>
      <c r="N206" s="116">
        <v>0</v>
      </c>
      <c r="O206" s="116">
        <v>0</v>
      </c>
      <c r="P206" s="116">
        <v>0</v>
      </c>
      <c r="Q206" s="116">
        <v>0</v>
      </c>
      <c r="R206" s="116">
        <v>0</v>
      </c>
      <c r="S206" s="116">
        <v>0</v>
      </c>
      <c r="T206" s="116">
        <v>0</v>
      </c>
      <c r="U206" s="116">
        <v>0</v>
      </c>
      <c r="V206" s="116">
        <v>0</v>
      </c>
      <c r="W206" s="116">
        <v>0</v>
      </c>
      <c r="X206" s="116">
        <v>0</v>
      </c>
      <c r="Y206" s="116">
        <v>0</v>
      </c>
      <c r="Z206" s="116">
        <v>0</v>
      </c>
      <c r="AA206" s="116">
        <v>0</v>
      </c>
      <c r="AB206" s="116">
        <v>0</v>
      </c>
      <c r="AC206" s="116">
        <v>0</v>
      </c>
      <c r="AD206" s="116">
        <v>0</v>
      </c>
      <c r="AE206" s="116">
        <v>0</v>
      </c>
      <c r="AF206" s="116">
        <v>0</v>
      </c>
      <c r="AG206" s="116">
        <v>0</v>
      </c>
      <c r="AH206" s="116">
        <v>0</v>
      </c>
      <c r="AI206" s="116">
        <v>0</v>
      </c>
      <c r="AJ206" s="116">
        <v>0</v>
      </c>
      <c r="AK206" s="116">
        <v>0</v>
      </c>
      <c r="AL206" s="116">
        <v>0</v>
      </c>
      <c r="AM206" s="116">
        <v>0</v>
      </c>
      <c r="AN206" s="116">
        <v>0</v>
      </c>
      <c r="AO206" s="116">
        <v>0</v>
      </c>
      <c r="AP206" s="116">
        <v>0</v>
      </c>
      <c r="AQ206" s="116">
        <v>0</v>
      </c>
      <c r="AR206" s="116">
        <v>0</v>
      </c>
      <c r="AS206" s="116">
        <v>0</v>
      </c>
      <c r="AT206" s="116">
        <v>0</v>
      </c>
      <c r="AU206" s="116">
        <v>0</v>
      </c>
      <c r="AV206" s="116">
        <v>0</v>
      </c>
      <c r="AW206" s="116">
        <v>0</v>
      </c>
      <c r="AX206" s="116">
        <v>0</v>
      </c>
      <c r="AY206" s="116">
        <v>0</v>
      </c>
    </row>
    <row r="207" spans="1:51" x14ac:dyDescent="0.2">
      <c r="A207" s="119"/>
      <c r="B207" s="140">
        <v>11</v>
      </c>
      <c r="C207" s="116"/>
      <c r="D207" s="116">
        <v>0</v>
      </c>
      <c r="E207" s="116">
        <v>0</v>
      </c>
      <c r="F207" s="116">
        <v>0</v>
      </c>
      <c r="G207" s="116">
        <v>0</v>
      </c>
      <c r="H207" s="116">
        <v>0</v>
      </c>
      <c r="I207" s="116">
        <v>0</v>
      </c>
      <c r="J207" s="116">
        <v>0</v>
      </c>
      <c r="K207" s="116">
        <v>0</v>
      </c>
      <c r="L207" s="116">
        <v>0</v>
      </c>
      <c r="M207" s="116">
        <v>0</v>
      </c>
      <c r="N207" s="116">
        <v>0</v>
      </c>
      <c r="O207" s="116">
        <v>0</v>
      </c>
      <c r="P207" s="116">
        <v>0</v>
      </c>
      <c r="Q207" s="116">
        <v>0</v>
      </c>
      <c r="R207" s="116">
        <v>0</v>
      </c>
      <c r="S207" s="116">
        <v>0</v>
      </c>
      <c r="T207" s="116">
        <v>0</v>
      </c>
      <c r="U207" s="116">
        <v>0</v>
      </c>
      <c r="V207" s="116">
        <v>0</v>
      </c>
      <c r="W207" s="116">
        <v>0</v>
      </c>
      <c r="X207" s="116">
        <v>0</v>
      </c>
      <c r="Y207" s="116">
        <v>0</v>
      </c>
      <c r="Z207" s="116">
        <v>0</v>
      </c>
      <c r="AA207" s="116">
        <v>0</v>
      </c>
      <c r="AB207" s="116">
        <v>0</v>
      </c>
      <c r="AC207" s="116">
        <v>0</v>
      </c>
      <c r="AD207" s="116">
        <v>0</v>
      </c>
      <c r="AE207" s="116">
        <v>0</v>
      </c>
      <c r="AF207" s="116">
        <v>0</v>
      </c>
      <c r="AG207" s="116">
        <v>0</v>
      </c>
      <c r="AH207" s="116">
        <v>0</v>
      </c>
      <c r="AI207" s="116">
        <v>0</v>
      </c>
      <c r="AJ207" s="116">
        <v>0</v>
      </c>
      <c r="AK207" s="116">
        <v>0</v>
      </c>
      <c r="AL207" s="116">
        <v>0</v>
      </c>
      <c r="AM207" s="116">
        <v>0</v>
      </c>
      <c r="AN207" s="116">
        <v>0</v>
      </c>
      <c r="AO207" s="116">
        <v>0</v>
      </c>
      <c r="AP207" s="116">
        <v>0</v>
      </c>
      <c r="AQ207" s="116">
        <v>0</v>
      </c>
      <c r="AR207" s="116">
        <v>0</v>
      </c>
      <c r="AS207" s="116">
        <v>0</v>
      </c>
      <c r="AT207" s="116">
        <v>0</v>
      </c>
      <c r="AU207" s="116">
        <v>0</v>
      </c>
      <c r="AV207" s="116">
        <v>0</v>
      </c>
      <c r="AW207" s="116">
        <v>0</v>
      </c>
      <c r="AX207" s="116">
        <v>0</v>
      </c>
      <c r="AY207" s="116">
        <v>0</v>
      </c>
    </row>
    <row r="208" spans="1:51" x14ac:dyDescent="0.2">
      <c r="A208" s="119"/>
      <c r="B208" s="140">
        <v>12</v>
      </c>
      <c r="C208" s="116"/>
      <c r="D208" s="116">
        <v>0</v>
      </c>
      <c r="E208" s="116">
        <v>0</v>
      </c>
      <c r="F208" s="116">
        <v>0</v>
      </c>
      <c r="G208" s="116">
        <v>0</v>
      </c>
      <c r="H208" s="116">
        <v>0</v>
      </c>
      <c r="I208" s="116">
        <v>0</v>
      </c>
      <c r="J208" s="116">
        <v>0</v>
      </c>
      <c r="K208" s="116">
        <v>0</v>
      </c>
      <c r="L208" s="116">
        <v>0</v>
      </c>
      <c r="M208" s="116">
        <v>0</v>
      </c>
      <c r="N208" s="116">
        <v>0</v>
      </c>
      <c r="O208" s="116">
        <v>0</v>
      </c>
      <c r="P208" s="116">
        <v>0</v>
      </c>
      <c r="Q208" s="116">
        <v>0</v>
      </c>
      <c r="R208" s="116">
        <v>0</v>
      </c>
      <c r="S208" s="116">
        <v>0</v>
      </c>
      <c r="T208" s="116">
        <v>0</v>
      </c>
      <c r="U208" s="116">
        <v>0</v>
      </c>
      <c r="V208" s="116">
        <v>0</v>
      </c>
      <c r="W208" s="116">
        <v>0</v>
      </c>
      <c r="X208" s="116">
        <v>0</v>
      </c>
      <c r="Y208" s="116">
        <v>0</v>
      </c>
      <c r="Z208" s="116">
        <v>0</v>
      </c>
      <c r="AA208" s="116">
        <v>0</v>
      </c>
      <c r="AB208" s="116">
        <v>0</v>
      </c>
      <c r="AC208" s="116">
        <v>0</v>
      </c>
      <c r="AD208" s="116">
        <v>0</v>
      </c>
      <c r="AE208" s="116">
        <v>0</v>
      </c>
      <c r="AF208" s="116">
        <v>0</v>
      </c>
      <c r="AG208" s="116">
        <v>0</v>
      </c>
      <c r="AH208" s="116">
        <v>0</v>
      </c>
      <c r="AI208" s="116">
        <v>0</v>
      </c>
      <c r="AJ208" s="116">
        <v>0</v>
      </c>
      <c r="AK208" s="116">
        <v>0</v>
      </c>
      <c r="AL208" s="116">
        <v>0</v>
      </c>
      <c r="AM208" s="116">
        <v>0</v>
      </c>
      <c r="AN208" s="116">
        <v>0</v>
      </c>
      <c r="AO208" s="116">
        <v>0</v>
      </c>
      <c r="AP208" s="116">
        <v>0</v>
      </c>
      <c r="AQ208" s="116">
        <v>0</v>
      </c>
      <c r="AR208" s="116">
        <v>0</v>
      </c>
      <c r="AS208" s="116">
        <v>0</v>
      </c>
      <c r="AT208" s="116">
        <v>0</v>
      </c>
      <c r="AU208" s="116">
        <v>0</v>
      </c>
      <c r="AV208" s="116">
        <v>0</v>
      </c>
      <c r="AW208" s="116">
        <v>0</v>
      </c>
      <c r="AX208" s="116">
        <v>0</v>
      </c>
      <c r="AY208" s="116">
        <v>0</v>
      </c>
    </row>
    <row r="209" spans="1:51" x14ac:dyDescent="0.2">
      <c r="A209" s="136" t="s">
        <v>123</v>
      </c>
      <c r="B209" s="133">
        <v>1</v>
      </c>
      <c r="C209" s="134"/>
      <c r="D209" s="134">
        <v>119.13816968900917</v>
      </c>
      <c r="E209" s="134">
        <v>104.86361820168061</v>
      </c>
      <c r="F209" s="134">
        <v>0</v>
      </c>
      <c r="G209" s="134">
        <v>0</v>
      </c>
      <c r="H209" s="134">
        <v>0</v>
      </c>
      <c r="I209" s="134">
        <v>0</v>
      </c>
      <c r="J209" s="134">
        <v>0</v>
      </c>
      <c r="K209" s="134">
        <v>0</v>
      </c>
      <c r="L209" s="134">
        <v>0</v>
      </c>
      <c r="M209" s="134">
        <v>0</v>
      </c>
      <c r="N209" s="134">
        <v>0</v>
      </c>
      <c r="O209" s="134">
        <v>0</v>
      </c>
      <c r="P209" s="134">
        <v>0</v>
      </c>
      <c r="Q209" s="134">
        <v>0</v>
      </c>
      <c r="R209" s="134">
        <v>0</v>
      </c>
      <c r="S209" s="134">
        <v>0</v>
      </c>
      <c r="T209" s="134">
        <v>0</v>
      </c>
      <c r="U209" s="134">
        <v>0</v>
      </c>
      <c r="V209" s="134">
        <v>0</v>
      </c>
      <c r="W209" s="134">
        <v>0</v>
      </c>
      <c r="X209" s="134">
        <v>0</v>
      </c>
      <c r="Y209" s="134">
        <v>0</v>
      </c>
      <c r="Z209" s="134">
        <v>0</v>
      </c>
      <c r="AA209" s="134">
        <v>0</v>
      </c>
      <c r="AB209" s="134">
        <v>0</v>
      </c>
      <c r="AC209" s="134">
        <v>0</v>
      </c>
      <c r="AD209" s="134">
        <v>0</v>
      </c>
      <c r="AE209" s="134">
        <v>0</v>
      </c>
      <c r="AF209" s="134">
        <v>0</v>
      </c>
      <c r="AG209" s="134">
        <v>0</v>
      </c>
      <c r="AH209" s="134">
        <v>0</v>
      </c>
      <c r="AI209" s="134">
        <v>0</v>
      </c>
      <c r="AJ209" s="134">
        <v>0</v>
      </c>
      <c r="AK209" s="134">
        <v>0</v>
      </c>
      <c r="AL209" s="134">
        <v>0</v>
      </c>
      <c r="AM209" s="134">
        <v>0</v>
      </c>
      <c r="AN209" s="134">
        <v>0</v>
      </c>
      <c r="AO209" s="134">
        <v>0</v>
      </c>
      <c r="AP209" s="134">
        <v>0</v>
      </c>
      <c r="AQ209" s="134">
        <v>0</v>
      </c>
      <c r="AR209" s="134">
        <v>0</v>
      </c>
      <c r="AS209" s="134">
        <v>0</v>
      </c>
      <c r="AT209" s="134">
        <v>0</v>
      </c>
      <c r="AU209" s="134">
        <v>0</v>
      </c>
      <c r="AV209" s="134">
        <v>0</v>
      </c>
      <c r="AW209" s="134">
        <v>0</v>
      </c>
      <c r="AX209" s="134">
        <v>0</v>
      </c>
      <c r="AY209" s="134">
        <v>0</v>
      </c>
    </row>
    <row r="210" spans="1:51" x14ac:dyDescent="0.2">
      <c r="A210" s="119"/>
      <c r="B210" s="129">
        <v>2</v>
      </c>
      <c r="C210" s="116"/>
      <c r="D210" s="120">
        <v>0</v>
      </c>
      <c r="E210" s="120">
        <v>0</v>
      </c>
      <c r="F210" s="120">
        <v>103</v>
      </c>
      <c r="G210" s="120">
        <v>110.36843710493156</v>
      </c>
      <c r="H210" s="120">
        <v>60.34543662257704</v>
      </c>
      <c r="I210" s="120">
        <v>0</v>
      </c>
      <c r="J210" s="120">
        <v>0</v>
      </c>
      <c r="K210" s="120">
        <v>0</v>
      </c>
      <c r="L210" s="120">
        <v>0</v>
      </c>
      <c r="M210" s="120">
        <v>0</v>
      </c>
      <c r="N210" s="120">
        <v>0</v>
      </c>
      <c r="O210" s="120">
        <v>0</v>
      </c>
      <c r="P210" s="120">
        <v>0</v>
      </c>
      <c r="Q210" s="120">
        <v>0</v>
      </c>
      <c r="R210" s="120">
        <v>0</v>
      </c>
      <c r="S210" s="120">
        <v>0</v>
      </c>
      <c r="T210" s="120">
        <v>0</v>
      </c>
      <c r="U210" s="120">
        <v>0</v>
      </c>
      <c r="V210" s="120">
        <v>0</v>
      </c>
      <c r="W210" s="120">
        <v>0</v>
      </c>
      <c r="X210" s="120">
        <v>0</v>
      </c>
      <c r="Y210" s="120">
        <v>0</v>
      </c>
      <c r="Z210" s="120">
        <v>0</v>
      </c>
      <c r="AA210" s="120">
        <v>0</v>
      </c>
      <c r="AB210" s="120">
        <v>0</v>
      </c>
      <c r="AC210" s="120">
        <v>0</v>
      </c>
      <c r="AD210" s="120">
        <v>0</v>
      </c>
      <c r="AE210" s="120">
        <v>0</v>
      </c>
      <c r="AF210" s="120">
        <v>0</v>
      </c>
      <c r="AG210" s="120">
        <v>0</v>
      </c>
      <c r="AH210" s="120">
        <v>0</v>
      </c>
      <c r="AI210" s="120">
        <v>0</v>
      </c>
      <c r="AJ210" s="120">
        <v>0</v>
      </c>
      <c r="AK210" s="120">
        <v>0</v>
      </c>
      <c r="AL210" s="120">
        <v>0</v>
      </c>
      <c r="AM210" s="120">
        <v>0</v>
      </c>
      <c r="AN210" s="120">
        <v>0</v>
      </c>
      <c r="AO210" s="120">
        <v>0</v>
      </c>
      <c r="AP210" s="120">
        <v>0</v>
      </c>
      <c r="AQ210" s="120">
        <v>0</v>
      </c>
      <c r="AR210" s="120">
        <v>0</v>
      </c>
      <c r="AS210" s="120">
        <v>0</v>
      </c>
      <c r="AT210" s="120">
        <v>0</v>
      </c>
      <c r="AU210" s="120">
        <v>0</v>
      </c>
      <c r="AV210" s="120">
        <v>0</v>
      </c>
      <c r="AW210" s="120">
        <v>0</v>
      </c>
      <c r="AX210" s="120">
        <v>0</v>
      </c>
      <c r="AY210" s="120">
        <v>0</v>
      </c>
    </row>
    <row r="211" spans="1:51" x14ac:dyDescent="0.2">
      <c r="A211" s="119"/>
      <c r="B211" s="129">
        <v>3</v>
      </c>
      <c r="C211" s="116"/>
      <c r="D211" s="120">
        <v>0</v>
      </c>
      <c r="E211" s="120">
        <v>0</v>
      </c>
      <c r="F211" s="120">
        <v>0</v>
      </c>
      <c r="G211" s="120">
        <v>24.641823287801834</v>
      </c>
      <c r="H211" s="120">
        <v>329.85548243915014</v>
      </c>
      <c r="I211" s="120">
        <v>281.13586336577873</v>
      </c>
      <c r="J211" s="120">
        <v>297.77133194321647</v>
      </c>
      <c r="K211" s="120">
        <v>289.74571170411946</v>
      </c>
      <c r="L211" s="120">
        <v>193.85039989242404</v>
      </c>
      <c r="M211" s="120">
        <v>19.761391135690502</v>
      </c>
      <c r="N211" s="120">
        <v>0</v>
      </c>
      <c r="O211" s="120">
        <v>0</v>
      </c>
      <c r="P211" s="120">
        <v>0</v>
      </c>
      <c r="Q211" s="120">
        <v>0</v>
      </c>
      <c r="R211" s="120">
        <v>0</v>
      </c>
      <c r="S211" s="120">
        <v>0</v>
      </c>
      <c r="T211" s="120">
        <v>0</v>
      </c>
      <c r="U211" s="120">
        <v>0</v>
      </c>
      <c r="V211" s="120">
        <v>0</v>
      </c>
      <c r="W211" s="120">
        <v>0</v>
      </c>
      <c r="X211" s="120">
        <v>0</v>
      </c>
      <c r="Y211" s="120">
        <v>0</v>
      </c>
      <c r="Z211" s="120">
        <v>0</v>
      </c>
      <c r="AA211" s="120">
        <v>0</v>
      </c>
      <c r="AB211" s="120">
        <v>0</v>
      </c>
      <c r="AC211" s="120">
        <v>0</v>
      </c>
      <c r="AD211" s="120">
        <v>0</v>
      </c>
      <c r="AE211" s="120">
        <v>0</v>
      </c>
      <c r="AF211" s="120">
        <v>0</v>
      </c>
      <c r="AG211" s="120">
        <v>0</v>
      </c>
      <c r="AH211" s="120">
        <v>0</v>
      </c>
      <c r="AI211" s="120">
        <v>0</v>
      </c>
      <c r="AJ211" s="120">
        <v>0</v>
      </c>
      <c r="AK211" s="120">
        <v>0</v>
      </c>
      <c r="AL211" s="120">
        <v>0</v>
      </c>
      <c r="AM211" s="120">
        <v>0</v>
      </c>
      <c r="AN211" s="120">
        <v>0</v>
      </c>
      <c r="AO211" s="120">
        <v>0</v>
      </c>
      <c r="AP211" s="120">
        <v>0</v>
      </c>
      <c r="AQ211" s="120">
        <v>0</v>
      </c>
      <c r="AR211" s="120">
        <v>0</v>
      </c>
      <c r="AS211" s="120">
        <v>0</v>
      </c>
      <c r="AT211" s="120">
        <v>0</v>
      </c>
      <c r="AU211" s="120">
        <v>0</v>
      </c>
      <c r="AV211" s="120">
        <v>0</v>
      </c>
      <c r="AW211" s="120">
        <v>0</v>
      </c>
      <c r="AX211" s="120">
        <v>0</v>
      </c>
      <c r="AY211" s="120">
        <v>0</v>
      </c>
    </row>
    <row r="212" spans="1:51" x14ac:dyDescent="0.2">
      <c r="A212" s="119"/>
      <c r="B212" s="129">
        <v>4</v>
      </c>
      <c r="C212" s="116"/>
      <c r="D212" s="120">
        <v>0</v>
      </c>
      <c r="E212" s="120">
        <v>0</v>
      </c>
      <c r="F212" s="120">
        <v>0</v>
      </c>
      <c r="G212" s="120">
        <v>0</v>
      </c>
      <c r="H212" s="120">
        <v>0</v>
      </c>
      <c r="I212" s="120">
        <v>0</v>
      </c>
      <c r="J212" s="120">
        <v>84.053008220358876</v>
      </c>
      <c r="K212" s="120">
        <v>92.121301344565836</v>
      </c>
      <c r="L212" s="120">
        <v>113.8607632665553</v>
      </c>
      <c r="M212" s="120">
        <v>216.22814482825612</v>
      </c>
      <c r="N212" s="120">
        <v>225.10826349249749</v>
      </c>
      <c r="O212" s="120">
        <v>69.028078239085062</v>
      </c>
      <c r="P212" s="120">
        <v>245.72450705068033</v>
      </c>
      <c r="Q212" s="120">
        <v>111.18334643151144</v>
      </c>
      <c r="R212" s="120">
        <v>0</v>
      </c>
      <c r="S212" s="120">
        <v>0</v>
      </c>
      <c r="T212" s="120">
        <v>0</v>
      </c>
      <c r="U212" s="120">
        <v>0</v>
      </c>
      <c r="V212" s="120">
        <v>0</v>
      </c>
      <c r="W212" s="120">
        <v>0</v>
      </c>
      <c r="X212" s="120">
        <v>0</v>
      </c>
      <c r="Y212" s="120">
        <v>0</v>
      </c>
      <c r="Z212" s="120">
        <v>0</v>
      </c>
      <c r="AA212" s="120">
        <v>0</v>
      </c>
      <c r="AB212" s="120">
        <v>0</v>
      </c>
      <c r="AC212" s="120">
        <v>0</v>
      </c>
      <c r="AD212" s="120">
        <v>0</v>
      </c>
      <c r="AE212" s="120">
        <v>0</v>
      </c>
      <c r="AF212" s="120">
        <v>0</v>
      </c>
      <c r="AG212" s="120">
        <v>0</v>
      </c>
      <c r="AH212" s="120">
        <v>0</v>
      </c>
      <c r="AI212" s="120">
        <v>0</v>
      </c>
      <c r="AJ212" s="120">
        <v>0</v>
      </c>
      <c r="AK212" s="120">
        <v>0</v>
      </c>
      <c r="AL212" s="120">
        <v>0</v>
      </c>
      <c r="AM212" s="120">
        <v>0</v>
      </c>
      <c r="AN212" s="120">
        <v>0</v>
      </c>
      <c r="AO212" s="120">
        <v>0</v>
      </c>
      <c r="AP212" s="120">
        <v>0</v>
      </c>
      <c r="AQ212" s="120">
        <v>0</v>
      </c>
      <c r="AR212" s="120">
        <v>0</v>
      </c>
      <c r="AS212" s="120">
        <v>0</v>
      </c>
      <c r="AT212" s="120">
        <v>0</v>
      </c>
      <c r="AU212" s="120">
        <v>0</v>
      </c>
      <c r="AV212" s="120">
        <v>0</v>
      </c>
      <c r="AW212" s="120">
        <v>0</v>
      </c>
      <c r="AX212" s="120">
        <v>0</v>
      </c>
      <c r="AY212" s="120">
        <v>0</v>
      </c>
    </row>
    <row r="213" spans="1:51" x14ac:dyDescent="0.2">
      <c r="A213" s="119"/>
      <c r="B213" s="129">
        <v>5</v>
      </c>
      <c r="C213" s="116"/>
      <c r="D213" s="120">
        <v>0</v>
      </c>
      <c r="E213" s="120">
        <v>0</v>
      </c>
      <c r="F213" s="120">
        <v>0</v>
      </c>
      <c r="G213" s="120">
        <v>0</v>
      </c>
      <c r="H213" s="120">
        <v>0</v>
      </c>
      <c r="I213" s="120">
        <v>0</v>
      </c>
      <c r="J213" s="120">
        <v>0</v>
      </c>
      <c r="K213" s="120">
        <v>0</v>
      </c>
      <c r="L213" s="120">
        <v>0</v>
      </c>
      <c r="M213" s="120">
        <v>0</v>
      </c>
      <c r="N213" s="120">
        <v>0</v>
      </c>
      <c r="O213" s="120">
        <v>192.97192176091494</v>
      </c>
      <c r="P213" s="120">
        <v>53.27549294931967</v>
      </c>
      <c r="Q213" s="120">
        <v>210.3891238081099</v>
      </c>
      <c r="R213" s="120">
        <v>262</v>
      </c>
      <c r="S213" s="120">
        <v>206.49808873226269</v>
      </c>
      <c r="T213" s="120">
        <v>51.218058911075929</v>
      </c>
      <c r="U213" s="120">
        <v>0</v>
      </c>
      <c r="V213" s="120">
        <v>0</v>
      </c>
      <c r="W213" s="120">
        <v>0</v>
      </c>
      <c r="X213" s="120">
        <v>0</v>
      </c>
      <c r="Y213" s="120">
        <v>0</v>
      </c>
      <c r="Z213" s="120">
        <v>0</v>
      </c>
      <c r="AA213" s="120">
        <v>0</v>
      </c>
      <c r="AB213" s="120">
        <v>0</v>
      </c>
      <c r="AC213" s="120">
        <v>0</v>
      </c>
      <c r="AD213" s="120">
        <v>37.080449447591874</v>
      </c>
      <c r="AE213" s="120">
        <v>0</v>
      </c>
      <c r="AF213" s="120">
        <v>84.15996792486996</v>
      </c>
      <c r="AG213" s="120">
        <v>0</v>
      </c>
      <c r="AH213" s="120">
        <v>0</v>
      </c>
      <c r="AI213" s="120">
        <v>0</v>
      </c>
      <c r="AJ213" s="120">
        <v>0</v>
      </c>
      <c r="AK213" s="120">
        <v>0</v>
      </c>
      <c r="AL213" s="120">
        <v>0</v>
      </c>
      <c r="AM213" s="120">
        <v>0</v>
      </c>
      <c r="AN213" s="120">
        <v>0</v>
      </c>
      <c r="AO213" s="120">
        <v>0</v>
      </c>
      <c r="AP213" s="120">
        <v>0</v>
      </c>
      <c r="AQ213" s="120">
        <v>0</v>
      </c>
      <c r="AR213" s="120">
        <v>0</v>
      </c>
      <c r="AS213" s="120">
        <v>0</v>
      </c>
      <c r="AT213" s="120">
        <v>0</v>
      </c>
      <c r="AU213" s="120">
        <v>0</v>
      </c>
      <c r="AV213" s="120">
        <v>0</v>
      </c>
      <c r="AW213" s="120">
        <v>0</v>
      </c>
      <c r="AX213" s="120">
        <v>0</v>
      </c>
      <c r="AY213" s="120">
        <v>0</v>
      </c>
    </row>
    <row r="214" spans="1:51" x14ac:dyDescent="0.2">
      <c r="A214" s="119"/>
      <c r="B214" s="129">
        <v>6</v>
      </c>
      <c r="C214" s="116"/>
      <c r="D214" s="120">
        <v>0</v>
      </c>
      <c r="E214" s="120">
        <v>0</v>
      </c>
      <c r="F214" s="120">
        <v>0</v>
      </c>
      <c r="G214" s="120">
        <v>0</v>
      </c>
      <c r="H214" s="120">
        <v>0</v>
      </c>
      <c r="I214" s="120">
        <v>0</v>
      </c>
      <c r="J214" s="120">
        <v>0</v>
      </c>
      <c r="K214" s="120">
        <v>0</v>
      </c>
      <c r="L214" s="120">
        <v>0</v>
      </c>
      <c r="M214" s="120">
        <v>0</v>
      </c>
      <c r="N214" s="120">
        <v>0</v>
      </c>
      <c r="O214" s="120">
        <v>0</v>
      </c>
      <c r="P214" s="120">
        <v>0</v>
      </c>
      <c r="Q214" s="120">
        <v>0</v>
      </c>
      <c r="R214" s="120">
        <v>0</v>
      </c>
      <c r="S214" s="120">
        <v>47.456246620253268</v>
      </c>
      <c r="T214" s="120">
        <v>151.90072064337991</v>
      </c>
      <c r="U214" s="120">
        <v>205</v>
      </c>
      <c r="V214" s="120">
        <v>165.6960673442567</v>
      </c>
      <c r="W214" s="120">
        <v>135.3982705163134</v>
      </c>
      <c r="X214" s="120">
        <v>38.930553498805445</v>
      </c>
      <c r="Y214" s="120">
        <v>0</v>
      </c>
      <c r="Z214" s="120">
        <v>0</v>
      </c>
      <c r="AA214" s="120">
        <v>0</v>
      </c>
      <c r="AB214" s="120">
        <v>0</v>
      </c>
      <c r="AC214" s="120">
        <v>65.246801816760723</v>
      </c>
      <c r="AD214" s="120">
        <v>43.282022580289592</v>
      </c>
      <c r="AE214" s="120">
        <v>247.63531681078243</v>
      </c>
      <c r="AF214" s="120">
        <v>47.646481289127657</v>
      </c>
      <c r="AG214" s="120">
        <v>193.06148659803478</v>
      </c>
      <c r="AH214" s="120">
        <v>78.74176886999291</v>
      </c>
      <c r="AI214" s="120">
        <v>0</v>
      </c>
      <c r="AJ214" s="120">
        <v>95.73027329974957</v>
      </c>
      <c r="AK214" s="120">
        <v>0</v>
      </c>
      <c r="AL214" s="120">
        <v>0</v>
      </c>
      <c r="AM214" s="120">
        <v>0</v>
      </c>
      <c r="AN214" s="120">
        <v>0</v>
      </c>
      <c r="AO214" s="120">
        <v>0</v>
      </c>
      <c r="AP214" s="120">
        <v>0</v>
      </c>
      <c r="AQ214" s="120">
        <v>0</v>
      </c>
      <c r="AR214" s="120">
        <v>0</v>
      </c>
      <c r="AS214" s="120">
        <v>0</v>
      </c>
      <c r="AT214" s="120">
        <v>0</v>
      </c>
      <c r="AU214" s="120">
        <v>0</v>
      </c>
      <c r="AV214" s="120">
        <v>0</v>
      </c>
      <c r="AW214" s="120">
        <v>0</v>
      </c>
      <c r="AX214" s="120">
        <v>0</v>
      </c>
      <c r="AY214" s="120">
        <v>0</v>
      </c>
    </row>
    <row r="215" spans="1:51" x14ac:dyDescent="0.2">
      <c r="A215" s="119"/>
      <c r="B215" s="129">
        <v>7</v>
      </c>
      <c r="C215" s="116"/>
      <c r="D215" s="120">
        <v>0</v>
      </c>
      <c r="E215" s="120">
        <v>0</v>
      </c>
      <c r="F215" s="120">
        <v>0</v>
      </c>
      <c r="G215" s="120">
        <v>0</v>
      </c>
      <c r="H215" s="120">
        <v>0</v>
      </c>
      <c r="I215" s="120">
        <v>0</v>
      </c>
      <c r="J215" s="120">
        <v>0</v>
      </c>
      <c r="K215" s="120">
        <v>0</v>
      </c>
      <c r="L215" s="120">
        <v>0</v>
      </c>
      <c r="M215" s="120">
        <v>0</v>
      </c>
      <c r="N215" s="120">
        <v>0</v>
      </c>
      <c r="O215" s="120">
        <v>0</v>
      </c>
      <c r="P215" s="120">
        <v>0</v>
      </c>
      <c r="Q215" s="120">
        <v>0</v>
      </c>
      <c r="R215" s="120">
        <v>0</v>
      </c>
      <c r="S215" s="120">
        <v>0</v>
      </c>
      <c r="T215" s="120">
        <v>0</v>
      </c>
      <c r="U215" s="120">
        <v>0</v>
      </c>
      <c r="V215" s="120">
        <v>3.3039326557432895</v>
      </c>
      <c r="W215" s="120">
        <v>40.601729483686597</v>
      </c>
      <c r="X215" s="120">
        <v>53.069446501194555</v>
      </c>
      <c r="Y215" s="120">
        <v>124.93073588906807</v>
      </c>
      <c r="Z215" s="120">
        <v>105.87920829631899</v>
      </c>
      <c r="AA215" s="120">
        <v>68.476185847837627</v>
      </c>
      <c r="AB215" s="120">
        <v>149.27442407948485</v>
      </c>
      <c r="AC215" s="120">
        <v>226.70269648550592</v>
      </c>
      <c r="AD215" s="120">
        <v>191.63752797211853</v>
      </c>
      <c r="AE215" s="120">
        <v>0</v>
      </c>
      <c r="AF215" s="120">
        <v>33.295106880004951</v>
      </c>
      <c r="AG215" s="120">
        <v>0</v>
      </c>
      <c r="AH215" s="120">
        <v>55.037299220381023</v>
      </c>
      <c r="AI215" s="120">
        <v>201.91160191632457</v>
      </c>
      <c r="AJ215" s="120">
        <v>47.990663761682264</v>
      </c>
      <c r="AK215" s="120">
        <v>133.55957612290811</v>
      </c>
      <c r="AL215" s="120">
        <v>85.179287759850467</v>
      </c>
      <c r="AM215" s="120">
        <v>33.714191623414763</v>
      </c>
      <c r="AN215" s="120">
        <v>0</v>
      </c>
      <c r="AO215" s="120">
        <v>0</v>
      </c>
      <c r="AP215" s="120">
        <v>0</v>
      </c>
      <c r="AQ215" s="120">
        <v>0</v>
      </c>
      <c r="AR215" s="120">
        <v>0</v>
      </c>
      <c r="AS215" s="120">
        <v>0</v>
      </c>
      <c r="AT215" s="120">
        <v>142.28018543795682</v>
      </c>
      <c r="AU215" s="120">
        <v>93.712062708274317</v>
      </c>
      <c r="AV215" s="120">
        <v>13.884105482749618</v>
      </c>
      <c r="AW215" s="120">
        <v>0</v>
      </c>
      <c r="AX215" s="120">
        <v>70.366944654678463</v>
      </c>
      <c r="AY215" s="120">
        <v>0</v>
      </c>
    </row>
    <row r="216" spans="1:51" x14ac:dyDescent="0.2">
      <c r="A216" s="119"/>
      <c r="B216" s="129">
        <v>8</v>
      </c>
      <c r="C216" s="116"/>
      <c r="D216" s="120">
        <v>0</v>
      </c>
      <c r="E216" s="120">
        <v>0</v>
      </c>
      <c r="F216" s="120">
        <v>0</v>
      </c>
      <c r="G216" s="120">
        <v>0</v>
      </c>
      <c r="H216" s="120">
        <v>0</v>
      </c>
      <c r="I216" s="120">
        <v>0</v>
      </c>
      <c r="J216" s="120">
        <v>0</v>
      </c>
      <c r="K216" s="120">
        <v>0</v>
      </c>
      <c r="L216" s="120">
        <v>0</v>
      </c>
      <c r="M216" s="120">
        <v>0</v>
      </c>
      <c r="N216" s="120">
        <v>0</v>
      </c>
      <c r="O216" s="120">
        <v>0</v>
      </c>
      <c r="P216" s="120">
        <v>0</v>
      </c>
      <c r="Q216" s="120">
        <v>0</v>
      </c>
      <c r="R216" s="120">
        <v>0</v>
      </c>
      <c r="S216" s="120">
        <v>0</v>
      </c>
      <c r="T216" s="120">
        <v>0</v>
      </c>
      <c r="U216" s="120">
        <v>0</v>
      </c>
      <c r="V216" s="120">
        <v>0</v>
      </c>
      <c r="W216" s="120">
        <v>0</v>
      </c>
      <c r="X216" s="120">
        <v>0</v>
      </c>
      <c r="Y216" s="120">
        <v>0</v>
      </c>
      <c r="Z216" s="120">
        <v>2.0490294865472395E-3</v>
      </c>
      <c r="AA216" s="120">
        <v>37.111021081577981</v>
      </c>
      <c r="AB216" s="120">
        <v>90.725575920515155</v>
      </c>
      <c r="AC216" s="120">
        <v>41.271835666326893</v>
      </c>
      <c r="AD216" s="120">
        <v>0</v>
      </c>
      <c r="AE216" s="120">
        <v>0</v>
      </c>
      <c r="AF216" s="120">
        <v>0</v>
      </c>
      <c r="AG216" s="120">
        <v>0</v>
      </c>
      <c r="AH216" s="120">
        <v>0</v>
      </c>
      <c r="AI216" s="120">
        <v>0</v>
      </c>
      <c r="AJ216" s="120">
        <v>23.472771642679731</v>
      </c>
      <c r="AK216" s="120">
        <v>0</v>
      </c>
      <c r="AL216" s="120">
        <v>30.820712240149536</v>
      </c>
      <c r="AM216" s="120">
        <v>127.46934834918613</v>
      </c>
      <c r="AN216" s="120">
        <v>113.43479655947279</v>
      </c>
      <c r="AO216" s="120">
        <v>64.473108827946334</v>
      </c>
      <c r="AP216" s="120">
        <v>9.6572229547598596</v>
      </c>
      <c r="AQ216" s="120">
        <v>0</v>
      </c>
      <c r="AR216" s="120">
        <v>87.161872932665446</v>
      </c>
      <c r="AS216" s="120">
        <v>79.813710239099592</v>
      </c>
      <c r="AT216" s="120">
        <v>28.575302496811894</v>
      </c>
      <c r="AU216" s="120">
        <v>38.287937291725683</v>
      </c>
      <c r="AV216" s="120">
        <v>115.11589451725038</v>
      </c>
      <c r="AW216" s="120">
        <v>136.12210973589833</v>
      </c>
      <c r="AX216" s="120">
        <v>42.734656239865586</v>
      </c>
      <c r="AY216" s="120">
        <v>154.36788305368066</v>
      </c>
    </row>
    <row r="217" spans="1:51" x14ac:dyDescent="0.2">
      <c r="A217" s="119"/>
      <c r="B217" s="129">
        <v>9</v>
      </c>
      <c r="C217" s="116"/>
      <c r="D217" s="120">
        <v>0</v>
      </c>
      <c r="E217" s="120">
        <v>0</v>
      </c>
      <c r="F217" s="120">
        <v>0</v>
      </c>
      <c r="G217" s="120">
        <v>0</v>
      </c>
      <c r="H217" s="120">
        <v>0</v>
      </c>
      <c r="I217" s="120">
        <v>0</v>
      </c>
      <c r="J217" s="120">
        <v>0</v>
      </c>
      <c r="K217" s="120">
        <v>0</v>
      </c>
      <c r="L217" s="120">
        <v>0</v>
      </c>
      <c r="M217" s="120">
        <v>0</v>
      </c>
      <c r="N217" s="120">
        <v>0</v>
      </c>
      <c r="O217" s="120">
        <v>0</v>
      </c>
      <c r="P217" s="120">
        <v>0</v>
      </c>
      <c r="Q217" s="120">
        <v>0</v>
      </c>
      <c r="R217" s="120">
        <v>0</v>
      </c>
      <c r="S217" s="120">
        <v>0</v>
      </c>
      <c r="T217" s="120">
        <v>0</v>
      </c>
      <c r="U217" s="120">
        <v>0</v>
      </c>
      <c r="V217" s="120">
        <v>0</v>
      </c>
      <c r="W217" s="120">
        <v>0</v>
      </c>
      <c r="X217" s="120">
        <v>0</v>
      </c>
      <c r="Y217" s="120">
        <v>0</v>
      </c>
      <c r="Z217" s="120">
        <v>0</v>
      </c>
      <c r="AA217" s="120">
        <v>0</v>
      </c>
      <c r="AB217" s="120">
        <v>0</v>
      </c>
      <c r="AC217" s="120">
        <v>0</v>
      </c>
      <c r="AD217" s="120">
        <v>0</v>
      </c>
      <c r="AE217" s="120">
        <v>0</v>
      </c>
      <c r="AF217" s="120">
        <v>0</v>
      </c>
      <c r="AG217" s="120">
        <v>0</v>
      </c>
      <c r="AH217" s="120">
        <v>0</v>
      </c>
      <c r="AI217" s="120">
        <v>0</v>
      </c>
      <c r="AJ217" s="120">
        <v>0</v>
      </c>
      <c r="AK217" s="120">
        <v>0</v>
      </c>
      <c r="AL217" s="120">
        <v>0</v>
      </c>
      <c r="AM217" s="120">
        <v>0</v>
      </c>
      <c r="AN217" s="120">
        <v>0</v>
      </c>
      <c r="AO217" s="120">
        <v>28.526891172053659</v>
      </c>
      <c r="AP217" s="120">
        <v>92.34277704524014</v>
      </c>
      <c r="AQ217" s="120">
        <v>102.8994637213612</v>
      </c>
      <c r="AR217" s="120">
        <v>124.5034740614595</v>
      </c>
      <c r="AS217" s="120">
        <v>63.880410477022238</v>
      </c>
      <c r="AT217" s="120">
        <v>63.144512065231282</v>
      </c>
      <c r="AU217" s="120">
        <v>0</v>
      </c>
      <c r="AV217" s="120">
        <v>0</v>
      </c>
      <c r="AW217" s="120">
        <v>0</v>
      </c>
      <c r="AX217" s="120">
        <v>45.874699646802789</v>
      </c>
      <c r="AY217" s="120">
        <v>0</v>
      </c>
    </row>
    <row r="218" spans="1:51" x14ac:dyDescent="0.2">
      <c r="A218" s="119"/>
      <c r="B218" s="129">
        <v>10</v>
      </c>
      <c r="C218" s="116"/>
      <c r="D218" s="120">
        <v>0</v>
      </c>
      <c r="E218" s="120">
        <v>0</v>
      </c>
      <c r="F218" s="120">
        <v>0</v>
      </c>
      <c r="G218" s="120">
        <v>0</v>
      </c>
      <c r="H218" s="120">
        <v>0</v>
      </c>
      <c r="I218" s="120">
        <v>0</v>
      </c>
      <c r="J218" s="120">
        <v>0</v>
      </c>
      <c r="K218" s="120">
        <v>0</v>
      </c>
      <c r="L218" s="120">
        <v>0</v>
      </c>
      <c r="M218" s="120">
        <v>0</v>
      </c>
      <c r="N218" s="120">
        <v>0</v>
      </c>
      <c r="O218" s="120">
        <v>0</v>
      </c>
      <c r="P218" s="120">
        <v>0</v>
      </c>
      <c r="Q218" s="120">
        <v>0</v>
      </c>
      <c r="R218" s="120">
        <v>0</v>
      </c>
      <c r="S218" s="120">
        <v>0</v>
      </c>
      <c r="T218" s="120">
        <v>0</v>
      </c>
      <c r="U218" s="120">
        <v>0</v>
      </c>
      <c r="V218" s="120">
        <v>0</v>
      </c>
      <c r="W218" s="120">
        <v>0</v>
      </c>
      <c r="X218" s="120">
        <v>0</v>
      </c>
      <c r="Y218" s="120">
        <v>0</v>
      </c>
      <c r="Z218" s="120">
        <v>0</v>
      </c>
      <c r="AA218" s="120">
        <v>0</v>
      </c>
      <c r="AB218" s="120">
        <v>0</v>
      </c>
      <c r="AC218" s="120">
        <v>0</v>
      </c>
      <c r="AD218" s="120">
        <v>0</v>
      </c>
      <c r="AE218" s="120">
        <v>0</v>
      </c>
      <c r="AF218" s="120">
        <v>0</v>
      </c>
      <c r="AG218" s="120">
        <v>0</v>
      </c>
      <c r="AH218" s="120">
        <v>0</v>
      </c>
      <c r="AI218" s="120">
        <v>0</v>
      </c>
      <c r="AJ218" s="120">
        <v>0</v>
      </c>
      <c r="AK218" s="120">
        <v>0</v>
      </c>
      <c r="AL218" s="120">
        <v>0</v>
      </c>
      <c r="AM218" s="120">
        <v>0</v>
      </c>
      <c r="AN218" s="120">
        <v>0</v>
      </c>
      <c r="AO218" s="120">
        <v>0</v>
      </c>
      <c r="AP218" s="120">
        <v>0</v>
      </c>
      <c r="AQ218" s="120">
        <v>0</v>
      </c>
      <c r="AR218" s="120">
        <v>16.334653005875062</v>
      </c>
      <c r="AS218" s="120">
        <v>0</v>
      </c>
      <c r="AT218" s="120">
        <v>0</v>
      </c>
      <c r="AU218" s="120">
        <v>0</v>
      </c>
      <c r="AV218" s="120">
        <v>0</v>
      </c>
      <c r="AW218" s="120">
        <v>0</v>
      </c>
      <c r="AX218" s="120">
        <v>0</v>
      </c>
      <c r="AY218" s="120">
        <v>0</v>
      </c>
    </row>
    <row r="219" spans="1:51" x14ac:dyDescent="0.2">
      <c r="A219" s="119"/>
      <c r="B219" s="129">
        <v>11</v>
      </c>
      <c r="C219" s="116"/>
      <c r="D219" s="120">
        <v>0</v>
      </c>
      <c r="E219" s="120">
        <v>0</v>
      </c>
      <c r="F219" s="120">
        <v>0</v>
      </c>
      <c r="G219" s="120">
        <v>0</v>
      </c>
      <c r="H219" s="120">
        <v>0</v>
      </c>
      <c r="I219" s="120">
        <v>0</v>
      </c>
      <c r="J219" s="120">
        <v>0</v>
      </c>
      <c r="K219" s="120">
        <v>0</v>
      </c>
      <c r="L219" s="120">
        <v>0</v>
      </c>
      <c r="M219" s="120">
        <v>0</v>
      </c>
      <c r="N219" s="120">
        <v>0</v>
      </c>
      <c r="O219" s="120">
        <v>0</v>
      </c>
      <c r="P219" s="120">
        <v>0</v>
      </c>
      <c r="Q219" s="120">
        <v>0</v>
      </c>
      <c r="R219" s="120">
        <v>0</v>
      </c>
      <c r="S219" s="120">
        <v>0</v>
      </c>
      <c r="T219" s="120">
        <v>0</v>
      </c>
      <c r="U219" s="120">
        <v>0</v>
      </c>
      <c r="V219" s="120">
        <v>0</v>
      </c>
      <c r="W219" s="120">
        <v>0</v>
      </c>
      <c r="X219" s="120">
        <v>0</v>
      </c>
      <c r="Y219" s="120">
        <v>0</v>
      </c>
      <c r="Z219" s="120">
        <v>0</v>
      </c>
      <c r="AA219" s="120">
        <v>0</v>
      </c>
      <c r="AB219" s="120">
        <v>0</v>
      </c>
      <c r="AC219" s="120">
        <v>0</v>
      </c>
      <c r="AD219" s="120">
        <v>0</v>
      </c>
      <c r="AE219" s="120">
        <v>0</v>
      </c>
      <c r="AF219" s="120">
        <v>0</v>
      </c>
      <c r="AG219" s="120">
        <v>0</v>
      </c>
      <c r="AH219" s="120">
        <v>0</v>
      </c>
      <c r="AI219" s="120">
        <v>0</v>
      </c>
      <c r="AJ219" s="120">
        <v>0</v>
      </c>
      <c r="AK219" s="120">
        <v>0</v>
      </c>
      <c r="AL219" s="120">
        <v>0</v>
      </c>
      <c r="AM219" s="120">
        <v>0</v>
      </c>
      <c r="AN219" s="120">
        <v>0</v>
      </c>
      <c r="AO219" s="120">
        <v>0</v>
      </c>
      <c r="AP219" s="120">
        <v>0</v>
      </c>
      <c r="AQ219" s="120">
        <v>0</v>
      </c>
      <c r="AR219" s="120">
        <v>0</v>
      </c>
      <c r="AS219" s="120">
        <v>0</v>
      </c>
      <c r="AT219" s="120">
        <v>0</v>
      </c>
      <c r="AU219" s="120">
        <v>0</v>
      </c>
      <c r="AV219" s="120">
        <v>0</v>
      </c>
      <c r="AW219" s="120">
        <v>0</v>
      </c>
      <c r="AX219" s="120">
        <v>0</v>
      </c>
      <c r="AY219" s="120">
        <v>0</v>
      </c>
    </row>
    <row r="220" spans="1:51" x14ac:dyDescent="0.2">
      <c r="A220" s="119"/>
      <c r="B220" s="129">
        <v>12</v>
      </c>
      <c r="C220" s="116"/>
      <c r="D220" s="120">
        <v>0</v>
      </c>
      <c r="E220" s="120">
        <v>0</v>
      </c>
      <c r="F220" s="120">
        <v>0</v>
      </c>
      <c r="G220" s="120">
        <v>0</v>
      </c>
      <c r="H220" s="120">
        <v>0</v>
      </c>
      <c r="I220" s="120">
        <v>0</v>
      </c>
      <c r="J220" s="120">
        <v>0</v>
      </c>
      <c r="K220" s="120">
        <v>0</v>
      </c>
      <c r="L220" s="120">
        <v>0</v>
      </c>
      <c r="M220" s="120">
        <v>0</v>
      </c>
      <c r="N220" s="120">
        <v>0</v>
      </c>
      <c r="O220" s="120">
        <v>0</v>
      </c>
      <c r="P220" s="120">
        <v>0</v>
      </c>
      <c r="Q220" s="120">
        <v>0</v>
      </c>
      <c r="R220" s="120">
        <v>0</v>
      </c>
      <c r="S220" s="120">
        <v>0</v>
      </c>
      <c r="T220" s="120">
        <v>0</v>
      </c>
      <c r="U220" s="120">
        <v>0</v>
      </c>
      <c r="V220" s="120">
        <v>0</v>
      </c>
      <c r="W220" s="120">
        <v>0</v>
      </c>
      <c r="X220" s="120">
        <v>0</v>
      </c>
      <c r="Y220" s="120">
        <v>0</v>
      </c>
      <c r="Z220" s="120">
        <v>0</v>
      </c>
      <c r="AA220" s="120">
        <v>0</v>
      </c>
      <c r="AB220" s="120">
        <v>0</v>
      </c>
      <c r="AC220" s="120">
        <v>0</v>
      </c>
      <c r="AD220" s="120">
        <v>0</v>
      </c>
      <c r="AE220" s="120">
        <v>0</v>
      </c>
      <c r="AF220" s="120">
        <v>0</v>
      </c>
      <c r="AG220" s="120">
        <v>0</v>
      </c>
      <c r="AH220" s="120">
        <v>0</v>
      </c>
      <c r="AI220" s="120">
        <v>0</v>
      </c>
      <c r="AJ220" s="120">
        <v>0</v>
      </c>
      <c r="AK220" s="120">
        <v>0</v>
      </c>
      <c r="AL220" s="120">
        <v>0</v>
      </c>
      <c r="AM220" s="120">
        <v>0</v>
      </c>
      <c r="AN220" s="120">
        <v>0</v>
      </c>
      <c r="AO220" s="120">
        <v>0</v>
      </c>
      <c r="AP220" s="120">
        <v>0</v>
      </c>
      <c r="AQ220" s="120">
        <v>0</v>
      </c>
      <c r="AR220" s="120">
        <v>0</v>
      </c>
      <c r="AS220" s="120">
        <v>0</v>
      </c>
      <c r="AT220" s="120">
        <v>0</v>
      </c>
      <c r="AU220" s="120">
        <v>0</v>
      </c>
      <c r="AV220" s="120">
        <v>0</v>
      </c>
      <c r="AW220" s="120">
        <v>0</v>
      </c>
      <c r="AX220" s="120">
        <v>0</v>
      </c>
      <c r="AY220" s="120">
        <v>0</v>
      </c>
    </row>
    <row r="221" spans="1:51" x14ac:dyDescent="0.2">
      <c r="A221" s="119"/>
      <c r="B221" s="130">
        <v>13</v>
      </c>
      <c r="C221" s="116"/>
      <c r="D221" s="120">
        <v>0</v>
      </c>
      <c r="E221" s="120">
        <v>0</v>
      </c>
      <c r="F221" s="120">
        <v>0</v>
      </c>
      <c r="G221" s="120">
        <v>0</v>
      </c>
      <c r="H221" s="120">
        <v>0</v>
      </c>
      <c r="I221" s="120">
        <v>0</v>
      </c>
      <c r="J221" s="120">
        <v>0</v>
      </c>
      <c r="K221" s="120">
        <v>0</v>
      </c>
      <c r="L221" s="120">
        <v>0</v>
      </c>
      <c r="M221" s="120">
        <v>0</v>
      </c>
      <c r="N221" s="120">
        <v>0</v>
      </c>
      <c r="O221" s="120">
        <v>0</v>
      </c>
      <c r="P221" s="120">
        <v>0</v>
      </c>
      <c r="Q221" s="120">
        <v>0</v>
      </c>
      <c r="R221" s="120">
        <v>0</v>
      </c>
      <c r="S221" s="120">
        <v>0</v>
      </c>
      <c r="T221" s="120">
        <v>0</v>
      </c>
      <c r="U221" s="120">
        <v>0</v>
      </c>
      <c r="V221" s="120">
        <v>0</v>
      </c>
      <c r="W221" s="120">
        <v>0</v>
      </c>
      <c r="X221" s="120">
        <v>0</v>
      </c>
      <c r="Y221" s="120">
        <v>0</v>
      </c>
      <c r="Z221" s="120">
        <v>0</v>
      </c>
      <c r="AA221" s="120">
        <v>0</v>
      </c>
      <c r="AB221" s="120">
        <v>0</v>
      </c>
      <c r="AC221" s="120">
        <v>0</v>
      </c>
      <c r="AD221" s="120">
        <v>0</v>
      </c>
      <c r="AE221" s="120">
        <v>0</v>
      </c>
      <c r="AF221" s="120">
        <v>0</v>
      </c>
      <c r="AG221" s="120">
        <v>0</v>
      </c>
      <c r="AH221" s="120">
        <v>0</v>
      </c>
      <c r="AI221" s="120">
        <v>0</v>
      </c>
      <c r="AJ221" s="120">
        <v>0</v>
      </c>
      <c r="AK221" s="120">
        <v>0</v>
      </c>
      <c r="AL221" s="120">
        <v>0</v>
      </c>
      <c r="AM221" s="120">
        <v>0</v>
      </c>
      <c r="AN221" s="120">
        <v>0</v>
      </c>
      <c r="AO221" s="120">
        <v>0</v>
      </c>
      <c r="AP221" s="120">
        <v>0</v>
      </c>
      <c r="AQ221" s="120">
        <v>0</v>
      </c>
      <c r="AR221" s="120">
        <v>0</v>
      </c>
      <c r="AS221" s="120">
        <v>0</v>
      </c>
      <c r="AT221" s="120">
        <v>0</v>
      </c>
      <c r="AU221" s="120">
        <v>0</v>
      </c>
      <c r="AV221" s="120">
        <v>0</v>
      </c>
      <c r="AW221" s="120">
        <v>0</v>
      </c>
      <c r="AX221" s="120">
        <v>0</v>
      </c>
      <c r="AY221" s="120">
        <v>0</v>
      </c>
    </row>
    <row r="222" spans="1:51" x14ac:dyDescent="0.2">
      <c r="A222" s="119"/>
      <c r="B222" s="130">
        <v>14</v>
      </c>
      <c r="C222" s="116"/>
      <c r="D222" s="120">
        <v>0</v>
      </c>
      <c r="E222" s="120">
        <v>0</v>
      </c>
      <c r="F222" s="120">
        <v>0</v>
      </c>
      <c r="G222" s="120">
        <v>0</v>
      </c>
      <c r="H222" s="120">
        <v>0</v>
      </c>
      <c r="I222" s="120">
        <v>0</v>
      </c>
      <c r="J222" s="120">
        <v>0</v>
      </c>
      <c r="K222" s="120">
        <v>0</v>
      </c>
      <c r="L222" s="120">
        <v>0</v>
      </c>
      <c r="M222" s="120">
        <v>0</v>
      </c>
      <c r="N222" s="120">
        <v>0</v>
      </c>
      <c r="O222" s="120">
        <v>0</v>
      </c>
      <c r="P222" s="120">
        <v>0</v>
      </c>
      <c r="Q222" s="120">
        <v>0</v>
      </c>
      <c r="R222" s="120">
        <v>0</v>
      </c>
      <c r="S222" s="120">
        <v>0</v>
      </c>
      <c r="T222" s="120">
        <v>0</v>
      </c>
      <c r="U222" s="120">
        <v>0</v>
      </c>
      <c r="V222" s="120">
        <v>0</v>
      </c>
      <c r="W222" s="120">
        <v>0</v>
      </c>
      <c r="X222" s="120">
        <v>0</v>
      </c>
      <c r="Y222" s="120">
        <v>0</v>
      </c>
      <c r="Z222" s="120">
        <v>0</v>
      </c>
      <c r="AA222" s="120">
        <v>0</v>
      </c>
      <c r="AB222" s="120">
        <v>0</v>
      </c>
      <c r="AC222" s="120">
        <v>0</v>
      </c>
      <c r="AD222" s="120">
        <v>0</v>
      </c>
      <c r="AE222" s="120">
        <v>0</v>
      </c>
      <c r="AF222" s="120">
        <v>0</v>
      </c>
      <c r="AG222" s="120">
        <v>0</v>
      </c>
      <c r="AH222" s="120">
        <v>0</v>
      </c>
      <c r="AI222" s="120">
        <v>0</v>
      </c>
      <c r="AJ222" s="120">
        <v>0</v>
      </c>
      <c r="AK222" s="120">
        <v>0</v>
      </c>
      <c r="AL222" s="120">
        <v>0</v>
      </c>
      <c r="AM222" s="120">
        <v>0</v>
      </c>
      <c r="AN222" s="120">
        <v>0</v>
      </c>
      <c r="AO222" s="120">
        <v>0</v>
      </c>
      <c r="AP222" s="120">
        <v>0</v>
      </c>
      <c r="AQ222" s="120">
        <v>0</v>
      </c>
      <c r="AR222" s="120">
        <v>0</v>
      </c>
      <c r="AS222" s="120">
        <v>0</v>
      </c>
      <c r="AT222" s="120">
        <v>0</v>
      </c>
      <c r="AU222" s="120">
        <v>0</v>
      </c>
      <c r="AV222" s="120">
        <v>0</v>
      </c>
      <c r="AW222" s="120">
        <v>0</v>
      </c>
      <c r="AX222" s="120">
        <v>0</v>
      </c>
      <c r="AY222" s="120">
        <v>0</v>
      </c>
    </row>
    <row r="223" spans="1:51" x14ac:dyDescent="0.2">
      <c r="A223" s="119"/>
      <c r="B223" s="130">
        <v>15</v>
      </c>
      <c r="C223" s="116"/>
      <c r="D223" s="120">
        <v>0</v>
      </c>
      <c r="E223" s="120">
        <v>0</v>
      </c>
      <c r="F223" s="120">
        <v>0</v>
      </c>
      <c r="G223" s="120">
        <v>0</v>
      </c>
      <c r="H223" s="120">
        <v>0</v>
      </c>
      <c r="I223" s="120">
        <v>0</v>
      </c>
      <c r="J223" s="120">
        <v>0</v>
      </c>
      <c r="K223" s="120">
        <v>0</v>
      </c>
      <c r="L223" s="120">
        <v>0</v>
      </c>
      <c r="M223" s="120">
        <v>0</v>
      </c>
      <c r="N223" s="120">
        <v>0</v>
      </c>
      <c r="O223" s="120">
        <v>0</v>
      </c>
      <c r="P223" s="120">
        <v>0</v>
      </c>
      <c r="Q223" s="120">
        <v>0</v>
      </c>
      <c r="R223" s="120">
        <v>0</v>
      </c>
      <c r="S223" s="120">
        <v>0</v>
      </c>
      <c r="T223" s="120">
        <v>0</v>
      </c>
      <c r="U223" s="120">
        <v>0</v>
      </c>
      <c r="V223" s="120">
        <v>0</v>
      </c>
      <c r="W223" s="120">
        <v>0</v>
      </c>
      <c r="X223" s="120">
        <v>0</v>
      </c>
      <c r="Y223" s="120">
        <v>0</v>
      </c>
      <c r="Z223" s="120">
        <v>0</v>
      </c>
      <c r="AA223" s="120">
        <v>0</v>
      </c>
      <c r="AB223" s="120">
        <v>0</v>
      </c>
      <c r="AC223" s="120">
        <v>0</v>
      </c>
      <c r="AD223" s="120">
        <v>0</v>
      </c>
      <c r="AE223" s="120">
        <v>0</v>
      </c>
      <c r="AF223" s="120">
        <v>0</v>
      </c>
      <c r="AG223" s="120">
        <v>0</v>
      </c>
      <c r="AH223" s="120">
        <v>0</v>
      </c>
      <c r="AI223" s="120">
        <v>0</v>
      </c>
      <c r="AJ223" s="120">
        <v>0</v>
      </c>
      <c r="AK223" s="120">
        <v>0</v>
      </c>
      <c r="AL223" s="120">
        <v>0</v>
      </c>
      <c r="AM223" s="120">
        <v>0</v>
      </c>
      <c r="AN223" s="120">
        <v>0</v>
      </c>
      <c r="AO223" s="120">
        <v>0</v>
      </c>
      <c r="AP223" s="120">
        <v>0</v>
      </c>
      <c r="AQ223" s="120">
        <v>0</v>
      </c>
      <c r="AR223" s="120">
        <v>0</v>
      </c>
      <c r="AS223" s="120">
        <v>0</v>
      </c>
      <c r="AT223" s="120">
        <v>0</v>
      </c>
      <c r="AU223" s="120">
        <v>0</v>
      </c>
      <c r="AV223" s="120">
        <v>0</v>
      </c>
      <c r="AW223" s="120">
        <v>0</v>
      </c>
      <c r="AX223" s="120">
        <v>0</v>
      </c>
      <c r="AY223" s="120">
        <v>0</v>
      </c>
    </row>
    <row r="224" spans="1:51" x14ac:dyDescent="0.2">
      <c r="A224" s="119"/>
      <c r="B224" s="130">
        <v>16</v>
      </c>
      <c r="C224" s="116"/>
      <c r="D224" s="120">
        <v>0</v>
      </c>
      <c r="E224" s="120">
        <v>0</v>
      </c>
      <c r="F224" s="120">
        <v>0</v>
      </c>
      <c r="G224" s="120">
        <v>0</v>
      </c>
      <c r="H224" s="120">
        <v>0</v>
      </c>
      <c r="I224" s="120">
        <v>0</v>
      </c>
      <c r="J224" s="120">
        <v>0</v>
      </c>
      <c r="K224" s="120">
        <v>0</v>
      </c>
      <c r="L224" s="120">
        <v>0</v>
      </c>
      <c r="M224" s="120">
        <v>0</v>
      </c>
      <c r="N224" s="120">
        <v>0</v>
      </c>
      <c r="O224" s="120">
        <v>0</v>
      </c>
      <c r="P224" s="120">
        <v>0</v>
      </c>
      <c r="Q224" s="120">
        <v>0</v>
      </c>
      <c r="R224" s="120">
        <v>0</v>
      </c>
      <c r="S224" s="120">
        <v>0</v>
      </c>
      <c r="T224" s="120">
        <v>0</v>
      </c>
      <c r="U224" s="120">
        <v>0</v>
      </c>
      <c r="V224" s="120">
        <v>0</v>
      </c>
      <c r="W224" s="120">
        <v>0</v>
      </c>
      <c r="X224" s="120">
        <v>0</v>
      </c>
      <c r="Y224" s="120">
        <v>0</v>
      </c>
      <c r="Z224" s="120">
        <v>0</v>
      </c>
      <c r="AA224" s="120">
        <v>0</v>
      </c>
      <c r="AB224" s="120">
        <v>0</v>
      </c>
      <c r="AC224" s="120">
        <v>0</v>
      </c>
      <c r="AD224" s="120">
        <v>0</v>
      </c>
      <c r="AE224" s="120">
        <v>0</v>
      </c>
      <c r="AF224" s="120">
        <v>0</v>
      </c>
      <c r="AG224" s="120">
        <v>0</v>
      </c>
      <c r="AH224" s="120">
        <v>0</v>
      </c>
      <c r="AI224" s="120">
        <v>0</v>
      </c>
      <c r="AJ224" s="120">
        <v>0</v>
      </c>
      <c r="AK224" s="120">
        <v>0</v>
      </c>
      <c r="AL224" s="120">
        <v>0</v>
      </c>
      <c r="AM224" s="120">
        <v>0</v>
      </c>
      <c r="AN224" s="120">
        <v>0</v>
      </c>
      <c r="AO224" s="120">
        <v>0</v>
      </c>
      <c r="AP224" s="120">
        <v>0</v>
      </c>
      <c r="AQ224" s="120">
        <v>0</v>
      </c>
      <c r="AR224" s="120">
        <v>0</v>
      </c>
      <c r="AS224" s="120">
        <v>0</v>
      </c>
      <c r="AT224" s="120">
        <v>0</v>
      </c>
      <c r="AU224" s="120">
        <v>0</v>
      </c>
      <c r="AV224" s="120">
        <v>0</v>
      </c>
      <c r="AW224" s="120">
        <v>0</v>
      </c>
      <c r="AX224" s="120">
        <v>0</v>
      </c>
      <c r="AY224" s="120">
        <v>0</v>
      </c>
    </row>
    <row r="225" spans="1:51" x14ac:dyDescent="0.2">
      <c r="A225" s="119"/>
      <c r="B225" s="130">
        <v>17</v>
      </c>
      <c r="C225" s="116"/>
      <c r="D225" s="120">
        <v>0</v>
      </c>
      <c r="E225" s="120">
        <v>0</v>
      </c>
      <c r="F225" s="120">
        <v>0</v>
      </c>
      <c r="G225" s="120">
        <v>0</v>
      </c>
      <c r="H225" s="120">
        <v>0</v>
      </c>
      <c r="I225" s="120">
        <v>0</v>
      </c>
      <c r="J225" s="120">
        <v>0</v>
      </c>
      <c r="K225" s="120">
        <v>0</v>
      </c>
      <c r="L225" s="120">
        <v>0</v>
      </c>
      <c r="M225" s="120">
        <v>0</v>
      </c>
      <c r="N225" s="120">
        <v>0</v>
      </c>
      <c r="O225" s="120">
        <v>0</v>
      </c>
      <c r="P225" s="120">
        <v>0</v>
      </c>
      <c r="Q225" s="120">
        <v>0</v>
      </c>
      <c r="R225" s="120">
        <v>0</v>
      </c>
      <c r="S225" s="120">
        <v>0</v>
      </c>
      <c r="T225" s="120">
        <v>0</v>
      </c>
      <c r="U225" s="120">
        <v>0</v>
      </c>
      <c r="V225" s="120">
        <v>0</v>
      </c>
      <c r="W225" s="120">
        <v>0</v>
      </c>
      <c r="X225" s="120">
        <v>0</v>
      </c>
      <c r="Y225" s="120">
        <v>0</v>
      </c>
      <c r="Z225" s="120">
        <v>0</v>
      </c>
      <c r="AA225" s="120">
        <v>0</v>
      </c>
      <c r="AB225" s="120">
        <v>0</v>
      </c>
      <c r="AC225" s="120">
        <v>0</v>
      </c>
      <c r="AD225" s="120">
        <v>0</v>
      </c>
      <c r="AE225" s="120">
        <v>0</v>
      </c>
      <c r="AF225" s="120">
        <v>0</v>
      </c>
      <c r="AG225" s="120">
        <v>0</v>
      </c>
      <c r="AH225" s="120">
        <v>0</v>
      </c>
      <c r="AI225" s="120">
        <v>0</v>
      </c>
      <c r="AJ225" s="120">
        <v>0</v>
      </c>
      <c r="AK225" s="120">
        <v>0</v>
      </c>
      <c r="AL225" s="120">
        <v>0</v>
      </c>
      <c r="AM225" s="120">
        <v>0</v>
      </c>
      <c r="AN225" s="120">
        <v>0</v>
      </c>
      <c r="AO225" s="120">
        <v>0</v>
      </c>
      <c r="AP225" s="120">
        <v>0</v>
      </c>
      <c r="AQ225" s="120">
        <v>0</v>
      </c>
      <c r="AR225" s="120">
        <v>0</v>
      </c>
      <c r="AS225" s="120">
        <v>0</v>
      </c>
      <c r="AT225" s="120">
        <v>0</v>
      </c>
      <c r="AU225" s="120">
        <v>0</v>
      </c>
      <c r="AV225" s="120">
        <v>0</v>
      </c>
      <c r="AW225" s="120">
        <v>0</v>
      </c>
      <c r="AX225" s="120">
        <v>0</v>
      </c>
      <c r="AY225" s="120">
        <v>0</v>
      </c>
    </row>
    <row r="226" spans="1:51" x14ac:dyDescent="0.2">
      <c r="A226" s="119"/>
      <c r="B226" s="130">
        <v>18</v>
      </c>
      <c r="C226" s="116"/>
      <c r="D226" s="120">
        <v>0</v>
      </c>
      <c r="E226" s="120">
        <v>0</v>
      </c>
      <c r="F226" s="120">
        <v>0</v>
      </c>
      <c r="G226" s="120">
        <v>0</v>
      </c>
      <c r="H226" s="120">
        <v>0</v>
      </c>
      <c r="I226" s="120">
        <v>0</v>
      </c>
      <c r="J226" s="120">
        <v>0</v>
      </c>
      <c r="K226" s="120">
        <v>0</v>
      </c>
      <c r="L226" s="120">
        <v>0</v>
      </c>
      <c r="M226" s="120">
        <v>0</v>
      </c>
      <c r="N226" s="120">
        <v>0</v>
      </c>
      <c r="O226" s="120">
        <v>0</v>
      </c>
      <c r="P226" s="120">
        <v>0</v>
      </c>
      <c r="Q226" s="120">
        <v>0</v>
      </c>
      <c r="R226" s="120">
        <v>0</v>
      </c>
      <c r="S226" s="120">
        <v>0</v>
      </c>
      <c r="T226" s="120">
        <v>0</v>
      </c>
      <c r="U226" s="120">
        <v>0</v>
      </c>
      <c r="V226" s="120">
        <v>0</v>
      </c>
      <c r="W226" s="120">
        <v>0</v>
      </c>
      <c r="X226" s="120">
        <v>0</v>
      </c>
      <c r="Y226" s="120">
        <v>0</v>
      </c>
      <c r="Z226" s="120">
        <v>0</v>
      </c>
      <c r="AA226" s="120">
        <v>0</v>
      </c>
      <c r="AB226" s="120">
        <v>0</v>
      </c>
      <c r="AC226" s="120">
        <v>0</v>
      </c>
      <c r="AD226" s="120">
        <v>0</v>
      </c>
      <c r="AE226" s="120">
        <v>0</v>
      </c>
      <c r="AF226" s="120">
        <v>0</v>
      </c>
      <c r="AG226" s="120">
        <v>0</v>
      </c>
      <c r="AH226" s="120">
        <v>0</v>
      </c>
      <c r="AI226" s="120">
        <v>0</v>
      </c>
      <c r="AJ226" s="120">
        <v>0</v>
      </c>
      <c r="AK226" s="120">
        <v>0</v>
      </c>
      <c r="AL226" s="120">
        <v>0</v>
      </c>
      <c r="AM226" s="120">
        <v>0</v>
      </c>
      <c r="AN226" s="120">
        <v>0</v>
      </c>
      <c r="AO226" s="120">
        <v>0</v>
      </c>
      <c r="AP226" s="120">
        <v>0</v>
      </c>
      <c r="AQ226" s="120">
        <v>0</v>
      </c>
      <c r="AR226" s="120">
        <v>0</v>
      </c>
      <c r="AS226" s="120">
        <v>0</v>
      </c>
      <c r="AT226" s="120">
        <v>0</v>
      </c>
      <c r="AU226" s="120">
        <v>0</v>
      </c>
      <c r="AV226" s="120">
        <v>0</v>
      </c>
      <c r="AW226" s="120">
        <v>0</v>
      </c>
      <c r="AX226" s="120">
        <v>0</v>
      </c>
      <c r="AY226" s="120">
        <v>0</v>
      </c>
    </row>
    <row r="227" spans="1:51" x14ac:dyDescent="0.2">
      <c r="A227" s="119"/>
      <c r="B227" s="130">
        <v>19</v>
      </c>
      <c r="C227" s="116"/>
      <c r="D227" s="120">
        <v>0</v>
      </c>
      <c r="E227" s="120">
        <v>0</v>
      </c>
      <c r="F227" s="120">
        <v>0</v>
      </c>
      <c r="G227" s="120">
        <v>0</v>
      </c>
      <c r="H227" s="120">
        <v>0</v>
      </c>
      <c r="I227" s="120">
        <v>0</v>
      </c>
      <c r="J227" s="120">
        <v>0</v>
      </c>
      <c r="K227" s="120">
        <v>0</v>
      </c>
      <c r="L227" s="120">
        <v>0</v>
      </c>
      <c r="M227" s="120">
        <v>0</v>
      </c>
      <c r="N227" s="120">
        <v>0</v>
      </c>
      <c r="O227" s="120">
        <v>0</v>
      </c>
      <c r="P227" s="120">
        <v>0</v>
      </c>
      <c r="Q227" s="120">
        <v>0</v>
      </c>
      <c r="R227" s="120">
        <v>0</v>
      </c>
      <c r="S227" s="120">
        <v>0</v>
      </c>
      <c r="T227" s="120">
        <v>0</v>
      </c>
      <c r="U227" s="120">
        <v>0</v>
      </c>
      <c r="V227" s="120">
        <v>0</v>
      </c>
      <c r="W227" s="120">
        <v>0</v>
      </c>
      <c r="X227" s="120">
        <v>0</v>
      </c>
      <c r="Y227" s="120">
        <v>0</v>
      </c>
      <c r="Z227" s="120">
        <v>0</v>
      </c>
      <c r="AA227" s="120">
        <v>0</v>
      </c>
      <c r="AB227" s="120">
        <v>0</v>
      </c>
      <c r="AC227" s="120">
        <v>0</v>
      </c>
      <c r="AD227" s="120">
        <v>0</v>
      </c>
      <c r="AE227" s="120">
        <v>0</v>
      </c>
      <c r="AF227" s="120">
        <v>0</v>
      </c>
      <c r="AG227" s="120">
        <v>0</v>
      </c>
      <c r="AH227" s="120">
        <v>0</v>
      </c>
      <c r="AI227" s="120">
        <v>0</v>
      </c>
      <c r="AJ227" s="120">
        <v>0</v>
      </c>
      <c r="AK227" s="120">
        <v>0</v>
      </c>
      <c r="AL227" s="120">
        <v>0</v>
      </c>
      <c r="AM227" s="120">
        <v>0</v>
      </c>
      <c r="AN227" s="120">
        <v>0</v>
      </c>
      <c r="AO227" s="120">
        <v>0</v>
      </c>
      <c r="AP227" s="120">
        <v>0</v>
      </c>
      <c r="AQ227" s="120">
        <v>0</v>
      </c>
      <c r="AR227" s="120">
        <v>0</v>
      </c>
      <c r="AS227" s="120">
        <v>0</v>
      </c>
      <c r="AT227" s="120">
        <v>0</v>
      </c>
      <c r="AU227" s="120">
        <v>0</v>
      </c>
      <c r="AV227" s="120">
        <v>0</v>
      </c>
      <c r="AW227" s="120">
        <v>0</v>
      </c>
      <c r="AX227" s="120">
        <v>0</v>
      </c>
      <c r="AY227" s="120">
        <v>0</v>
      </c>
    </row>
    <row r="228" spans="1:51" x14ac:dyDescent="0.2">
      <c r="A228" s="119"/>
      <c r="B228" s="130">
        <v>20</v>
      </c>
      <c r="C228" s="116"/>
      <c r="D228" s="120">
        <v>0</v>
      </c>
      <c r="E228" s="120">
        <v>0</v>
      </c>
      <c r="F228" s="120">
        <v>0</v>
      </c>
      <c r="G228" s="120">
        <v>0</v>
      </c>
      <c r="H228" s="120">
        <v>0</v>
      </c>
      <c r="I228" s="120">
        <v>0</v>
      </c>
      <c r="J228" s="120">
        <v>0</v>
      </c>
      <c r="K228" s="120">
        <v>0</v>
      </c>
      <c r="L228" s="120">
        <v>0</v>
      </c>
      <c r="M228" s="120">
        <v>0</v>
      </c>
      <c r="N228" s="120">
        <v>0</v>
      </c>
      <c r="O228" s="120">
        <v>0</v>
      </c>
      <c r="P228" s="120">
        <v>0</v>
      </c>
      <c r="Q228" s="120">
        <v>0</v>
      </c>
      <c r="R228" s="120">
        <v>0</v>
      </c>
      <c r="S228" s="120">
        <v>0</v>
      </c>
      <c r="T228" s="120">
        <v>0</v>
      </c>
      <c r="U228" s="120">
        <v>0</v>
      </c>
      <c r="V228" s="120">
        <v>0</v>
      </c>
      <c r="W228" s="120">
        <v>0</v>
      </c>
      <c r="X228" s="120">
        <v>0</v>
      </c>
      <c r="Y228" s="120">
        <v>0</v>
      </c>
      <c r="Z228" s="120">
        <v>0</v>
      </c>
      <c r="AA228" s="120">
        <v>0</v>
      </c>
      <c r="AB228" s="120">
        <v>0</v>
      </c>
      <c r="AC228" s="120">
        <v>0</v>
      </c>
      <c r="AD228" s="120">
        <v>0</v>
      </c>
      <c r="AE228" s="120">
        <v>0</v>
      </c>
      <c r="AF228" s="120">
        <v>0</v>
      </c>
      <c r="AG228" s="120">
        <v>0</v>
      </c>
      <c r="AH228" s="120">
        <v>0</v>
      </c>
      <c r="AI228" s="120">
        <v>0</v>
      </c>
      <c r="AJ228" s="120">
        <v>0</v>
      </c>
      <c r="AK228" s="120">
        <v>0</v>
      </c>
      <c r="AL228" s="120">
        <v>0</v>
      </c>
      <c r="AM228" s="120">
        <v>0</v>
      </c>
      <c r="AN228" s="120">
        <v>0</v>
      </c>
      <c r="AO228" s="120">
        <v>0</v>
      </c>
      <c r="AP228" s="120">
        <v>0</v>
      </c>
      <c r="AQ228" s="120">
        <v>0</v>
      </c>
      <c r="AR228" s="120">
        <v>0</v>
      </c>
      <c r="AS228" s="120">
        <v>0</v>
      </c>
      <c r="AT228" s="120">
        <v>0</v>
      </c>
      <c r="AU228" s="120">
        <v>0</v>
      </c>
      <c r="AV228" s="120">
        <v>0</v>
      </c>
      <c r="AW228" s="120">
        <v>0</v>
      </c>
      <c r="AX228" s="120">
        <v>0</v>
      </c>
      <c r="AY228" s="120">
        <v>0</v>
      </c>
    </row>
    <row r="229" spans="1:51" x14ac:dyDescent="0.2">
      <c r="A229" s="119"/>
      <c r="B229" s="130">
        <v>21</v>
      </c>
      <c r="C229" s="116"/>
      <c r="D229" s="120">
        <v>0</v>
      </c>
      <c r="E229" s="120">
        <v>0</v>
      </c>
      <c r="F229" s="120">
        <v>0</v>
      </c>
      <c r="G229" s="120">
        <v>0</v>
      </c>
      <c r="H229" s="120">
        <v>0</v>
      </c>
      <c r="I229" s="120">
        <v>0</v>
      </c>
      <c r="J229" s="120">
        <v>0</v>
      </c>
      <c r="K229" s="120">
        <v>0</v>
      </c>
      <c r="L229" s="120">
        <v>0</v>
      </c>
      <c r="M229" s="120">
        <v>0</v>
      </c>
      <c r="N229" s="120">
        <v>0</v>
      </c>
      <c r="O229" s="120">
        <v>0</v>
      </c>
      <c r="P229" s="120">
        <v>0</v>
      </c>
      <c r="Q229" s="120">
        <v>0</v>
      </c>
      <c r="R229" s="120">
        <v>0</v>
      </c>
      <c r="S229" s="120">
        <v>0</v>
      </c>
      <c r="T229" s="120">
        <v>0</v>
      </c>
      <c r="U229" s="120">
        <v>0</v>
      </c>
      <c r="V229" s="120">
        <v>0</v>
      </c>
      <c r="W229" s="120">
        <v>0</v>
      </c>
      <c r="X229" s="120">
        <v>0</v>
      </c>
      <c r="Y229" s="120">
        <v>0</v>
      </c>
      <c r="Z229" s="120">
        <v>0</v>
      </c>
      <c r="AA229" s="120">
        <v>0</v>
      </c>
      <c r="AB229" s="120">
        <v>0</v>
      </c>
      <c r="AC229" s="120">
        <v>0</v>
      </c>
      <c r="AD229" s="120">
        <v>0</v>
      </c>
      <c r="AE229" s="120">
        <v>0</v>
      </c>
      <c r="AF229" s="120">
        <v>0</v>
      </c>
      <c r="AG229" s="120">
        <v>0</v>
      </c>
      <c r="AH229" s="120">
        <v>0</v>
      </c>
      <c r="AI229" s="120">
        <v>0</v>
      </c>
      <c r="AJ229" s="120">
        <v>0</v>
      </c>
      <c r="AK229" s="120">
        <v>0</v>
      </c>
      <c r="AL229" s="120">
        <v>0</v>
      </c>
      <c r="AM229" s="120">
        <v>0</v>
      </c>
      <c r="AN229" s="120">
        <v>0</v>
      </c>
      <c r="AO229" s="120">
        <v>0</v>
      </c>
      <c r="AP229" s="120">
        <v>0</v>
      </c>
      <c r="AQ229" s="120">
        <v>0</v>
      </c>
      <c r="AR229" s="120">
        <v>0</v>
      </c>
      <c r="AS229" s="120">
        <v>0</v>
      </c>
      <c r="AT229" s="120">
        <v>0</v>
      </c>
      <c r="AU229" s="120">
        <v>0</v>
      </c>
      <c r="AV229" s="120">
        <v>0</v>
      </c>
      <c r="AW229" s="120">
        <v>0</v>
      </c>
      <c r="AX229" s="120">
        <v>0</v>
      </c>
      <c r="AY229" s="120">
        <v>0</v>
      </c>
    </row>
    <row r="230" spans="1:51" x14ac:dyDescent="0.2">
      <c r="A230" s="119"/>
      <c r="B230" s="130">
        <v>22</v>
      </c>
      <c r="C230" s="116"/>
      <c r="D230" s="120">
        <v>0</v>
      </c>
      <c r="E230" s="120">
        <v>0</v>
      </c>
      <c r="F230" s="120">
        <v>0</v>
      </c>
      <c r="G230" s="120">
        <v>0</v>
      </c>
      <c r="H230" s="120">
        <v>0</v>
      </c>
      <c r="I230" s="120">
        <v>0</v>
      </c>
      <c r="J230" s="120">
        <v>0</v>
      </c>
      <c r="K230" s="120">
        <v>0</v>
      </c>
      <c r="L230" s="120">
        <v>0</v>
      </c>
      <c r="M230" s="120">
        <v>0</v>
      </c>
      <c r="N230" s="120">
        <v>0</v>
      </c>
      <c r="O230" s="120">
        <v>0</v>
      </c>
      <c r="P230" s="120">
        <v>0</v>
      </c>
      <c r="Q230" s="120">
        <v>0</v>
      </c>
      <c r="R230" s="120">
        <v>0</v>
      </c>
      <c r="S230" s="120">
        <v>0</v>
      </c>
      <c r="T230" s="120">
        <v>0</v>
      </c>
      <c r="U230" s="120">
        <v>0</v>
      </c>
      <c r="V230" s="120">
        <v>0</v>
      </c>
      <c r="W230" s="120">
        <v>0</v>
      </c>
      <c r="X230" s="120">
        <v>0</v>
      </c>
      <c r="Y230" s="120">
        <v>0</v>
      </c>
      <c r="Z230" s="120">
        <v>0</v>
      </c>
      <c r="AA230" s="120">
        <v>0</v>
      </c>
      <c r="AB230" s="120">
        <v>0</v>
      </c>
      <c r="AC230" s="120">
        <v>0</v>
      </c>
      <c r="AD230" s="120">
        <v>0</v>
      </c>
      <c r="AE230" s="120">
        <v>0</v>
      </c>
      <c r="AF230" s="120">
        <v>0</v>
      </c>
      <c r="AG230" s="120">
        <v>0</v>
      </c>
      <c r="AH230" s="120">
        <v>0</v>
      </c>
      <c r="AI230" s="120">
        <v>0</v>
      </c>
      <c r="AJ230" s="120">
        <v>0</v>
      </c>
      <c r="AK230" s="120">
        <v>0</v>
      </c>
      <c r="AL230" s="120">
        <v>0</v>
      </c>
      <c r="AM230" s="120">
        <v>0</v>
      </c>
      <c r="AN230" s="120">
        <v>0</v>
      </c>
      <c r="AO230" s="120">
        <v>0</v>
      </c>
      <c r="AP230" s="120">
        <v>0</v>
      </c>
      <c r="AQ230" s="120">
        <v>0</v>
      </c>
      <c r="AR230" s="120">
        <v>0</v>
      </c>
      <c r="AS230" s="120">
        <v>0</v>
      </c>
      <c r="AT230" s="120">
        <v>0</v>
      </c>
      <c r="AU230" s="120">
        <v>0</v>
      </c>
      <c r="AV230" s="120">
        <v>0</v>
      </c>
      <c r="AW230" s="120">
        <v>0</v>
      </c>
      <c r="AX230" s="120">
        <v>0</v>
      </c>
      <c r="AY230" s="120">
        <v>0</v>
      </c>
    </row>
    <row r="231" spans="1:51" x14ac:dyDescent="0.2">
      <c r="A231" s="119"/>
      <c r="B231" s="130">
        <v>23</v>
      </c>
      <c r="C231" s="116"/>
      <c r="D231" s="120">
        <v>0</v>
      </c>
      <c r="E231" s="120">
        <v>0</v>
      </c>
      <c r="F231" s="120">
        <v>0</v>
      </c>
      <c r="G231" s="120">
        <v>0</v>
      </c>
      <c r="H231" s="120">
        <v>0</v>
      </c>
      <c r="I231" s="120">
        <v>0</v>
      </c>
      <c r="J231" s="120">
        <v>0</v>
      </c>
      <c r="K231" s="120">
        <v>0</v>
      </c>
      <c r="L231" s="120">
        <v>0</v>
      </c>
      <c r="M231" s="120">
        <v>0</v>
      </c>
      <c r="N231" s="120">
        <v>0</v>
      </c>
      <c r="O231" s="120">
        <v>0</v>
      </c>
      <c r="P231" s="120">
        <v>0</v>
      </c>
      <c r="Q231" s="120">
        <v>0</v>
      </c>
      <c r="R231" s="120">
        <v>0</v>
      </c>
      <c r="S231" s="120">
        <v>0</v>
      </c>
      <c r="T231" s="120">
        <v>0</v>
      </c>
      <c r="U231" s="120">
        <v>0</v>
      </c>
      <c r="V231" s="120">
        <v>0</v>
      </c>
      <c r="W231" s="120">
        <v>0</v>
      </c>
      <c r="X231" s="120">
        <v>0</v>
      </c>
      <c r="Y231" s="120">
        <v>0</v>
      </c>
      <c r="Z231" s="120">
        <v>0</v>
      </c>
      <c r="AA231" s="120">
        <v>0</v>
      </c>
      <c r="AB231" s="120">
        <v>0</v>
      </c>
      <c r="AC231" s="120">
        <v>0</v>
      </c>
      <c r="AD231" s="120">
        <v>0</v>
      </c>
      <c r="AE231" s="120">
        <v>0</v>
      </c>
      <c r="AF231" s="120">
        <v>0</v>
      </c>
      <c r="AG231" s="120">
        <v>0</v>
      </c>
      <c r="AH231" s="120">
        <v>0</v>
      </c>
      <c r="AI231" s="120">
        <v>0</v>
      </c>
      <c r="AJ231" s="120">
        <v>0</v>
      </c>
      <c r="AK231" s="120">
        <v>0</v>
      </c>
      <c r="AL231" s="120">
        <v>0</v>
      </c>
      <c r="AM231" s="120">
        <v>0</v>
      </c>
      <c r="AN231" s="120">
        <v>0</v>
      </c>
      <c r="AO231" s="120">
        <v>0</v>
      </c>
      <c r="AP231" s="120">
        <v>0</v>
      </c>
      <c r="AQ231" s="120">
        <v>0</v>
      </c>
      <c r="AR231" s="120">
        <v>0</v>
      </c>
      <c r="AS231" s="120">
        <v>0</v>
      </c>
      <c r="AT231" s="120">
        <v>0</v>
      </c>
      <c r="AU231" s="120">
        <v>0</v>
      </c>
      <c r="AV231" s="120">
        <v>0</v>
      </c>
      <c r="AW231" s="120">
        <v>0</v>
      </c>
      <c r="AX231" s="120">
        <v>0</v>
      </c>
      <c r="AY231" s="120">
        <v>0</v>
      </c>
    </row>
    <row r="232" spans="1:51" x14ac:dyDescent="0.2">
      <c r="A232" s="119"/>
      <c r="B232" s="130">
        <v>24</v>
      </c>
      <c r="C232" s="116"/>
      <c r="D232" s="120">
        <v>0</v>
      </c>
      <c r="E232" s="120">
        <v>0</v>
      </c>
      <c r="F232" s="120">
        <v>0</v>
      </c>
      <c r="G232" s="120">
        <v>0</v>
      </c>
      <c r="H232" s="120">
        <v>0</v>
      </c>
      <c r="I232" s="120">
        <v>0</v>
      </c>
      <c r="J232" s="120">
        <v>0</v>
      </c>
      <c r="K232" s="120">
        <v>0</v>
      </c>
      <c r="L232" s="120">
        <v>0</v>
      </c>
      <c r="M232" s="120">
        <v>0</v>
      </c>
      <c r="N232" s="120">
        <v>0</v>
      </c>
      <c r="O232" s="120">
        <v>0</v>
      </c>
      <c r="P232" s="120">
        <v>0</v>
      </c>
      <c r="Q232" s="120">
        <v>0</v>
      </c>
      <c r="R232" s="120">
        <v>0</v>
      </c>
      <c r="S232" s="120">
        <v>0</v>
      </c>
      <c r="T232" s="120">
        <v>0</v>
      </c>
      <c r="U232" s="120">
        <v>0</v>
      </c>
      <c r="V232" s="120">
        <v>0</v>
      </c>
      <c r="W232" s="120">
        <v>0</v>
      </c>
      <c r="X232" s="120">
        <v>0</v>
      </c>
      <c r="Y232" s="120">
        <v>0</v>
      </c>
      <c r="Z232" s="120">
        <v>0</v>
      </c>
      <c r="AA232" s="120">
        <v>0</v>
      </c>
      <c r="AB232" s="120">
        <v>0</v>
      </c>
      <c r="AC232" s="120">
        <v>0</v>
      </c>
      <c r="AD232" s="120">
        <v>0</v>
      </c>
      <c r="AE232" s="120">
        <v>0</v>
      </c>
      <c r="AF232" s="120">
        <v>0</v>
      </c>
      <c r="AG232" s="120">
        <v>0</v>
      </c>
      <c r="AH232" s="120">
        <v>0</v>
      </c>
      <c r="AI232" s="120">
        <v>0</v>
      </c>
      <c r="AJ232" s="120">
        <v>0</v>
      </c>
      <c r="AK232" s="120">
        <v>0</v>
      </c>
      <c r="AL232" s="120">
        <v>0</v>
      </c>
      <c r="AM232" s="120">
        <v>0</v>
      </c>
      <c r="AN232" s="120">
        <v>0</v>
      </c>
      <c r="AO232" s="120">
        <v>0</v>
      </c>
      <c r="AP232" s="120">
        <v>0</v>
      </c>
      <c r="AQ232" s="120">
        <v>0</v>
      </c>
      <c r="AR232" s="120">
        <v>0</v>
      </c>
      <c r="AS232" s="120">
        <v>0</v>
      </c>
      <c r="AT232" s="120">
        <v>0</v>
      </c>
      <c r="AU232" s="120">
        <v>0</v>
      </c>
      <c r="AV232" s="120">
        <v>0</v>
      </c>
      <c r="AW232" s="120">
        <v>0</v>
      </c>
      <c r="AX232" s="120">
        <v>0</v>
      </c>
      <c r="AY232" s="120">
        <v>0</v>
      </c>
    </row>
    <row r="233" spans="1:51" x14ac:dyDescent="0.2">
      <c r="A233" s="119"/>
      <c r="B233" s="137">
        <v>25</v>
      </c>
      <c r="C233" s="116"/>
      <c r="D233" s="120">
        <v>0</v>
      </c>
      <c r="E233" s="120">
        <v>0</v>
      </c>
      <c r="F233" s="120">
        <v>0</v>
      </c>
      <c r="G233" s="120">
        <v>0</v>
      </c>
      <c r="H233" s="120">
        <v>0</v>
      </c>
      <c r="I233" s="120">
        <v>0</v>
      </c>
      <c r="J233" s="120">
        <v>0</v>
      </c>
      <c r="K233" s="120">
        <v>0</v>
      </c>
      <c r="L233" s="120">
        <v>0</v>
      </c>
      <c r="M233" s="120">
        <v>0</v>
      </c>
      <c r="N233" s="120">
        <v>0</v>
      </c>
      <c r="O233" s="120">
        <v>0</v>
      </c>
      <c r="P233" s="120">
        <v>0</v>
      </c>
      <c r="Q233" s="120">
        <v>0</v>
      </c>
      <c r="R233" s="120">
        <v>0</v>
      </c>
      <c r="S233" s="120">
        <v>0</v>
      </c>
      <c r="T233" s="120">
        <v>0</v>
      </c>
      <c r="U233" s="120">
        <v>0</v>
      </c>
      <c r="V233" s="120">
        <v>0</v>
      </c>
      <c r="W233" s="120">
        <v>0</v>
      </c>
      <c r="X233" s="120">
        <v>0</v>
      </c>
      <c r="Y233" s="120">
        <v>0</v>
      </c>
      <c r="Z233" s="120">
        <v>0</v>
      </c>
      <c r="AA233" s="120">
        <v>0</v>
      </c>
      <c r="AB233" s="120">
        <v>0</v>
      </c>
      <c r="AC233" s="120">
        <v>0</v>
      </c>
      <c r="AD233" s="120">
        <v>0</v>
      </c>
      <c r="AE233" s="120">
        <v>0</v>
      </c>
      <c r="AF233" s="120">
        <v>0</v>
      </c>
      <c r="AG233" s="120">
        <v>0</v>
      </c>
      <c r="AH233" s="120">
        <v>0</v>
      </c>
      <c r="AI233" s="120">
        <v>0</v>
      </c>
      <c r="AJ233" s="120">
        <v>0</v>
      </c>
      <c r="AK233" s="120">
        <v>0</v>
      </c>
      <c r="AL233" s="120">
        <v>0</v>
      </c>
      <c r="AM233" s="120">
        <v>0</v>
      </c>
      <c r="AN233" s="120">
        <v>0</v>
      </c>
      <c r="AO233" s="120">
        <v>0</v>
      </c>
      <c r="AP233" s="120">
        <v>0</v>
      </c>
      <c r="AQ233" s="120">
        <v>0</v>
      </c>
      <c r="AR233" s="120">
        <v>0</v>
      </c>
      <c r="AS233" s="120">
        <v>0</v>
      </c>
      <c r="AT233" s="120">
        <v>0</v>
      </c>
      <c r="AU233" s="120">
        <v>0</v>
      </c>
      <c r="AV233" s="120">
        <v>0</v>
      </c>
      <c r="AW233" s="120">
        <v>0</v>
      </c>
      <c r="AX233" s="120">
        <v>0</v>
      </c>
      <c r="AY233" s="120">
        <v>0</v>
      </c>
    </row>
    <row r="234" spans="1:51" x14ac:dyDescent="0.2">
      <c r="A234" s="119"/>
      <c r="B234" s="137">
        <v>26</v>
      </c>
      <c r="C234" s="116"/>
      <c r="D234" s="120">
        <v>0</v>
      </c>
      <c r="E234" s="120">
        <v>0</v>
      </c>
      <c r="F234" s="120">
        <v>0</v>
      </c>
      <c r="G234" s="120">
        <v>0</v>
      </c>
      <c r="H234" s="120">
        <v>0</v>
      </c>
      <c r="I234" s="120">
        <v>0</v>
      </c>
      <c r="J234" s="120">
        <v>0</v>
      </c>
      <c r="K234" s="120">
        <v>0</v>
      </c>
      <c r="L234" s="120">
        <v>0</v>
      </c>
      <c r="M234" s="120">
        <v>0</v>
      </c>
      <c r="N234" s="120">
        <v>0</v>
      </c>
      <c r="O234" s="120">
        <v>0</v>
      </c>
      <c r="P234" s="120">
        <v>0</v>
      </c>
      <c r="Q234" s="120">
        <v>0</v>
      </c>
      <c r="R234" s="120">
        <v>0</v>
      </c>
      <c r="S234" s="120">
        <v>0</v>
      </c>
      <c r="T234" s="120">
        <v>0</v>
      </c>
      <c r="U234" s="120">
        <v>0</v>
      </c>
      <c r="V234" s="120">
        <v>0</v>
      </c>
      <c r="W234" s="120">
        <v>0</v>
      </c>
      <c r="X234" s="120">
        <v>0</v>
      </c>
      <c r="Y234" s="120">
        <v>0</v>
      </c>
      <c r="Z234" s="120">
        <v>0</v>
      </c>
      <c r="AA234" s="120">
        <v>0</v>
      </c>
      <c r="AB234" s="120">
        <v>0</v>
      </c>
      <c r="AC234" s="120">
        <v>0</v>
      </c>
      <c r="AD234" s="120">
        <v>0</v>
      </c>
      <c r="AE234" s="120">
        <v>0</v>
      </c>
      <c r="AF234" s="120">
        <v>0</v>
      </c>
      <c r="AG234" s="120">
        <v>0</v>
      </c>
      <c r="AH234" s="120">
        <v>0</v>
      </c>
      <c r="AI234" s="120">
        <v>0</v>
      </c>
      <c r="AJ234" s="120">
        <v>0</v>
      </c>
      <c r="AK234" s="120">
        <v>0</v>
      </c>
      <c r="AL234" s="120">
        <v>0</v>
      </c>
      <c r="AM234" s="120">
        <v>0</v>
      </c>
      <c r="AN234" s="120">
        <v>0</v>
      </c>
      <c r="AO234" s="120">
        <v>0</v>
      </c>
      <c r="AP234" s="120">
        <v>0</v>
      </c>
      <c r="AQ234" s="120">
        <v>0</v>
      </c>
      <c r="AR234" s="120">
        <v>0</v>
      </c>
      <c r="AS234" s="120">
        <v>0</v>
      </c>
      <c r="AT234" s="120">
        <v>0</v>
      </c>
      <c r="AU234" s="120">
        <v>0</v>
      </c>
      <c r="AV234" s="120">
        <v>0</v>
      </c>
      <c r="AW234" s="120">
        <v>0</v>
      </c>
      <c r="AX234" s="120">
        <v>0</v>
      </c>
      <c r="AY234" s="120">
        <v>0</v>
      </c>
    </row>
    <row r="235" spans="1:51" x14ac:dyDescent="0.2">
      <c r="A235" s="119"/>
      <c r="B235" s="137">
        <v>27</v>
      </c>
      <c r="C235" s="116"/>
      <c r="D235" s="120">
        <v>0</v>
      </c>
      <c r="E235" s="120">
        <v>0</v>
      </c>
      <c r="F235" s="120">
        <v>0</v>
      </c>
      <c r="G235" s="120">
        <v>0</v>
      </c>
      <c r="H235" s="120">
        <v>0</v>
      </c>
      <c r="I235" s="120">
        <v>0</v>
      </c>
      <c r="J235" s="120">
        <v>0</v>
      </c>
      <c r="K235" s="120">
        <v>0</v>
      </c>
      <c r="L235" s="120">
        <v>0</v>
      </c>
      <c r="M235" s="120">
        <v>0</v>
      </c>
      <c r="N235" s="120">
        <v>0</v>
      </c>
      <c r="O235" s="120">
        <v>0</v>
      </c>
      <c r="P235" s="120">
        <v>0</v>
      </c>
      <c r="Q235" s="120">
        <v>0</v>
      </c>
      <c r="R235" s="120">
        <v>0</v>
      </c>
      <c r="S235" s="120">
        <v>0</v>
      </c>
      <c r="T235" s="120">
        <v>0</v>
      </c>
      <c r="U235" s="120">
        <v>0</v>
      </c>
      <c r="V235" s="120">
        <v>0</v>
      </c>
      <c r="W235" s="120">
        <v>0</v>
      </c>
      <c r="X235" s="120">
        <v>0</v>
      </c>
      <c r="Y235" s="120">
        <v>0</v>
      </c>
      <c r="Z235" s="120">
        <v>0</v>
      </c>
      <c r="AA235" s="120">
        <v>0</v>
      </c>
      <c r="AB235" s="120">
        <v>0</v>
      </c>
      <c r="AC235" s="120">
        <v>0</v>
      </c>
      <c r="AD235" s="120">
        <v>0</v>
      </c>
      <c r="AE235" s="120">
        <v>0</v>
      </c>
      <c r="AF235" s="120">
        <v>0</v>
      </c>
      <c r="AG235" s="120">
        <v>0</v>
      </c>
      <c r="AH235" s="120">
        <v>0</v>
      </c>
      <c r="AI235" s="120">
        <v>0</v>
      </c>
      <c r="AJ235" s="120">
        <v>0</v>
      </c>
      <c r="AK235" s="120">
        <v>0</v>
      </c>
      <c r="AL235" s="120">
        <v>0</v>
      </c>
      <c r="AM235" s="120">
        <v>0</v>
      </c>
      <c r="AN235" s="120">
        <v>0</v>
      </c>
      <c r="AO235" s="120">
        <v>0</v>
      </c>
      <c r="AP235" s="120">
        <v>0</v>
      </c>
      <c r="AQ235" s="120">
        <v>0</v>
      </c>
      <c r="AR235" s="120">
        <v>0</v>
      </c>
      <c r="AS235" s="120">
        <v>0</v>
      </c>
      <c r="AT235" s="120">
        <v>0</v>
      </c>
      <c r="AU235" s="120">
        <v>0</v>
      </c>
      <c r="AV235" s="120">
        <v>0</v>
      </c>
      <c r="AW235" s="120">
        <v>0</v>
      </c>
      <c r="AX235" s="120">
        <v>0</v>
      </c>
      <c r="AY235" s="120">
        <v>0</v>
      </c>
    </row>
    <row r="236" spans="1:51" x14ac:dyDescent="0.2">
      <c r="A236" s="119"/>
      <c r="B236" s="137">
        <v>28</v>
      </c>
      <c r="C236" s="116"/>
      <c r="D236" s="120">
        <v>0</v>
      </c>
      <c r="E236" s="120">
        <v>0</v>
      </c>
      <c r="F236" s="120">
        <v>0</v>
      </c>
      <c r="G236" s="120">
        <v>0</v>
      </c>
      <c r="H236" s="120">
        <v>0</v>
      </c>
      <c r="I236" s="120">
        <v>0</v>
      </c>
      <c r="J236" s="120">
        <v>0</v>
      </c>
      <c r="K236" s="120">
        <v>0</v>
      </c>
      <c r="L236" s="120">
        <v>0</v>
      </c>
      <c r="M236" s="120">
        <v>0</v>
      </c>
      <c r="N236" s="120">
        <v>0</v>
      </c>
      <c r="O236" s="120">
        <v>0</v>
      </c>
      <c r="P236" s="120">
        <v>0</v>
      </c>
      <c r="Q236" s="120">
        <v>0</v>
      </c>
      <c r="R236" s="120">
        <v>0</v>
      </c>
      <c r="S236" s="120">
        <v>0</v>
      </c>
      <c r="T236" s="120">
        <v>0</v>
      </c>
      <c r="U236" s="120">
        <v>0</v>
      </c>
      <c r="V236" s="120">
        <v>0</v>
      </c>
      <c r="W236" s="120">
        <v>0</v>
      </c>
      <c r="X236" s="120">
        <v>0</v>
      </c>
      <c r="Y236" s="120">
        <v>0</v>
      </c>
      <c r="Z236" s="120">
        <v>0</v>
      </c>
      <c r="AA236" s="120">
        <v>0</v>
      </c>
      <c r="AB236" s="120">
        <v>0</v>
      </c>
      <c r="AC236" s="120">
        <v>0</v>
      </c>
      <c r="AD236" s="120">
        <v>0</v>
      </c>
      <c r="AE236" s="120">
        <v>0</v>
      </c>
      <c r="AF236" s="120">
        <v>0</v>
      </c>
      <c r="AG236" s="120">
        <v>0</v>
      </c>
      <c r="AH236" s="120">
        <v>0</v>
      </c>
      <c r="AI236" s="120">
        <v>0</v>
      </c>
      <c r="AJ236" s="120">
        <v>0</v>
      </c>
      <c r="AK236" s="120">
        <v>0</v>
      </c>
      <c r="AL236" s="120">
        <v>0</v>
      </c>
      <c r="AM236" s="120">
        <v>0</v>
      </c>
      <c r="AN236" s="120">
        <v>0</v>
      </c>
      <c r="AO236" s="120">
        <v>0</v>
      </c>
      <c r="AP236" s="120">
        <v>0</v>
      </c>
      <c r="AQ236" s="120">
        <v>0</v>
      </c>
      <c r="AR236" s="120">
        <v>0</v>
      </c>
      <c r="AS236" s="120">
        <v>0</v>
      </c>
      <c r="AT236" s="120">
        <v>0</v>
      </c>
      <c r="AU236" s="120">
        <v>0</v>
      </c>
      <c r="AV236" s="120">
        <v>0</v>
      </c>
      <c r="AW236" s="120">
        <v>0</v>
      </c>
      <c r="AX236" s="120">
        <v>0</v>
      </c>
      <c r="AY236" s="120">
        <v>0</v>
      </c>
    </row>
    <row r="237" spans="1:51" x14ac:dyDescent="0.2">
      <c r="A237" s="119"/>
      <c r="B237" s="137">
        <v>29</v>
      </c>
      <c r="C237" s="116"/>
      <c r="D237" s="120">
        <v>0</v>
      </c>
      <c r="E237" s="120">
        <v>0</v>
      </c>
      <c r="F237" s="120">
        <v>0</v>
      </c>
      <c r="G237" s="120">
        <v>0</v>
      </c>
      <c r="H237" s="120">
        <v>0</v>
      </c>
      <c r="I237" s="120">
        <v>0</v>
      </c>
      <c r="J237" s="120">
        <v>0</v>
      </c>
      <c r="K237" s="120">
        <v>0</v>
      </c>
      <c r="L237" s="120">
        <v>0</v>
      </c>
      <c r="M237" s="120">
        <v>0</v>
      </c>
      <c r="N237" s="120">
        <v>0</v>
      </c>
      <c r="O237" s="120">
        <v>0</v>
      </c>
      <c r="P237" s="120">
        <v>0</v>
      </c>
      <c r="Q237" s="120">
        <v>0</v>
      </c>
      <c r="R237" s="120">
        <v>0</v>
      </c>
      <c r="S237" s="120">
        <v>0</v>
      </c>
      <c r="T237" s="120">
        <v>0</v>
      </c>
      <c r="U237" s="120">
        <v>0</v>
      </c>
      <c r="V237" s="120">
        <v>0</v>
      </c>
      <c r="W237" s="120">
        <v>0</v>
      </c>
      <c r="X237" s="120">
        <v>0</v>
      </c>
      <c r="Y237" s="120">
        <v>0</v>
      </c>
      <c r="Z237" s="120">
        <v>0</v>
      </c>
      <c r="AA237" s="120">
        <v>0</v>
      </c>
      <c r="AB237" s="120">
        <v>0</v>
      </c>
      <c r="AC237" s="120">
        <v>0</v>
      </c>
      <c r="AD237" s="120">
        <v>0</v>
      </c>
      <c r="AE237" s="120">
        <v>0</v>
      </c>
      <c r="AF237" s="120">
        <v>0</v>
      </c>
      <c r="AG237" s="120">
        <v>0</v>
      </c>
      <c r="AH237" s="120">
        <v>0</v>
      </c>
      <c r="AI237" s="120">
        <v>0</v>
      </c>
      <c r="AJ237" s="120">
        <v>0</v>
      </c>
      <c r="AK237" s="120">
        <v>0</v>
      </c>
      <c r="AL237" s="120">
        <v>0</v>
      </c>
      <c r="AM237" s="120">
        <v>0</v>
      </c>
      <c r="AN237" s="120">
        <v>0</v>
      </c>
      <c r="AO237" s="120">
        <v>0</v>
      </c>
      <c r="AP237" s="120">
        <v>0</v>
      </c>
      <c r="AQ237" s="120">
        <v>0</v>
      </c>
      <c r="AR237" s="120">
        <v>0</v>
      </c>
      <c r="AS237" s="120">
        <v>0</v>
      </c>
      <c r="AT237" s="120">
        <v>0</v>
      </c>
      <c r="AU237" s="120">
        <v>0</v>
      </c>
      <c r="AV237" s="120">
        <v>0</v>
      </c>
      <c r="AW237" s="120">
        <v>0</v>
      </c>
      <c r="AX237" s="120">
        <v>0</v>
      </c>
      <c r="AY237" s="120">
        <v>0</v>
      </c>
    </row>
    <row r="238" spans="1:51" x14ac:dyDescent="0.2">
      <c r="A238" s="119"/>
      <c r="B238" s="137">
        <v>30</v>
      </c>
      <c r="C238" s="116"/>
      <c r="D238" s="120">
        <v>0</v>
      </c>
      <c r="E238" s="120">
        <v>0</v>
      </c>
      <c r="F238" s="120">
        <v>0</v>
      </c>
      <c r="G238" s="120">
        <v>0</v>
      </c>
      <c r="H238" s="120">
        <v>0</v>
      </c>
      <c r="I238" s="120">
        <v>0</v>
      </c>
      <c r="J238" s="120">
        <v>0</v>
      </c>
      <c r="K238" s="120">
        <v>0</v>
      </c>
      <c r="L238" s="120">
        <v>0</v>
      </c>
      <c r="M238" s="120">
        <v>0</v>
      </c>
      <c r="N238" s="120">
        <v>0</v>
      </c>
      <c r="O238" s="120">
        <v>0</v>
      </c>
      <c r="P238" s="120">
        <v>0</v>
      </c>
      <c r="Q238" s="120">
        <v>0</v>
      </c>
      <c r="R238" s="120">
        <v>0</v>
      </c>
      <c r="S238" s="120">
        <v>0</v>
      </c>
      <c r="T238" s="120">
        <v>0</v>
      </c>
      <c r="U238" s="120">
        <v>0</v>
      </c>
      <c r="V238" s="120">
        <v>0</v>
      </c>
      <c r="W238" s="120">
        <v>0</v>
      </c>
      <c r="X238" s="120">
        <v>0</v>
      </c>
      <c r="Y238" s="120">
        <v>0</v>
      </c>
      <c r="Z238" s="120">
        <v>0</v>
      </c>
      <c r="AA238" s="120">
        <v>0</v>
      </c>
      <c r="AB238" s="120">
        <v>0</v>
      </c>
      <c r="AC238" s="120">
        <v>0</v>
      </c>
      <c r="AD238" s="120">
        <v>0</v>
      </c>
      <c r="AE238" s="120">
        <v>0</v>
      </c>
      <c r="AF238" s="120">
        <v>0</v>
      </c>
      <c r="AG238" s="120">
        <v>0</v>
      </c>
      <c r="AH238" s="120">
        <v>0</v>
      </c>
      <c r="AI238" s="120">
        <v>0</v>
      </c>
      <c r="AJ238" s="120">
        <v>0</v>
      </c>
      <c r="AK238" s="120">
        <v>0</v>
      </c>
      <c r="AL238" s="120">
        <v>0</v>
      </c>
      <c r="AM238" s="120">
        <v>0</v>
      </c>
      <c r="AN238" s="120">
        <v>0</v>
      </c>
      <c r="AO238" s="120">
        <v>0</v>
      </c>
      <c r="AP238" s="120">
        <v>0</v>
      </c>
      <c r="AQ238" s="120">
        <v>0</v>
      </c>
      <c r="AR238" s="120">
        <v>0</v>
      </c>
      <c r="AS238" s="120">
        <v>0</v>
      </c>
      <c r="AT238" s="120">
        <v>0</v>
      </c>
      <c r="AU238" s="120">
        <v>0</v>
      </c>
      <c r="AV238" s="120">
        <v>0</v>
      </c>
      <c r="AW238" s="120">
        <v>0</v>
      </c>
      <c r="AX238" s="120">
        <v>0</v>
      </c>
      <c r="AY238" s="120">
        <v>0</v>
      </c>
    </row>
    <row r="239" spans="1:51" x14ac:dyDescent="0.2">
      <c r="A239" s="119"/>
      <c r="B239" s="137">
        <v>31</v>
      </c>
      <c r="C239" s="116"/>
      <c r="D239" s="120">
        <v>0</v>
      </c>
      <c r="E239" s="120">
        <v>0</v>
      </c>
      <c r="F239" s="120">
        <v>0</v>
      </c>
      <c r="G239" s="120">
        <v>0</v>
      </c>
      <c r="H239" s="120">
        <v>0</v>
      </c>
      <c r="I239" s="120">
        <v>0</v>
      </c>
      <c r="J239" s="120">
        <v>0</v>
      </c>
      <c r="K239" s="120">
        <v>0</v>
      </c>
      <c r="L239" s="120">
        <v>0</v>
      </c>
      <c r="M239" s="120">
        <v>0</v>
      </c>
      <c r="N239" s="120">
        <v>0</v>
      </c>
      <c r="O239" s="120">
        <v>0</v>
      </c>
      <c r="P239" s="120">
        <v>0</v>
      </c>
      <c r="Q239" s="120">
        <v>0</v>
      </c>
      <c r="R239" s="120">
        <v>0</v>
      </c>
      <c r="S239" s="120">
        <v>0</v>
      </c>
      <c r="T239" s="120">
        <v>0</v>
      </c>
      <c r="U239" s="120">
        <v>0</v>
      </c>
      <c r="V239" s="120">
        <v>0</v>
      </c>
      <c r="W239" s="120">
        <v>0</v>
      </c>
      <c r="X239" s="120">
        <v>0</v>
      </c>
      <c r="Y239" s="120">
        <v>0</v>
      </c>
      <c r="Z239" s="120">
        <v>0</v>
      </c>
      <c r="AA239" s="120">
        <v>0</v>
      </c>
      <c r="AB239" s="120">
        <v>0</v>
      </c>
      <c r="AC239" s="120">
        <v>0</v>
      </c>
      <c r="AD239" s="120">
        <v>0</v>
      </c>
      <c r="AE239" s="120">
        <v>0</v>
      </c>
      <c r="AF239" s="120">
        <v>0</v>
      </c>
      <c r="AG239" s="120">
        <v>0</v>
      </c>
      <c r="AH239" s="120">
        <v>0</v>
      </c>
      <c r="AI239" s="120">
        <v>0</v>
      </c>
      <c r="AJ239" s="120">
        <v>0</v>
      </c>
      <c r="AK239" s="120">
        <v>0</v>
      </c>
      <c r="AL239" s="120">
        <v>0</v>
      </c>
      <c r="AM239" s="120">
        <v>0</v>
      </c>
      <c r="AN239" s="120">
        <v>0</v>
      </c>
      <c r="AO239" s="120">
        <v>0</v>
      </c>
      <c r="AP239" s="120">
        <v>0</v>
      </c>
      <c r="AQ239" s="120">
        <v>0</v>
      </c>
      <c r="AR239" s="120">
        <v>0</v>
      </c>
      <c r="AS239" s="120">
        <v>0</v>
      </c>
      <c r="AT239" s="120">
        <v>0</v>
      </c>
      <c r="AU239" s="120">
        <v>0</v>
      </c>
      <c r="AV239" s="120">
        <v>0</v>
      </c>
      <c r="AW239" s="120">
        <v>0</v>
      </c>
      <c r="AX239" s="120">
        <v>0</v>
      </c>
      <c r="AY239" s="120">
        <v>0</v>
      </c>
    </row>
    <row r="240" spans="1:51" x14ac:dyDescent="0.2">
      <c r="A240" s="119"/>
      <c r="B240" s="137">
        <v>32</v>
      </c>
      <c r="C240" s="116"/>
      <c r="D240" s="120">
        <v>0</v>
      </c>
      <c r="E240" s="120">
        <v>0</v>
      </c>
      <c r="F240" s="120">
        <v>0</v>
      </c>
      <c r="G240" s="120">
        <v>0</v>
      </c>
      <c r="H240" s="120">
        <v>0</v>
      </c>
      <c r="I240" s="120">
        <v>0</v>
      </c>
      <c r="J240" s="120">
        <v>0</v>
      </c>
      <c r="K240" s="120">
        <v>0</v>
      </c>
      <c r="L240" s="120">
        <v>0</v>
      </c>
      <c r="M240" s="120">
        <v>0</v>
      </c>
      <c r="N240" s="120">
        <v>0</v>
      </c>
      <c r="O240" s="120">
        <v>0</v>
      </c>
      <c r="P240" s="120">
        <v>0</v>
      </c>
      <c r="Q240" s="120">
        <v>0</v>
      </c>
      <c r="R240" s="120">
        <v>0</v>
      </c>
      <c r="S240" s="120">
        <v>0</v>
      </c>
      <c r="T240" s="120">
        <v>0</v>
      </c>
      <c r="U240" s="120">
        <v>0</v>
      </c>
      <c r="V240" s="120">
        <v>0</v>
      </c>
      <c r="W240" s="120">
        <v>0</v>
      </c>
      <c r="X240" s="120">
        <v>0</v>
      </c>
      <c r="Y240" s="120">
        <v>0</v>
      </c>
      <c r="Z240" s="120">
        <v>0</v>
      </c>
      <c r="AA240" s="120">
        <v>0</v>
      </c>
      <c r="AB240" s="120">
        <v>0</v>
      </c>
      <c r="AC240" s="120">
        <v>0</v>
      </c>
      <c r="AD240" s="120">
        <v>0</v>
      </c>
      <c r="AE240" s="120">
        <v>0</v>
      </c>
      <c r="AF240" s="120">
        <v>0</v>
      </c>
      <c r="AG240" s="120">
        <v>0</v>
      </c>
      <c r="AH240" s="120">
        <v>0</v>
      </c>
      <c r="AI240" s="120">
        <v>0</v>
      </c>
      <c r="AJ240" s="120">
        <v>0</v>
      </c>
      <c r="AK240" s="120">
        <v>0</v>
      </c>
      <c r="AL240" s="120">
        <v>0</v>
      </c>
      <c r="AM240" s="120">
        <v>0</v>
      </c>
      <c r="AN240" s="120">
        <v>0</v>
      </c>
      <c r="AO240" s="120">
        <v>0</v>
      </c>
      <c r="AP240" s="120">
        <v>0</v>
      </c>
      <c r="AQ240" s="120">
        <v>0</v>
      </c>
      <c r="AR240" s="120">
        <v>0</v>
      </c>
      <c r="AS240" s="120">
        <v>0</v>
      </c>
      <c r="AT240" s="120">
        <v>0</v>
      </c>
      <c r="AU240" s="120">
        <v>0</v>
      </c>
      <c r="AV240" s="120">
        <v>0</v>
      </c>
      <c r="AW240" s="120">
        <v>0</v>
      </c>
      <c r="AX240" s="120">
        <v>0</v>
      </c>
      <c r="AY240" s="120">
        <v>0</v>
      </c>
    </row>
    <row r="241" spans="1:51" x14ac:dyDescent="0.2">
      <c r="A241" s="119"/>
      <c r="B241" s="137">
        <v>33</v>
      </c>
      <c r="C241" s="116"/>
      <c r="D241" s="120">
        <v>0</v>
      </c>
      <c r="E241" s="120">
        <v>0</v>
      </c>
      <c r="F241" s="120">
        <v>0</v>
      </c>
      <c r="G241" s="120">
        <v>0</v>
      </c>
      <c r="H241" s="120">
        <v>0</v>
      </c>
      <c r="I241" s="120">
        <v>0</v>
      </c>
      <c r="J241" s="120">
        <v>0</v>
      </c>
      <c r="K241" s="120">
        <v>0</v>
      </c>
      <c r="L241" s="120">
        <v>0</v>
      </c>
      <c r="M241" s="120">
        <v>0</v>
      </c>
      <c r="N241" s="120">
        <v>0</v>
      </c>
      <c r="O241" s="120">
        <v>0</v>
      </c>
      <c r="P241" s="120">
        <v>0</v>
      </c>
      <c r="Q241" s="120">
        <v>0</v>
      </c>
      <c r="R241" s="120">
        <v>0</v>
      </c>
      <c r="S241" s="120">
        <v>0</v>
      </c>
      <c r="T241" s="120">
        <v>0</v>
      </c>
      <c r="U241" s="120">
        <v>0</v>
      </c>
      <c r="V241" s="120">
        <v>0</v>
      </c>
      <c r="W241" s="120">
        <v>0</v>
      </c>
      <c r="X241" s="120">
        <v>0</v>
      </c>
      <c r="Y241" s="120">
        <v>0</v>
      </c>
      <c r="Z241" s="120">
        <v>0</v>
      </c>
      <c r="AA241" s="120">
        <v>0</v>
      </c>
      <c r="AB241" s="120">
        <v>0</v>
      </c>
      <c r="AC241" s="120">
        <v>0</v>
      </c>
      <c r="AD241" s="120">
        <v>0</v>
      </c>
      <c r="AE241" s="120">
        <v>0</v>
      </c>
      <c r="AF241" s="120">
        <v>0</v>
      </c>
      <c r="AG241" s="120">
        <v>0</v>
      </c>
      <c r="AH241" s="120">
        <v>0</v>
      </c>
      <c r="AI241" s="120">
        <v>0</v>
      </c>
      <c r="AJ241" s="120">
        <v>0</v>
      </c>
      <c r="AK241" s="120">
        <v>0</v>
      </c>
      <c r="AL241" s="120">
        <v>0</v>
      </c>
      <c r="AM241" s="120">
        <v>0</v>
      </c>
      <c r="AN241" s="120">
        <v>0</v>
      </c>
      <c r="AO241" s="120">
        <v>0</v>
      </c>
      <c r="AP241" s="120">
        <v>0</v>
      </c>
      <c r="AQ241" s="120">
        <v>0</v>
      </c>
      <c r="AR241" s="120">
        <v>0</v>
      </c>
      <c r="AS241" s="120">
        <v>0</v>
      </c>
      <c r="AT241" s="120">
        <v>0</v>
      </c>
      <c r="AU241" s="120">
        <v>0</v>
      </c>
      <c r="AV241" s="120">
        <v>0</v>
      </c>
      <c r="AW241" s="120">
        <v>0</v>
      </c>
      <c r="AX241" s="120">
        <v>0</v>
      </c>
      <c r="AY241" s="120">
        <v>0</v>
      </c>
    </row>
    <row r="242" spans="1:51" x14ac:dyDescent="0.2">
      <c r="A242" s="119"/>
      <c r="B242" s="137">
        <v>34</v>
      </c>
      <c r="C242" s="116"/>
      <c r="D242" s="120">
        <v>0</v>
      </c>
      <c r="E242" s="120">
        <v>0</v>
      </c>
      <c r="F242" s="120">
        <v>0</v>
      </c>
      <c r="G242" s="120">
        <v>0</v>
      </c>
      <c r="H242" s="120">
        <v>0</v>
      </c>
      <c r="I242" s="120">
        <v>0</v>
      </c>
      <c r="J242" s="120">
        <v>0</v>
      </c>
      <c r="K242" s="120">
        <v>0</v>
      </c>
      <c r="L242" s="120">
        <v>0</v>
      </c>
      <c r="M242" s="120">
        <v>0</v>
      </c>
      <c r="N242" s="120">
        <v>0</v>
      </c>
      <c r="O242" s="120">
        <v>0</v>
      </c>
      <c r="P242" s="120">
        <v>0</v>
      </c>
      <c r="Q242" s="120">
        <v>0</v>
      </c>
      <c r="R242" s="120">
        <v>0</v>
      </c>
      <c r="S242" s="120">
        <v>0</v>
      </c>
      <c r="T242" s="120">
        <v>0</v>
      </c>
      <c r="U242" s="120">
        <v>0</v>
      </c>
      <c r="V242" s="120">
        <v>0</v>
      </c>
      <c r="W242" s="120">
        <v>0</v>
      </c>
      <c r="X242" s="120">
        <v>0</v>
      </c>
      <c r="Y242" s="120">
        <v>0</v>
      </c>
      <c r="Z242" s="120">
        <v>0</v>
      </c>
      <c r="AA242" s="120">
        <v>0</v>
      </c>
      <c r="AB242" s="120">
        <v>0</v>
      </c>
      <c r="AC242" s="120">
        <v>0</v>
      </c>
      <c r="AD242" s="120">
        <v>0</v>
      </c>
      <c r="AE242" s="120">
        <v>0</v>
      </c>
      <c r="AF242" s="120">
        <v>0</v>
      </c>
      <c r="AG242" s="120">
        <v>0</v>
      </c>
      <c r="AH242" s="120">
        <v>0</v>
      </c>
      <c r="AI242" s="120">
        <v>0</v>
      </c>
      <c r="AJ242" s="120">
        <v>0</v>
      </c>
      <c r="AK242" s="120">
        <v>0</v>
      </c>
      <c r="AL242" s="120">
        <v>0</v>
      </c>
      <c r="AM242" s="120">
        <v>0</v>
      </c>
      <c r="AN242" s="120">
        <v>0</v>
      </c>
      <c r="AO242" s="120">
        <v>0</v>
      </c>
      <c r="AP242" s="120">
        <v>0</v>
      </c>
      <c r="AQ242" s="120">
        <v>0</v>
      </c>
      <c r="AR242" s="120">
        <v>0</v>
      </c>
      <c r="AS242" s="120">
        <v>0</v>
      </c>
      <c r="AT242" s="120">
        <v>0</v>
      </c>
      <c r="AU242" s="120">
        <v>0</v>
      </c>
      <c r="AV242" s="120">
        <v>0</v>
      </c>
      <c r="AW242" s="120">
        <v>0</v>
      </c>
      <c r="AX242" s="120">
        <v>0</v>
      </c>
      <c r="AY242" s="120">
        <v>0</v>
      </c>
    </row>
    <row r="243" spans="1:51" x14ac:dyDescent="0.2">
      <c r="A243" s="119"/>
      <c r="B243" s="137">
        <v>35</v>
      </c>
      <c r="C243" s="116"/>
      <c r="D243" s="120">
        <v>0</v>
      </c>
      <c r="E243" s="120">
        <v>0</v>
      </c>
      <c r="F243" s="120">
        <v>0</v>
      </c>
      <c r="G243" s="120">
        <v>0</v>
      </c>
      <c r="H243" s="120">
        <v>0</v>
      </c>
      <c r="I243" s="120">
        <v>0</v>
      </c>
      <c r="J243" s="120">
        <v>0</v>
      </c>
      <c r="K243" s="120">
        <v>0</v>
      </c>
      <c r="L243" s="120">
        <v>0</v>
      </c>
      <c r="M243" s="120">
        <v>0</v>
      </c>
      <c r="N243" s="120">
        <v>0</v>
      </c>
      <c r="O243" s="120">
        <v>0</v>
      </c>
      <c r="P243" s="120">
        <v>0</v>
      </c>
      <c r="Q243" s="120">
        <v>0</v>
      </c>
      <c r="R243" s="120">
        <v>0</v>
      </c>
      <c r="S243" s="120">
        <v>0</v>
      </c>
      <c r="T243" s="120">
        <v>0</v>
      </c>
      <c r="U243" s="120">
        <v>0</v>
      </c>
      <c r="V243" s="120">
        <v>0</v>
      </c>
      <c r="W243" s="120">
        <v>0</v>
      </c>
      <c r="X243" s="120">
        <v>0</v>
      </c>
      <c r="Y243" s="120">
        <v>0</v>
      </c>
      <c r="Z243" s="120">
        <v>0</v>
      </c>
      <c r="AA243" s="120">
        <v>0</v>
      </c>
      <c r="AB243" s="120">
        <v>0</v>
      </c>
      <c r="AC243" s="120">
        <v>0</v>
      </c>
      <c r="AD243" s="120">
        <v>0</v>
      </c>
      <c r="AE243" s="120">
        <v>0</v>
      </c>
      <c r="AF243" s="120">
        <v>0</v>
      </c>
      <c r="AG243" s="120">
        <v>0</v>
      </c>
      <c r="AH243" s="120">
        <v>0</v>
      </c>
      <c r="AI243" s="120">
        <v>0</v>
      </c>
      <c r="AJ243" s="120">
        <v>0</v>
      </c>
      <c r="AK243" s="120">
        <v>0</v>
      </c>
      <c r="AL243" s="120">
        <v>0</v>
      </c>
      <c r="AM243" s="120">
        <v>0</v>
      </c>
      <c r="AN243" s="120">
        <v>0</v>
      </c>
      <c r="AO243" s="120">
        <v>0</v>
      </c>
      <c r="AP243" s="120">
        <v>0</v>
      </c>
      <c r="AQ243" s="120">
        <v>0</v>
      </c>
      <c r="AR243" s="120">
        <v>0</v>
      </c>
      <c r="AS243" s="120">
        <v>0</v>
      </c>
      <c r="AT243" s="120">
        <v>0</v>
      </c>
      <c r="AU243" s="120">
        <v>0</v>
      </c>
      <c r="AV243" s="120">
        <v>0</v>
      </c>
      <c r="AW243" s="120">
        <v>0</v>
      </c>
      <c r="AX243" s="120">
        <v>0</v>
      </c>
      <c r="AY243" s="120">
        <v>0</v>
      </c>
    </row>
    <row r="244" spans="1:51" x14ac:dyDescent="0.2">
      <c r="A244" s="119"/>
      <c r="B244" s="137">
        <v>36</v>
      </c>
      <c r="C244" s="116"/>
      <c r="D244" s="120">
        <v>0</v>
      </c>
      <c r="E244" s="120">
        <v>0</v>
      </c>
      <c r="F244" s="120">
        <v>0</v>
      </c>
      <c r="G244" s="120">
        <v>0</v>
      </c>
      <c r="H244" s="120">
        <v>0</v>
      </c>
      <c r="I244" s="120">
        <v>0</v>
      </c>
      <c r="J244" s="120">
        <v>0</v>
      </c>
      <c r="K244" s="120">
        <v>0</v>
      </c>
      <c r="L244" s="120">
        <v>0</v>
      </c>
      <c r="M244" s="120">
        <v>0</v>
      </c>
      <c r="N244" s="120">
        <v>0</v>
      </c>
      <c r="O244" s="120">
        <v>0</v>
      </c>
      <c r="P244" s="120">
        <v>0</v>
      </c>
      <c r="Q244" s="120">
        <v>0</v>
      </c>
      <c r="R244" s="120">
        <v>0</v>
      </c>
      <c r="S244" s="120">
        <v>0</v>
      </c>
      <c r="T244" s="120">
        <v>0</v>
      </c>
      <c r="U244" s="120">
        <v>0</v>
      </c>
      <c r="V244" s="120">
        <v>0</v>
      </c>
      <c r="W244" s="120">
        <v>0</v>
      </c>
      <c r="X244" s="120">
        <v>0</v>
      </c>
      <c r="Y244" s="120">
        <v>0</v>
      </c>
      <c r="Z244" s="120">
        <v>0</v>
      </c>
      <c r="AA244" s="120">
        <v>0</v>
      </c>
      <c r="AB244" s="120">
        <v>0</v>
      </c>
      <c r="AC244" s="120">
        <v>0</v>
      </c>
      <c r="AD244" s="120">
        <v>0</v>
      </c>
      <c r="AE244" s="120">
        <v>0</v>
      </c>
      <c r="AF244" s="120">
        <v>0</v>
      </c>
      <c r="AG244" s="120">
        <v>0</v>
      </c>
      <c r="AH244" s="120">
        <v>0</v>
      </c>
      <c r="AI244" s="120">
        <v>0</v>
      </c>
      <c r="AJ244" s="120">
        <v>0</v>
      </c>
      <c r="AK244" s="120">
        <v>0</v>
      </c>
      <c r="AL244" s="120">
        <v>0</v>
      </c>
      <c r="AM244" s="120">
        <v>0</v>
      </c>
      <c r="AN244" s="120">
        <v>0</v>
      </c>
      <c r="AO244" s="120">
        <v>0</v>
      </c>
      <c r="AP244" s="120">
        <v>0</v>
      </c>
      <c r="AQ244" s="120">
        <v>0</v>
      </c>
      <c r="AR244" s="120">
        <v>0</v>
      </c>
      <c r="AS244" s="120">
        <v>0</v>
      </c>
      <c r="AT244" s="120">
        <v>0</v>
      </c>
      <c r="AU244" s="120">
        <v>0</v>
      </c>
      <c r="AV244" s="120">
        <v>0</v>
      </c>
      <c r="AW244" s="120">
        <v>0</v>
      </c>
      <c r="AX244" s="120">
        <v>0</v>
      </c>
      <c r="AY244" s="120">
        <v>0</v>
      </c>
    </row>
    <row r="245" spans="1:51" x14ac:dyDescent="0.2">
      <c r="A245" s="119"/>
      <c r="B245" s="140">
        <v>37</v>
      </c>
      <c r="C245" s="116"/>
      <c r="D245" s="120">
        <v>0</v>
      </c>
      <c r="E245" s="120">
        <v>0</v>
      </c>
      <c r="F245" s="120">
        <v>0</v>
      </c>
      <c r="G245" s="120">
        <v>0</v>
      </c>
      <c r="H245" s="120">
        <v>0</v>
      </c>
      <c r="I245" s="120">
        <v>0</v>
      </c>
      <c r="J245" s="120">
        <v>0</v>
      </c>
      <c r="K245" s="120">
        <v>0</v>
      </c>
      <c r="L245" s="120">
        <v>0</v>
      </c>
      <c r="M245" s="120">
        <v>0</v>
      </c>
      <c r="N245" s="120">
        <v>0</v>
      </c>
      <c r="O245" s="120">
        <v>0</v>
      </c>
      <c r="P245" s="120">
        <v>0</v>
      </c>
      <c r="Q245" s="120">
        <v>0</v>
      </c>
      <c r="R245" s="120">
        <v>0</v>
      </c>
      <c r="S245" s="120">
        <v>0</v>
      </c>
      <c r="T245" s="120">
        <v>0</v>
      </c>
      <c r="U245" s="120">
        <v>0</v>
      </c>
      <c r="V245" s="120">
        <v>0</v>
      </c>
      <c r="W245" s="120">
        <v>0</v>
      </c>
      <c r="X245" s="120">
        <v>0</v>
      </c>
      <c r="Y245" s="120">
        <v>0</v>
      </c>
      <c r="Z245" s="120">
        <v>0</v>
      </c>
      <c r="AA245" s="120">
        <v>0</v>
      </c>
      <c r="AB245" s="120">
        <v>0</v>
      </c>
      <c r="AC245" s="120">
        <v>0</v>
      </c>
      <c r="AD245" s="120">
        <v>0</v>
      </c>
      <c r="AE245" s="120">
        <v>0</v>
      </c>
      <c r="AF245" s="120">
        <v>0</v>
      </c>
      <c r="AG245" s="120">
        <v>0</v>
      </c>
      <c r="AH245" s="120">
        <v>0</v>
      </c>
      <c r="AI245" s="120">
        <v>0</v>
      </c>
      <c r="AJ245" s="120">
        <v>0</v>
      </c>
      <c r="AK245" s="120">
        <v>0</v>
      </c>
      <c r="AL245" s="120">
        <v>0</v>
      </c>
      <c r="AM245" s="120">
        <v>0</v>
      </c>
      <c r="AN245" s="120">
        <v>0</v>
      </c>
      <c r="AO245" s="120">
        <v>0</v>
      </c>
      <c r="AP245" s="120">
        <v>0</v>
      </c>
      <c r="AQ245" s="120">
        <v>0</v>
      </c>
      <c r="AR245" s="120">
        <v>0</v>
      </c>
      <c r="AS245" s="120">
        <v>0</v>
      </c>
      <c r="AT245" s="120">
        <v>0</v>
      </c>
      <c r="AU245" s="120">
        <v>0</v>
      </c>
      <c r="AV245" s="120">
        <v>0</v>
      </c>
      <c r="AW245" s="120">
        <v>0</v>
      </c>
      <c r="AX245" s="120">
        <v>0</v>
      </c>
      <c r="AY245" s="120">
        <v>0</v>
      </c>
    </row>
    <row r="246" spans="1:51" x14ac:dyDescent="0.2">
      <c r="A246" s="119"/>
      <c r="B246" s="140">
        <v>38</v>
      </c>
      <c r="C246" s="116"/>
      <c r="D246" s="120">
        <v>0</v>
      </c>
      <c r="E246" s="120">
        <v>0</v>
      </c>
      <c r="F246" s="120">
        <v>0</v>
      </c>
      <c r="G246" s="120">
        <v>0</v>
      </c>
      <c r="H246" s="120">
        <v>0</v>
      </c>
      <c r="I246" s="120">
        <v>0</v>
      </c>
      <c r="J246" s="120">
        <v>0</v>
      </c>
      <c r="K246" s="120">
        <v>0</v>
      </c>
      <c r="L246" s="120">
        <v>0</v>
      </c>
      <c r="M246" s="120">
        <v>0</v>
      </c>
      <c r="N246" s="120">
        <v>0</v>
      </c>
      <c r="O246" s="120">
        <v>0</v>
      </c>
      <c r="P246" s="120">
        <v>0</v>
      </c>
      <c r="Q246" s="120">
        <v>0</v>
      </c>
      <c r="R246" s="120">
        <v>0</v>
      </c>
      <c r="S246" s="120">
        <v>0</v>
      </c>
      <c r="T246" s="120">
        <v>0</v>
      </c>
      <c r="U246" s="120">
        <v>0</v>
      </c>
      <c r="V246" s="120">
        <v>0</v>
      </c>
      <c r="W246" s="120">
        <v>0</v>
      </c>
      <c r="X246" s="120">
        <v>0</v>
      </c>
      <c r="Y246" s="120">
        <v>0</v>
      </c>
      <c r="Z246" s="120">
        <v>0</v>
      </c>
      <c r="AA246" s="120">
        <v>0</v>
      </c>
      <c r="AB246" s="120">
        <v>0</v>
      </c>
      <c r="AC246" s="120">
        <v>0</v>
      </c>
      <c r="AD246" s="120">
        <v>0</v>
      </c>
      <c r="AE246" s="120">
        <v>0</v>
      </c>
      <c r="AF246" s="120">
        <v>0</v>
      </c>
      <c r="AG246" s="120">
        <v>0</v>
      </c>
      <c r="AH246" s="120">
        <v>0</v>
      </c>
      <c r="AI246" s="120">
        <v>0</v>
      </c>
      <c r="AJ246" s="120">
        <v>0</v>
      </c>
      <c r="AK246" s="120">
        <v>0</v>
      </c>
      <c r="AL246" s="120">
        <v>0</v>
      </c>
      <c r="AM246" s="120">
        <v>0</v>
      </c>
      <c r="AN246" s="120">
        <v>0</v>
      </c>
      <c r="AO246" s="120">
        <v>0</v>
      </c>
      <c r="AP246" s="120">
        <v>0</v>
      </c>
      <c r="AQ246" s="120">
        <v>0</v>
      </c>
      <c r="AR246" s="120">
        <v>0</v>
      </c>
      <c r="AS246" s="120">
        <v>0</v>
      </c>
      <c r="AT246" s="120">
        <v>0</v>
      </c>
      <c r="AU246" s="120">
        <v>0</v>
      </c>
      <c r="AV246" s="120">
        <v>0</v>
      </c>
      <c r="AW246" s="120">
        <v>0</v>
      </c>
      <c r="AX246" s="120">
        <v>0</v>
      </c>
      <c r="AY246" s="120">
        <v>0</v>
      </c>
    </row>
    <row r="247" spans="1:51" x14ac:dyDescent="0.2">
      <c r="A247" s="119"/>
      <c r="B247" s="140">
        <v>39</v>
      </c>
      <c r="C247" s="116"/>
      <c r="D247" s="120">
        <v>0</v>
      </c>
      <c r="E247" s="120">
        <v>0</v>
      </c>
      <c r="F247" s="120">
        <v>0</v>
      </c>
      <c r="G247" s="120">
        <v>0</v>
      </c>
      <c r="H247" s="120">
        <v>0</v>
      </c>
      <c r="I247" s="120">
        <v>0</v>
      </c>
      <c r="J247" s="120">
        <v>0</v>
      </c>
      <c r="K247" s="120">
        <v>0</v>
      </c>
      <c r="L247" s="120">
        <v>0</v>
      </c>
      <c r="M247" s="120">
        <v>0</v>
      </c>
      <c r="N247" s="120">
        <v>0</v>
      </c>
      <c r="O247" s="120">
        <v>0</v>
      </c>
      <c r="P247" s="120">
        <v>0</v>
      </c>
      <c r="Q247" s="120">
        <v>0</v>
      </c>
      <c r="R247" s="120">
        <v>0</v>
      </c>
      <c r="S247" s="120">
        <v>0</v>
      </c>
      <c r="T247" s="120">
        <v>0</v>
      </c>
      <c r="U247" s="120">
        <v>0</v>
      </c>
      <c r="V247" s="120">
        <v>0</v>
      </c>
      <c r="W247" s="120">
        <v>0</v>
      </c>
      <c r="X247" s="120">
        <v>0</v>
      </c>
      <c r="Y247" s="120">
        <v>0</v>
      </c>
      <c r="Z247" s="120">
        <v>0</v>
      </c>
      <c r="AA247" s="120">
        <v>0</v>
      </c>
      <c r="AB247" s="120">
        <v>0</v>
      </c>
      <c r="AC247" s="120">
        <v>0</v>
      </c>
      <c r="AD247" s="120">
        <v>0</v>
      </c>
      <c r="AE247" s="120">
        <v>0</v>
      </c>
      <c r="AF247" s="120">
        <v>0</v>
      </c>
      <c r="AG247" s="120">
        <v>0</v>
      </c>
      <c r="AH247" s="120">
        <v>0</v>
      </c>
      <c r="AI247" s="120">
        <v>0</v>
      </c>
      <c r="AJ247" s="120">
        <v>0</v>
      </c>
      <c r="AK247" s="120">
        <v>0</v>
      </c>
      <c r="AL247" s="120">
        <v>0</v>
      </c>
      <c r="AM247" s="120">
        <v>0</v>
      </c>
      <c r="AN247" s="120">
        <v>0</v>
      </c>
      <c r="AO247" s="120">
        <v>0</v>
      </c>
      <c r="AP247" s="120">
        <v>0</v>
      </c>
      <c r="AQ247" s="120">
        <v>0</v>
      </c>
      <c r="AR247" s="120">
        <v>0</v>
      </c>
      <c r="AS247" s="120">
        <v>0</v>
      </c>
      <c r="AT247" s="120">
        <v>0</v>
      </c>
      <c r="AU247" s="120">
        <v>0</v>
      </c>
      <c r="AV247" s="120">
        <v>0</v>
      </c>
      <c r="AW247" s="120">
        <v>0</v>
      </c>
      <c r="AX247" s="120">
        <v>0</v>
      </c>
      <c r="AY247" s="120">
        <v>0</v>
      </c>
    </row>
    <row r="248" spans="1:51" x14ac:dyDescent="0.2">
      <c r="A248" s="119"/>
      <c r="B248" s="140">
        <v>40</v>
      </c>
      <c r="C248" s="116"/>
      <c r="D248" s="120">
        <v>0</v>
      </c>
      <c r="E248" s="120">
        <v>0</v>
      </c>
      <c r="F248" s="120">
        <v>0</v>
      </c>
      <c r="G248" s="120">
        <v>0</v>
      </c>
      <c r="H248" s="120">
        <v>0</v>
      </c>
      <c r="I248" s="120">
        <v>0</v>
      </c>
      <c r="J248" s="120">
        <v>0</v>
      </c>
      <c r="K248" s="120">
        <v>0</v>
      </c>
      <c r="L248" s="120">
        <v>0</v>
      </c>
      <c r="M248" s="120">
        <v>0</v>
      </c>
      <c r="N248" s="120">
        <v>0</v>
      </c>
      <c r="O248" s="120">
        <v>0</v>
      </c>
      <c r="P248" s="120">
        <v>0</v>
      </c>
      <c r="Q248" s="120">
        <v>0</v>
      </c>
      <c r="R248" s="120">
        <v>0</v>
      </c>
      <c r="S248" s="120">
        <v>0</v>
      </c>
      <c r="T248" s="120">
        <v>0</v>
      </c>
      <c r="U248" s="120">
        <v>0</v>
      </c>
      <c r="V248" s="120">
        <v>0</v>
      </c>
      <c r="W248" s="120">
        <v>0</v>
      </c>
      <c r="X248" s="120">
        <v>0</v>
      </c>
      <c r="Y248" s="120">
        <v>0</v>
      </c>
      <c r="Z248" s="120">
        <v>0</v>
      </c>
      <c r="AA248" s="120">
        <v>0</v>
      </c>
      <c r="AB248" s="120">
        <v>0</v>
      </c>
      <c r="AC248" s="120">
        <v>0</v>
      </c>
      <c r="AD248" s="120">
        <v>0</v>
      </c>
      <c r="AE248" s="120">
        <v>0</v>
      </c>
      <c r="AF248" s="120">
        <v>0</v>
      </c>
      <c r="AG248" s="120">
        <v>0</v>
      </c>
      <c r="AH248" s="120">
        <v>0</v>
      </c>
      <c r="AI248" s="120">
        <v>0</v>
      </c>
      <c r="AJ248" s="120">
        <v>0</v>
      </c>
      <c r="AK248" s="120">
        <v>0</v>
      </c>
      <c r="AL248" s="120">
        <v>0</v>
      </c>
      <c r="AM248" s="120">
        <v>0</v>
      </c>
      <c r="AN248" s="120">
        <v>0</v>
      </c>
      <c r="AO248" s="120">
        <v>0</v>
      </c>
      <c r="AP248" s="120">
        <v>0</v>
      </c>
      <c r="AQ248" s="120">
        <v>0</v>
      </c>
      <c r="AR248" s="120">
        <v>0</v>
      </c>
      <c r="AS248" s="120">
        <v>0</v>
      </c>
      <c r="AT248" s="120">
        <v>0</v>
      </c>
      <c r="AU248" s="120">
        <v>0</v>
      </c>
      <c r="AV248" s="120">
        <v>0</v>
      </c>
      <c r="AW248" s="120">
        <v>0</v>
      </c>
      <c r="AX248" s="120">
        <v>0</v>
      </c>
      <c r="AY248" s="120">
        <v>0</v>
      </c>
    </row>
    <row r="249" spans="1:51" x14ac:dyDescent="0.2">
      <c r="A249" s="119"/>
      <c r="B249" s="140">
        <v>41</v>
      </c>
      <c r="C249" s="116"/>
      <c r="D249" s="120">
        <v>0</v>
      </c>
      <c r="E249" s="120">
        <v>0</v>
      </c>
      <c r="F249" s="120">
        <v>0</v>
      </c>
      <c r="G249" s="120">
        <v>0</v>
      </c>
      <c r="H249" s="120">
        <v>0</v>
      </c>
      <c r="I249" s="120">
        <v>0</v>
      </c>
      <c r="J249" s="120">
        <v>0</v>
      </c>
      <c r="K249" s="120">
        <v>0</v>
      </c>
      <c r="L249" s="120">
        <v>0</v>
      </c>
      <c r="M249" s="120">
        <v>0</v>
      </c>
      <c r="N249" s="120">
        <v>0</v>
      </c>
      <c r="O249" s="120">
        <v>0</v>
      </c>
      <c r="P249" s="120">
        <v>0</v>
      </c>
      <c r="Q249" s="120">
        <v>0</v>
      </c>
      <c r="R249" s="120">
        <v>0</v>
      </c>
      <c r="S249" s="120">
        <v>0</v>
      </c>
      <c r="T249" s="120">
        <v>0</v>
      </c>
      <c r="U249" s="120">
        <v>0</v>
      </c>
      <c r="V249" s="120">
        <v>0</v>
      </c>
      <c r="W249" s="120">
        <v>0</v>
      </c>
      <c r="X249" s="120">
        <v>0</v>
      </c>
      <c r="Y249" s="120">
        <v>0</v>
      </c>
      <c r="Z249" s="120">
        <v>0</v>
      </c>
      <c r="AA249" s="120">
        <v>0</v>
      </c>
      <c r="AB249" s="120">
        <v>0</v>
      </c>
      <c r="AC249" s="120">
        <v>0</v>
      </c>
      <c r="AD249" s="120">
        <v>0</v>
      </c>
      <c r="AE249" s="120">
        <v>0</v>
      </c>
      <c r="AF249" s="120">
        <v>0</v>
      </c>
      <c r="AG249" s="120">
        <v>0</v>
      </c>
      <c r="AH249" s="120">
        <v>0</v>
      </c>
      <c r="AI249" s="120">
        <v>0</v>
      </c>
      <c r="AJ249" s="120">
        <v>0</v>
      </c>
      <c r="AK249" s="120">
        <v>0</v>
      </c>
      <c r="AL249" s="120">
        <v>0</v>
      </c>
      <c r="AM249" s="120">
        <v>0</v>
      </c>
      <c r="AN249" s="120">
        <v>0</v>
      </c>
      <c r="AO249" s="120">
        <v>0</v>
      </c>
      <c r="AP249" s="120">
        <v>0</v>
      </c>
      <c r="AQ249" s="120">
        <v>0</v>
      </c>
      <c r="AR249" s="120">
        <v>0</v>
      </c>
      <c r="AS249" s="120">
        <v>0</v>
      </c>
      <c r="AT249" s="120">
        <v>0</v>
      </c>
      <c r="AU249" s="120">
        <v>0</v>
      </c>
      <c r="AV249" s="120">
        <v>0</v>
      </c>
      <c r="AW249" s="120">
        <v>0</v>
      </c>
      <c r="AX249" s="120">
        <v>0</v>
      </c>
      <c r="AY249" s="120">
        <v>0</v>
      </c>
    </row>
    <row r="250" spans="1:51" x14ac:dyDescent="0.2">
      <c r="A250" s="119"/>
      <c r="B250" s="140">
        <v>42</v>
      </c>
      <c r="C250" s="116"/>
      <c r="D250" s="120">
        <v>0</v>
      </c>
      <c r="E250" s="120">
        <v>0</v>
      </c>
      <c r="F250" s="120">
        <v>0</v>
      </c>
      <c r="G250" s="120">
        <v>0</v>
      </c>
      <c r="H250" s="120">
        <v>0</v>
      </c>
      <c r="I250" s="120">
        <v>0</v>
      </c>
      <c r="J250" s="120">
        <v>0</v>
      </c>
      <c r="K250" s="120">
        <v>0</v>
      </c>
      <c r="L250" s="120">
        <v>0</v>
      </c>
      <c r="M250" s="120">
        <v>0</v>
      </c>
      <c r="N250" s="120">
        <v>0</v>
      </c>
      <c r="O250" s="120">
        <v>0</v>
      </c>
      <c r="P250" s="120">
        <v>0</v>
      </c>
      <c r="Q250" s="120">
        <v>0</v>
      </c>
      <c r="R250" s="120">
        <v>0</v>
      </c>
      <c r="S250" s="120">
        <v>0</v>
      </c>
      <c r="T250" s="120">
        <v>0</v>
      </c>
      <c r="U250" s="120">
        <v>0</v>
      </c>
      <c r="V250" s="120">
        <v>0</v>
      </c>
      <c r="W250" s="120">
        <v>0</v>
      </c>
      <c r="X250" s="120">
        <v>0</v>
      </c>
      <c r="Y250" s="120">
        <v>0</v>
      </c>
      <c r="Z250" s="120">
        <v>0</v>
      </c>
      <c r="AA250" s="120">
        <v>0</v>
      </c>
      <c r="AB250" s="120">
        <v>0</v>
      </c>
      <c r="AC250" s="120">
        <v>0</v>
      </c>
      <c r="AD250" s="120">
        <v>0</v>
      </c>
      <c r="AE250" s="120">
        <v>0</v>
      </c>
      <c r="AF250" s="120">
        <v>0</v>
      </c>
      <c r="AG250" s="120">
        <v>0</v>
      </c>
      <c r="AH250" s="120">
        <v>0</v>
      </c>
      <c r="AI250" s="120">
        <v>0</v>
      </c>
      <c r="AJ250" s="120">
        <v>0</v>
      </c>
      <c r="AK250" s="120">
        <v>0</v>
      </c>
      <c r="AL250" s="120">
        <v>0</v>
      </c>
      <c r="AM250" s="120">
        <v>0</v>
      </c>
      <c r="AN250" s="120">
        <v>0</v>
      </c>
      <c r="AO250" s="120">
        <v>0</v>
      </c>
      <c r="AP250" s="120">
        <v>0</v>
      </c>
      <c r="AQ250" s="120">
        <v>0</v>
      </c>
      <c r="AR250" s="120">
        <v>0</v>
      </c>
      <c r="AS250" s="120">
        <v>0</v>
      </c>
      <c r="AT250" s="120">
        <v>0</v>
      </c>
      <c r="AU250" s="120">
        <v>0</v>
      </c>
      <c r="AV250" s="120">
        <v>0</v>
      </c>
      <c r="AW250" s="120">
        <v>0</v>
      </c>
      <c r="AX250" s="120">
        <v>0</v>
      </c>
      <c r="AY250" s="120">
        <v>0</v>
      </c>
    </row>
    <row r="251" spans="1:51" x14ac:dyDescent="0.2">
      <c r="A251" s="119"/>
      <c r="B251" s="140">
        <v>43</v>
      </c>
      <c r="C251" s="116"/>
      <c r="D251" s="120">
        <v>0</v>
      </c>
      <c r="E251" s="120">
        <v>0</v>
      </c>
      <c r="F251" s="120">
        <v>0</v>
      </c>
      <c r="G251" s="120">
        <v>0</v>
      </c>
      <c r="H251" s="120">
        <v>0</v>
      </c>
      <c r="I251" s="120">
        <v>0</v>
      </c>
      <c r="J251" s="120">
        <v>0</v>
      </c>
      <c r="K251" s="120">
        <v>0</v>
      </c>
      <c r="L251" s="120">
        <v>0</v>
      </c>
      <c r="M251" s="120">
        <v>0</v>
      </c>
      <c r="N251" s="120">
        <v>0</v>
      </c>
      <c r="O251" s="120">
        <v>0</v>
      </c>
      <c r="P251" s="120">
        <v>0</v>
      </c>
      <c r="Q251" s="120">
        <v>0</v>
      </c>
      <c r="R251" s="120">
        <v>0</v>
      </c>
      <c r="S251" s="120">
        <v>0</v>
      </c>
      <c r="T251" s="120">
        <v>0</v>
      </c>
      <c r="U251" s="120">
        <v>0</v>
      </c>
      <c r="V251" s="120">
        <v>0</v>
      </c>
      <c r="W251" s="120">
        <v>0</v>
      </c>
      <c r="X251" s="120">
        <v>0</v>
      </c>
      <c r="Y251" s="120">
        <v>0</v>
      </c>
      <c r="Z251" s="120">
        <v>0</v>
      </c>
      <c r="AA251" s="120">
        <v>0</v>
      </c>
      <c r="AB251" s="120">
        <v>0</v>
      </c>
      <c r="AC251" s="120">
        <v>0</v>
      </c>
      <c r="AD251" s="120">
        <v>0</v>
      </c>
      <c r="AE251" s="120">
        <v>0</v>
      </c>
      <c r="AF251" s="120">
        <v>0</v>
      </c>
      <c r="AG251" s="120">
        <v>0</v>
      </c>
      <c r="AH251" s="120">
        <v>0</v>
      </c>
      <c r="AI251" s="120">
        <v>0</v>
      </c>
      <c r="AJ251" s="120">
        <v>0</v>
      </c>
      <c r="AK251" s="120">
        <v>0</v>
      </c>
      <c r="AL251" s="120">
        <v>0</v>
      </c>
      <c r="AM251" s="120">
        <v>0</v>
      </c>
      <c r="AN251" s="120">
        <v>0</v>
      </c>
      <c r="AO251" s="120">
        <v>0</v>
      </c>
      <c r="AP251" s="120">
        <v>0</v>
      </c>
      <c r="AQ251" s="120">
        <v>0</v>
      </c>
      <c r="AR251" s="120">
        <v>0</v>
      </c>
      <c r="AS251" s="120">
        <v>0</v>
      </c>
      <c r="AT251" s="120">
        <v>0</v>
      </c>
      <c r="AU251" s="120">
        <v>0</v>
      </c>
      <c r="AV251" s="120">
        <v>0</v>
      </c>
      <c r="AW251" s="120">
        <v>0</v>
      </c>
      <c r="AX251" s="120">
        <v>0</v>
      </c>
      <c r="AY251" s="120">
        <v>0</v>
      </c>
    </row>
    <row r="252" spans="1:51" x14ac:dyDescent="0.2">
      <c r="A252" s="119"/>
      <c r="B252" s="140">
        <v>44</v>
      </c>
      <c r="C252" s="116"/>
      <c r="D252" s="120">
        <v>0</v>
      </c>
      <c r="E252" s="120">
        <v>0</v>
      </c>
      <c r="F252" s="120">
        <v>0</v>
      </c>
      <c r="G252" s="120">
        <v>0</v>
      </c>
      <c r="H252" s="120">
        <v>0</v>
      </c>
      <c r="I252" s="120">
        <v>0</v>
      </c>
      <c r="J252" s="120">
        <v>0</v>
      </c>
      <c r="K252" s="120">
        <v>0</v>
      </c>
      <c r="L252" s="120">
        <v>0</v>
      </c>
      <c r="M252" s="120">
        <v>0</v>
      </c>
      <c r="N252" s="120">
        <v>0</v>
      </c>
      <c r="O252" s="120">
        <v>0</v>
      </c>
      <c r="P252" s="120">
        <v>0</v>
      </c>
      <c r="Q252" s="120">
        <v>0</v>
      </c>
      <c r="R252" s="120">
        <v>0</v>
      </c>
      <c r="S252" s="120">
        <v>0</v>
      </c>
      <c r="T252" s="120">
        <v>0</v>
      </c>
      <c r="U252" s="120">
        <v>0</v>
      </c>
      <c r="V252" s="120">
        <v>0</v>
      </c>
      <c r="W252" s="120">
        <v>0</v>
      </c>
      <c r="X252" s="120">
        <v>0</v>
      </c>
      <c r="Y252" s="120">
        <v>0</v>
      </c>
      <c r="Z252" s="120">
        <v>0</v>
      </c>
      <c r="AA252" s="120">
        <v>0</v>
      </c>
      <c r="AB252" s="120">
        <v>0</v>
      </c>
      <c r="AC252" s="120">
        <v>0</v>
      </c>
      <c r="AD252" s="120">
        <v>0</v>
      </c>
      <c r="AE252" s="120">
        <v>0</v>
      </c>
      <c r="AF252" s="120">
        <v>0</v>
      </c>
      <c r="AG252" s="120">
        <v>0</v>
      </c>
      <c r="AH252" s="120">
        <v>0</v>
      </c>
      <c r="AI252" s="120">
        <v>0</v>
      </c>
      <c r="AJ252" s="120">
        <v>0</v>
      </c>
      <c r="AK252" s="120">
        <v>0</v>
      </c>
      <c r="AL252" s="120">
        <v>0</v>
      </c>
      <c r="AM252" s="120">
        <v>0</v>
      </c>
      <c r="AN252" s="120">
        <v>0</v>
      </c>
      <c r="AO252" s="120">
        <v>0</v>
      </c>
      <c r="AP252" s="120">
        <v>0</v>
      </c>
      <c r="AQ252" s="120">
        <v>0</v>
      </c>
      <c r="AR252" s="120">
        <v>0</v>
      </c>
      <c r="AS252" s="120">
        <v>0</v>
      </c>
      <c r="AT252" s="120">
        <v>0</v>
      </c>
      <c r="AU252" s="120">
        <v>0</v>
      </c>
      <c r="AV252" s="120">
        <v>0</v>
      </c>
      <c r="AW252" s="120">
        <v>0</v>
      </c>
      <c r="AX252" s="120">
        <v>0</v>
      </c>
      <c r="AY252" s="120">
        <v>0</v>
      </c>
    </row>
    <row r="253" spans="1:51" x14ac:dyDescent="0.2">
      <c r="A253" s="119"/>
      <c r="B253" s="140">
        <v>45</v>
      </c>
      <c r="C253" s="116"/>
      <c r="D253" s="120">
        <v>0</v>
      </c>
      <c r="E253" s="120">
        <v>0</v>
      </c>
      <c r="F253" s="120">
        <v>0</v>
      </c>
      <c r="G253" s="120">
        <v>0</v>
      </c>
      <c r="H253" s="120">
        <v>0</v>
      </c>
      <c r="I253" s="120">
        <v>0</v>
      </c>
      <c r="J253" s="120">
        <v>0</v>
      </c>
      <c r="K253" s="120">
        <v>0</v>
      </c>
      <c r="L253" s="120">
        <v>0</v>
      </c>
      <c r="M253" s="120">
        <v>0</v>
      </c>
      <c r="N253" s="120">
        <v>0</v>
      </c>
      <c r="O253" s="120">
        <v>0</v>
      </c>
      <c r="P253" s="120">
        <v>0</v>
      </c>
      <c r="Q253" s="120">
        <v>0</v>
      </c>
      <c r="R253" s="120">
        <v>0</v>
      </c>
      <c r="S253" s="120">
        <v>0</v>
      </c>
      <c r="T253" s="120">
        <v>0</v>
      </c>
      <c r="U253" s="120">
        <v>0</v>
      </c>
      <c r="V253" s="120">
        <v>0</v>
      </c>
      <c r="W253" s="120">
        <v>0</v>
      </c>
      <c r="X253" s="120">
        <v>0</v>
      </c>
      <c r="Y253" s="120">
        <v>0</v>
      </c>
      <c r="Z253" s="120">
        <v>0</v>
      </c>
      <c r="AA253" s="120">
        <v>0</v>
      </c>
      <c r="AB253" s="120">
        <v>0</v>
      </c>
      <c r="AC253" s="120">
        <v>0</v>
      </c>
      <c r="AD253" s="120">
        <v>0</v>
      </c>
      <c r="AE253" s="120">
        <v>0</v>
      </c>
      <c r="AF253" s="120">
        <v>0</v>
      </c>
      <c r="AG253" s="120">
        <v>0</v>
      </c>
      <c r="AH253" s="120">
        <v>0</v>
      </c>
      <c r="AI253" s="120">
        <v>0</v>
      </c>
      <c r="AJ253" s="120">
        <v>0</v>
      </c>
      <c r="AK253" s="120">
        <v>0</v>
      </c>
      <c r="AL253" s="120">
        <v>0</v>
      </c>
      <c r="AM253" s="120">
        <v>0</v>
      </c>
      <c r="AN253" s="120">
        <v>0</v>
      </c>
      <c r="AO253" s="120">
        <v>0</v>
      </c>
      <c r="AP253" s="120">
        <v>0</v>
      </c>
      <c r="AQ253" s="120">
        <v>0</v>
      </c>
      <c r="AR253" s="120">
        <v>0</v>
      </c>
      <c r="AS253" s="120">
        <v>0</v>
      </c>
      <c r="AT253" s="120">
        <v>0</v>
      </c>
      <c r="AU253" s="120">
        <v>0</v>
      </c>
      <c r="AV253" s="120">
        <v>0</v>
      </c>
      <c r="AW253" s="120">
        <v>0</v>
      </c>
      <c r="AX253" s="120">
        <v>0</v>
      </c>
      <c r="AY253" s="120">
        <v>0</v>
      </c>
    </row>
    <row r="254" spans="1:51" x14ac:dyDescent="0.2">
      <c r="A254" s="119"/>
      <c r="B254" s="140">
        <v>46</v>
      </c>
      <c r="C254" s="116"/>
      <c r="D254" s="120">
        <v>0</v>
      </c>
      <c r="E254" s="120">
        <v>0</v>
      </c>
      <c r="F254" s="120">
        <v>0</v>
      </c>
      <c r="G254" s="120">
        <v>0</v>
      </c>
      <c r="H254" s="120">
        <v>0</v>
      </c>
      <c r="I254" s="120">
        <v>0</v>
      </c>
      <c r="J254" s="120">
        <v>0</v>
      </c>
      <c r="K254" s="120">
        <v>0</v>
      </c>
      <c r="L254" s="120">
        <v>0</v>
      </c>
      <c r="M254" s="120">
        <v>0</v>
      </c>
      <c r="N254" s="120">
        <v>0</v>
      </c>
      <c r="O254" s="120">
        <v>0</v>
      </c>
      <c r="P254" s="120">
        <v>0</v>
      </c>
      <c r="Q254" s="120">
        <v>0</v>
      </c>
      <c r="R254" s="120">
        <v>0</v>
      </c>
      <c r="S254" s="120">
        <v>0</v>
      </c>
      <c r="T254" s="120">
        <v>0</v>
      </c>
      <c r="U254" s="120">
        <v>0</v>
      </c>
      <c r="V254" s="120">
        <v>0</v>
      </c>
      <c r="W254" s="120">
        <v>0</v>
      </c>
      <c r="X254" s="120">
        <v>0</v>
      </c>
      <c r="Y254" s="120">
        <v>0</v>
      </c>
      <c r="Z254" s="120">
        <v>0</v>
      </c>
      <c r="AA254" s="120">
        <v>0</v>
      </c>
      <c r="AB254" s="120">
        <v>0</v>
      </c>
      <c r="AC254" s="120">
        <v>0</v>
      </c>
      <c r="AD254" s="120">
        <v>0</v>
      </c>
      <c r="AE254" s="120">
        <v>0</v>
      </c>
      <c r="AF254" s="120">
        <v>0</v>
      </c>
      <c r="AG254" s="120">
        <v>0</v>
      </c>
      <c r="AH254" s="120">
        <v>0</v>
      </c>
      <c r="AI254" s="120">
        <v>0</v>
      </c>
      <c r="AJ254" s="120">
        <v>0</v>
      </c>
      <c r="AK254" s="120">
        <v>0</v>
      </c>
      <c r="AL254" s="120">
        <v>0</v>
      </c>
      <c r="AM254" s="120">
        <v>0</v>
      </c>
      <c r="AN254" s="120">
        <v>0</v>
      </c>
      <c r="AO254" s="120">
        <v>0</v>
      </c>
      <c r="AP254" s="120">
        <v>0</v>
      </c>
      <c r="AQ254" s="120">
        <v>0</v>
      </c>
      <c r="AR254" s="120">
        <v>0</v>
      </c>
      <c r="AS254" s="120">
        <v>0</v>
      </c>
      <c r="AT254" s="120">
        <v>0</v>
      </c>
      <c r="AU254" s="120">
        <v>0</v>
      </c>
      <c r="AV254" s="120">
        <v>0</v>
      </c>
      <c r="AW254" s="120">
        <v>0</v>
      </c>
      <c r="AX254" s="120">
        <v>0</v>
      </c>
      <c r="AY254" s="120">
        <v>0</v>
      </c>
    </row>
    <row r="255" spans="1:51" x14ac:dyDescent="0.2">
      <c r="A255" s="119"/>
      <c r="B255" s="140">
        <v>47</v>
      </c>
      <c r="C255" s="116"/>
      <c r="D255" s="120">
        <v>0</v>
      </c>
      <c r="E255" s="120">
        <v>0</v>
      </c>
      <c r="F255" s="120">
        <v>0</v>
      </c>
      <c r="G255" s="120">
        <v>0</v>
      </c>
      <c r="H255" s="120">
        <v>0</v>
      </c>
      <c r="I255" s="120">
        <v>0</v>
      </c>
      <c r="J255" s="120">
        <v>0</v>
      </c>
      <c r="K255" s="120">
        <v>0</v>
      </c>
      <c r="L255" s="120">
        <v>0</v>
      </c>
      <c r="M255" s="120">
        <v>0</v>
      </c>
      <c r="N255" s="120">
        <v>0</v>
      </c>
      <c r="O255" s="120">
        <v>0</v>
      </c>
      <c r="P255" s="120">
        <v>0</v>
      </c>
      <c r="Q255" s="120">
        <v>0</v>
      </c>
      <c r="R255" s="120">
        <v>0</v>
      </c>
      <c r="S255" s="120">
        <v>0</v>
      </c>
      <c r="T255" s="120">
        <v>0</v>
      </c>
      <c r="U255" s="120">
        <v>0</v>
      </c>
      <c r="V255" s="120">
        <v>0</v>
      </c>
      <c r="W255" s="120">
        <v>0</v>
      </c>
      <c r="X255" s="120">
        <v>0</v>
      </c>
      <c r="Y255" s="120">
        <v>0</v>
      </c>
      <c r="Z255" s="120">
        <v>0</v>
      </c>
      <c r="AA255" s="120">
        <v>0</v>
      </c>
      <c r="AB255" s="120">
        <v>0</v>
      </c>
      <c r="AC255" s="120">
        <v>0</v>
      </c>
      <c r="AD255" s="120">
        <v>0</v>
      </c>
      <c r="AE255" s="120">
        <v>0</v>
      </c>
      <c r="AF255" s="120">
        <v>0</v>
      </c>
      <c r="AG255" s="120">
        <v>0</v>
      </c>
      <c r="AH255" s="120">
        <v>0</v>
      </c>
      <c r="AI255" s="120">
        <v>0</v>
      </c>
      <c r="AJ255" s="120">
        <v>0</v>
      </c>
      <c r="AK255" s="120">
        <v>0</v>
      </c>
      <c r="AL255" s="120">
        <v>0</v>
      </c>
      <c r="AM255" s="120">
        <v>0</v>
      </c>
      <c r="AN255" s="120">
        <v>0</v>
      </c>
      <c r="AO255" s="120">
        <v>0</v>
      </c>
      <c r="AP255" s="120">
        <v>0</v>
      </c>
      <c r="AQ255" s="120">
        <v>0</v>
      </c>
      <c r="AR255" s="120">
        <v>0</v>
      </c>
      <c r="AS255" s="120">
        <v>0</v>
      </c>
      <c r="AT255" s="120">
        <v>0</v>
      </c>
      <c r="AU255" s="120">
        <v>0</v>
      </c>
      <c r="AV255" s="120">
        <v>0</v>
      </c>
      <c r="AW255" s="120">
        <v>0</v>
      </c>
      <c r="AX255" s="120">
        <v>0</v>
      </c>
      <c r="AY255" s="120">
        <v>0</v>
      </c>
    </row>
    <row r="256" spans="1:51" x14ac:dyDescent="0.2">
      <c r="A256" s="138"/>
      <c r="B256" s="139">
        <v>48</v>
      </c>
      <c r="C256" s="124"/>
      <c r="D256" s="135">
        <v>0</v>
      </c>
      <c r="E256" s="135">
        <v>0</v>
      </c>
      <c r="F256" s="135">
        <v>0</v>
      </c>
      <c r="G256" s="135">
        <v>0</v>
      </c>
      <c r="H256" s="135">
        <v>0</v>
      </c>
      <c r="I256" s="135">
        <v>0</v>
      </c>
      <c r="J256" s="135">
        <v>0</v>
      </c>
      <c r="K256" s="135">
        <v>0</v>
      </c>
      <c r="L256" s="135">
        <v>0</v>
      </c>
      <c r="M256" s="135">
        <v>0</v>
      </c>
      <c r="N256" s="135">
        <v>0</v>
      </c>
      <c r="O256" s="135">
        <v>0</v>
      </c>
      <c r="P256" s="135">
        <v>0</v>
      </c>
      <c r="Q256" s="135">
        <v>0</v>
      </c>
      <c r="R256" s="135">
        <v>0</v>
      </c>
      <c r="S256" s="135">
        <v>0</v>
      </c>
      <c r="T256" s="135">
        <v>0</v>
      </c>
      <c r="U256" s="135">
        <v>0</v>
      </c>
      <c r="V256" s="135">
        <v>0</v>
      </c>
      <c r="W256" s="135">
        <v>0</v>
      </c>
      <c r="X256" s="135">
        <v>0</v>
      </c>
      <c r="Y256" s="135">
        <v>0</v>
      </c>
      <c r="Z256" s="135">
        <v>0</v>
      </c>
      <c r="AA256" s="135">
        <v>0</v>
      </c>
      <c r="AB256" s="135">
        <v>0</v>
      </c>
      <c r="AC256" s="135">
        <v>0</v>
      </c>
      <c r="AD256" s="135">
        <v>0</v>
      </c>
      <c r="AE256" s="135">
        <v>0</v>
      </c>
      <c r="AF256" s="135">
        <v>0</v>
      </c>
      <c r="AG256" s="135">
        <v>0</v>
      </c>
      <c r="AH256" s="135">
        <v>0</v>
      </c>
      <c r="AI256" s="135">
        <v>0</v>
      </c>
      <c r="AJ256" s="135">
        <v>0</v>
      </c>
      <c r="AK256" s="135">
        <v>0</v>
      </c>
      <c r="AL256" s="135">
        <v>0</v>
      </c>
      <c r="AM256" s="135">
        <v>0</v>
      </c>
      <c r="AN256" s="135">
        <v>0</v>
      </c>
      <c r="AO256" s="135">
        <v>0</v>
      </c>
      <c r="AP256" s="135">
        <v>0</v>
      </c>
      <c r="AQ256" s="135">
        <v>0</v>
      </c>
      <c r="AR256" s="135">
        <v>0</v>
      </c>
      <c r="AS256" s="135">
        <v>0</v>
      </c>
      <c r="AT256" s="135">
        <v>0</v>
      </c>
      <c r="AU256" s="135">
        <v>0</v>
      </c>
      <c r="AV256" s="135">
        <v>0</v>
      </c>
      <c r="AW256" s="135">
        <v>0</v>
      </c>
      <c r="AX256" s="135">
        <v>0</v>
      </c>
      <c r="AY256" s="135">
        <v>0</v>
      </c>
    </row>
    <row r="258" spans="1:52" x14ac:dyDescent="0.2">
      <c r="A258" s="112" t="s">
        <v>303</v>
      </c>
    </row>
    <row r="259" spans="1:52" x14ac:dyDescent="0.2">
      <c r="A259" s="147" t="s">
        <v>124</v>
      </c>
      <c r="B259" s="148">
        <v>650</v>
      </c>
      <c r="C259" s="134" t="s">
        <v>295</v>
      </c>
      <c r="D259" s="134">
        <f>E$14*$B$259</f>
        <v>6235.0335047678382</v>
      </c>
      <c r="E259" s="134">
        <f t="shared" ref="E259:AX259" si="5">F$14*$B$259</f>
        <v>12818.085946910769</v>
      </c>
      <c r="F259" s="134">
        <f t="shared" si="5"/>
        <v>13018.934207973618</v>
      </c>
      <c r="G259" s="134">
        <f t="shared" si="5"/>
        <v>49266.478533386326</v>
      </c>
      <c r="H259" s="134">
        <f t="shared" si="5"/>
        <v>32443.277710433322</v>
      </c>
      <c r="I259" s="134">
        <f t="shared" si="5"/>
        <v>25595.201342920078</v>
      </c>
      <c r="J259" s="134">
        <f t="shared" si="5"/>
        <v>35790.688005647899</v>
      </c>
      <c r="K259" s="134">
        <f t="shared" si="5"/>
        <v>29026.277561299463</v>
      </c>
      <c r="L259" s="134">
        <f t="shared" si="5"/>
        <v>0</v>
      </c>
      <c r="M259" s="134">
        <f t="shared" si="5"/>
        <v>0</v>
      </c>
      <c r="N259" s="134">
        <f t="shared" si="5"/>
        <v>0</v>
      </c>
      <c r="O259" s="134">
        <f t="shared" si="5"/>
        <v>0</v>
      </c>
      <c r="P259" s="134">
        <f t="shared" si="5"/>
        <v>74536.43033444311</v>
      </c>
      <c r="Q259" s="134">
        <f t="shared" si="5"/>
        <v>76975.641854888978</v>
      </c>
      <c r="R259" s="134">
        <f t="shared" si="5"/>
        <v>64791.939071769062</v>
      </c>
      <c r="S259" s="134">
        <f t="shared" si="5"/>
        <v>82797.87215826234</v>
      </c>
      <c r="T259" s="134">
        <f t="shared" si="5"/>
        <v>285090.06061072892</v>
      </c>
      <c r="U259" s="134">
        <f t="shared" si="5"/>
        <v>263027.3616432359</v>
      </c>
      <c r="V259" s="134">
        <f t="shared" si="5"/>
        <v>244884.88925655262</v>
      </c>
      <c r="W259" s="134">
        <f t="shared" si="5"/>
        <v>234557.03498762875</v>
      </c>
      <c r="X259" s="134">
        <f t="shared" si="5"/>
        <v>116087.39536658907</v>
      </c>
      <c r="Y259" s="134">
        <f t="shared" si="5"/>
        <v>103129.21107585912</v>
      </c>
      <c r="Z259" s="134">
        <f t="shared" si="5"/>
        <v>95878.226309463716</v>
      </c>
      <c r="AA259" s="134">
        <f t="shared" si="5"/>
        <v>101164.45609215839</v>
      </c>
      <c r="AB259" s="134">
        <f t="shared" si="5"/>
        <v>50173.932036236809</v>
      </c>
      <c r="AC259" s="134">
        <f t="shared" si="5"/>
        <v>53946.976576260553</v>
      </c>
      <c r="AD259" s="134">
        <f t="shared" si="5"/>
        <v>44429.642954450574</v>
      </c>
      <c r="AE259" s="134">
        <f t="shared" si="5"/>
        <v>39951.545315086209</v>
      </c>
      <c r="AF259" s="134">
        <f t="shared" si="5"/>
        <v>60387.709378878455</v>
      </c>
      <c r="AG259" s="134">
        <f t="shared" si="5"/>
        <v>83851.760228323226</v>
      </c>
      <c r="AH259" s="134">
        <f t="shared" si="5"/>
        <v>73809.875813792678</v>
      </c>
      <c r="AI259" s="134">
        <f t="shared" si="5"/>
        <v>97717.20555379524</v>
      </c>
      <c r="AJ259" s="134">
        <f t="shared" si="5"/>
        <v>222683.61822566466</v>
      </c>
      <c r="AK259" s="134">
        <f t="shared" si="5"/>
        <v>193270.42831210201</v>
      </c>
      <c r="AL259" s="134">
        <f t="shared" si="5"/>
        <v>219788.48115510802</v>
      </c>
      <c r="AM259" s="134">
        <f t="shared" si="5"/>
        <v>186126.982822144</v>
      </c>
      <c r="AN259" s="134">
        <f t="shared" si="5"/>
        <v>181897.59003590769</v>
      </c>
      <c r="AO259" s="134">
        <f t="shared" si="5"/>
        <v>155342.64397997898</v>
      </c>
      <c r="AP259" s="134">
        <f t="shared" si="5"/>
        <v>199530.44378053831</v>
      </c>
      <c r="AQ259" s="134">
        <f t="shared" si="5"/>
        <v>171594.66449379124</v>
      </c>
      <c r="AR259" s="134">
        <f t="shared" si="5"/>
        <v>138633.4919863446</v>
      </c>
      <c r="AS259" s="134">
        <f t="shared" si="5"/>
        <v>112864.7433235768</v>
      </c>
      <c r="AT259" s="134">
        <f t="shared" si="5"/>
        <v>121082.6291723191</v>
      </c>
      <c r="AU259" s="134">
        <f t="shared" si="5"/>
        <v>147717.38268172761</v>
      </c>
      <c r="AV259" s="134">
        <f t="shared" si="5"/>
        <v>79387.063062437461</v>
      </c>
      <c r="AW259" s="134">
        <f t="shared" si="5"/>
        <v>72514.132936859867</v>
      </c>
      <c r="AX259" s="134">
        <f t="shared" si="5"/>
        <v>79023.093704568877</v>
      </c>
      <c r="AY259" s="134">
        <f>AZ$14*$B$259</f>
        <v>74758.97562160762</v>
      </c>
      <c r="AZ259" s="149">
        <f>SUM($D259:$AY259)</f>
        <v>4807599.5087264199</v>
      </c>
    </row>
    <row r="260" spans="1:52" x14ac:dyDescent="0.2">
      <c r="A260" s="150" t="s">
        <v>304</v>
      </c>
      <c r="B260" s="124">
        <v>60</v>
      </c>
      <c r="C260" s="135" t="s">
        <v>295</v>
      </c>
      <c r="D260" s="135">
        <f>(D$175-D$176+D$177-D$178+D$179-D$180+D$181-D$182)*$B$260</f>
        <v>140459.89680247489</v>
      </c>
      <c r="E260" s="135">
        <f t="shared" ref="E260:AY260" si="6">(E$175-E$176+E$177-E$178+E$179-E$180+E$181-E$182)*$B$260</f>
        <v>289683.55077845877</v>
      </c>
      <c r="F260" s="135">
        <f t="shared" si="6"/>
        <v>413475.04429339524</v>
      </c>
      <c r="G260" s="135">
        <f t="shared" si="6"/>
        <v>397329.96166184894</v>
      </c>
      <c r="H260" s="135">
        <f t="shared" si="6"/>
        <v>375845.50581840531</v>
      </c>
      <c r="I260" s="135">
        <f t="shared" si="6"/>
        <v>385344.53595762537</v>
      </c>
      <c r="J260" s="135">
        <f t="shared" si="6"/>
        <v>379664.14980416378</v>
      </c>
      <c r="K260" s="135">
        <f t="shared" si="6"/>
        <v>384998.98329038563</v>
      </c>
      <c r="L260" s="135">
        <f t="shared" si="6"/>
        <v>414136.11286081735</v>
      </c>
      <c r="M260" s="135">
        <f t="shared" si="6"/>
        <v>428729.55078743037</v>
      </c>
      <c r="N260" s="135">
        <f t="shared" si="6"/>
        <v>385060.00291696767</v>
      </c>
      <c r="O260" s="135">
        <f t="shared" si="6"/>
        <v>365646.31733217294</v>
      </c>
      <c r="P260" s="135">
        <f t="shared" si="6"/>
        <v>370418.46663687896</v>
      </c>
      <c r="Q260" s="135">
        <f t="shared" si="6"/>
        <v>379968.13921942678</v>
      </c>
      <c r="R260" s="135">
        <f t="shared" si="6"/>
        <v>387543.15030168014</v>
      </c>
      <c r="S260" s="135">
        <f t="shared" si="6"/>
        <v>370233.62113254872</v>
      </c>
      <c r="T260" s="135">
        <f t="shared" si="6"/>
        <v>336173.98712497967</v>
      </c>
      <c r="U260" s="135">
        <f t="shared" si="6"/>
        <v>335000.55123293208</v>
      </c>
      <c r="V260" s="135">
        <f t="shared" si="6"/>
        <v>331275.24099170289</v>
      </c>
      <c r="W260" s="135">
        <f t="shared" si="6"/>
        <v>340928.58138575737</v>
      </c>
      <c r="X260" s="135">
        <f t="shared" si="6"/>
        <v>372744.24042769952</v>
      </c>
      <c r="Y260" s="135">
        <f t="shared" si="6"/>
        <v>367698.07226451248</v>
      </c>
      <c r="Z260" s="135">
        <f t="shared" si="6"/>
        <v>386412.87425298925</v>
      </c>
      <c r="AA260" s="135">
        <f t="shared" si="6"/>
        <v>378349.40903136239</v>
      </c>
      <c r="AB260" s="135">
        <f t="shared" si="6"/>
        <v>388968.56011973193</v>
      </c>
      <c r="AC260" s="135">
        <f t="shared" si="6"/>
        <v>385247.827596216</v>
      </c>
      <c r="AD260" s="135">
        <f t="shared" si="6"/>
        <v>404378.80218881997</v>
      </c>
      <c r="AE260" s="135">
        <f t="shared" si="6"/>
        <v>321963.15367097972</v>
      </c>
      <c r="AF260" s="135">
        <f t="shared" si="6"/>
        <v>347344.18481108389</v>
      </c>
      <c r="AG260" s="135">
        <f t="shared" si="6"/>
        <v>398521.89822499157</v>
      </c>
      <c r="AH260" s="135">
        <f t="shared" si="6"/>
        <v>390149.47686805588</v>
      </c>
      <c r="AI260" s="135">
        <f t="shared" si="6"/>
        <v>393132.03483570472</v>
      </c>
      <c r="AJ260" s="135">
        <f t="shared" si="6"/>
        <v>366592.91682118777</v>
      </c>
      <c r="AK260" s="135">
        <f t="shared" si="6"/>
        <v>378502.58946247713</v>
      </c>
      <c r="AL260" s="135">
        <f t="shared" si="6"/>
        <v>365931.83250875922</v>
      </c>
      <c r="AM260" s="135">
        <f t="shared" si="6"/>
        <v>392702.20858469408</v>
      </c>
      <c r="AN260" s="135">
        <f t="shared" si="6"/>
        <v>379284.33193390747</v>
      </c>
      <c r="AO260" s="135">
        <f t="shared" si="6"/>
        <v>396300.67901723267</v>
      </c>
      <c r="AP260" s="135">
        <f t="shared" si="6"/>
        <v>366421.80518948875</v>
      </c>
      <c r="AQ260" s="135">
        <f t="shared" si="6"/>
        <v>389846.66544888099</v>
      </c>
      <c r="AR260" s="135">
        <f t="shared" si="6"/>
        <v>392863.06227818358</v>
      </c>
      <c r="AS260" s="135">
        <f t="shared" si="6"/>
        <v>411905.47580855543</v>
      </c>
      <c r="AT260" s="135">
        <f t="shared" si="6"/>
        <v>369944.41234311019</v>
      </c>
      <c r="AU260" s="135">
        <f t="shared" si="6"/>
        <v>321571.48827116576</v>
      </c>
      <c r="AV260" s="135">
        <f t="shared" si="6"/>
        <v>330767.68791257357</v>
      </c>
      <c r="AW260" s="135">
        <f t="shared" si="6"/>
        <v>342084.14618423558</v>
      </c>
      <c r="AX260" s="135">
        <f t="shared" si="6"/>
        <v>374922.00278777897</v>
      </c>
      <c r="AY260" s="135">
        <f t="shared" si="6"/>
        <v>383695.91490648739</v>
      </c>
      <c r="AZ260" s="151">
        <f>SUM($D260:$AY260)</f>
        <v>17710163.104080919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14.7109375" style="110" customWidth="1"/>
    <col min="2" max="2" width="12.7109375" style="110" customWidth="1"/>
    <col min="3" max="16384" width="9.140625" style="110"/>
  </cols>
  <sheetData>
    <row r="1" spans="1:53" x14ac:dyDescent="0.2">
      <c r="A1" s="112" t="s">
        <v>286</v>
      </c>
    </row>
    <row r="2" spans="1:53" x14ac:dyDescent="0.2">
      <c r="A2" s="110" t="s">
        <v>287</v>
      </c>
      <c r="B2" s="117" t="s">
        <v>49</v>
      </c>
    </row>
    <row r="3" spans="1:53" x14ac:dyDescent="0.2">
      <c r="A3" s="110" t="s">
        <v>288</v>
      </c>
      <c r="B3" s="118">
        <v>13204</v>
      </c>
      <c r="C3" s="119"/>
    </row>
    <row r="4" spans="1:53" x14ac:dyDescent="0.2">
      <c r="B4" s="120"/>
      <c r="C4" s="120"/>
    </row>
    <row r="5" spans="1:53" x14ac:dyDescent="0.2">
      <c r="C5" s="121" t="s">
        <v>289</v>
      </c>
    </row>
    <row r="6" spans="1:53" x14ac:dyDescent="0.2">
      <c r="C6" s="122">
        <v>0</v>
      </c>
      <c r="D6" s="122">
        <v>1</v>
      </c>
      <c r="E6" s="122">
        <v>2</v>
      </c>
      <c r="F6" s="122">
        <v>3</v>
      </c>
      <c r="G6" s="122">
        <v>4</v>
      </c>
      <c r="H6" s="122">
        <v>5</v>
      </c>
      <c r="I6" s="122">
        <v>6</v>
      </c>
      <c r="J6" s="122">
        <v>7</v>
      </c>
      <c r="K6" s="122">
        <v>8</v>
      </c>
      <c r="L6" s="122">
        <v>9</v>
      </c>
      <c r="M6" s="122">
        <v>10</v>
      </c>
      <c r="N6" s="122">
        <v>11</v>
      </c>
      <c r="O6" s="122">
        <v>12</v>
      </c>
      <c r="P6" s="122">
        <v>13</v>
      </c>
      <c r="Q6" s="122">
        <v>14</v>
      </c>
      <c r="R6" s="122">
        <v>15</v>
      </c>
      <c r="S6" s="122">
        <v>16</v>
      </c>
      <c r="T6" s="122">
        <v>17</v>
      </c>
      <c r="U6" s="122">
        <v>18</v>
      </c>
      <c r="V6" s="122">
        <v>19</v>
      </c>
      <c r="W6" s="122">
        <v>20</v>
      </c>
      <c r="X6" s="122">
        <v>21</v>
      </c>
      <c r="Y6" s="122">
        <v>22</v>
      </c>
      <c r="Z6" s="122">
        <v>23</v>
      </c>
      <c r="AA6" s="122">
        <v>24</v>
      </c>
      <c r="AB6" s="122">
        <v>25</v>
      </c>
      <c r="AC6" s="122">
        <v>26</v>
      </c>
      <c r="AD6" s="122">
        <v>27</v>
      </c>
      <c r="AE6" s="122">
        <v>28</v>
      </c>
      <c r="AF6" s="122">
        <v>29</v>
      </c>
      <c r="AG6" s="122">
        <v>30</v>
      </c>
      <c r="AH6" s="122">
        <v>31</v>
      </c>
      <c r="AI6" s="122">
        <v>32</v>
      </c>
      <c r="AJ6" s="122">
        <v>33</v>
      </c>
      <c r="AK6" s="122">
        <v>34</v>
      </c>
      <c r="AL6" s="122">
        <v>35</v>
      </c>
      <c r="AM6" s="122">
        <v>36</v>
      </c>
      <c r="AN6" s="122">
        <v>37</v>
      </c>
      <c r="AO6" s="122">
        <v>38</v>
      </c>
      <c r="AP6" s="122">
        <v>39</v>
      </c>
      <c r="AQ6" s="122">
        <v>40</v>
      </c>
      <c r="AR6" s="122">
        <v>41</v>
      </c>
      <c r="AS6" s="122">
        <v>42</v>
      </c>
      <c r="AT6" s="122">
        <v>43</v>
      </c>
      <c r="AU6" s="122">
        <v>44</v>
      </c>
      <c r="AV6" s="122">
        <v>45</v>
      </c>
      <c r="AW6" s="122">
        <v>46</v>
      </c>
      <c r="AX6" s="122">
        <v>47</v>
      </c>
      <c r="AY6" s="122">
        <v>48</v>
      </c>
    </row>
    <row r="7" spans="1:53" x14ac:dyDescent="0.2">
      <c r="B7" s="120"/>
      <c r="C7" s="123" t="s">
        <v>290</v>
      </c>
      <c r="D7" s="122" t="s">
        <v>291</v>
      </c>
      <c r="E7" s="122" t="s">
        <v>291</v>
      </c>
      <c r="F7" s="122" t="s">
        <v>291</v>
      </c>
      <c r="G7" s="122" t="s">
        <v>291</v>
      </c>
      <c r="H7" s="122" t="s">
        <v>291</v>
      </c>
      <c r="I7" s="122" t="s">
        <v>291</v>
      </c>
      <c r="J7" s="122" t="s">
        <v>291</v>
      </c>
      <c r="K7" s="122" t="s">
        <v>291</v>
      </c>
      <c r="L7" s="122" t="s">
        <v>291</v>
      </c>
      <c r="M7" s="122" t="s">
        <v>291</v>
      </c>
      <c r="N7" s="122" t="s">
        <v>291</v>
      </c>
      <c r="O7" s="122" t="s">
        <v>291</v>
      </c>
      <c r="P7" s="122" t="s">
        <v>291</v>
      </c>
      <c r="Q7" s="122" t="s">
        <v>291</v>
      </c>
      <c r="R7" s="122" t="s">
        <v>291</v>
      </c>
      <c r="S7" s="122" t="s">
        <v>291</v>
      </c>
      <c r="T7" s="122" t="s">
        <v>291</v>
      </c>
      <c r="U7" s="122" t="s">
        <v>291</v>
      </c>
      <c r="V7" s="122" t="s">
        <v>291</v>
      </c>
      <c r="W7" s="122" t="s">
        <v>291</v>
      </c>
      <c r="X7" s="122" t="s">
        <v>291</v>
      </c>
      <c r="Y7" s="122" t="s">
        <v>291</v>
      </c>
      <c r="Z7" s="122" t="s">
        <v>291</v>
      </c>
      <c r="AA7" s="122" t="s">
        <v>291</v>
      </c>
      <c r="AB7" s="122" t="s">
        <v>291</v>
      </c>
      <c r="AC7" s="122" t="s">
        <v>291</v>
      </c>
      <c r="AD7" s="122" t="s">
        <v>291</v>
      </c>
      <c r="AE7" s="122" t="s">
        <v>291</v>
      </c>
      <c r="AF7" s="122" t="s">
        <v>291</v>
      </c>
      <c r="AG7" s="122" t="s">
        <v>291</v>
      </c>
      <c r="AH7" s="122" t="s">
        <v>291</v>
      </c>
      <c r="AI7" s="122" t="s">
        <v>291</v>
      </c>
      <c r="AJ7" s="122" t="s">
        <v>291</v>
      </c>
      <c r="AK7" s="122" t="s">
        <v>291</v>
      </c>
      <c r="AL7" s="122" t="s">
        <v>291</v>
      </c>
      <c r="AM7" s="122" t="s">
        <v>291</v>
      </c>
      <c r="AN7" s="122" t="s">
        <v>291</v>
      </c>
      <c r="AO7" s="122" t="s">
        <v>291</v>
      </c>
      <c r="AP7" s="122" t="s">
        <v>291</v>
      </c>
      <c r="AQ7" s="122" t="s">
        <v>291</v>
      </c>
      <c r="AR7" s="122" t="s">
        <v>291</v>
      </c>
      <c r="AS7" s="122" t="s">
        <v>291</v>
      </c>
      <c r="AT7" s="122" t="s">
        <v>291</v>
      </c>
      <c r="AU7" s="122" t="s">
        <v>291</v>
      </c>
      <c r="AV7" s="122" t="s">
        <v>291</v>
      </c>
      <c r="AW7" s="122" t="s">
        <v>291</v>
      </c>
      <c r="AX7" s="122" t="s">
        <v>291</v>
      </c>
      <c r="AY7" s="121" t="s">
        <v>292</v>
      </c>
      <c r="AZ7" s="121" t="s">
        <v>293</v>
      </c>
    </row>
    <row r="8" spans="1:53" x14ac:dyDescent="0.2">
      <c r="A8" s="112" t="s">
        <v>294</v>
      </c>
      <c r="B8" s="124"/>
      <c r="AY8" s="120"/>
    </row>
    <row r="9" spans="1:53" x14ac:dyDescent="0.2">
      <c r="A9" s="125" t="s">
        <v>125</v>
      </c>
      <c r="B9" s="126">
        <v>1</v>
      </c>
      <c r="C9" s="127" t="s">
        <v>295</v>
      </c>
      <c r="D9" s="127">
        <v>1605.7982140636677</v>
      </c>
      <c r="E9" s="127">
        <v>1605.7982140636677</v>
      </c>
      <c r="F9" s="127">
        <v>1605.7982140636677</v>
      </c>
      <c r="G9" s="127">
        <v>1605.7982140636677</v>
      </c>
      <c r="H9" s="127">
        <v>1526.7190898800443</v>
      </c>
      <c r="I9" s="127">
        <v>1526.7190898800443</v>
      </c>
      <c r="J9" s="127">
        <v>1526.7190898800443</v>
      </c>
      <c r="K9" s="127">
        <v>1526.7190898800443</v>
      </c>
      <c r="L9" s="127">
        <v>3813.4179767723717</v>
      </c>
      <c r="M9" s="127">
        <v>3813.4179767723717</v>
      </c>
      <c r="N9" s="127">
        <v>3813.4179767723717</v>
      </c>
      <c r="O9" s="127">
        <v>3813.4179767723717</v>
      </c>
      <c r="P9" s="127">
        <v>4608.7996669711902</v>
      </c>
      <c r="Q9" s="127">
        <v>4608.7996669711902</v>
      </c>
      <c r="R9" s="127">
        <v>4608.7996669711902</v>
      </c>
      <c r="S9" s="127">
        <v>4608.7996669711902</v>
      </c>
      <c r="T9" s="127">
        <v>3058.5102394930318</v>
      </c>
      <c r="U9" s="127">
        <v>3058.5102394930318</v>
      </c>
      <c r="V9" s="127">
        <v>3058.5102394930318</v>
      </c>
      <c r="W9" s="127">
        <v>3058.5102394930318</v>
      </c>
      <c r="X9" s="127">
        <v>1532.3480177298766</v>
      </c>
      <c r="Y9" s="127">
        <v>1063.597169266543</v>
      </c>
      <c r="Z9" s="127">
        <v>1532.3480177298766</v>
      </c>
      <c r="AA9" s="127">
        <v>1532.3480177298766</v>
      </c>
      <c r="AB9" s="127">
        <v>3453.2937372829174</v>
      </c>
      <c r="AC9" s="127">
        <v>3237.2209315467494</v>
      </c>
      <c r="AD9" s="127">
        <v>4372.4129828506748</v>
      </c>
      <c r="AE9" s="127">
        <v>4372.4129828506748</v>
      </c>
      <c r="AF9" s="127">
        <v>4081.3117076255635</v>
      </c>
      <c r="AG9" s="127">
        <v>4081.3117076255635</v>
      </c>
      <c r="AH9" s="127">
        <v>4081.3117076255635</v>
      </c>
      <c r="AI9" s="127">
        <v>4081.3117076255635</v>
      </c>
      <c r="AJ9" s="127">
        <v>1374.6405982852086</v>
      </c>
      <c r="AK9" s="127">
        <v>1374.6405982852086</v>
      </c>
      <c r="AL9" s="127">
        <v>1374.6405982852086</v>
      </c>
      <c r="AM9" s="127">
        <v>1374.6405982852086</v>
      </c>
      <c r="AN9" s="127">
        <v>3754.2538402850528</v>
      </c>
      <c r="AO9" s="127">
        <v>3754.2538402850528</v>
      </c>
      <c r="AP9" s="127">
        <v>3754.2538402850528</v>
      </c>
      <c r="AQ9" s="127">
        <v>3754.2538402850528</v>
      </c>
      <c r="AR9" s="127">
        <v>2494.1714824448563</v>
      </c>
      <c r="AS9" s="127">
        <v>2494.1714824448563</v>
      </c>
      <c r="AT9" s="127">
        <v>2494.1714824448563</v>
      </c>
      <c r="AU9" s="127">
        <v>2494.1714824448563</v>
      </c>
      <c r="AV9" s="127">
        <v>3590.1258479700446</v>
      </c>
      <c r="AW9" s="127">
        <v>3590.1258479700446</v>
      </c>
      <c r="AX9" s="127">
        <v>3590.1258479700446</v>
      </c>
      <c r="AY9" s="127">
        <v>3590.1258479700446</v>
      </c>
    </row>
    <row r="10" spans="1:53" x14ac:dyDescent="0.2">
      <c r="A10" s="128" t="s">
        <v>133</v>
      </c>
      <c r="B10" s="129">
        <v>1</v>
      </c>
      <c r="C10" s="116" t="s">
        <v>295</v>
      </c>
      <c r="E10" s="110">
        <v>28.24939154122978</v>
      </c>
      <c r="F10" s="110">
        <v>77.180770280936798</v>
      </c>
      <c r="G10" s="110">
        <v>77.180770280936798</v>
      </c>
      <c r="H10" s="110">
        <v>0</v>
      </c>
      <c r="I10" s="110">
        <v>36.737680321653137</v>
      </c>
      <c r="J10" s="110">
        <v>77.180770280936798</v>
      </c>
      <c r="K10" s="110">
        <v>36.737680321653137</v>
      </c>
      <c r="L10" s="110">
        <v>0</v>
      </c>
      <c r="M10" s="110">
        <v>77.180770280936798</v>
      </c>
      <c r="N10" s="110">
        <v>77.180770280936798</v>
      </c>
      <c r="O10" s="110">
        <v>77.180770280936798</v>
      </c>
      <c r="P10" s="110">
        <v>77.180770280936798</v>
      </c>
      <c r="Q10" s="110">
        <v>77.180770280936798</v>
      </c>
      <c r="R10" s="110">
        <v>77.180770280936798</v>
      </c>
      <c r="S10" s="110">
        <v>36.737680321653137</v>
      </c>
      <c r="T10" s="110">
        <v>0</v>
      </c>
      <c r="U10" s="110">
        <v>36.737680321653137</v>
      </c>
      <c r="V10" s="110">
        <v>77.180770280936798</v>
      </c>
      <c r="W10" s="110">
        <v>77.180770280936798</v>
      </c>
      <c r="X10" s="110">
        <v>77.180770280936798</v>
      </c>
      <c r="Y10" s="110">
        <v>0</v>
      </c>
      <c r="Z10" s="110">
        <v>36.737680321653137</v>
      </c>
      <c r="AA10" s="110">
        <v>0</v>
      </c>
      <c r="AB10" s="110">
        <v>36.737680321653137</v>
      </c>
      <c r="AC10" s="110">
        <v>0</v>
      </c>
      <c r="AD10" s="110">
        <v>0</v>
      </c>
      <c r="AE10" s="110">
        <v>36.737680321653137</v>
      </c>
      <c r="AF10" s="110">
        <v>77.180770280936798</v>
      </c>
      <c r="AG10" s="110">
        <v>36.737680321653137</v>
      </c>
      <c r="AH10" s="110">
        <v>0</v>
      </c>
      <c r="AI10" s="110">
        <v>36.737680321653137</v>
      </c>
      <c r="AJ10" s="110">
        <v>0</v>
      </c>
      <c r="AK10" s="110">
        <v>77.180770280936798</v>
      </c>
      <c r="AL10" s="110">
        <v>0</v>
      </c>
      <c r="AM10" s="110">
        <v>0</v>
      </c>
      <c r="AN10" s="110">
        <v>77.180770280936798</v>
      </c>
      <c r="AO10" s="110">
        <v>77.180770280936798</v>
      </c>
      <c r="AP10" s="110">
        <v>77.180770280936798</v>
      </c>
      <c r="AQ10" s="110">
        <v>0</v>
      </c>
      <c r="AR10" s="110">
        <v>36.737680321653137</v>
      </c>
      <c r="AS10" s="110">
        <v>0</v>
      </c>
      <c r="AT10" s="110">
        <v>77.180770280936798</v>
      </c>
      <c r="AU10" s="110">
        <v>77.180770280936798</v>
      </c>
      <c r="AV10" s="110">
        <v>77.180770280936798</v>
      </c>
      <c r="AW10" s="110">
        <v>77.180770280936798</v>
      </c>
      <c r="AX10" s="110">
        <v>0</v>
      </c>
      <c r="AY10" s="110">
        <v>77.180770280936798</v>
      </c>
      <c r="AZ10" s="110">
        <v>0</v>
      </c>
    </row>
    <row r="11" spans="1:53" x14ac:dyDescent="0.2">
      <c r="B11" s="129">
        <v>2</v>
      </c>
      <c r="C11" s="116" t="s">
        <v>295</v>
      </c>
      <c r="I11" s="110">
        <v>77.180770280936798</v>
      </c>
      <c r="L11" s="110">
        <v>40.443089959283661</v>
      </c>
      <c r="T11" s="110">
        <v>40.443089959283661</v>
      </c>
      <c r="U11" s="110">
        <v>77.180770280936798</v>
      </c>
      <c r="V11" s="110">
        <v>40.443089959283661</v>
      </c>
      <c r="AF11" s="110">
        <v>40.443089959283661</v>
      </c>
      <c r="AH11" s="110">
        <v>40.443089959283661</v>
      </c>
      <c r="AI11" s="110">
        <v>77.180770280936798</v>
      </c>
      <c r="AJ11" s="110">
        <v>40.443089959283661</v>
      </c>
      <c r="AK11" s="110">
        <v>77.180770280936798</v>
      </c>
      <c r="AM11" s="110">
        <v>77.180770280936798</v>
      </c>
      <c r="AT11" s="110">
        <v>77.180770280936798</v>
      </c>
      <c r="BA11" s="110">
        <v>77.180770280936798</v>
      </c>
    </row>
    <row r="12" spans="1:53" x14ac:dyDescent="0.2">
      <c r="B12" s="130">
        <v>3</v>
      </c>
      <c r="C12" s="116" t="s">
        <v>295</v>
      </c>
      <c r="K12" s="110">
        <v>40.443089959283661</v>
      </c>
      <c r="AB12" s="110">
        <v>40.443089959283661</v>
      </c>
      <c r="AD12" s="110">
        <v>40.443089959283661</v>
      </c>
      <c r="AE12" s="110">
        <v>77.180770280936798</v>
      </c>
      <c r="AT12" s="110">
        <v>40.443089959283661</v>
      </c>
    </row>
    <row r="13" spans="1:53" x14ac:dyDescent="0.2">
      <c r="B13" s="130">
        <v>4</v>
      </c>
      <c r="C13" s="116" t="s">
        <v>295</v>
      </c>
    </row>
    <row r="14" spans="1:53" x14ac:dyDescent="0.2">
      <c r="A14" s="125" t="s">
        <v>134</v>
      </c>
      <c r="B14" s="131">
        <v>1</v>
      </c>
      <c r="C14" s="127" t="s">
        <v>295</v>
      </c>
      <c r="D14" s="127"/>
      <c r="E14" s="127">
        <f t="shared" ref="E14:AZ14" si="0">D$172*SUM(D$122:D$169)</f>
        <v>19.894143222784233</v>
      </c>
      <c r="F14" s="127">
        <f t="shared" si="0"/>
        <v>44.977141751522709</v>
      </c>
      <c r="G14" s="127">
        <f t="shared" si="0"/>
        <v>106.77558101622768</v>
      </c>
      <c r="H14" s="127">
        <f t="shared" si="0"/>
        <v>160.21237772685899</v>
      </c>
      <c r="I14" s="127">
        <f t="shared" si="0"/>
        <v>130.23459297951749</v>
      </c>
      <c r="J14" s="127">
        <f t="shared" si="0"/>
        <v>209.54499504293869</v>
      </c>
      <c r="K14" s="127">
        <f t="shared" si="0"/>
        <v>251.0211387060094</v>
      </c>
      <c r="L14" s="127">
        <f t="shared" si="0"/>
        <v>288.41940158986444</v>
      </c>
      <c r="M14" s="127">
        <f t="shared" si="0"/>
        <v>362.69632036977424</v>
      </c>
      <c r="N14" s="127">
        <f t="shared" si="0"/>
        <v>366.15029151195131</v>
      </c>
      <c r="O14" s="127">
        <f t="shared" si="0"/>
        <v>380.0902562239703</v>
      </c>
      <c r="P14" s="127">
        <f t="shared" si="0"/>
        <v>403.54976922155367</v>
      </c>
      <c r="Q14" s="127">
        <f t="shared" si="0"/>
        <v>363.94920629607947</v>
      </c>
      <c r="R14" s="127">
        <f t="shared" si="0"/>
        <v>385.53408643019151</v>
      </c>
      <c r="S14" s="127">
        <f t="shared" si="0"/>
        <v>401.19232443669227</v>
      </c>
      <c r="T14" s="127">
        <f t="shared" si="0"/>
        <v>379.18802020860841</v>
      </c>
      <c r="U14" s="127">
        <f t="shared" si="0"/>
        <v>289.52201692551552</v>
      </c>
      <c r="V14" s="127">
        <f t="shared" si="0"/>
        <v>342.07259298985042</v>
      </c>
      <c r="W14" s="127">
        <f t="shared" si="0"/>
        <v>386.17080146904749</v>
      </c>
      <c r="X14" s="127">
        <f t="shared" si="0"/>
        <v>398.83360824399921</v>
      </c>
      <c r="Y14" s="127">
        <f t="shared" si="0"/>
        <v>414.44739322180811</v>
      </c>
      <c r="Z14" s="127">
        <f t="shared" si="0"/>
        <v>363.57622106540731</v>
      </c>
      <c r="AA14" s="127">
        <f t="shared" si="0"/>
        <v>339.15196866945627</v>
      </c>
      <c r="AB14" s="127">
        <f t="shared" si="0"/>
        <v>291.66111187490418</v>
      </c>
      <c r="AC14" s="127">
        <f t="shared" si="0"/>
        <v>266.87705063381031</v>
      </c>
      <c r="AD14" s="127">
        <f t="shared" si="0"/>
        <v>220.58378779984059</v>
      </c>
      <c r="AE14" s="127">
        <f t="shared" si="0"/>
        <v>208.95789815519382</v>
      </c>
      <c r="AF14" s="127">
        <f t="shared" si="0"/>
        <v>246.42460875333634</v>
      </c>
      <c r="AG14" s="127">
        <f t="shared" si="0"/>
        <v>417.29256778717314</v>
      </c>
      <c r="AH14" s="127">
        <f t="shared" si="0"/>
        <v>400.32832244677104</v>
      </c>
      <c r="AI14" s="127">
        <f t="shared" si="0"/>
        <v>392.87921389219122</v>
      </c>
      <c r="AJ14" s="127">
        <f t="shared" si="0"/>
        <v>456.18486014225641</v>
      </c>
      <c r="AK14" s="127">
        <f t="shared" si="0"/>
        <v>418.05190722246607</v>
      </c>
      <c r="AL14" s="127">
        <f t="shared" si="0"/>
        <v>523.32505554757006</v>
      </c>
      <c r="AM14" s="127">
        <f t="shared" si="0"/>
        <v>468.08590398444551</v>
      </c>
      <c r="AN14" s="127">
        <f t="shared" si="0"/>
        <v>489.99484399207125</v>
      </c>
      <c r="AO14" s="127">
        <f t="shared" si="0"/>
        <v>620.04110399501315</v>
      </c>
      <c r="AP14" s="127">
        <f t="shared" si="0"/>
        <v>615.51381269940873</v>
      </c>
      <c r="AQ14" s="127">
        <f t="shared" si="0"/>
        <v>615.92760194581217</v>
      </c>
      <c r="AR14" s="127">
        <f t="shared" si="0"/>
        <v>516.12802733668332</v>
      </c>
      <c r="AS14" s="127">
        <f t="shared" si="0"/>
        <v>195.36261419398642</v>
      </c>
      <c r="AT14" s="127">
        <f t="shared" si="0"/>
        <v>173.59550563399776</v>
      </c>
      <c r="AU14" s="127">
        <f t="shared" si="0"/>
        <v>251.32183119926933</v>
      </c>
      <c r="AV14" s="127">
        <f t="shared" si="0"/>
        <v>262.08036596366782</v>
      </c>
      <c r="AW14" s="127">
        <f t="shared" si="0"/>
        <v>324.07180805447268</v>
      </c>
      <c r="AX14" s="127">
        <f t="shared" si="0"/>
        <v>321.62888730946975</v>
      </c>
      <c r="AY14" s="127">
        <f t="shared" si="0"/>
        <v>268.71027317391963</v>
      </c>
      <c r="AZ14" s="120">
        <f t="shared" si="0"/>
        <v>269.4830393728119</v>
      </c>
      <c r="BA14" s="117">
        <f>SUM($E14:$AZ14)</f>
        <v>16021.716252430171</v>
      </c>
    </row>
    <row r="15" spans="1:53" x14ac:dyDescent="0.2">
      <c r="A15" s="132" t="s">
        <v>123</v>
      </c>
      <c r="B15" s="133">
        <v>1</v>
      </c>
      <c r="C15" s="134" t="s">
        <v>295</v>
      </c>
      <c r="D15" s="134">
        <v>233.74335786563722</v>
      </c>
      <c r="E15" s="134">
        <v>528.45242051737523</v>
      </c>
      <c r="F15" s="134">
        <v>1038.9243271986074</v>
      </c>
      <c r="G15" s="134">
        <v>1038.9243271986074</v>
      </c>
      <c r="H15" s="134">
        <v>133.50177766218417</v>
      </c>
      <c r="I15" s="134">
        <v>516.76409734053118</v>
      </c>
      <c r="J15" s="134">
        <v>938.68274699515428</v>
      </c>
      <c r="K15" s="134">
        <v>516.76409734053118</v>
      </c>
      <c r="L15" s="134">
        <v>227.87427582963002</v>
      </c>
      <c r="M15" s="134">
        <v>1033.0552451626002</v>
      </c>
      <c r="N15" s="134">
        <v>1033.0552451626002</v>
      </c>
      <c r="O15" s="134">
        <v>1033.0552451626002</v>
      </c>
      <c r="P15" s="134">
        <v>1002.4922334519721</v>
      </c>
      <c r="Q15" s="134">
        <v>1002.4922334519721</v>
      </c>
      <c r="R15" s="134">
        <v>1002.4922334519721</v>
      </c>
      <c r="S15" s="134">
        <v>580.57358379734899</v>
      </c>
      <c r="T15" s="134">
        <v>163.31192179622374</v>
      </c>
      <c r="U15" s="134">
        <v>546.57424147457073</v>
      </c>
      <c r="V15" s="134">
        <v>968.49289112919382</v>
      </c>
      <c r="W15" s="134">
        <v>968.49289112919382</v>
      </c>
      <c r="X15" s="134">
        <v>927.59203083063824</v>
      </c>
      <c r="Y15" s="134">
        <v>122.41106149766814</v>
      </c>
      <c r="Z15" s="134">
        <v>505.67338117601514</v>
      </c>
      <c r="AA15" s="134">
        <v>122.41106149766814</v>
      </c>
      <c r="AB15" s="134">
        <v>527.40666835684669</v>
      </c>
      <c r="AC15" s="134">
        <v>144.14434867849968</v>
      </c>
      <c r="AD15" s="134">
        <v>144.14434867849968</v>
      </c>
      <c r="AE15" s="134">
        <v>527.40666835684669</v>
      </c>
      <c r="AF15" s="134">
        <v>950.95315749408041</v>
      </c>
      <c r="AG15" s="134">
        <v>529.03450783945732</v>
      </c>
      <c r="AH15" s="134">
        <v>145.77218816111031</v>
      </c>
      <c r="AI15" s="134">
        <v>529.03450783945732</v>
      </c>
      <c r="AJ15" s="134">
        <v>150.78842768253836</v>
      </c>
      <c r="AK15" s="134">
        <v>955.96939701550843</v>
      </c>
      <c r="AL15" s="134">
        <v>150.78842768253836</v>
      </c>
      <c r="AM15" s="134">
        <v>150.78842768253836</v>
      </c>
      <c r="AN15" s="134">
        <v>971.30435090192702</v>
      </c>
      <c r="AO15" s="134">
        <v>971.30435090192702</v>
      </c>
      <c r="AP15" s="134">
        <v>971.30435090192702</v>
      </c>
      <c r="AQ15" s="134">
        <v>166.12338156895692</v>
      </c>
      <c r="AR15" s="134">
        <v>502.6541556115954</v>
      </c>
      <c r="AS15" s="134">
        <v>119.3918359332484</v>
      </c>
      <c r="AT15" s="134">
        <v>924.57280526621844</v>
      </c>
      <c r="AU15" s="134">
        <v>924.57280526621855</v>
      </c>
      <c r="AV15" s="134">
        <v>911.66047883411306</v>
      </c>
      <c r="AW15" s="134">
        <v>911.66047883411306</v>
      </c>
      <c r="AX15" s="134">
        <v>106.47950950114301</v>
      </c>
      <c r="AY15" s="134">
        <v>911.66047883411306</v>
      </c>
      <c r="AZ15" s="110">
        <v>0</v>
      </c>
    </row>
    <row r="16" spans="1:53" x14ac:dyDescent="0.2">
      <c r="A16" s="120"/>
      <c r="B16" s="129">
        <v>2</v>
      </c>
      <c r="C16" s="119" t="s">
        <v>295</v>
      </c>
      <c r="D16" s="116"/>
      <c r="E16" s="120"/>
      <c r="F16" s="120"/>
      <c r="G16" s="120"/>
      <c r="H16" s="120"/>
      <c r="I16" s="120">
        <v>805.18096933297011</v>
      </c>
      <c r="J16" s="120"/>
      <c r="K16" s="120"/>
      <c r="L16" s="120">
        <v>421.9186496546231</v>
      </c>
      <c r="M16" s="120"/>
      <c r="N16" s="120"/>
      <c r="O16" s="120"/>
      <c r="P16" s="120"/>
      <c r="Q16" s="120"/>
      <c r="R16" s="120"/>
      <c r="S16" s="120"/>
      <c r="T16" s="120">
        <v>421.9186496546231</v>
      </c>
      <c r="U16" s="120">
        <v>805.18096933297011</v>
      </c>
      <c r="V16" s="120">
        <v>421.9186496546231</v>
      </c>
      <c r="W16" s="120"/>
      <c r="X16" s="120"/>
      <c r="Y16" s="120"/>
      <c r="Z16" s="120"/>
      <c r="AA16" s="120"/>
      <c r="AB16" s="120"/>
      <c r="AC16" s="120"/>
      <c r="AD16" s="120"/>
      <c r="AE16" s="120"/>
      <c r="AF16" s="120">
        <v>421.9186496546231</v>
      </c>
      <c r="AG16" s="120"/>
      <c r="AH16" s="120">
        <v>421.9186496546231</v>
      </c>
      <c r="AI16" s="120">
        <v>805.18096933297011</v>
      </c>
      <c r="AJ16" s="120">
        <v>421.9186496546231</v>
      </c>
      <c r="AK16" s="120">
        <v>805.18096933297011</v>
      </c>
      <c r="AL16" s="120"/>
      <c r="AM16" s="120">
        <v>805.18096933297011</v>
      </c>
      <c r="AN16" s="120"/>
      <c r="AO16" s="120"/>
      <c r="AP16" s="120"/>
      <c r="AQ16" s="120"/>
      <c r="AR16" s="120"/>
      <c r="AS16" s="120"/>
      <c r="AT16" s="120">
        <v>805.18096933297011</v>
      </c>
      <c r="AU16" s="120"/>
      <c r="AV16" s="120"/>
      <c r="AW16" s="120"/>
      <c r="AX16" s="120"/>
      <c r="AY16" s="120"/>
      <c r="BA16" s="110">
        <v>805.18096933297011</v>
      </c>
    </row>
    <row r="17" spans="1:51" x14ac:dyDescent="0.2">
      <c r="A17" s="120"/>
      <c r="B17" s="129">
        <v>3</v>
      </c>
      <c r="C17" s="119" t="s">
        <v>295</v>
      </c>
      <c r="D17" s="116"/>
      <c r="E17" s="120"/>
      <c r="F17" s="120"/>
      <c r="G17" s="120"/>
      <c r="H17" s="120"/>
      <c r="I17" s="120"/>
      <c r="J17" s="120"/>
      <c r="K17" s="120">
        <v>421.9186496546231</v>
      </c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120"/>
      <c r="AB17" s="120">
        <v>421.9186496546231</v>
      </c>
      <c r="AC17" s="120"/>
      <c r="AD17" s="120">
        <v>421.9186496546231</v>
      </c>
      <c r="AE17" s="120">
        <v>805.18096933297011</v>
      </c>
      <c r="AF17" s="120"/>
      <c r="AG17" s="120"/>
      <c r="AH17" s="120"/>
      <c r="AI17" s="120"/>
      <c r="AJ17" s="120"/>
      <c r="AK17" s="120"/>
      <c r="AL17" s="120"/>
      <c r="AM17" s="120"/>
      <c r="AN17" s="120"/>
      <c r="AO17" s="120"/>
      <c r="AP17" s="120"/>
      <c r="AQ17" s="120"/>
      <c r="AR17" s="120"/>
      <c r="AS17" s="120"/>
      <c r="AT17" s="120">
        <v>421.9186496546231</v>
      </c>
      <c r="AU17" s="120"/>
      <c r="AV17" s="120"/>
      <c r="AW17" s="120"/>
      <c r="AX17" s="120"/>
      <c r="AY17" s="120"/>
    </row>
    <row r="18" spans="1:51" x14ac:dyDescent="0.2">
      <c r="A18" s="135"/>
      <c r="B18" s="126">
        <v>4</v>
      </c>
      <c r="C18" s="135" t="s">
        <v>295</v>
      </c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  <c r="AF18" s="135"/>
      <c r="AG18" s="135"/>
      <c r="AH18" s="135"/>
      <c r="AI18" s="135"/>
      <c r="AJ18" s="135"/>
      <c r="AK18" s="135"/>
      <c r="AL18" s="135"/>
      <c r="AM18" s="135"/>
      <c r="AN18" s="135"/>
      <c r="AO18" s="135"/>
      <c r="AP18" s="135"/>
      <c r="AQ18" s="135"/>
      <c r="AR18" s="135"/>
      <c r="AS18" s="135"/>
      <c r="AT18" s="135"/>
      <c r="AU18" s="135"/>
      <c r="AV18" s="135"/>
      <c r="AW18" s="135"/>
      <c r="AX18" s="135"/>
      <c r="AY18" s="135"/>
    </row>
    <row r="20" spans="1:51" x14ac:dyDescent="0.2">
      <c r="A20" s="112" t="s">
        <v>296</v>
      </c>
    </row>
    <row r="21" spans="1:51" x14ac:dyDescent="0.2">
      <c r="A21" s="136" t="s">
        <v>125</v>
      </c>
      <c r="B21" s="133">
        <v>1</v>
      </c>
      <c r="C21" s="134" t="s">
        <v>295</v>
      </c>
      <c r="D21" s="134"/>
      <c r="E21" s="134"/>
      <c r="F21" s="134"/>
      <c r="G21" s="134"/>
      <c r="H21" s="134"/>
      <c r="I21" s="134"/>
      <c r="J21" s="134"/>
      <c r="K21" s="134"/>
      <c r="L21" s="134"/>
      <c r="M21" s="134"/>
      <c r="N21" s="134"/>
      <c r="O21" s="134"/>
      <c r="P21" s="134"/>
      <c r="Q21" s="134"/>
      <c r="R21" s="134"/>
      <c r="S21" s="134"/>
      <c r="T21" s="134"/>
      <c r="U21" s="134"/>
      <c r="V21" s="134"/>
      <c r="W21" s="134"/>
      <c r="X21" s="134"/>
      <c r="Y21" s="134"/>
      <c r="Z21" s="134"/>
      <c r="AA21" s="134"/>
      <c r="AB21" s="134"/>
      <c r="AC21" s="134"/>
      <c r="AD21" s="134"/>
      <c r="AE21" s="134"/>
      <c r="AF21" s="134"/>
      <c r="AG21" s="134"/>
      <c r="AH21" s="134"/>
      <c r="AI21" s="134"/>
      <c r="AJ21" s="134"/>
      <c r="AK21" s="134"/>
      <c r="AL21" s="134"/>
      <c r="AM21" s="134"/>
      <c r="AN21" s="134"/>
      <c r="AO21" s="134"/>
      <c r="AP21" s="134"/>
      <c r="AQ21" s="134"/>
      <c r="AR21" s="134"/>
      <c r="AS21" s="134"/>
      <c r="AT21" s="134"/>
      <c r="AU21" s="134"/>
      <c r="AV21" s="134"/>
      <c r="AW21" s="134"/>
      <c r="AX21" s="134"/>
      <c r="AY21" s="134"/>
    </row>
    <row r="22" spans="1:51" x14ac:dyDescent="0.2">
      <c r="A22" s="119"/>
      <c r="B22" s="130">
        <v>2</v>
      </c>
      <c r="C22" s="120" t="s">
        <v>295</v>
      </c>
      <c r="D22" s="120"/>
      <c r="E22" s="120"/>
      <c r="F22" s="120"/>
      <c r="G22" s="120"/>
      <c r="H22" s="120"/>
      <c r="I22" s="120"/>
      <c r="J22" s="120"/>
      <c r="K22" s="120"/>
      <c r="L22" s="120"/>
      <c r="M22" s="120"/>
      <c r="N22" s="120"/>
      <c r="O22" s="120"/>
      <c r="P22" s="120"/>
      <c r="Q22" s="120">
        <v>526.69850711310437</v>
      </c>
      <c r="R22" s="120">
        <v>713.66399840349777</v>
      </c>
      <c r="S22" s="120">
        <v>456.47207230875438</v>
      </c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20"/>
      <c r="AF22" s="120"/>
      <c r="AG22" s="120"/>
      <c r="AH22" s="120"/>
      <c r="AI22" s="120">
        <v>161.67208912724254</v>
      </c>
      <c r="AJ22" s="120"/>
      <c r="AK22" s="120"/>
      <c r="AL22" s="120"/>
      <c r="AM22" s="120"/>
      <c r="AN22" s="120"/>
      <c r="AO22" s="120">
        <v>483.60433237458301</v>
      </c>
      <c r="AP22" s="120">
        <v>482.76232122423062</v>
      </c>
      <c r="AQ22" s="120"/>
      <c r="AR22" s="120"/>
      <c r="AS22" s="120"/>
      <c r="AT22" s="120"/>
      <c r="AU22" s="120"/>
      <c r="AV22" s="120"/>
      <c r="AW22" s="120">
        <v>183.64477402537204</v>
      </c>
      <c r="AX22" s="120"/>
      <c r="AY22" s="120"/>
    </row>
    <row r="23" spans="1:51" x14ac:dyDescent="0.2">
      <c r="A23" s="119"/>
      <c r="B23" s="137">
        <v>3</v>
      </c>
      <c r="C23" s="120" t="s">
        <v>295</v>
      </c>
      <c r="D23" s="120"/>
      <c r="E23" s="120"/>
      <c r="F23" s="120"/>
      <c r="G23" s="120"/>
      <c r="H23" s="120"/>
      <c r="I23" s="120"/>
      <c r="J23" s="120"/>
      <c r="K23" s="120"/>
      <c r="L23" s="120"/>
      <c r="M23" s="120"/>
      <c r="N23" s="120">
        <v>2186.7604547647447</v>
      </c>
      <c r="O23" s="120">
        <v>2417.166448278283</v>
      </c>
      <c r="P23" s="120">
        <v>3356.3581942498972</v>
      </c>
      <c r="Q23" s="120">
        <v>3307.4777592948462</v>
      </c>
      <c r="R23" s="120">
        <v>2946.1011598580858</v>
      </c>
      <c r="S23" s="120">
        <v>2847.1356685676924</v>
      </c>
      <c r="T23" s="120">
        <v>1804.3159677149051</v>
      </c>
      <c r="U23" s="120">
        <v>2266.791628904668</v>
      </c>
      <c r="V23" s="120">
        <v>1475.8046941104567</v>
      </c>
      <c r="W23" s="120">
        <v>1644.8749869118774</v>
      </c>
      <c r="X23" s="120">
        <v>264.86929990371573</v>
      </c>
      <c r="Y23" s="120"/>
      <c r="Z23" s="120"/>
      <c r="AA23" s="120"/>
      <c r="AB23" s="120"/>
      <c r="AC23" s="120"/>
      <c r="AD23" s="120">
        <v>1310.6239904124091</v>
      </c>
      <c r="AE23" s="120">
        <v>2863.6882839539517</v>
      </c>
      <c r="AF23" s="120">
        <v>3654.5883241777883</v>
      </c>
      <c r="AG23" s="120">
        <v>2725.652981840225</v>
      </c>
      <c r="AH23" s="120">
        <v>2397.3671100202009</v>
      </c>
      <c r="AI23" s="120">
        <v>3149.37361250706</v>
      </c>
      <c r="AJ23" s="120"/>
      <c r="AK23" s="120"/>
      <c r="AL23" s="120"/>
      <c r="AM23" s="120"/>
      <c r="AN23" s="120"/>
      <c r="AO23" s="120">
        <v>1374.6405982852086</v>
      </c>
      <c r="AP23" s="120">
        <v>2790.6495079104698</v>
      </c>
      <c r="AQ23" s="120">
        <v>2191.1396001100675</v>
      </c>
      <c r="AR23" s="120">
        <v>1293.5633183781047</v>
      </c>
      <c r="AS23" s="120"/>
      <c r="AT23" s="120"/>
      <c r="AU23" s="120">
        <v>130.34257830994966</v>
      </c>
      <c r="AV23" s="120">
        <v>1563.9707819862947</v>
      </c>
      <c r="AW23" s="120">
        <v>2494.1714824448563</v>
      </c>
      <c r="AX23" s="120">
        <v>1756.1995680090004</v>
      </c>
      <c r="AY23" s="120">
        <v>2700.3382097756239</v>
      </c>
    </row>
    <row r="24" spans="1:51" x14ac:dyDescent="0.2">
      <c r="A24" s="138"/>
      <c r="B24" s="139">
        <v>4</v>
      </c>
      <c r="C24" s="138" t="s">
        <v>295</v>
      </c>
      <c r="D24" s="135">
        <v>0</v>
      </c>
      <c r="E24" s="135">
        <v>0</v>
      </c>
      <c r="F24" s="135">
        <v>0</v>
      </c>
      <c r="G24" s="135">
        <v>0</v>
      </c>
      <c r="H24" s="135">
        <v>0</v>
      </c>
      <c r="I24" s="135">
        <v>0</v>
      </c>
      <c r="J24" s="135">
        <v>0</v>
      </c>
      <c r="K24" s="135">
        <v>0</v>
      </c>
      <c r="L24" s="135">
        <v>0</v>
      </c>
      <c r="M24" s="135">
        <v>1294.6996003125059</v>
      </c>
      <c r="N24" s="135">
        <v>1049.7385794475827</v>
      </c>
      <c r="O24" s="135">
        <v>1007.657522007627</v>
      </c>
      <c r="P24" s="135">
        <v>756.25152849408869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735.01966501405332</v>
      </c>
      <c r="W24" s="135">
        <v>222.70554538257511</v>
      </c>
      <c r="X24" s="135">
        <v>143.63525258115442</v>
      </c>
      <c r="Y24" s="135">
        <v>0</v>
      </c>
      <c r="Z24" s="135">
        <v>0</v>
      </c>
      <c r="AA24" s="135">
        <v>0</v>
      </c>
      <c r="AB24" s="135">
        <v>0</v>
      </c>
      <c r="AC24" s="135">
        <v>186.27800536289215</v>
      </c>
      <c r="AD24" s="135">
        <v>1532.3480177298766</v>
      </c>
      <c r="AE24" s="135">
        <v>1269.6697468705083</v>
      </c>
      <c r="AF24" s="135">
        <v>0</v>
      </c>
      <c r="AG24" s="135">
        <v>0</v>
      </c>
      <c r="AH24" s="135">
        <v>0</v>
      </c>
      <c r="AI24" s="135">
        <v>0</v>
      </c>
      <c r="AJ24" s="135">
        <v>0</v>
      </c>
      <c r="AK24" s="135">
        <v>617.0464503863659</v>
      </c>
      <c r="AL24" s="135">
        <v>0</v>
      </c>
      <c r="AM24" s="135">
        <v>0</v>
      </c>
      <c r="AN24" s="135">
        <v>765.29456703498363</v>
      </c>
      <c r="AO24" s="135">
        <v>1374.6405982852086</v>
      </c>
      <c r="AP24" s="135">
        <v>0</v>
      </c>
      <c r="AQ24" s="135">
        <v>0</v>
      </c>
      <c r="AR24" s="135">
        <v>0</v>
      </c>
      <c r="AS24" s="135">
        <v>1408.286589187248</v>
      </c>
      <c r="AT24" s="135">
        <v>3697.7585795395826</v>
      </c>
      <c r="AU24" s="135">
        <v>2327.6667431903265</v>
      </c>
      <c r="AV24" s="135">
        <v>2157.8289041349067</v>
      </c>
      <c r="AW24" s="135">
        <v>97.200700458561641</v>
      </c>
      <c r="AX24" s="135">
        <v>0</v>
      </c>
      <c r="AY24" s="135">
        <v>0</v>
      </c>
    </row>
    <row r="25" spans="1:51" x14ac:dyDescent="0.2">
      <c r="A25" s="136" t="s">
        <v>133</v>
      </c>
      <c r="B25" s="133">
        <v>1</v>
      </c>
      <c r="C25" s="119" t="s">
        <v>295</v>
      </c>
      <c r="D25" s="120"/>
      <c r="E25" s="120"/>
      <c r="F25" s="120"/>
      <c r="G25" s="120"/>
      <c r="H25" s="120"/>
      <c r="I25" s="120"/>
      <c r="J25" s="120"/>
      <c r="K25" s="120"/>
      <c r="L25" s="120"/>
      <c r="M25" s="120"/>
      <c r="N25" s="120"/>
      <c r="O25" s="120"/>
      <c r="P25" s="120"/>
      <c r="Q25" s="120"/>
      <c r="R25" s="120"/>
      <c r="S25" s="120"/>
      <c r="T25" s="120"/>
      <c r="U25" s="120"/>
      <c r="V25" s="120"/>
      <c r="W25" s="120"/>
      <c r="X25" s="120"/>
      <c r="Y25" s="120"/>
      <c r="Z25" s="120"/>
      <c r="AA25" s="120"/>
      <c r="AB25" s="120"/>
      <c r="AC25" s="120"/>
      <c r="AD25" s="120"/>
      <c r="AE25" s="120"/>
      <c r="AF25" s="120"/>
      <c r="AG25" s="120"/>
      <c r="AH25" s="120"/>
      <c r="AI25" s="120"/>
      <c r="AJ25" s="120"/>
      <c r="AK25" s="120"/>
      <c r="AL25" s="120"/>
      <c r="AM25" s="120"/>
      <c r="AN25" s="120"/>
      <c r="AO25" s="120"/>
      <c r="AP25" s="120"/>
      <c r="AQ25" s="120"/>
      <c r="AR25" s="120"/>
      <c r="AS25" s="120"/>
      <c r="AT25" s="120"/>
      <c r="AU25" s="120"/>
      <c r="AV25" s="120"/>
      <c r="AW25" s="120"/>
      <c r="AX25" s="120"/>
      <c r="AY25" s="120"/>
    </row>
    <row r="26" spans="1:51" x14ac:dyDescent="0.2">
      <c r="A26" s="119"/>
      <c r="B26" s="129">
        <v>2</v>
      </c>
      <c r="C26" s="119" t="s">
        <v>295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  <c r="AB26" s="120"/>
      <c r="AC26" s="120"/>
      <c r="AD26" s="120"/>
      <c r="AE26" s="120"/>
      <c r="AF26" s="120"/>
      <c r="AG26" s="120"/>
      <c r="AH26" s="120"/>
      <c r="AI26" s="120"/>
      <c r="AJ26" s="120"/>
      <c r="AK26" s="120"/>
      <c r="AL26" s="120"/>
      <c r="AM26" s="120"/>
      <c r="AN26" s="120"/>
      <c r="AO26" s="120"/>
      <c r="AP26" s="120"/>
      <c r="AQ26" s="120"/>
      <c r="AR26" s="120"/>
      <c r="AS26" s="120"/>
      <c r="AT26" s="120"/>
      <c r="AU26" s="120"/>
      <c r="AV26" s="120"/>
      <c r="AW26" s="120"/>
      <c r="AX26" s="120"/>
      <c r="AY26" s="120"/>
    </row>
    <row r="27" spans="1:51" x14ac:dyDescent="0.2">
      <c r="A27" s="119"/>
      <c r="B27" s="130">
        <v>3</v>
      </c>
      <c r="C27" s="119" t="s">
        <v>295</v>
      </c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  <c r="AB27" s="120"/>
      <c r="AC27" s="120"/>
      <c r="AD27" s="120"/>
      <c r="AE27" s="120"/>
      <c r="AF27" s="120"/>
      <c r="AG27" s="120"/>
      <c r="AH27" s="120"/>
      <c r="AI27" s="120"/>
      <c r="AJ27" s="120"/>
      <c r="AK27" s="120"/>
      <c r="AL27" s="120"/>
      <c r="AM27" s="120"/>
      <c r="AN27" s="120"/>
      <c r="AO27" s="120"/>
      <c r="AP27" s="120"/>
      <c r="AQ27" s="120"/>
      <c r="AR27" s="120"/>
      <c r="AS27" s="120"/>
      <c r="AT27" s="120"/>
      <c r="AU27" s="120"/>
      <c r="AV27" s="120"/>
      <c r="AW27" s="120"/>
      <c r="AX27" s="120"/>
      <c r="AY27" s="120"/>
    </row>
    <row r="28" spans="1:51" x14ac:dyDescent="0.2">
      <c r="A28" s="119"/>
      <c r="B28" s="130">
        <v>4</v>
      </c>
      <c r="C28" s="119" t="s">
        <v>295</v>
      </c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  <c r="AB28" s="120"/>
      <c r="AC28" s="120"/>
      <c r="AD28" s="120"/>
      <c r="AE28" s="120"/>
      <c r="AF28" s="120"/>
      <c r="AG28" s="120"/>
      <c r="AH28" s="120"/>
      <c r="AI28" s="120"/>
      <c r="AJ28" s="120"/>
      <c r="AK28" s="120"/>
      <c r="AL28" s="120"/>
      <c r="AM28" s="120"/>
      <c r="AN28" s="120"/>
      <c r="AO28" s="120"/>
      <c r="AP28" s="120"/>
      <c r="AQ28" s="120"/>
      <c r="AR28" s="120"/>
      <c r="AS28" s="120"/>
      <c r="AT28" s="120"/>
      <c r="AU28" s="120"/>
      <c r="AV28" s="120"/>
      <c r="AW28" s="120"/>
      <c r="AX28" s="120"/>
      <c r="AY28" s="120"/>
    </row>
    <row r="29" spans="1:51" x14ac:dyDescent="0.2">
      <c r="A29" s="119"/>
      <c r="B29" s="137">
        <v>5</v>
      </c>
      <c r="C29" s="119" t="s">
        <v>295</v>
      </c>
      <c r="D29" s="120"/>
      <c r="E29" s="120"/>
      <c r="F29" s="120"/>
      <c r="G29" s="120"/>
      <c r="H29" s="120"/>
      <c r="I29" s="120"/>
      <c r="J29" s="120"/>
      <c r="K29" s="120"/>
      <c r="L29" s="120"/>
      <c r="M29" s="120"/>
      <c r="N29" s="120"/>
      <c r="O29" s="120"/>
      <c r="P29" s="120"/>
      <c r="Q29" s="120"/>
      <c r="R29" s="120"/>
      <c r="S29" s="120"/>
      <c r="T29" s="120"/>
      <c r="U29" s="120"/>
      <c r="V29" s="120"/>
      <c r="W29" s="120"/>
      <c r="X29" s="120"/>
      <c r="Y29" s="120"/>
      <c r="Z29" s="120"/>
      <c r="AA29" s="120"/>
      <c r="AB29" s="120"/>
      <c r="AC29" s="120"/>
      <c r="AD29" s="120"/>
      <c r="AE29" s="120"/>
      <c r="AF29" s="120"/>
      <c r="AG29" s="120"/>
      <c r="AH29" s="120"/>
      <c r="AI29" s="120"/>
      <c r="AJ29" s="120"/>
      <c r="AK29" s="120"/>
      <c r="AL29" s="120"/>
      <c r="AM29" s="120"/>
      <c r="AN29" s="120"/>
      <c r="AO29" s="120"/>
      <c r="AP29" s="120"/>
      <c r="AQ29" s="120"/>
      <c r="AR29" s="120"/>
      <c r="AS29" s="120"/>
      <c r="AT29" s="120"/>
      <c r="AU29" s="120"/>
      <c r="AV29" s="120"/>
      <c r="AW29" s="120"/>
      <c r="AX29" s="120"/>
      <c r="AY29" s="120"/>
    </row>
    <row r="30" spans="1:51" x14ac:dyDescent="0.2">
      <c r="A30" s="119"/>
      <c r="B30" s="137">
        <v>6</v>
      </c>
      <c r="C30" s="119" t="s">
        <v>295</v>
      </c>
      <c r="D30" s="120"/>
      <c r="E30" s="120"/>
      <c r="F30" s="120"/>
      <c r="G30" s="120"/>
      <c r="H30" s="120"/>
      <c r="I30" s="120"/>
      <c r="J30" s="120"/>
      <c r="K30" s="120"/>
      <c r="L30" s="120"/>
      <c r="M30" s="120"/>
      <c r="N30" s="120"/>
      <c r="O30" s="120"/>
      <c r="P30" s="120"/>
      <c r="Q30" s="120">
        <v>0</v>
      </c>
      <c r="R30" s="120">
        <v>0</v>
      </c>
      <c r="S30" s="120">
        <v>0</v>
      </c>
      <c r="T30" s="120"/>
      <c r="U30" s="120"/>
      <c r="V30" s="120"/>
      <c r="W30" s="120"/>
      <c r="X30" s="120"/>
      <c r="Y30" s="120"/>
      <c r="Z30" s="120"/>
      <c r="AA30" s="120"/>
      <c r="AB30" s="120"/>
      <c r="AC30" s="120"/>
      <c r="AD30" s="120"/>
      <c r="AE30" s="120"/>
      <c r="AF30" s="120"/>
      <c r="AG30" s="120"/>
      <c r="AH30" s="120"/>
      <c r="AI30" s="120">
        <v>0</v>
      </c>
      <c r="AJ30" s="120"/>
      <c r="AK30" s="120"/>
      <c r="AL30" s="120"/>
      <c r="AM30" s="120"/>
      <c r="AN30" s="120"/>
      <c r="AO30" s="120">
        <v>0</v>
      </c>
      <c r="AP30" s="120">
        <v>0</v>
      </c>
      <c r="AQ30" s="120"/>
      <c r="AR30" s="120"/>
      <c r="AS30" s="120"/>
      <c r="AT30" s="120"/>
      <c r="AU30" s="120"/>
      <c r="AV30" s="120"/>
      <c r="AW30" s="120">
        <v>0</v>
      </c>
      <c r="AX30" s="120"/>
      <c r="AY30" s="120"/>
    </row>
    <row r="31" spans="1:51" x14ac:dyDescent="0.2">
      <c r="A31" s="119"/>
      <c r="B31" s="140">
        <v>7</v>
      </c>
      <c r="C31" s="119" t="s">
        <v>295</v>
      </c>
      <c r="D31" s="120"/>
      <c r="E31" s="120"/>
      <c r="F31" s="120"/>
      <c r="G31" s="120"/>
      <c r="H31" s="120"/>
      <c r="I31" s="120"/>
      <c r="J31" s="120"/>
      <c r="K31" s="120"/>
      <c r="L31" s="120"/>
      <c r="M31" s="120"/>
      <c r="N31" s="120">
        <v>0</v>
      </c>
      <c r="O31" s="120">
        <v>0</v>
      </c>
      <c r="P31" s="120">
        <v>0</v>
      </c>
      <c r="Q31" s="120">
        <v>0</v>
      </c>
      <c r="R31" s="120">
        <v>0</v>
      </c>
      <c r="S31" s="120">
        <v>0</v>
      </c>
      <c r="T31" s="120">
        <v>0</v>
      </c>
      <c r="U31" s="120">
        <v>0</v>
      </c>
      <c r="V31" s="120">
        <v>0</v>
      </c>
      <c r="W31" s="120">
        <v>0</v>
      </c>
      <c r="X31" s="120">
        <v>0</v>
      </c>
      <c r="Y31" s="120"/>
      <c r="Z31" s="120"/>
      <c r="AA31" s="120"/>
      <c r="AB31" s="120"/>
      <c r="AC31" s="120"/>
      <c r="AD31" s="120">
        <v>0</v>
      </c>
      <c r="AE31" s="120">
        <v>0</v>
      </c>
      <c r="AF31" s="120">
        <v>0</v>
      </c>
      <c r="AG31" s="120">
        <v>0</v>
      </c>
      <c r="AH31" s="120">
        <v>0</v>
      </c>
      <c r="AI31" s="120">
        <v>0</v>
      </c>
      <c r="AJ31" s="120"/>
      <c r="AK31" s="120"/>
      <c r="AL31" s="120"/>
      <c r="AM31" s="120"/>
      <c r="AN31" s="120"/>
      <c r="AO31" s="120">
        <v>0</v>
      </c>
      <c r="AP31" s="120">
        <v>0</v>
      </c>
      <c r="AQ31" s="120">
        <v>0</v>
      </c>
      <c r="AR31" s="120">
        <v>0</v>
      </c>
      <c r="AS31" s="120"/>
      <c r="AT31" s="120"/>
      <c r="AU31" s="120">
        <v>0</v>
      </c>
      <c r="AV31" s="120">
        <v>0</v>
      </c>
      <c r="AW31" s="120">
        <v>0</v>
      </c>
      <c r="AX31" s="120">
        <v>0</v>
      </c>
      <c r="AY31" s="120">
        <v>0</v>
      </c>
    </row>
    <row r="32" spans="1:51" x14ac:dyDescent="0.2">
      <c r="A32" s="138"/>
      <c r="B32" s="139">
        <v>8</v>
      </c>
      <c r="C32" s="138" t="s">
        <v>295</v>
      </c>
      <c r="D32" s="135">
        <v>0</v>
      </c>
      <c r="E32" s="135">
        <v>0</v>
      </c>
      <c r="F32" s="135">
        <v>0</v>
      </c>
      <c r="G32" s="135">
        <v>0</v>
      </c>
      <c r="H32" s="135">
        <v>0</v>
      </c>
      <c r="I32" s="135">
        <v>0</v>
      </c>
      <c r="J32" s="135">
        <v>0</v>
      </c>
      <c r="K32" s="135">
        <v>0</v>
      </c>
      <c r="L32" s="135">
        <v>0</v>
      </c>
      <c r="M32" s="135">
        <v>0</v>
      </c>
      <c r="N32" s="135"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5">
        <v>0</v>
      </c>
      <c r="AH32" s="135">
        <v>0</v>
      </c>
      <c r="AI32" s="135">
        <v>0</v>
      </c>
      <c r="AJ32" s="135">
        <v>0</v>
      </c>
      <c r="AK32" s="135">
        <v>0</v>
      </c>
      <c r="AL32" s="135">
        <v>0</v>
      </c>
      <c r="AM32" s="135">
        <v>0</v>
      </c>
      <c r="AN32" s="135">
        <v>0</v>
      </c>
      <c r="AO32" s="135">
        <v>0</v>
      </c>
      <c r="AP32" s="135">
        <v>0</v>
      </c>
      <c r="AQ32" s="135">
        <v>0</v>
      </c>
      <c r="AR32" s="135">
        <v>0</v>
      </c>
      <c r="AS32" s="135">
        <v>0</v>
      </c>
      <c r="AT32" s="135">
        <v>0</v>
      </c>
      <c r="AU32" s="135">
        <v>0</v>
      </c>
      <c r="AV32" s="135">
        <v>0</v>
      </c>
      <c r="AW32" s="135">
        <v>0</v>
      </c>
      <c r="AX32" s="135">
        <v>0</v>
      </c>
      <c r="AY32" s="135">
        <v>0</v>
      </c>
    </row>
    <row r="33" spans="1:51" x14ac:dyDescent="0.2">
      <c r="A33" s="141" t="s">
        <v>134</v>
      </c>
      <c r="B33" s="129">
        <v>1</v>
      </c>
      <c r="C33" s="119" t="s">
        <v>295</v>
      </c>
      <c r="D33" s="116"/>
      <c r="E33" s="116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  <c r="AI33" s="116"/>
      <c r="AJ33" s="116"/>
      <c r="AK33" s="116"/>
      <c r="AL33" s="116"/>
      <c r="AM33" s="116"/>
      <c r="AN33" s="116"/>
      <c r="AO33" s="116"/>
      <c r="AP33" s="116"/>
      <c r="AQ33" s="116"/>
      <c r="AR33" s="116"/>
      <c r="AS33" s="116"/>
      <c r="AT33" s="116"/>
      <c r="AU33" s="116"/>
      <c r="AV33" s="116"/>
      <c r="AW33" s="116"/>
      <c r="AX33" s="116"/>
      <c r="AY33" s="116"/>
    </row>
    <row r="34" spans="1:51" x14ac:dyDescent="0.2">
      <c r="A34" s="119"/>
      <c r="B34" s="129">
        <v>2</v>
      </c>
      <c r="C34" s="119" t="s">
        <v>295</v>
      </c>
      <c r="D34" s="116"/>
      <c r="E34" s="116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116"/>
      <c r="AL34" s="116"/>
      <c r="AM34" s="116"/>
      <c r="AN34" s="116"/>
      <c r="AO34" s="116"/>
      <c r="AP34" s="116"/>
      <c r="AQ34" s="116"/>
      <c r="AR34" s="116"/>
      <c r="AS34" s="116"/>
      <c r="AT34" s="116"/>
      <c r="AU34" s="116"/>
      <c r="AV34" s="116"/>
      <c r="AW34" s="116"/>
      <c r="AX34" s="116"/>
      <c r="AY34" s="116"/>
    </row>
    <row r="35" spans="1:51" x14ac:dyDescent="0.2">
      <c r="A35" s="119"/>
      <c r="B35" s="129">
        <v>3</v>
      </c>
      <c r="C35" s="119" t="s">
        <v>295</v>
      </c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  <c r="AH35" s="116"/>
      <c r="AI35" s="116"/>
      <c r="AJ35" s="116"/>
      <c r="AK35" s="116"/>
      <c r="AL35" s="116"/>
      <c r="AM35" s="116"/>
      <c r="AN35" s="116"/>
      <c r="AO35" s="116"/>
      <c r="AP35" s="116"/>
      <c r="AQ35" s="116"/>
      <c r="AR35" s="116"/>
      <c r="AS35" s="116"/>
      <c r="AT35" s="116"/>
      <c r="AU35" s="116"/>
      <c r="AV35" s="116"/>
      <c r="AW35" s="116"/>
      <c r="AX35" s="116"/>
      <c r="AY35" s="116"/>
    </row>
    <row r="36" spans="1:51" x14ac:dyDescent="0.2">
      <c r="A36" s="119"/>
      <c r="B36" s="130">
        <v>4</v>
      </c>
      <c r="C36" s="119" t="s">
        <v>295</v>
      </c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1" x14ac:dyDescent="0.2">
      <c r="A37" s="119"/>
      <c r="B37" s="130">
        <v>5</v>
      </c>
      <c r="C37" s="119" t="s">
        <v>295</v>
      </c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1" x14ac:dyDescent="0.2">
      <c r="A38" s="119"/>
      <c r="B38" s="130">
        <v>6</v>
      </c>
      <c r="C38" s="119" t="s">
        <v>295</v>
      </c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1" x14ac:dyDescent="0.2">
      <c r="A39" s="119"/>
      <c r="B39" s="137">
        <v>7</v>
      </c>
      <c r="C39" s="119" t="s">
        <v>295</v>
      </c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116"/>
      <c r="AK39" s="116"/>
      <c r="AL39" s="116"/>
      <c r="AM39" s="116"/>
      <c r="AN39" s="116"/>
      <c r="AO39" s="116"/>
      <c r="AP39" s="116"/>
      <c r="AQ39" s="116"/>
      <c r="AR39" s="116"/>
      <c r="AS39" s="116"/>
      <c r="AT39" s="116"/>
      <c r="AU39" s="116"/>
      <c r="AV39" s="116"/>
      <c r="AW39" s="116"/>
      <c r="AX39" s="116"/>
      <c r="AY39" s="116"/>
    </row>
    <row r="40" spans="1:51" x14ac:dyDescent="0.2">
      <c r="A40" s="119"/>
      <c r="B40" s="137">
        <v>8</v>
      </c>
      <c r="C40" s="119" t="s">
        <v>295</v>
      </c>
      <c r="D40" s="116"/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116"/>
      <c r="AA40" s="116"/>
      <c r="AB40" s="116"/>
      <c r="AC40" s="116"/>
      <c r="AD40" s="116"/>
      <c r="AE40" s="116"/>
      <c r="AF40" s="116"/>
      <c r="AG40" s="116"/>
      <c r="AH40" s="116"/>
      <c r="AI40" s="116"/>
      <c r="AJ40" s="116"/>
      <c r="AK40" s="116"/>
      <c r="AL40" s="116"/>
      <c r="AM40" s="116"/>
      <c r="AN40" s="116"/>
      <c r="AO40" s="116"/>
      <c r="AP40" s="116"/>
      <c r="AQ40" s="116"/>
      <c r="AR40" s="116"/>
      <c r="AS40" s="116"/>
      <c r="AT40" s="116"/>
      <c r="AU40" s="116"/>
      <c r="AV40" s="116"/>
      <c r="AW40" s="116"/>
      <c r="AX40" s="116"/>
      <c r="AY40" s="116"/>
    </row>
    <row r="41" spans="1:51" x14ac:dyDescent="0.2">
      <c r="A41" s="119"/>
      <c r="B41" s="137">
        <v>9</v>
      </c>
      <c r="C41" s="119" t="s">
        <v>295</v>
      </c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F41" s="116"/>
      <c r="AG41" s="116"/>
      <c r="AH41" s="116"/>
      <c r="AI41" s="116"/>
      <c r="AJ41" s="116"/>
      <c r="AK41" s="116"/>
      <c r="AL41" s="116"/>
      <c r="AM41" s="116"/>
      <c r="AN41" s="116"/>
      <c r="AO41" s="116"/>
      <c r="AP41" s="116"/>
      <c r="AQ41" s="116"/>
      <c r="AR41" s="116"/>
      <c r="AS41" s="116"/>
      <c r="AT41" s="116"/>
      <c r="AU41" s="116"/>
      <c r="AV41" s="116"/>
      <c r="AW41" s="116"/>
      <c r="AX41" s="116"/>
      <c r="AY41" s="116"/>
    </row>
    <row r="42" spans="1:51" x14ac:dyDescent="0.2">
      <c r="A42" s="119"/>
      <c r="B42" s="140">
        <v>10</v>
      </c>
      <c r="C42" s="119" t="s">
        <v>295</v>
      </c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>
        <v>0</v>
      </c>
      <c r="R42" s="116">
        <v>0</v>
      </c>
      <c r="S42" s="116">
        <v>0</v>
      </c>
      <c r="T42" s="116"/>
      <c r="U42" s="116"/>
      <c r="V42" s="116"/>
      <c r="W42" s="116"/>
      <c r="X42" s="116"/>
      <c r="Y42" s="116"/>
      <c r="Z42" s="116"/>
      <c r="AA42" s="116"/>
      <c r="AB42" s="116"/>
      <c r="AC42" s="116"/>
      <c r="AD42" s="116"/>
      <c r="AE42" s="116"/>
      <c r="AF42" s="116"/>
      <c r="AG42" s="116"/>
      <c r="AH42" s="116"/>
      <c r="AI42" s="116">
        <v>0</v>
      </c>
      <c r="AJ42" s="116"/>
      <c r="AK42" s="116"/>
      <c r="AL42" s="116"/>
      <c r="AM42" s="116"/>
      <c r="AN42" s="116"/>
      <c r="AO42" s="116">
        <v>0</v>
      </c>
      <c r="AP42" s="116">
        <v>0</v>
      </c>
      <c r="AQ42" s="116"/>
      <c r="AR42" s="116"/>
      <c r="AS42" s="116"/>
      <c r="AT42" s="116"/>
      <c r="AU42" s="116"/>
      <c r="AV42" s="116"/>
      <c r="AW42" s="116">
        <v>0</v>
      </c>
      <c r="AX42" s="116"/>
      <c r="AY42" s="116"/>
    </row>
    <row r="43" spans="1:51" x14ac:dyDescent="0.2">
      <c r="A43" s="119"/>
      <c r="B43" s="140">
        <v>11</v>
      </c>
      <c r="C43" s="119" t="s">
        <v>295</v>
      </c>
      <c r="D43" s="116"/>
      <c r="E43" s="116"/>
      <c r="F43" s="116"/>
      <c r="G43" s="116"/>
      <c r="H43" s="116"/>
      <c r="I43" s="116"/>
      <c r="J43" s="116"/>
      <c r="K43" s="116"/>
      <c r="L43" s="116"/>
      <c r="M43" s="116"/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/>
      <c r="Z43" s="116"/>
      <c r="AA43" s="116"/>
      <c r="AB43" s="116"/>
      <c r="AC43" s="116"/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/>
      <c r="AK43" s="116"/>
      <c r="AL43" s="116"/>
      <c r="AM43" s="116"/>
      <c r="AN43" s="116"/>
      <c r="AO43" s="116">
        <v>0</v>
      </c>
      <c r="AP43" s="116">
        <v>0</v>
      </c>
      <c r="AQ43" s="116">
        <v>0</v>
      </c>
      <c r="AR43" s="116">
        <v>0</v>
      </c>
      <c r="AS43" s="116"/>
      <c r="AT43" s="116"/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</row>
    <row r="44" spans="1:51" x14ac:dyDescent="0.2">
      <c r="A44" s="119"/>
      <c r="B44" s="140">
        <v>12</v>
      </c>
      <c r="C44" s="138" t="s">
        <v>295</v>
      </c>
      <c r="D44" s="116">
        <v>0</v>
      </c>
      <c r="E44" s="116">
        <v>0</v>
      </c>
      <c r="F44" s="116">
        <v>0</v>
      </c>
      <c r="G44" s="116">
        <v>0</v>
      </c>
      <c r="H44" s="116">
        <v>0</v>
      </c>
      <c r="I44" s="116">
        <v>0</v>
      </c>
      <c r="J44" s="116">
        <v>0</v>
      </c>
      <c r="K44" s="116">
        <v>0</v>
      </c>
      <c r="L44" s="116">
        <v>0</v>
      </c>
      <c r="M44" s="116">
        <v>0</v>
      </c>
      <c r="N44" s="116">
        <v>0</v>
      </c>
      <c r="O44" s="116">
        <v>0</v>
      </c>
      <c r="P44" s="116">
        <v>0</v>
      </c>
      <c r="Q44" s="116">
        <v>0</v>
      </c>
      <c r="R44" s="116">
        <v>0</v>
      </c>
      <c r="S44" s="116">
        <v>0</v>
      </c>
      <c r="T44" s="116">
        <v>0</v>
      </c>
      <c r="U44" s="116">
        <v>0</v>
      </c>
      <c r="V44" s="116">
        <v>0</v>
      </c>
      <c r="W44" s="116">
        <v>0</v>
      </c>
      <c r="X44" s="116">
        <v>0</v>
      </c>
      <c r="Y44" s="116">
        <v>0</v>
      </c>
      <c r="Z44" s="116">
        <v>0</v>
      </c>
      <c r="AA44" s="116">
        <v>0</v>
      </c>
      <c r="AB44" s="116">
        <v>0</v>
      </c>
      <c r="AC44" s="116">
        <v>0</v>
      </c>
      <c r="AD44" s="116">
        <v>0</v>
      </c>
      <c r="AE44" s="116">
        <v>0</v>
      </c>
      <c r="AF44" s="116">
        <v>0</v>
      </c>
      <c r="AG44" s="116">
        <v>0</v>
      </c>
      <c r="AH44" s="116">
        <v>0</v>
      </c>
      <c r="AI44" s="116">
        <v>0</v>
      </c>
      <c r="AJ44" s="116">
        <v>0</v>
      </c>
      <c r="AK44" s="116">
        <v>0</v>
      </c>
      <c r="AL44" s="116">
        <v>0</v>
      </c>
      <c r="AM44" s="116">
        <v>0</v>
      </c>
      <c r="AN44" s="116">
        <v>0</v>
      </c>
      <c r="AO44" s="116">
        <v>0</v>
      </c>
      <c r="AP44" s="116">
        <v>0</v>
      </c>
      <c r="AQ44" s="116">
        <v>0</v>
      </c>
      <c r="AR44" s="116">
        <v>0</v>
      </c>
      <c r="AS44" s="116">
        <v>0</v>
      </c>
      <c r="AT44" s="116">
        <v>0</v>
      </c>
      <c r="AU44" s="116">
        <v>0</v>
      </c>
      <c r="AV44" s="116">
        <v>0</v>
      </c>
      <c r="AW44" s="116">
        <v>0</v>
      </c>
      <c r="AX44" s="116">
        <v>0</v>
      </c>
      <c r="AY44" s="116">
        <v>0</v>
      </c>
    </row>
    <row r="45" spans="1:51" x14ac:dyDescent="0.2">
      <c r="A45" s="136" t="s">
        <v>123</v>
      </c>
      <c r="B45" s="133">
        <v>1</v>
      </c>
      <c r="C45" s="119" t="s">
        <v>295</v>
      </c>
      <c r="D45" s="134"/>
      <c r="E45" s="134"/>
      <c r="F45" s="134"/>
      <c r="G45" s="134"/>
      <c r="H45" s="134"/>
      <c r="I45" s="134"/>
      <c r="J45" s="134"/>
      <c r="K45" s="134"/>
      <c r="L45" s="134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  <c r="AA45" s="134"/>
      <c r="AB45" s="134"/>
      <c r="AC45" s="134"/>
      <c r="AD45" s="134"/>
      <c r="AE45" s="134"/>
      <c r="AF45" s="134"/>
      <c r="AG45" s="134"/>
      <c r="AH45" s="134"/>
      <c r="AI45" s="134"/>
      <c r="AJ45" s="134"/>
      <c r="AK45" s="134"/>
      <c r="AL45" s="134"/>
      <c r="AM45" s="134"/>
      <c r="AN45" s="134"/>
      <c r="AO45" s="134"/>
      <c r="AP45" s="134"/>
      <c r="AQ45" s="134"/>
      <c r="AR45" s="134"/>
      <c r="AS45" s="134"/>
      <c r="AT45" s="134"/>
      <c r="AU45" s="134"/>
      <c r="AV45" s="134"/>
      <c r="AW45" s="134"/>
      <c r="AX45" s="134"/>
      <c r="AY45" s="134"/>
    </row>
    <row r="46" spans="1:51" x14ac:dyDescent="0.2">
      <c r="A46" s="119"/>
      <c r="B46" s="129">
        <v>2</v>
      </c>
      <c r="C46" s="119" t="s">
        <v>295</v>
      </c>
      <c r="D46" s="120"/>
      <c r="E46" s="120"/>
      <c r="F46" s="120"/>
      <c r="G46" s="120"/>
      <c r="H46" s="120"/>
      <c r="I46" s="120"/>
      <c r="J46" s="120"/>
      <c r="K46" s="120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120"/>
      <c r="AF46" s="120"/>
      <c r="AG46" s="120"/>
      <c r="AH46" s="120"/>
      <c r="AI46" s="120"/>
      <c r="AJ46" s="120"/>
      <c r="AK46" s="120"/>
      <c r="AL46" s="120"/>
      <c r="AM46" s="120"/>
      <c r="AN46" s="120"/>
      <c r="AO46" s="120"/>
      <c r="AP46" s="120"/>
      <c r="AQ46" s="120"/>
      <c r="AR46" s="120"/>
      <c r="AS46" s="120"/>
      <c r="AT46" s="120"/>
      <c r="AU46" s="120"/>
      <c r="AV46" s="120"/>
      <c r="AW46" s="120"/>
      <c r="AX46" s="120"/>
      <c r="AY46" s="120"/>
    </row>
    <row r="47" spans="1:51" x14ac:dyDescent="0.2">
      <c r="A47" s="119"/>
      <c r="B47" s="129">
        <v>3</v>
      </c>
      <c r="C47" s="119" t="s">
        <v>295</v>
      </c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  <c r="AK47" s="120"/>
      <c r="AL47" s="120"/>
      <c r="AM47" s="120"/>
      <c r="AN47" s="120"/>
      <c r="AO47" s="120"/>
      <c r="AP47" s="120"/>
      <c r="AQ47" s="120"/>
      <c r="AR47" s="120"/>
      <c r="AS47" s="120"/>
      <c r="AT47" s="120"/>
      <c r="AU47" s="120"/>
      <c r="AV47" s="120"/>
      <c r="AW47" s="120"/>
      <c r="AX47" s="120"/>
      <c r="AY47" s="120"/>
    </row>
    <row r="48" spans="1:51" x14ac:dyDescent="0.2">
      <c r="A48" s="119"/>
      <c r="B48" s="129">
        <v>4</v>
      </c>
      <c r="C48" s="119" t="s">
        <v>295</v>
      </c>
      <c r="D48" s="120"/>
      <c r="E48" s="120"/>
      <c r="F48" s="120"/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120"/>
      <c r="AG48" s="120"/>
      <c r="AH48" s="120"/>
      <c r="AI48" s="120"/>
      <c r="AJ48" s="120"/>
      <c r="AK48" s="120"/>
      <c r="AL48" s="120"/>
      <c r="AM48" s="120"/>
      <c r="AN48" s="120"/>
      <c r="AO48" s="120"/>
      <c r="AP48" s="120"/>
      <c r="AQ48" s="120"/>
      <c r="AR48" s="120"/>
      <c r="AS48" s="120"/>
      <c r="AT48" s="120"/>
      <c r="AU48" s="120"/>
      <c r="AV48" s="120"/>
      <c r="AW48" s="120"/>
      <c r="AX48" s="120"/>
      <c r="AY48" s="120"/>
    </row>
    <row r="49" spans="1:51" x14ac:dyDescent="0.2">
      <c r="A49" s="119"/>
      <c r="B49" s="129">
        <v>5</v>
      </c>
      <c r="C49" s="119" t="s">
        <v>295</v>
      </c>
      <c r="D49" s="120"/>
      <c r="E49" s="120"/>
      <c r="F49" s="120"/>
      <c r="G49" s="120"/>
      <c r="H49" s="120"/>
      <c r="I49" s="120"/>
      <c r="J49" s="120"/>
      <c r="K49" s="120"/>
      <c r="L49" s="120"/>
      <c r="M49" s="120"/>
      <c r="N49" s="120"/>
      <c r="O49" s="120"/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  <c r="AM49" s="120"/>
      <c r="AN49" s="120"/>
      <c r="AO49" s="120"/>
      <c r="AP49" s="120"/>
      <c r="AQ49" s="120"/>
      <c r="AR49" s="120"/>
      <c r="AS49" s="120"/>
      <c r="AT49" s="120"/>
      <c r="AU49" s="120"/>
      <c r="AV49" s="120"/>
      <c r="AW49" s="120"/>
      <c r="AX49" s="120"/>
      <c r="AY49" s="120"/>
    </row>
    <row r="50" spans="1:51" x14ac:dyDescent="0.2">
      <c r="A50" s="119"/>
      <c r="B50" s="129">
        <v>6</v>
      </c>
      <c r="C50" s="119" t="s">
        <v>295</v>
      </c>
      <c r="D50" s="120"/>
      <c r="E50" s="120"/>
      <c r="F50" s="120"/>
      <c r="G50" s="120"/>
      <c r="H50" s="120"/>
      <c r="I50" s="120"/>
      <c r="J50" s="120"/>
      <c r="K50" s="120"/>
      <c r="L50" s="120"/>
      <c r="M50" s="120"/>
      <c r="N50" s="120"/>
      <c r="O50" s="120"/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</row>
    <row r="51" spans="1:51" x14ac:dyDescent="0.2">
      <c r="A51" s="119"/>
      <c r="B51" s="129">
        <v>7</v>
      </c>
      <c r="C51" s="119" t="s">
        <v>295</v>
      </c>
      <c r="D51" s="120"/>
      <c r="E51" s="120"/>
      <c r="F51" s="120"/>
      <c r="G51" s="120"/>
      <c r="H51" s="120"/>
      <c r="I51" s="120"/>
      <c r="J51" s="120"/>
      <c r="K51" s="120"/>
      <c r="L51" s="120"/>
      <c r="M51" s="120"/>
      <c r="N51" s="120"/>
      <c r="O51" s="120"/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</row>
    <row r="52" spans="1:51" x14ac:dyDescent="0.2">
      <c r="A52" s="119"/>
      <c r="B52" s="129">
        <v>8</v>
      </c>
      <c r="C52" s="119" t="s">
        <v>295</v>
      </c>
      <c r="D52" s="120"/>
      <c r="E52" s="120"/>
      <c r="F52" s="120"/>
      <c r="G52" s="120"/>
      <c r="H52" s="120"/>
      <c r="I52" s="120"/>
      <c r="J52" s="120"/>
      <c r="K52" s="120"/>
      <c r="L52" s="120"/>
      <c r="M52" s="120"/>
      <c r="N52" s="120"/>
      <c r="O52" s="120"/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  <c r="AM52" s="120"/>
      <c r="AN52" s="120"/>
      <c r="AO52" s="120"/>
      <c r="AP52" s="120"/>
      <c r="AQ52" s="120"/>
      <c r="AR52" s="120"/>
      <c r="AS52" s="120"/>
      <c r="AT52" s="120"/>
      <c r="AU52" s="120"/>
      <c r="AV52" s="120"/>
      <c r="AW52" s="120"/>
      <c r="AX52" s="120"/>
      <c r="AY52" s="120"/>
    </row>
    <row r="53" spans="1:51" x14ac:dyDescent="0.2">
      <c r="A53" s="119"/>
      <c r="B53" s="129">
        <v>9</v>
      </c>
      <c r="C53" s="119" t="s">
        <v>295</v>
      </c>
      <c r="D53" s="120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</row>
    <row r="54" spans="1:51" x14ac:dyDescent="0.2">
      <c r="A54" s="119"/>
      <c r="B54" s="129">
        <v>10</v>
      </c>
      <c r="C54" s="119" t="s">
        <v>295</v>
      </c>
      <c r="D54" s="120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120"/>
      <c r="T54" s="120"/>
      <c r="U54" s="120"/>
      <c r="V54" s="120"/>
      <c r="W54" s="120"/>
      <c r="X54" s="120"/>
      <c r="Y54" s="120"/>
      <c r="Z54" s="120"/>
      <c r="AA54" s="120"/>
      <c r="AB54" s="120"/>
      <c r="AC54" s="120"/>
      <c r="AD54" s="120"/>
      <c r="AE54" s="120"/>
      <c r="AF54" s="120"/>
      <c r="AG54" s="120"/>
      <c r="AH54" s="120"/>
      <c r="AI54" s="120"/>
      <c r="AJ54" s="120"/>
      <c r="AK54" s="120"/>
      <c r="AL54" s="120"/>
      <c r="AM54" s="120"/>
      <c r="AN54" s="120"/>
      <c r="AO54" s="120"/>
      <c r="AP54" s="120"/>
      <c r="AQ54" s="120"/>
      <c r="AR54" s="120"/>
      <c r="AS54" s="120"/>
      <c r="AT54" s="120"/>
      <c r="AU54" s="120"/>
      <c r="AV54" s="120"/>
      <c r="AW54" s="120"/>
      <c r="AX54" s="120"/>
      <c r="AY54" s="120"/>
    </row>
    <row r="55" spans="1:51" x14ac:dyDescent="0.2">
      <c r="A55" s="119"/>
      <c r="B55" s="129">
        <v>11</v>
      </c>
      <c r="C55" s="119" t="s">
        <v>295</v>
      </c>
      <c r="D55" s="120"/>
      <c r="E55" s="120"/>
      <c r="F55" s="120"/>
      <c r="G55" s="120"/>
      <c r="H55" s="120"/>
      <c r="I55" s="120"/>
      <c r="J55" s="120"/>
      <c r="K55" s="120"/>
      <c r="L55" s="120"/>
      <c r="M55" s="120"/>
      <c r="N55" s="120"/>
      <c r="O55" s="120"/>
      <c r="P55" s="120"/>
      <c r="Q55" s="120"/>
      <c r="R55" s="120"/>
      <c r="S55" s="120"/>
      <c r="T55" s="120"/>
      <c r="U55" s="120"/>
      <c r="V55" s="120"/>
      <c r="W55" s="120"/>
      <c r="X55" s="120"/>
      <c r="Y55" s="120"/>
      <c r="Z55" s="120"/>
      <c r="AA55" s="120"/>
      <c r="AB55" s="120"/>
      <c r="AC55" s="120"/>
      <c r="AD55" s="120"/>
      <c r="AE55" s="120"/>
      <c r="AF55" s="120"/>
      <c r="AG55" s="120"/>
      <c r="AH55" s="120"/>
      <c r="AI55" s="120"/>
      <c r="AJ55" s="120"/>
      <c r="AK55" s="120"/>
      <c r="AL55" s="120"/>
      <c r="AM55" s="120"/>
      <c r="AN55" s="120"/>
      <c r="AO55" s="120"/>
      <c r="AP55" s="120"/>
      <c r="AQ55" s="120"/>
      <c r="AR55" s="120"/>
      <c r="AS55" s="120"/>
      <c r="AT55" s="120"/>
      <c r="AU55" s="120"/>
      <c r="AV55" s="120"/>
      <c r="AW55" s="120"/>
      <c r="AX55" s="120"/>
      <c r="AY55" s="120"/>
    </row>
    <row r="56" spans="1:51" x14ac:dyDescent="0.2">
      <c r="A56" s="119"/>
      <c r="B56" s="129">
        <v>12</v>
      </c>
      <c r="C56" s="119" t="s">
        <v>295</v>
      </c>
      <c r="D56" s="120"/>
      <c r="E56" s="120"/>
      <c r="F56" s="120"/>
      <c r="G56" s="120"/>
      <c r="H56" s="120"/>
      <c r="I56" s="120"/>
      <c r="J56" s="120"/>
      <c r="K56" s="120"/>
      <c r="L56" s="120"/>
      <c r="M56" s="120"/>
      <c r="N56" s="120"/>
      <c r="O56" s="120"/>
      <c r="P56" s="120"/>
      <c r="Q56" s="120"/>
      <c r="R56" s="120"/>
      <c r="S56" s="120"/>
      <c r="T56" s="120"/>
      <c r="U56" s="120"/>
      <c r="V56" s="120"/>
      <c r="W56" s="120"/>
      <c r="X56" s="120"/>
      <c r="Y56" s="120"/>
      <c r="Z56" s="120"/>
      <c r="AA56" s="120"/>
      <c r="AB56" s="120"/>
      <c r="AC56" s="120"/>
      <c r="AD56" s="120"/>
      <c r="AE56" s="120"/>
      <c r="AF56" s="120"/>
      <c r="AG56" s="120"/>
      <c r="AH56" s="120"/>
      <c r="AI56" s="120"/>
      <c r="AJ56" s="120"/>
      <c r="AK56" s="120"/>
      <c r="AL56" s="120"/>
      <c r="AM56" s="120"/>
      <c r="AN56" s="120"/>
      <c r="AO56" s="120"/>
      <c r="AP56" s="120"/>
      <c r="AQ56" s="120"/>
      <c r="AR56" s="120"/>
      <c r="AS56" s="120"/>
      <c r="AT56" s="120"/>
      <c r="AU56" s="120"/>
      <c r="AV56" s="120"/>
      <c r="AW56" s="120"/>
      <c r="AX56" s="120"/>
      <c r="AY56" s="120"/>
    </row>
    <row r="57" spans="1:51" x14ac:dyDescent="0.2">
      <c r="A57" s="119"/>
      <c r="B57" s="130">
        <v>13</v>
      </c>
      <c r="C57" s="119" t="s">
        <v>295</v>
      </c>
      <c r="D57" s="120"/>
      <c r="E57" s="120"/>
      <c r="F57" s="120"/>
      <c r="G57" s="120"/>
      <c r="H57" s="120"/>
      <c r="I57" s="120"/>
      <c r="J57" s="120"/>
      <c r="K57" s="120"/>
      <c r="L57" s="120"/>
      <c r="M57" s="120"/>
      <c r="N57" s="120"/>
      <c r="O57" s="120"/>
      <c r="P57" s="120"/>
      <c r="Q57" s="120"/>
      <c r="R57" s="120"/>
      <c r="S57" s="120"/>
      <c r="T57" s="120"/>
      <c r="U57" s="120"/>
      <c r="V57" s="120"/>
      <c r="W57" s="120"/>
      <c r="X57" s="120"/>
      <c r="Y57" s="120"/>
      <c r="Z57" s="120"/>
      <c r="AA57" s="120"/>
      <c r="AB57" s="120"/>
      <c r="AC57" s="120"/>
      <c r="AD57" s="120"/>
      <c r="AE57" s="120"/>
      <c r="AF57" s="120"/>
      <c r="AG57" s="120"/>
      <c r="AH57" s="120"/>
      <c r="AI57" s="120"/>
      <c r="AJ57" s="120"/>
      <c r="AK57" s="120"/>
      <c r="AL57" s="120"/>
      <c r="AM57" s="120"/>
      <c r="AN57" s="120"/>
      <c r="AO57" s="120"/>
      <c r="AP57" s="120"/>
      <c r="AQ57" s="120"/>
      <c r="AR57" s="120"/>
      <c r="AS57" s="120"/>
      <c r="AT57" s="120"/>
      <c r="AU57" s="120"/>
      <c r="AV57" s="120"/>
      <c r="AW57" s="120"/>
      <c r="AX57" s="120"/>
      <c r="AY57" s="120"/>
    </row>
    <row r="58" spans="1:51" x14ac:dyDescent="0.2">
      <c r="A58" s="119"/>
      <c r="B58" s="130">
        <v>14</v>
      </c>
      <c r="C58" s="119" t="s">
        <v>295</v>
      </c>
      <c r="D58" s="120"/>
      <c r="E58" s="120"/>
      <c r="F58" s="120"/>
      <c r="G58" s="120"/>
      <c r="H58" s="120"/>
      <c r="I58" s="120"/>
      <c r="J58" s="120"/>
      <c r="K58" s="120"/>
      <c r="L58" s="120"/>
      <c r="M58" s="120"/>
      <c r="N58" s="120"/>
      <c r="O58" s="120"/>
      <c r="P58" s="120"/>
      <c r="Q58" s="120"/>
      <c r="R58" s="120"/>
      <c r="S58" s="120"/>
      <c r="T58" s="120"/>
      <c r="U58" s="120"/>
      <c r="V58" s="120"/>
      <c r="W58" s="120"/>
      <c r="X58" s="120"/>
      <c r="Y58" s="120"/>
      <c r="Z58" s="120"/>
      <c r="AA58" s="120"/>
      <c r="AB58" s="120"/>
      <c r="AC58" s="120"/>
      <c r="AD58" s="120"/>
      <c r="AE58" s="120"/>
      <c r="AF58" s="120"/>
      <c r="AG58" s="120"/>
      <c r="AH58" s="120"/>
      <c r="AI58" s="120"/>
      <c r="AJ58" s="120"/>
      <c r="AK58" s="120"/>
      <c r="AL58" s="120"/>
      <c r="AM58" s="120"/>
      <c r="AN58" s="120"/>
      <c r="AO58" s="120"/>
      <c r="AP58" s="120"/>
      <c r="AQ58" s="120"/>
      <c r="AR58" s="120"/>
      <c r="AS58" s="120"/>
      <c r="AT58" s="120"/>
      <c r="AU58" s="120"/>
      <c r="AV58" s="120"/>
      <c r="AW58" s="120"/>
      <c r="AX58" s="120"/>
      <c r="AY58" s="120"/>
    </row>
    <row r="59" spans="1:51" x14ac:dyDescent="0.2">
      <c r="A59" s="119"/>
      <c r="B59" s="130">
        <v>15</v>
      </c>
      <c r="C59" s="119" t="s">
        <v>295</v>
      </c>
      <c r="D59" s="120"/>
      <c r="E59" s="120"/>
      <c r="F59" s="120"/>
      <c r="G59" s="120"/>
      <c r="H59" s="120"/>
      <c r="I59" s="120"/>
      <c r="J59" s="120"/>
      <c r="K59" s="120"/>
      <c r="L59" s="120"/>
      <c r="M59" s="120"/>
      <c r="N59" s="120"/>
      <c r="O59" s="120"/>
      <c r="P59" s="120"/>
      <c r="Q59" s="120"/>
      <c r="R59" s="120"/>
      <c r="S59" s="120"/>
      <c r="T59" s="120"/>
      <c r="U59" s="120"/>
      <c r="V59" s="120"/>
      <c r="W59" s="120"/>
      <c r="X59" s="120"/>
      <c r="Y59" s="120"/>
      <c r="Z59" s="120"/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  <c r="AO59" s="120"/>
      <c r="AP59" s="120"/>
      <c r="AQ59" s="120"/>
      <c r="AR59" s="120"/>
      <c r="AS59" s="120"/>
      <c r="AT59" s="120"/>
      <c r="AU59" s="120"/>
      <c r="AV59" s="120"/>
      <c r="AW59" s="120"/>
      <c r="AX59" s="120"/>
      <c r="AY59" s="120"/>
    </row>
    <row r="60" spans="1:51" x14ac:dyDescent="0.2">
      <c r="A60" s="119"/>
      <c r="B60" s="130">
        <v>16</v>
      </c>
      <c r="C60" s="119" t="s">
        <v>295</v>
      </c>
      <c r="D60" s="120"/>
      <c r="E60" s="120"/>
      <c r="F60" s="120"/>
      <c r="G60" s="120"/>
      <c r="H60" s="120"/>
      <c r="I60" s="120"/>
      <c r="J60" s="120"/>
      <c r="K60" s="120"/>
      <c r="L60" s="120"/>
      <c r="M60" s="120"/>
      <c r="N60" s="120"/>
      <c r="O60" s="120"/>
      <c r="P60" s="120"/>
      <c r="Q60" s="120"/>
      <c r="R60" s="120"/>
      <c r="S60" s="120"/>
      <c r="T60" s="120"/>
      <c r="U60" s="120"/>
      <c r="V60" s="120"/>
      <c r="W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AQ60" s="120"/>
      <c r="AR60" s="120"/>
      <c r="AS60" s="120"/>
      <c r="AT60" s="120"/>
      <c r="AU60" s="120"/>
      <c r="AV60" s="120"/>
      <c r="AW60" s="120"/>
      <c r="AX60" s="120"/>
      <c r="AY60" s="120"/>
    </row>
    <row r="61" spans="1:51" x14ac:dyDescent="0.2">
      <c r="A61" s="119"/>
      <c r="B61" s="130">
        <v>17</v>
      </c>
      <c r="C61" s="119" t="s">
        <v>295</v>
      </c>
      <c r="D61" s="120"/>
      <c r="E61" s="120"/>
      <c r="F61" s="120"/>
      <c r="G61" s="120"/>
      <c r="H61" s="120"/>
      <c r="I61" s="120"/>
      <c r="J61" s="120"/>
      <c r="K61" s="120"/>
      <c r="L61" s="120"/>
      <c r="M61" s="120"/>
      <c r="N61" s="120"/>
      <c r="O61" s="120"/>
      <c r="P61" s="120"/>
      <c r="Q61" s="120"/>
      <c r="R61" s="120"/>
      <c r="S61" s="120"/>
      <c r="T61" s="120"/>
      <c r="U61" s="120"/>
      <c r="V61" s="120"/>
      <c r="W61" s="120"/>
      <c r="X61" s="120"/>
      <c r="Y61" s="120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AQ61" s="120"/>
      <c r="AR61" s="120"/>
      <c r="AS61" s="120"/>
      <c r="AT61" s="120"/>
      <c r="AU61" s="120"/>
      <c r="AV61" s="120"/>
      <c r="AW61" s="120"/>
      <c r="AX61" s="120"/>
      <c r="AY61" s="120"/>
    </row>
    <row r="62" spans="1:51" x14ac:dyDescent="0.2">
      <c r="A62" s="119"/>
      <c r="B62" s="130">
        <v>18</v>
      </c>
      <c r="C62" s="119" t="s">
        <v>295</v>
      </c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20"/>
      <c r="S62" s="120"/>
      <c r="T62" s="120"/>
      <c r="U62" s="120"/>
      <c r="V62" s="120"/>
      <c r="W62" s="120"/>
      <c r="X62" s="120"/>
      <c r="Y62" s="120"/>
      <c r="Z62" s="120"/>
      <c r="AA62" s="120"/>
      <c r="AB62" s="120"/>
      <c r="AC62" s="120"/>
      <c r="AD62" s="120"/>
      <c r="AE62" s="120"/>
      <c r="AF62" s="120"/>
      <c r="AG62" s="120"/>
      <c r="AH62" s="120"/>
      <c r="AI62" s="120"/>
      <c r="AJ62" s="120"/>
      <c r="AK62" s="120"/>
      <c r="AL62" s="120"/>
      <c r="AM62" s="120"/>
      <c r="AN62" s="120"/>
      <c r="AO62" s="120"/>
      <c r="AP62" s="120"/>
      <c r="AQ62" s="120"/>
      <c r="AR62" s="120"/>
      <c r="AS62" s="120"/>
      <c r="AT62" s="120"/>
      <c r="AU62" s="120"/>
      <c r="AV62" s="120"/>
      <c r="AW62" s="120"/>
      <c r="AX62" s="120"/>
      <c r="AY62" s="120"/>
    </row>
    <row r="63" spans="1:51" x14ac:dyDescent="0.2">
      <c r="A63" s="119"/>
      <c r="B63" s="130">
        <v>19</v>
      </c>
      <c r="C63" s="119" t="s">
        <v>295</v>
      </c>
      <c r="D63" s="120"/>
      <c r="E63" s="120"/>
      <c r="F63" s="120"/>
      <c r="G63" s="120"/>
      <c r="H63" s="120"/>
      <c r="I63" s="120"/>
      <c r="J63" s="120"/>
      <c r="K63" s="120"/>
      <c r="L63" s="120"/>
      <c r="M63" s="120"/>
      <c r="N63" s="120"/>
      <c r="O63" s="120"/>
      <c r="P63" s="120"/>
      <c r="Q63" s="120"/>
      <c r="R63" s="120"/>
      <c r="S63" s="120"/>
      <c r="T63" s="120"/>
      <c r="U63" s="120"/>
      <c r="V63" s="120"/>
      <c r="W63" s="120"/>
      <c r="X63" s="120"/>
      <c r="Y63" s="120"/>
      <c r="Z63" s="120"/>
      <c r="AA63" s="120"/>
      <c r="AB63" s="120"/>
      <c r="AC63" s="120"/>
      <c r="AD63" s="120"/>
      <c r="AE63" s="120"/>
      <c r="AF63" s="120"/>
      <c r="AG63" s="120"/>
      <c r="AH63" s="120"/>
      <c r="AI63" s="120"/>
      <c r="AJ63" s="120"/>
      <c r="AK63" s="120"/>
      <c r="AL63" s="120"/>
      <c r="AM63" s="120"/>
      <c r="AN63" s="120"/>
      <c r="AO63" s="120"/>
      <c r="AP63" s="120"/>
      <c r="AQ63" s="120"/>
      <c r="AR63" s="120"/>
      <c r="AS63" s="120"/>
      <c r="AT63" s="120"/>
      <c r="AU63" s="120"/>
      <c r="AV63" s="120"/>
      <c r="AW63" s="120"/>
      <c r="AX63" s="120"/>
      <c r="AY63" s="120"/>
    </row>
    <row r="64" spans="1:51" x14ac:dyDescent="0.2">
      <c r="A64" s="119"/>
      <c r="B64" s="130">
        <v>20</v>
      </c>
      <c r="C64" s="119" t="s">
        <v>295</v>
      </c>
      <c r="D64" s="120"/>
      <c r="E64" s="120"/>
      <c r="F64" s="120"/>
      <c r="G64" s="120"/>
      <c r="H64" s="120"/>
      <c r="I64" s="120"/>
      <c r="J64" s="120"/>
      <c r="K64" s="120"/>
      <c r="L64" s="120"/>
      <c r="M64" s="120"/>
      <c r="N64" s="120"/>
      <c r="O64" s="120"/>
      <c r="P64" s="120"/>
      <c r="Q64" s="120"/>
      <c r="R64" s="120"/>
      <c r="S64" s="120"/>
      <c r="T64" s="120"/>
      <c r="U64" s="120"/>
      <c r="V64" s="120"/>
      <c r="W64" s="120"/>
      <c r="X64" s="120"/>
      <c r="Y64" s="120"/>
      <c r="Z64" s="120"/>
      <c r="AA64" s="120"/>
      <c r="AB64" s="120"/>
      <c r="AC64" s="120"/>
      <c r="AD64" s="120"/>
      <c r="AE64" s="120"/>
      <c r="AF64" s="120"/>
      <c r="AG64" s="120"/>
      <c r="AH64" s="120"/>
      <c r="AI64" s="120"/>
      <c r="AJ64" s="120"/>
      <c r="AK64" s="120"/>
      <c r="AL64" s="120"/>
      <c r="AM64" s="120"/>
      <c r="AN64" s="120"/>
      <c r="AO64" s="120"/>
      <c r="AP64" s="120"/>
      <c r="AQ64" s="120"/>
      <c r="AR64" s="120"/>
      <c r="AS64" s="120"/>
      <c r="AT64" s="120"/>
      <c r="AU64" s="120"/>
      <c r="AV64" s="120"/>
      <c r="AW64" s="120"/>
      <c r="AX64" s="120"/>
      <c r="AY64" s="120"/>
    </row>
    <row r="65" spans="1:51" x14ac:dyDescent="0.2">
      <c r="A65" s="119"/>
      <c r="B65" s="130">
        <v>21</v>
      </c>
      <c r="C65" s="119" t="s">
        <v>295</v>
      </c>
      <c r="D65" s="120"/>
      <c r="E65" s="120"/>
      <c r="F65" s="120"/>
      <c r="G65" s="120"/>
      <c r="H65" s="120"/>
      <c r="I65" s="120"/>
      <c r="J65" s="120"/>
      <c r="K65" s="120"/>
      <c r="L65" s="120"/>
      <c r="M65" s="120"/>
      <c r="N65" s="120"/>
      <c r="O65" s="120"/>
      <c r="P65" s="120"/>
      <c r="Q65" s="120"/>
      <c r="R65" s="120"/>
      <c r="S65" s="120"/>
      <c r="T65" s="120"/>
      <c r="U65" s="120"/>
      <c r="V65" s="120"/>
      <c r="W65" s="120"/>
      <c r="X65" s="120"/>
      <c r="Y65" s="120"/>
      <c r="Z65" s="120"/>
      <c r="AA65" s="120"/>
      <c r="AB65" s="120"/>
      <c r="AC65" s="120"/>
      <c r="AD65" s="120"/>
      <c r="AE65" s="120"/>
      <c r="AF65" s="120"/>
      <c r="AG65" s="120"/>
      <c r="AH65" s="120"/>
      <c r="AI65" s="120"/>
      <c r="AJ65" s="120"/>
      <c r="AK65" s="120"/>
      <c r="AL65" s="120"/>
      <c r="AM65" s="120"/>
      <c r="AN65" s="120"/>
      <c r="AO65" s="120"/>
      <c r="AP65" s="120"/>
      <c r="AQ65" s="120"/>
      <c r="AR65" s="120"/>
      <c r="AS65" s="120"/>
      <c r="AT65" s="120"/>
      <c r="AU65" s="120"/>
      <c r="AV65" s="120"/>
      <c r="AW65" s="120"/>
      <c r="AX65" s="120"/>
      <c r="AY65" s="120"/>
    </row>
    <row r="66" spans="1:51" x14ac:dyDescent="0.2">
      <c r="A66" s="119"/>
      <c r="B66" s="130">
        <v>22</v>
      </c>
      <c r="C66" s="119" t="s">
        <v>295</v>
      </c>
      <c r="D66" s="120"/>
      <c r="E66" s="120"/>
      <c r="F66" s="120"/>
      <c r="G66" s="120"/>
      <c r="H66" s="120"/>
      <c r="I66" s="120"/>
      <c r="J66" s="120"/>
      <c r="K66" s="120"/>
      <c r="L66" s="120"/>
      <c r="M66" s="120"/>
      <c r="N66" s="120"/>
      <c r="O66" s="120"/>
      <c r="P66" s="120"/>
      <c r="Q66" s="120"/>
      <c r="R66" s="120"/>
      <c r="S66" s="120"/>
      <c r="T66" s="120"/>
      <c r="U66" s="120"/>
      <c r="V66" s="120"/>
      <c r="W66" s="120"/>
      <c r="X66" s="120"/>
      <c r="Y66" s="120"/>
      <c r="Z66" s="120"/>
      <c r="AA66" s="120"/>
      <c r="AB66" s="120"/>
      <c r="AC66" s="120"/>
      <c r="AD66" s="120"/>
      <c r="AE66" s="120"/>
      <c r="AF66" s="120"/>
      <c r="AG66" s="120"/>
      <c r="AH66" s="120"/>
      <c r="AI66" s="120"/>
      <c r="AJ66" s="120"/>
      <c r="AK66" s="120"/>
      <c r="AL66" s="120"/>
      <c r="AM66" s="120"/>
      <c r="AN66" s="120"/>
      <c r="AO66" s="120"/>
      <c r="AP66" s="120"/>
      <c r="AQ66" s="120"/>
      <c r="AR66" s="120"/>
      <c r="AS66" s="120"/>
      <c r="AT66" s="120"/>
      <c r="AU66" s="120"/>
      <c r="AV66" s="120"/>
      <c r="AW66" s="120"/>
      <c r="AX66" s="120"/>
      <c r="AY66" s="120"/>
    </row>
    <row r="67" spans="1:51" x14ac:dyDescent="0.2">
      <c r="A67" s="119"/>
      <c r="B67" s="130">
        <v>23</v>
      </c>
      <c r="C67" s="119" t="s">
        <v>295</v>
      </c>
      <c r="D67" s="120"/>
      <c r="E67" s="120"/>
      <c r="F67" s="120"/>
      <c r="G67" s="120"/>
      <c r="H67" s="120"/>
      <c r="I67" s="120"/>
      <c r="J67" s="120"/>
      <c r="K67" s="120"/>
      <c r="L67" s="120"/>
      <c r="M67" s="120"/>
      <c r="N67" s="120"/>
      <c r="O67" s="120"/>
      <c r="P67" s="120"/>
      <c r="Q67" s="120"/>
      <c r="R67" s="120"/>
      <c r="S67" s="120"/>
      <c r="T67" s="120"/>
      <c r="U67" s="120"/>
      <c r="V67" s="120"/>
      <c r="W67" s="120"/>
      <c r="X67" s="120"/>
      <c r="Y67" s="120"/>
      <c r="Z67" s="120"/>
      <c r="AA67" s="120"/>
      <c r="AB67" s="120"/>
      <c r="AC67" s="120"/>
      <c r="AD67" s="120"/>
      <c r="AE67" s="120"/>
      <c r="AF67" s="120"/>
      <c r="AG67" s="120"/>
      <c r="AH67" s="120"/>
      <c r="AI67" s="120"/>
      <c r="AJ67" s="120"/>
      <c r="AK67" s="120"/>
      <c r="AL67" s="120"/>
      <c r="AM67" s="120"/>
      <c r="AN67" s="120"/>
      <c r="AO67" s="120"/>
      <c r="AP67" s="120"/>
      <c r="AQ67" s="120"/>
      <c r="AR67" s="120"/>
      <c r="AS67" s="120"/>
      <c r="AT67" s="120"/>
      <c r="AU67" s="120"/>
      <c r="AV67" s="120"/>
      <c r="AW67" s="120"/>
      <c r="AX67" s="120"/>
      <c r="AY67" s="120"/>
    </row>
    <row r="68" spans="1:51" x14ac:dyDescent="0.2">
      <c r="A68" s="119"/>
      <c r="B68" s="130">
        <v>24</v>
      </c>
      <c r="C68" s="119" t="s">
        <v>295</v>
      </c>
      <c r="D68" s="120"/>
      <c r="E68" s="120"/>
      <c r="F68" s="120"/>
      <c r="G68" s="120"/>
      <c r="H68" s="120"/>
      <c r="I68" s="120"/>
      <c r="J68" s="120"/>
      <c r="K68" s="120"/>
      <c r="L68" s="120"/>
      <c r="M68" s="120"/>
      <c r="N68" s="120"/>
      <c r="O68" s="120"/>
      <c r="P68" s="120"/>
      <c r="Q68" s="120"/>
      <c r="R68" s="120"/>
      <c r="S68" s="120"/>
      <c r="T68" s="120"/>
      <c r="U68" s="120"/>
      <c r="V68" s="120"/>
      <c r="W68" s="120"/>
      <c r="X68" s="120"/>
      <c r="Y68" s="120"/>
      <c r="Z68" s="120"/>
      <c r="AA68" s="120"/>
      <c r="AB68" s="120"/>
      <c r="AC68" s="120"/>
      <c r="AD68" s="120"/>
      <c r="AE68" s="120"/>
      <c r="AF68" s="120"/>
      <c r="AG68" s="120"/>
      <c r="AH68" s="120"/>
      <c r="AI68" s="120"/>
      <c r="AJ68" s="120"/>
      <c r="AK68" s="120"/>
      <c r="AL68" s="120"/>
      <c r="AM68" s="120"/>
      <c r="AN68" s="120"/>
      <c r="AO68" s="120"/>
      <c r="AP68" s="120"/>
      <c r="AQ68" s="120"/>
      <c r="AR68" s="120"/>
      <c r="AS68" s="120"/>
      <c r="AT68" s="120"/>
      <c r="AU68" s="120"/>
      <c r="AV68" s="120"/>
      <c r="AW68" s="120"/>
      <c r="AX68" s="120"/>
      <c r="AY68" s="120"/>
    </row>
    <row r="69" spans="1:51" x14ac:dyDescent="0.2">
      <c r="A69" s="119"/>
      <c r="B69" s="137">
        <v>25</v>
      </c>
      <c r="C69" s="119" t="s">
        <v>295</v>
      </c>
      <c r="D69" s="120"/>
      <c r="E69" s="120"/>
      <c r="F69" s="120"/>
      <c r="G69" s="120"/>
      <c r="H69" s="120"/>
      <c r="I69" s="120"/>
      <c r="J69" s="120"/>
      <c r="K69" s="120"/>
      <c r="L69" s="120"/>
      <c r="M69" s="120"/>
      <c r="N69" s="120"/>
      <c r="O69" s="120"/>
      <c r="P69" s="120"/>
      <c r="Q69" s="120"/>
      <c r="R69" s="120"/>
      <c r="S69" s="120"/>
      <c r="T69" s="120"/>
      <c r="U69" s="120"/>
      <c r="V69" s="120"/>
      <c r="W69" s="120"/>
      <c r="X69" s="120"/>
      <c r="Y69" s="120"/>
      <c r="Z69" s="120"/>
      <c r="AA69" s="120"/>
      <c r="AB69" s="120"/>
      <c r="AC69" s="120"/>
      <c r="AD69" s="120"/>
      <c r="AE69" s="120"/>
      <c r="AF69" s="120"/>
      <c r="AG69" s="120"/>
      <c r="AH69" s="120"/>
      <c r="AI69" s="120"/>
      <c r="AJ69" s="120"/>
      <c r="AK69" s="120"/>
      <c r="AL69" s="120"/>
      <c r="AM69" s="120"/>
      <c r="AN69" s="120"/>
      <c r="AO69" s="120"/>
      <c r="AP69" s="120"/>
      <c r="AQ69" s="120"/>
      <c r="AR69" s="120"/>
      <c r="AS69" s="120"/>
      <c r="AT69" s="120"/>
      <c r="AU69" s="120"/>
      <c r="AV69" s="120"/>
      <c r="AW69" s="120"/>
      <c r="AX69" s="120"/>
      <c r="AY69" s="120"/>
    </row>
    <row r="70" spans="1:51" x14ac:dyDescent="0.2">
      <c r="A70" s="119"/>
      <c r="B70" s="137">
        <v>26</v>
      </c>
      <c r="C70" s="119" t="s">
        <v>295</v>
      </c>
      <c r="D70" s="120"/>
      <c r="E70" s="120"/>
      <c r="F70" s="120"/>
      <c r="G70" s="120"/>
      <c r="H70" s="120"/>
      <c r="I70" s="120"/>
      <c r="J70" s="120"/>
      <c r="K70" s="120"/>
      <c r="L70" s="120"/>
      <c r="M70" s="120"/>
      <c r="N70" s="120"/>
      <c r="O70" s="120"/>
      <c r="P70" s="120"/>
      <c r="Q70" s="120"/>
      <c r="R70" s="120"/>
      <c r="S70" s="120"/>
      <c r="T70" s="120"/>
      <c r="U70" s="120"/>
      <c r="V70" s="120"/>
      <c r="W70" s="120"/>
      <c r="X70" s="120"/>
      <c r="Y70" s="120"/>
      <c r="Z70" s="120"/>
      <c r="AA70" s="120"/>
      <c r="AB70" s="120"/>
      <c r="AC70" s="120"/>
      <c r="AD70" s="120"/>
      <c r="AE70" s="120"/>
      <c r="AF70" s="120"/>
      <c r="AG70" s="120"/>
      <c r="AH70" s="120"/>
      <c r="AI70" s="120"/>
      <c r="AJ70" s="120"/>
      <c r="AK70" s="120"/>
      <c r="AL70" s="120"/>
      <c r="AM70" s="120"/>
      <c r="AN70" s="120"/>
      <c r="AO70" s="120"/>
      <c r="AP70" s="120"/>
      <c r="AQ70" s="120"/>
      <c r="AR70" s="120"/>
      <c r="AS70" s="120"/>
      <c r="AT70" s="120"/>
      <c r="AU70" s="120"/>
      <c r="AV70" s="120"/>
      <c r="AW70" s="120"/>
      <c r="AX70" s="120"/>
      <c r="AY70" s="120"/>
    </row>
    <row r="71" spans="1:51" x14ac:dyDescent="0.2">
      <c r="A71" s="119"/>
      <c r="B71" s="137">
        <v>27</v>
      </c>
      <c r="C71" s="119" t="s">
        <v>295</v>
      </c>
      <c r="D71" s="120"/>
      <c r="E71" s="120"/>
      <c r="F71" s="120"/>
      <c r="G71" s="120"/>
      <c r="H71" s="120"/>
      <c r="I71" s="120"/>
      <c r="J71" s="120"/>
      <c r="K71" s="120"/>
      <c r="L71" s="120"/>
      <c r="M71" s="120"/>
      <c r="N71" s="120"/>
      <c r="O71" s="120"/>
      <c r="P71" s="120"/>
      <c r="Q71" s="120"/>
      <c r="R71" s="120"/>
      <c r="S71" s="120"/>
      <c r="T71" s="120"/>
      <c r="U71" s="120"/>
      <c r="V71" s="120"/>
      <c r="W71" s="120"/>
      <c r="X71" s="120"/>
      <c r="Y71" s="120"/>
      <c r="Z71" s="120"/>
      <c r="AA71" s="120"/>
      <c r="AB71" s="120"/>
      <c r="AC71" s="120"/>
      <c r="AD71" s="120"/>
      <c r="AE71" s="120"/>
      <c r="AF71" s="120"/>
      <c r="AG71" s="120"/>
      <c r="AH71" s="120"/>
      <c r="AI71" s="120"/>
      <c r="AJ71" s="120"/>
      <c r="AK71" s="120"/>
      <c r="AL71" s="120"/>
      <c r="AM71" s="120"/>
      <c r="AN71" s="120"/>
      <c r="AO71" s="120"/>
      <c r="AP71" s="120"/>
      <c r="AQ71" s="120"/>
      <c r="AR71" s="120"/>
      <c r="AS71" s="120"/>
      <c r="AT71" s="120"/>
      <c r="AU71" s="120"/>
      <c r="AV71" s="120"/>
      <c r="AW71" s="120"/>
      <c r="AX71" s="120"/>
      <c r="AY71" s="120"/>
    </row>
    <row r="72" spans="1:51" x14ac:dyDescent="0.2">
      <c r="A72" s="119"/>
      <c r="B72" s="137">
        <v>28</v>
      </c>
      <c r="C72" s="119" t="s">
        <v>295</v>
      </c>
      <c r="D72" s="120"/>
      <c r="E72" s="120"/>
      <c r="F72" s="120"/>
      <c r="G72" s="120"/>
      <c r="H72" s="120"/>
      <c r="I72" s="120"/>
      <c r="J72" s="120"/>
      <c r="K72" s="120"/>
      <c r="L72" s="120"/>
      <c r="M72" s="120"/>
      <c r="N72" s="120"/>
      <c r="O72" s="120"/>
      <c r="P72" s="120"/>
      <c r="Q72" s="120"/>
      <c r="R72" s="120"/>
      <c r="S72" s="120"/>
      <c r="T72" s="120"/>
      <c r="U72" s="120"/>
      <c r="V72" s="120"/>
      <c r="W72" s="120"/>
      <c r="X72" s="120"/>
      <c r="Y72" s="120"/>
      <c r="Z72" s="120"/>
      <c r="AA72" s="120"/>
      <c r="AB72" s="120"/>
      <c r="AC72" s="120"/>
      <c r="AD72" s="120"/>
      <c r="AE72" s="120"/>
      <c r="AF72" s="120"/>
      <c r="AG72" s="120"/>
      <c r="AH72" s="120"/>
      <c r="AI72" s="120"/>
      <c r="AJ72" s="120"/>
      <c r="AK72" s="120"/>
      <c r="AL72" s="120"/>
      <c r="AM72" s="120"/>
      <c r="AN72" s="120"/>
      <c r="AO72" s="120"/>
      <c r="AP72" s="120"/>
      <c r="AQ72" s="120"/>
      <c r="AR72" s="120"/>
      <c r="AS72" s="120"/>
      <c r="AT72" s="120"/>
      <c r="AU72" s="120"/>
      <c r="AV72" s="120"/>
      <c r="AW72" s="120"/>
      <c r="AX72" s="120"/>
      <c r="AY72" s="120"/>
    </row>
    <row r="73" spans="1:51" x14ac:dyDescent="0.2">
      <c r="A73" s="119"/>
      <c r="B73" s="137">
        <v>29</v>
      </c>
      <c r="C73" s="119" t="s">
        <v>295</v>
      </c>
      <c r="D73" s="120"/>
      <c r="E73" s="120"/>
      <c r="F73" s="120"/>
      <c r="G73" s="120"/>
      <c r="H73" s="120"/>
      <c r="I73" s="120"/>
      <c r="J73" s="120"/>
      <c r="K73" s="120"/>
      <c r="L73" s="120"/>
      <c r="M73" s="120"/>
      <c r="N73" s="120"/>
      <c r="O73" s="120"/>
      <c r="P73" s="120"/>
      <c r="Q73" s="120"/>
      <c r="R73" s="120"/>
      <c r="S73" s="120"/>
      <c r="T73" s="120"/>
      <c r="U73" s="120"/>
      <c r="V73" s="120"/>
      <c r="W73" s="120"/>
      <c r="X73" s="120"/>
      <c r="Y73" s="120"/>
      <c r="Z73" s="120"/>
      <c r="AA73" s="120"/>
      <c r="AB73" s="120"/>
      <c r="AC73" s="120"/>
      <c r="AD73" s="120"/>
      <c r="AE73" s="120"/>
      <c r="AF73" s="120"/>
      <c r="AG73" s="120"/>
      <c r="AH73" s="120"/>
      <c r="AI73" s="120"/>
      <c r="AJ73" s="120"/>
      <c r="AK73" s="120"/>
      <c r="AL73" s="120"/>
      <c r="AM73" s="120"/>
      <c r="AN73" s="120"/>
      <c r="AO73" s="120"/>
      <c r="AP73" s="120"/>
      <c r="AQ73" s="120"/>
      <c r="AR73" s="120"/>
      <c r="AS73" s="120"/>
      <c r="AT73" s="120"/>
      <c r="AU73" s="120"/>
      <c r="AV73" s="120"/>
      <c r="AW73" s="120"/>
      <c r="AX73" s="120"/>
      <c r="AY73" s="120"/>
    </row>
    <row r="74" spans="1:51" x14ac:dyDescent="0.2">
      <c r="A74" s="119"/>
      <c r="B74" s="137">
        <v>30</v>
      </c>
      <c r="C74" s="119" t="s">
        <v>295</v>
      </c>
      <c r="D74" s="120"/>
      <c r="E74" s="120"/>
      <c r="F74" s="120"/>
      <c r="G74" s="120"/>
      <c r="H74" s="120"/>
      <c r="I74" s="120"/>
      <c r="J74" s="120"/>
      <c r="K74" s="120"/>
      <c r="L74" s="120"/>
      <c r="M74" s="120"/>
      <c r="N74" s="120"/>
      <c r="O74" s="120"/>
      <c r="P74" s="120"/>
      <c r="Q74" s="120"/>
      <c r="R74" s="120"/>
      <c r="S74" s="120"/>
      <c r="T74" s="120"/>
      <c r="U74" s="120"/>
      <c r="V74" s="120"/>
      <c r="W74" s="120"/>
      <c r="X74" s="120"/>
      <c r="Y74" s="120"/>
      <c r="Z74" s="120"/>
      <c r="AA74" s="120"/>
      <c r="AB74" s="120"/>
      <c r="AC74" s="120"/>
      <c r="AD74" s="120"/>
      <c r="AE74" s="120"/>
      <c r="AF74" s="120"/>
      <c r="AG74" s="120"/>
      <c r="AH74" s="120"/>
      <c r="AI74" s="120"/>
      <c r="AJ74" s="120"/>
      <c r="AK74" s="120"/>
      <c r="AL74" s="120"/>
      <c r="AM74" s="120"/>
      <c r="AN74" s="120"/>
      <c r="AO74" s="120"/>
      <c r="AP74" s="120"/>
      <c r="AQ74" s="120"/>
      <c r="AR74" s="120"/>
      <c r="AS74" s="120"/>
      <c r="AT74" s="120"/>
      <c r="AU74" s="120"/>
      <c r="AV74" s="120"/>
      <c r="AW74" s="120"/>
      <c r="AX74" s="120"/>
      <c r="AY74" s="120"/>
    </row>
    <row r="75" spans="1:51" x14ac:dyDescent="0.2">
      <c r="A75" s="119"/>
      <c r="B75" s="137">
        <v>31</v>
      </c>
      <c r="C75" s="119" t="s">
        <v>295</v>
      </c>
      <c r="D75" s="120"/>
      <c r="E75" s="120"/>
      <c r="F75" s="120"/>
      <c r="G75" s="120"/>
      <c r="H75" s="120"/>
      <c r="I75" s="120"/>
      <c r="J75" s="120"/>
      <c r="K75" s="120"/>
      <c r="L75" s="120"/>
      <c r="M75" s="120"/>
      <c r="N75" s="120"/>
      <c r="O75" s="120"/>
      <c r="P75" s="120"/>
      <c r="Q75" s="120"/>
      <c r="R75" s="120"/>
      <c r="S75" s="120"/>
      <c r="T75" s="120"/>
      <c r="U75" s="120"/>
      <c r="V75" s="120"/>
      <c r="W75" s="120"/>
      <c r="X75" s="120"/>
      <c r="Y75" s="120"/>
      <c r="Z75" s="120"/>
      <c r="AA75" s="120"/>
      <c r="AB75" s="120"/>
      <c r="AC75" s="120"/>
      <c r="AD75" s="120"/>
      <c r="AE75" s="120"/>
      <c r="AF75" s="120"/>
      <c r="AG75" s="120"/>
      <c r="AH75" s="120"/>
      <c r="AI75" s="120"/>
      <c r="AJ75" s="120"/>
      <c r="AK75" s="120"/>
      <c r="AL75" s="120"/>
      <c r="AM75" s="120"/>
      <c r="AN75" s="120"/>
      <c r="AO75" s="120"/>
      <c r="AP75" s="120"/>
      <c r="AQ75" s="120"/>
      <c r="AR75" s="120"/>
      <c r="AS75" s="120"/>
      <c r="AT75" s="120"/>
      <c r="AU75" s="120"/>
      <c r="AV75" s="120"/>
      <c r="AW75" s="120"/>
      <c r="AX75" s="120"/>
      <c r="AY75" s="120"/>
    </row>
    <row r="76" spans="1:51" x14ac:dyDescent="0.2">
      <c r="A76" s="119"/>
      <c r="B76" s="137">
        <v>32</v>
      </c>
      <c r="C76" s="119" t="s">
        <v>295</v>
      </c>
      <c r="D76" s="120"/>
      <c r="E76" s="120"/>
      <c r="F76" s="120"/>
      <c r="G76" s="120"/>
      <c r="H76" s="120"/>
      <c r="I76" s="120"/>
      <c r="J76" s="120"/>
      <c r="K76" s="120"/>
      <c r="L76" s="120"/>
      <c r="M76" s="120"/>
      <c r="N76" s="120"/>
      <c r="O76" s="120"/>
      <c r="P76" s="120"/>
      <c r="Q76" s="120"/>
      <c r="R76" s="120"/>
      <c r="S76" s="120"/>
      <c r="T76" s="120"/>
      <c r="U76" s="120"/>
      <c r="V76" s="120"/>
      <c r="W76" s="120"/>
      <c r="X76" s="120"/>
      <c r="Y76" s="120"/>
      <c r="Z76" s="120"/>
      <c r="AA76" s="120"/>
      <c r="AB76" s="120"/>
      <c r="AC76" s="120"/>
      <c r="AD76" s="120"/>
      <c r="AE76" s="120"/>
      <c r="AF76" s="120"/>
      <c r="AG76" s="120"/>
      <c r="AH76" s="120"/>
      <c r="AI76" s="120"/>
      <c r="AJ76" s="120"/>
      <c r="AK76" s="120"/>
      <c r="AL76" s="120"/>
      <c r="AM76" s="120"/>
      <c r="AN76" s="120"/>
      <c r="AO76" s="120"/>
      <c r="AP76" s="120"/>
      <c r="AQ76" s="120"/>
      <c r="AR76" s="120"/>
      <c r="AS76" s="120"/>
      <c r="AT76" s="120"/>
      <c r="AU76" s="120"/>
      <c r="AV76" s="120"/>
      <c r="AW76" s="120"/>
      <c r="AX76" s="120"/>
      <c r="AY76" s="120"/>
    </row>
    <row r="77" spans="1:51" x14ac:dyDescent="0.2">
      <c r="A77" s="119"/>
      <c r="B77" s="137">
        <v>33</v>
      </c>
      <c r="C77" s="119" t="s">
        <v>295</v>
      </c>
      <c r="D77" s="120"/>
      <c r="E77" s="120"/>
      <c r="F77" s="120"/>
      <c r="G77" s="120"/>
      <c r="H77" s="120"/>
      <c r="I77" s="120"/>
      <c r="J77" s="120"/>
      <c r="K77" s="120"/>
      <c r="L77" s="120"/>
      <c r="M77" s="120"/>
      <c r="N77" s="120"/>
      <c r="O77" s="120"/>
      <c r="P77" s="120"/>
      <c r="Q77" s="120"/>
      <c r="R77" s="120"/>
      <c r="S77" s="120"/>
      <c r="T77" s="120"/>
      <c r="U77" s="120"/>
      <c r="V77" s="120"/>
      <c r="W77" s="120"/>
      <c r="X77" s="120"/>
      <c r="Y77" s="120"/>
      <c r="Z77" s="120"/>
      <c r="AA77" s="120"/>
      <c r="AB77" s="120"/>
      <c r="AC77" s="120"/>
      <c r="AD77" s="120"/>
      <c r="AE77" s="120"/>
      <c r="AF77" s="120"/>
      <c r="AG77" s="120"/>
      <c r="AH77" s="120"/>
      <c r="AI77" s="120"/>
      <c r="AJ77" s="120"/>
      <c r="AK77" s="120"/>
      <c r="AL77" s="120"/>
      <c r="AM77" s="120"/>
      <c r="AN77" s="120"/>
      <c r="AO77" s="120"/>
      <c r="AP77" s="120"/>
      <c r="AQ77" s="120"/>
      <c r="AR77" s="120"/>
      <c r="AS77" s="120"/>
      <c r="AT77" s="120"/>
      <c r="AU77" s="120"/>
      <c r="AV77" s="120"/>
      <c r="AW77" s="120"/>
      <c r="AX77" s="120"/>
      <c r="AY77" s="120"/>
    </row>
    <row r="78" spans="1:51" x14ac:dyDescent="0.2">
      <c r="A78" s="119"/>
      <c r="B78" s="137">
        <v>34</v>
      </c>
      <c r="C78" s="119" t="s">
        <v>295</v>
      </c>
      <c r="D78" s="120"/>
      <c r="E78" s="120"/>
      <c r="F78" s="120"/>
      <c r="G78" s="120"/>
      <c r="H78" s="120"/>
      <c r="I78" s="120"/>
      <c r="J78" s="120"/>
      <c r="K78" s="120"/>
      <c r="L78" s="120"/>
      <c r="M78" s="120"/>
      <c r="N78" s="120"/>
      <c r="O78" s="120"/>
      <c r="P78" s="120"/>
      <c r="Q78" s="120"/>
      <c r="R78" s="120"/>
      <c r="S78" s="120"/>
      <c r="T78" s="120"/>
      <c r="U78" s="120"/>
      <c r="V78" s="120"/>
      <c r="W78" s="120"/>
      <c r="X78" s="120"/>
      <c r="Y78" s="120"/>
      <c r="Z78" s="120"/>
      <c r="AA78" s="120"/>
      <c r="AB78" s="120"/>
      <c r="AC78" s="120"/>
      <c r="AD78" s="120"/>
      <c r="AE78" s="120"/>
      <c r="AF78" s="120"/>
      <c r="AG78" s="120"/>
      <c r="AH78" s="120"/>
      <c r="AI78" s="120"/>
      <c r="AJ78" s="120"/>
      <c r="AK78" s="120"/>
      <c r="AL78" s="120"/>
      <c r="AM78" s="120"/>
      <c r="AN78" s="120"/>
      <c r="AO78" s="120"/>
      <c r="AP78" s="120"/>
      <c r="AQ78" s="120"/>
      <c r="AR78" s="120"/>
      <c r="AS78" s="120"/>
      <c r="AT78" s="120"/>
      <c r="AU78" s="120"/>
      <c r="AV78" s="120"/>
      <c r="AW78" s="120"/>
      <c r="AX78" s="120"/>
      <c r="AY78" s="120"/>
    </row>
    <row r="79" spans="1:51" x14ac:dyDescent="0.2">
      <c r="A79" s="119"/>
      <c r="B79" s="137">
        <v>35</v>
      </c>
      <c r="C79" s="119" t="s">
        <v>295</v>
      </c>
      <c r="D79" s="120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0"/>
      <c r="P79" s="120"/>
      <c r="Q79" s="120"/>
      <c r="R79" s="120"/>
      <c r="S79" s="120"/>
      <c r="T79" s="120"/>
      <c r="U79" s="120"/>
      <c r="V79" s="120"/>
      <c r="W79" s="120"/>
      <c r="X79" s="120"/>
      <c r="Y79" s="120"/>
      <c r="Z79" s="120"/>
      <c r="AA79" s="120"/>
      <c r="AB79" s="120"/>
      <c r="AC79" s="120"/>
      <c r="AD79" s="120"/>
      <c r="AE79" s="120"/>
      <c r="AF79" s="120"/>
      <c r="AG79" s="120"/>
      <c r="AH79" s="120"/>
      <c r="AI79" s="120"/>
      <c r="AJ79" s="120"/>
      <c r="AK79" s="120"/>
      <c r="AL79" s="120"/>
      <c r="AM79" s="120"/>
      <c r="AN79" s="120"/>
      <c r="AO79" s="120"/>
      <c r="AP79" s="120"/>
      <c r="AQ79" s="120"/>
      <c r="AR79" s="120"/>
      <c r="AS79" s="120"/>
      <c r="AT79" s="120"/>
      <c r="AU79" s="120"/>
      <c r="AV79" s="120"/>
      <c r="AW79" s="120"/>
      <c r="AX79" s="120"/>
      <c r="AY79" s="120"/>
    </row>
    <row r="80" spans="1:51" x14ac:dyDescent="0.2">
      <c r="A80" s="119"/>
      <c r="B80" s="137">
        <v>36</v>
      </c>
      <c r="C80" s="119" t="s">
        <v>295</v>
      </c>
      <c r="D80" s="120"/>
      <c r="E80" s="120"/>
      <c r="F80" s="120"/>
      <c r="G80" s="120"/>
      <c r="H80" s="120"/>
      <c r="I80" s="120"/>
      <c r="J80" s="120"/>
      <c r="K80" s="120"/>
      <c r="L80" s="120"/>
      <c r="M80" s="120"/>
      <c r="N80" s="120"/>
      <c r="O80" s="120"/>
      <c r="P80" s="120"/>
      <c r="Q80" s="120"/>
      <c r="R80" s="120"/>
      <c r="S80" s="120"/>
      <c r="T80" s="120"/>
      <c r="U80" s="120"/>
      <c r="V80" s="120"/>
      <c r="W80" s="120"/>
      <c r="X80" s="120"/>
      <c r="Y80" s="120"/>
      <c r="Z80" s="120"/>
      <c r="AA80" s="120"/>
      <c r="AB80" s="120"/>
      <c r="AC80" s="120"/>
      <c r="AD80" s="120"/>
      <c r="AE80" s="120"/>
      <c r="AF80" s="120"/>
      <c r="AG80" s="120"/>
      <c r="AH80" s="120"/>
      <c r="AI80" s="120"/>
      <c r="AJ80" s="120"/>
      <c r="AK80" s="120"/>
      <c r="AL80" s="120"/>
      <c r="AM80" s="120"/>
      <c r="AN80" s="120"/>
      <c r="AO80" s="120"/>
      <c r="AP80" s="120"/>
      <c r="AQ80" s="120"/>
      <c r="AR80" s="120"/>
      <c r="AS80" s="120"/>
      <c r="AT80" s="120"/>
      <c r="AU80" s="120"/>
      <c r="AV80" s="120"/>
      <c r="AW80" s="120"/>
      <c r="AX80" s="120"/>
      <c r="AY80" s="120"/>
    </row>
    <row r="81" spans="1:52" x14ac:dyDescent="0.2">
      <c r="A81" s="119"/>
      <c r="B81" s="140">
        <v>37</v>
      </c>
      <c r="C81" s="119" t="s">
        <v>295</v>
      </c>
      <c r="D81" s="120"/>
      <c r="E81" s="120"/>
      <c r="F81" s="120"/>
      <c r="G81" s="120"/>
      <c r="H81" s="120"/>
      <c r="I81" s="120"/>
      <c r="J81" s="120"/>
      <c r="K81" s="120"/>
      <c r="L81" s="120"/>
      <c r="M81" s="120"/>
      <c r="N81" s="120"/>
      <c r="O81" s="120"/>
      <c r="P81" s="120"/>
      <c r="Q81" s="120"/>
      <c r="R81" s="120"/>
      <c r="S81" s="120"/>
      <c r="T81" s="120"/>
      <c r="U81" s="120"/>
      <c r="V81" s="120"/>
      <c r="W81" s="120"/>
      <c r="X81" s="120"/>
      <c r="Y81" s="120"/>
      <c r="Z81" s="120"/>
      <c r="AA81" s="120"/>
      <c r="AB81" s="120"/>
      <c r="AC81" s="120"/>
      <c r="AD81" s="120"/>
      <c r="AE81" s="120"/>
      <c r="AF81" s="120"/>
      <c r="AG81" s="120"/>
      <c r="AH81" s="120"/>
      <c r="AI81" s="120"/>
      <c r="AJ81" s="120"/>
      <c r="AK81" s="120"/>
      <c r="AL81" s="120"/>
      <c r="AM81" s="120"/>
      <c r="AN81" s="120"/>
      <c r="AO81" s="120"/>
      <c r="AP81" s="120"/>
      <c r="AQ81" s="120"/>
      <c r="AR81" s="120"/>
      <c r="AS81" s="120"/>
      <c r="AT81" s="120"/>
      <c r="AU81" s="120"/>
      <c r="AV81" s="120"/>
      <c r="AW81" s="120"/>
      <c r="AX81" s="120"/>
      <c r="AY81" s="120"/>
    </row>
    <row r="82" spans="1:52" x14ac:dyDescent="0.2">
      <c r="A82" s="119"/>
      <c r="B82" s="140">
        <v>38</v>
      </c>
      <c r="C82" s="119" t="s">
        <v>295</v>
      </c>
      <c r="D82" s="120"/>
      <c r="E82" s="120"/>
      <c r="F82" s="120"/>
      <c r="G82" s="120"/>
      <c r="H82" s="120"/>
      <c r="I82" s="120"/>
      <c r="J82" s="120"/>
      <c r="K82" s="120"/>
      <c r="L82" s="120"/>
      <c r="M82" s="120"/>
      <c r="N82" s="120"/>
      <c r="O82" s="120"/>
      <c r="P82" s="120"/>
      <c r="Q82" s="120"/>
      <c r="R82" s="120"/>
      <c r="S82" s="120"/>
      <c r="T82" s="120"/>
      <c r="U82" s="120"/>
      <c r="V82" s="120"/>
      <c r="W82" s="120"/>
      <c r="X82" s="120"/>
      <c r="Y82" s="120"/>
      <c r="Z82" s="120"/>
      <c r="AA82" s="120"/>
      <c r="AB82" s="120"/>
      <c r="AC82" s="120"/>
      <c r="AD82" s="120"/>
      <c r="AE82" s="120"/>
      <c r="AF82" s="120"/>
      <c r="AG82" s="120"/>
      <c r="AH82" s="120"/>
      <c r="AI82" s="120"/>
      <c r="AJ82" s="120"/>
      <c r="AK82" s="120"/>
      <c r="AL82" s="120"/>
      <c r="AM82" s="120"/>
      <c r="AN82" s="120"/>
      <c r="AO82" s="120"/>
      <c r="AP82" s="120"/>
      <c r="AQ82" s="120"/>
      <c r="AR82" s="120"/>
      <c r="AS82" s="120"/>
      <c r="AT82" s="120"/>
      <c r="AU82" s="120"/>
      <c r="AV82" s="120"/>
      <c r="AW82" s="120"/>
      <c r="AX82" s="120"/>
      <c r="AY82" s="120"/>
    </row>
    <row r="83" spans="1:52" x14ac:dyDescent="0.2">
      <c r="A83" s="119"/>
      <c r="B83" s="140">
        <v>39</v>
      </c>
      <c r="C83" s="119" t="s">
        <v>295</v>
      </c>
      <c r="D83" s="120"/>
      <c r="E83" s="120"/>
      <c r="F83" s="120"/>
      <c r="G83" s="120"/>
      <c r="H83" s="120"/>
      <c r="I83" s="120"/>
      <c r="J83" s="120"/>
      <c r="K83" s="120"/>
      <c r="L83" s="120"/>
      <c r="M83" s="120"/>
      <c r="N83" s="120"/>
      <c r="O83" s="120"/>
      <c r="P83" s="120"/>
      <c r="Q83" s="120"/>
      <c r="R83" s="120"/>
      <c r="S83" s="120"/>
      <c r="T83" s="120"/>
      <c r="U83" s="120"/>
      <c r="V83" s="120"/>
      <c r="W83" s="120"/>
      <c r="X83" s="120"/>
      <c r="Y83" s="120"/>
      <c r="Z83" s="120"/>
      <c r="AA83" s="120"/>
      <c r="AB83" s="120"/>
      <c r="AC83" s="120"/>
      <c r="AD83" s="120"/>
      <c r="AE83" s="120"/>
      <c r="AF83" s="120"/>
      <c r="AG83" s="120"/>
      <c r="AH83" s="120"/>
      <c r="AI83" s="120"/>
      <c r="AJ83" s="120"/>
      <c r="AK83" s="120"/>
      <c r="AL83" s="120"/>
      <c r="AM83" s="120"/>
      <c r="AN83" s="120"/>
      <c r="AO83" s="120"/>
      <c r="AP83" s="120"/>
      <c r="AQ83" s="120"/>
      <c r="AR83" s="120"/>
      <c r="AS83" s="120"/>
      <c r="AT83" s="120"/>
      <c r="AU83" s="120"/>
      <c r="AV83" s="120"/>
      <c r="AW83" s="120"/>
      <c r="AX83" s="120"/>
      <c r="AY83" s="120"/>
    </row>
    <row r="84" spans="1:52" x14ac:dyDescent="0.2">
      <c r="A84" s="119"/>
      <c r="B84" s="140">
        <v>40</v>
      </c>
      <c r="C84" s="119" t="s">
        <v>295</v>
      </c>
      <c r="D84" s="120"/>
      <c r="E84" s="120"/>
      <c r="F84" s="120"/>
      <c r="G84" s="120"/>
      <c r="H84" s="120"/>
      <c r="I84" s="120"/>
      <c r="J84" s="120"/>
      <c r="K84" s="120"/>
      <c r="L84" s="120"/>
      <c r="M84" s="120"/>
      <c r="N84" s="120"/>
      <c r="O84" s="120"/>
      <c r="P84" s="120"/>
      <c r="Q84" s="120"/>
      <c r="R84" s="120"/>
      <c r="S84" s="120"/>
      <c r="T84" s="120"/>
      <c r="U84" s="120"/>
      <c r="V84" s="120"/>
      <c r="W84" s="120"/>
      <c r="X84" s="120"/>
      <c r="Y84" s="120"/>
      <c r="Z84" s="120"/>
      <c r="AA84" s="120"/>
      <c r="AB84" s="120"/>
      <c r="AC84" s="120"/>
      <c r="AD84" s="120"/>
      <c r="AE84" s="120"/>
      <c r="AF84" s="120"/>
      <c r="AG84" s="120"/>
      <c r="AH84" s="120"/>
      <c r="AI84" s="120"/>
      <c r="AJ84" s="120"/>
      <c r="AK84" s="120"/>
      <c r="AL84" s="120"/>
      <c r="AM84" s="120"/>
      <c r="AN84" s="120"/>
      <c r="AO84" s="120"/>
      <c r="AP84" s="120"/>
      <c r="AQ84" s="120"/>
      <c r="AR84" s="120"/>
      <c r="AS84" s="120"/>
      <c r="AT84" s="120"/>
      <c r="AU84" s="120"/>
      <c r="AV84" s="120"/>
      <c r="AW84" s="120"/>
      <c r="AX84" s="120"/>
      <c r="AY84" s="120"/>
    </row>
    <row r="85" spans="1:52" x14ac:dyDescent="0.2">
      <c r="A85" s="119"/>
      <c r="B85" s="140">
        <v>41</v>
      </c>
      <c r="C85" s="119" t="s">
        <v>295</v>
      </c>
      <c r="D85" s="120"/>
      <c r="E85" s="120"/>
      <c r="F85" s="120"/>
      <c r="G85" s="120"/>
      <c r="H85" s="120"/>
      <c r="I85" s="120"/>
      <c r="J85" s="120"/>
      <c r="K85" s="120"/>
      <c r="L85" s="120"/>
      <c r="M85" s="120"/>
      <c r="N85" s="120"/>
      <c r="O85" s="120"/>
      <c r="P85" s="120"/>
      <c r="Q85" s="120"/>
      <c r="R85" s="120"/>
      <c r="S85" s="120"/>
      <c r="T85" s="120"/>
      <c r="U85" s="120"/>
      <c r="V85" s="120"/>
      <c r="W85" s="120"/>
      <c r="X85" s="120"/>
      <c r="Y85" s="120"/>
      <c r="Z85" s="120"/>
      <c r="AA85" s="120"/>
      <c r="AB85" s="120"/>
      <c r="AC85" s="120"/>
      <c r="AD85" s="120"/>
      <c r="AE85" s="120"/>
      <c r="AF85" s="120"/>
      <c r="AG85" s="120"/>
      <c r="AH85" s="120"/>
      <c r="AI85" s="120"/>
      <c r="AJ85" s="120"/>
      <c r="AK85" s="120"/>
      <c r="AL85" s="120"/>
      <c r="AM85" s="120"/>
      <c r="AN85" s="120"/>
      <c r="AO85" s="120"/>
      <c r="AP85" s="120"/>
      <c r="AQ85" s="120"/>
      <c r="AR85" s="120"/>
      <c r="AS85" s="120"/>
      <c r="AT85" s="120"/>
      <c r="AU85" s="120"/>
      <c r="AV85" s="120"/>
      <c r="AW85" s="120"/>
      <c r="AX85" s="120"/>
      <c r="AY85" s="120"/>
    </row>
    <row r="86" spans="1:52" x14ac:dyDescent="0.2">
      <c r="A86" s="119"/>
      <c r="B86" s="140">
        <v>42</v>
      </c>
      <c r="C86" s="119" t="s">
        <v>295</v>
      </c>
      <c r="D86" s="120"/>
      <c r="E86" s="120"/>
      <c r="F86" s="120"/>
      <c r="G86" s="120"/>
      <c r="H86" s="120"/>
      <c r="I86" s="120"/>
      <c r="J86" s="120"/>
      <c r="K86" s="120"/>
      <c r="L86" s="120"/>
      <c r="M86" s="120"/>
      <c r="N86" s="120"/>
      <c r="O86" s="120"/>
      <c r="P86" s="120"/>
      <c r="Q86" s="120"/>
      <c r="R86" s="120"/>
      <c r="S86" s="120"/>
      <c r="T86" s="120"/>
      <c r="U86" s="120"/>
      <c r="V86" s="120"/>
      <c r="W86" s="120"/>
      <c r="X86" s="120"/>
      <c r="Y86" s="120"/>
      <c r="Z86" s="120"/>
      <c r="AA86" s="120"/>
      <c r="AB86" s="120"/>
      <c r="AC86" s="120"/>
      <c r="AD86" s="120"/>
      <c r="AE86" s="120"/>
      <c r="AF86" s="120"/>
      <c r="AG86" s="120"/>
      <c r="AH86" s="120"/>
      <c r="AI86" s="120"/>
      <c r="AJ86" s="120"/>
      <c r="AK86" s="120"/>
      <c r="AL86" s="120"/>
      <c r="AM86" s="120"/>
      <c r="AN86" s="120"/>
      <c r="AO86" s="120"/>
      <c r="AP86" s="120"/>
      <c r="AQ86" s="120"/>
      <c r="AR86" s="120"/>
      <c r="AS86" s="120"/>
      <c r="AT86" s="120"/>
      <c r="AU86" s="120"/>
      <c r="AV86" s="120"/>
      <c r="AW86" s="120"/>
      <c r="AX86" s="120"/>
      <c r="AY86" s="120"/>
    </row>
    <row r="87" spans="1:52" x14ac:dyDescent="0.2">
      <c r="A87" s="119"/>
      <c r="B87" s="140">
        <v>43</v>
      </c>
      <c r="C87" s="119" t="s">
        <v>295</v>
      </c>
      <c r="D87" s="120"/>
      <c r="E87" s="120"/>
      <c r="F87" s="120"/>
      <c r="G87" s="120"/>
      <c r="H87" s="120"/>
      <c r="I87" s="120"/>
      <c r="J87" s="120"/>
      <c r="K87" s="120"/>
      <c r="L87" s="120"/>
      <c r="M87" s="120"/>
      <c r="N87" s="120"/>
      <c r="O87" s="120"/>
      <c r="P87" s="120"/>
      <c r="Q87" s="120"/>
      <c r="R87" s="120"/>
      <c r="S87" s="120"/>
      <c r="T87" s="120"/>
      <c r="U87" s="120"/>
      <c r="V87" s="120"/>
      <c r="W87" s="120"/>
      <c r="X87" s="120"/>
      <c r="Y87" s="120"/>
      <c r="Z87" s="120"/>
      <c r="AA87" s="120"/>
      <c r="AB87" s="120"/>
      <c r="AC87" s="120"/>
      <c r="AD87" s="120"/>
      <c r="AE87" s="120"/>
      <c r="AF87" s="120"/>
      <c r="AG87" s="120"/>
      <c r="AH87" s="120"/>
      <c r="AI87" s="120"/>
      <c r="AJ87" s="120"/>
      <c r="AK87" s="120"/>
      <c r="AL87" s="120"/>
      <c r="AM87" s="120"/>
      <c r="AN87" s="120"/>
      <c r="AO87" s="120"/>
      <c r="AP87" s="120"/>
      <c r="AQ87" s="120"/>
      <c r="AR87" s="120"/>
      <c r="AS87" s="120"/>
      <c r="AT87" s="120"/>
      <c r="AU87" s="120"/>
      <c r="AV87" s="120"/>
      <c r="AW87" s="120"/>
      <c r="AX87" s="120"/>
      <c r="AY87" s="120"/>
    </row>
    <row r="88" spans="1:52" x14ac:dyDescent="0.2">
      <c r="A88" s="119"/>
      <c r="B88" s="140">
        <v>44</v>
      </c>
      <c r="C88" s="119" t="s">
        <v>295</v>
      </c>
      <c r="D88" s="120"/>
      <c r="E88" s="120"/>
      <c r="F88" s="120"/>
      <c r="G88" s="120"/>
      <c r="H88" s="120"/>
      <c r="I88" s="120"/>
      <c r="J88" s="120"/>
      <c r="K88" s="120"/>
      <c r="L88" s="120"/>
      <c r="M88" s="120"/>
      <c r="N88" s="120"/>
      <c r="O88" s="120"/>
      <c r="P88" s="120"/>
      <c r="Q88" s="120"/>
      <c r="R88" s="120"/>
      <c r="S88" s="120"/>
      <c r="T88" s="120"/>
      <c r="U88" s="120"/>
      <c r="V88" s="120"/>
      <c r="W88" s="120"/>
      <c r="X88" s="120"/>
      <c r="Y88" s="120"/>
      <c r="Z88" s="120"/>
      <c r="AA88" s="120"/>
      <c r="AB88" s="120"/>
      <c r="AC88" s="120"/>
      <c r="AD88" s="120"/>
      <c r="AE88" s="120"/>
      <c r="AF88" s="120"/>
      <c r="AG88" s="120"/>
      <c r="AH88" s="120"/>
      <c r="AI88" s="120"/>
      <c r="AJ88" s="120"/>
      <c r="AK88" s="120"/>
      <c r="AL88" s="120"/>
      <c r="AM88" s="120"/>
      <c r="AN88" s="120"/>
      <c r="AO88" s="120"/>
      <c r="AP88" s="120"/>
      <c r="AQ88" s="120"/>
      <c r="AR88" s="120"/>
      <c r="AS88" s="120"/>
      <c r="AT88" s="120"/>
      <c r="AU88" s="120"/>
      <c r="AV88" s="120"/>
      <c r="AW88" s="120"/>
      <c r="AX88" s="120"/>
      <c r="AY88" s="120"/>
    </row>
    <row r="89" spans="1:52" x14ac:dyDescent="0.2">
      <c r="A89" s="119"/>
      <c r="B89" s="140">
        <v>45</v>
      </c>
      <c r="C89" s="119" t="s">
        <v>295</v>
      </c>
      <c r="D89" s="120"/>
      <c r="E89" s="120"/>
      <c r="F89" s="120"/>
      <c r="G89" s="120"/>
      <c r="H89" s="120"/>
      <c r="I89" s="120"/>
      <c r="J89" s="120"/>
      <c r="K89" s="120"/>
      <c r="L89" s="120"/>
      <c r="M89" s="120"/>
      <c r="N89" s="120"/>
      <c r="O89" s="120"/>
      <c r="P89" s="120"/>
      <c r="Q89" s="120"/>
      <c r="R89" s="120"/>
      <c r="S89" s="120"/>
      <c r="T89" s="120"/>
      <c r="U89" s="120"/>
      <c r="V89" s="120"/>
      <c r="W89" s="120"/>
      <c r="X89" s="120"/>
      <c r="Y89" s="120"/>
      <c r="Z89" s="120"/>
      <c r="AA89" s="120"/>
      <c r="AB89" s="120"/>
      <c r="AC89" s="120"/>
      <c r="AD89" s="120"/>
      <c r="AE89" s="120"/>
      <c r="AF89" s="120"/>
      <c r="AG89" s="120"/>
      <c r="AH89" s="120"/>
      <c r="AI89" s="120"/>
      <c r="AJ89" s="120"/>
      <c r="AK89" s="120"/>
      <c r="AL89" s="120"/>
      <c r="AM89" s="120"/>
      <c r="AN89" s="120"/>
      <c r="AO89" s="120"/>
      <c r="AP89" s="120"/>
      <c r="AQ89" s="120"/>
      <c r="AR89" s="120"/>
      <c r="AS89" s="120"/>
      <c r="AT89" s="120"/>
      <c r="AU89" s="120"/>
      <c r="AV89" s="120"/>
      <c r="AW89" s="120"/>
      <c r="AX89" s="120"/>
      <c r="AY89" s="120"/>
    </row>
    <row r="90" spans="1:52" x14ac:dyDescent="0.2">
      <c r="A90" s="119"/>
      <c r="B90" s="140">
        <v>46</v>
      </c>
      <c r="C90" s="119" t="s">
        <v>295</v>
      </c>
      <c r="D90" s="120"/>
      <c r="E90" s="120"/>
      <c r="F90" s="120"/>
      <c r="G90" s="120"/>
      <c r="H90" s="120"/>
      <c r="I90" s="120"/>
      <c r="J90" s="120"/>
      <c r="K90" s="120"/>
      <c r="L90" s="120"/>
      <c r="M90" s="120"/>
      <c r="N90" s="120"/>
      <c r="O90" s="120"/>
      <c r="P90" s="120"/>
      <c r="Q90" s="120">
        <v>0</v>
      </c>
      <c r="R90" s="120">
        <v>0</v>
      </c>
      <c r="S90" s="120">
        <v>0</v>
      </c>
      <c r="T90" s="120"/>
      <c r="U90" s="120"/>
      <c r="V90" s="120"/>
      <c r="W90" s="120"/>
      <c r="X90" s="120"/>
      <c r="Y90" s="120"/>
      <c r="Z90" s="120"/>
      <c r="AA90" s="120"/>
      <c r="AB90" s="120"/>
      <c r="AC90" s="120"/>
      <c r="AD90" s="120"/>
      <c r="AE90" s="120"/>
      <c r="AF90" s="120"/>
      <c r="AG90" s="120"/>
      <c r="AH90" s="120"/>
      <c r="AI90" s="120">
        <v>0</v>
      </c>
      <c r="AJ90" s="120"/>
      <c r="AK90" s="120"/>
      <c r="AL90" s="120"/>
      <c r="AM90" s="120"/>
      <c r="AN90" s="120"/>
      <c r="AO90" s="120">
        <v>0</v>
      </c>
      <c r="AP90" s="120">
        <v>0</v>
      </c>
      <c r="AQ90" s="120"/>
      <c r="AR90" s="120"/>
      <c r="AS90" s="120"/>
      <c r="AT90" s="120"/>
      <c r="AU90" s="120"/>
      <c r="AV90" s="120"/>
      <c r="AW90" s="120">
        <v>0</v>
      </c>
      <c r="AX90" s="120"/>
      <c r="AY90" s="120"/>
    </row>
    <row r="91" spans="1:52" x14ac:dyDescent="0.2">
      <c r="A91" s="119"/>
      <c r="B91" s="140">
        <v>47</v>
      </c>
      <c r="C91" s="119" t="s">
        <v>295</v>
      </c>
      <c r="D91" s="120"/>
      <c r="E91" s="120"/>
      <c r="F91" s="120"/>
      <c r="G91" s="120"/>
      <c r="H91" s="120"/>
      <c r="I91" s="120"/>
      <c r="J91" s="120"/>
      <c r="K91" s="120"/>
      <c r="L91" s="120"/>
      <c r="M91" s="120"/>
      <c r="N91" s="120">
        <v>0</v>
      </c>
      <c r="O91" s="120">
        <v>0</v>
      </c>
      <c r="P91" s="120">
        <v>0</v>
      </c>
      <c r="Q91" s="120">
        <v>0</v>
      </c>
      <c r="R91" s="120">
        <v>0</v>
      </c>
      <c r="S91" s="120">
        <v>0</v>
      </c>
      <c r="T91" s="120">
        <v>0</v>
      </c>
      <c r="U91" s="120">
        <v>0</v>
      </c>
      <c r="V91" s="120">
        <v>0</v>
      </c>
      <c r="W91" s="120">
        <v>0</v>
      </c>
      <c r="X91" s="120">
        <v>0</v>
      </c>
      <c r="Y91" s="120"/>
      <c r="Z91" s="120"/>
      <c r="AA91" s="120"/>
      <c r="AB91" s="120"/>
      <c r="AC91" s="120"/>
      <c r="AD91" s="120">
        <v>0</v>
      </c>
      <c r="AE91" s="120">
        <v>0</v>
      </c>
      <c r="AF91" s="120">
        <v>0</v>
      </c>
      <c r="AG91" s="120">
        <v>0</v>
      </c>
      <c r="AH91" s="120">
        <v>0</v>
      </c>
      <c r="AI91" s="120">
        <v>0</v>
      </c>
      <c r="AJ91" s="120"/>
      <c r="AK91" s="120"/>
      <c r="AL91" s="120"/>
      <c r="AM91" s="120"/>
      <c r="AN91" s="120"/>
      <c r="AO91" s="120">
        <v>0</v>
      </c>
      <c r="AP91" s="120">
        <v>0</v>
      </c>
      <c r="AQ91" s="120">
        <v>0</v>
      </c>
      <c r="AR91" s="120">
        <v>0</v>
      </c>
      <c r="AS91" s="120"/>
      <c r="AT91" s="120"/>
      <c r="AU91" s="120">
        <v>0</v>
      </c>
      <c r="AV91" s="120">
        <v>0</v>
      </c>
      <c r="AW91" s="120">
        <v>0</v>
      </c>
      <c r="AX91" s="120">
        <v>0</v>
      </c>
      <c r="AY91" s="120">
        <v>0</v>
      </c>
    </row>
    <row r="92" spans="1:52" x14ac:dyDescent="0.2">
      <c r="A92" s="138"/>
      <c r="B92" s="139">
        <v>48</v>
      </c>
      <c r="C92" s="138" t="s">
        <v>295</v>
      </c>
      <c r="D92" s="135">
        <v>0</v>
      </c>
      <c r="E92" s="135">
        <v>0</v>
      </c>
      <c r="F92" s="135">
        <v>0</v>
      </c>
      <c r="G92" s="135">
        <v>0</v>
      </c>
      <c r="H92" s="135">
        <v>0</v>
      </c>
      <c r="I92" s="135">
        <v>0</v>
      </c>
      <c r="J92" s="135">
        <v>0</v>
      </c>
      <c r="K92" s="135">
        <v>0</v>
      </c>
      <c r="L92" s="135">
        <v>0</v>
      </c>
      <c r="M92" s="135">
        <v>0</v>
      </c>
      <c r="N92" s="135">
        <v>0</v>
      </c>
      <c r="O92" s="135">
        <v>0</v>
      </c>
      <c r="P92" s="135">
        <v>0</v>
      </c>
      <c r="Q92" s="135">
        <v>0</v>
      </c>
      <c r="R92" s="135">
        <v>0</v>
      </c>
      <c r="S92" s="135">
        <v>0</v>
      </c>
      <c r="T92" s="135">
        <v>0</v>
      </c>
      <c r="U92" s="135">
        <v>0</v>
      </c>
      <c r="V92" s="135">
        <v>0</v>
      </c>
      <c r="W92" s="135">
        <v>0</v>
      </c>
      <c r="X92" s="135">
        <v>0</v>
      </c>
      <c r="Y92" s="135">
        <v>0</v>
      </c>
      <c r="Z92" s="135">
        <v>0</v>
      </c>
      <c r="AA92" s="135">
        <v>0</v>
      </c>
      <c r="AB92" s="135">
        <v>0</v>
      </c>
      <c r="AC92" s="135">
        <v>0</v>
      </c>
      <c r="AD92" s="135">
        <v>0</v>
      </c>
      <c r="AE92" s="135">
        <v>0</v>
      </c>
      <c r="AF92" s="135">
        <v>0</v>
      </c>
      <c r="AG92" s="135">
        <v>0</v>
      </c>
      <c r="AH92" s="135">
        <v>0</v>
      </c>
      <c r="AI92" s="135">
        <v>0</v>
      </c>
      <c r="AJ92" s="135">
        <v>0</v>
      </c>
      <c r="AK92" s="135">
        <v>0</v>
      </c>
      <c r="AL92" s="135">
        <v>0</v>
      </c>
      <c r="AM92" s="135">
        <v>0</v>
      </c>
      <c r="AN92" s="135">
        <v>0</v>
      </c>
      <c r="AO92" s="135">
        <v>0</v>
      </c>
      <c r="AP92" s="135">
        <v>0</v>
      </c>
      <c r="AQ92" s="135">
        <v>0</v>
      </c>
      <c r="AR92" s="135">
        <v>0</v>
      </c>
      <c r="AS92" s="135">
        <v>0</v>
      </c>
      <c r="AT92" s="135">
        <v>0</v>
      </c>
      <c r="AU92" s="135">
        <v>0</v>
      </c>
      <c r="AV92" s="135">
        <v>0</v>
      </c>
      <c r="AW92" s="135">
        <v>0</v>
      </c>
      <c r="AX92" s="135">
        <v>0</v>
      </c>
      <c r="AY92" s="135">
        <v>0</v>
      </c>
      <c r="AZ92" s="117">
        <f>SUM(D21:AY92)</f>
        <v>80566.210900677237</v>
      </c>
    </row>
    <row r="94" spans="1:52" x14ac:dyDescent="0.2">
      <c r="A94" s="112" t="s">
        <v>297</v>
      </c>
      <c r="B94" s="116"/>
      <c r="C94" s="116"/>
      <c r="D94" s="124"/>
      <c r="E94" s="124"/>
      <c r="F94" s="124"/>
      <c r="G94" s="124"/>
      <c r="H94" s="124"/>
      <c r="I94" s="124"/>
      <c r="J94" s="124"/>
      <c r="K94" s="124"/>
      <c r="L94" s="124"/>
      <c r="M94" s="124"/>
      <c r="N94" s="124"/>
      <c r="O94" s="124"/>
      <c r="P94" s="124"/>
      <c r="Q94" s="124"/>
      <c r="R94" s="124"/>
      <c r="S94" s="124"/>
      <c r="T94" s="124"/>
      <c r="U94" s="124"/>
      <c r="V94" s="124"/>
      <c r="W94" s="124"/>
      <c r="X94" s="124"/>
      <c r="Y94" s="124"/>
      <c r="Z94" s="124"/>
      <c r="AA94" s="124"/>
      <c r="AB94" s="124"/>
      <c r="AC94" s="124"/>
      <c r="AD94" s="124"/>
      <c r="AE94" s="124"/>
      <c r="AF94" s="124"/>
      <c r="AG94" s="124"/>
      <c r="AH94" s="124"/>
      <c r="AI94" s="124"/>
      <c r="AJ94" s="124"/>
      <c r="AK94" s="124"/>
      <c r="AL94" s="124"/>
      <c r="AM94" s="124"/>
      <c r="AN94" s="124"/>
      <c r="AO94" s="124"/>
      <c r="AP94" s="124"/>
      <c r="AQ94" s="124"/>
      <c r="AR94" s="124"/>
      <c r="AS94" s="124"/>
      <c r="AT94" s="124"/>
      <c r="AU94" s="124"/>
      <c r="AV94" s="124"/>
      <c r="AW94" s="124"/>
      <c r="AX94" s="124"/>
      <c r="AY94" s="124"/>
    </row>
    <row r="95" spans="1:52" x14ac:dyDescent="0.2">
      <c r="A95" s="136" t="s">
        <v>125</v>
      </c>
      <c r="B95" s="133">
        <v>1</v>
      </c>
      <c r="C95" s="134"/>
      <c r="D95" s="120">
        <v>1605.7982140636677</v>
      </c>
      <c r="E95" s="120">
        <v>1605.7982140636677</v>
      </c>
      <c r="F95" s="120">
        <v>1605.7982140636677</v>
      </c>
      <c r="G95" s="120">
        <v>1605.7982140636677</v>
      </c>
      <c r="H95" s="120">
        <v>1526.7190898800443</v>
      </c>
      <c r="I95" s="120">
        <v>1526.7190898800443</v>
      </c>
      <c r="J95" s="120">
        <v>1526.7190898800443</v>
      </c>
      <c r="K95" s="120">
        <v>1526.7190898800443</v>
      </c>
      <c r="L95" s="120">
        <v>3813.4179767723717</v>
      </c>
      <c r="M95" s="120">
        <v>3813.4179767723717</v>
      </c>
      <c r="N95" s="120">
        <v>3813.4179767723717</v>
      </c>
      <c r="O95" s="120">
        <v>3813.4179767723717</v>
      </c>
      <c r="P95" s="120">
        <v>4608.7996669711902</v>
      </c>
      <c r="Q95" s="120">
        <v>4608.7996669711902</v>
      </c>
      <c r="R95" s="120">
        <v>4608.7996669711902</v>
      </c>
      <c r="S95" s="120">
        <v>4608.7996669711902</v>
      </c>
      <c r="T95" s="120">
        <v>3058.5102394930318</v>
      </c>
      <c r="U95" s="120">
        <v>3058.5102394930318</v>
      </c>
      <c r="V95" s="120">
        <v>3058.5102394930318</v>
      </c>
      <c r="W95" s="120">
        <v>3058.5102394930318</v>
      </c>
      <c r="X95" s="120">
        <v>1532.3480177298766</v>
      </c>
      <c r="Y95" s="120">
        <v>1063.597169266543</v>
      </c>
      <c r="Z95" s="120">
        <v>1532.3480177298766</v>
      </c>
      <c r="AA95" s="120">
        <v>1532.3480177298766</v>
      </c>
      <c r="AB95" s="120">
        <v>3453.2937372829174</v>
      </c>
      <c r="AC95" s="120">
        <v>3237.2209315467494</v>
      </c>
      <c r="AD95" s="120">
        <v>4372.4129828506748</v>
      </c>
      <c r="AE95" s="120">
        <v>4372.4129828506748</v>
      </c>
      <c r="AF95" s="120">
        <v>4081.3117076255635</v>
      </c>
      <c r="AG95" s="120">
        <v>4081.3117076255635</v>
      </c>
      <c r="AH95" s="120">
        <v>4081.3117076255635</v>
      </c>
      <c r="AI95" s="120">
        <v>4081.3117076255635</v>
      </c>
      <c r="AJ95" s="120">
        <v>1374.6405982852086</v>
      </c>
      <c r="AK95" s="120">
        <v>1374.6405982852086</v>
      </c>
      <c r="AL95" s="120">
        <v>1374.6405982852086</v>
      </c>
      <c r="AM95" s="120">
        <v>1374.6405982852086</v>
      </c>
      <c r="AN95" s="120">
        <v>3754.2538402850528</v>
      </c>
      <c r="AO95" s="120">
        <v>3754.2538402850528</v>
      </c>
      <c r="AP95" s="120">
        <v>3754.2538402850528</v>
      </c>
      <c r="AQ95" s="120">
        <v>3754.2538402850528</v>
      </c>
      <c r="AR95" s="120">
        <v>2494.1714824448563</v>
      </c>
      <c r="AS95" s="120">
        <v>2494.1714824448563</v>
      </c>
      <c r="AT95" s="120">
        <v>2494.1714824448563</v>
      </c>
      <c r="AU95" s="120">
        <v>2494.1714824448563</v>
      </c>
      <c r="AV95" s="120">
        <v>3590.1258479700446</v>
      </c>
      <c r="AW95" s="120">
        <v>3590.1258479700446</v>
      </c>
      <c r="AX95" s="120">
        <v>3590.1258479700446</v>
      </c>
      <c r="AY95" s="120">
        <v>3590.1258479700446</v>
      </c>
    </row>
    <row r="96" spans="1:52" x14ac:dyDescent="0.2">
      <c r="A96" s="119"/>
      <c r="B96" s="130">
        <v>2</v>
      </c>
      <c r="C96" s="120"/>
      <c r="D96" s="120">
        <v>0</v>
      </c>
      <c r="E96" s="120">
        <v>831.79821406366773</v>
      </c>
      <c r="F96" s="120">
        <v>1605.7982140636677</v>
      </c>
      <c r="G96" s="120">
        <v>1605.7982140636677</v>
      </c>
      <c r="H96" s="120">
        <v>1605.7982140636677</v>
      </c>
      <c r="I96" s="120">
        <v>1526.7190898800443</v>
      </c>
      <c r="J96" s="120">
        <v>1526.7190898800443</v>
      </c>
      <c r="K96" s="120">
        <v>1526.7190898800443</v>
      </c>
      <c r="L96" s="120">
        <v>1526.7190898800443</v>
      </c>
      <c r="M96" s="120">
        <v>3813.4179767723717</v>
      </c>
      <c r="N96" s="120">
        <v>3813.4179767723717</v>
      </c>
      <c r="O96" s="120">
        <v>3813.4179767723717</v>
      </c>
      <c r="P96" s="120">
        <v>3813.4179767723717</v>
      </c>
      <c r="Q96" s="120">
        <v>4082.1011598580858</v>
      </c>
      <c r="R96" s="120">
        <v>3895.1356685676924</v>
      </c>
      <c r="S96" s="120">
        <v>4152.3275946624362</v>
      </c>
      <c r="T96" s="120">
        <v>4608.7996669711902</v>
      </c>
      <c r="U96" s="120">
        <v>3058.5102394930318</v>
      </c>
      <c r="V96" s="120">
        <v>3058.5102394930318</v>
      </c>
      <c r="W96" s="120">
        <v>3058.5102394930318</v>
      </c>
      <c r="X96" s="120">
        <v>3058.5102394930318</v>
      </c>
      <c r="Y96" s="120">
        <v>1532.3480177298766</v>
      </c>
      <c r="Z96" s="120">
        <v>1063.597169266543</v>
      </c>
      <c r="AA96" s="120">
        <v>1532.3480177298766</v>
      </c>
      <c r="AB96" s="120">
        <v>1532.3480177298766</v>
      </c>
      <c r="AC96" s="120">
        <v>3453.2937372829174</v>
      </c>
      <c r="AD96" s="120">
        <v>3237.2209315467494</v>
      </c>
      <c r="AE96" s="120">
        <v>4372.4129828506748</v>
      </c>
      <c r="AF96" s="120">
        <v>4372.4129828506748</v>
      </c>
      <c r="AG96" s="120">
        <v>4081.3117076255635</v>
      </c>
      <c r="AH96" s="120">
        <v>4081.3117076255635</v>
      </c>
      <c r="AI96" s="120">
        <v>3919.6396184983209</v>
      </c>
      <c r="AJ96" s="120">
        <v>4081.3117076255635</v>
      </c>
      <c r="AK96" s="120">
        <v>1374.6405982852086</v>
      </c>
      <c r="AL96" s="120">
        <v>1374.6405982852086</v>
      </c>
      <c r="AM96" s="120">
        <v>1374.6405982852086</v>
      </c>
      <c r="AN96" s="120">
        <v>1374.6405982852086</v>
      </c>
      <c r="AO96" s="120">
        <v>3270.6495079104698</v>
      </c>
      <c r="AP96" s="120">
        <v>3271.4915190608222</v>
      </c>
      <c r="AQ96" s="120">
        <v>3754.2538402850528</v>
      </c>
      <c r="AR96" s="120">
        <v>3754.2538402850528</v>
      </c>
      <c r="AS96" s="120">
        <v>2494.1714824448563</v>
      </c>
      <c r="AT96" s="120">
        <v>2494.1714824448563</v>
      </c>
      <c r="AU96" s="120">
        <v>2494.1714824448563</v>
      </c>
      <c r="AV96" s="120">
        <v>2494.1714824448563</v>
      </c>
      <c r="AW96" s="120">
        <v>3406.4810739446725</v>
      </c>
      <c r="AX96" s="120">
        <v>3590.1258479700446</v>
      </c>
      <c r="AY96" s="120">
        <v>3590.1258479700446</v>
      </c>
    </row>
    <row r="97" spans="1:52" x14ac:dyDescent="0.2">
      <c r="A97" s="119"/>
      <c r="B97" s="137">
        <v>3</v>
      </c>
      <c r="C97" s="120"/>
      <c r="D97" s="120">
        <v>0</v>
      </c>
      <c r="E97" s="120">
        <v>0</v>
      </c>
      <c r="F97" s="120">
        <v>82.798214063667729</v>
      </c>
      <c r="G97" s="120">
        <v>938.59642812733546</v>
      </c>
      <c r="H97" s="120">
        <v>1605.7982140636677</v>
      </c>
      <c r="I97" s="120">
        <v>1605.7982140636677</v>
      </c>
      <c r="J97" s="120">
        <v>1526.7190898800443</v>
      </c>
      <c r="K97" s="120">
        <v>1526.7190898800443</v>
      </c>
      <c r="L97" s="120">
        <v>1526.7190898800443</v>
      </c>
      <c r="M97" s="120">
        <v>1526.7190898800443</v>
      </c>
      <c r="N97" s="120">
        <v>1626.657522007627</v>
      </c>
      <c r="O97" s="120">
        <v>1396.2515284940887</v>
      </c>
      <c r="P97" s="120">
        <v>457.05978252247451</v>
      </c>
      <c r="Q97" s="120">
        <v>0</v>
      </c>
      <c r="R97" s="120">
        <v>0</v>
      </c>
      <c r="S97" s="120">
        <v>0</v>
      </c>
      <c r="T97" s="120">
        <v>1335.0116269475311</v>
      </c>
      <c r="U97" s="120">
        <v>2215.0196650140533</v>
      </c>
      <c r="V97" s="120">
        <v>1582.7055453825751</v>
      </c>
      <c r="W97" s="120">
        <v>1413.6352525811544</v>
      </c>
      <c r="X97" s="120">
        <v>2793.6409395893161</v>
      </c>
      <c r="Y97" s="120">
        <v>3058.5102394930318</v>
      </c>
      <c r="Z97" s="120">
        <v>1532.3480177298766</v>
      </c>
      <c r="AA97" s="120">
        <v>1063.597169266543</v>
      </c>
      <c r="AB97" s="120">
        <v>1532.3480177298766</v>
      </c>
      <c r="AC97" s="120">
        <v>1532.3480177298766</v>
      </c>
      <c r="AD97" s="120">
        <v>2142.6697468705083</v>
      </c>
      <c r="AE97" s="120">
        <v>373.53264759279773</v>
      </c>
      <c r="AF97" s="120">
        <v>90.357306265684201</v>
      </c>
      <c r="AG97" s="120">
        <v>466.11730727613394</v>
      </c>
      <c r="AH97" s="120">
        <v>556.0619048814965</v>
      </c>
      <c r="AI97" s="120">
        <v>0</v>
      </c>
      <c r="AJ97" s="120">
        <v>2571.6396184983209</v>
      </c>
      <c r="AK97" s="120">
        <v>4081.3117076255635</v>
      </c>
      <c r="AL97" s="120">
        <v>1374.6405982852086</v>
      </c>
      <c r="AM97" s="120">
        <v>1374.6405982852086</v>
      </c>
      <c r="AN97" s="120">
        <v>1374.6405982852086</v>
      </c>
      <c r="AO97" s="120">
        <v>0</v>
      </c>
      <c r="AP97" s="120">
        <v>0</v>
      </c>
      <c r="AQ97" s="120">
        <v>473.35191895075468</v>
      </c>
      <c r="AR97" s="120">
        <v>2186.0424408577028</v>
      </c>
      <c r="AS97" s="120">
        <v>3754.2538402850528</v>
      </c>
      <c r="AT97" s="120">
        <v>2494.1714824448563</v>
      </c>
      <c r="AU97" s="120">
        <v>2363.8289041349067</v>
      </c>
      <c r="AV97" s="120">
        <v>930.20070045856164</v>
      </c>
      <c r="AW97" s="120">
        <v>0</v>
      </c>
      <c r="AX97" s="120">
        <v>851.28150593567216</v>
      </c>
      <c r="AY97" s="120">
        <v>813.06914413009281</v>
      </c>
    </row>
    <row r="98" spans="1:52" x14ac:dyDescent="0.2">
      <c r="A98" s="119"/>
      <c r="B98" s="140">
        <v>4</v>
      </c>
      <c r="C98" s="116"/>
      <c r="D98" s="120">
        <v>0</v>
      </c>
      <c r="E98" s="120">
        <v>0</v>
      </c>
      <c r="F98" s="120">
        <v>0</v>
      </c>
      <c r="G98" s="120">
        <v>0</v>
      </c>
      <c r="H98" s="120">
        <v>99.596428127335457</v>
      </c>
      <c r="I98" s="120">
        <v>893.39464219100319</v>
      </c>
      <c r="J98" s="120">
        <v>1605.7982140636677</v>
      </c>
      <c r="K98" s="120">
        <v>1526.7190898800443</v>
      </c>
      <c r="L98" s="120">
        <v>1526.7190898800443</v>
      </c>
      <c r="M98" s="120">
        <v>232.01948956753836</v>
      </c>
      <c r="N98" s="120">
        <v>0</v>
      </c>
      <c r="O98" s="120">
        <v>0</v>
      </c>
      <c r="P98" s="120">
        <v>0</v>
      </c>
      <c r="Q98" s="120">
        <v>0</v>
      </c>
      <c r="R98" s="120">
        <v>0</v>
      </c>
      <c r="S98" s="120">
        <v>0</v>
      </c>
      <c r="T98" s="120">
        <v>0</v>
      </c>
      <c r="U98" s="120">
        <v>0</v>
      </c>
      <c r="V98" s="120">
        <v>0</v>
      </c>
      <c r="W98" s="120">
        <v>0</v>
      </c>
      <c r="X98" s="120">
        <v>0</v>
      </c>
      <c r="Y98" s="120">
        <v>1127.6409395893161</v>
      </c>
      <c r="Z98" s="120">
        <v>2590.1511790823479</v>
      </c>
      <c r="AA98" s="120">
        <v>1532.3480177298766</v>
      </c>
      <c r="AB98" s="120">
        <v>1063.597169266543</v>
      </c>
      <c r="AC98" s="120">
        <v>1346.0700123669844</v>
      </c>
      <c r="AD98" s="120">
        <v>0</v>
      </c>
      <c r="AE98" s="120">
        <v>0</v>
      </c>
      <c r="AF98" s="120">
        <v>0</v>
      </c>
      <c r="AG98" s="120">
        <v>0</v>
      </c>
      <c r="AH98" s="120">
        <v>0</v>
      </c>
      <c r="AI98" s="120">
        <v>0</v>
      </c>
      <c r="AJ98" s="120">
        <v>0</v>
      </c>
      <c r="AK98" s="120">
        <v>166.59316811195504</v>
      </c>
      <c r="AL98" s="120">
        <v>2659.9048757375185</v>
      </c>
      <c r="AM98" s="120">
        <v>1374.6405982852086</v>
      </c>
      <c r="AN98" s="120">
        <v>609.346031250225</v>
      </c>
      <c r="AO98" s="120">
        <v>0</v>
      </c>
      <c r="AP98" s="120">
        <v>0</v>
      </c>
      <c r="AQ98" s="120">
        <v>0</v>
      </c>
      <c r="AR98" s="120">
        <v>0</v>
      </c>
      <c r="AS98" s="120">
        <v>493.75585167045483</v>
      </c>
      <c r="AT98" s="120">
        <v>56.495260745470205</v>
      </c>
      <c r="AU98" s="120">
        <v>0</v>
      </c>
      <c r="AV98" s="120">
        <v>0</v>
      </c>
      <c r="AW98" s="120">
        <v>0</v>
      </c>
      <c r="AX98" s="120">
        <v>0</v>
      </c>
      <c r="AY98" s="120">
        <v>0</v>
      </c>
    </row>
    <row r="99" spans="1:52" x14ac:dyDescent="0.2">
      <c r="A99" s="138"/>
      <c r="B99" s="142" t="s">
        <v>298</v>
      </c>
      <c r="C99" s="135"/>
      <c r="D99" s="135">
        <v>0</v>
      </c>
      <c r="E99" s="135">
        <v>0</v>
      </c>
      <c r="F99" s="135">
        <v>0</v>
      </c>
      <c r="G99" s="135">
        <v>0</v>
      </c>
      <c r="H99" s="135">
        <v>0</v>
      </c>
      <c r="I99" s="135">
        <v>0</v>
      </c>
      <c r="J99" s="135">
        <v>106.39464219100319</v>
      </c>
      <c r="K99" s="135">
        <v>790.79821406366773</v>
      </c>
      <c r="L99" s="135">
        <v>524.71908988004429</v>
      </c>
      <c r="M99" s="135">
        <v>916.71908988004429</v>
      </c>
      <c r="N99" s="135">
        <v>0</v>
      </c>
      <c r="O99" s="135">
        <v>0</v>
      </c>
      <c r="P99" s="135">
        <v>0</v>
      </c>
      <c r="Q99" s="135">
        <v>0</v>
      </c>
      <c r="R99" s="135">
        <v>0</v>
      </c>
      <c r="S99" s="135">
        <v>0</v>
      </c>
      <c r="T99" s="135">
        <v>0</v>
      </c>
      <c r="U99" s="135">
        <v>0</v>
      </c>
      <c r="V99" s="135">
        <v>0</v>
      </c>
      <c r="W99" s="135">
        <v>0</v>
      </c>
      <c r="X99" s="135">
        <v>0</v>
      </c>
      <c r="Y99" s="135">
        <v>0</v>
      </c>
      <c r="Z99" s="135">
        <v>0</v>
      </c>
      <c r="AA99" s="135">
        <v>765.15117908234788</v>
      </c>
      <c r="AB99" s="135">
        <v>105.34801772987657</v>
      </c>
      <c r="AC99" s="135">
        <v>153.59716926654301</v>
      </c>
      <c r="AD99" s="135">
        <v>393.07001236698443</v>
      </c>
      <c r="AE99" s="135">
        <v>0</v>
      </c>
      <c r="AF99" s="135">
        <v>0</v>
      </c>
      <c r="AG99" s="135">
        <v>0</v>
      </c>
      <c r="AH99" s="135">
        <v>0</v>
      </c>
      <c r="AI99" s="135">
        <v>0</v>
      </c>
      <c r="AJ99" s="135">
        <v>0</v>
      </c>
      <c r="AK99" s="135">
        <v>0</v>
      </c>
      <c r="AL99" s="135">
        <v>0</v>
      </c>
      <c r="AM99" s="135">
        <v>943.90487573751852</v>
      </c>
      <c r="AN99" s="135">
        <v>155.64059828520863</v>
      </c>
      <c r="AO99" s="135">
        <v>110.346031250225</v>
      </c>
      <c r="AP99" s="135">
        <v>0</v>
      </c>
      <c r="AQ99" s="135">
        <v>0</v>
      </c>
      <c r="AR99" s="135">
        <v>0</v>
      </c>
      <c r="AS99" s="135">
        <v>0</v>
      </c>
      <c r="AT99" s="135">
        <v>245.75585167045483</v>
      </c>
      <c r="AU99" s="135">
        <v>0</v>
      </c>
      <c r="AV99" s="135">
        <v>0</v>
      </c>
      <c r="AW99" s="135">
        <v>0</v>
      </c>
      <c r="AX99" s="135">
        <v>0</v>
      </c>
      <c r="AY99" s="135">
        <v>0</v>
      </c>
      <c r="AZ99" s="117">
        <f>SUM($D99:$AY99)</f>
        <v>5211.4447714039179</v>
      </c>
    </row>
    <row r="100" spans="1:52" x14ac:dyDescent="0.2">
      <c r="A100" s="141" t="s">
        <v>133</v>
      </c>
      <c r="B100" s="129">
        <v>1</v>
      </c>
      <c r="C100" s="116"/>
      <c r="D100" s="116">
        <v>0</v>
      </c>
      <c r="E100" s="116">
        <v>28.24939154122978</v>
      </c>
      <c r="F100" s="116">
        <v>77.180770280936798</v>
      </c>
      <c r="G100" s="116">
        <v>77.180770280936798</v>
      </c>
      <c r="H100" s="116">
        <v>0</v>
      </c>
      <c r="I100" s="116">
        <v>36.737680321653137</v>
      </c>
      <c r="J100" s="116">
        <v>77.180770280936798</v>
      </c>
      <c r="K100" s="116">
        <v>36.737680321653137</v>
      </c>
      <c r="L100" s="116">
        <v>0</v>
      </c>
      <c r="M100" s="116">
        <v>77.180770280936798</v>
      </c>
      <c r="N100" s="116">
        <v>77.180770280936798</v>
      </c>
      <c r="O100" s="116">
        <v>77.180770280936798</v>
      </c>
      <c r="P100" s="116">
        <v>77.180770280936798</v>
      </c>
      <c r="Q100" s="116">
        <v>77.180770280936798</v>
      </c>
      <c r="R100" s="116">
        <v>77.180770280936798</v>
      </c>
      <c r="S100" s="116">
        <v>36.737680321653137</v>
      </c>
      <c r="T100" s="116">
        <v>0</v>
      </c>
      <c r="U100" s="116">
        <v>36.737680321653137</v>
      </c>
      <c r="V100" s="116">
        <v>77.180770280936798</v>
      </c>
      <c r="W100" s="116">
        <v>77.180770280936798</v>
      </c>
      <c r="X100" s="116">
        <v>77.180770280936798</v>
      </c>
      <c r="Y100" s="116">
        <v>0</v>
      </c>
      <c r="Z100" s="116">
        <v>36.737680321653137</v>
      </c>
      <c r="AA100" s="116">
        <v>0</v>
      </c>
      <c r="AB100" s="116">
        <v>36.737680321653137</v>
      </c>
      <c r="AC100" s="116">
        <v>0</v>
      </c>
      <c r="AD100" s="116">
        <v>0</v>
      </c>
      <c r="AE100" s="116">
        <v>36.737680321653137</v>
      </c>
      <c r="AF100" s="116">
        <v>77.180770280936798</v>
      </c>
      <c r="AG100" s="116">
        <v>36.737680321653137</v>
      </c>
      <c r="AH100" s="116">
        <v>0</v>
      </c>
      <c r="AI100" s="116">
        <v>36.737680321653137</v>
      </c>
      <c r="AJ100" s="116">
        <v>0</v>
      </c>
      <c r="AK100" s="116">
        <v>77.180770280936798</v>
      </c>
      <c r="AL100" s="116">
        <v>0</v>
      </c>
      <c r="AM100" s="116">
        <v>0</v>
      </c>
      <c r="AN100" s="116">
        <v>77.180770280936798</v>
      </c>
      <c r="AO100" s="116">
        <v>77.180770280936798</v>
      </c>
      <c r="AP100" s="116">
        <v>77.180770280936798</v>
      </c>
      <c r="AQ100" s="116">
        <v>0</v>
      </c>
      <c r="AR100" s="116">
        <v>36.737680321653137</v>
      </c>
      <c r="AS100" s="116">
        <v>0</v>
      </c>
      <c r="AT100" s="116">
        <v>77.180770280936798</v>
      </c>
      <c r="AU100" s="116">
        <v>77.180770280936798</v>
      </c>
      <c r="AV100" s="116">
        <v>77.180770280936798</v>
      </c>
      <c r="AW100" s="116">
        <v>77.180770280936798</v>
      </c>
      <c r="AX100" s="116">
        <v>0</v>
      </c>
      <c r="AY100" s="116">
        <v>77.180770280936798</v>
      </c>
    </row>
    <row r="101" spans="1:52" x14ac:dyDescent="0.2">
      <c r="A101" s="119"/>
      <c r="B101" s="129">
        <v>2</v>
      </c>
      <c r="C101" s="116"/>
      <c r="D101" s="116">
        <v>0</v>
      </c>
      <c r="E101" s="116">
        <v>0</v>
      </c>
      <c r="F101" s="116">
        <v>0</v>
      </c>
      <c r="G101" s="116">
        <v>0</v>
      </c>
      <c r="H101" s="116">
        <v>0</v>
      </c>
      <c r="I101" s="116">
        <v>77.180770280936798</v>
      </c>
      <c r="J101" s="116">
        <v>7.1054273576010019E-15</v>
      </c>
      <c r="K101" s="116">
        <v>0</v>
      </c>
      <c r="L101" s="116">
        <v>40.443089959283661</v>
      </c>
      <c r="M101" s="116">
        <v>0</v>
      </c>
      <c r="N101" s="116">
        <v>0</v>
      </c>
      <c r="O101" s="116">
        <v>0</v>
      </c>
      <c r="P101" s="116">
        <v>0</v>
      </c>
      <c r="Q101" s="116">
        <v>0</v>
      </c>
      <c r="R101" s="116">
        <v>0</v>
      </c>
      <c r="S101" s="116">
        <v>0</v>
      </c>
      <c r="T101" s="116">
        <v>40.443089959283661</v>
      </c>
      <c r="U101" s="116">
        <v>77.180770280936798</v>
      </c>
      <c r="V101" s="116">
        <v>40.443089959283668</v>
      </c>
      <c r="W101" s="116">
        <v>0</v>
      </c>
      <c r="X101" s="116">
        <v>0</v>
      </c>
      <c r="Y101" s="116">
        <v>0</v>
      </c>
      <c r="Z101" s="116">
        <v>0</v>
      </c>
      <c r="AA101" s="116">
        <v>0</v>
      </c>
      <c r="AB101" s="116">
        <v>0</v>
      </c>
      <c r="AC101" s="116">
        <v>0</v>
      </c>
      <c r="AD101" s="116">
        <v>0</v>
      </c>
      <c r="AE101" s="116">
        <v>0</v>
      </c>
      <c r="AF101" s="116">
        <v>40.443089959283668</v>
      </c>
      <c r="AG101" s="116">
        <v>0</v>
      </c>
      <c r="AH101" s="116">
        <v>40.443089959283661</v>
      </c>
      <c r="AI101" s="116">
        <v>77.180770280936798</v>
      </c>
      <c r="AJ101" s="116">
        <v>40.443089959283668</v>
      </c>
      <c r="AK101" s="116">
        <v>77.180770280936798</v>
      </c>
      <c r="AL101" s="116">
        <v>0</v>
      </c>
      <c r="AM101" s="116">
        <v>77.180770280936798</v>
      </c>
      <c r="AN101" s="116">
        <v>0</v>
      </c>
      <c r="AO101" s="116">
        <v>0</v>
      </c>
      <c r="AP101" s="116">
        <v>0</v>
      </c>
      <c r="AQ101" s="116">
        <v>0</v>
      </c>
      <c r="AR101" s="116">
        <v>0</v>
      </c>
      <c r="AS101" s="116">
        <v>0</v>
      </c>
      <c r="AT101" s="116">
        <v>77.180770280936798</v>
      </c>
      <c r="AU101" s="116">
        <v>0</v>
      </c>
      <c r="AV101" s="116">
        <v>0</v>
      </c>
      <c r="AW101" s="116">
        <v>0</v>
      </c>
      <c r="AX101" s="116">
        <v>0</v>
      </c>
      <c r="AY101" s="116">
        <v>0</v>
      </c>
    </row>
    <row r="102" spans="1:52" x14ac:dyDescent="0.2">
      <c r="A102" s="119"/>
      <c r="B102" s="130">
        <v>3</v>
      </c>
      <c r="C102" s="116"/>
      <c r="D102" s="116">
        <v>0</v>
      </c>
      <c r="E102" s="116">
        <v>0</v>
      </c>
      <c r="F102" s="116">
        <v>0</v>
      </c>
      <c r="G102" s="116">
        <v>0</v>
      </c>
      <c r="H102" s="116">
        <v>0</v>
      </c>
      <c r="I102" s="116">
        <v>0</v>
      </c>
      <c r="J102" s="116">
        <v>0</v>
      </c>
      <c r="K102" s="116">
        <v>40.443089959283661</v>
      </c>
      <c r="L102" s="116">
        <v>0</v>
      </c>
      <c r="M102" s="116">
        <v>0</v>
      </c>
      <c r="N102" s="116">
        <v>0</v>
      </c>
      <c r="O102" s="116">
        <v>0</v>
      </c>
      <c r="P102" s="116">
        <v>0</v>
      </c>
      <c r="Q102" s="116">
        <v>0</v>
      </c>
      <c r="R102" s="116">
        <v>0</v>
      </c>
      <c r="S102" s="116">
        <v>0</v>
      </c>
      <c r="T102" s="116">
        <v>0</v>
      </c>
      <c r="U102" s="116">
        <v>0</v>
      </c>
      <c r="V102" s="116">
        <v>0</v>
      </c>
      <c r="W102" s="116">
        <v>0</v>
      </c>
      <c r="X102" s="116">
        <v>0</v>
      </c>
      <c r="Y102" s="116">
        <v>0</v>
      </c>
      <c r="Z102" s="116">
        <v>0</v>
      </c>
      <c r="AA102" s="116">
        <v>0</v>
      </c>
      <c r="AB102" s="116">
        <v>40.443089959283661</v>
      </c>
      <c r="AC102" s="116">
        <v>0</v>
      </c>
      <c r="AD102" s="116">
        <v>40.443089959283661</v>
      </c>
      <c r="AE102" s="116">
        <v>77.180770280936798</v>
      </c>
      <c r="AF102" s="116">
        <v>0</v>
      </c>
      <c r="AG102" s="116">
        <v>0</v>
      </c>
      <c r="AH102" s="116">
        <v>0</v>
      </c>
      <c r="AI102" s="116">
        <v>0</v>
      </c>
      <c r="AJ102" s="116">
        <v>0</v>
      </c>
      <c r="AK102" s="116">
        <v>0</v>
      </c>
      <c r="AL102" s="116">
        <v>0</v>
      </c>
      <c r="AM102" s="116">
        <v>0</v>
      </c>
      <c r="AN102" s="116">
        <v>0</v>
      </c>
      <c r="AO102" s="116">
        <v>0</v>
      </c>
      <c r="AP102" s="116">
        <v>0</v>
      </c>
      <c r="AQ102" s="116">
        <v>0</v>
      </c>
      <c r="AR102" s="116">
        <v>0</v>
      </c>
      <c r="AS102" s="116">
        <v>0</v>
      </c>
      <c r="AT102" s="116">
        <v>40.443089959283661</v>
      </c>
      <c r="AU102" s="116">
        <v>0</v>
      </c>
      <c r="AV102" s="116">
        <v>0</v>
      </c>
      <c r="AW102" s="116">
        <v>0</v>
      </c>
      <c r="AX102" s="116">
        <v>0</v>
      </c>
      <c r="AY102" s="116">
        <v>0</v>
      </c>
    </row>
    <row r="103" spans="1:52" x14ac:dyDescent="0.2">
      <c r="A103" s="119"/>
      <c r="B103" s="130">
        <v>4</v>
      </c>
      <c r="C103" s="116"/>
      <c r="D103" s="116">
        <v>0</v>
      </c>
      <c r="E103" s="116">
        <v>0</v>
      </c>
      <c r="F103" s="116">
        <v>0</v>
      </c>
      <c r="G103" s="116">
        <v>0</v>
      </c>
      <c r="H103" s="116">
        <v>0</v>
      </c>
      <c r="I103" s="116">
        <v>0</v>
      </c>
      <c r="J103" s="116">
        <v>0</v>
      </c>
      <c r="K103" s="116">
        <v>0</v>
      </c>
      <c r="L103" s="116">
        <v>0</v>
      </c>
      <c r="M103" s="116">
        <v>0</v>
      </c>
      <c r="N103" s="116">
        <v>0</v>
      </c>
      <c r="O103" s="116">
        <v>0</v>
      </c>
      <c r="P103" s="116">
        <v>0</v>
      </c>
      <c r="Q103" s="116">
        <v>0</v>
      </c>
      <c r="R103" s="116">
        <v>0</v>
      </c>
      <c r="S103" s="116">
        <v>0</v>
      </c>
      <c r="T103" s="116">
        <v>0</v>
      </c>
      <c r="U103" s="116">
        <v>0</v>
      </c>
      <c r="V103" s="116">
        <v>0</v>
      </c>
      <c r="W103" s="116">
        <v>0</v>
      </c>
      <c r="X103" s="116">
        <v>0</v>
      </c>
      <c r="Y103" s="116">
        <v>0</v>
      </c>
      <c r="Z103" s="116">
        <v>0</v>
      </c>
      <c r="AA103" s="116">
        <v>0</v>
      </c>
      <c r="AB103" s="116">
        <v>0</v>
      </c>
      <c r="AC103" s="116">
        <v>0</v>
      </c>
      <c r="AD103" s="116">
        <v>0</v>
      </c>
      <c r="AE103" s="116">
        <v>0</v>
      </c>
      <c r="AF103" s="116">
        <v>0</v>
      </c>
      <c r="AG103" s="116">
        <v>0</v>
      </c>
      <c r="AH103" s="116">
        <v>0</v>
      </c>
      <c r="AI103" s="116">
        <v>0</v>
      </c>
      <c r="AJ103" s="116">
        <v>0</v>
      </c>
      <c r="AK103" s="116">
        <v>0</v>
      </c>
      <c r="AL103" s="116">
        <v>0</v>
      </c>
      <c r="AM103" s="116">
        <v>0</v>
      </c>
      <c r="AN103" s="116">
        <v>0</v>
      </c>
      <c r="AO103" s="116">
        <v>0</v>
      </c>
      <c r="AP103" s="116">
        <v>0</v>
      </c>
      <c r="AQ103" s="116">
        <v>0</v>
      </c>
      <c r="AR103" s="116">
        <v>0</v>
      </c>
      <c r="AS103" s="116">
        <v>0</v>
      </c>
      <c r="AT103" s="116">
        <v>0</v>
      </c>
      <c r="AU103" s="116">
        <v>0</v>
      </c>
      <c r="AV103" s="116">
        <v>0</v>
      </c>
      <c r="AW103" s="116">
        <v>0</v>
      </c>
      <c r="AX103" s="116">
        <v>0</v>
      </c>
      <c r="AY103" s="116">
        <v>0</v>
      </c>
    </row>
    <row r="104" spans="1:52" x14ac:dyDescent="0.2">
      <c r="A104" s="119"/>
      <c r="B104" s="137">
        <v>5</v>
      </c>
      <c r="C104" s="116"/>
      <c r="D104" s="116">
        <v>0</v>
      </c>
      <c r="E104" s="116">
        <v>0</v>
      </c>
      <c r="F104" s="116">
        <v>0</v>
      </c>
      <c r="G104" s="116">
        <v>0</v>
      </c>
      <c r="H104" s="116">
        <v>0</v>
      </c>
      <c r="I104" s="116">
        <v>0</v>
      </c>
      <c r="J104" s="116">
        <v>0</v>
      </c>
      <c r="K104" s="116">
        <v>0</v>
      </c>
      <c r="L104" s="116">
        <v>0</v>
      </c>
      <c r="M104" s="116">
        <v>0</v>
      </c>
      <c r="N104" s="116">
        <v>0</v>
      </c>
      <c r="O104" s="116">
        <v>0</v>
      </c>
      <c r="P104" s="116">
        <v>0</v>
      </c>
      <c r="Q104" s="116">
        <v>0</v>
      </c>
      <c r="R104" s="116">
        <v>0</v>
      </c>
      <c r="S104" s="116">
        <v>0</v>
      </c>
      <c r="T104" s="116">
        <v>0</v>
      </c>
      <c r="U104" s="116">
        <v>0</v>
      </c>
      <c r="V104" s="116">
        <v>0</v>
      </c>
      <c r="W104" s="116">
        <v>0</v>
      </c>
      <c r="X104" s="116">
        <v>0</v>
      </c>
      <c r="Y104" s="116">
        <v>0</v>
      </c>
      <c r="Z104" s="116">
        <v>0</v>
      </c>
      <c r="AA104" s="116">
        <v>0</v>
      </c>
      <c r="AB104" s="116">
        <v>0</v>
      </c>
      <c r="AC104" s="116">
        <v>0</v>
      </c>
      <c r="AD104" s="116">
        <v>0</v>
      </c>
      <c r="AE104" s="116">
        <v>0</v>
      </c>
      <c r="AF104" s="116">
        <v>0</v>
      </c>
      <c r="AG104" s="116">
        <v>0</v>
      </c>
      <c r="AH104" s="116">
        <v>0</v>
      </c>
      <c r="AI104" s="116">
        <v>0</v>
      </c>
      <c r="AJ104" s="116">
        <v>0</v>
      </c>
      <c r="AK104" s="116">
        <v>0</v>
      </c>
      <c r="AL104" s="116">
        <v>0</v>
      </c>
      <c r="AM104" s="116">
        <v>0</v>
      </c>
      <c r="AN104" s="116">
        <v>0</v>
      </c>
      <c r="AO104" s="116">
        <v>0</v>
      </c>
      <c r="AP104" s="116">
        <v>0</v>
      </c>
      <c r="AQ104" s="116">
        <v>0</v>
      </c>
      <c r="AR104" s="116">
        <v>0</v>
      </c>
      <c r="AS104" s="116">
        <v>0</v>
      </c>
      <c r="AT104" s="116">
        <v>0</v>
      </c>
      <c r="AU104" s="116">
        <v>0</v>
      </c>
      <c r="AV104" s="116">
        <v>0</v>
      </c>
      <c r="AW104" s="116">
        <v>0</v>
      </c>
      <c r="AX104" s="116">
        <v>0</v>
      </c>
      <c r="AY104" s="116">
        <v>0</v>
      </c>
    </row>
    <row r="105" spans="1:52" x14ac:dyDescent="0.2">
      <c r="A105" s="119"/>
      <c r="B105" s="137">
        <v>6</v>
      </c>
      <c r="C105" s="116"/>
      <c r="D105" s="116">
        <v>0</v>
      </c>
      <c r="E105" s="116">
        <v>0</v>
      </c>
      <c r="F105" s="116">
        <v>0</v>
      </c>
      <c r="G105" s="116">
        <v>0</v>
      </c>
      <c r="H105" s="116">
        <v>0</v>
      </c>
      <c r="I105" s="116">
        <v>0</v>
      </c>
      <c r="J105" s="116">
        <v>0</v>
      </c>
      <c r="K105" s="116">
        <v>0</v>
      </c>
      <c r="L105" s="116">
        <v>0</v>
      </c>
      <c r="M105" s="116">
        <v>0</v>
      </c>
      <c r="N105" s="116">
        <v>0</v>
      </c>
      <c r="O105" s="116">
        <v>0</v>
      </c>
      <c r="P105" s="116">
        <v>0</v>
      </c>
      <c r="Q105" s="116">
        <v>0</v>
      </c>
      <c r="R105" s="116">
        <v>0</v>
      </c>
      <c r="S105" s="116">
        <v>0</v>
      </c>
      <c r="T105" s="116">
        <v>0</v>
      </c>
      <c r="U105" s="116">
        <v>0</v>
      </c>
      <c r="V105" s="116">
        <v>0</v>
      </c>
      <c r="W105" s="116">
        <v>0</v>
      </c>
      <c r="X105" s="116">
        <v>0</v>
      </c>
      <c r="Y105" s="116">
        <v>0</v>
      </c>
      <c r="Z105" s="116">
        <v>0</v>
      </c>
      <c r="AA105" s="116">
        <v>0</v>
      </c>
      <c r="AB105" s="116">
        <v>0</v>
      </c>
      <c r="AC105" s="116">
        <v>0</v>
      </c>
      <c r="AD105" s="116">
        <v>0</v>
      </c>
      <c r="AE105" s="116">
        <v>0</v>
      </c>
      <c r="AF105" s="116">
        <v>0</v>
      </c>
      <c r="AG105" s="116">
        <v>0</v>
      </c>
      <c r="AH105" s="116">
        <v>0</v>
      </c>
      <c r="AI105" s="116">
        <v>0</v>
      </c>
      <c r="AJ105" s="116">
        <v>0</v>
      </c>
      <c r="AK105" s="116">
        <v>0</v>
      </c>
      <c r="AL105" s="116">
        <v>0</v>
      </c>
      <c r="AM105" s="116">
        <v>0</v>
      </c>
      <c r="AN105" s="116">
        <v>0</v>
      </c>
      <c r="AO105" s="116">
        <v>0</v>
      </c>
      <c r="AP105" s="116">
        <v>0</v>
      </c>
      <c r="AQ105" s="116">
        <v>0</v>
      </c>
      <c r="AR105" s="116">
        <v>0</v>
      </c>
      <c r="AS105" s="116">
        <v>0</v>
      </c>
      <c r="AT105" s="116">
        <v>0</v>
      </c>
      <c r="AU105" s="116">
        <v>0</v>
      </c>
      <c r="AV105" s="116">
        <v>0</v>
      </c>
      <c r="AW105" s="116">
        <v>0</v>
      </c>
      <c r="AX105" s="116">
        <v>0</v>
      </c>
      <c r="AY105" s="116">
        <v>0</v>
      </c>
    </row>
    <row r="106" spans="1:52" x14ac:dyDescent="0.2">
      <c r="A106" s="119"/>
      <c r="B106" s="140">
        <v>7</v>
      </c>
      <c r="C106" s="116"/>
      <c r="D106" s="116">
        <v>0</v>
      </c>
      <c r="E106" s="116">
        <v>0</v>
      </c>
      <c r="F106" s="116">
        <v>0</v>
      </c>
      <c r="G106" s="116">
        <v>0</v>
      </c>
      <c r="H106" s="116">
        <v>0</v>
      </c>
      <c r="I106" s="116">
        <v>0</v>
      </c>
      <c r="J106" s="116">
        <v>0</v>
      </c>
      <c r="K106" s="116">
        <v>0</v>
      </c>
      <c r="L106" s="116">
        <v>0</v>
      </c>
      <c r="M106" s="116">
        <v>0</v>
      </c>
      <c r="N106" s="116">
        <v>0</v>
      </c>
      <c r="O106" s="116">
        <v>0</v>
      </c>
      <c r="P106" s="116">
        <v>0</v>
      </c>
      <c r="Q106" s="116">
        <v>0</v>
      </c>
      <c r="R106" s="116">
        <v>0</v>
      </c>
      <c r="S106" s="116">
        <v>0</v>
      </c>
      <c r="T106" s="116">
        <v>0</v>
      </c>
      <c r="U106" s="116">
        <v>0</v>
      </c>
      <c r="V106" s="116">
        <v>0</v>
      </c>
      <c r="W106" s="116">
        <v>0</v>
      </c>
      <c r="X106" s="116">
        <v>0</v>
      </c>
      <c r="Y106" s="116">
        <v>0</v>
      </c>
      <c r="Z106" s="116">
        <v>0</v>
      </c>
      <c r="AA106" s="116">
        <v>0</v>
      </c>
      <c r="AB106" s="116">
        <v>0</v>
      </c>
      <c r="AC106" s="116">
        <v>0</v>
      </c>
      <c r="AD106" s="116">
        <v>0</v>
      </c>
      <c r="AE106" s="116">
        <v>0</v>
      </c>
      <c r="AF106" s="116">
        <v>0</v>
      </c>
      <c r="AG106" s="116">
        <v>0</v>
      </c>
      <c r="AH106" s="116">
        <v>0</v>
      </c>
      <c r="AI106" s="116">
        <v>0</v>
      </c>
      <c r="AJ106" s="116">
        <v>0</v>
      </c>
      <c r="AK106" s="116">
        <v>0</v>
      </c>
      <c r="AL106" s="116">
        <v>0</v>
      </c>
      <c r="AM106" s="116">
        <v>0</v>
      </c>
      <c r="AN106" s="116">
        <v>0</v>
      </c>
      <c r="AO106" s="116">
        <v>0</v>
      </c>
      <c r="AP106" s="116">
        <v>0</v>
      </c>
      <c r="AQ106" s="116">
        <v>0</v>
      </c>
      <c r="AR106" s="116">
        <v>0</v>
      </c>
      <c r="AS106" s="116">
        <v>0</v>
      </c>
      <c r="AT106" s="116">
        <v>0</v>
      </c>
      <c r="AU106" s="116">
        <v>0</v>
      </c>
      <c r="AV106" s="116">
        <v>0</v>
      </c>
      <c r="AW106" s="116">
        <v>0</v>
      </c>
      <c r="AX106" s="116">
        <v>0</v>
      </c>
      <c r="AY106" s="116">
        <v>0</v>
      </c>
    </row>
    <row r="107" spans="1:52" x14ac:dyDescent="0.2">
      <c r="A107" s="119"/>
      <c r="B107" s="140">
        <v>8</v>
      </c>
      <c r="C107" s="116"/>
      <c r="D107" s="116">
        <v>0</v>
      </c>
      <c r="E107" s="116">
        <v>0</v>
      </c>
      <c r="F107" s="116">
        <v>0</v>
      </c>
      <c r="G107" s="116">
        <v>0</v>
      </c>
      <c r="H107" s="116">
        <v>0</v>
      </c>
      <c r="I107" s="116">
        <v>0</v>
      </c>
      <c r="J107" s="116">
        <v>0</v>
      </c>
      <c r="K107" s="116">
        <v>0</v>
      </c>
      <c r="L107" s="116">
        <v>0</v>
      </c>
      <c r="M107" s="116">
        <v>0</v>
      </c>
      <c r="N107" s="116">
        <v>0</v>
      </c>
      <c r="O107" s="116">
        <v>0</v>
      </c>
      <c r="P107" s="116">
        <v>0</v>
      </c>
      <c r="Q107" s="116">
        <v>0</v>
      </c>
      <c r="R107" s="116">
        <v>0</v>
      </c>
      <c r="S107" s="116">
        <v>0</v>
      </c>
      <c r="T107" s="116">
        <v>0</v>
      </c>
      <c r="U107" s="116">
        <v>0</v>
      </c>
      <c r="V107" s="116">
        <v>0</v>
      </c>
      <c r="W107" s="116">
        <v>0</v>
      </c>
      <c r="X107" s="116">
        <v>0</v>
      </c>
      <c r="Y107" s="116">
        <v>0</v>
      </c>
      <c r="Z107" s="116">
        <v>0</v>
      </c>
      <c r="AA107" s="116">
        <v>0</v>
      </c>
      <c r="AB107" s="116">
        <v>0</v>
      </c>
      <c r="AC107" s="116">
        <v>0</v>
      </c>
      <c r="AD107" s="116">
        <v>0</v>
      </c>
      <c r="AE107" s="116">
        <v>0</v>
      </c>
      <c r="AF107" s="116">
        <v>0</v>
      </c>
      <c r="AG107" s="116">
        <v>0</v>
      </c>
      <c r="AH107" s="116">
        <v>0</v>
      </c>
      <c r="AI107" s="116">
        <v>0</v>
      </c>
      <c r="AJ107" s="116">
        <v>0</v>
      </c>
      <c r="AK107" s="116">
        <v>0</v>
      </c>
      <c r="AL107" s="116">
        <v>0</v>
      </c>
      <c r="AM107" s="116">
        <v>0</v>
      </c>
      <c r="AN107" s="116">
        <v>0</v>
      </c>
      <c r="AO107" s="116">
        <v>0</v>
      </c>
      <c r="AP107" s="116">
        <v>0</v>
      </c>
      <c r="AQ107" s="116">
        <v>0</v>
      </c>
      <c r="AR107" s="116">
        <v>0</v>
      </c>
      <c r="AS107" s="116">
        <v>0</v>
      </c>
      <c r="AT107" s="116">
        <v>0</v>
      </c>
      <c r="AU107" s="116">
        <v>0</v>
      </c>
      <c r="AV107" s="116">
        <v>0</v>
      </c>
      <c r="AW107" s="116">
        <v>0</v>
      </c>
      <c r="AX107" s="116">
        <v>0</v>
      </c>
      <c r="AY107" s="116">
        <v>0</v>
      </c>
    </row>
    <row r="108" spans="1:52" x14ac:dyDescent="0.2">
      <c r="A108" s="138"/>
      <c r="B108" s="142" t="s">
        <v>298</v>
      </c>
      <c r="C108" s="124"/>
      <c r="D108" s="135">
        <v>0</v>
      </c>
      <c r="E108" s="135">
        <v>0</v>
      </c>
      <c r="F108" s="135">
        <v>0</v>
      </c>
      <c r="G108" s="135">
        <v>0</v>
      </c>
      <c r="H108" s="135">
        <v>0</v>
      </c>
      <c r="I108" s="135">
        <v>0</v>
      </c>
      <c r="J108" s="135">
        <v>0</v>
      </c>
      <c r="K108" s="135">
        <v>0</v>
      </c>
      <c r="L108" s="135">
        <v>0</v>
      </c>
      <c r="M108" s="135">
        <v>0</v>
      </c>
      <c r="N108" s="135">
        <v>0</v>
      </c>
      <c r="O108" s="135">
        <v>0</v>
      </c>
      <c r="P108" s="135">
        <v>0</v>
      </c>
      <c r="Q108" s="135">
        <v>0</v>
      </c>
      <c r="R108" s="135">
        <v>0</v>
      </c>
      <c r="S108" s="135">
        <v>0</v>
      </c>
      <c r="T108" s="135">
        <v>0</v>
      </c>
      <c r="U108" s="135">
        <v>0</v>
      </c>
      <c r="V108" s="135">
        <v>0</v>
      </c>
      <c r="W108" s="135">
        <v>0</v>
      </c>
      <c r="X108" s="135">
        <v>0</v>
      </c>
      <c r="Y108" s="135">
        <v>0</v>
      </c>
      <c r="Z108" s="135">
        <v>0</v>
      </c>
      <c r="AA108" s="135">
        <v>0</v>
      </c>
      <c r="AB108" s="135">
        <v>0</v>
      </c>
      <c r="AC108" s="135">
        <v>0</v>
      </c>
      <c r="AD108" s="135">
        <v>0</v>
      </c>
      <c r="AE108" s="135">
        <v>0</v>
      </c>
      <c r="AF108" s="135">
        <v>0</v>
      </c>
      <c r="AG108" s="135">
        <v>0</v>
      </c>
      <c r="AH108" s="135">
        <v>0</v>
      </c>
      <c r="AI108" s="135">
        <v>0</v>
      </c>
      <c r="AJ108" s="135">
        <v>0</v>
      </c>
      <c r="AK108" s="135">
        <v>0</v>
      </c>
      <c r="AL108" s="135">
        <v>0</v>
      </c>
      <c r="AM108" s="135">
        <v>0</v>
      </c>
      <c r="AN108" s="135">
        <v>0</v>
      </c>
      <c r="AO108" s="135">
        <v>0</v>
      </c>
      <c r="AP108" s="135">
        <v>0</v>
      </c>
      <c r="AQ108" s="135">
        <v>0</v>
      </c>
      <c r="AR108" s="135">
        <v>0</v>
      </c>
      <c r="AS108" s="135">
        <v>0</v>
      </c>
      <c r="AT108" s="135">
        <v>0</v>
      </c>
      <c r="AU108" s="135">
        <v>0</v>
      </c>
      <c r="AV108" s="135">
        <v>0</v>
      </c>
      <c r="AW108" s="135">
        <v>0</v>
      </c>
      <c r="AX108" s="135">
        <v>0</v>
      </c>
      <c r="AY108" s="135">
        <v>0</v>
      </c>
      <c r="AZ108" s="117">
        <f>SUM($D108:$AY108)</f>
        <v>0</v>
      </c>
    </row>
    <row r="109" spans="1:52" x14ac:dyDescent="0.2">
      <c r="A109" s="141" t="s">
        <v>134</v>
      </c>
      <c r="B109" s="129">
        <v>1</v>
      </c>
      <c r="C109" s="116"/>
      <c r="D109" s="116">
        <v>0</v>
      </c>
      <c r="E109" s="116">
        <v>19.894143222784233</v>
      </c>
      <c r="F109" s="116">
        <v>44.977141751522709</v>
      </c>
      <c r="G109" s="116">
        <v>106.77558101622768</v>
      </c>
      <c r="H109" s="116">
        <v>160.21237772685899</v>
      </c>
      <c r="I109" s="116">
        <v>130.23459297951749</v>
      </c>
      <c r="J109" s="116">
        <v>209.54499504293869</v>
      </c>
      <c r="K109" s="116">
        <v>251.0211387060094</v>
      </c>
      <c r="L109" s="116">
        <v>288.41940158986444</v>
      </c>
      <c r="M109" s="116">
        <v>362.69632036977424</v>
      </c>
      <c r="N109" s="116">
        <v>366.15029151195131</v>
      </c>
      <c r="O109" s="116">
        <v>380.0902562239703</v>
      </c>
      <c r="P109" s="116">
        <v>403.54976922155367</v>
      </c>
      <c r="Q109" s="116">
        <v>363.94920629607947</v>
      </c>
      <c r="R109" s="116">
        <v>385.53408643019151</v>
      </c>
      <c r="S109" s="116">
        <v>401.19232443669227</v>
      </c>
      <c r="T109" s="116">
        <v>379.18802020860841</v>
      </c>
      <c r="U109" s="116">
        <v>289.52201692551552</v>
      </c>
      <c r="V109" s="116">
        <v>342.07259298985042</v>
      </c>
      <c r="W109" s="116">
        <v>386.17080146904749</v>
      </c>
      <c r="X109" s="116">
        <v>398.83360824399921</v>
      </c>
      <c r="Y109" s="116">
        <v>414.44739322180811</v>
      </c>
      <c r="Z109" s="116">
        <v>363.57622106540731</v>
      </c>
      <c r="AA109" s="116">
        <v>339.15196866945627</v>
      </c>
      <c r="AB109" s="116">
        <v>291.66111187490418</v>
      </c>
      <c r="AC109" s="116">
        <v>266.87705063381031</v>
      </c>
      <c r="AD109" s="116">
        <v>220.58378779984059</v>
      </c>
      <c r="AE109" s="116">
        <v>208.95789815519382</v>
      </c>
      <c r="AF109" s="116">
        <v>246.42460875333634</v>
      </c>
      <c r="AG109" s="116">
        <v>417.29256778717314</v>
      </c>
      <c r="AH109" s="116">
        <v>400.32832244677104</v>
      </c>
      <c r="AI109" s="116">
        <v>392.87921389219122</v>
      </c>
      <c r="AJ109" s="116">
        <v>456.18486014225641</v>
      </c>
      <c r="AK109" s="116">
        <v>418.05190722246607</v>
      </c>
      <c r="AL109" s="116">
        <v>523.32505554757006</v>
      </c>
      <c r="AM109" s="116">
        <v>468.08590398444551</v>
      </c>
      <c r="AN109" s="116">
        <v>489.99484399207125</v>
      </c>
      <c r="AO109" s="116">
        <v>620.04110399501315</v>
      </c>
      <c r="AP109" s="116">
        <v>615.51381269940873</v>
      </c>
      <c r="AQ109" s="116">
        <v>615.92760194581217</v>
      </c>
      <c r="AR109" s="116">
        <v>516.12802733668332</v>
      </c>
      <c r="AS109" s="116">
        <v>195.36261419398642</v>
      </c>
      <c r="AT109" s="116">
        <v>173.59550563399776</v>
      </c>
      <c r="AU109" s="116">
        <v>251.32183119926933</v>
      </c>
      <c r="AV109" s="116">
        <v>262.08036596366782</v>
      </c>
      <c r="AW109" s="116">
        <v>324.07180805447268</v>
      </c>
      <c r="AX109" s="116">
        <v>321.62888730946975</v>
      </c>
      <c r="AY109" s="116">
        <v>268.71027317391963</v>
      </c>
    </row>
    <row r="110" spans="1:52" x14ac:dyDescent="0.2">
      <c r="A110" s="119"/>
      <c r="B110" s="129">
        <v>2</v>
      </c>
      <c r="C110" s="116"/>
      <c r="D110" s="116">
        <v>0</v>
      </c>
      <c r="E110" s="116">
        <v>0</v>
      </c>
      <c r="F110" s="116">
        <v>0</v>
      </c>
      <c r="G110" s="116">
        <v>0</v>
      </c>
      <c r="H110" s="116">
        <v>0</v>
      </c>
      <c r="I110" s="116">
        <v>0</v>
      </c>
      <c r="J110" s="116">
        <v>0</v>
      </c>
      <c r="K110" s="116">
        <v>0</v>
      </c>
      <c r="L110" s="116">
        <v>0</v>
      </c>
      <c r="M110" s="116">
        <v>0</v>
      </c>
      <c r="N110" s="116">
        <v>0</v>
      </c>
      <c r="O110" s="116">
        <v>0</v>
      </c>
      <c r="P110" s="116">
        <v>0</v>
      </c>
      <c r="Q110" s="116">
        <v>0</v>
      </c>
      <c r="R110" s="116">
        <v>0</v>
      </c>
      <c r="S110" s="116">
        <v>0</v>
      </c>
      <c r="T110" s="116">
        <v>0</v>
      </c>
      <c r="U110" s="116">
        <v>0</v>
      </c>
      <c r="V110" s="116">
        <v>0</v>
      </c>
      <c r="W110" s="116">
        <v>0</v>
      </c>
      <c r="X110" s="116">
        <v>0</v>
      </c>
      <c r="Y110" s="116">
        <v>0</v>
      </c>
      <c r="Z110" s="116">
        <v>81.447393221808113</v>
      </c>
      <c r="AA110" s="116">
        <v>0</v>
      </c>
      <c r="AB110" s="116">
        <v>0</v>
      </c>
      <c r="AC110" s="116">
        <v>0</v>
      </c>
      <c r="AD110" s="116">
        <v>0</v>
      </c>
      <c r="AE110" s="116">
        <v>0</v>
      </c>
      <c r="AF110" s="116">
        <v>0</v>
      </c>
      <c r="AG110" s="116">
        <v>0</v>
      </c>
      <c r="AH110" s="116">
        <v>0</v>
      </c>
      <c r="AI110" s="116">
        <v>0</v>
      </c>
      <c r="AJ110" s="116">
        <v>0</v>
      </c>
      <c r="AK110" s="116">
        <v>0</v>
      </c>
      <c r="AL110" s="116">
        <v>0</v>
      </c>
      <c r="AM110" s="116">
        <v>83.325055547570059</v>
      </c>
      <c r="AN110" s="116">
        <v>1.7476838392683476</v>
      </c>
      <c r="AO110" s="116">
        <v>0</v>
      </c>
      <c r="AP110" s="116">
        <v>0</v>
      </c>
      <c r="AQ110" s="116">
        <v>9.4853869679052423</v>
      </c>
      <c r="AR110" s="116">
        <v>99.412988913717413</v>
      </c>
      <c r="AS110" s="116">
        <v>113.77149181579858</v>
      </c>
      <c r="AT110" s="116">
        <v>0</v>
      </c>
      <c r="AU110" s="116">
        <v>0</v>
      </c>
      <c r="AV110" s="116">
        <v>0</v>
      </c>
      <c r="AW110" s="116">
        <v>0</v>
      </c>
      <c r="AX110" s="116">
        <v>0</v>
      </c>
      <c r="AY110" s="116">
        <v>0</v>
      </c>
    </row>
    <row r="111" spans="1:52" x14ac:dyDescent="0.2">
      <c r="A111" s="119"/>
      <c r="B111" s="129">
        <v>3</v>
      </c>
      <c r="C111" s="116"/>
      <c r="D111" s="116">
        <v>0</v>
      </c>
      <c r="E111" s="116">
        <v>0</v>
      </c>
      <c r="F111" s="116">
        <v>0</v>
      </c>
      <c r="G111" s="116">
        <v>0</v>
      </c>
      <c r="H111" s="116">
        <v>0</v>
      </c>
      <c r="I111" s="116">
        <v>0</v>
      </c>
      <c r="J111" s="116">
        <v>0</v>
      </c>
      <c r="K111" s="116">
        <v>0</v>
      </c>
      <c r="L111" s="116">
        <v>0</v>
      </c>
      <c r="M111" s="116">
        <v>0</v>
      </c>
      <c r="N111" s="116">
        <v>0</v>
      </c>
      <c r="O111" s="116">
        <v>0</v>
      </c>
      <c r="P111" s="116">
        <v>0</v>
      </c>
      <c r="Q111" s="116">
        <v>0</v>
      </c>
      <c r="R111" s="116">
        <v>0</v>
      </c>
      <c r="S111" s="116">
        <v>0</v>
      </c>
      <c r="T111" s="116">
        <v>0</v>
      </c>
      <c r="U111" s="116">
        <v>0</v>
      </c>
      <c r="V111" s="116">
        <v>0</v>
      </c>
      <c r="W111" s="116">
        <v>0</v>
      </c>
      <c r="X111" s="116">
        <v>0</v>
      </c>
      <c r="Y111" s="116">
        <v>0</v>
      </c>
      <c r="Z111" s="116">
        <v>0</v>
      </c>
      <c r="AA111" s="116">
        <v>0</v>
      </c>
      <c r="AB111" s="116">
        <v>0</v>
      </c>
      <c r="AC111" s="116">
        <v>0</v>
      </c>
      <c r="AD111" s="116">
        <v>0</v>
      </c>
      <c r="AE111" s="116">
        <v>0</v>
      </c>
      <c r="AF111" s="116">
        <v>0</v>
      </c>
      <c r="AG111" s="116">
        <v>0</v>
      </c>
      <c r="AH111" s="116">
        <v>0</v>
      </c>
      <c r="AI111" s="116">
        <v>0</v>
      </c>
      <c r="AJ111" s="116">
        <v>0</v>
      </c>
      <c r="AK111" s="116">
        <v>0</v>
      </c>
      <c r="AL111" s="116">
        <v>0</v>
      </c>
      <c r="AM111" s="116">
        <v>0</v>
      </c>
      <c r="AN111" s="116">
        <v>0</v>
      </c>
      <c r="AO111" s="116">
        <v>0</v>
      </c>
      <c r="AP111" s="116">
        <v>0</v>
      </c>
      <c r="AQ111" s="116">
        <v>0</v>
      </c>
      <c r="AR111" s="116">
        <v>0</v>
      </c>
      <c r="AS111" s="116">
        <v>0</v>
      </c>
      <c r="AT111" s="116">
        <v>0</v>
      </c>
      <c r="AU111" s="116">
        <v>0</v>
      </c>
      <c r="AV111" s="116">
        <v>0</v>
      </c>
      <c r="AW111" s="116">
        <v>0</v>
      </c>
      <c r="AX111" s="116">
        <v>0</v>
      </c>
      <c r="AY111" s="116">
        <v>0</v>
      </c>
    </row>
    <row r="112" spans="1:52" x14ac:dyDescent="0.2">
      <c r="A112" s="119"/>
      <c r="B112" s="130">
        <v>4</v>
      </c>
      <c r="C112" s="116"/>
      <c r="D112" s="116">
        <v>0</v>
      </c>
      <c r="E112" s="116">
        <v>0</v>
      </c>
      <c r="F112" s="116">
        <v>0</v>
      </c>
      <c r="G112" s="116">
        <v>0</v>
      </c>
      <c r="H112" s="116">
        <v>0</v>
      </c>
      <c r="I112" s="116">
        <v>0</v>
      </c>
      <c r="J112" s="116">
        <v>0</v>
      </c>
      <c r="K112" s="116">
        <v>0</v>
      </c>
      <c r="L112" s="116">
        <v>0</v>
      </c>
      <c r="M112" s="116">
        <v>0</v>
      </c>
      <c r="N112" s="116">
        <v>0</v>
      </c>
      <c r="O112" s="116">
        <v>0</v>
      </c>
      <c r="P112" s="116">
        <v>0</v>
      </c>
      <c r="Q112" s="116">
        <v>0</v>
      </c>
      <c r="R112" s="116">
        <v>0</v>
      </c>
      <c r="S112" s="116">
        <v>0</v>
      </c>
      <c r="T112" s="116">
        <v>0</v>
      </c>
      <c r="U112" s="116">
        <v>0</v>
      </c>
      <c r="V112" s="116">
        <v>0</v>
      </c>
      <c r="W112" s="116">
        <v>0</v>
      </c>
      <c r="X112" s="116">
        <v>0</v>
      </c>
      <c r="Y112" s="116">
        <v>0</v>
      </c>
      <c r="Z112" s="116">
        <v>0</v>
      </c>
      <c r="AA112" s="116">
        <v>0</v>
      </c>
      <c r="AB112" s="116">
        <v>0</v>
      </c>
      <c r="AC112" s="116">
        <v>0</v>
      </c>
      <c r="AD112" s="116">
        <v>0</v>
      </c>
      <c r="AE112" s="116">
        <v>0</v>
      </c>
      <c r="AF112" s="116">
        <v>0</v>
      </c>
      <c r="AG112" s="116">
        <v>0</v>
      </c>
      <c r="AH112" s="116">
        <v>0</v>
      </c>
      <c r="AI112" s="116">
        <v>0</v>
      </c>
      <c r="AJ112" s="116">
        <v>0</v>
      </c>
      <c r="AK112" s="116">
        <v>0</v>
      </c>
      <c r="AL112" s="116">
        <v>0</v>
      </c>
      <c r="AM112" s="116">
        <v>0</v>
      </c>
      <c r="AN112" s="116">
        <v>0</v>
      </c>
      <c r="AO112" s="116">
        <v>0</v>
      </c>
      <c r="AP112" s="116">
        <v>0</v>
      </c>
      <c r="AQ112" s="116">
        <v>0</v>
      </c>
      <c r="AR112" s="116">
        <v>0</v>
      </c>
      <c r="AS112" s="116">
        <v>0</v>
      </c>
      <c r="AT112" s="116">
        <v>0</v>
      </c>
      <c r="AU112" s="116">
        <v>0</v>
      </c>
      <c r="AV112" s="116">
        <v>0</v>
      </c>
      <c r="AW112" s="116">
        <v>0</v>
      </c>
      <c r="AX112" s="116">
        <v>0</v>
      </c>
      <c r="AY112" s="116">
        <v>0</v>
      </c>
    </row>
    <row r="113" spans="1:52" x14ac:dyDescent="0.2">
      <c r="A113" s="119"/>
      <c r="B113" s="130">
        <v>5</v>
      </c>
      <c r="C113" s="116"/>
      <c r="D113" s="116">
        <v>0</v>
      </c>
      <c r="E113" s="116">
        <v>0</v>
      </c>
      <c r="F113" s="116">
        <v>0</v>
      </c>
      <c r="G113" s="116">
        <v>0</v>
      </c>
      <c r="H113" s="116">
        <v>0</v>
      </c>
      <c r="I113" s="116">
        <v>0</v>
      </c>
      <c r="J113" s="116">
        <v>0</v>
      </c>
      <c r="K113" s="116">
        <v>0</v>
      </c>
      <c r="L113" s="116">
        <v>0</v>
      </c>
      <c r="M113" s="116">
        <v>0</v>
      </c>
      <c r="N113" s="116">
        <v>0</v>
      </c>
      <c r="O113" s="116">
        <v>0</v>
      </c>
      <c r="P113" s="116">
        <v>0</v>
      </c>
      <c r="Q113" s="116">
        <v>0</v>
      </c>
      <c r="R113" s="116">
        <v>0</v>
      </c>
      <c r="S113" s="116">
        <v>0</v>
      </c>
      <c r="T113" s="116">
        <v>0</v>
      </c>
      <c r="U113" s="116">
        <v>0</v>
      </c>
      <c r="V113" s="116">
        <v>0</v>
      </c>
      <c r="W113" s="116">
        <v>0</v>
      </c>
      <c r="X113" s="116">
        <v>0</v>
      </c>
      <c r="Y113" s="116">
        <v>0</v>
      </c>
      <c r="Z113" s="116">
        <v>0</v>
      </c>
      <c r="AA113" s="116">
        <v>0</v>
      </c>
      <c r="AB113" s="116">
        <v>0</v>
      </c>
      <c r="AC113" s="116">
        <v>0</v>
      </c>
      <c r="AD113" s="116">
        <v>0</v>
      </c>
      <c r="AE113" s="116">
        <v>0</v>
      </c>
      <c r="AF113" s="116">
        <v>0</v>
      </c>
      <c r="AG113" s="116">
        <v>0</v>
      </c>
      <c r="AH113" s="116">
        <v>0</v>
      </c>
      <c r="AI113" s="116">
        <v>0</v>
      </c>
      <c r="AJ113" s="116">
        <v>0</v>
      </c>
      <c r="AK113" s="116">
        <v>0</v>
      </c>
      <c r="AL113" s="116">
        <v>0</v>
      </c>
      <c r="AM113" s="116">
        <v>0</v>
      </c>
      <c r="AN113" s="116">
        <v>0</v>
      </c>
      <c r="AO113" s="116">
        <v>0</v>
      </c>
      <c r="AP113" s="116">
        <v>0</v>
      </c>
      <c r="AQ113" s="116">
        <v>0</v>
      </c>
      <c r="AR113" s="116">
        <v>0</v>
      </c>
      <c r="AS113" s="116">
        <v>0</v>
      </c>
      <c r="AT113" s="116">
        <v>0</v>
      </c>
      <c r="AU113" s="116">
        <v>0</v>
      </c>
      <c r="AV113" s="116">
        <v>0</v>
      </c>
      <c r="AW113" s="116">
        <v>0</v>
      </c>
      <c r="AX113" s="116">
        <v>0</v>
      </c>
      <c r="AY113" s="116">
        <v>0</v>
      </c>
    </row>
    <row r="114" spans="1:52" x14ac:dyDescent="0.2">
      <c r="A114" s="119"/>
      <c r="B114" s="130">
        <v>6</v>
      </c>
      <c r="C114" s="116"/>
      <c r="D114" s="116">
        <v>0</v>
      </c>
      <c r="E114" s="116">
        <v>0</v>
      </c>
      <c r="F114" s="116">
        <v>0</v>
      </c>
      <c r="G114" s="116">
        <v>0</v>
      </c>
      <c r="H114" s="116">
        <v>0</v>
      </c>
      <c r="I114" s="116">
        <v>0</v>
      </c>
      <c r="J114" s="116">
        <v>0</v>
      </c>
      <c r="K114" s="116">
        <v>0</v>
      </c>
      <c r="L114" s="116">
        <v>0</v>
      </c>
      <c r="M114" s="116">
        <v>0</v>
      </c>
      <c r="N114" s="116">
        <v>0</v>
      </c>
      <c r="O114" s="116">
        <v>0</v>
      </c>
      <c r="P114" s="116">
        <v>0</v>
      </c>
      <c r="Q114" s="116">
        <v>0</v>
      </c>
      <c r="R114" s="116">
        <v>0</v>
      </c>
      <c r="S114" s="116">
        <v>0</v>
      </c>
      <c r="T114" s="116">
        <v>0</v>
      </c>
      <c r="U114" s="116">
        <v>0</v>
      </c>
      <c r="V114" s="116">
        <v>0</v>
      </c>
      <c r="W114" s="116">
        <v>0</v>
      </c>
      <c r="X114" s="116">
        <v>0</v>
      </c>
      <c r="Y114" s="116">
        <v>0</v>
      </c>
      <c r="Z114" s="116">
        <v>0</v>
      </c>
      <c r="AA114" s="116">
        <v>0</v>
      </c>
      <c r="AB114" s="116">
        <v>0</v>
      </c>
      <c r="AC114" s="116">
        <v>0</v>
      </c>
      <c r="AD114" s="116">
        <v>0</v>
      </c>
      <c r="AE114" s="116">
        <v>0</v>
      </c>
      <c r="AF114" s="116">
        <v>0</v>
      </c>
      <c r="AG114" s="116">
        <v>0</v>
      </c>
      <c r="AH114" s="116">
        <v>0</v>
      </c>
      <c r="AI114" s="116">
        <v>0</v>
      </c>
      <c r="AJ114" s="116">
        <v>0</v>
      </c>
      <c r="AK114" s="116">
        <v>0</v>
      </c>
      <c r="AL114" s="116">
        <v>0</v>
      </c>
      <c r="AM114" s="116">
        <v>0</v>
      </c>
      <c r="AN114" s="116">
        <v>0</v>
      </c>
      <c r="AO114" s="116">
        <v>0</v>
      </c>
      <c r="AP114" s="116">
        <v>0</v>
      </c>
      <c r="AQ114" s="116">
        <v>0</v>
      </c>
      <c r="AR114" s="116">
        <v>0</v>
      </c>
      <c r="AS114" s="116">
        <v>0</v>
      </c>
      <c r="AT114" s="116">
        <v>0</v>
      </c>
      <c r="AU114" s="116">
        <v>0</v>
      </c>
      <c r="AV114" s="116">
        <v>0</v>
      </c>
      <c r="AW114" s="116">
        <v>0</v>
      </c>
      <c r="AX114" s="116">
        <v>0</v>
      </c>
      <c r="AY114" s="116">
        <v>0</v>
      </c>
    </row>
    <row r="115" spans="1:52" x14ac:dyDescent="0.2">
      <c r="A115" s="119"/>
      <c r="B115" s="137">
        <v>7</v>
      </c>
      <c r="C115" s="116"/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0</v>
      </c>
      <c r="AA115" s="116">
        <v>0</v>
      </c>
      <c r="AB115" s="116">
        <v>0</v>
      </c>
      <c r="AC115" s="116">
        <v>0</v>
      </c>
      <c r="AD115" s="116">
        <v>0</v>
      </c>
      <c r="AE115" s="116">
        <v>0</v>
      </c>
      <c r="AF115" s="116">
        <v>0</v>
      </c>
      <c r="AG115" s="116">
        <v>0</v>
      </c>
      <c r="AH115" s="116">
        <v>0</v>
      </c>
      <c r="AI115" s="116">
        <v>0</v>
      </c>
      <c r="AJ115" s="116">
        <v>0</v>
      </c>
      <c r="AK115" s="116">
        <v>0</v>
      </c>
      <c r="AL115" s="116">
        <v>0</v>
      </c>
      <c r="AM115" s="116">
        <v>0</v>
      </c>
      <c r="AN115" s="116">
        <v>0</v>
      </c>
      <c r="AO115" s="116">
        <v>0</v>
      </c>
      <c r="AP115" s="116">
        <v>0</v>
      </c>
      <c r="AQ115" s="116">
        <v>0</v>
      </c>
      <c r="AR115" s="116">
        <v>0</v>
      </c>
      <c r="AS115" s="116">
        <v>0</v>
      </c>
      <c r="AT115" s="116">
        <v>0</v>
      </c>
      <c r="AU115" s="116">
        <v>0</v>
      </c>
      <c r="AV115" s="116">
        <v>0</v>
      </c>
      <c r="AW115" s="116">
        <v>0</v>
      </c>
      <c r="AX115" s="116">
        <v>0</v>
      </c>
      <c r="AY115" s="116">
        <v>0</v>
      </c>
    </row>
    <row r="116" spans="1:52" x14ac:dyDescent="0.2">
      <c r="A116" s="119"/>
      <c r="B116" s="137">
        <v>8</v>
      </c>
      <c r="C116" s="116"/>
      <c r="D116" s="116">
        <v>0</v>
      </c>
      <c r="E116" s="116">
        <v>0</v>
      </c>
      <c r="F116" s="116">
        <v>0</v>
      </c>
      <c r="G116" s="116">
        <v>0</v>
      </c>
      <c r="H116" s="116">
        <v>0</v>
      </c>
      <c r="I116" s="116">
        <v>0</v>
      </c>
      <c r="J116" s="116">
        <v>0</v>
      </c>
      <c r="K116" s="116">
        <v>0</v>
      </c>
      <c r="L116" s="116">
        <v>0</v>
      </c>
      <c r="M116" s="116">
        <v>0</v>
      </c>
      <c r="N116" s="116">
        <v>0</v>
      </c>
      <c r="O116" s="116">
        <v>0</v>
      </c>
      <c r="P116" s="116">
        <v>0</v>
      </c>
      <c r="Q116" s="116">
        <v>0</v>
      </c>
      <c r="R116" s="116">
        <v>0</v>
      </c>
      <c r="S116" s="116">
        <v>0</v>
      </c>
      <c r="T116" s="116">
        <v>0</v>
      </c>
      <c r="U116" s="116">
        <v>0</v>
      </c>
      <c r="V116" s="116">
        <v>0</v>
      </c>
      <c r="W116" s="116">
        <v>0</v>
      </c>
      <c r="X116" s="116">
        <v>0</v>
      </c>
      <c r="Y116" s="116">
        <v>0</v>
      </c>
      <c r="Z116" s="116">
        <v>0</v>
      </c>
      <c r="AA116" s="116">
        <v>0</v>
      </c>
      <c r="AB116" s="116">
        <v>0</v>
      </c>
      <c r="AC116" s="116">
        <v>0</v>
      </c>
      <c r="AD116" s="116">
        <v>0</v>
      </c>
      <c r="AE116" s="116">
        <v>0</v>
      </c>
      <c r="AF116" s="116">
        <v>0</v>
      </c>
      <c r="AG116" s="116">
        <v>0</v>
      </c>
      <c r="AH116" s="116">
        <v>0</v>
      </c>
      <c r="AI116" s="116">
        <v>0</v>
      </c>
      <c r="AJ116" s="116">
        <v>0</v>
      </c>
      <c r="AK116" s="116">
        <v>0</v>
      </c>
      <c r="AL116" s="116">
        <v>0</v>
      </c>
      <c r="AM116" s="116">
        <v>0</v>
      </c>
      <c r="AN116" s="116">
        <v>0</v>
      </c>
      <c r="AO116" s="116">
        <v>0</v>
      </c>
      <c r="AP116" s="116">
        <v>0</v>
      </c>
      <c r="AQ116" s="116">
        <v>0</v>
      </c>
      <c r="AR116" s="116">
        <v>0</v>
      </c>
      <c r="AS116" s="116">
        <v>0</v>
      </c>
      <c r="AT116" s="116">
        <v>0</v>
      </c>
      <c r="AU116" s="116">
        <v>0</v>
      </c>
      <c r="AV116" s="116">
        <v>0</v>
      </c>
      <c r="AW116" s="116">
        <v>0</v>
      </c>
      <c r="AX116" s="116">
        <v>0</v>
      </c>
      <c r="AY116" s="116">
        <v>0</v>
      </c>
    </row>
    <row r="117" spans="1:52" x14ac:dyDescent="0.2">
      <c r="A117" s="119"/>
      <c r="B117" s="137">
        <v>9</v>
      </c>
      <c r="C117" s="116"/>
      <c r="D117" s="116">
        <v>0</v>
      </c>
      <c r="E117" s="116">
        <v>0</v>
      </c>
      <c r="F117" s="116">
        <v>0</v>
      </c>
      <c r="G117" s="116">
        <v>0</v>
      </c>
      <c r="H117" s="116">
        <v>0</v>
      </c>
      <c r="I117" s="116">
        <v>0</v>
      </c>
      <c r="J117" s="116">
        <v>0</v>
      </c>
      <c r="K117" s="116">
        <v>0</v>
      </c>
      <c r="L117" s="116">
        <v>0</v>
      </c>
      <c r="M117" s="116">
        <v>0</v>
      </c>
      <c r="N117" s="116">
        <v>0</v>
      </c>
      <c r="O117" s="116">
        <v>0</v>
      </c>
      <c r="P117" s="116">
        <v>0</v>
      </c>
      <c r="Q117" s="116">
        <v>0</v>
      </c>
      <c r="R117" s="116">
        <v>0</v>
      </c>
      <c r="S117" s="116">
        <v>0</v>
      </c>
      <c r="T117" s="116">
        <v>0</v>
      </c>
      <c r="U117" s="116">
        <v>0</v>
      </c>
      <c r="V117" s="116">
        <v>0</v>
      </c>
      <c r="W117" s="116">
        <v>0</v>
      </c>
      <c r="X117" s="116">
        <v>0</v>
      </c>
      <c r="Y117" s="116">
        <v>0</v>
      </c>
      <c r="Z117" s="116">
        <v>0</v>
      </c>
      <c r="AA117" s="116">
        <v>0</v>
      </c>
      <c r="AB117" s="116">
        <v>0</v>
      </c>
      <c r="AC117" s="116">
        <v>0</v>
      </c>
      <c r="AD117" s="116">
        <v>0</v>
      </c>
      <c r="AE117" s="116">
        <v>0</v>
      </c>
      <c r="AF117" s="116">
        <v>0</v>
      </c>
      <c r="AG117" s="116">
        <v>0</v>
      </c>
      <c r="AH117" s="116">
        <v>0</v>
      </c>
      <c r="AI117" s="116">
        <v>0</v>
      </c>
      <c r="AJ117" s="116">
        <v>0</v>
      </c>
      <c r="AK117" s="116">
        <v>0</v>
      </c>
      <c r="AL117" s="116">
        <v>0</v>
      </c>
      <c r="AM117" s="116">
        <v>0</v>
      </c>
      <c r="AN117" s="116">
        <v>0</v>
      </c>
      <c r="AO117" s="116">
        <v>0</v>
      </c>
      <c r="AP117" s="116">
        <v>0</v>
      </c>
      <c r="AQ117" s="116">
        <v>0</v>
      </c>
      <c r="AR117" s="116">
        <v>0</v>
      </c>
      <c r="AS117" s="116">
        <v>0</v>
      </c>
      <c r="AT117" s="116">
        <v>0</v>
      </c>
      <c r="AU117" s="116">
        <v>0</v>
      </c>
      <c r="AV117" s="116">
        <v>0</v>
      </c>
      <c r="AW117" s="116">
        <v>0</v>
      </c>
      <c r="AX117" s="116">
        <v>0</v>
      </c>
      <c r="AY117" s="116">
        <v>0</v>
      </c>
    </row>
    <row r="118" spans="1:52" x14ac:dyDescent="0.2">
      <c r="A118" s="119"/>
      <c r="B118" s="140">
        <v>10</v>
      </c>
      <c r="C118" s="116"/>
      <c r="D118" s="116">
        <v>0</v>
      </c>
      <c r="E118" s="116">
        <v>0</v>
      </c>
      <c r="F118" s="116">
        <v>0</v>
      </c>
      <c r="G118" s="116">
        <v>0</v>
      </c>
      <c r="H118" s="116">
        <v>0</v>
      </c>
      <c r="I118" s="116">
        <v>0</v>
      </c>
      <c r="J118" s="116">
        <v>0</v>
      </c>
      <c r="K118" s="116">
        <v>0</v>
      </c>
      <c r="L118" s="116">
        <v>0</v>
      </c>
      <c r="M118" s="116">
        <v>0</v>
      </c>
      <c r="N118" s="116">
        <v>0</v>
      </c>
      <c r="O118" s="116">
        <v>0</v>
      </c>
      <c r="P118" s="116">
        <v>0</v>
      </c>
      <c r="Q118" s="116">
        <v>0</v>
      </c>
      <c r="R118" s="116">
        <v>0</v>
      </c>
      <c r="S118" s="116">
        <v>0</v>
      </c>
      <c r="T118" s="116">
        <v>0</v>
      </c>
      <c r="U118" s="116">
        <v>0</v>
      </c>
      <c r="V118" s="116">
        <v>0</v>
      </c>
      <c r="W118" s="116">
        <v>0</v>
      </c>
      <c r="X118" s="116">
        <v>0</v>
      </c>
      <c r="Y118" s="116">
        <v>0</v>
      </c>
      <c r="Z118" s="116">
        <v>0</v>
      </c>
      <c r="AA118" s="116">
        <v>0</v>
      </c>
      <c r="AB118" s="116">
        <v>0</v>
      </c>
      <c r="AC118" s="116">
        <v>0</v>
      </c>
      <c r="AD118" s="116">
        <v>0</v>
      </c>
      <c r="AE118" s="116">
        <v>0</v>
      </c>
      <c r="AF118" s="116">
        <v>0</v>
      </c>
      <c r="AG118" s="116">
        <v>0</v>
      </c>
      <c r="AH118" s="116">
        <v>0</v>
      </c>
      <c r="AI118" s="116">
        <v>0</v>
      </c>
      <c r="AJ118" s="116">
        <v>0</v>
      </c>
      <c r="AK118" s="116">
        <v>0</v>
      </c>
      <c r="AL118" s="116">
        <v>0</v>
      </c>
      <c r="AM118" s="116">
        <v>0</v>
      </c>
      <c r="AN118" s="116">
        <v>0</v>
      </c>
      <c r="AO118" s="116">
        <v>0</v>
      </c>
      <c r="AP118" s="116">
        <v>0</v>
      </c>
      <c r="AQ118" s="116">
        <v>0</v>
      </c>
      <c r="AR118" s="116">
        <v>0</v>
      </c>
      <c r="AS118" s="116">
        <v>0</v>
      </c>
      <c r="AT118" s="116">
        <v>0</v>
      </c>
      <c r="AU118" s="116">
        <v>0</v>
      </c>
      <c r="AV118" s="116">
        <v>0</v>
      </c>
      <c r="AW118" s="116">
        <v>0</v>
      </c>
      <c r="AX118" s="116">
        <v>0</v>
      </c>
      <c r="AY118" s="116">
        <v>0</v>
      </c>
    </row>
    <row r="119" spans="1:52" x14ac:dyDescent="0.2">
      <c r="A119" s="119"/>
      <c r="B119" s="140">
        <v>11</v>
      </c>
      <c r="C119" s="116"/>
      <c r="D119" s="116">
        <v>0</v>
      </c>
      <c r="E119" s="116">
        <v>0</v>
      </c>
      <c r="F119" s="116">
        <v>0</v>
      </c>
      <c r="G119" s="116">
        <v>0</v>
      </c>
      <c r="H119" s="116">
        <v>0</v>
      </c>
      <c r="I119" s="116">
        <v>0</v>
      </c>
      <c r="J119" s="116">
        <v>0</v>
      </c>
      <c r="K119" s="116">
        <v>0</v>
      </c>
      <c r="L119" s="116">
        <v>0</v>
      </c>
      <c r="M119" s="116">
        <v>0</v>
      </c>
      <c r="N119" s="116">
        <v>0</v>
      </c>
      <c r="O119" s="116">
        <v>0</v>
      </c>
      <c r="P119" s="116">
        <v>0</v>
      </c>
      <c r="Q119" s="116">
        <v>0</v>
      </c>
      <c r="R119" s="116">
        <v>0</v>
      </c>
      <c r="S119" s="116">
        <v>0</v>
      </c>
      <c r="T119" s="116">
        <v>0</v>
      </c>
      <c r="U119" s="116">
        <v>0</v>
      </c>
      <c r="V119" s="116">
        <v>0</v>
      </c>
      <c r="W119" s="116">
        <v>0</v>
      </c>
      <c r="X119" s="116">
        <v>0</v>
      </c>
      <c r="Y119" s="116">
        <v>0</v>
      </c>
      <c r="Z119" s="116">
        <v>0</v>
      </c>
      <c r="AA119" s="116">
        <v>0</v>
      </c>
      <c r="AB119" s="116">
        <v>0</v>
      </c>
      <c r="AC119" s="116">
        <v>0</v>
      </c>
      <c r="AD119" s="116">
        <v>0</v>
      </c>
      <c r="AE119" s="116">
        <v>0</v>
      </c>
      <c r="AF119" s="116">
        <v>0</v>
      </c>
      <c r="AG119" s="116">
        <v>0</v>
      </c>
      <c r="AH119" s="116">
        <v>0</v>
      </c>
      <c r="AI119" s="116">
        <v>0</v>
      </c>
      <c r="AJ119" s="116">
        <v>0</v>
      </c>
      <c r="AK119" s="116">
        <v>0</v>
      </c>
      <c r="AL119" s="116">
        <v>0</v>
      </c>
      <c r="AM119" s="116">
        <v>0</v>
      </c>
      <c r="AN119" s="116">
        <v>0</v>
      </c>
      <c r="AO119" s="116">
        <v>0</v>
      </c>
      <c r="AP119" s="116">
        <v>0</v>
      </c>
      <c r="AQ119" s="116">
        <v>0</v>
      </c>
      <c r="AR119" s="116">
        <v>0</v>
      </c>
      <c r="AS119" s="116">
        <v>0</v>
      </c>
      <c r="AT119" s="116">
        <v>0</v>
      </c>
      <c r="AU119" s="116">
        <v>0</v>
      </c>
      <c r="AV119" s="116">
        <v>0</v>
      </c>
      <c r="AW119" s="116">
        <v>0</v>
      </c>
      <c r="AX119" s="116">
        <v>0</v>
      </c>
      <c r="AY119" s="116">
        <v>0</v>
      </c>
    </row>
    <row r="120" spans="1:52" x14ac:dyDescent="0.2">
      <c r="A120" s="119"/>
      <c r="B120" s="140">
        <v>12</v>
      </c>
      <c r="C120" s="116"/>
      <c r="D120" s="116">
        <v>0</v>
      </c>
      <c r="E120" s="116">
        <v>0</v>
      </c>
      <c r="F120" s="116">
        <v>0</v>
      </c>
      <c r="G120" s="116">
        <v>0</v>
      </c>
      <c r="H120" s="116">
        <v>0</v>
      </c>
      <c r="I120" s="116">
        <v>0</v>
      </c>
      <c r="J120" s="116">
        <v>0</v>
      </c>
      <c r="K120" s="116">
        <v>0</v>
      </c>
      <c r="L120" s="116">
        <v>0</v>
      </c>
      <c r="M120" s="116">
        <v>0</v>
      </c>
      <c r="N120" s="116">
        <v>0</v>
      </c>
      <c r="O120" s="116">
        <v>0</v>
      </c>
      <c r="P120" s="116">
        <v>0</v>
      </c>
      <c r="Q120" s="116">
        <v>0</v>
      </c>
      <c r="R120" s="116">
        <v>0</v>
      </c>
      <c r="S120" s="116">
        <v>0</v>
      </c>
      <c r="T120" s="116">
        <v>0</v>
      </c>
      <c r="U120" s="116">
        <v>0</v>
      </c>
      <c r="V120" s="116">
        <v>0</v>
      </c>
      <c r="W120" s="116">
        <v>0</v>
      </c>
      <c r="X120" s="116">
        <v>0</v>
      </c>
      <c r="Y120" s="116">
        <v>0</v>
      </c>
      <c r="Z120" s="116">
        <v>0</v>
      </c>
      <c r="AA120" s="116">
        <v>0</v>
      </c>
      <c r="AB120" s="116">
        <v>0</v>
      </c>
      <c r="AC120" s="116">
        <v>0</v>
      </c>
      <c r="AD120" s="116">
        <v>0</v>
      </c>
      <c r="AE120" s="116">
        <v>0</v>
      </c>
      <c r="AF120" s="116">
        <v>0</v>
      </c>
      <c r="AG120" s="116">
        <v>0</v>
      </c>
      <c r="AH120" s="116">
        <v>0</v>
      </c>
      <c r="AI120" s="116">
        <v>0</v>
      </c>
      <c r="AJ120" s="116">
        <v>0</v>
      </c>
      <c r="AK120" s="116">
        <v>0</v>
      </c>
      <c r="AL120" s="116">
        <v>0</v>
      </c>
      <c r="AM120" s="116">
        <v>0</v>
      </c>
      <c r="AN120" s="116">
        <v>0</v>
      </c>
      <c r="AO120" s="116">
        <v>0</v>
      </c>
      <c r="AP120" s="116">
        <v>0</v>
      </c>
      <c r="AQ120" s="116">
        <v>0</v>
      </c>
      <c r="AR120" s="116">
        <v>0</v>
      </c>
      <c r="AS120" s="116">
        <v>0</v>
      </c>
      <c r="AT120" s="116">
        <v>0</v>
      </c>
      <c r="AU120" s="116">
        <v>0</v>
      </c>
      <c r="AV120" s="116">
        <v>0</v>
      </c>
      <c r="AW120" s="116">
        <v>0</v>
      </c>
      <c r="AX120" s="116">
        <v>0</v>
      </c>
      <c r="AY120" s="116">
        <v>0</v>
      </c>
    </row>
    <row r="121" spans="1:52" x14ac:dyDescent="0.2">
      <c r="A121" s="138"/>
      <c r="B121" s="142" t="s">
        <v>298</v>
      </c>
      <c r="C121" s="124"/>
      <c r="D121" s="135">
        <v>0</v>
      </c>
      <c r="E121" s="135">
        <v>0</v>
      </c>
      <c r="F121" s="135">
        <v>0</v>
      </c>
      <c r="G121" s="135">
        <v>0</v>
      </c>
      <c r="H121" s="135">
        <v>0</v>
      </c>
      <c r="I121" s="135">
        <v>0</v>
      </c>
      <c r="J121" s="135">
        <v>0</v>
      </c>
      <c r="K121" s="135">
        <v>0</v>
      </c>
      <c r="L121" s="135">
        <v>0</v>
      </c>
      <c r="M121" s="135">
        <v>0</v>
      </c>
      <c r="N121" s="135">
        <v>0</v>
      </c>
      <c r="O121" s="135">
        <v>0</v>
      </c>
      <c r="P121" s="135">
        <v>0</v>
      </c>
      <c r="Q121" s="135">
        <v>0</v>
      </c>
      <c r="R121" s="135">
        <v>0</v>
      </c>
      <c r="S121" s="135">
        <v>0</v>
      </c>
      <c r="T121" s="135">
        <v>0</v>
      </c>
      <c r="U121" s="135">
        <v>0</v>
      </c>
      <c r="V121" s="135">
        <v>0</v>
      </c>
      <c r="W121" s="135">
        <v>0</v>
      </c>
      <c r="X121" s="135">
        <v>0</v>
      </c>
      <c r="Y121" s="135">
        <v>0</v>
      </c>
      <c r="Z121" s="135">
        <v>0</v>
      </c>
      <c r="AA121" s="135">
        <v>0</v>
      </c>
      <c r="AB121" s="135">
        <v>0</v>
      </c>
      <c r="AC121" s="135">
        <v>0</v>
      </c>
      <c r="AD121" s="135">
        <v>0</v>
      </c>
      <c r="AE121" s="135">
        <v>0</v>
      </c>
      <c r="AF121" s="135">
        <v>0</v>
      </c>
      <c r="AG121" s="135">
        <v>0</v>
      </c>
      <c r="AH121" s="135">
        <v>0</v>
      </c>
      <c r="AI121" s="135">
        <v>0</v>
      </c>
      <c r="AJ121" s="135">
        <v>0</v>
      </c>
      <c r="AK121" s="135">
        <v>0</v>
      </c>
      <c r="AL121" s="135">
        <v>0</v>
      </c>
      <c r="AM121" s="135">
        <v>0</v>
      </c>
      <c r="AN121" s="135">
        <v>0</v>
      </c>
      <c r="AO121" s="135">
        <v>0</v>
      </c>
      <c r="AP121" s="135">
        <v>0</v>
      </c>
      <c r="AQ121" s="135">
        <v>0</v>
      </c>
      <c r="AR121" s="135">
        <v>0</v>
      </c>
      <c r="AS121" s="135">
        <v>0</v>
      </c>
      <c r="AT121" s="135">
        <v>0</v>
      </c>
      <c r="AU121" s="135">
        <v>0</v>
      </c>
      <c r="AV121" s="135">
        <v>0</v>
      </c>
      <c r="AW121" s="135">
        <v>0</v>
      </c>
      <c r="AX121" s="135">
        <v>0</v>
      </c>
      <c r="AY121" s="135">
        <v>0</v>
      </c>
      <c r="AZ121" s="117">
        <f>SUM($D121:$AY121)</f>
        <v>0</v>
      </c>
    </row>
    <row r="122" spans="1:52" x14ac:dyDescent="0.2">
      <c r="A122" s="141" t="s">
        <v>123</v>
      </c>
      <c r="B122" s="129">
        <v>1</v>
      </c>
      <c r="C122" s="116"/>
      <c r="D122" s="116">
        <v>233.74335786563722</v>
      </c>
      <c r="E122" s="116">
        <v>528.45242051737523</v>
      </c>
      <c r="F122" s="116">
        <v>1038.9243271986074</v>
      </c>
      <c r="G122" s="116">
        <v>1038.9243271986074</v>
      </c>
      <c r="H122" s="116">
        <v>133.50177766218417</v>
      </c>
      <c r="I122" s="116">
        <v>516.76409734053118</v>
      </c>
      <c r="J122" s="116">
        <v>938.68274699515428</v>
      </c>
      <c r="K122" s="116">
        <v>516.76409734053118</v>
      </c>
      <c r="L122" s="116">
        <v>227.87427582963002</v>
      </c>
      <c r="M122" s="116">
        <v>1033.0552451626002</v>
      </c>
      <c r="N122" s="116">
        <v>1033.0552451626002</v>
      </c>
      <c r="O122" s="116">
        <v>1033.0552451626002</v>
      </c>
      <c r="P122" s="116">
        <v>1002.4922334519721</v>
      </c>
      <c r="Q122" s="116">
        <v>1002.4922334519721</v>
      </c>
      <c r="R122" s="116">
        <v>1002.4922334519721</v>
      </c>
      <c r="S122" s="116">
        <v>580.57358379734899</v>
      </c>
      <c r="T122" s="116">
        <v>163.31192179622374</v>
      </c>
      <c r="U122" s="116">
        <v>546.57424147457073</v>
      </c>
      <c r="V122" s="116">
        <v>968.49289112919382</v>
      </c>
      <c r="W122" s="116">
        <v>968.49289112919382</v>
      </c>
      <c r="X122" s="116">
        <v>927.59203083063824</v>
      </c>
      <c r="Y122" s="116">
        <v>122.41106149766814</v>
      </c>
      <c r="Z122" s="116">
        <v>505.67338117601514</v>
      </c>
      <c r="AA122" s="116">
        <v>122.41106149766814</v>
      </c>
      <c r="AB122" s="116">
        <v>527.40666835684669</v>
      </c>
      <c r="AC122" s="116">
        <v>144.14434867849968</v>
      </c>
      <c r="AD122" s="116">
        <v>144.14434867849968</v>
      </c>
      <c r="AE122" s="116">
        <v>527.40666835684669</v>
      </c>
      <c r="AF122" s="116">
        <v>950.95315749408041</v>
      </c>
      <c r="AG122" s="116">
        <v>529.03450783945732</v>
      </c>
      <c r="AH122" s="116">
        <v>145.77218816111031</v>
      </c>
      <c r="AI122" s="116">
        <v>529.03450783945732</v>
      </c>
      <c r="AJ122" s="116">
        <v>150.78842768253836</v>
      </c>
      <c r="AK122" s="116">
        <v>955.96939701550843</v>
      </c>
      <c r="AL122" s="116">
        <v>150.78842768253836</v>
      </c>
      <c r="AM122" s="116">
        <v>150.78842768253836</v>
      </c>
      <c r="AN122" s="116">
        <v>971.30435090192702</v>
      </c>
      <c r="AO122" s="116">
        <v>971.30435090192702</v>
      </c>
      <c r="AP122" s="116">
        <v>971.30435090192702</v>
      </c>
      <c r="AQ122" s="116">
        <v>166.12338156895692</v>
      </c>
      <c r="AR122" s="116">
        <v>502.6541556115954</v>
      </c>
      <c r="AS122" s="116">
        <v>119.3918359332484</v>
      </c>
      <c r="AT122" s="116">
        <v>924.57280526621844</v>
      </c>
      <c r="AU122" s="116">
        <v>924.57280526621855</v>
      </c>
      <c r="AV122" s="116">
        <v>911.66047883411306</v>
      </c>
      <c r="AW122" s="116">
        <v>911.66047883411306</v>
      </c>
      <c r="AX122" s="116">
        <v>106.47950950114301</v>
      </c>
      <c r="AY122" s="116">
        <v>911.66047883411306</v>
      </c>
    </row>
    <row r="123" spans="1:52" x14ac:dyDescent="0.2">
      <c r="A123" s="119"/>
      <c r="B123" s="129">
        <v>2</v>
      </c>
      <c r="C123" s="116"/>
      <c r="D123" s="116">
        <v>0</v>
      </c>
      <c r="E123" s="116">
        <v>0</v>
      </c>
      <c r="F123" s="116">
        <v>215.6199155614234</v>
      </c>
      <c r="G123" s="116">
        <v>843.46782822857267</v>
      </c>
      <c r="H123" s="116">
        <v>950.50038415418203</v>
      </c>
      <c r="I123" s="116">
        <v>927.05657164260515</v>
      </c>
      <c r="J123" s="116">
        <v>471.76102609465232</v>
      </c>
      <c r="K123" s="116">
        <v>856.93634325367486</v>
      </c>
      <c r="L123" s="116">
        <v>893.67967574927548</v>
      </c>
      <c r="M123" s="116">
        <v>203.17839368480728</v>
      </c>
      <c r="N123" s="116">
        <v>921.09784895917471</v>
      </c>
      <c r="O123" s="116">
        <v>921.09784895917471</v>
      </c>
      <c r="P123" s="116">
        <v>921.09784895917471</v>
      </c>
      <c r="Q123" s="116">
        <v>907.57625822785201</v>
      </c>
      <c r="R123" s="116">
        <v>907.57625822785201</v>
      </c>
      <c r="S123" s="116">
        <v>907.57625822785201</v>
      </c>
      <c r="T123" s="116">
        <v>947.52352042190967</v>
      </c>
      <c r="U123" s="116">
        <v>955.99109183094902</v>
      </c>
      <c r="V123" s="116">
        <v>926.65172366665104</v>
      </c>
      <c r="W123" s="116">
        <v>894.35314913422792</v>
      </c>
      <c r="X123" s="116">
        <v>894.35314913422792</v>
      </c>
      <c r="Y123" s="116">
        <v>855.64684961398746</v>
      </c>
      <c r="Z123" s="116">
        <v>112.91670868990853</v>
      </c>
      <c r="AA123" s="116">
        <v>466.45273046325866</v>
      </c>
      <c r="AB123" s="116">
        <v>112.91670868990853</v>
      </c>
      <c r="AC123" s="116">
        <v>492.86664776214849</v>
      </c>
      <c r="AD123" s="116">
        <v>134.70429213261605</v>
      </c>
      <c r="AE123" s="116">
        <v>134.70429213261605</v>
      </c>
      <c r="AF123" s="116">
        <v>914.78529741677153</v>
      </c>
      <c r="AG123" s="116">
        <v>858.57938269228964</v>
      </c>
      <c r="AH123" s="116">
        <v>899.56375507775533</v>
      </c>
      <c r="AI123" s="116">
        <v>936.79312534586973</v>
      </c>
      <c r="AJ123" s="116">
        <v>899.56375507775533</v>
      </c>
      <c r="AK123" s="116">
        <v>941.96411596133191</v>
      </c>
      <c r="AL123" s="116">
        <v>867.17863044168632</v>
      </c>
      <c r="AM123" s="116">
        <v>941.96411596133191</v>
      </c>
      <c r="AN123" s="116">
        <v>136.78314662836178</v>
      </c>
      <c r="AO123" s="116">
        <v>862.24471919237021</v>
      </c>
      <c r="AP123" s="116">
        <v>862.24471919237021</v>
      </c>
      <c r="AQ123" s="116">
        <v>862.24471919237021</v>
      </c>
      <c r="AR123" s="116">
        <v>147.47077819553093</v>
      </c>
      <c r="AS123" s="116">
        <v>478.80334610338127</v>
      </c>
      <c r="AT123" s="116">
        <v>918.90769357085196</v>
      </c>
      <c r="AU123" s="116">
        <v>880.70206509885907</v>
      </c>
      <c r="AV123" s="116">
        <v>880.70206509885918</v>
      </c>
      <c r="AW123" s="116">
        <v>861.15940235756796</v>
      </c>
      <c r="AX123" s="116">
        <v>861.15940235756796</v>
      </c>
      <c r="AY123" s="116">
        <v>100.5811186227986</v>
      </c>
    </row>
    <row r="124" spans="1:52" x14ac:dyDescent="0.2">
      <c r="A124" s="119"/>
      <c r="B124" s="129">
        <v>3</v>
      </c>
      <c r="C124" s="116"/>
      <c r="D124" s="116">
        <v>0</v>
      </c>
      <c r="E124" s="116">
        <v>0</v>
      </c>
      <c r="F124" s="116">
        <v>0</v>
      </c>
      <c r="G124" s="116">
        <v>0</v>
      </c>
      <c r="H124" s="116">
        <v>411.46381462484896</v>
      </c>
      <c r="I124" s="116">
        <v>867.72482616270213</v>
      </c>
      <c r="J124" s="116">
        <v>846.32264845153645</v>
      </c>
      <c r="K124" s="116">
        <v>852.59575529576875</v>
      </c>
      <c r="L124" s="116">
        <v>782.30893104160884</v>
      </c>
      <c r="M124" s="116">
        <v>796.82711146936401</v>
      </c>
      <c r="N124" s="116">
        <v>181.15892858043605</v>
      </c>
      <c r="O124" s="116">
        <v>821.2738392550142</v>
      </c>
      <c r="P124" s="116">
        <v>821.2738392550142</v>
      </c>
      <c r="Q124" s="116">
        <v>833.88829491629258</v>
      </c>
      <c r="R124" s="116">
        <v>821.64692853785652</v>
      </c>
      <c r="S124" s="116">
        <v>821.64692853785652</v>
      </c>
      <c r="T124" s="116">
        <v>821.64692853785652</v>
      </c>
      <c r="U124" s="116">
        <v>874.98901863910703</v>
      </c>
      <c r="V124" s="116">
        <v>882.80838337018292</v>
      </c>
      <c r="W124" s="116">
        <v>855.71499264766067</v>
      </c>
      <c r="X124" s="116">
        <v>825.88892772741156</v>
      </c>
      <c r="Y124" s="116">
        <v>824.98601655060133</v>
      </c>
      <c r="Z124" s="116">
        <v>789.28182532867822</v>
      </c>
      <c r="AA124" s="116">
        <v>104.15874958820243</v>
      </c>
      <c r="AB124" s="116">
        <v>852.19273141589872</v>
      </c>
      <c r="AC124" s="116">
        <v>105.52175963515727</v>
      </c>
      <c r="AD124" s="116">
        <v>882.50731311069114</v>
      </c>
      <c r="AE124" s="116">
        <v>931.06343704885967</v>
      </c>
      <c r="AF124" s="116">
        <v>125.88246771588956</v>
      </c>
      <c r="AG124" s="116">
        <v>825.92479951565156</v>
      </c>
      <c r="AH124" s="116">
        <v>775.17862007715337</v>
      </c>
      <c r="AI124" s="116">
        <v>812.18184874876442</v>
      </c>
      <c r="AJ124" s="116">
        <v>845.79482904219105</v>
      </c>
      <c r="AK124" s="116">
        <v>816.01196393806038</v>
      </c>
      <c r="AL124" s="116">
        <v>854.47416471147778</v>
      </c>
      <c r="AM124" s="116">
        <v>786.63478082292556</v>
      </c>
      <c r="AN124" s="116">
        <v>854.47416471147778</v>
      </c>
      <c r="AO124" s="116">
        <v>121.42491253673907</v>
      </c>
      <c r="AP124" s="116">
        <v>765.43048024521556</v>
      </c>
      <c r="AQ124" s="116">
        <v>765.43048024521556</v>
      </c>
      <c r="AR124" s="116">
        <v>765.43048024521556</v>
      </c>
      <c r="AS124" s="116">
        <v>140.473327961602</v>
      </c>
      <c r="AT124" s="116">
        <v>878.0029009841586</v>
      </c>
      <c r="AU124" s="116">
        <v>875.30576148630757</v>
      </c>
      <c r="AV124" s="116">
        <v>838.91298019095518</v>
      </c>
      <c r="AW124" s="116">
        <v>831.91591787057541</v>
      </c>
      <c r="AX124" s="116">
        <v>813.45581330589334</v>
      </c>
      <c r="AY124" s="116">
        <v>813.45581330589334</v>
      </c>
    </row>
    <row r="125" spans="1:52" x14ac:dyDescent="0.2">
      <c r="A125" s="119"/>
      <c r="B125" s="129">
        <v>4</v>
      </c>
      <c r="C125" s="116"/>
      <c r="D125" s="116">
        <v>0</v>
      </c>
      <c r="E125" s="116">
        <v>0</v>
      </c>
      <c r="F125" s="116">
        <v>0</v>
      </c>
      <c r="G125" s="116">
        <v>0</v>
      </c>
      <c r="H125" s="116">
        <v>0</v>
      </c>
      <c r="I125" s="116">
        <v>94.630954989360475</v>
      </c>
      <c r="J125" s="116">
        <v>625.67490003139471</v>
      </c>
      <c r="K125" s="116">
        <v>772.61954360877257</v>
      </c>
      <c r="L125" s="116">
        <v>778.34634881228169</v>
      </c>
      <c r="M125" s="116">
        <v>697.52617488579654</v>
      </c>
      <c r="N125" s="116">
        <v>710.47094703174469</v>
      </c>
      <c r="O125" s="116">
        <v>161.52582373164785</v>
      </c>
      <c r="P125" s="116">
        <v>732.26825988882092</v>
      </c>
      <c r="Q125" s="116">
        <v>743.5156235025313</v>
      </c>
      <c r="R125" s="116">
        <v>754.93574236891118</v>
      </c>
      <c r="S125" s="116">
        <v>743.8533886881437</v>
      </c>
      <c r="T125" s="116">
        <v>743.8533886881437</v>
      </c>
      <c r="U125" s="116">
        <v>758.74848927132939</v>
      </c>
      <c r="V125" s="116">
        <v>808.00715363574466</v>
      </c>
      <c r="W125" s="116">
        <v>815.22793298840793</v>
      </c>
      <c r="X125" s="116">
        <v>790.20858639809876</v>
      </c>
      <c r="Y125" s="116">
        <v>761.83196454181166</v>
      </c>
      <c r="Z125" s="116">
        <v>760.99908426875982</v>
      </c>
      <c r="AA125" s="116">
        <v>728.0641541252819</v>
      </c>
      <c r="AB125" s="116">
        <v>96.080068589064794</v>
      </c>
      <c r="AC125" s="116">
        <v>796.38237432378571</v>
      </c>
      <c r="AD125" s="116">
        <v>98.611108007747276</v>
      </c>
      <c r="AE125" s="116">
        <v>824.71164498843893</v>
      </c>
      <c r="AF125" s="116">
        <v>870.08781383417715</v>
      </c>
      <c r="AG125" s="116">
        <v>113.65448505171331</v>
      </c>
      <c r="AH125" s="116">
        <v>745.6960407882292</v>
      </c>
      <c r="AI125" s="116">
        <v>699.87924837007154</v>
      </c>
      <c r="AJ125" s="116">
        <v>733.28805403008232</v>
      </c>
      <c r="AK125" s="116">
        <v>767.23711425625152</v>
      </c>
      <c r="AL125" s="116">
        <v>740.22049191220947</v>
      </c>
      <c r="AM125" s="116">
        <v>775.11031024174349</v>
      </c>
      <c r="AN125" s="116">
        <v>713.57187167441748</v>
      </c>
      <c r="AO125" s="116">
        <v>758.53241625515466</v>
      </c>
      <c r="AP125" s="116">
        <v>107.79112593903133</v>
      </c>
      <c r="AQ125" s="116">
        <v>679.48670145199037</v>
      </c>
      <c r="AR125" s="116">
        <v>679.48670145199037</v>
      </c>
      <c r="AS125" s="116">
        <v>729.1110021859987</v>
      </c>
      <c r="AT125" s="116">
        <v>133.80790492909864</v>
      </c>
      <c r="AU125" s="116">
        <v>836.34189071447747</v>
      </c>
      <c r="AV125" s="116">
        <v>833.77272978730412</v>
      </c>
      <c r="AW125" s="116">
        <v>792.44172301419349</v>
      </c>
      <c r="AX125" s="116">
        <v>785.83226023065504</v>
      </c>
      <c r="AY125" s="116">
        <v>768.39474595482511</v>
      </c>
    </row>
    <row r="126" spans="1:52" x14ac:dyDescent="0.2">
      <c r="A126" s="119"/>
      <c r="B126" s="129">
        <v>5</v>
      </c>
      <c r="C126" s="116"/>
      <c r="D126" s="116">
        <v>0</v>
      </c>
      <c r="E126" s="116">
        <v>0</v>
      </c>
      <c r="F126" s="116">
        <v>0</v>
      </c>
      <c r="G126" s="116">
        <v>0</v>
      </c>
      <c r="H126" s="116">
        <v>0</v>
      </c>
      <c r="I126" s="116">
        <v>0</v>
      </c>
      <c r="J126" s="116">
        <v>0</v>
      </c>
      <c r="K126" s="116">
        <v>312.96470758809647</v>
      </c>
      <c r="L126" s="116">
        <v>664.46860196706814</v>
      </c>
      <c r="M126" s="116">
        <v>647.96145115439538</v>
      </c>
      <c r="N126" s="116">
        <v>621.93175271948019</v>
      </c>
      <c r="O126" s="116">
        <v>633.47363475795999</v>
      </c>
      <c r="P126" s="116">
        <v>144.02045726718313</v>
      </c>
      <c r="Q126" s="116">
        <v>584.49678649505813</v>
      </c>
      <c r="R126" s="116">
        <v>673.11955643664771</v>
      </c>
      <c r="S126" s="116">
        <v>683.45841832845201</v>
      </c>
      <c r="T126" s="116">
        <v>673.42534201092815</v>
      </c>
      <c r="U126" s="116">
        <v>686.91017431398336</v>
      </c>
      <c r="V126" s="116">
        <v>700.66503016812521</v>
      </c>
      <c r="W126" s="116">
        <v>746.15286182902287</v>
      </c>
      <c r="X126" s="116">
        <v>752.82087850979406</v>
      </c>
      <c r="Y126" s="116">
        <v>728.91903446387698</v>
      </c>
      <c r="Z126" s="116">
        <v>702.743338374426</v>
      </c>
      <c r="AA126" s="116">
        <v>701.9750573219203</v>
      </c>
      <c r="AB126" s="116">
        <v>671.59460095438499</v>
      </c>
      <c r="AC126" s="116">
        <v>89.787756134719942</v>
      </c>
      <c r="AD126" s="116">
        <v>744.22705422497586</v>
      </c>
      <c r="AE126" s="116">
        <v>92.153037024183121</v>
      </c>
      <c r="AF126" s="116">
        <v>770.70103247317479</v>
      </c>
      <c r="AG126" s="116">
        <v>785.56914418203803</v>
      </c>
      <c r="AH126" s="116">
        <v>102.6143052861334</v>
      </c>
      <c r="AI126" s="116">
        <v>673.26055056505515</v>
      </c>
      <c r="AJ126" s="116">
        <v>631.89431391993685</v>
      </c>
      <c r="AK126" s="116">
        <v>665.18000722437375</v>
      </c>
      <c r="AL126" s="116">
        <v>695.97586705380104</v>
      </c>
      <c r="AM126" s="116">
        <v>671.46855789033975</v>
      </c>
      <c r="AN126" s="116">
        <v>703.1177978867471</v>
      </c>
      <c r="AO126" s="116">
        <v>633.45086176557913</v>
      </c>
      <c r="AP126" s="116">
        <v>673.36316330191607</v>
      </c>
      <c r="AQ126" s="116">
        <v>95.688163066937506</v>
      </c>
      <c r="AR126" s="116">
        <v>603.19282987292854</v>
      </c>
      <c r="AS126" s="116">
        <v>647.245233439103</v>
      </c>
      <c r="AT126" s="116">
        <v>694.51487395480456</v>
      </c>
      <c r="AU126" s="116">
        <v>127.4587544933004</v>
      </c>
      <c r="AV126" s="116">
        <v>796.65768459287494</v>
      </c>
      <c r="AW126" s="116">
        <v>787.58621477582233</v>
      </c>
      <c r="AX126" s="116">
        <v>748.54472299470831</v>
      </c>
      <c r="AY126" s="116">
        <v>742.30138882291703</v>
      </c>
    </row>
    <row r="127" spans="1:52" x14ac:dyDescent="0.2">
      <c r="A127" s="119"/>
      <c r="B127" s="129">
        <v>6</v>
      </c>
      <c r="C127" s="116"/>
      <c r="D127" s="116">
        <v>0</v>
      </c>
      <c r="E127" s="116">
        <v>0</v>
      </c>
      <c r="F127" s="116">
        <v>0</v>
      </c>
      <c r="G127" s="116">
        <v>0</v>
      </c>
      <c r="H127" s="116">
        <v>0</v>
      </c>
      <c r="I127" s="116">
        <v>0</v>
      </c>
      <c r="J127" s="116">
        <v>0</v>
      </c>
      <c r="K127" s="116">
        <v>0</v>
      </c>
      <c r="L127" s="116">
        <v>0</v>
      </c>
      <c r="M127" s="116">
        <v>0</v>
      </c>
      <c r="N127" s="116">
        <v>39.460740201307431</v>
      </c>
      <c r="O127" s="116">
        <v>153.21509958986491</v>
      </c>
      <c r="P127" s="116">
        <v>222.83939540930567</v>
      </c>
      <c r="Q127" s="116">
        <v>0</v>
      </c>
      <c r="R127" s="116">
        <v>77.579088726748921</v>
      </c>
      <c r="S127" s="116">
        <v>267.83415602837539</v>
      </c>
      <c r="T127" s="116">
        <v>432.28625496529526</v>
      </c>
      <c r="U127" s="116">
        <v>621.87351177358914</v>
      </c>
      <c r="V127" s="116">
        <v>634.32605773055843</v>
      </c>
      <c r="W127" s="116">
        <v>647.02795648656922</v>
      </c>
      <c r="X127" s="116">
        <v>689.03361896053832</v>
      </c>
      <c r="Y127" s="116">
        <v>694.43116328168389</v>
      </c>
      <c r="Z127" s="116">
        <v>672.38317572023414</v>
      </c>
      <c r="AA127" s="116">
        <v>648.23769888238792</v>
      </c>
      <c r="AB127" s="116">
        <v>647.52900665526101</v>
      </c>
      <c r="AC127" s="116">
        <v>627.61166948989808</v>
      </c>
      <c r="AD127" s="116">
        <v>83.907529106671404</v>
      </c>
      <c r="AE127" s="116">
        <v>695.48740165260904</v>
      </c>
      <c r="AF127" s="116">
        <v>86.117907042615172</v>
      </c>
      <c r="AG127" s="116">
        <v>695.83660508035882</v>
      </c>
      <c r="AH127" s="116">
        <v>709.2604567939751</v>
      </c>
      <c r="AI127" s="116">
        <v>92.646547512530859</v>
      </c>
      <c r="AJ127" s="116">
        <v>607.86130561726895</v>
      </c>
      <c r="AK127" s="116">
        <v>573.20375258842137</v>
      </c>
      <c r="AL127" s="116">
        <v>603.39785924409216</v>
      </c>
      <c r="AM127" s="116">
        <v>631.33338901474201</v>
      </c>
      <c r="AN127" s="116">
        <v>609.10232716011592</v>
      </c>
      <c r="AO127" s="116">
        <v>624.17058837949162</v>
      </c>
      <c r="AP127" s="116">
        <v>562.32596911364567</v>
      </c>
      <c r="AQ127" s="116">
        <v>597.75685254226823</v>
      </c>
      <c r="AR127" s="116">
        <v>84.944140543663622</v>
      </c>
      <c r="AS127" s="116">
        <v>574.57148630815652</v>
      </c>
      <c r="AT127" s="116">
        <v>616.53361473364828</v>
      </c>
      <c r="AU127" s="116">
        <v>661.56032304860037</v>
      </c>
      <c r="AV127" s="116">
        <v>121.41086960140076</v>
      </c>
      <c r="AW127" s="116">
        <v>752.52714302689265</v>
      </c>
      <c r="AX127" s="116">
        <v>743.95818374048361</v>
      </c>
      <c r="AY127" s="116">
        <v>707.0793801617998</v>
      </c>
    </row>
    <row r="128" spans="1:52" x14ac:dyDescent="0.2">
      <c r="A128" s="119"/>
      <c r="B128" s="129">
        <v>7</v>
      </c>
      <c r="C128" s="116"/>
      <c r="D128" s="116">
        <v>0</v>
      </c>
      <c r="E128" s="116">
        <v>0</v>
      </c>
      <c r="F128" s="116">
        <v>0</v>
      </c>
      <c r="G128" s="116">
        <v>0</v>
      </c>
      <c r="H128" s="116">
        <v>0</v>
      </c>
      <c r="I128" s="116">
        <v>0</v>
      </c>
      <c r="J128" s="116">
        <v>0</v>
      </c>
      <c r="K128" s="116">
        <v>0</v>
      </c>
      <c r="L128" s="116">
        <v>0</v>
      </c>
      <c r="M128" s="116">
        <v>0</v>
      </c>
      <c r="N128" s="116">
        <v>0</v>
      </c>
      <c r="O128" s="116">
        <v>0</v>
      </c>
      <c r="P128" s="116">
        <v>0</v>
      </c>
      <c r="Q128" s="116">
        <v>0</v>
      </c>
      <c r="R128" s="116">
        <v>0</v>
      </c>
      <c r="S128" s="116">
        <v>0</v>
      </c>
      <c r="T128" s="116">
        <v>0</v>
      </c>
      <c r="U128" s="116">
        <v>23.432861168249076</v>
      </c>
      <c r="V128" s="116">
        <v>123.62628270083468</v>
      </c>
      <c r="W128" s="116">
        <v>283.02291246771642</v>
      </c>
      <c r="X128" s="116">
        <v>463.58923310213032</v>
      </c>
      <c r="Y128" s="116">
        <v>635.59132220418371</v>
      </c>
      <c r="Z128" s="116">
        <v>640.57022633502709</v>
      </c>
      <c r="AA128" s="116">
        <v>620.2323078641349</v>
      </c>
      <c r="AB128" s="116">
        <v>597.95958397038817</v>
      </c>
      <c r="AC128" s="116">
        <v>605.12213816567942</v>
      </c>
      <c r="AD128" s="116">
        <v>586.50919337371306</v>
      </c>
      <c r="AE128" s="116">
        <v>78.412399906989478</v>
      </c>
      <c r="AF128" s="116">
        <v>577.34185828781256</v>
      </c>
      <c r="AG128" s="116">
        <v>77.752577910611521</v>
      </c>
      <c r="AH128" s="116">
        <v>628.24436528390402</v>
      </c>
      <c r="AI128" s="116">
        <v>640.36424966180641</v>
      </c>
      <c r="AJ128" s="116">
        <v>83.647038705348407</v>
      </c>
      <c r="AK128" s="116">
        <v>551.40293836741637</v>
      </c>
      <c r="AL128" s="116">
        <v>519.96439079063805</v>
      </c>
      <c r="AM128" s="116">
        <v>547.35405842939201</v>
      </c>
      <c r="AN128" s="116">
        <v>572.69492658145282</v>
      </c>
      <c r="AO128" s="116">
        <v>540.71132756062627</v>
      </c>
      <c r="AP128" s="116">
        <v>554.08769991163388</v>
      </c>
      <c r="AQ128" s="116">
        <v>499.18709504671995</v>
      </c>
      <c r="AR128" s="116">
        <v>530.63974127885331</v>
      </c>
      <c r="AS128" s="116">
        <v>80.91356307339322</v>
      </c>
      <c r="AT128" s="116">
        <v>547.30821808328085</v>
      </c>
      <c r="AU128" s="116">
        <v>587.27925438218335</v>
      </c>
      <c r="AV128" s="116">
        <v>630.16945704844511</v>
      </c>
      <c r="AW128" s="116">
        <v>114.68536185682312</v>
      </c>
      <c r="AX128" s="116">
        <v>710.84119559032263</v>
      </c>
      <c r="AY128" s="116">
        <v>702.74691045980194</v>
      </c>
    </row>
    <row r="129" spans="1:51" x14ac:dyDescent="0.2">
      <c r="A129" s="119"/>
      <c r="B129" s="129">
        <v>8</v>
      </c>
      <c r="C129" s="116"/>
      <c r="D129" s="116">
        <v>0</v>
      </c>
      <c r="E129" s="116">
        <v>0</v>
      </c>
      <c r="F129" s="116">
        <v>0</v>
      </c>
      <c r="G129" s="116">
        <v>0</v>
      </c>
      <c r="H129" s="116">
        <v>0</v>
      </c>
      <c r="I129" s="116">
        <v>0</v>
      </c>
      <c r="J129" s="116">
        <v>0</v>
      </c>
      <c r="K129" s="116">
        <v>0</v>
      </c>
      <c r="L129" s="116">
        <v>0</v>
      </c>
      <c r="M129" s="116">
        <v>0</v>
      </c>
      <c r="N129" s="116">
        <v>0</v>
      </c>
      <c r="O129" s="116">
        <v>0</v>
      </c>
      <c r="P129" s="116">
        <v>0</v>
      </c>
      <c r="Q129" s="116">
        <v>0</v>
      </c>
      <c r="R129" s="116">
        <v>0</v>
      </c>
      <c r="S129" s="116">
        <v>0</v>
      </c>
      <c r="T129" s="116">
        <v>0</v>
      </c>
      <c r="U129" s="116">
        <v>0</v>
      </c>
      <c r="V129" s="116">
        <v>0</v>
      </c>
      <c r="W129" s="116">
        <v>0</v>
      </c>
      <c r="X129" s="116">
        <v>0</v>
      </c>
      <c r="Y129" s="116">
        <v>63.785003416143468</v>
      </c>
      <c r="Z129" s="116">
        <v>188.13183578751546</v>
      </c>
      <c r="AA129" s="116">
        <v>368.8663448038746</v>
      </c>
      <c r="AB129" s="116">
        <v>569.38294205154148</v>
      </c>
      <c r="AC129" s="116">
        <v>506.75355624977271</v>
      </c>
      <c r="AD129" s="116">
        <v>516.05862233802918</v>
      </c>
      <c r="AE129" s="116">
        <v>478.82615683752454</v>
      </c>
      <c r="AF129" s="116">
        <v>0</v>
      </c>
      <c r="AG129" s="116">
        <v>234.87752709179398</v>
      </c>
      <c r="AH129" s="116">
        <v>38.213535993060418</v>
      </c>
      <c r="AI129" s="116">
        <v>312.0909313377781</v>
      </c>
      <c r="AJ129" s="116">
        <v>548.13512580305792</v>
      </c>
      <c r="AK129" s="116">
        <v>75.877872964828825</v>
      </c>
      <c r="AL129" s="116">
        <v>500.18844369682324</v>
      </c>
      <c r="AM129" s="116">
        <v>471.66991923796536</v>
      </c>
      <c r="AN129" s="116">
        <v>496.51562512078903</v>
      </c>
      <c r="AO129" s="116">
        <v>508.3918091117244</v>
      </c>
      <c r="AP129" s="116">
        <v>479.99938058932969</v>
      </c>
      <c r="AQ129" s="116">
        <v>491.87383210485854</v>
      </c>
      <c r="AR129" s="116">
        <v>443.13755641404913</v>
      </c>
      <c r="AS129" s="116">
        <v>505.46102297833357</v>
      </c>
      <c r="AT129" s="116">
        <v>77.07423546026277</v>
      </c>
      <c r="AU129" s="116">
        <v>521.33858487513294</v>
      </c>
      <c r="AV129" s="116">
        <v>559.41300585320698</v>
      </c>
      <c r="AW129" s="116">
        <v>595.26146588019219</v>
      </c>
      <c r="AX129" s="116">
        <v>80.566823093994572</v>
      </c>
      <c r="AY129" s="116">
        <v>118.56828031281304</v>
      </c>
    </row>
    <row r="130" spans="1:51" x14ac:dyDescent="0.2">
      <c r="A130" s="119"/>
      <c r="B130" s="129">
        <v>9</v>
      </c>
      <c r="C130" s="116"/>
      <c r="D130" s="116">
        <v>0</v>
      </c>
      <c r="E130" s="116">
        <v>0</v>
      </c>
      <c r="F130" s="116">
        <v>0</v>
      </c>
      <c r="G130" s="116">
        <v>0</v>
      </c>
      <c r="H130" s="116">
        <v>0</v>
      </c>
      <c r="I130" s="116">
        <v>0</v>
      </c>
      <c r="J130" s="116">
        <v>0</v>
      </c>
      <c r="K130" s="116">
        <v>0</v>
      </c>
      <c r="L130" s="116">
        <v>0</v>
      </c>
      <c r="M130" s="116">
        <v>0</v>
      </c>
      <c r="N130" s="116">
        <v>0</v>
      </c>
      <c r="O130" s="116">
        <v>0</v>
      </c>
      <c r="P130" s="116">
        <v>0</v>
      </c>
      <c r="Q130" s="116">
        <v>0</v>
      </c>
      <c r="R130" s="116">
        <v>0</v>
      </c>
      <c r="S130" s="116">
        <v>0</v>
      </c>
      <c r="T130" s="116">
        <v>0</v>
      </c>
      <c r="U130" s="116">
        <v>0</v>
      </c>
      <c r="V130" s="116">
        <v>0</v>
      </c>
      <c r="W130" s="116">
        <v>0</v>
      </c>
      <c r="X130" s="116">
        <v>0</v>
      </c>
      <c r="Y130" s="116">
        <v>0</v>
      </c>
      <c r="Z130" s="116">
        <v>0</v>
      </c>
      <c r="AA130" s="116">
        <v>0</v>
      </c>
      <c r="AB130" s="116">
        <v>0</v>
      </c>
      <c r="AC130" s="116">
        <v>0</v>
      </c>
      <c r="AD130" s="116">
        <v>0</v>
      </c>
      <c r="AE130" s="116">
        <v>0</v>
      </c>
      <c r="AF130" s="116">
        <v>0</v>
      </c>
      <c r="AG130" s="116">
        <v>0</v>
      </c>
      <c r="AH130" s="116">
        <v>0</v>
      </c>
      <c r="AI130" s="116">
        <v>0</v>
      </c>
      <c r="AJ130" s="116">
        <v>0</v>
      </c>
      <c r="AK130" s="116">
        <v>287.55331759153307</v>
      </c>
      <c r="AL130" s="116">
        <v>68.830310011902057</v>
      </c>
      <c r="AM130" s="116">
        <v>299.22584328394265</v>
      </c>
      <c r="AN130" s="116">
        <v>427.8610548227457</v>
      </c>
      <c r="AO130" s="116">
        <v>440.76604347479764</v>
      </c>
      <c r="AP130" s="116">
        <v>451.30875021839688</v>
      </c>
      <c r="AQ130" s="116">
        <v>426.10426973218358</v>
      </c>
      <c r="AR130" s="116">
        <v>360.29715622650741</v>
      </c>
      <c r="AS130" s="116">
        <v>382.54241916177739</v>
      </c>
      <c r="AT130" s="116">
        <v>481.4770283404801</v>
      </c>
      <c r="AU130" s="116">
        <v>73.417082948080164</v>
      </c>
      <c r="AV130" s="116">
        <v>277.54156187477099</v>
      </c>
      <c r="AW130" s="116">
        <v>158.90279213369325</v>
      </c>
      <c r="AX130" s="116">
        <v>0</v>
      </c>
      <c r="AY130" s="116">
        <v>0</v>
      </c>
    </row>
    <row r="131" spans="1:51" x14ac:dyDescent="0.2">
      <c r="A131" s="119"/>
      <c r="B131" s="129">
        <v>10</v>
      </c>
      <c r="C131" s="116"/>
      <c r="D131" s="116">
        <v>0</v>
      </c>
      <c r="E131" s="116">
        <v>0</v>
      </c>
      <c r="F131" s="116">
        <v>0</v>
      </c>
      <c r="G131" s="116">
        <v>0</v>
      </c>
      <c r="H131" s="116">
        <v>0</v>
      </c>
      <c r="I131" s="116">
        <v>0</v>
      </c>
      <c r="J131" s="116">
        <v>0</v>
      </c>
      <c r="K131" s="116">
        <v>0</v>
      </c>
      <c r="L131" s="116">
        <v>0</v>
      </c>
      <c r="M131" s="116">
        <v>0</v>
      </c>
      <c r="N131" s="116">
        <v>0</v>
      </c>
      <c r="O131" s="116">
        <v>0</v>
      </c>
      <c r="P131" s="116">
        <v>0</v>
      </c>
      <c r="Q131" s="116">
        <v>0</v>
      </c>
      <c r="R131" s="116">
        <v>0</v>
      </c>
      <c r="S131" s="116">
        <v>0</v>
      </c>
      <c r="T131" s="116">
        <v>0</v>
      </c>
      <c r="U131" s="116">
        <v>0</v>
      </c>
      <c r="V131" s="116">
        <v>0</v>
      </c>
      <c r="W131" s="116">
        <v>0</v>
      </c>
      <c r="X131" s="116">
        <v>0</v>
      </c>
      <c r="Y131" s="116">
        <v>0</v>
      </c>
      <c r="Z131" s="116">
        <v>0</v>
      </c>
      <c r="AA131" s="116">
        <v>0</v>
      </c>
      <c r="AB131" s="116">
        <v>0</v>
      </c>
      <c r="AC131" s="116">
        <v>0</v>
      </c>
      <c r="AD131" s="116">
        <v>0</v>
      </c>
      <c r="AE131" s="116">
        <v>0</v>
      </c>
      <c r="AF131" s="116">
        <v>0</v>
      </c>
      <c r="AG131" s="116">
        <v>0</v>
      </c>
      <c r="AH131" s="116">
        <v>0</v>
      </c>
      <c r="AI131" s="116">
        <v>0</v>
      </c>
      <c r="AJ131" s="116">
        <v>0</v>
      </c>
      <c r="AK131" s="116">
        <v>0</v>
      </c>
      <c r="AL131" s="116">
        <v>38.647323988689863</v>
      </c>
      <c r="AM131" s="116">
        <v>0</v>
      </c>
      <c r="AN131" s="116">
        <v>36.770368293994864</v>
      </c>
      <c r="AO131" s="116">
        <v>20.877748350115723</v>
      </c>
      <c r="AP131" s="116">
        <v>57.704418260314981</v>
      </c>
      <c r="AQ131" s="116">
        <v>12.831916613921464</v>
      </c>
      <c r="AR131" s="116">
        <v>0</v>
      </c>
      <c r="AS131" s="116">
        <v>0</v>
      </c>
      <c r="AT131" s="116">
        <v>24.390880442003834</v>
      </c>
      <c r="AU131" s="116">
        <v>35.34900718201402</v>
      </c>
      <c r="AV131" s="116">
        <v>0</v>
      </c>
      <c r="AW131" s="116">
        <v>0</v>
      </c>
      <c r="AX131" s="116">
        <v>0</v>
      </c>
      <c r="AY131" s="116">
        <v>0</v>
      </c>
    </row>
    <row r="132" spans="1:51" x14ac:dyDescent="0.2">
      <c r="A132" s="119"/>
      <c r="B132" s="129">
        <v>11</v>
      </c>
      <c r="C132" s="116"/>
      <c r="D132" s="116">
        <v>0</v>
      </c>
      <c r="E132" s="116">
        <v>0</v>
      </c>
      <c r="F132" s="116">
        <v>0</v>
      </c>
      <c r="G132" s="116">
        <v>0</v>
      </c>
      <c r="H132" s="116">
        <v>0</v>
      </c>
      <c r="I132" s="116">
        <v>0</v>
      </c>
      <c r="J132" s="116">
        <v>0</v>
      </c>
      <c r="K132" s="116">
        <v>0</v>
      </c>
      <c r="L132" s="116">
        <v>0</v>
      </c>
      <c r="M132" s="116">
        <v>0</v>
      </c>
      <c r="N132" s="116">
        <v>0</v>
      </c>
      <c r="O132" s="116">
        <v>0</v>
      </c>
      <c r="P132" s="116">
        <v>0</v>
      </c>
      <c r="Q132" s="116">
        <v>0</v>
      </c>
      <c r="R132" s="116">
        <v>0</v>
      </c>
      <c r="S132" s="116">
        <v>0</v>
      </c>
      <c r="T132" s="116">
        <v>0</v>
      </c>
      <c r="U132" s="116">
        <v>0</v>
      </c>
      <c r="V132" s="116">
        <v>0</v>
      </c>
      <c r="W132" s="116">
        <v>0</v>
      </c>
      <c r="X132" s="116">
        <v>0</v>
      </c>
      <c r="Y132" s="116">
        <v>0</v>
      </c>
      <c r="Z132" s="116">
        <v>0</v>
      </c>
      <c r="AA132" s="116">
        <v>0</v>
      </c>
      <c r="AB132" s="116">
        <v>0</v>
      </c>
      <c r="AC132" s="116">
        <v>0</v>
      </c>
      <c r="AD132" s="116">
        <v>0</v>
      </c>
      <c r="AE132" s="116">
        <v>0</v>
      </c>
      <c r="AF132" s="116">
        <v>0</v>
      </c>
      <c r="AG132" s="116">
        <v>0</v>
      </c>
      <c r="AH132" s="116">
        <v>0</v>
      </c>
      <c r="AI132" s="116">
        <v>0</v>
      </c>
      <c r="AJ132" s="116">
        <v>0</v>
      </c>
      <c r="AK132" s="116">
        <v>0</v>
      </c>
      <c r="AL132" s="116">
        <v>0</v>
      </c>
      <c r="AM132" s="116">
        <v>0</v>
      </c>
      <c r="AN132" s="116">
        <v>0</v>
      </c>
      <c r="AO132" s="116">
        <v>0</v>
      </c>
      <c r="AP132" s="116">
        <v>0</v>
      </c>
      <c r="AQ132" s="116">
        <v>0</v>
      </c>
      <c r="AR132" s="116">
        <v>0</v>
      </c>
      <c r="AS132" s="116">
        <v>0</v>
      </c>
      <c r="AT132" s="116">
        <v>0</v>
      </c>
      <c r="AU132" s="116">
        <v>0</v>
      </c>
      <c r="AV132" s="116">
        <v>0</v>
      </c>
      <c r="AW132" s="116">
        <v>0</v>
      </c>
      <c r="AX132" s="116">
        <v>0</v>
      </c>
      <c r="AY132" s="116">
        <v>0</v>
      </c>
    </row>
    <row r="133" spans="1:51" x14ac:dyDescent="0.2">
      <c r="A133" s="119"/>
      <c r="B133" s="129">
        <v>12</v>
      </c>
      <c r="C133" s="116"/>
      <c r="D133" s="116">
        <v>0</v>
      </c>
      <c r="E133" s="116">
        <v>0</v>
      </c>
      <c r="F133" s="116">
        <v>0</v>
      </c>
      <c r="G133" s="116">
        <v>0</v>
      </c>
      <c r="H133" s="116">
        <v>0</v>
      </c>
      <c r="I133" s="116">
        <v>0</v>
      </c>
      <c r="J133" s="116">
        <v>0</v>
      </c>
      <c r="K133" s="116">
        <v>0</v>
      </c>
      <c r="L133" s="116">
        <v>0</v>
      </c>
      <c r="M133" s="116">
        <v>0</v>
      </c>
      <c r="N133" s="116">
        <v>0</v>
      </c>
      <c r="O133" s="116">
        <v>0</v>
      </c>
      <c r="P133" s="116">
        <v>0</v>
      </c>
      <c r="Q133" s="116">
        <v>0</v>
      </c>
      <c r="R133" s="116">
        <v>0</v>
      </c>
      <c r="S133" s="116">
        <v>0</v>
      </c>
      <c r="T133" s="116">
        <v>0</v>
      </c>
      <c r="U133" s="116">
        <v>0</v>
      </c>
      <c r="V133" s="116">
        <v>0</v>
      </c>
      <c r="W133" s="116">
        <v>0</v>
      </c>
      <c r="X133" s="116">
        <v>0</v>
      </c>
      <c r="Y133" s="116">
        <v>0</v>
      </c>
      <c r="Z133" s="116">
        <v>0</v>
      </c>
      <c r="AA133" s="116">
        <v>0</v>
      </c>
      <c r="AB133" s="116">
        <v>0</v>
      </c>
      <c r="AC133" s="116">
        <v>0</v>
      </c>
      <c r="AD133" s="116">
        <v>0</v>
      </c>
      <c r="AE133" s="116">
        <v>0</v>
      </c>
      <c r="AF133" s="116">
        <v>0</v>
      </c>
      <c r="AG133" s="116">
        <v>0</v>
      </c>
      <c r="AH133" s="116">
        <v>0</v>
      </c>
      <c r="AI133" s="116">
        <v>0</v>
      </c>
      <c r="AJ133" s="116">
        <v>0</v>
      </c>
      <c r="AK133" s="116">
        <v>0</v>
      </c>
      <c r="AL133" s="116">
        <v>0</v>
      </c>
      <c r="AM133" s="116">
        <v>0</v>
      </c>
      <c r="AN133" s="116">
        <v>0</v>
      </c>
      <c r="AO133" s="116">
        <v>0</v>
      </c>
      <c r="AP133" s="116">
        <v>0</v>
      </c>
      <c r="AQ133" s="116">
        <v>0</v>
      </c>
      <c r="AR133" s="116">
        <v>0</v>
      </c>
      <c r="AS133" s="116">
        <v>0</v>
      </c>
      <c r="AT133" s="116">
        <v>0</v>
      </c>
      <c r="AU133" s="116">
        <v>0</v>
      </c>
      <c r="AV133" s="116">
        <v>0</v>
      </c>
      <c r="AW133" s="116">
        <v>0</v>
      </c>
      <c r="AX133" s="116">
        <v>0</v>
      </c>
      <c r="AY133" s="116">
        <v>0</v>
      </c>
    </row>
    <row r="134" spans="1:51" x14ac:dyDescent="0.2">
      <c r="A134" s="119"/>
      <c r="B134" s="130">
        <v>13</v>
      </c>
      <c r="C134" s="116"/>
      <c r="D134" s="116">
        <v>0</v>
      </c>
      <c r="E134" s="116">
        <v>0</v>
      </c>
      <c r="F134" s="116">
        <v>0</v>
      </c>
      <c r="G134" s="116">
        <v>0</v>
      </c>
      <c r="H134" s="116">
        <v>0</v>
      </c>
      <c r="I134" s="116">
        <v>0</v>
      </c>
      <c r="J134" s="116">
        <v>0</v>
      </c>
      <c r="K134" s="116">
        <v>0</v>
      </c>
      <c r="L134" s="116">
        <v>0</v>
      </c>
      <c r="M134" s="116">
        <v>0</v>
      </c>
      <c r="N134" s="116">
        <v>0</v>
      </c>
      <c r="O134" s="116">
        <v>0</v>
      </c>
      <c r="P134" s="116">
        <v>0</v>
      </c>
      <c r="Q134" s="116">
        <v>0</v>
      </c>
      <c r="R134" s="116">
        <v>0</v>
      </c>
      <c r="S134" s="116">
        <v>0</v>
      </c>
      <c r="T134" s="116">
        <v>0</v>
      </c>
      <c r="U134" s="116">
        <v>0</v>
      </c>
      <c r="V134" s="116">
        <v>0</v>
      </c>
      <c r="W134" s="116">
        <v>0</v>
      </c>
      <c r="X134" s="116">
        <v>0</v>
      </c>
      <c r="Y134" s="116">
        <v>0</v>
      </c>
      <c r="Z134" s="116">
        <v>0</v>
      </c>
      <c r="AA134" s="116">
        <v>0</v>
      </c>
      <c r="AB134" s="116">
        <v>0</v>
      </c>
      <c r="AC134" s="116">
        <v>0</v>
      </c>
      <c r="AD134" s="116">
        <v>0</v>
      </c>
      <c r="AE134" s="116">
        <v>0</v>
      </c>
      <c r="AF134" s="116">
        <v>0</v>
      </c>
      <c r="AG134" s="116">
        <v>0</v>
      </c>
      <c r="AH134" s="116">
        <v>0</v>
      </c>
      <c r="AI134" s="116">
        <v>0</v>
      </c>
      <c r="AJ134" s="116">
        <v>0</v>
      </c>
      <c r="AK134" s="116">
        <v>0</v>
      </c>
      <c r="AL134" s="116">
        <v>0</v>
      </c>
      <c r="AM134" s="116">
        <v>0</v>
      </c>
      <c r="AN134" s="116">
        <v>0</v>
      </c>
      <c r="AO134" s="116">
        <v>0</v>
      </c>
      <c r="AP134" s="116">
        <v>0</v>
      </c>
      <c r="AQ134" s="116">
        <v>0</v>
      </c>
      <c r="AR134" s="116">
        <v>0</v>
      </c>
      <c r="AS134" s="116">
        <v>0</v>
      </c>
      <c r="AT134" s="116">
        <v>0</v>
      </c>
      <c r="AU134" s="116">
        <v>0</v>
      </c>
      <c r="AV134" s="116">
        <v>0</v>
      </c>
      <c r="AW134" s="116">
        <v>0</v>
      </c>
      <c r="AX134" s="116">
        <v>0</v>
      </c>
      <c r="AY134" s="116">
        <v>0</v>
      </c>
    </row>
    <row r="135" spans="1:51" x14ac:dyDescent="0.2">
      <c r="A135" s="119"/>
      <c r="B135" s="130">
        <v>14</v>
      </c>
      <c r="C135" s="116"/>
      <c r="D135" s="116">
        <v>0</v>
      </c>
      <c r="E135" s="116">
        <v>0</v>
      </c>
      <c r="F135" s="116">
        <v>0</v>
      </c>
      <c r="G135" s="116">
        <v>0</v>
      </c>
      <c r="H135" s="116">
        <v>0</v>
      </c>
      <c r="I135" s="116">
        <v>0</v>
      </c>
      <c r="J135" s="116">
        <v>0</v>
      </c>
      <c r="K135" s="116">
        <v>0</v>
      </c>
      <c r="L135" s="116">
        <v>0</v>
      </c>
      <c r="M135" s="116">
        <v>0</v>
      </c>
      <c r="N135" s="116">
        <v>0</v>
      </c>
      <c r="O135" s="116">
        <v>0</v>
      </c>
      <c r="P135" s="116">
        <v>0</v>
      </c>
      <c r="Q135" s="116">
        <v>0</v>
      </c>
      <c r="R135" s="116">
        <v>0</v>
      </c>
      <c r="S135" s="116">
        <v>0</v>
      </c>
      <c r="T135" s="116">
        <v>0</v>
      </c>
      <c r="U135" s="116">
        <v>0</v>
      </c>
      <c r="V135" s="116">
        <v>0</v>
      </c>
      <c r="W135" s="116">
        <v>0</v>
      </c>
      <c r="X135" s="116">
        <v>0</v>
      </c>
      <c r="Y135" s="116">
        <v>0</v>
      </c>
      <c r="Z135" s="116">
        <v>0</v>
      </c>
      <c r="AA135" s="116">
        <v>0</v>
      </c>
      <c r="AB135" s="116">
        <v>0</v>
      </c>
      <c r="AC135" s="116">
        <v>0</v>
      </c>
      <c r="AD135" s="116">
        <v>0</v>
      </c>
      <c r="AE135" s="116">
        <v>0</v>
      </c>
      <c r="AF135" s="116">
        <v>0</v>
      </c>
      <c r="AG135" s="116">
        <v>0</v>
      </c>
      <c r="AH135" s="116">
        <v>0</v>
      </c>
      <c r="AI135" s="116">
        <v>0</v>
      </c>
      <c r="AJ135" s="116">
        <v>0</v>
      </c>
      <c r="AK135" s="116">
        <v>0</v>
      </c>
      <c r="AL135" s="116">
        <v>0</v>
      </c>
      <c r="AM135" s="116">
        <v>0</v>
      </c>
      <c r="AN135" s="116">
        <v>0</v>
      </c>
      <c r="AO135" s="116">
        <v>0</v>
      </c>
      <c r="AP135" s="116">
        <v>0</v>
      </c>
      <c r="AQ135" s="116">
        <v>0</v>
      </c>
      <c r="AR135" s="116">
        <v>0</v>
      </c>
      <c r="AS135" s="116">
        <v>0</v>
      </c>
      <c r="AT135" s="116">
        <v>0</v>
      </c>
      <c r="AU135" s="116">
        <v>0</v>
      </c>
      <c r="AV135" s="116">
        <v>0</v>
      </c>
      <c r="AW135" s="116">
        <v>0</v>
      </c>
      <c r="AX135" s="116">
        <v>0</v>
      </c>
      <c r="AY135" s="116">
        <v>0</v>
      </c>
    </row>
    <row r="136" spans="1:51" x14ac:dyDescent="0.2">
      <c r="A136" s="119"/>
      <c r="B136" s="130">
        <v>15</v>
      </c>
      <c r="C136" s="116"/>
      <c r="D136" s="116">
        <v>0</v>
      </c>
      <c r="E136" s="116">
        <v>0</v>
      </c>
      <c r="F136" s="116">
        <v>0</v>
      </c>
      <c r="G136" s="116">
        <v>0</v>
      </c>
      <c r="H136" s="116">
        <v>0</v>
      </c>
      <c r="I136" s="116">
        <v>0</v>
      </c>
      <c r="J136" s="116">
        <v>0</v>
      </c>
      <c r="K136" s="116">
        <v>0</v>
      </c>
      <c r="L136" s="116">
        <v>0</v>
      </c>
      <c r="M136" s="116">
        <v>0</v>
      </c>
      <c r="N136" s="116">
        <v>0</v>
      </c>
      <c r="O136" s="116">
        <v>0</v>
      </c>
      <c r="P136" s="116">
        <v>0</v>
      </c>
      <c r="Q136" s="116">
        <v>0</v>
      </c>
      <c r="R136" s="116">
        <v>0</v>
      </c>
      <c r="S136" s="116">
        <v>0</v>
      </c>
      <c r="T136" s="116">
        <v>0</v>
      </c>
      <c r="U136" s="116">
        <v>0</v>
      </c>
      <c r="V136" s="116">
        <v>0</v>
      </c>
      <c r="W136" s="116">
        <v>0</v>
      </c>
      <c r="X136" s="116">
        <v>0</v>
      </c>
      <c r="Y136" s="116">
        <v>0</v>
      </c>
      <c r="Z136" s="116">
        <v>0</v>
      </c>
      <c r="AA136" s="116">
        <v>0</v>
      </c>
      <c r="AB136" s="116">
        <v>0</v>
      </c>
      <c r="AC136" s="116">
        <v>0</v>
      </c>
      <c r="AD136" s="116">
        <v>0</v>
      </c>
      <c r="AE136" s="116">
        <v>0</v>
      </c>
      <c r="AF136" s="116">
        <v>0</v>
      </c>
      <c r="AG136" s="116">
        <v>0</v>
      </c>
      <c r="AH136" s="116">
        <v>0</v>
      </c>
      <c r="AI136" s="116">
        <v>0</v>
      </c>
      <c r="AJ136" s="116">
        <v>0</v>
      </c>
      <c r="AK136" s="116">
        <v>0</v>
      </c>
      <c r="AL136" s="116">
        <v>0</v>
      </c>
      <c r="AM136" s="116">
        <v>0</v>
      </c>
      <c r="AN136" s="116">
        <v>0</v>
      </c>
      <c r="AO136" s="116">
        <v>0</v>
      </c>
      <c r="AP136" s="116">
        <v>0</v>
      </c>
      <c r="AQ136" s="116">
        <v>0</v>
      </c>
      <c r="AR136" s="116">
        <v>0</v>
      </c>
      <c r="AS136" s="116">
        <v>0</v>
      </c>
      <c r="AT136" s="116">
        <v>0</v>
      </c>
      <c r="AU136" s="116">
        <v>0</v>
      </c>
      <c r="AV136" s="116">
        <v>0</v>
      </c>
      <c r="AW136" s="116">
        <v>0</v>
      </c>
      <c r="AX136" s="116">
        <v>0</v>
      </c>
      <c r="AY136" s="116">
        <v>0</v>
      </c>
    </row>
    <row r="137" spans="1:51" x14ac:dyDescent="0.2">
      <c r="A137" s="119"/>
      <c r="B137" s="130">
        <v>16</v>
      </c>
      <c r="C137" s="116"/>
      <c r="D137" s="116">
        <v>0</v>
      </c>
      <c r="E137" s="116">
        <v>0</v>
      </c>
      <c r="F137" s="116">
        <v>0</v>
      </c>
      <c r="G137" s="116">
        <v>0</v>
      </c>
      <c r="H137" s="116">
        <v>0</v>
      </c>
      <c r="I137" s="116">
        <v>0</v>
      </c>
      <c r="J137" s="116">
        <v>0</v>
      </c>
      <c r="K137" s="116">
        <v>0</v>
      </c>
      <c r="L137" s="116">
        <v>0</v>
      </c>
      <c r="M137" s="116">
        <v>0</v>
      </c>
      <c r="N137" s="116">
        <v>0</v>
      </c>
      <c r="O137" s="116">
        <v>0</v>
      </c>
      <c r="P137" s="116">
        <v>0</v>
      </c>
      <c r="Q137" s="116">
        <v>0</v>
      </c>
      <c r="R137" s="116">
        <v>0</v>
      </c>
      <c r="S137" s="116">
        <v>0</v>
      </c>
      <c r="T137" s="116">
        <v>0</v>
      </c>
      <c r="U137" s="116">
        <v>0</v>
      </c>
      <c r="V137" s="116">
        <v>0</v>
      </c>
      <c r="W137" s="116">
        <v>0</v>
      </c>
      <c r="X137" s="116">
        <v>0</v>
      </c>
      <c r="Y137" s="116">
        <v>0</v>
      </c>
      <c r="Z137" s="116">
        <v>0</v>
      </c>
      <c r="AA137" s="116">
        <v>0</v>
      </c>
      <c r="AB137" s="116">
        <v>0</v>
      </c>
      <c r="AC137" s="116">
        <v>0</v>
      </c>
      <c r="AD137" s="116">
        <v>0</v>
      </c>
      <c r="AE137" s="116">
        <v>0</v>
      </c>
      <c r="AF137" s="116">
        <v>0</v>
      </c>
      <c r="AG137" s="116">
        <v>0</v>
      </c>
      <c r="AH137" s="116">
        <v>0</v>
      </c>
      <c r="AI137" s="116">
        <v>0</v>
      </c>
      <c r="AJ137" s="116">
        <v>0</v>
      </c>
      <c r="AK137" s="116">
        <v>0</v>
      </c>
      <c r="AL137" s="116">
        <v>0</v>
      </c>
      <c r="AM137" s="116">
        <v>0</v>
      </c>
      <c r="AN137" s="116">
        <v>0</v>
      </c>
      <c r="AO137" s="116">
        <v>0</v>
      </c>
      <c r="AP137" s="116">
        <v>0</v>
      </c>
      <c r="AQ137" s="116">
        <v>0</v>
      </c>
      <c r="AR137" s="116">
        <v>0</v>
      </c>
      <c r="AS137" s="116">
        <v>0</v>
      </c>
      <c r="AT137" s="116">
        <v>0</v>
      </c>
      <c r="AU137" s="116">
        <v>0</v>
      </c>
      <c r="AV137" s="116">
        <v>0</v>
      </c>
      <c r="AW137" s="116">
        <v>0</v>
      </c>
      <c r="AX137" s="116">
        <v>0</v>
      </c>
      <c r="AY137" s="116">
        <v>0</v>
      </c>
    </row>
    <row r="138" spans="1:51" x14ac:dyDescent="0.2">
      <c r="A138" s="119"/>
      <c r="B138" s="130">
        <v>17</v>
      </c>
      <c r="C138" s="116"/>
      <c r="D138" s="116">
        <v>0</v>
      </c>
      <c r="E138" s="116">
        <v>0</v>
      </c>
      <c r="F138" s="116">
        <v>0</v>
      </c>
      <c r="G138" s="116">
        <v>0</v>
      </c>
      <c r="H138" s="116">
        <v>0</v>
      </c>
      <c r="I138" s="116">
        <v>0</v>
      </c>
      <c r="J138" s="116">
        <v>0</v>
      </c>
      <c r="K138" s="116">
        <v>0</v>
      </c>
      <c r="L138" s="116">
        <v>0</v>
      </c>
      <c r="M138" s="116">
        <v>0</v>
      </c>
      <c r="N138" s="116">
        <v>0</v>
      </c>
      <c r="O138" s="116">
        <v>0</v>
      </c>
      <c r="P138" s="116">
        <v>0</v>
      </c>
      <c r="Q138" s="116">
        <v>0</v>
      </c>
      <c r="R138" s="116">
        <v>0</v>
      </c>
      <c r="S138" s="116">
        <v>0</v>
      </c>
      <c r="T138" s="116">
        <v>0</v>
      </c>
      <c r="U138" s="116">
        <v>0</v>
      </c>
      <c r="V138" s="116">
        <v>0</v>
      </c>
      <c r="W138" s="116">
        <v>0</v>
      </c>
      <c r="X138" s="116">
        <v>0</v>
      </c>
      <c r="Y138" s="116">
        <v>0</v>
      </c>
      <c r="Z138" s="116">
        <v>0</v>
      </c>
      <c r="AA138" s="116">
        <v>0</v>
      </c>
      <c r="AB138" s="116">
        <v>0</v>
      </c>
      <c r="AC138" s="116">
        <v>0</v>
      </c>
      <c r="AD138" s="116">
        <v>0</v>
      </c>
      <c r="AE138" s="116">
        <v>0</v>
      </c>
      <c r="AF138" s="116">
        <v>0</v>
      </c>
      <c r="AG138" s="116">
        <v>0</v>
      </c>
      <c r="AH138" s="116">
        <v>0</v>
      </c>
      <c r="AI138" s="116">
        <v>0</v>
      </c>
      <c r="AJ138" s="116">
        <v>0</v>
      </c>
      <c r="AK138" s="116">
        <v>0</v>
      </c>
      <c r="AL138" s="116">
        <v>0</v>
      </c>
      <c r="AM138" s="116">
        <v>0</v>
      </c>
      <c r="AN138" s="116">
        <v>0</v>
      </c>
      <c r="AO138" s="116">
        <v>0</v>
      </c>
      <c r="AP138" s="116">
        <v>0</v>
      </c>
      <c r="AQ138" s="116">
        <v>0</v>
      </c>
      <c r="AR138" s="116">
        <v>0</v>
      </c>
      <c r="AS138" s="116">
        <v>0</v>
      </c>
      <c r="AT138" s="116">
        <v>0</v>
      </c>
      <c r="AU138" s="116">
        <v>0</v>
      </c>
      <c r="AV138" s="116">
        <v>0</v>
      </c>
      <c r="AW138" s="116">
        <v>0</v>
      </c>
      <c r="AX138" s="116">
        <v>0</v>
      </c>
      <c r="AY138" s="116">
        <v>0</v>
      </c>
    </row>
    <row r="139" spans="1:51" x14ac:dyDescent="0.2">
      <c r="A139" s="119"/>
      <c r="B139" s="130">
        <v>18</v>
      </c>
      <c r="C139" s="116"/>
      <c r="D139" s="116">
        <v>0</v>
      </c>
      <c r="E139" s="116">
        <v>0</v>
      </c>
      <c r="F139" s="116">
        <v>0</v>
      </c>
      <c r="G139" s="116">
        <v>0</v>
      </c>
      <c r="H139" s="116">
        <v>0</v>
      </c>
      <c r="I139" s="116">
        <v>0</v>
      </c>
      <c r="J139" s="116">
        <v>0</v>
      </c>
      <c r="K139" s="116">
        <v>0</v>
      </c>
      <c r="L139" s="116">
        <v>0</v>
      </c>
      <c r="M139" s="116">
        <v>0</v>
      </c>
      <c r="N139" s="116">
        <v>0</v>
      </c>
      <c r="O139" s="116">
        <v>0</v>
      </c>
      <c r="P139" s="116">
        <v>0</v>
      </c>
      <c r="Q139" s="116">
        <v>0</v>
      </c>
      <c r="R139" s="116">
        <v>0</v>
      </c>
      <c r="S139" s="116">
        <v>0</v>
      </c>
      <c r="T139" s="116">
        <v>0</v>
      </c>
      <c r="U139" s="116">
        <v>0</v>
      </c>
      <c r="V139" s="116">
        <v>0</v>
      </c>
      <c r="W139" s="116">
        <v>0</v>
      </c>
      <c r="X139" s="116">
        <v>0</v>
      </c>
      <c r="Y139" s="116">
        <v>0</v>
      </c>
      <c r="Z139" s="116">
        <v>0</v>
      </c>
      <c r="AA139" s="116">
        <v>0</v>
      </c>
      <c r="AB139" s="116">
        <v>0</v>
      </c>
      <c r="AC139" s="116">
        <v>0</v>
      </c>
      <c r="AD139" s="116">
        <v>0</v>
      </c>
      <c r="AE139" s="116">
        <v>0</v>
      </c>
      <c r="AF139" s="116">
        <v>0</v>
      </c>
      <c r="AG139" s="116">
        <v>0</v>
      </c>
      <c r="AH139" s="116">
        <v>0</v>
      </c>
      <c r="AI139" s="116">
        <v>0</v>
      </c>
      <c r="AJ139" s="116">
        <v>0</v>
      </c>
      <c r="AK139" s="116">
        <v>0</v>
      </c>
      <c r="AL139" s="116">
        <v>0</v>
      </c>
      <c r="AM139" s="116">
        <v>0</v>
      </c>
      <c r="AN139" s="116">
        <v>0</v>
      </c>
      <c r="AO139" s="116">
        <v>0</v>
      </c>
      <c r="AP139" s="116">
        <v>0</v>
      </c>
      <c r="AQ139" s="116">
        <v>0</v>
      </c>
      <c r="AR139" s="116">
        <v>0</v>
      </c>
      <c r="AS139" s="116">
        <v>0</v>
      </c>
      <c r="AT139" s="116">
        <v>0</v>
      </c>
      <c r="AU139" s="116">
        <v>0</v>
      </c>
      <c r="AV139" s="116">
        <v>0</v>
      </c>
      <c r="AW139" s="116">
        <v>0</v>
      </c>
      <c r="AX139" s="116">
        <v>0</v>
      </c>
      <c r="AY139" s="116">
        <v>0</v>
      </c>
    </row>
    <row r="140" spans="1:51" x14ac:dyDescent="0.2">
      <c r="A140" s="119"/>
      <c r="B140" s="130">
        <v>19</v>
      </c>
      <c r="C140" s="116"/>
      <c r="D140" s="116">
        <v>0</v>
      </c>
      <c r="E140" s="116">
        <v>0</v>
      </c>
      <c r="F140" s="116">
        <v>0</v>
      </c>
      <c r="G140" s="116">
        <v>0</v>
      </c>
      <c r="H140" s="116">
        <v>0</v>
      </c>
      <c r="I140" s="116">
        <v>0</v>
      </c>
      <c r="J140" s="116">
        <v>0</v>
      </c>
      <c r="K140" s="116">
        <v>0</v>
      </c>
      <c r="L140" s="116">
        <v>0</v>
      </c>
      <c r="M140" s="116">
        <v>0</v>
      </c>
      <c r="N140" s="116">
        <v>0</v>
      </c>
      <c r="O140" s="116">
        <v>0</v>
      </c>
      <c r="P140" s="116">
        <v>0</v>
      </c>
      <c r="Q140" s="116">
        <v>0</v>
      </c>
      <c r="R140" s="116">
        <v>0</v>
      </c>
      <c r="S140" s="116">
        <v>0</v>
      </c>
      <c r="T140" s="116">
        <v>0</v>
      </c>
      <c r="U140" s="116">
        <v>0</v>
      </c>
      <c r="V140" s="116">
        <v>0</v>
      </c>
      <c r="W140" s="116">
        <v>0</v>
      </c>
      <c r="X140" s="116">
        <v>0</v>
      </c>
      <c r="Y140" s="116">
        <v>0</v>
      </c>
      <c r="Z140" s="116">
        <v>0</v>
      </c>
      <c r="AA140" s="116">
        <v>0</v>
      </c>
      <c r="AB140" s="116">
        <v>0</v>
      </c>
      <c r="AC140" s="116">
        <v>0</v>
      </c>
      <c r="AD140" s="116">
        <v>0</v>
      </c>
      <c r="AE140" s="116">
        <v>0</v>
      </c>
      <c r="AF140" s="116">
        <v>0</v>
      </c>
      <c r="AG140" s="116">
        <v>0</v>
      </c>
      <c r="AH140" s="116">
        <v>0</v>
      </c>
      <c r="AI140" s="116">
        <v>0</v>
      </c>
      <c r="AJ140" s="116">
        <v>0</v>
      </c>
      <c r="AK140" s="116">
        <v>0</v>
      </c>
      <c r="AL140" s="116">
        <v>0</v>
      </c>
      <c r="AM140" s="116">
        <v>0</v>
      </c>
      <c r="AN140" s="116">
        <v>0</v>
      </c>
      <c r="AO140" s="116">
        <v>0</v>
      </c>
      <c r="AP140" s="116">
        <v>0</v>
      </c>
      <c r="AQ140" s="116">
        <v>0</v>
      </c>
      <c r="AR140" s="116">
        <v>0</v>
      </c>
      <c r="AS140" s="116">
        <v>0</v>
      </c>
      <c r="AT140" s="116">
        <v>0</v>
      </c>
      <c r="AU140" s="116">
        <v>0</v>
      </c>
      <c r="AV140" s="116">
        <v>0</v>
      </c>
      <c r="AW140" s="116">
        <v>0</v>
      </c>
      <c r="AX140" s="116">
        <v>0</v>
      </c>
      <c r="AY140" s="116">
        <v>0</v>
      </c>
    </row>
    <row r="141" spans="1:51" x14ac:dyDescent="0.2">
      <c r="A141" s="119"/>
      <c r="B141" s="130">
        <v>20</v>
      </c>
      <c r="C141" s="116"/>
      <c r="D141" s="116">
        <v>0</v>
      </c>
      <c r="E141" s="116">
        <v>0</v>
      </c>
      <c r="F141" s="116">
        <v>0</v>
      </c>
      <c r="G141" s="116">
        <v>0</v>
      </c>
      <c r="H141" s="116">
        <v>0</v>
      </c>
      <c r="I141" s="116">
        <v>0</v>
      </c>
      <c r="J141" s="116">
        <v>0</v>
      </c>
      <c r="K141" s="116">
        <v>0</v>
      </c>
      <c r="L141" s="116">
        <v>0</v>
      </c>
      <c r="M141" s="116">
        <v>0</v>
      </c>
      <c r="N141" s="116">
        <v>0</v>
      </c>
      <c r="O141" s="116">
        <v>0</v>
      </c>
      <c r="P141" s="116">
        <v>0</v>
      </c>
      <c r="Q141" s="116">
        <v>0</v>
      </c>
      <c r="R141" s="116">
        <v>0</v>
      </c>
      <c r="S141" s="116">
        <v>0</v>
      </c>
      <c r="T141" s="116">
        <v>0</v>
      </c>
      <c r="U141" s="116">
        <v>0</v>
      </c>
      <c r="V141" s="116">
        <v>0</v>
      </c>
      <c r="W141" s="116">
        <v>0</v>
      </c>
      <c r="X141" s="116">
        <v>0</v>
      </c>
      <c r="Y141" s="116">
        <v>0</v>
      </c>
      <c r="Z141" s="116">
        <v>0</v>
      </c>
      <c r="AA141" s="116">
        <v>0</v>
      </c>
      <c r="AB141" s="116">
        <v>0</v>
      </c>
      <c r="AC141" s="116">
        <v>0</v>
      </c>
      <c r="AD141" s="116">
        <v>0</v>
      </c>
      <c r="AE141" s="116">
        <v>0</v>
      </c>
      <c r="AF141" s="116">
        <v>0</v>
      </c>
      <c r="AG141" s="116">
        <v>0</v>
      </c>
      <c r="AH141" s="116">
        <v>0</v>
      </c>
      <c r="AI141" s="116">
        <v>0</v>
      </c>
      <c r="AJ141" s="116">
        <v>0</v>
      </c>
      <c r="AK141" s="116">
        <v>0</v>
      </c>
      <c r="AL141" s="116">
        <v>0</v>
      </c>
      <c r="AM141" s="116">
        <v>0</v>
      </c>
      <c r="AN141" s="116">
        <v>0</v>
      </c>
      <c r="AO141" s="116">
        <v>0</v>
      </c>
      <c r="AP141" s="116">
        <v>0</v>
      </c>
      <c r="AQ141" s="116">
        <v>0</v>
      </c>
      <c r="AR141" s="116">
        <v>0</v>
      </c>
      <c r="AS141" s="116">
        <v>0</v>
      </c>
      <c r="AT141" s="116">
        <v>0</v>
      </c>
      <c r="AU141" s="116">
        <v>0</v>
      </c>
      <c r="AV141" s="116">
        <v>0</v>
      </c>
      <c r="AW141" s="116">
        <v>0</v>
      </c>
      <c r="AX141" s="116">
        <v>0</v>
      </c>
      <c r="AY141" s="116">
        <v>0</v>
      </c>
    </row>
    <row r="142" spans="1:51" x14ac:dyDescent="0.2">
      <c r="A142" s="119"/>
      <c r="B142" s="130">
        <v>21</v>
      </c>
      <c r="C142" s="116"/>
      <c r="D142" s="116">
        <v>0</v>
      </c>
      <c r="E142" s="116">
        <v>0</v>
      </c>
      <c r="F142" s="116">
        <v>0</v>
      </c>
      <c r="G142" s="116">
        <v>0</v>
      </c>
      <c r="H142" s="116">
        <v>0</v>
      </c>
      <c r="I142" s="116">
        <v>0</v>
      </c>
      <c r="J142" s="116">
        <v>0</v>
      </c>
      <c r="K142" s="116">
        <v>0</v>
      </c>
      <c r="L142" s="116">
        <v>0</v>
      </c>
      <c r="M142" s="116">
        <v>0</v>
      </c>
      <c r="N142" s="116">
        <v>0</v>
      </c>
      <c r="O142" s="116">
        <v>0</v>
      </c>
      <c r="P142" s="116">
        <v>0</v>
      </c>
      <c r="Q142" s="116">
        <v>0</v>
      </c>
      <c r="R142" s="116">
        <v>0</v>
      </c>
      <c r="S142" s="116">
        <v>0</v>
      </c>
      <c r="T142" s="116">
        <v>0</v>
      </c>
      <c r="U142" s="116">
        <v>0</v>
      </c>
      <c r="V142" s="116">
        <v>0</v>
      </c>
      <c r="W142" s="116">
        <v>0</v>
      </c>
      <c r="X142" s="116">
        <v>0</v>
      </c>
      <c r="Y142" s="116">
        <v>0</v>
      </c>
      <c r="Z142" s="116">
        <v>0</v>
      </c>
      <c r="AA142" s="116">
        <v>0</v>
      </c>
      <c r="AB142" s="116">
        <v>0</v>
      </c>
      <c r="AC142" s="116">
        <v>0</v>
      </c>
      <c r="AD142" s="116">
        <v>0</v>
      </c>
      <c r="AE142" s="116">
        <v>0</v>
      </c>
      <c r="AF142" s="116">
        <v>0</v>
      </c>
      <c r="AG142" s="116">
        <v>0</v>
      </c>
      <c r="AH142" s="116">
        <v>0</v>
      </c>
      <c r="AI142" s="116">
        <v>0</v>
      </c>
      <c r="AJ142" s="116">
        <v>0</v>
      </c>
      <c r="AK142" s="116">
        <v>0</v>
      </c>
      <c r="AL142" s="116">
        <v>0</v>
      </c>
      <c r="AM142" s="116">
        <v>0</v>
      </c>
      <c r="AN142" s="116">
        <v>0</v>
      </c>
      <c r="AO142" s="116">
        <v>0</v>
      </c>
      <c r="AP142" s="116">
        <v>0</v>
      </c>
      <c r="AQ142" s="116">
        <v>0</v>
      </c>
      <c r="AR142" s="116">
        <v>0</v>
      </c>
      <c r="AS142" s="116">
        <v>0</v>
      </c>
      <c r="AT142" s="116">
        <v>0</v>
      </c>
      <c r="AU142" s="116">
        <v>0</v>
      </c>
      <c r="AV142" s="116">
        <v>0</v>
      </c>
      <c r="AW142" s="116">
        <v>0</v>
      </c>
      <c r="AX142" s="116">
        <v>0</v>
      </c>
      <c r="AY142" s="116">
        <v>0</v>
      </c>
    </row>
    <row r="143" spans="1:51" x14ac:dyDescent="0.2">
      <c r="A143" s="119"/>
      <c r="B143" s="130">
        <v>22</v>
      </c>
      <c r="C143" s="116"/>
      <c r="D143" s="116">
        <v>0</v>
      </c>
      <c r="E143" s="116">
        <v>0</v>
      </c>
      <c r="F143" s="116">
        <v>0</v>
      </c>
      <c r="G143" s="116">
        <v>0</v>
      </c>
      <c r="H143" s="116">
        <v>0</v>
      </c>
      <c r="I143" s="116">
        <v>0</v>
      </c>
      <c r="J143" s="116">
        <v>0</v>
      </c>
      <c r="K143" s="116">
        <v>0</v>
      </c>
      <c r="L143" s="116">
        <v>0</v>
      </c>
      <c r="M143" s="116">
        <v>0</v>
      </c>
      <c r="N143" s="116">
        <v>0</v>
      </c>
      <c r="O143" s="116">
        <v>0</v>
      </c>
      <c r="P143" s="116">
        <v>0</v>
      </c>
      <c r="Q143" s="116">
        <v>0</v>
      </c>
      <c r="R143" s="116">
        <v>0</v>
      </c>
      <c r="S143" s="116">
        <v>0</v>
      </c>
      <c r="T143" s="116">
        <v>0</v>
      </c>
      <c r="U143" s="116">
        <v>0</v>
      </c>
      <c r="V143" s="116">
        <v>0</v>
      </c>
      <c r="W143" s="116">
        <v>0</v>
      </c>
      <c r="X143" s="116">
        <v>0</v>
      </c>
      <c r="Y143" s="116">
        <v>0</v>
      </c>
      <c r="Z143" s="116">
        <v>0</v>
      </c>
      <c r="AA143" s="116">
        <v>0</v>
      </c>
      <c r="AB143" s="116">
        <v>0</v>
      </c>
      <c r="AC143" s="116">
        <v>0</v>
      </c>
      <c r="AD143" s="116">
        <v>0</v>
      </c>
      <c r="AE143" s="116">
        <v>0</v>
      </c>
      <c r="AF143" s="116">
        <v>0</v>
      </c>
      <c r="AG143" s="116">
        <v>0</v>
      </c>
      <c r="AH143" s="116">
        <v>0</v>
      </c>
      <c r="AI143" s="116">
        <v>0</v>
      </c>
      <c r="AJ143" s="116">
        <v>0</v>
      </c>
      <c r="AK143" s="116">
        <v>0</v>
      </c>
      <c r="AL143" s="116">
        <v>0</v>
      </c>
      <c r="AM143" s="116">
        <v>0</v>
      </c>
      <c r="AN143" s="116">
        <v>0</v>
      </c>
      <c r="AO143" s="116">
        <v>0</v>
      </c>
      <c r="AP143" s="116">
        <v>0</v>
      </c>
      <c r="AQ143" s="116">
        <v>0</v>
      </c>
      <c r="AR143" s="116">
        <v>0</v>
      </c>
      <c r="AS143" s="116">
        <v>0</v>
      </c>
      <c r="AT143" s="116">
        <v>0</v>
      </c>
      <c r="AU143" s="116">
        <v>0</v>
      </c>
      <c r="AV143" s="116">
        <v>0</v>
      </c>
      <c r="AW143" s="116">
        <v>0</v>
      </c>
      <c r="AX143" s="116">
        <v>0</v>
      </c>
      <c r="AY143" s="116">
        <v>0</v>
      </c>
    </row>
    <row r="144" spans="1:51" x14ac:dyDescent="0.2">
      <c r="A144" s="119"/>
      <c r="B144" s="130">
        <v>23</v>
      </c>
      <c r="C144" s="116"/>
      <c r="D144" s="116">
        <v>0</v>
      </c>
      <c r="E144" s="116">
        <v>0</v>
      </c>
      <c r="F144" s="116">
        <v>0</v>
      </c>
      <c r="G144" s="116">
        <v>0</v>
      </c>
      <c r="H144" s="116">
        <v>0</v>
      </c>
      <c r="I144" s="116">
        <v>0</v>
      </c>
      <c r="J144" s="116">
        <v>0</v>
      </c>
      <c r="K144" s="116">
        <v>0</v>
      </c>
      <c r="L144" s="116">
        <v>0</v>
      </c>
      <c r="M144" s="116">
        <v>0</v>
      </c>
      <c r="N144" s="116">
        <v>0</v>
      </c>
      <c r="O144" s="116">
        <v>0</v>
      </c>
      <c r="P144" s="116">
        <v>0</v>
      </c>
      <c r="Q144" s="116">
        <v>0</v>
      </c>
      <c r="R144" s="116">
        <v>0</v>
      </c>
      <c r="S144" s="116">
        <v>0</v>
      </c>
      <c r="T144" s="116">
        <v>0</v>
      </c>
      <c r="U144" s="116">
        <v>0</v>
      </c>
      <c r="V144" s="116">
        <v>0</v>
      </c>
      <c r="W144" s="116">
        <v>0</v>
      </c>
      <c r="X144" s="116">
        <v>0</v>
      </c>
      <c r="Y144" s="116">
        <v>0</v>
      </c>
      <c r="Z144" s="116">
        <v>0</v>
      </c>
      <c r="AA144" s="116">
        <v>0</v>
      </c>
      <c r="AB144" s="116">
        <v>0</v>
      </c>
      <c r="AC144" s="116">
        <v>0</v>
      </c>
      <c r="AD144" s="116">
        <v>0</v>
      </c>
      <c r="AE144" s="116">
        <v>0</v>
      </c>
      <c r="AF144" s="116">
        <v>0</v>
      </c>
      <c r="AG144" s="116">
        <v>0</v>
      </c>
      <c r="AH144" s="116">
        <v>0</v>
      </c>
      <c r="AI144" s="116">
        <v>0</v>
      </c>
      <c r="AJ144" s="116">
        <v>0</v>
      </c>
      <c r="AK144" s="116">
        <v>0</v>
      </c>
      <c r="AL144" s="116">
        <v>0</v>
      </c>
      <c r="AM144" s="116">
        <v>0</v>
      </c>
      <c r="AN144" s="116">
        <v>0</v>
      </c>
      <c r="AO144" s="116">
        <v>0</v>
      </c>
      <c r="AP144" s="116">
        <v>0</v>
      </c>
      <c r="AQ144" s="116">
        <v>0</v>
      </c>
      <c r="AR144" s="116">
        <v>0</v>
      </c>
      <c r="AS144" s="116">
        <v>0</v>
      </c>
      <c r="AT144" s="116">
        <v>0</v>
      </c>
      <c r="AU144" s="116">
        <v>0</v>
      </c>
      <c r="AV144" s="116">
        <v>0</v>
      </c>
      <c r="AW144" s="116">
        <v>0</v>
      </c>
      <c r="AX144" s="116">
        <v>0</v>
      </c>
      <c r="AY144" s="116">
        <v>0</v>
      </c>
    </row>
    <row r="145" spans="1:51" x14ac:dyDescent="0.2">
      <c r="A145" s="119"/>
      <c r="B145" s="130">
        <v>24</v>
      </c>
      <c r="C145" s="116"/>
      <c r="D145" s="116">
        <v>0</v>
      </c>
      <c r="E145" s="116">
        <v>0</v>
      </c>
      <c r="F145" s="116">
        <v>0</v>
      </c>
      <c r="G145" s="116">
        <v>0</v>
      </c>
      <c r="H145" s="116">
        <v>0</v>
      </c>
      <c r="I145" s="116">
        <v>0</v>
      </c>
      <c r="J145" s="116">
        <v>0</v>
      </c>
      <c r="K145" s="116">
        <v>0</v>
      </c>
      <c r="L145" s="116">
        <v>0</v>
      </c>
      <c r="M145" s="116">
        <v>0</v>
      </c>
      <c r="N145" s="116">
        <v>0</v>
      </c>
      <c r="O145" s="116">
        <v>0</v>
      </c>
      <c r="P145" s="116">
        <v>0</v>
      </c>
      <c r="Q145" s="116">
        <v>0</v>
      </c>
      <c r="R145" s="116">
        <v>0</v>
      </c>
      <c r="S145" s="116">
        <v>0</v>
      </c>
      <c r="T145" s="116">
        <v>0</v>
      </c>
      <c r="U145" s="116">
        <v>0</v>
      </c>
      <c r="V145" s="116">
        <v>0</v>
      </c>
      <c r="W145" s="116">
        <v>0</v>
      </c>
      <c r="X145" s="116">
        <v>0</v>
      </c>
      <c r="Y145" s="116">
        <v>0</v>
      </c>
      <c r="Z145" s="116">
        <v>0</v>
      </c>
      <c r="AA145" s="116">
        <v>0</v>
      </c>
      <c r="AB145" s="116">
        <v>0</v>
      </c>
      <c r="AC145" s="116">
        <v>0</v>
      </c>
      <c r="AD145" s="116">
        <v>0</v>
      </c>
      <c r="AE145" s="116">
        <v>0</v>
      </c>
      <c r="AF145" s="116">
        <v>0</v>
      </c>
      <c r="AG145" s="116">
        <v>0</v>
      </c>
      <c r="AH145" s="116">
        <v>0</v>
      </c>
      <c r="AI145" s="116">
        <v>0</v>
      </c>
      <c r="AJ145" s="116">
        <v>0</v>
      </c>
      <c r="AK145" s="116">
        <v>0</v>
      </c>
      <c r="AL145" s="116">
        <v>0</v>
      </c>
      <c r="AM145" s="116">
        <v>0</v>
      </c>
      <c r="AN145" s="116">
        <v>0</v>
      </c>
      <c r="AO145" s="116">
        <v>0</v>
      </c>
      <c r="AP145" s="116">
        <v>0</v>
      </c>
      <c r="AQ145" s="116">
        <v>0</v>
      </c>
      <c r="AR145" s="116">
        <v>0</v>
      </c>
      <c r="AS145" s="116">
        <v>0</v>
      </c>
      <c r="AT145" s="116">
        <v>0</v>
      </c>
      <c r="AU145" s="116">
        <v>0</v>
      </c>
      <c r="AV145" s="116">
        <v>0</v>
      </c>
      <c r="AW145" s="116">
        <v>0</v>
      </c>
      <c r="AX145" s="116">
        <v>0</v>
      </c>
      <c r="AY145" s="116">
        <v>0</v>
      </c>
    </row>
    <row r="146" spans="1:51" x14ac:dyDescent="0.2">
      <c r="A146" s="119"/>
      <c r="B146" s="137">
        <v>25</v>
      </c>
      <c r="C146" s="116"/>
      <c r="D146" s="116">
        <v>0</v>
      </c>
      <c r="E146" s="116">
        <v>0</v>
      </c>
      <c r="F146" s="116">
        <v>0</v>
      </c>
      <c r="G146" s="116">
        <v>0</v>
      </c>
      <c r="H146" s="116">
        <v>0</v>
      </c>
      <c r="I146" s="116">
        <v>0</v>
      </c>
      <c r="J146" s="116">
        <v>0</v>
      </c>
      <c r="K146" s="116">
        <v>0</v>
      </c>
      <c r="L146" s="116">
        <v>0</v>
      </c>
      <c r="M146" s="116">
        <v>0</v>
      </c>
      <c r="N146" s="116">
        <v>0</v>
      </c>
      <c r="O146" s="116">
        <v>0</v>
      </c>
      <c r="P146" s="116">
        <v>0</v>
      </c>
      <c r="Q146" s="116">
        <v>0</v>
      </c>
      <c r="R146" s="116">
        <v>0</v>
      </c>
      <c r="S146" s="116">
        <v>0</v>
      </c>
      <c r="T146" s="116">
        <v>0</v>
      </c>
      <c r="U146" s="116">
        <v>0</v>
      </c>
      <c r="V146" s="116">
        <v>0</v>
      </c>
      <c r="W146" s="116">
        <v>0</v>
      </c>
      <c r="X146" s="116">
        <v>0</v>
      </c>
      <c r="Y146" s="116">
        <v>0</v>
      </c>
      <c r="Z146" s="116">
        <v>0</v>
      </c>
      <c r="AA146" s="116">
        <v>0</v>
      </c>
      <c r="AB146" s="116">
        <v>0</v>
      </c>
      <c r="AC146" s="116">
        <v>0</v>
      </c>
      <c r="AD146" s="116">
        <v>0</v>
      </c>
      <c r="AE146" s="116">
        <v>0</v>
      </c>
      <c r="AF146" s="116">
        <v>0</v>
      </c>
      <c r="AG146" s="116">
        <v>0</v>
      </c>
      <c r="AH146" s="116">
        <v>0</v>
      </c>
      <c r="AI146" s="116">
        <v>0</v>
      </c>
      <c r="AJ146" s="116">
        <v>0</v>
      </c>
      <c r="AK146" s="116">
        <v>0</v>
      </c>
      <c r="AL146" s="116">
        <v>0</v>
      </c>
      <c r="AM146" s="116">
        <v>0</v>
      </c>
      <c r="AN146" s="116">
        <v>0</v>
      </c>
      <c r="AO146" s="116">
        <v>0</v>
      </c>
      <c r="AP146" s="116">
        <v>0</v>
      </c>
      <c r="AQ146" s="116">
        <v>0</v>
      </c>
      <c r="AR146" s="116">
        <v>0</v>
      </c>
      <c r="AS146" s="116">
        <v>0</v>
      </c>
      <c r="AT146" s="116">
        <v>0</v>
      </c>
      <c r="AU146" s="116">
        <v>0</v>
      </c>
      <c r="AV146" s="116">
        <v>0</v>
      </c>
      <c r="AW146" s="116">
        <v>0</v>
      </c>
      <c r="AX146" s="116">
        <v>0</v>
      </c>
      <c r="AY146" s="116">
        <v>0</v>
      </c>
    </row>
    <row r="147" spans="1:51" x14ac:dyDescent="0.2">
      <c r="A147" s="119"/>
      <c r="B147" s="137">
        <v>26</v>
      </c>
      <c r="C147" s="116"/>
      <c r="D147" s="116">
        <v>0</v>
      </c>
      <c r="E147" s="116">
        <v>0</v>
      </c>
      <c r="F147" s="116">
        <v>0</v>
      </c>
      <c r="G147" s="116">
        <v>0</v>
      </c>
      <c r="H147" s="116">
        <v>0</v>
      </c>
      <c r="I147" s="116">
        <v>0</v>
      </c>
      <c r="J147" s="116">
        <v>0</v>
      </c>
      <c r="K147" s="116">
        <v>0</v>
      </c>
      <c r="L147" s="116">
        <v>0</v>
      </c>
      <c r="M147" s="116">
        <v>0</v>
      </c>
      <c r="N147" s="116">
        <v>0</v>
      </c>
      <c r="O147" s="116">
        <v>0</v>
      </c>
      <c r="P147" s="116">
        <v>0</v>
      </c>
      <c r="Q147" s="116">
        <v>0</v>
      </c>
      <c r="R147" s="116">
        <v>0</v>
      </c>
      <c r="S147" s="116">
        <v>0</v>
      </c>
      <c r="T147" s="116">
        <v>0</v>
      </c>
      <c r="U147" s="116">
        <v>0</v>
      </c>
      <c r="V147" s="116">
        <v>0</v>
      </c>
      <c r="W147" s="116">
        <v>0</v>
      </c>
      <c r="X147" s="116">
        <v>0</v>
      </c>
      <c r="Y147" s="116">
        <v>0</v>
      </c>
      <c r="Z147" s="116">
        <v>0</v>
      </c>
      <c r="AA147" s="116">
        <v>0</v>
      </c>
      <c r="AB147" s="116">
        <v>0</v>
      </c>
      <c r="AC147" s="116">
        <v>0</v>
      </c>
      <c r="AD147" s="116">
        <v>0</v>
      </c>
      <c r="AE147" s="116">
        <v>0</v>
      </c>
      <c r="AF147" s="116">
        <v>0</v>
      </c>
      <c r="AG147" s="116">
        <v>0</v>
      </c>
      <c r="AH147" s="116">
        <v>0</v>
      </c>
      <c r="AI147" s="116">
        <v>0</v>
      </c>
      <c r="AJ147" s="116">
        <v>0</v>
      </c>
      <c r="AK147" s="116">
        <v>0</v>
      </c>
      <c r="AL147" s="116">
        <v>0</v>
      </c>
      <c r="AM147" s="116">
        <v>0</v>
      </c>
      <c r="AN147" s="116">
        <v>0</v>
      </c>
      <c r="AO147" s="116">
        <v>0</v>
      </c>
      <c r="AP147" s="116">
        <v>0</v>
      </c>
      <c r="AQ147" s="116">
        <v>0</v>
      </c>
      <c r="AR147" s="116">
        <v>0</v>
      </c>
      <c r="AS147" s="116">
        <v>0</v>
      </c>
      <c r="AT147" s="116">
        <v>0</v>
      </c>
      <c r="AU147" s="116">
        <v>0</v>
      </c>
      <c r="AV147" s="116">
        <v>0</v>
      </c>
      <c r="AW147" s="116">
        <v>0</v>
      </c>
      <c r="AX147" s="116">
        <v>0</v>
      </c>
      <c r="AY147" s="116">
        <v>0</v>
      </c>
    </row>
    <row r="148" spans="1:51" x14ac:dyDescent="0.2">
      <c r="A148" s="119"/>
      <c r="B148" s="137">
        <v>27</v>
      </c>
      <c r="C148" s="116"/>
      <c r="D148" s="116">
        <v>0</v>
      </c>
      <c r="E148" s="116">
        <v>0</v>
      </c>
      <c r="F148" s="116">
        <v>0</v>
      </c>
      <c r="G148" s="116">
        <v>0</v>
      </c>
      <c r="H148" s="116">
        <v>0</v>
      </c>
      <c r="I148" s="116">
        <v>0</v>
      </c>
      <c r="J148" s="116">
        <v>0</v>
      </c>
      <c r="K148" s="116">
        <v>0</v>
      </c>
      <c r="L148" s="116">
        <v>0</v>
      </c>
      <c r="M148" s="116">
        <v>0</v>
      </c>
      <c r="N148" s="116">
        <v>0</v>
      </c>
      <c r="O148" s="116">
        <v>0</v>
      </c>
      <c r="P148" s="116">
        <v>0</v>
      </c>
      <c r="Q148" s="116">
        <v>0</v>
      </c>
      <c r="R148" s="116">
        <v>0</v>
      </c>
      <c r="S148" s="116">
        <v>0</v>
      </c>
      <c r="T148" s="116">
        <v>0</v>
      </c>
      <c r="U148" s="116">
        <v>0</v>
      </c>
      <c r="V148" s="116">
        <v>0</v>
      </c>
      <c r="W148" s="116">
        <v>0</v>
      </c>
      <c r="X148" s="116">
        <v>0</v>
      </c>
      <c r="Y148" s="116">
        <v>0</v>
      </c>
      <c r="Z148" s="116">
        <v>0</v>
      </c>
      <c r="AA148" s="116">
        <v>0</v>
      </c>
      <c r="AB148" s="116">
        <v>0</v>
      </c>
      <c r="AC148" s="116">
        <v>0</v>
      </c>
      <c r="AD148" s="116">
        <v>0</v>
      </c>
      <c r="AE148" s="116">
        <v>0</v>
      </c>
      <c r="AF148" s="116">
        <v>0</v>
      </c>
      <c r="AG148" s="116">
        <v>0</v>
      </c>
      <c r="AH148" s="116">
        <v>0</v>
      </c>
      <c r="AI148" s="116">
        <v>0</v>
      </c>
      <c r="AJ148" s="116">
        <v>0</v>
      </c>
      <c r="AK148" s="116">
        <v>0</v>
      </c>
      <c r="AL148" s="116">
        <v>0</v>
      </c>
      <c r="AM148" s="116">
        <v>0</v>
      </c>
      <c r="AN148" s="116">
        <v>0</v>
      </c>
      <c r="AO148" s="116">
        <v>0</v>
      </c>
      <c r="AP148" s="116">
        <v>0</v>
      </c>
      <c r="AQ148" s="116">
        <v>0</v>
      </c>
      <c r="AR148" s="116">
        <v>0</v>
      </c>
      <c r="AS148" s="116">
        <v>0</v>
      </c>
      <c r="AT148" s="116">
        <v>0</v>
      </c>
      <c r="AU148" s="116">
        <v>0</v>
      </c>
      <c r="AV148" s="116">
        <v>0</v>
      </c>
      <c r="AW148" s="116">
        <v>0</v>
      </c>
      <c r="AX148" s="116">
        <v>0</v>
      </c>
      <c r="AY148" s="116">
        <v>0</v>
      </c>
    </row>
    <row r="149" spans="1:51" x14ac:dyDescent="0.2">
      <c r="A149" s="119"/>
      <c r="B149" s="137">
        <v>28</v>
      </c>
      <c r="C149" s="116"/>
      <c r="D149" s="116">
        <v>0</v>
      </c>
      <c r="E149" s="116">
        <v>0</v>
      </c>
      <c r="F149" s="116">
        <v>0</v>
      </c>
      <c r="G149" s="116">
        <v>0</v>
      </c>
      <c r="H149" s="116">
        <v>0</v>
      </c>
      <c r="I149" s="116">
        <v>0</v>
      </c>
      <c r="J149" s="116">
        <v>0</v>
      </c>
      <c r="K149" s="116">
        <v>0</v>
      </c>
      <c r="L149" s="116">
        <v>0</v>
      </c>
      <c r="M149" s="116">
        <v>0</v>
      </c>
      <c r="N149" s="116">
        <v>0</v>
      </c>
      <c r="O149" s="116">
        <v>0</v>
      </c>
      <c r="P149" s="116">
        <v>0</v>
      </c>
      <c r="Q149" s="116">
        <v>0</v>
      </c>
      <c r="R149" s="116">
        <v>0</v>
      </c>
      <c r="S149" s="116">
        <v>0</v>
      </c>
      <c r="T149" s="116">
        <v>0</v>
      </c>
      <c r="U149" s="116">
        <v>0</v>
      </c>
      <c r="V149" s="116">
        <v>0</v>
      </c>
      <c r="W149" s="116">
        <v>0</v>
      </c>
      <c r="X149" s="116">
        <v>0</v>
      </c>
      <c r="Y149" s="116">
        <v>0</v>
      </c>
      <c r="Z149" s="116">
        <v>0</v>
      </c>
      <c r="AA149" s="116">
        <v>0</v>
      </c>
      <c r="AB149" s="116">
        <v>0</v>
      </c>
      <c r="AC149" s="116">
        <v>0</v>
      </c>
      <c r="AD149" s="116">
        <v>0</v>
      </c>
      <c r="AE149" s="116">
        <v>0</v>
      </c>
      <c r="AF149" s="116">
        <v>0</v>
      </c>
      <c r="AG149" s="116">
        <v>0</v>
      </c>
      <c r="AH149" s="116">
        <v>0</v>
      </c>
      <c r="AI149" s="116">
        <v>0</v>
      </c>
      <c r="AJ149" s="116">
        <v>0</v>
      </c>
      <c r="AK149" s="116">
        <v>0</v>
      </c>
      <c r="AL149" s="116">
        <v>0</v>
      </c>
      <c r="AM149" s="116">
        <v>0</v>
      </c>
      <c r="AN149" s="116">
        <v>0</v>
      </c>
      <c r="AO149" s="116">
        <v>0</v>
      </c>
      <c r="AP149" s="116">
        <v>0</v>
      </c>
      <c r="AQ149" s="116">
        <v>0</v>
      </c>
      <c r="AR149" s="116">
        <v>0</v>
      </c>
      <c r="AS149" s="116">
        <v>0</v>
      </c>
      <c r="AT149" s="116">
        <v>0</v>
      </c>
      <c r="AU149" s="116">
        <v>0</v>
      </c>
      <c r="AV149" s="116">
        <v>0</v>
      </c>
      <c r="AW149" s="116">
        <v>0</v>
      </c>
      <c r="AX149" s="116">
        <v>0</v>
      </c>
      <c r="AY149" s="116">
        <v>0</v>
      </c>
    </row>
    <row r="150" spans="1:51" x14ac:dyDescent="0.2">
      <c r="A150" s="119"/>
      <c r="B150" s="137">
        <v>29</v>
      </c>
      <c r="C150" s="116"/>
      <c r="D150" s="116">
        <v>0</v>
      </c>
      <c r="E150" s="116">
        <v>0</v>
      </c>
      <c r="F150" s="116">
        <v>0</v>
      </c>
      <c r="G150" s="116">
        <v>0</v>
      </c>
      <c r="H150" s="116">
        <v>0</v>
      </c>
      <c r="I150" s="116">
        <v>0</v>
      </c>
      <c r="J150" s="116">
        <v>0</v>
      </c>
      <c r="K150" s="116">
        <v>0</v>
      </c>
      <c r="L150" s="116">
        <v>0</v>
      </c>
      <c r="M150" s="116">
        <v>0</v>
      </c>
      <c r="N150" s="116">
        <v>0</v>
      </c>
      <c r="O150" s="116">
        <v>0</v>
      </c>
      <c r="P150" s="116">
        <v>0</v>
      </c>
      <c r="Q150" s="116">
        <v>0</v>
      </c>
      <c r="R150" s="116">
        <v>0</v>
      </c>
      <c r="S150" s="116">
        <v>0</v>
      </c>
      <c r="T150" s="116">
        <v>0</v>
      </c>
      <c r="U150" s="116">
        <v>0</v>
      </c>
      <c r="V150" s="116">
        <v>0</v>
      </c>
      <c r="W150" s="116">
        <v>0</v>
      </c>
      <c r="X150" s="116">
        <v>0</v>
      </c>
      <c r="Y150" s="116">
        <v>0</v>
      </c>
      <c r="Z150" s="116">
        <v>0</v>
      </c>
      <c r="AA150" s="116">
        <v>0</v>
      </c>
      <c r="AB150" s="116">
        <v>0</v>
      </c>
      <c r="AC150" s="116">
        <v>0</v>
      </c>
      <c r="AD150" s="116">
        <v>0</v>
      </c>
      <c r="AE150" s="116">
        <v>0</v>
      </c>
      <c r="AF150" s="116">
        <v>0</v>
      </c>
      <c r="AG150" s="116">
        <v>0</v>
      </c>
      <c r="AH150" s="116">
        <v>0</v>
      </c>
      <c r="AI150" s="116">
        <v>0</v>
      </c>
      <c r="AJ150" s="116">
        <v>0</v>
      </c>
      <c r="AK150" s="116">
        <v>0</v>
      </c>
      <c r="AL150" s="116">
        <v>0</v>
      </c>
      <c r="AM150" s="116">
        <v>0</v>
      </c>
      <c r="AN150" s="116">
        <v>0</v>
      </c>
      <c r="AO150" s="116">
        <v>0</v>
      </c>
      <c r="AP150" s="116">
        <v>0</v>
      </c>
      <c r="AQ150" s="116">
        <v>0</v>
      </c>
      <c r="AR150" s="116">
        <v>0</v>
      </c>
      <c r="AS150" s="116">
        <v>0</v>
      </c>
      <c r="AT150" s="116">
        <v>0</v>
      </c>
      <c r="AU150" s="116">
        <v>0</v>
      </c>
      <c r="AV150" s="116">
        <v>0</v>
      </c>
      <c r="AW150" s="116">
        <v>0</v>
      </c>
      <c r="AX150" s="116">
        <v>0</v>
      </c>
      <c r="AY150" s="116">
        <v>0</v>
      </c>
    </row>
    <row r="151" spans="1:51" x14ac:dyDescent="0.2">
      <c r="A151" s="119"/>
      <c r="B151" s="137">
        <v>30</v>
      </c>
      <c r="C151" s="116"/>
      <c r="D151" s="116">
        <v>0</v>
      </c>
      <c r="E151" s="116">
        <v>0</v>
      </c>
      <c r="F151" s="116">
        <v>0</v>
      </c>
      <c r="G151" s="116">
        <v>0</v>
      </c>
      <c r="H151" s="116">
        <v>0</v>
      </c>
      <c r="I151" s="116">
        <v>0</v>
      </c>
      <c r="J151" s="116">
        <v>0</v>
      </c>
      <c r="K151" s="116">
        <v>0</v>
      </c>
      <c r="L151" s="116">
        <v>0</v>
      </c>
      <c r="M151" s="116">
        <v>0</v>
      </c>
      <c r="N151" s="116">
        <v>0</v>
      </c>
      <c r="O151" s="116">
        <v>0</v>
      </c>
      <c r="P151" s="116">
        <v>0</v>
      </c>
      <c r="Q151" s="116">
        <v>0</v>
      </c>
      <c r="R151" s="116">
        <v>0</v>
      </c>
      <c r="S151" s="116">
        <v>0</v>
      </c>
      <c r="T151" s="116">
        <v>0</v>
      </c>
      <c r="U151" s="116">
        <v>0</v>
      </c>
      <c r="V151" s="116">
        <v>0</v>
      </c>
      <c r="W151" s="116">
        <v>0</v>
      </c>
      <c r="X151" s="116">
        <v>0</v>
      </c>
      <c r="Y151" s="116">
        <v>0</v>
      </c>
      <c r="Z151" s="116">
        <v>0</v>
      </c>
      <c r="AA151" s="116">
        <v>0</v>
      </c>
      <c r="AB151" s="116">
        <v>0</v>
      </c>
      <c r="AC151" s="116">
        <v>0</v>
      </c>
      <c r="AD151" s="116">
        <v>0</v>
      </c>
      <c r="AE151" s="116">
        <v>0</v>
      </c>
      <c r="AF151" s="116">
        <v>0</v>
      </c>
      <c r="AG151" s="116">
        <v>0</v>
      </c>
      <c r="AH151" s="116">
        <v>0</v>
      </c>
      <c r="AI151" s="116">
        <v>0</v>
      </c>
      <c r="AJ151" s="116">
        <v>0</v>
      </c>
      <c r="AK151" s="116">
        <v>0</v>
      </c>
      <c r="AL151" s="116">
        <v>0</v>
      </c>
      <c r="AM151" s="116">
        <v>0</v>
      </c>
      <c r="AN151" s="116">
        <v>0</v>
      </c>
      <c r="AO151" s="116">
        <v>0</v>
      </c>
      <c r="AP151" s="116">
        <v>0</v>
      </c>
      <c r="AQ151" s="116">
        <v>0</v>
      </c>
      <c r="AR151" s="116">
        <v>0</v>
      </c>
      <c r="AS151" s="116">
        <v>0</v>
      </c>
      <c r="AT151" s="116">
        <v>0</v>
      </c>
      <c r="AU151" s="116">
        <v>0</v>
      </c>
      <c r="AV151" s="116">
        <v>0</v>
      </c>
      <c r="AW151" s="116">
        <v>0</v>
      </c>
      <c r="AX151" s="116">
        <v>0</v>
      </c>
      <c r="AY151" s="116">
        <v>0</v>
      </c>
    </row>
    <row r="152" spans="1:51" x14ac:dyDescent="0.2">
      <c r="A152" s="119"/>
      <c r="B152" s="137">
        <v>31</v>
      </c>
      <c r="C152" s="116"/>
      <c r="D152" s="116">
        <v>0</v>
      </c>
      <c r="E152" s="116">
        <v>0</v>
      </c>
      <c r="F152" s="116">
        <v>0</v>
      </c>
      <c r="G152" s="116">
        <v>0</v>
      </c>
      <c r="H152" s="116">
        <v>0</v>
      </c>
      <c r="I152" s="116">
        <v>0</v>
      </c>
      <c r="J152" s="116">
        <v>0</v>
      </c>
      <c r="K152" s="116">
        <v>0</v>
      </c>
      <c r="L152" s="116">
        <v>0</v>
      </c>
      <c r="M152" s="116">
        <v>0</v>
      </c>
      <c r="N152" s="116">
        <v>0</v>
      </c>
      <c r="O152" s="116">
        <v>0</v>
      </c>
      <c r="P152" s="116">
        <v>0</v>
      </c>
      <c r="Q152" s="116">
        <v>0</v>
      </c>
      <c r="R152" s="116">
        <v>0</v>
      </c>
      <c r="S152" s="116">
        <v>0</v>
      </c>
      <c r="T152" s="116">
        <v>0</v>
      </c>
      <c r="U152" s="116">
        <v>0</v>
      </c>
      <c r="V152" s="116">
        <v>0</v>
      </c>
      <c r="W152" s="116">
        <v>0</v>
      </c>
      <c r="X152" s="116">
        <v>0</v>
      </c>
      <c r="Y152" s="116">
        <v>0</v>
      </c>
      <c r="Z152" s="116">
        <v>0</v>
      </c>
      <c r="AA152" s="116">
        <v>0</v>
      </c>
      <c r="AB152" s="116">
        <v>0</v>
      </c>
      <c r="AC152" s="116">
        <v>0</v>
      </c>
      <c r="AD152" s="116">
        <v>0</v>
      </c>
      <c r="AE152" s="116">
        <v>0</v>
      </c>
      <c r="AF152" s="116">
        <v>0</v>
      </c>
      <c r="AG152" s="116">
        <v>0</v>
      </c>
      <c r="AH152" s="116">
        <v>0</v>
      </c>
      <c r="AI152" s="116">
        <v>0</v>
      </c>
      <c r="AJ152" s="116">
        <v>0</v>
      </c>
      <c r="AK152" s="116">
        <v>0</v>
      </c>
      <c r="AL152" s="116">
        <v>0</v>
      </c>
      <c r="AM152" s="116">
        <v>0</v>
      </c>
      <c r="AN152" s="116">
        <v>0</v>
      </c>
      <c r="AO152" s="116">
        <v>0</v>
      </c>
      <c r="AP152" s="116">
        <v>0</v>
      </c>
      <c r="AQ152" s="116">
        <v>0</v>
      </c>
      <c r="AR152" s="116">
        <v>0</v>
      </c>
      <c r="AS152" s="116">
        <v>0</v>
      </c>
      <c r="AT152" s="116">
        <v>0</v>
      </c>
      <c r="AU152" s="116">
        <v>0</v>
      </c>
      <c r="AV152" s="116">
        <v>0</v>
      </c>
      <c r="AW152" s="116">
        <v>0</v>
      </c>
      <c r="AX152" s="116">
        <v>0</v>
      </c>
      <c r="AY152" s="116">
        <v>0</v>
      </c>
    </row>
    <row r="153" spans="1:51" x14ac:dyDescent="0.2">
      <c r="A153" s="119"/>
      <c r="B153" s="137">
        <v>32</v>
      </c>
      <c r="C153" s="116"/>
      <c r="D153" s="116">
        <v>0</v>
      </c>
      <c r="E153" s="116">
        <v>0</v>
      </c>
      <c r="F153" s="116">
        <v>0</v>
      </c>
      <c r="G153" s="116">
        <v>0</v>
      </c>
      <c r="H153" s="116">
        <v>0</v>
      </c>
      <c r="I153" s="116">
        <v>0</v>
      </c>
      <c r="J153" s="116">
        <v>0</v>
      </c>
      <c r="K153" s="116">
        <v>0</v>
      </c>
      <c r="L153" s="116">
        <v>0</v>
      </c>
      <c r="M153" s="116">
        <v>0</v>
      </c>
      <c r="N153" s="116">
        <v>0</v>
      </c>
      <c r="O153" s="116">
        <v>0</v>
      </c>
      <c r="P153" s="116">
        <v>0</v>
      </c>
      <c r="Q153" s="116">
        <v>0</v>
      </c>
      <c r="R153" s="116">
        <v>0</v>
      </c>
      <c r="S153" s="116">
        <v>0</v>
      </c>
      <c r="T153" s="116">
        <v>0</v>
      </c>
      <c r="U153" s="116">
        <v>0</v>
      </c>
      <c r="V153" s="116">
        <v>0</v>
      </c>
      <c r="W153" s="116">
        <v>0</v>
      </c>
      <c r="X153" s="116">
        <v>0</v>
      </c>
      <c r="Y153" s="116">
        <v>0</v>
      </c>
      <c r="Z153" s="116">
        <v>0</v>
      </c>
      <c r="AA153" s="116">
        <v>0</v>
      </c>
      <c r="AB153" s="116">
        <v>0</v>
      </c>
      <c r="AC153" s="116">
        <v>0</v>
      </c>
      <c r="AD153" s="116">
        <v>0</v>
      </c>
      <c r="AE153" s="116">
        <v>0</v>
      </c>
      <c r="AF153" s="116">
        <v>0</v>
      </c>
      <c r="AG153" s="116">
        <v>0</v>
      </c>
      <c r="AH153" s="116">
        <v>0</v>
      </c>
      <c r="AI153" s="116">
        <v>0</v>
      </c>
      <c r="AJ153" s="116">
        <v>0</v>
      </c>
      <c r="AK153" s="116">
        <v>0</v>
      </c>
      <c r="AL153" s="116">
        <v>0</v>
      </c>
      <c r="AM153" s="116">
        <v>0</v>
      </c>
      <c r="AN153" s="116">
        <v>0</v>
      </c>
      <c r="AO153" s="116">
        <v>0</v>
      </c>
      <c r="AP153" s="116">
        <v>0</v>
      </c>
      <c r="AQ153" s="116">
        <v>0</v>
      </c>
      <c r="AR153" s="116">
        <v>0</v>
      </c>
      <c r="AS153" s="116">
        <v>0</v>
      </c>
      <c r="AT153" s="116">
        <v>0</v>
      </c>
      <c r="AU153" s="116">
        <v>0</v>
      </c>
      <c r="AV153" s="116">
        <v>0</v>
      </c>
      <c r="AW153" s="116">
        <v>0</v>
      </c>
      <c r="AX153" s="116">
        <v>0</v>
      </c>
      <c r="AY153" s="116">
        <v>0</v>
      </c>
    </row>
    <row r="154" spans="1:51" x14ac:dyDescent="0.2">
      <c r="A154" s="119"/>
      <c r="B154" s="137">
        <v>33</v>
      </c>
      <c r="C154" s="116"/>
      <c r="D154" s="116">
        <v>0</v>
      </c>
      <c r="E154" s="116">
        <v>0</v>
      </c>
      <c r="F154" s="116">
        <v>0</v>
      </c>
      <c r="G154" s="116">
        <v>0</v>
      </c>
      <c r="H154" s="116">
        <v>0</v>
      </c>
      <c r="I154" s="116">
        <v>0</v>
      </c>
      <c r="J154" s="116">
        <v>0</v>
      </c>
      <c r="K154" s="116">
        <v>0</v>
      </c>
      <c r="L154" s="116">
        <v>0</v>
      </c>
      <c r="M154" s="116">
        <v>0</v>
      </c>
      <c r="N154" s="116">
        <v>0</v>
      </c>
      <c r="O154" s="116">
        <v>0</v>
      </c>
      <c r="P154" s="116">
        <v>0</v>
      </c>
      <c r="Q154" s="116">
        <v>0</v>
      </c>
      <c r="R154" s="116">
        <v>0</v>
      </c>
      <c r="S154" s="116">
        <v>0</v>
      </c>
      <c r="T154" s="116">
        <v>0</v>
      </c>
      <c r="U154" s="116">
        <v>0</v>
      </c>
      <c r="V154" s="116">
        <v>0</v>
      </c>
      <c r="W154" s="116">
        <v>0</v>
      </c>
      <c r="X154" s="116">
        <v>0</v>
      </c>
      <c r="Y154" s="116">
        <v>0</v>
      </c>
      <c r="Z154" s="116">
        <v>0</v>
      </c>
      <c r="AA154" s="116">
        <v>0</v>
      </c>
      <c r="AB154" s="116">
        <v>0</v>
      </c>
      <c r="AC154" s="116">
        <v>0</v>
      </c>
      <c r="AD154" s="116">
        <v>0</v>
      </c>
      <c r="AE154" s="116">
        <v>0</v>
      </c>
      <c r="AF154" s="116">
        <v>0</v>
      </c>
      <c r="AG154" s="116">
        <v>0</v>
      </c>
      <c r="AH154" s="116">
        <v>0</v>
      </c>
      <c r="AI154" s="116">
        <v>0</v>
      </c>
      <c r="AJ154" s="116">
        <v>0</v>
      </c>
      <c r="AK154" s="116">
        <v>0</v>
      </c>
      <c r="AL154" s="116">
        <v>0</v>
      </c>
      <c r="AM154" s="116">
        <v>0</v>
      </c>
      <c r="AN154" s="116">
        <v>0</v>
      </c>
      <c r="AO154" s="116">
        <v>0</v>
      </c>
      <c r="AP154" s="116">
        <v>0</v>
      </c>
      <c r="AQ154" s="116">
        <v>0</v>
      </c>
      <c r="AR154" s="116">
        <v>0</v>
      </c>
      <c r="AS154" s="116">
        <v>0</v>
      </c>
      <c r="AT154" s="116">
        <v>0</v>
      </c>
      <c r="AU154" s="116">
        <v>0</v>
      </c>
      <c r="AV154" s="116">
        <v>0</v>
      </c>
      <c r="AW154" s="116">
        <v>0</v>
      </c>
      <c r="AX154" s="116">
        <v>0</v>
      </c>
      <c r="AY154" s="116">
        <v>0</v>
      </c>
    </row>
    <row r="155" spans="1:51" x14ac:dyDescent="0.2">
      <c r="A155" s="119"/>
      <c r="B155" s="137">
        <v>34</v>
      </c>
      <c r="C155" s="116"/>
      <c r="D155" s="116">
        <v>0</v>
      </c>
      <c r="E155" s="116">
        <v>0</v>
      </c>
      <c r="F155" s="116">
        <v>0</v>
      </c>
      <c r="G155" s="116">
        <v>0</v>
      </c>
      <c r="H155" s="116">
        <v>0</v>
      </c>
      <c r="I155" s="116">
        <v>0</v>
      </c>
      <c r="J155" s="116">
        <v>0</v>
      </c>
      <c r="K155" s="116">
        <v>0</v>
      </c>
      <c r="L155" s="116">
        <v>0</v>
      </c>
      <c r="M155" s="116">
        <v>0</v>
      </c>
      <c r="N155" s="116">
        <v>0</v>
      </c>
      <c r="O155" s="116">
        <v>0</v>
      </c>
      <c r="P155" s="116">
        <v>0</v>
      </c>
      <c r="Q155" s="116">
        <v>0</v>
      </c>
      <c r="R155" s="116">
        <v>0</v>
      </c>
      <c r="S155" s="116">
        <v>0</v>
      </c>
      <c r="T155" s="116">
        <v>0</v>
      </c>
      <c r="U155" s="116">
        <v>0</v>
      </c>
      <c r="V155" s="116">
        <v>0</v>
      </c>
      <c r="W155" s="116">
        <v>0</v>
      </c>
      <c r="X155" s="116">
        <v>0</v>
      </c>
      <c r="Y155" s="116">
        <v>0</v>
      </c>
      <c r="Z155" s="116">
        <v>0</v>
      </c>
      <c r="AA155" s="116">
        <v>0</v>
      </c>
      <c r="AB155" s="116">
        <v>0</v>
      </c>
      <c r="AC155" s="116">
        <v>0</v>
      </c>
      <c r="AD155" s="116">
        <v>0</v>
      </c>
      <c r="AE155" s="116">
        <v>0</v>
      </c>
      <c r="AF155" s="116">
        <v>0</v>
      </c>
      <c r="AG155" s="116">
        <v>0</v>
      </c>
      <c r="AH155" s="116">
        <v>0</v>
      </c>
      <c r="AI155" s="116">
        <v>0</v>
      </c>
      <c r="AJ155" s="116">
        <v>0</v>
      </c>
      <c r="AK155" s="116">
        <v>0</v>
      </c>
      <c r="AL155" s="116">
        <v>0</v>
      </c>
      <c r="AM155" s="116">
        <v>0</v>
      </c>
      <c r="AN155" s="116">
        <v>0</v>
      </c>
      <c r="AO155" s="116">
        <v>0</v>
      </c>
      <c r="AP155" s="116">
        <v>0</v>
      </c>
      <c r="AQ155" s="116">
        <v>0</v>
      </c>
      <c r="AR155" s="116">
        <v>0</v>
      </c>
      <c r="AS155" s="116">
        <v>0</v>
      </c>
      <c r="AT155" s="116">
        <v>0</v>
      </c>
      <c r="AU155" s="116">
        <v>0</v>
      </c>
      <c r="AV155" s="116">
        <v>0</v>
      </c>
      <c r="AW155" s="116">
        <v>0</v>
      </c>
      <c r="AX155" s="116">
        <v>0</v>
      </c>
      <c r="AY155" s="116">
        <v>0</v>
      </c>
    </row>
    <row r="156" spans="1:51" x14ac:dyDescent="0.2">
      <c r="A156" s="119"/>
      <c r="B156" s="137">
        <v>35</v>
      </c>
      <c r="C156" s="116"/>
      <c r="D156" s="116">
        <v>0</v>
      </c>
      <c r="E156" s="116">
        <v>0</v>
      </c>
      <c r="F156" s="116">
        <v>0</v>
      </c>
      <c r="G156" s="116">
        <v>0</v>
      </c>
      <c r="H156" s="116">
        <v>0</v>
      </c>
      <c r="I156" s="116">
        <v>0</v>
      </c>
      <c r="J156" s="116">
        <v>0</v>
      </c>
      <c r="K156" s="116">
        <v>0</v>
      </c>
      <c r="L156" s="116">
        <v>0</v>
      </c>
      <c r="M156" s="116">
        <v>0</v>
      </c>
      <c r="N156" s="116">
        <v>0</v>
      </c>
      <c r="O156" s="116">
        <v>0</v>
      </c>
      <c r="P156" s="116">
        <v>0</v>
      </c>
      <c r="Q156" s="116">
        <v>0</v>
      </c>
      <c r="R156" s="116">
        <v>0</v>
      </c>
      <c r="S156" s="116">
        <v>0</v>
      </c>
      <c r="T156" s="116">
        <v>0</v>
      </c>
      <c r="U156" s="116">
        <v>0</v>
      </c>
      <c r="V156" s="116">
        <v>0</v>
      </c>
      <c r="W156" s="116">
        <v>0</v>
      </c>
      <c r="X156" s="116">
        <v>0</v>
      </c>
      <c r="Y156" s="116">
        <v>0</v>
      </c>
      <c r="Z156" s="116">
        <v>0</v>
      </c>
      <c r="AA156" s="116">
        <v>0</v>
      </c>
      <c r="AB156" s="116">
        <v>0</v>
      </c>
      <c r="AC156" s="116">
        <v>0</v>
      </c>
      <c r="AD156" s="116">
        <v>0</v>
      </c>
      <c r="AE156" s="116">
        <v>0</v>
      </c>
      <c r="AF156" s="116">
        <v>0</v>
      </c>
      <c r="AG156" s="116">
        <v>0</v>
      </c>
      <c r="AH156" s="116">
        <v>0</v>
      </c>
      <c r="AI156" s="116">
        <v>0</v>
      </c>
      <c r="AJ156" s="116">
        <v>0</v>
      </c>
      <c r="AK156" s="116">
        <v>0</v>
      </c>
      <c r="AL156" s="116">
        <v>0</v>
      </c>
      <c r="AM156" s="116">
        <v>0</v>
      </c>
      <c r="AN156" s="116">
        <v>0</v>
      </c>
      <c r="AO156" s="116">
        <v>0</v>
      </c>
      <c r="AP156" s="116">
        <v>0</v>
      </c>
      <c r="AQ156" s="116">
        <v>0</v>
      </c>
      <c r="AR156" s="116">
        <v>0</v>
      </c>
      <c r="AS156" s="116">
        <v>0</v>
      </c>
      <c r="AT156" s="116">
        <v>0</v>
      </c>
      <c r="AU156" s="116">
        <v>0</v>
      </c>
      <c r="AV156" s="116">
        <v>0</v>
      </c>
      <c r="AW156" s="116">
        <v>0</v>
      </c>
      <c r="AX156" s="116">
        <v>0</v>
      </c>
      <c r="AY156" s="116">
        <v>0</v>
      </c>
    </row>
    <row r="157" spans="1:51" x14ac:dyDescent="0.2">
      <c r="A157" s="119"/>
      <c r="B157" s="137">
        <v>36</v>
      </c>
      <c r="C157" s="116"/>
      <c r="D157" s="116">
        <v>0</v>
      </c>
      <c r="E157" s="116">
        <v>0</v>
      </c>
      <c r="F157" s="116">
        <v>0</v>
      </c>
      <c r="G157" s="116">
        <v>0</v>
      </c>
      <c r="H157" s="116">
        <v>0</v>
      </c>
      <c r="I157" s="116">
        <v>0</v>
      </c>
      <c r="J157" s="116">
        <v>0</v>
      </c>
      <c r="K157" s="116">
        <v>0</v>
      </c>
      <c r="L157" s="116">
        <v>0</v>
      </c>
      <c r="M157" s="116">
        <v>0</v>
      </c>
      <c r="N157" s="116">
        <v>0</v>
      </c>
      <c r="O157" s="116">
        <v>0</v>
      </c>
      <c r="P157" s="116">
        <v>0</v>
      </c>
      <c r="Q157" s="116">
        <v>0</v>
      </c>
      <c r="R157" s="116">
        <v>0</v>
      </c>
      <c r="S157" s="116">
        <v>0</v>
      </c>
      <c r="T157" s="116">
        <v>0</v>
      </c>
      <c r="U157" s="116">
        <v>0</v>
      </c>
      <c r="V157" s="116">
        <v>0</v>
      </c>
      <c r="W157" s="116">
        <v>0</v>
      </c>
      <c r="X157" s="116">
        <v>0</v>
      </c>
      <c r="Y157" s="116">
        <v>0</v>
      </c>
      <c r="Z157" s="116">
        <v>0</v>
      </c>
      <c r="AA157" s="116">
        <v>0</v>
      </c>
      <c r="AB157" s="116">
        <v>0</v>
      </c>
      <c r="AC157" s="116">
        <v>0</v>
      </c>
      <c r="AD157" s="116">
        <v>0</v>
      </c>
      <c r="AE157" s="116">
        <v>0</v>
      </c>
      <c r="AF157" s="116">
        <v>0</v>
      </c>
      <c r="AG157" s="116">
        <v>0</v>
      </c>
      <c r="AH157" s="116">
        <v>0</v>
      </c>
      <c r="AI157" s="116">
        <v>0</v>
      </c>
      <c r="AJ157" s="116">
        <v>0</v>
      </c>
      <c r="AK157" s="116">
        <v>0</v>
      </c>
      <c r="AL157" s="116">
        <v>0</v>
      </c>
      <c r="AM157" s="116">
        <v>0</v>
      </c>
      <c r="AN157" s="116">
        <v>0</v>
      </c>
      <c r="AO157" s="116">
        <v>0</v>
      </c>
      <c r="AP157" s="116">
        <v>0</v>
      </c>
      <c r="AQ157" s="116">
        <v>0</v>
      </c>
      <c r="AR157" s="116">
        <v>0</v>
      </c>
      <c r="AS157" s="116">
        <v>0</v>
      </c>
      <c r="AT157" s="116">
        <v>0</v>
      </c>
      <c r="AU157" s="116">
        <v>0</v>
      </c>
      <c r="AV157" s="116">
        <v>0</v>
      </c>
      <c r="AW157" s="116">
        <v>0</v>
      </c>
      <c r="AX157" s="116">
        <v>0</v>
      </c>
      <c r="AY157" s="116">
        <v>0</v>
      </c>
    </row>
    <row r="158" spans="1:51" x14ac:dyDescent="0.2">
      <c r="A158" s="119"/>
      <c r="B158" s="140">
        <v>37</v>
      </c>
      <c r="C158" s="116"/>
      <c r="D158" s="116">
        <v>0</v>
      </c>
      <c r="E158" s="116">
        <v>0</v>
      </c>
      <c r="F158" s="116">
        <v>0</v>
      </c>
      <c r="G158" s="116">
        <v>0</v>
      </c>
      <c r="H158" s="116">
        <v>0</v>
      </c>
      <c r="I158" s="116">
        <v>0</v>
      </c>
      <c r="J158" s="116">
        <v>0</v>
      </c>
      <c r="K158" s="116">
        <v>0</v>
      </c>
      <c r="L158" s="116">
        <v>0</v>
      </c>
      <c r="M158" s="116">
        <v>0</v>
      </c>
      <c r="N158" s="116">
        <v>0</v>
      </c>
      <c r="O158" s="116">
        <v>0</v>
      </c>
      <c r="P158" s="116">
        <v>0</v>
      </c>
      <c r="Q158" s="116">
        <v>0</v>
      </c>
      <c r="R158" s="116">
        <v>0</v>
      </c>
      <c r="S158" s="116">
        <v>0</v>
      </c>
      <c r="T158" s="116">
        <v>0</v>
      </c>
      <c r="U158" s="116">
        <v>0</v>
      </c>
      <c r="V158" s="116">
        <v>0</v>
      </c>
      <c r="W158" s="116">
        <v>0</v>
      </c>
      <c r="X158" s="116">
        <v>0</v>
      </c>
      <c r="Y158" s="116">
        <v>0</v>
      </c>
      <c r="Z158" s="116">
        <v>0</v>
      </c>
      <c r="AA158" s="116">
        <v>0</v>
      </c>
      <c r="AB158" s="116">
        <v>0</v>
      </c>
      <c r="AC158" s="116">
        <v>0</v>
      </c>
      <c r="AD158" s="116">
        <v>0</v>
      </c>
      <c r="AE158" s="116">
        <v>0</v>
      </c>
      <c r="AF158" s="116">
        <v>0</v>
      </c>
      <c r="AG158" s="116">
        <v>0</v>
      </c>
      <c r="AH158" s="116">
        <v>0</v>
      </c>
      <c r="AI158" s="116">
        <v>0</v>
      </c>
      <c r="AJ158" s="116">
        <v>0</v>
      </c>
      <c r="AK158" s="116">
        <v>0</v>
      </c>
      <c r="AL158" s="116">
        <v>0</v>
      </c>
      <c r="AM158" s="116">
        <v>0</v>
      </c>
      <c r="AN158" s="116">
        <v>0</v>
      </c>
      <c r="AO158" s="116">
        <v>0</v>
      </c>
      <c r="AP158" s="116">
        <v>0</v>
      </c>
      <c r="AQ158" s="116">
        <v>0</v>
      </c>
      <c r="AR158" s="116">
        <v>0</v>
      </c>
      <c r="AS158" s="116">
        <v>0</v>
      </c>
      <c r="AT158" s="116">
        <v>0</v>
      </c>
      <c r="AU158" s="116">
        <v>0</v>
      </c>
      <c r="AV158" s="116">
        <v>0</v>
      </c>
      <c r="AW158" s="116">
        <v>0</v>
      </c>
      <c r="AX158" s="116">
        <v>0</v>
      </c>
      <c r="AY158" s="116">
        <v>0</v>
      </c>
    </row>
    <row r="159" spans="1:51" x14ac:dyDescent="0.2">
      <c r="A159" s="119"/>
      <c r="B159" s="140">
        <v>38</v>
      </c>
      <c r="C159" s="116"/>
      <c r="D159" s="116">
        <v>0</v>
      </c>
      <c r="E159" s="116">
        <v>0</v>
      </c>
      <c r="F159" s="116">
        <v>0</v>
      </c>
      <c r="G159" s="116">
        <v>0</v>
      </c>
      <c r="H159" s="116">
        <v>0</v>
      </c>
      <c r="I159" s="116">
        <v>0</v>
      </c>
      <c r="J159" s="116">
        <v>0</v>
      </c>
      <c r="K159" s="116">
        <v>0</v>
      </c>
      <c r="L159" s="116">
        <v>0</v>
      </c>
      <c r="M159" s="116">
        <v>0</v>
      </c>
      <c r="N159" s="116">
        <v>0</v>
      </c>
      <c r="O159" s="116">
        <v>0</v>
      </c>
      <c r="P159" s="116">
        <v>0</v>
      </c>
      <c r="Q159" s="116">
        <v>0</v>
      </c>
      <c r="R159" s="116">
        <v>0</v>
      </c>
      <c r="S159" s="116">
        <v>0</v>
      </c>
      <c r="T159" s="116">
        <v>0</v>
      </c>
      <c r="U159" s="116">
        <v>0</v>
      </c>
      <c r="V159" s="116">
        <v>0</v>
      </c>
      <c r="W159" s="116">
        <v>0</v>
      </c>
      <c r="X159" s="116">
        <v>0</v>
      </c>
      <c r="Y159" s="116">
        <v>0</v>
      </c>
      <c r="Z159" s="116">
        <v>0</v>
      </c>
      <c r="AA159" s="116">
        <v>0</v>
      </c>
      <c r="AB159" s="116">
        <v>0</v>
      </c>
      <c r="AC159" s="116">
        <v>0</v>
      </c>
      <c r="AD159" s="116">
        <v>0</v>
      </c>
      <c r="AE159" s="116">
        <v>0</v>
      </c>
      <c r="AF159" s="116">
        <v>0</v>
      </c>
      <c r="AG159" s="116">
        <v>0</v>
      </c>
      <c r="AH159" s="116">
        <v>0</v>
      </c>
      <c r="AI159" s="116">
        <v>0</v>
      </c>
      <c r="AJ159" s="116">
        <v>0</v>
      </c>
      <c r="AK159" s="116">
        <v>0</v>
      </c>
      <c r="AL159" s="116">
        <v>0</v>
      </c>
      <c r="AM159" s="116">
        <v>0</v>
      </c>
      <c r="AN159" s="116">
        <v>0</v>
      </c>
      <c r="AO159" s="116">
        <v>0</v>
      </c>
      <c r="AP159" s="116">
        <v>0</v>
      </c>
      <c r="AQ159" s="116">
        <v>0</v>
      </c>
      <c r="AR159" s="116">
        <v>0</v>
      </c>
      <c r="AS159" s="116">
        <v>0</v>
      </c>
      <c r="AT159" s="116">
        <v>0</v>
      </c>
      <c r="AU159" s="116">
        <v>0</v>
      </c>
      <c r="AV159" s="116">
        <v>0</v>
      </c>
      <c r="AW159" s="116">
        <v>0</v>
      </c>
      <c r="AX159" s="116">
        <v>0</v>
      </c>
      <c r="AY159" s="116">
        <v>0</v>
      </c>
    </row>
    <row r="160" spans="1:51" x14ac:dyDescent="0.2">
      <c r="A160" s="119"/>
      <c r="B160" s="140">
        <v>39</v>
      </c>
      <c r="C160" s="116"/>
      <c r="D160" s="116">
        <v>0</v>
      </c>
      <c r="E160" s="116">
        <v>0</v>
      </c>
      <c r="F160" s="116">
        <v>0</v>
      </c>
      <c r="G160" s="116">
        <v>0</v>
      </c>
      <c r="H160" s="116">
        <v>0</v>
      </c>
      <c r="I160" s="116">
        <v>0</v>
      </c>
      <c r="J160" s="116">
        <v>0</v>
      </c>
      <c r="K160" s="116">
        <v>0</v>
      </c>
      <c r="L160" s="116">
        <v>0</v>
      </c>
      <c r="M160" s="116">
        <v>0</v>
      </c>
      <c r="N160" s="116">
        <v>0</v>
      </c>
      <c r="O160" s="116">
        <v>0</v>
      </c>
      <c r="P160" s="116">
        <v>0</v>
      </c>
      <c r="Q160" s="116">
        <v>0</v>
      </c>
      <c r="R160" s="116">
        <v>0</v>
      </c>
      <c r="S160" s="116">
        <v>0</v>
      </c>
      <c r="T160" s="116">
        <v>0</v>
      </c>
      <c r="U160" s="116">
        <v>0</v>
      </c>
      <c r="V160" s="116">
        <v>0</v>
      </c>
      <c r="W160" s="116">
        <v>0</v>
      </c>
      <c r="X160" s="116">
        <v>0</v>
      </c>
      <c r="Y160" s="116">
        <v>0</v>
      </c>
      <c r="Z160" s="116">
        <v>0</v>
      </c>
      <c r="AA160" s="116">
        <v>0</v>
      </c>
      <c r="AB160" s="116">
        <v>0</v>
      </c>
      <c r="AC160" s="116">
        <v>0</v>
      </c>
      <c r="AD160" s="116">
        <v>0</v>
      </c>
      <c r="AE160" s="116">
        <v>0</v>
      </c>
      <c r="AF160" s="116">
        <v>0</v>
      </c>
      <c r="AG160" s="116">
        <v>0</v>
      </c>
      <c r="AH160" s="116">
        <v>0</v>
      </c>
      <c r="AI160" s="116">
        <v>0</v>
      </c>
      <c r="AJ160" s="116">
        <v>0</v>
      </c>
      <c r="AK160" s="116">
        <v>0</v>
      </c>
      <c r="AL160" s="116">
        <v>0</v>
      </c>
      <c r="AM160" s="116">
        <v>0</v>
      </c>
      <c r="AN160" s="116">
        <v>0</v>
      </c>
      <c r="AO160" s="116">
        <v>0</v>
      </c>
      <c r="AP160" s="116">
        <v>0</v>
      </c>
      <c r="AQ160" s="116">
        <v>0</v>
      </c>
      <c r="AR160" s="116">
        <v>0</v>
      </c>
      <c r="AS160" s="116">
        <v>0</v>
      </c>
      <c r="AT160" s="116">
        <v>0</v>
      </c>
      <c r="AU160" s="116">
        <v>0</v>
      </c>
      <c r="AV160" s="116">
        <v>0</v>
      </c>
      <c r="AW160" s="116">
        <v>0</v>
      </c>
      <c r="AX160" s="116">
        <v>0</v>
      </c>
      <c r="AY160" s="116">
        <v>0</v>
      </c>
    </row>
    <row r="161" spans="1:52" x14ac:dyDescent="0.2">
      <c r="A161" s="119"/>
      <c r="B161" s="140">
        <v>40</v>
      </c>
      <c r="C161" s="116"/>
      <c r="D161" s="116">
        <v>0</v>
      </c>
      <c r="E161" s="116">
        <v>0</v>
      </c>
      <c r="F161" s="116">
        <v>0</v>
      </c>
      <c r="G161" s="116">
        <v>0</v>
      </c>
      <c r="H161" s="116">
        <v>0</v>
      </c>
      <c r="I161" s="116">
        <v>0</v>
      </c>
      <c r="J161" s="116">
        <v>0</v>
      </c>
      <c r="K161" s="116">
        <v>0</v>
      </c>
      <c r="L161" s="116">
        <v>0</v>
      </c>
      <c r="M161" s="116">
        <v>0</v>
      </c>
      <c r="N161" s="116">
        <v>0</v>
      </c>
      <c r="O161" s="116">
        <v>0</v>
      </c>
      <c r="P161" s="116">
        <v>0</v>
      </c>
      <c r="Q161" s="116">
        <v>0</v>
      </c>
      <c r="R161" s="116">
        <v>0</v>
      </c>
      <c r="S161" s="116">
        <v>0</v>
      </c>
      <c r="T161" s="116">
        <v>0</v>
      </c>
      <c r="U161" s="116">
        <v>0</v>
      </c>
      <c r="V161" s="116">
        <v>0</v>
      </c>
      <c r="W161" s="116">
        <v>0</v>
      </c>
      <c r="X161" s="116">
        <v>0</v>
      </c>
      <c r="Y161" s="116">
        <v>0</v>
      </c>
      <c r="Z161" s="116">
        <v>0</v>
      </c>
      <c r="AA161" s="116">
        <v>0</v>
      </c>
      <c r="AB161" s="116">
        <v>0</v>
      </c>
      <c r="AC161" s="116">
        <v>0</v>
      </c>
      <c r="AD161" s="116">
        <v>0</v>
      </c>
      <c r="AE161" s="116">
        <v>0</v>
      </c>
      <c r="AF161" s="116">
        <v>0</v>
      </c>
      <c r="AG161" s="116">
        <v>0</v>
      </c>
      <c r="AH161" s="116">
        <v>0</v>
      </c>
      <c r="AI161" s="116">
        <v>0</v>
      </c>
      <c r="AJ161" s="116">
        <v>0</v>
      </c>
      <c r="AK161" s="116">
        <v>0</v>
      </c>
      <c r="AL161" s="116">
        <v>0</v>
      </c>
      <c r="AM161" s="116">
        <v>0</v>
      </c>
      <c r="AN161" s="116">
        <v>0</v>
      </c>
      <c r="AO161" s="116">
        <v>0</v>
      </c>
      <c r="AP161" s="116">
        <v>0</v>
      </c>
      <c r="AQ161" s="116">
        <v>0</v>
      </c>
      <c r="AR161" s="116">
        <v>0</v>
      </c>
      <c r="AS161" s="116">
        <v>0</v>
      </c>
      <c r="AT161" s="116">
        <v>0</v>
      </c>
      <c r="AU161" s="116">
        <v>0</v>
      </c>
      <c r="AV161" s="116">
        <v>0</v>
      </c>
      <c r="AW161" s="116">
        <v>0</v>
      </c>
      <c r="AX161" s="116">
        <v>0</v>
      </c>
      <c r="AY161" s="116">
        <v>0</v>
      </c>
    </row>
    <row r="162" spans="1:52" x14ac:dyDescent="0.2">
      <c r="A162" s="119"/>
      <c r="B162" s="140">
        <v>41</v>
      </c>
      <c r="C162" s="116"/>
      <c r="D162" s="116">
        <v>0</v>
      </c>
      <c r="E162" s="116">
        <v>0</v>
      </c>
      <c r="F162" s="116">
        <v>0</v>
      </c>
      <c r="G162" s="116">
        <v>0</v>
      </c>
      <c r="H162" s="116">
        <v>0</v>
      </c>
      <c r="I162" s="116">
        <v>0</v>
      </c>
      <c r="J162" s="116">
        <v>0</v>
      </c>
      <c r="K162" s="116">
        <v>0</v>
      </c>
      <c r="L162" s="116">
        <v>0</v>
      </c>
      <c r="M162" s="116">
        <v>0</v>
      </c>
      <c r="N162" s="116">
        <v>0</v>
      </c>
      <c r="O162" s="116">
        <v>0</v>
      </c>
      <c r="P162" s="116">
        <v>0</v>
      </c>
      <c r="Q162" s="116">
        <v>0</v>
      </c>
      <c r="R162" s="116">
        <v>0</v>
      </c>
      <c r="S162" s="116">
        <v>0</v>
      </c>
      <c r="T162" s="116">
        <v>0</v>
      </c>
      <c r="U162" s="116">
        <v>0</v>
      </c>
      <c r="V162" s="116">
        <v>0</v>
      </c>
      <c r="W162" s="116">
        <v>0</v>
      </c>
      <c r="X162" s="116">
        <v>0</v>
      </c>
      <c r="Y162" s="116">
        <v>0</v>
      </c>
      <c r="Z162" s="116">
        <v>0</v>
      </c>
      <c r="AA162" s="116">
        <v>0</v>
      </c>
      <c r="AB162" s="116">
        <v>0</v>
      </c>
      <c r="AC162" s="116">
        <v>0</v>
      </c>
      <c r="AD162" s="116">
        <v>0</v>
      </c>
      <c r="AE162" s="116">
        <v>0</v>
      </c>
      <c r="AF162" s="116">
        <v>0</v>
      </c>
      <c r="AG162" s="116">
        <v>0</v>
      </c>
      <c r="AH162" s="116">
        <v>0</v>
      </c>
      <c r="AI162" s="116">
        <v>0</v>
      </c>
      <c r="AJ162" s="116">
        <v>0</v>
      </c>
      <c r="AK162" s="116">
        <v>0</v>
      </c>
      <c r="AL162" s="116">
        <v>0</v>
      </c>
      <c r="AM162" s="116">
        <v>0</v>
      </c>
      <c r="AN162" s="116">
        <v>0</v>
      </c>
      <c r="AO162" s="116">
        <v>0</v>
      </c>
      <c r="AP162" s="116">
        <v>0</v>
      </c>
      <c r="AQ162" s="116">
        <v>0</v>
      </c>
      <c r="AR162" s="116">
        <v>0</v>
      </c>
      <c r="AS162" s="116">
        <v>0</v>
      </c>
      <c r="AT162" s="116">
        <v>0</v>
      </c>
      <c r="AU162" s="116">
        <v>0</v>
      </c>
      <c r="AV162" s="116">
        <v>0</v>
      </c>
      <c r="AW162" s="116">
        <v>0</v>
      </c>
      <c r="AX162" s="116">
        <v>0</v>
      </c>
      <c r="AY162" s="116">
        <v>0</v>
      </c>
    </row>
    <row r="163" spans="1:52" x14ac:dyDescent="0.2">
      <c r="A163" s="119"/>
      <c r="B163" s="140">
        <v>42</v>
      </c>
      <c r="C163" s="116"/>
      <c r="D163" s="116">
        <v>0</v>
      </c>
      <c r="E163" s="116">
        <v>0</v>
      </c>
      <c r="F163" s="116">
        <v>0</v>
      </c>
      <c r="G163" s="116">
        <v>0</v>
      </c>
      <c r="H163" s="116">
        <v>0</v>
      </c>
      <c r="I163" s="116">
        <v>0</v>
      </c>
      <c r="J163" s="116">
        <v>0</v>
      </c>
      <c r="K163" s="116">
        <v>0</v>
      </c>
      <c r="L163" s="116">
        <v>0</v>
      </c>
      <c r="M163" s="116">
        <v>0</v>
      </c>
      <c r="N163" s="116">
        <v>0</v>
      </c>
      <c r="O163" s="116">
        <v>0</v>
      </c>
      <c r="P163" s="116">
        <v>0</v>
      </c>
      <c r="Q163" s="116">
        <v>0</v>
      </c>
      <c r="R163" s="116">
        <v>0</v>
      </c>
      <c r="S163" s="116">
        <v>0</v>
      </c>
      <c r="T163" s="116">
        <v>0</v>
      </c>
      <c r="U163" s="116">
        <v>0</v>
      </c>
      <c r="V163" s="116">
        <v>0</v>
      </c>
      <c r="W163" s="116">
        <v>0</v>
      </c>
      <c r="X163" s="116">
        <v>0</v>
      </c>
      <c r="Y163" s="116">
        <v>0</v>
      </c>
      <c r="Z163" s="116">
        <v>0</v>
      </c>
      <c r="AA163" s="116">
        <v>0</v>
      </c>
      <c r="AB163" s="116">
        <v>0</v>
      </c>
      <c r="AC163" s="116">
        <v>0</v>
      </c>
      <c r="AD163" s="116">
        <v>0</v>
      </c>
      <c r="AE163" s="116">
        <v>0</v>
      </c>
      <c r="AF163" s="116">
        <v>0</v>
      </c>
      <c r="AG163" s="116">
        <v>0</v>
      </c>
      <c r="AH163" s="116">
        <v>0</v>
      </c>
      <c r="AI163" s="116">
        <v>0</v>
      </c>
      <c r="AJ163" s="116">
        <v>0</v>
      </c>
      <c r="AK163" s="116">
        <v>0</v>
      </c>
      <c r="AL163" s="116">
        <v>0</v>
      </c>
      <c r="AM163" s="116">
        <v>0</v>
      </c>
      <c r="AN163" s="116">
        <v>0</v>
      </c>
      <c r="AO163" s="116">
        <v>0</v>
      </c>
      <c r="AP163" s="116">
        <v>0</v>
      </c>
      <c r="AQ163" s="116">
        <v>0</v>
      </c>
      <c r="AR163" s="116">
        <v>0</v>
      </c>
      <c r="AS163" s="116">
        <v>0</v>
      </c>
      <c r="AT163" s="116">
        <v>0</v>
      </c>
      <c r="AU163" s="116">
        <v>0</v>
      </c>
      <c r="AV163" s="116">
        <v>0</v>
      </c>
      <c r="AW163" s="116">
        <v>0</v>
      </c>
      <c r="AX163" s="116">
        <v>0</v>
      </c>
      <c r="AY163" s="116">
        <v>0</v>
      </c>
    </row>
    <row r="164" spans="1:52" x14ac:dyDescent="0.2">
      <c r="A164" s="119"/>
      <c r="B164" s="140">
        <v>43</v>
      </c>
      <c r="C164" s="116"/>
      <c r="D164" s="116">
        <v>0</v>
      </c>
      <c r="E164" s="116">
        <v>0</v>
      </c>
      <c r="F164" s="116">
        <v>0</v>
      </c>
      <c r="G164" s="116">
        <v>0</v>
      </c>
      <c r="H164" s="116">
        <v>0</v>
      </c>
      <c r="I164" s="116">
        <v>0</v>
      </c>
      <c r="J164" s="116">
        <v>0</v>
      </c>
      <c r="K164" s="116">
        <v>0</v>
      </c>
      <c r="L164" s="116">
        <v>0</v>
      </c>
      <c r="M164" s="116">
        <v>0</v>
      </c>
      <c r="N164" s="116">
        <v>0</v>
      </c>
      <c r="O164" s="116">
        <v>0</v>
      </c>
      <c r="P164" s="116">
        <v>0</v>
      </c>
      <c r="Q164" s="116">
        <v>0</v>
      </c>
      <c r="R164" s="116">
        <v>0</v>
      </c>
      <c r="S164" s="116">
        <v>0</v>
      </c>
      <c r="T164" s="116">
        <v>0</v>
      </c>
      <c r="U164" s="116">
        <v>0</v>
      </c>
      <c r="V164" s="116">
        <v>0</v>
      </c>
      <c r="W164" s="116">
        <v>0</v>
      </c>
      <c r="X164" s="116">
        <v>0</v>
      </c>
      <c r="Y164" s="116">
        <v>0</v>
      </c>
      <c r="Z164" s="116">
        <v>0</v>
      </c>
      <c r="AA164" s="116">
        <v>0</v>
      </c>
      <c r="AB164" s="116">
        <v>0</v>
      </c>
      <c r="AC164" s="116">
        <v>0</v>
      </c>
      <c r="AD164" s="116">
        <v>0</v>
      </c>
      <c r="AE164" s="116">
        <v>0</v>
      </c>
      <c r="AF164" s="116">
        <v>0</v>
      </c>
      <c r="AG164" s="116">
        <v>0</v>
      </c>
      <c r="AH164" s="116">
        <v>0</v>
      </c>
      <c r="AI164" s="116">
        <v>0</v>
      </c>
      <c r="AJ164" s="116">
        <v>0</v>
      </c>
      <c r="AK164" s="116">
        <v>0</v>
      </c>
      <c r="AL164" s="116">
        <v>0</v>
      </c>
      <c r="AM164" s="116">
        <v>0</v>
      </c>
      <c r="AN164" s="116">
        <v>0</v>
      </c>
      <c r="AO164" s="116">
        <v>0</v>
      </c>
      <c r="AP164" s="116">
        <v>0</v>
      </c>
      <c r="AQ164" s="116">
        <v>0</v>
      </c>
      <c r="AR164" s="116">
        <v>0</v>
      </c>
      <c r="AS164" s="116">
        <v>0</v>
      </c>
      <c r="AT164" s="116">
        <v>0</v>
      </c>
      <c r="AU164" s="116">
        <v>0</v>
      </c>
      <c r="AV164" s="116">
        <v>0</v>
      </c>
      <c r="AW164" s="116">
        <v>0</v>
      </c>
      <c r="AX164" s="116">
        <v>0</v>
      </c>
      <c r="AY164" s="116">
        <v>0</v>
      </c>
    </row>
    <row r="165" spans="1:52" x14ac:dyDescent="0.2">
      <c r="A165" s="119"/>
      <c r="B165" s="140">
        <v>44</v>
      </c>
      <c r="C165" s="116"/>
      <c r="D165" s="116">
        <v>0</v>
      </c>
      <c r="E165" s="116">
        <v>0</v>
      </c>
      <c r="F165" s="116">
        <v>0</v>
      </c>
      <c r="G165" s="116">
        <v>0</v>
      </c>
      <c r="H165" s="116">
        <v>0</v>
      </c>
      <c r="I165" s="116">
        <v>0</v>
      </c>
      <c r="J165" s="116">
        <v>0</v>
      </c>
      <c r="K165" s="116">
        <v>0</v>
      </c>
      <c r="L165" s="116">
        <v>0</v>
      </c>
      <c r="M165" s="116">
        <v>0</v>
      </c>
      <c r="N165" s="116">
        <v>0</v>
      </c>
      <c r="O165" s="116">
        <v>0</v>
      </c>
      <c r="P165" s="116">
        <v>0</v>
      </c>
      <c r="Q165" s="116">
        <v>0</v>
      </c>
      <c r="R165" s="116">
        <v>0</v>
      </c>
      <c r="S165" s="116">
        <v>0</v>
      </c>
      <c r="T165" s="116">
        <v>0</v>
      </c>
      <c r="U165" s="116">
        <v>0</v>
      </c>
      <c r="V165" s="116">
        <v>0</v>
      </c>
      <c r="W165" s="116">
        <v>0</v>
      </c>
      <c r="X165" s="116">
        <v>0</v>
      </c>
      <c r="Y165" s="116">
        <v>0</v>
      </c>
      <c r="Z165" s="116">
        <v>0</v>
      </c>
      <c r="AA165" s="116">
        <v>0</v>
      </c>
      <c r="AB165" s="116">
        <v>0</v>
      </c>
      <c r="AC165" s="116">
        <v>0</v>
      </c>
      <c r="AD165" s="116">
        <v>0</v>
      </c>
      <c r="AE165" s="116">
        <v>0</v>
      </c>
      <c r="AF165" s="116">
        <v>0</v>
      </c>
      <c r="AG165" s="116">
        <v>0</v>
      </c>
      <c r="AH165" s="116">
        <v>0</v>
      </c>
      <c r="AI165" s="116">
        <v>0</v>
      </c>
      <c r="AJ165" s="116">
        <v>0</v>
      </c>
      <c r="AK165" s="116">
        <v>0</v>
      </c>
      <c r="AL165" s="116">
        <v>0</v>
      </c>
      <c r="AM165" s="116">
        <v>0</v>
      </c>
      <c r="AN165" s="116">
        <v>0</v>
      </c>
      <c r="AO165" s="116">
        <v>0</v>
      </c>
      <c r="AP165" s="116">
        <v>0</v>
      </c>
      <c r="AQ165" s="116">
        <v>0</v>
      </c>
      <c r="AR165" s="116">
        <v>0</v>
      </c>
      <c r="AS165" s="116">
        <v>0</v>
      </c>
      <c r="AT165" s="116">
        <v>0</v>
      </c>
      <c r="AU165" s="116">
        <v>0</v>
      </c>
      <c r="AV165" s="116">
        <v>0</v>
      </c>
      <c r="AW165" s="116">
        <v>0</v>
      </c>
      <c r="AX165" s="116">
        <v>0</v>
      </c>
      <c r="AY165" s="116">
        <v>0</v>
      </c>
    </row>
    <row r="166" spans="1:52" x14ac:dyDescent="0.2">
      <c r="A166" s="119"/>
      <c r="B166" s="140">
        <v>45</v>
      </c>
      <c r="C166" s="116"/>
      <c r="D166" s="116">
        <v>0</v>
      </c>
      <c r="E166" s="116">
        <v>0</v>
      </c>
      <c r="F166" s="116">
        <v>0</v>
      </c>
      <c r="G166" s="116">
        <v>0</v>
      </c>
      <c r="H166" s="116">
        <v>0</v>
      </c>
      <c r="I166" s="116">
        <v>0</v>
      </c>
      <c r="J166" s="116">
        <v>0</v>
      </c>
      <c r="K166" s="116">
        <v>0</v>
      </c>
      <c r="L166" s="116">
        <v>0</v>
      </c>
      <c r="M166" s="116">
        <v>0</v>
      </c>
      <c r="N166" s="116">
        <v>0</v>
      </c>
      <c r="O166" s="116">
        <v>0</v>
      </c>
      <c r="P166" s="116">
        <v>0</v>
      </c>
      <c r="Q166" s="116">
        <v>0</v>
      </c>
      <c r="R166" s="116">
        <v>0</v>
      </c>
      <c r="S166" s="116">
        <v>0</v>
      </c>
      <c r="T166" s="116">
        <v>0</v>
      </c>
      <c r="U166" s="116">
        <v>0</v>
      </c>
      <c r="V166" s="116">
        <v>0</v>
      </c>
      <c r="W166" s="116">
        <v>0</v>
      </c>
      <c r="X166" s="116">
        <v>0</v>
      </c>
      <c r="Y166" s="116">
        <v>0</v>
      </c>
      <c r="Z166" s="116">
        <v>0</v>
      </c>
      <c r="AA166" s="116">
        <v>0</v>
      </c>
      <c r="AB166" s="116">
        <v>0</v>
      </c>
      <c r="AC166" s="116">
        <v>0</v>
      </c>
      <c r="AD166" s="116">
        <v>0</v>
      </c>
      <c r="AE166" s="116">
        <v>0</v>
      </c>
      <c r="AF166" s="116">
        <v>0</v>
      </c>
      <c r="AG166" s="116">
        <v>0</v>
      </c>
      <c r="AH166" s="116">
        <v>0</v>
      </c>
      <c r="AI166" s="116">
        <v>0</v>
      </c>
      <c r="AJ166" s="116">
        <v>0</v>
      </c>
      <c r="AK166" s="116">
        <v>0</v>
      </c>
      <c r="AL166" s="116">
        <v>0</v>
      </c>
      <c r="AM166" s="116">
        <v>0</v>
      </c>
      <c r="AN166" s="116">
        <v>0</v>
      </c>
      <c r="AO166" s="116">
        <v>0</v>
      </c>
      <c r="AP166" s="116">
        <v>0</v>
      </c>
      <c r="AQ166" s="116">
        <v>0</v>
      </c>
      <c r="AR166" s="116">
        <v>0</v>
      </c>
      <c r="AS166" s="116">
        <v>0</v>
      </c>
      <c r="AT166" s="116">
        <v>0</v>
      </c>
      <c r="AU166" s="116">
        <v>0</v>
      </c>
      <c r="AV166" s="116">
        <v>0</v>
      </c>
      <c r="AW166" s="116">
        <v>0</v>
      </c>
      <c r="AX166" s="116">
        <v>0</v>
      </c>
      <c r="AY166" s="116">
        <v>0</v>
      </c>
    </row>
    <row r="167" spans="1:52" x14ac:dyDescent="0.2">
      <c r="A167" s="119"/>
      <c r="B167" s="140">
        <v>46</v>
      </c>
      <c r="C167" s="116"/>
      <c r="D167" s="116">
        <v>0</v>
      </c>
      <c r="E167" s="116">
        <v>0</v>
      </c>
      <c r="F167" s="116">
        <v>0</v>
      </c>
      <c r="G167" s="116">
        <v>0</v>
      </c>
      <c r="H167" s="116">
        <v>0</v>
      </c>
      <c r="I167" s="116">
        <v>0</v>
      </c>
      <c r="J167" s="116">
        <v>0</v>
      </c>
      <c r="K167" s="116">
        <v>0</v>
      </c>
      <c r="L167" s="116">
        <v>0</v>
      </c>
      <c r="M167" s="116">
        <v>0</v>
      </c>
      <c r="N167" s="116">
        <v>0</v>
      </c>
      <c r="O167" s="116">
        <v>0</v>
      </c>
      <c r="P167" s="116">
        <v>0</v>
      </c>
      <c r="Q167" s="116">
        <v>0</v>
      </c>
      <c r="R167" s="116">
        <v>0</v>
      </c>
      <c r="S167" s="116">
        <v>0</v>
      </c>
      <c r="T167" s="116">
        <v>0</v>
      </c>
      <c r="U167" s="116">
        <v>0</v>
      </c>
      <c r="V167" s="116">
        <v>0</v>
      </c>
      <c r="W167" s="116">
        <v>0</v>
      </c>
      <c r="X167" s="116">
        <v>0</v>
      </c>
      <c r="Y167" s="116">
        <v>0</v>
      </c>
      <c r="Z167" s="116">
        <v>0</v>
      </c>
      <c r="AA167" s="116">
        <v>0</v>
      </c>
      <c r="AB167" s="116">
        <v>0</v>
      </c>
      <c r="AC167" s="116">
        <v>0</v>
      </c>
      <c r="AD167" s="116">
        <v>0</v>
      </c>
      <c r="AE167" s="116">
        <v>0</v>
      </c>
      <c r="AF167" s="116">
        <v>0</v>
      </c>
      <c r="AG167" s="116">
        <v>0</v>
      </c>
      <c r="AH167" s="116">
        <v>0</v>
      </c>
      <c r="AI167" s="116">
        <v>0</v>
      </c>
      <c r="AJ167" s="116">
        <v>0</v>
      </c>
      <c r="AK167" s="116">
        <v>0</v>
      </c>
      <c r="AL167" s="116">
        <v>0</v>
      </c>
      <c r="AM167" s="116">
        <v>0</v>
      </c>
      <c r="AN167" s="116">
        <v>0</v>
      </c>
      <c r="AO167" s="116">
        <v>0</v>
      </c>
      <c r="AP167" s="116">
        <v>0</v>
      </c>
      <c r="AQ167" s="116">
        <v>0</v>
      </c>
      <c r="AR167" s="116">
        <v>0</v>
      </c>
      <c r="AS167" s="116">
        <v>0</v>
      </c>
      <c r="AT167" s="116">
        <v>0</v>
      </c>
      <c r="AU167" s="116">
        <v>0</v>
      </c>
      <c r="AV167" s="116">
        <v>0</v>
      </c>
      <c r="AW167" s="116">
        <v>0</v>
      </c>
      <c r="AX167" s="116">
        <v>0</v>
      </c>
      <c r="AY167" s="116">
        <v>0</v>
      </c>
    </row>
    <row r="168" spans="1:52" x14ac:dyDescent="0.2">
      <c r="A168" s="119"/>
      <c r="B168" s="140">
        <v>47</v>
      </c>
      <c r="C168" s="116"/>
      <c r="D168" s="116">
        <v>0</v>
      </c>
      <c r="E168" s="116">
        <v>0</v>
      </c>
      <c r="F168" s="116">
        <v>0</v>
      </c>
      <c r="G168" s="116">
        <v>0</v>
      </c>
      <c r="H168" s="116">
        <v>0</v>
      </c>
      <c r="I168" s="116">
        <v>0</v>
      </c>
      <c r="J168" s="116">
        <v>0</v>
      </c>
      <c r="K168" s="116">
        <v>0</v>
      </c>
      <c r="L168" s="116">
        <v>0</v>
      </c>
      <c r="M168" s="116">
        <v>0</v>
      </c>
      <c r="N168" s="116">
        <v>0</v>
      </c>
      <c r="O168" s="116">
        <v>0</v>
      </c>
      <c r="P168" s="116">
        <v>0</v>
      </c>
      <c r="Q168" s="116">
        <v>0</v>
      </c>
      <c r="R168" s="116">
        <v>0</v>
      </c>
      <c r="S168" s="116">
        <v>0</v>
      </c>
      <c r="T168" s="116">
        <v>0</v>
      </c>
      <c r="U168" s="116">
        <v>0</v>
      </c>
      <c r="V168" s="116">
        <v>0</v>
      </c>
      <c r="W168" s="116">
        <v>0</v>
      </c>
      <c r="X168" s="116">
        <v>0</v>
      </c>
      <c r="Y168" s="116">
        <v>0</v>
      </c>
      <c r="Z168" s="116">
        <v>0</v>
      </c>
      <c r="AA168" s="116">
        <v>0</v>
      </c>
      <c r="AB168" s="116">
        <v>0</v>
      </c>
      <c r="AC168" s="116">
        <v>0</v>
      </c>
      <c r="AD168" s="116">
        <v>0</v>
      </c>
      <c r="AE168" s="116">
        <v>0</v>
      </c>
      <c r="AF168" s="116">
        <v>0</v>
      </c>
      <c r="AG168" s="116">
        <v>0</v>
      </c>
      <c r="AH168" s="116">
        <v>0</v>
      </c>
      <c r="AI168" s="116">
        <v>0</v>
      </c>
      <c r="AJ168" s="116">
        <v>0</v>
      </c>
      <c r="AK168" s="116">
        <v>0</v>
      </c>
      <c r="AL168" s="116">
        <v>0</v>
      </c>
      <c r="AM168" s="116">
        <v>0</v>
      </c>
      <c r="AN168" s="116">
        <v>0</v>
      </c>
      <c r="AO168" s="116">
        <v>0</v>
      </c>
      <c r="AP168" s="116">
        <v>0</v>
      </c>
      <c r="AQ168" s="116">
        <v>0</v>
      </c>
      <c r="AR168" s="116">
        <v>0</v>
      </c>
      <c r="AS168" s="116">
        <v>0</v>
      </c>
      <c r="AT168" s="116">
        <v>0</v>
      </c>
      <c r="AU168" s="116">
        <v>0</v>
      </c>
      <c r="AV168" s="116">
        <v>0</v>
      </c>
      <c r="AW168" s="116">
        <v>0</v>
      </c>
      <c r="AX168" s="116">
        <v>0</v>
      </c>
      <c r="AY168" s="116">
        <v>0</v>
      </c>
    </row>
    <row r="169" spans="1:52" x14ac:dyDescent="0.2">
      <c r="A169" s="119"/>
      <c r="B169" s="140">
        <v>48</v>
      </c>
      <c r="C169" s="116"/>
      <c r="D169" s="116">
        <v>0</v>
      </c>
      <c r="E169" s="116">
        <v>0</v>
      </c>
      <c r="F169" s="116">
        <v>0</v>
      </c>
      <c r="G169" s="116">
        <v>0</v>
      </c>
      <c r="H169" s="116">
        <v>0</v>
      </c>
      <c r="I169" s="116">
        <v>0</v>
      </c>
      <c r="J169" s="116">
        <v>0</v>
      </c>
      <c r="K169" s="116">
        <v>0</v>
      </c>
      <c r="L169" s="116">
        <v>0</v>
      </c>
      <c r="M169" s="116">
        <v>0</v>
      </c>
      <c r="N169" s="116">
        <v>0</v>
      </c>
      <c r="O169" s="116">
        <v>0</v>
      </c>
      <c r="P169" s="116">
        <v>0</v>
      </c>
      <c r="Q169" s="116">
        <v>0</v>
      </c>
      <c r="R169" s="116">
        <v>0</v>
      </c>
      <c r="S169" s="116">
        <v>0</v>
      </c>
      <c r="T169" s="116">
        <v>0</v>
      </c>
      <c r="U169" s="116">
        <v>0</v>
      </c>
      <c r="V169" s="116">
        <v>0</v>
      </c>
      <c r="W169" s="116">
        <v>0</v>
      </c>
      <c r="X169" s="116">
        <v>0</v>
      </c>
      <c r="Y169" s="116">
        <v>0</v>
      </c>
      <c r="Z169" s="116">
        <v>0</v>
      </c>
      <c r="AA169" s="116">
        <v>0</v>
      </c>
      <c r="AB169" s="116">
        <v>0</v>
      </c>
      <c r="AC169" s="116">
        <v>0</v>
      </c>
      <c r="AD169" s="116">
        <v>0</v>
      </c>
      <c r="AE169" s="116">
        <v>0</v>
      </c>
      <c r="AF169" s="116">
        <v>0</v>
      </c>
      <c r="AG169" s="116">
        <v>0</v>
      </c>
      <c r="AH169" s="116">
        <v>0</v>
      </c>
      <c r="AI169" s="116">
        <v>0</v>
      </c>
      <c r="AJ169" s="116">
        <v>0</v>
      </c>
      <c r="AK169" s="116">
        <v>0</v>
      </c>
      <c r="AL169" s="116">
        <v>0</v>
      </c>
      <c r="AM169" s="116">
        <v>0</v>
      </c>
      <c r="AN169" s="116">
        <v>0</v>
      </c>
      <c r="AO169" s="116">
        <v>0</v>
      </c>
      <c r="AP169" s="116">
        <v>0</v>
      </c>
      <c r="AQ169" s="116">
        <v>0</v>
      </c>
      <c r="AR169" s="116">
        <v>0</v>
      </c>
      <c r="AS169" s="116">
        <v>0</v>
      </c>
      <c r="AT169" s="116">
        <v>0</v>
      </c>
      <c r="AU169" s="116">
        <v>0</v>
      </c>
      <c r="AV169" s="116">
        <v>0</v>
      </c>
      <c r="AW169" s="116">
        <v>0</v>
      </c>
      <c r="AX169" s="116">
        <v>0</v>
      </c>
      <c r="AY169" s="116">
        <v>0</v>
      </c>
    </row>
    <row r="170" spans="1:52" x14ac:dyDescent="0.2">
      <c r="A170" s="138"/>
      <c r="B170" s="142" t="s">
        <v>298</v>
      </c>
      <c r="C170" s="124"/>
      <c r="D170" s="135">
        <v>0</v>
      </c>
      <c r="E170" s="135">
        <v>0</v>
      </c>
      <c r="F170" s="135">
        <v>0</v>
      </c>
      <c r="G170" s="135">
        <v>0</v>
      </c>
      <c r="H170" s="135">
        <v>0</v>
      </c>
      <c r="I170" s="135">
        <v>0</v>
      </c>
      <c r="J170" s="135">
        <v>0</v>
      </c>
      <c r="K170" s="135">
        <v>0</v>
      </c>
      <c r="L170" s="135">
        <v>0</v>
      </c>
      <c r="M170" s="135">
        <v>0</v>
      </c>
      <c r="N170" s="135">
        <v>0</v>
      </c>
      <c r="O170" s="135">
        <v>0</v>
      </c>
      <c r="P170" s="135">
        <v>0</v>
      </c>
      <c r="Q170" s="135">
        <v>0</v>
      </c>
      <c r="R170" s="135">
        <v>0</v>
      </c>
      <c r="S170" s="135">
        <v>0</v>
      </c>
      <c r="T170" s="135">
        <v>0</v>
      </c>
      <c r="U170" s="135">
        <v>0</v>
      </c>
      <c r="V170" s="135">
        <v>0</v>
      </c>
      <c r="W170" s="135">
        <v>0</v>
      </c>
      <c r="X170" s="135">
        <v>0</v>
      </c>
      <c r="Y170" s="135">
        <v>0</v>
      </c>
      <c r="Z170" s="135">
        <v>0</v>
      </c>
      <c r="AA170" s="135">
        <v>0</v>
      </c>
      <c r="AB170" s="135">
        <v>0</v>
      </c>
      <c r="AC170" s="135">
        <v>0</v>
      </c>
      <c r="AD170" s="135">
        <v>0</v>
      </c>
      <c r="AE170" s="135">
        <v>0</v>
      </c>
      <c r="AF170" s="135">
        <v>0</v>
      </c>
      <c r="AG170" s="135">
        <v>0</v>
      </c>
      <c r="AH170" s="135">
        <v>0</v>
      </c>
      <c r="AI170" s="135">
        <v>0</v>
      </c>
      <c r="AJ170" s="135">
        <v>0</v>
      </c>
      <c r="AK170" s="135">
        <v>0</v>
      </c>
      <c r="AL170" s="135">
        <v>0</v>
      </c>
      <c r="AM170" s="135">
        <v>0</v>
      </c>
      <c r="AN170" s="135">
        <v>0</v>
      </c>
      <c r="AO170" s="135">
        <v>0</v>
      </c>
      <c r="AP170" s="135">
        <v>0</v>
      </c>
      <c r="AQ170" s="135">
        <v>0</v>
      </c>
      <c r="AR170" s="135">
        <v>0</v>
      </c>
      <c r="AS170" s="135">
        <v>0</v>
      </c>
      <c r="AT170" s="135">
        <v>0</v>
      </c>
      <c r="AU170" s="135">
        <v>0</v>
      </c>
      <c r="AV170" s="135">
        <v>0</v>
      </c>
      <c r="AW170" s="135">
        <v>0</v>
      </c>
      <c r="AX170" s="135">
        <v>0</v>
      </c>
      <c r="AY170" s="135">
        <v>0</v>
      </c>
      <c r="AZ170" s="117">
        <f>SUM($D170:$AY170)</f>
        <v>0</v>
      </c>
    </row>
    <row r="172" spans="1:52" x14ac:dyDescent="0.2">
      <c r="A172" s="112" t="s">
        <v>124</v>
      </c>
      <c r="B172" s="143" t="s">
        <v>299</v>
      </c>
      <c r="C172" s="144"/>
      <c r="D172" s="144">
        <v>8.5111052585374394E-2</v>
      </c>
      <c r="E172" s="144">
        <v>8.5111052585374394E-2</v>
      </c>
      <c r="F172" s="144">
        <v>8.5111052585374394E-2</v>
      </c>
      <c r="G172" s="144">
        <v>8.5111052585374394E-2</v>
      </c>
      <c r="H172" s="144">
        <v>8.7086296198753299E-2</v>
      </c>
      <c r="I172" s="144">
        <v>8.7086296198753299E-2</v>
      </c>
      <c r="J172" s="144">
        <v>8.7086296198753299E-2</v>
      </c>
      <c r="K172" s="144">
        <v>8.7086296198753299E-2</v>
      </c>
      <c r="L172" s="144">
        <v>0.10837503292072601</v>
      </c>
      <c r="M172" s="144">
        <v>0.10837503292072601</v>
      </c>
      <c r="N172" s="144">
        <v>0.10837503292072601</v>
      </c>
      <c r="O172" s="144">
        <v>0.10837503292072601</v>
      </c>
      <c r="P172" s="144">
        <v>9.4680010534632597E-2</v>
      </c>
      <c r="Q172" s="144">
        <v>9.4680010534632597E-2</v>
      </c>
      <c r="R172" s="144">
        <v>9.4680010534632597E-2</v>
      </c>
      <c r="S172" s="144">
        <v>9.4680010534632597E-2</v>
      </c>
      <c r="T172" s="144">
        <v>7.65516635940654E-2</v>
      </c>
      <c r="U172" s="144">
        <v>7.65516635940654E-2</v>
      </c>
      <c r="V172" s="144">
        <v>7.65516635940654E-2</v>
      </c>
      <c r="W172" s="144">
        <v>7.65516635940654E-2</v>
      </c>
      <c r="X172" s="144">
        <v>7.7561232552014706E-2</v>
      </c>
      <c r="Y172" s="144">
        <v>7.7561232552014706E-2</v>
      </c>
      <c r="Z172" s="144">
        <v>7.7561232552014706E-2</v>
      </c>
      <c r="AA172" s="144">
        <v>7.7561232552014706E-2</v>
      </c>
      <c r="AB172" s="144">
        <v>6.5490299359143092E-2</v>
      </c>
      <c r="AC172" s="144">
        <v>6.5490299359143092E-2</v>
      </c>
      <c r="AD172" s="144">
        <v>6.5490299359143092E-2</v>
      </c>
      <c r="AE172" s="144">
        <v>6.5490299359143092E-2</v>
      </c>
      <c r="AF172" s="144">
        <v>9.7138091475726399E-2</v>
      </c>
      <c r="AG172" s="144">
        <v>9.7138091475726399E-2</v>
      </c>
      <c r="AH172" s="144">
        <v>9.7138091475726399E-2</v>
      </c>
      <c r="AI172" s="144">
        <v>9.7138091475726399E-2</v>
      </c>
      <c r="AJ172" s="144">
        <v>9.2880344131331699E-2</v>
      </c>
      <c r="AK172" s="144">
        <v>9.2880344131331699E-2</v>
      </c>
      <c r="AL172" s="144">
        <v>9.2880344131331699E-2</v>
      </c>
      <c r="AM172" s="144">
        <v>9.2880344131331699E-2</v>
      </c>
      <c r="AN172" s="144">
        <v>0.112281625844965</v>
      </c>
      <c r="AO172" s="144">
        <v>0.112281625844965</v>
      </c>
      <c r="AP172" s="144">
        <v>0.112281625844965</v>
      </c>
      <c r="AQ172" s="144">
        <v>0.112281625844965</v>
      </c>
      <c r="AR172" s="144">
        <v>4.7449741023615107E-2</v>
      </c>
      <c r="AS172" s="144">
        <v>4.7449741023615107E-2</v>
      </c>
      <c r="AT172" s="144">
        <v>4.7449741023615107E-2</v>
      </c>
      <c r="AU172" s="144">
        <v>4.7449741023615107E-2</v>
      </c>
      <c r="AV172" s="144">
        <v>5.5394609779650598E-2</v>
      </c>
      <c r="AW172" s="144">
        <v>5.5394609779650598E-2</v>
      </c>
      <c r="AX172" s="144">
        <v>5.5394609779650598E-2</v>
      </c>
      <c r="AY172" s="144">
        <v>5.5394609779650598E-2</v>
      </c>
    </row>
    <row r="174" spans="1:52" x14ac:dyDescent="0.2">
      <c r="A174" s="112" t="s">
        <v>274</v>
      </c>
    </row>
    <row r="175" spans="1:52" x14ac:dyDescent="0.2">
      <c r="A175" s="145" t="s">
        <v>125</v>
      </c>
      <c r="B175" s="145" t="s">
        <v>300</v>
      </c>
      <c r="C175" s="134" t="s">
        <v>295</v>
      </c>
      <c r="D175" s="134">
        <f t="shared" ref="D175:AY175" si="1">SUM(D95:D98)</f>
        <v>1605.7982140636677</v>
      </c>
      <c r="E175" s="134">
        <f t="shared" si="1"/>
        <v>2437.5964281273355</v>
      </c>
      <c r="F175" s="134">
        <f t="shared" si="1"/>
        <v>3294.3946421910032</v>
      </c>
      <c r="G175" s="134">
        <f t="shared" si="1"/>
        <v>4150.1928562546709</v>
      </c>
      <c r="H175" s="134">
        <f t="shared" si="1"/>
        <v>4837.9119461347154</v>
      </c>
      <c r="I175" s="134">
        <f t="shared" si="1"/>
        <v>5552.631036014759</v>
      </c>
      <c r="J175" s="134">
        <f t="shared" si="1"/>
        <v>6185.9554837038004</v>
      </c>
      <c r="K175" s="134">
        <f t="shared" si="1"/>
        <v>6106.8763595201772</v>
      </c>
      <c r="L175" s="134">
        <f t="shared" si="1"/>
        <v>8393.5752464125053</v>
      </c>
      <c r="M175" s="134">
        <f t="shared" si="1"/>
        <v>9385.5745329923247</v>
      </c>
      <c r="N175" s="134">
        <f t="shared" si="1"/>
        <v>9253.49347555237</v>
      </c>
      <c r="O175" s="134">
        <f t="shared" si="1"/>
        <v>9023.0874820388326</v>
      </c>
      <c r="P175" s="134">
        <f t="shared" si="1"/>
        <v>8879.2774262660369</v>
      </c>
      <c r="Q175" s="134">
        <f t="shared" si="1"/>
        <v>8690.9008268292764</v>
      </c>
      <c r="R175" s="134">
        <f t="shared" si="1"/>
        <v>8503.935335538883</v>
      </c>
      <c r="S175" s="134">
        <f t="shared" si="1"/>
        <v>8761.1272616336264</v>
      </c>
      <c r="T175" s="134">
        <f t="shared" si="1"/>
        <v>9002.3215334117522</v>
      </c>
      <c r="U175" s="134">
        <f t="shared" si="1"/>
        <v>8332.0401440001169</v>
      </c>
      <c r="V175" s="134">
        <f t="shared" si="1"/>
        <v>7699.7260243686387</v>
      </c>
      <c r="W175" s="134">
        <f t="shared" si="1"/>
        <v>7530.655731567218</v>
      </c>
      <c r="X175" s="134">
        <f t="shared" si="1"/>
        <v>7384.499196812224</v>
      </c>
      <c r="Y175" s="134">
        <f t="shared" si="1"/>
        <v>6782.0963660787675</v>
      </c>
      <c r="Z175" s="134">
        <f t="shared" si="1"/>
        <v>6718.4443838086445</v>
      </c>
      <c r="AA175" s="134">
        <f t="shared" si="1"/>
        <v>5660.6412224561736</v>
      </c>
      <c r="AB175" s="134">
        <f t="shared" si="1"/>
        <v>7581.5869420092131</v>
      </c>
      <c r="AC175" s="134">
        <f t="shared" si="1"/>
        <v>9568.9326989265282</v>
      </c>
      <c r="AD175" s="134">
        <f t="shared" si="1"/>
        <v>9752.3036612679316</v>
      </c>
      <c r="AE175" s="134">
        <f t="shared" si="1"/>
        <v>9118.3586132941473</v>
      </c>
      <c r="AF175" s="134">
        <f t="shared" si="1"/>
        <v>8544.0819967419229</v>
      </c>
      <c r="AG175" s="134">
        <f t="shared" si="1"/>
        <v>8628.7407225272618</v>
      </c>
      <c r="AH175" s="134">
        <f t="shared" si="1"/>
        <v>8718.685320132623</v>
      </c>
      <c r="AI175" s="134">
        <f t="shared" si="1"/>
        <v>8000.9513261238844</v>
      </c>
      <c r="AJ175" s="134">
        <f t="shared" si="1"/>
        <v>8027.5919244090928</v>
      </c>
      <c r="AK175" s="134">
        <f t="shared" si="1"/>
        <v>6997.1860723079353</v>
      </c>
      <c r="AL175" s="134">
        <f t="shared" si="1"/>
        <v>6783.8266705931446</v>
      </c>
      <c r="AM175" s="134">
        <f t="shared" si="1"/>
        <v>5498.5623931408345</v>
      </c>
      <c r="AN175" s="134">
        <f t="shared" si="1"/>
        <v>7112.8810681056948</v>
      </c>
      <c r="AO175" s="134">
        <f t="shared" si="1"/>
        <v>7024.903348195523</v>
      </c>
      <c r="AP175" s="134">
        <f t="shared" si="1"/>
        <v>7025.7453593458749</v>
      </c>
      <c r="AQ175" s="134">
        <f t="shared" si="1"/>
        <v>7981.8595995208598</v>
      </c>
      <c r="AR175" s="134">
        <f t="shared" si="1"/>
        <v>8434.4677635876105</v>
      </c>
      <c r="AS175" s="134">
        <f t="shared" si="1"/>
        <v>9236.3526568452216</v>
      </c>
      <c r="AT175" s="134">
        <f t="shared" si="1"/>
        <v>7539.0097080800388</v>
      </c>
      <c r="AU175" s="134">
        <f t="shared" si="1"/>
        <v>7352.1718690246198</v>
      </c>
      <c r="AV175" s="134">
        <f t="shared" si="1"/>
        <v>7014.498030873463</v>
      </c>
      <c r="AW175" s="134">
        <f t="shared" si="1"/>
        <v>6996.6069219147175</v>
      </c>
      <c r="AX175" s="134">
        <f t="shared" si="1"/>
        <v>8031.5332018757617</v>
      </c>
      <c r="AY175" s="134">
        <f t="shared" si="1"/>
        <v>7993.3208400701824</v>
      </c>
    </row>
    <row r="176" spans="1:52" x14ac:dyDescent="0.2">
      <c r="A176" s="135"/>
      <c r="B176" s="146" t="s">
        <v>301</v>
      </c>
      <c r="C176" s="135" t="s">
        <v>295</v>
      </c>
      <c r="D176" s="135">
        <v>774</v>
      </c>
      <c r="E176" s="135">
        <v>749</v>
      </c>
      <c r="F176" s="135">
        <v>750</v>
      </c>
      <c r="G176" s="135">
        <v>839</v>
      </c>
      <c r="H176" s="135">
        <v>812</v>
      </c>
      <c r="I176" s="135">
        <v>787</v>
      </c>
      <c r="J176" s="135">
        <v>815</v>
      </c>
      <c r="K176" s="135">
        <v>1002</v>
      </c>
      <c r="L176" s="135">
        <v>610</v>
      </c>
      <c r="M176" s="135">
        <v>709</v>
      </c>
      <c r="N176" s="135">
        <v>619</v>
      </c>
      <c r="O176" s="135">
        <v>640</v>
      </c>
      <c r="P176" s="135">
        <v>963</v>
      </c>
      <c r="Q176" s="135">
        <v>1136</v>
      </c>
      <c r="R176" s="135">
        <v>1048</v>
      </c>
      <c r="S176" s="135">
        <v>1013</v>
      </c>
      <c r="T176" s="135">
        <v>1462</v>
      </c>
      <c r="U176" s="135">
        <v>1480</v>
      </c>
      <c r="V176" s="135">
        <v>1360</v>
      </c>
      <c r="W176" s="135">
        <v>1270</v>
      </c>
      <c r="X176" s="135">
        <v>1666</v>
      </c>
      <c r="Y176" s="135">
        <v>1596</v>
      </c>
      <c r="Z176" s="135">
        <v>1825</v>
      </c>
      <c r="AA176" s="135">
        <v>1427</v>
      </c>
      <c r="AB176" s="135">
        <v>910</v>
      </c>
      <c r="AC176" s="135">
        <v>953</v>
      </c>
      <c r="AD176" s="135">
        <v>873</v>
      </c>
      <c r="AE176" s="135">
        <v>1001</v>
      </c>
      <c r="AF176" s="135">
        <v>1271</v>
      </c>
      <c r="AG176" s="135">
        <v>1594</v>
      </c>
      <c r="AH176" s="135">
        <v>1488</v>
      </c>
      <c r="AI176" s="135">
        <v>1348</v>
      </c>
      <c r="AJ176" s="135">
        <v>1788</v>
      </c>
      <c r="AK176" s="135">
        <v>1588</v>
      </c>
      <c r="AL176" s="135">
        <v>1716</v>
      </c>
      <c r="AM176" s="135">
        <v>1219</v>
      </c>
      <c r="AN176" s="135">
        <v>499</v>
      </c>
      <c r="AO176" s="135">
        <v>480</v>
      </c>
      <c r="AP176" s="135">
        <v>607</v>
      </c>
      <c r="AQ176" s="135">
        <v>748</v>
      </c>
      <c r="AR176" s="135">
        <v>284</v>
      </c>
      <c r="AS176" s="135">
        <v>248</v>
      </c>
      <c r="AT176" s="135">
        <v>223</v>
      </c>
      <c r="AU176" s="135">
        <v>206</v>
      </c>
      <c r="AV176" s="135">
        <v>833</v>
      </c>
      <c r="AW176" s="135">
        <v>799</v>
      </c>
      <c r="AX176" s="135">
        <v>928</v>
      </c>
      <c r="AY176" s="135">
        <v>998</v>
      </c>
    </row>
    <row r="177" spans="1:51" x14ac:dyDescent="0.2">
      <c r="A177" s="145" t="s">
        <v>133</v>
      </c>
      <c r="B177" s="145" t="s">
        <v>300</v>
      </c>
      <c r="C177" s="134" t="s">
        <v>295</v>
      </c>
      <c r="D177" s="134">
        <f t="shared" ref="D177:AY177" si="2">SUM(D100:D107)</f>
        <v>0</v>
      </c>
      <c r="E177" s="134">
        <f t="shared" si="2"/>
        <v>28.24939154122978</v>
      </c>
      <c r="F177" s="134">
        <f t="shared" si="2"/>
        <v>77.180770280936798</v>
      </c>
      <c r="G177" s="134">
        <f t="shared" si="2"/>
        <v>77.180770280936798</v>
      </c>
      <c r="H177" s="134">
        <f t="shared" si="2"/>
        <v>0</v>
      </c>
      <c r="I177" s="134">
        <f t="shared" si="2"/>
        <v>113.91845060258993</v>
      </c>
      <c r="J177" s="134">
        <f t="shared" si="2"/>
        <v>77.180770280936798</v>
      </c>
      <c r="K177" s="134">
        <f t="shared" si="2"/>
        <v>77.180770280936798</v>
      </c>
      <c r="L177" s="134">
        <f t="shared" si="2"/>
        <v>40.443089959283661</v>
      </c>
      <c r="M177" s="134">
        <f t="shared" si="2"/>
        <v>77.180770280936798</v>
      </c>
      <c r="N177" s="134">
        <f t="shared" si="2"/>
        <v>77.180770280936798</v>
      </c>
      <c r="O177" s="134">
        <f t="shared" si="2"/>
        <v>77.180770280936798</v>
      </c>
      <c r="P177" s="134">
        <f t="shared" si="2"/>
        <v>77.180770280936798</v>
      </c>
      <c r="Q177" s="134">
        <f t="shared" si="2"/>
        <v>77.180770280936798</v>
      </c>
      <c r="R177" s="134">
        <f t="shared" si="2"/>
        <v>77.180770280936798</v>
      </c>
      <c r="S177" s="134">
        <f t="shared" si="2"/>
        <v>36.737680321653137</v>
      </c>
      <c r="T177" s="134">
        <f t="shared" si="2"/>
        <v>40.443089959283661</v>
      </c>
      <c r="U177" s="134">
        <f t="shared" si="2"/>
        <v>113.91845060258993</v>
      </c>
      <c r="V177" s="134">
        <f t="shared" si="2"/>
        <v>117.62386024022047</v>
      </c>
      <c r="W177" s="134">
        <f t="shared" si="2"/>
        <v>77.180770280936798</v>
      </c>
      <c r="X177" s="134">
        <f t="shared" si="2"/>
        <v>77.180770280936798</v>
      </c>
      <c r="Y177" s="134">
        <f t="shared" si="2"/>
        <v>0</v>
      </c>
      <c r="Z177" s="134">
        <f t="shared" si="2"/>
        <v>36.737680321653137</v>
      </c>
      <c r="AA177" s="134">
        <f t="shared" si="2"/>
        <v>0</v>
      </c>
      <c r="AB177" s="134">
        <f t="shared" si="2"/>
        <v>77.180770280936798</v>
      </c>
      <c r="AC177" s="134">
        <f t="shared" si="2"/>
        <v>0</v>
      </c>
      <c r="AD177" s="134">
        <f t="shared" si="2"/>
        <v>40.443089959283661</v>
      </c>
      <c r="AE177" s="134">
        <f t="shared" si="2"/>
        <v>113.91845060258993</v>
      </c>
      <c r="AF177" s="134">
        <f t="shared" si="2"/>
        <v>117.62386024022047</v>
      </c>
      <c r="AG177" s="134">
        <f t="shared" si="2"/>
        <v>36.737680321653137</v>
      </c>
      <c r="AH177" s="134">
        <f t="shared" si="2"/>
        <v>40.443089959283661</v>
      </c>
      <c r="AI177" s="134">
        <f t="shared" si="2"/>
        <v>113.91845060258993</v>
      </c>
      <c r="AJ177" s="134">
        <f t="shared" si="2"/>
        <v>40.443089959283668</v>
      </c>
      <c r="AK177" s="134">
        <f t="shared" si="2"/>
        <v>154.3615405618736</v>
      </c>
      <c r="AL177" s="134">
        <f t="shared" si="2"/>
        <v>0</v>
      </c>
      <c r="AM177" s="134">
        <f t="shared" si="2"/>
        <v>77.180770280936798</v>
      </c>
      <c r="AN177" s="134">
        <f t="shared" si="2"/>
        <v>77.180770280936798</v>
      </c>
      <c r="AO177" s="134">
        <f t="shared" si="2"/>
        <v>77.180770280936798</v>
      </c>
      <c r="AP177" s="134">
        <f t="shared" si="2"/>
        <v>77.180770280936798</v>
      </c>
      <c r="AQ177" s="134">
        <f t="shared" si="2"/>
        <v>0</v>
      </c>
      <c r="AR177" s="134">
        <f t="shared" si="2"/>
        <v>36.737680321653137</v>
      </c>
      <c r="AS177" s="134">
        <f t="shared" si="2"/>
        <v>0</v>
      </c>
      <c r="AT177" s="134">
        <f t="shared" si="2"/>
        <v>194.80463052115726</v>
      </c>
      <c r="AU177" s="134">
        <f t="shared" si="2"/>
        <v>77.180770280936798</v>
      </c>
      <c r="AV177" s="134">
        <f t="shared" si="2"/>
        <v>77.180770280936798</v>
      </c>
      <c r="AW177" s="134">
        <f t="shared" si="2"/>
        <v>77.180770280936798</v>
      </c>
      <c r="AX177" s="134">
        <f t="shared" si="2"/>
        <v>0</v>
      </c>
      <c r="AY177" s="134">
        <f t="shared" si="2"/>
        <v>77.180770280936798</v>
      </c>
    </row>
    <row r="178" spans="1:51" x14ac:dyDescent="0.2">
      <c r="A178" s="135"/>
      <c r="B178" s="146" t="s">
        <v>301</v>
      </c>
      <c r="C178" s="135" t="s">
        <v>295</v>
      </c>
      <c r="D178" s="135">
        <v>0</v>
      </c>
      <c r="E178" s="135">
        <v>28.24939154122978</v>
      </c>
      <c r="F178" s="135">
        <v>77.180770280936798</v>
      </c>
      <c r="G178" s="135">
        <v>77.180770280936798</v>
      </c>
      <c r="H178" s="135">
        <v>0</v>
      </c>
      <c r="I178" s="135">
        <v>113.91845060258993</v>
      </c>
      <c r="J178" s="135">
        <v>77.180770280936798</v>
      </c>
      <c r="K178" s="135">
        <v>77.180770280936798</v>
      </c>
      <c r="L178" s="135">
        <v>40.443089959283661</v>
      </c>
      <c r="M178" s="135">
        <v>77.180770280936798</v>
      </c>
      <c r="N178" s="135">
        <v>77.180770280936798</v>
      </c>
      <c r="O178" s="135">
        <v>77.180770280936798</v>
      </c>
      <c r="P178" s="135">
        <v>77.180770280936798</v>
      </c>
      <c r="Q178" s="135">
        <v>77.180770280936798</v>
      </c>
      <c r="R178" s="135">
        <v>77.180770280936798</v>
      </c>
      <c r="S178" s="135">
        <v>36.737680321653137</v>
      </c>
      <c r="T178" s="135">
        <v>40.443089959283661</v>
      </c>
      <c r="U178" s="135">
        <v>113.91845060258993</v>
      </c>
      <c r="V178" s="135">
        <v>117.62386024022047</v>
      </c>
      <c r="W178" s="135">
        <v>77.180770280936798</v>
      </c>
      <c r="X178" s="135">
        <v>77.180770280936798</v>
      </c>
      <c r="Y178" s="135">
        <v>0</v>
      </c>
      <c r="Z178" s="135">
        <v>36.737680321653137</v>
      </c>
      <c r="AA178" s="135">
        <v>0</v>
      </c>
      <c r="AB178" s="135">
        <v>77.180770280936798</v>
      </c>
      <c r="AC178" s="135">
        <v>0</v>
      </c>
      <c r="AD178" s="135">
        <v>40.443089959283661</v>
      </c>
      <c r="AE178" s="135">
        <v>113.91845060258993</v>
      </c>
      <c r="AF178" s="135">
        <v>117.62386024022047</v>
      </c>
      <c r="AG178" s="135">
        <v>36.737680321653137</v>
      </c>
      <c r="AH178" s="135">
        <v>40.443089959283661</v>
      </c>
      <c r="AI178" s="135">
        <v>113.91845060258993</v>
      </c>
      <c r="AJ178" s="135">
        <v>40.443089959283668</v>
      </c>
      <c r="AK178" s="135">
        <v>154.3615405618736</v>
      </c>
      <c r="AL178" s="135">
        <v>0</v>
      </c>
      <c r="AM178" s="135">
        <v>77.180770280936798</v>
      </c>
      <c r="AN178" s="135">
        <v>77.180770280936798</v>
      </c>
      <c r="AO178" s="135">
        <v>77.180770280936798</v>
      </c>
      <c r="AP178" s="135">
        <v>77.180770280936798</v>
      </c>
      <c r="AQ178" s="135">
        <v>0</v>
      </c>
      <c r="AR178" s="135">
        <v>36.737680321653137</v>
      </c>
      <c r="AS178" s="135">
        <v>0</v>
      </c>
      <c r="AT178" s="135">
        <v>194.80463052115726</v>
      </c>
      <c r="AU178" s="135">
        <v>77.180770280936798</v>
      </c>
      <c r="AV178" s="135">
        <v>77.180770280936798</v>
      </c>
      <c r="AW178" s="135">
        <v>77.180770280936798</v>
      </c>
      <c r="AX178" s="135">
        <v>0</v>
      </c>
      <c r="AY178" s="135">
        <v>77.180770280936798</v>
      </c>
    </row>
    <row r="179" spans="1:51" x14ac:dyDescent="0.2">
      <c r="A179" s="145" t="s">
        <v>134</v>
      </c>
      <c r="B179" s="145" t="s">
        <v>300</v>
      </c>
      <c r="C179" s="134" t="s">
        <v>295</v>
      </c>
      <c r="D179" s="134">
        <f t="shared" ref="D179:AY179" si="3">SUM(D109:D120)</f>
        <v>0</v>
      </c>
      <c r="E179" s="134">
        <f t="shared" si="3"/>
        <v>19.894143222784233</v>
      </c>
      <c r="F179" s="134">
        <f t="shared" si="3"/>
        <v>44.977141751522709</v>
      </c>
      <c r="G179" s="134">
        <f t="shared" si="3"/>
        <v>106.77558101622768</v>
      </c>
      <c r="H179" s="134">
        <f t="shared" si="3"/>
        <v>160.21237772685899</v>
      </c>
      <c r="I179" s="134">
        <f t="shared" si="3"/>
        <v>130.23459297951749</v>
      </c>
      <c r="J179" s="134">
        <f t="shared" si="3"/>
        <v>209.54499504293869</v>
      </c>
      <c r="K179" s="134">
        <f t="shared" si="3"/>
        <v>251.0211387060094</v>
      </c>
      <c r="L179" s="134">
        <f t="shared" si="3"/>
        <v>288.41940158986444</v>
      </c>
      <c r="M179" s="134">
        <f t="shared" si="3"/>
        <v>362.69632036977424</v>
      </c>
      <c r="N179" s="134">
        <f t="shared" si="3"/>
        <v>366.15029151195131</v>
      </c>
      <c r="O179" s="134">
        <f t="shared" si="3"/>
        <v>380.0902562239703</v>
      </c>
      <c r="P179" s="134">
        <f t="shared" si="3"/>
        <v>403.54976922155367</v>
      </c>
      <c r="Q179" s="134">
        <f t="shared" si="3"/>
        <v>363.94920629607947</v>
      </c>
      <c r="R179" s="134">
        <f t="shared" si="3"/>
        <v>385.53408643019151</v>
      </c>
      <c r="S179" s="134">
        <f t="shared" si="3"/>
        <v>401.19232443669227</v>
      </c>
      <c r="T179" s="134">
        <f t="shared" si="3"/>
        <v>379.18802020860841</v>
      </c>
      <c r="U179" s="134">
        <f t="shared" si="3"/>
        <v>289.52201692551552</v>
      </c>
      <c r="V179" s="134">
        <f t="shared" si="3"/>
        <v>342.07259298985042</v>
      </c>
      <c r="W179" s="134">
        <f t="shared" si="3"/>
        <v>386.17080146904749</v>
      </c>
      <c r="X179" s="134">
        <f t="shared" si="3"/>
        <v>398.83360824399921</v>
      </c>
      <c r="Y179" s="134">
        <f t="shared" si="3"/>
        <v>414.44739322180811</v>
      </c>
      <c r="Z179" s="134">
        <f t="shared" si="3"/>
        <v>445.02361428721542</v>
      </c>
      <c r="AA179" s="134">
        <f t="shared" si="3"/>
        <v>339.15196866945627</v>
      </c>
      <c r="AB179" s="134">
        <f t="shared" si="3"/>
        <v>291.66111187490418</v>
      </c>
      <c r="AC179" s="134">
        <f t="shared" si="3"/>
        <v>266.87705063381031</v>
      </c>
      <c r="AD179" s="134">
        <f t="shared" si="3"/>
        <v>220.58378779984059</v>
      </c>
      <c r="AE179" s="134">
        <f t="shared" si="3"/>
        <v>208.95789815519382</v>
      </c>
      <c r="AF179" s="134">
        <f t="shared" si="3"/>
        <v>246.42460875333634</v>
      </c>
      <c r="AG179" s="134">
        <f t="shared" si="3"/>
        <v>417.29256778717314</v>
      </c>
      <c r="AH179" s="134">
        <f t="shared" si="3"/>
        <v>400.32832244677104</v>
      </c>
      <c r="AI179" s="134">
        <f t="shared" si="3"/>
        <v>392.87921389219122</v>
      </c>
      <c r="AJ179" s="134">
        <f t="shared" si="3"/>
        <v>456.18486014225641</v>
      </c>
      <c r="AK179" s="134">
        <f t="shared" si="3"/>
        <v>418.05190722246607</v>
      </c>
      <c r="AL179" s="134">
        <f t="shared" si="3"/>
        <v>523.32505554757006</v>
      </c>
      <c r="AM179" s="134">
        <f t="shared" si="3"/>
        <v>551.41095953201557</v>
      </c>
      <c r="AN179" s="134">
        <f t="shared" si="3"/>
        <v>491.7425278313396</v>
      </c>
      <c r="AO179" s="134">
        <f t="shared" si="3"/>
        <v>620.04110399501315</v>
      </c>
      <c r="AP179" s="134">
        <f t="shared" si="3"/>
        <v>615.51381269940873</v>
      </c>
      <c r="AQ179" s="134">
        <f t="shared" si="3"/>
        <v>625.41298891371741</v>
      </c>
      <c r="AR179" s="134">
        <f t="shared" si="3"/>
        <v>615.54101625040073</v>
      </c>
      <c r="AS179" s="134">
        <f t="shared" si="3"/>
        <v>309.134106009785</v>
      </c>
      <c r="AT179" s="134">
        <f t="shared" si="3"/>
        <v>173.59550563399776</v>
      </c>
      <c r="AU179" s="134">
        <f t="shared" si="3"/>
        <v>251.32183119926933</v>
      </c>
      <c r="AV179" s="134">
        <f t="shared" si="3"/>
        <v>262.08036596366782</v>
      </c>
      <c r="AW179" s="134">
        <f t="shared" si="3"/>
        <v>324.07180805447268</v>
      </c>
      <c r="AX179" s="134">
        <f t="shared" si="3"/>
        <v>321.62888730946975</v>
      </c>
      <c r="AY179" s="134">
        <f t="shared" si="3"/>
        <v>268.71027317391963</v>
      </c>
    </row>
    <row r="180" spans="1:51" x14ac:dyDescent="0.2">
      <c r="A180" s="135"/>
      <c r="B180" s="146" t="s">
        <v>301</v>
      </c>
      <c r="C180" s="135" t="s">
        <v>295</v>
      </c>
      <c r="D180" s="135">
        <v>0</v>
      </c>
      <c r="E180" s="135">
        <v>19.894143222784233</v>
      </c>
      <c r="F180" s="135">
        <v>44.977141751522709</v>
      </c>
      <c r="G180" s="135">
        <v>106.77558101622768</v>
      </c>
      <c r="H180" s="135">
        <v>160.21237772685899</v>
      </c>
      <c r="I180" s="135">
        <v>130.23459297951749</v>
      </c>
      <c r="J180" s="135">
        <v>209.54499504293869</v>
      </c>
      <c r="K180" s="135">
        <v>251.0211387060094</v>
      </c>
      <c r="L180" s="135">
        <v>288.41940158986444</v>
      </c>
      <c r="M180" s="135">
        <v>362.69632036977424</v>
      </c>
      <c r="N180" s="135">
        <v>366.15029151195131</v>
      </c>
      <c r="O180" s="135">
        <v>380.0902562239703</v>
      </c>
      <c r="P180" s="135">
        <v>403.54976922155367</v>
      </c>
      <c r="Q180" s="135">
        <v>363.94920629607947</v>
      </c>
      <c r="R180" s="135">
        <v>385.53408643019151</v>
      </c>
      <c r="S180" s="135">
        <v>401.19232443669227</v>
      </c>
      <c r="T180" s="135">
        <v>379.18802020860841</v>
      </c>
      <c r="U180" s="135">
        <v>289.52201692551552</v>
      </c>
      <c r="V180" s="135">
        <v>342.07259298985042</v>
      </c>
      <c r="W180" s="135">
        <v>386.17080146904749</v>
      </c>
      <c r="X180" s="135">
        <v>398.83360824399921</v>
      </c>
      <c r="Y180" s="135">
        <v>333</v>
      </c>
      <c r="Z180" s="135">
        <v>445.02361428721542</v>
      </c>
      <c r="AA180" s="135">
        <v>339.15196866945627</v>
      </c>
      <c r="AB180" s="135">
        <v>291.66111187490418</v>
      </c>
      <c r="AC180" s="135">
        <v>266.87705063381031</v>
      </c>
      <c r="AD180" s="135">
        <v>220.58378779984059</v>
      </c>
      <c r="AE180" s="135">
        <v>208.95789815519382</v>
      </c>
      <c r="AF180" s="135">
        <v>246.42460875333634</v>
      </c>
      <c r="AG180" s="135">
        <v>417.29256778717314</v>
      </c>
      <c r="AH180" s="135">
        <v>400.32832244677104</v>
      </c>
      <c r="AI180" s="135">
        <v>392.87921389219122</v>
      </c>
      <c r="AJ180" s="135">
        <v>456.18486014225641</v>
      </c>
      <c r="AK180" s="135">
        <v>418.05190722246607</v>
      </c>
      <c r="AL180" s="135">
        <v>440</v>
      </c>
      <c r="AM180" s="135">
        <v>549.66327569274722</v>
      </c>
      <c r="AN180" s="135">
        <v>491.7425278313396</v>
      </c>
      <c r="AO180" s="135">
        <v>620.04110399501315</v>
      </c>
      <c r="AP180" s="135">
        <v>606.02842573150349</v>
      </c>
      <c r="AQ180" s="135">
        <v>526</v>
      </c>
      <c r="AR180" s="135">
        <v>501.76952443460215</v>
      </c>
      <c r="AS180" s="135">
        <v>309.134106009785</v>
      </c>
      <c r="AT180" s="135">
        <v>173.59550563399776</v>
      </c>
      <c r="AU180" s="135">
        <v>251.32183119926933</v>
      </c>
      <c r="AV180" s="135">
        <v>262.08036596366782</v>
      </c>
      <c r="AW180" s="135">
        <v>324.07180805447268</v>
      </c>
      <c r="AX180" s="135">
        <v>321.62888730946975</v>
      </c>
      <c r="AY180" s="135">
        <v>268.71027317391963</v>
      </c>
    </row>
    <row r="181" spans="1:51" x14ac:dyDescent="0.2">
      <c r="A181" s="145" t="s">
        <v>123</v>
      </c>
      <c r="B181" s="145" t="s">
        <v>300</v>
      </c>
      <c r="C181" s="134" t="s">
        <v>295</v>
      </c>
      <c r="D181" s="134">
        <f t="shared" ref="D181:AY181" si="4">(1-D172)*SUM(D122:D169)</f>
        <v>213.84921464285298</v>
      </c>
      <c r="E181" s="134">
        <f t="shared" si="4"/>
        <v>483.47527876585252</v>
      </c>
      <c r="F181" s="134">
        <f t="shared" si="4"/>
        <v>1147.768661743803</v>
      </c>
      <c r="G181" s="134">
        <f t="shared" si="4"/>
        <v>1722.179777700321</v>
      </c>
      <c r="H181" s="134">
        <f t="shared" si="4"/>
        <v>1365.2313834616978</v>
      </c>
      <c r="I181" s="134">
        <f t="shared" si="4"/>
        <v>2196.6314550922602</v>
      </c>
      <c r="J181" s="134">
        <f t="shared" si="4"/>
        <v>2631.4201828667287</v>
      </c>
      <c r="K181" s="134">
        <f t="shared" si="4"/>
        <v>3023.4610454969802</v>
      </c>
      <c r="L181" s="134">
        <f t="shared" si="4"/>
        <v>2983.9815130300899</v>
      </c>
      <c r="M181" s="134">
        <f t="shared" si="4"/>
        <v>3012.3980848450124</v>
      </c>
      <c r="N181" s="134">
        <f t="shared" si="4"/>
        <v>3127.0852064307733</v>
      </c>
      <c r="O181" s="134">
        <f t="shared" si="4"/>
        <v>3320.0917222347084</v>
      </c>
      <c r="P181" s="134">
        <f t="shared" si="4"/>
        <v>3480.0428279353914</v>
      </c>
      <c r="Q181" s="134">
        <f t="shared" si="4"/>
        <v>3686.4351101635143</v>
      </c>
      <c r="R181" s="134">
        <f t="shared" si="4"/>
        <v>3836.1574833132959</v>
      </c>
      <c r="S181" s="134">
        <f t="shared" si="4"/>
        <v>3625.7547133994199</v>
      </c>
      <c r="T181" s="134">
        <f t="shared" si="4"/>
        <v>3492.5253394948413</v>
      </c>
      <c r="U181" s="134">
        <f t="shared" si="4"/>
        <v>4126.4467954819274</v>
      </c>
      <c r="V181" s="134">
        <f t="shared" si="4"/>
        <v>4658.4067209322429</v>
      </c>
      <c r="W181" s="134">
        <f t="shared" si="4"/>
        <v>4811.1590884387997</v>
      </c>
      <c r="X181" s="134">
        <f t="shared" si="4"/>
        <v>4929.0390314410315</v>
      </c>
      <c r="Y181" s="134">
        <f t="shared" si="4"/>
        <v>4324.0261945045495</v>
      </c>
      <c r="Z181" s="134">
        <f t="shared" si="4"/>
        <v>4033.5476070111081</v>
      </c>
      <c r="AA181" s="134">
        <f t="shared" si="4"/>
        <v>3468.7369926718247</v>
      </c>
      <c r="AB181" s="134">
        <f t="shared" si="4"/>
        <v>3808.1852600494844</v>
      </c>
      <c r="AC181" s="134">
        <f t="shared" si="4"/>
        <v>3147.6064626398211</v>
      </c>
      <c r="AD181" s="134">
        <f t="shared" si="4"/>
        <v>2981.7115628177503</v>
      </c>
      <c r="AE181" s="134">
        <f t="shared" si="4"/>
        <v>3516.3404291947313</v>
      </c>
      <c r="AF181" s="134">
        <f t="shared" si="4"/>
        <v>3878.5769664773475</v>
      </c>
      <c r="AG181" s="134">
        <f t="shared" si="4"/>
        <v>3720.9007069171435</v>
      </c>
      <c r="AH181" s="134">
        <f t="shared" si="4"/>
        <v>3651.6640535691304</v>
      </c>
      <c r="AI181" s="134">
        <f t="shared" si="4"/>
        <v>4240.0661492390773</v>
      </c>
      <c r="AJ181" s="134">
        <f t="shared" si="4"/>
        <v>4082.9209426557136</v>
      </c>
      <c r="AK181" s="134">
        <f t="shared" si="4"/>
        <v>5111.075424360155</v>
      </c>
      <c r="AL181" s="134">
        <f t="shared" si="4"/>
        <v>4571.5800055494128</v>
      </c>
      <c r="AM181" s="134">
        <f t="shared" si="4"/>
        <v>4785.5545585728496</v>
      </c>
      <c r="AN181" s="134">
        <f t="shared" si="4"/>
        <v>4902.1545297870161</v>
      </c>
      <c r="AO181" s="134">
        <f t="shared" si="4"/>
        <v>4866.3609648291176</v>
      </c>
      <c r="AP181" s="134">
        <f t="shared" si="4"/>
        <v>4869.6324557279695</v>
      </c>
      <c r="AQ181" s="134">
        <f t="shared" si="4"/>
        <v>4080.5993842287403</v>
      </c>
      <c r="AR181" s="134">
        <f t="shared" si="4"/>
        <v>3921.890925646348</v>
      </c>
      <c r="AS181" s="134">
        <f t="shared" si="4"/>
        <v>3484.9177315109969</v>
      </c>
      <c r="AT181" s="134">
        <f t="shared" si="4"/>
        <v>5045.268324565538</v>
      </c>
      <c r="AU181" s="134">
        <f t="shared" si="4"/>
        <v>5261.2451635315065</v>
      </c>
      <c r="AV181" s="134">
        <f t="shared" si="4"/>
        <v>5526.1690248274581</v>
      </c>
      <c r="AW181" s="134">
        <f t="shared" si="4"/>
        <v>5484.511612440403</v>
      </c>
      <c r="AX181" s="134">
        <f t="shared" si="4"/>
        <v>4582.1276376408487</v>
      </c>
      <c r="AY181" s="134">
        <f t="shared" si="4"/>
        <v>4595.3050771021499</v>
      </c>
    </row>
    <row r="182" spans="1:51" x14ac:dyDescent="0.2">
      <c r="A182" s="135"/>
      <c r="B182" s="146" t="s">
        <v>301</v>
      </c>
      <c r="C182" s="135" t="s">
        <v>295</v>
      </c>
      <c r="D182" s="135">
        <v>213.84921464285298</v>
      </c>
      <c r="E182" s="135">
        <v>267.85536320442912</v>
      </c>
      <c r="F182" s="135">
        <v>304.30083351523052</v>
      </c>
      <c r="G182" s="135">
        <v>360.2155789212901</v>
      </c>
      <c r="H182" s="135">
        <v>281</v>
      </c>
      <c r="I182" s="135">
        <v>252.87288051467675</v>
      </c>
      <c r="J182" s="135">
        <v>258.22248277503883</v>
      </c>
      <c r="K182" s="135">
        <v>326.57613758136858</v>
      </c>
      <c r="L182" s="135">
        <v>638.48838183572661</v>
      </c>
      <c r="M182" s="135">
        <v>538.27786735286895</v>
      </c>
      <c r="N182" s="135">
        <v>436.49896013711134</v>
      </c>
      <c r="O182" s="135">
        <v>478.59192145520944</v>
      </c>
      <c r="P182" s="135">
        <v>410.56586479365717</v>
      </c>
      <c r="Q182" s="135">
        <v>451.57753586549819</v>
      </c>
      <c r="R182" s="135">
        <v>411.78833350261647</v>
      </c>
      <c r="S182" s="135">
        <v>428.93792842991002</v>
      </c>
      <c r="T182" s="135">
        <v>375.76116183060452</v>
      </c>
      <c r="U182" s="135">
        <v>472.28081386445342</v>
      </c>
      <c r="V182" s="135">
        <v>416.90691537863808</v>
      </c>
      <c r="W182" s="135">
        <v>395.26469460659865</v>
      </c>
      <c r="X182" s="135">
        <v>363.84767736874232</v>
      </c>
      <c r="Y182" s="135">
        <v>457</v>
      </c>
      <c r="Z182" s="135">
        <v>395.56056396204724</v>
      </c>
      <c r="AA182" s="135">
        <v>343</v>
      </c>
      <c r="AB182" s="135">
        <v>584.13935828832257</v>
      </c>
      <c r="AC182" s="135">
        <v>523</v>
      </c>
      <c r="AD182" s="135">
        <v>551.53416255949924</v>
      </c>
      <c r="AE182" s="135">
        <v>593.34270207891336</v>
      </c>
      <c r="AF182" s="135">
        <v>286.38244495289115</v>
      </c>
      <c r="AG182" s="135">
        <v>244.04827727155546</v>
      </c>
      <c r="AH182" s="135">
        <v>289.62852136022389</v>
      </c>
      <c r="AI182" s="135">
        <v>311.80037669805944</v>
      </c>
      <c r="AJ182" s="135">
        <v>209.67082909646601</v>
      </c>
      <c r="AK182" s="135">
        <v>222.1979425088355</v>
      </c>
      <c r="AL182" s="135">
        <v>252</v>
      </c>
      <c r="AM182" s="135">
        <v>234.66327569274728</v>
      </c>
      <c r="AN182" s="135">
        <v>391.58410316041738</v>
      </c>
      <c r="AO182" s="135">
        <v>352.10525805726252</v>
      </c>
      <c r="AP182" s="135">
        <v>439.02842573150355</v>
      </c>
      <c r="AQ182" s="135">
        <v>466</v>
      </c>
      <c r="AR182" s="135">
        <v>382.76952443460215</v>
      </c>
      <c r="AS182" s="135">
        <v>340</v>
      </c>
      <c r="AT182" s="135">
        <v>446.5156003365833</v>
      </c>
      <c r="AU182" s="135">
        <v>322.664809483689</v>
      </c>
      <c r="AV182" s="135">
        <v>631.68900391169723</v>
      </c>
      <c r="AW182" s="135">
        <v>740.15321112677839</v>
      </c>
      <c r="AX182" s="135">
        <v>629</v>
      </c>
      <c r="AY182" s="135">
        <v>471.67194463569609</v>
      </c>
    </row>
    <row r="184" spans="1:51" x14ac:dyDescent="0.2">
      <c r="A184" s="112" t="s">
        <v>302</v>
      </c>
    </row>
    <row r="185" spans="1:51" x14ac:dyDescent="0.2">
      <c r="A185" s="136" t="s">
        <v>125</v>
      </c>
      <c r="B185" s="133">
        <v>1</v>
      </c>
      <c r="C185" s="134"/>
      <c r="D185" s="134">
        <v>774</v>
      </c>
      <c r="E185" s="134">
        <v>0</v>
      </c>
      <c r="F185" s="134">
        <v>0</v>
      </c>
      <c r="G185" s="134">
        <v>0</v>
      </c>
      <c r="H185" s="134">
        <v>0</v>
      </c>
      <c r="I185" s="134">
        <v>0</v>
      </c>
      <c r="J185" s="134">
        <v>0</v>
      </c>
      <c r="K185" s="134">
        <v>0</v>
      </c>
      <c r="L185" s="134">
        <v>0</v>
      </c>
      <c r="M185" s="134">
        <v>0</v>
      </c>
      <c r="N185" s="134">
        <v>0</v>
      </c>
      <c r="O185" s="134">
        <v>0</v>
      </c>
      <c r="P185" s="134">
        <v>0</v>
      </c>
      <c r="Q185" s="134">
        <v>0</v>
      </c>
      <c r="R185" s="134">
        <v>0</v>
      </c>
      <c r="S185" s="134">
        <v>0</v>
      </c>
      <c r="T185" s="134">
        <v>0</v>
      </c>
      <c r="U185" s="134">
        <v>0</v>
      </c>
      <c r="V185" s="134">
        <v>0</v>
      </c>
      <c r="W185" s="134">
        <v>0</v>
      </c>
      <c r="X185" s="134">
        <v>0</v>
      </c>
      <c r="Y185" s="134">
        <v>0</v>
      </c>
      <c r="Z185" s="134">
        <v>0</v>
      </c>
      <c r="AA185" s="134">
        <v>0</v>
      </c>
      <c r="AB185" s="134">
        <v>0</v>
      </c>
      <c r="AC185" s="134">
        <v>0</v>
      </c>
      <c r="AD185" s="134">
        <v>0</v>
      </c>
      <c r="AE185" s="134">
        <v>0</v>
      </c>
      <c r="AF185" s="134">
        <v>0</v>
      </c>
      <c r="AG185" s="134">
        <v>0</v>
      </c>
      <c r="AH185" s="134">
        <v>0</v>
      </c>
      <c r="AI185" s="134">
        <v>0</v>
      </c>
      <c r="AJ185" s="134">
        <v>0</v>
      </c>
      <c r="AK185" s="134">
        <v>0</v>
      </c>
      <c r="AL185" s="134">
        <v>0</v>
      </c>
      <c r="AM185" s="134">
        <v>0</v>
      </c>
      <c r="AN185" s="134">
        <v>0</v>
      </c>
      <c r="AO185" s="134">
        <v>0</v>
      </c>
      <c r="AP185" s="134">
        <v>0</v>
      </c>
      <c r="AQ185" s="134">
        <v>0</v>
      </c>
      <c r="AR185" s="134">
        <v>0</v>
      </c>
      <c r="AS185" s="134">
        <v>0</v>
      </c>
      <c r="AT185" s="134">
        <v>0</v>
      </c>
      <c r="AU185" s="134">
        <v>0</v>
      </c>
      <c r="AV185" s="134">
        <v>0</v>
      </c>
      <c r="AW185" s="134">
        <v>0</v>
      </c>
      <c r="AX185" s="134">
        <v>0</v>
      </c>
      <c r="AY185" s="134">
        <v>0</v>
      </c>
    </row>
    <row r="186" spans="1:51" x14ac:dyDescent="0.2">
      <c r="A186" s="119"/>
      <c r="B186" s="130">
        <v>2</v>
      </c>
      <c r="C186" s="116"/>
      <c r="D186" s="116">
        <v>0</v>
      </c>
      <c r="E186" s="116">
        <v>749</v>
      </c>
      <c r="F186" s="116">
        <v>667.20178593633227</v>
      </c>
      <c r="G186" s="116">
        <v>0</v>
      </c>
      <c r="H186" s="116">
        <v>0</v>
      </c>
      <c r="I186" s="116">
        <v>0</v>
      </c>
      <c r="J186" s="116">
        <v>0</v>
      </c>
      <c r="K186" s="116">
        <v>0</v>
      </c>
      <c r="L186" s="116">
        <v>0</v>
      </c>
      <c r="M186" s="116">
        <v>0</v>
      </c>
      <c r="N186" s="116">
        <v>0</v>
      </c>
      <c r="O186" s="116">
        <v>0</v>
      </c>
      <c r="P186" s="116">
        <v>505.94021747752549</v>
      </c>
      <c r="Q186" s="116">
        <v>1136</v>
      </c>
      <c r="R186" s="116">
        <v>1048</v>
      </c>
      <c r="S186" s="116">
        <v>1013</v>
      </c>
      <c r="T186" s="116">
        <v>126.98837305246889</v>
      </c>
      <c r="U186" s="116">
        <v>0</v>
      </c>
      <c r="V186" s="116">
        <v>0</v>
      </c>
      <c r="W186" s="116">
        <v>0</v>
      </c>
      <c r="X186" s="116">
        <v>0</v>
      </c>
      <c r="Y186" s="116">
        <v>0</v>
      </c>
      <c r="Z186" s="116">
        <v>0</v>
      </c>
      <c r="AA186" s="116">
        <v>0</v>
      </c>
      <c r="AB186" s="116">
        <v>0</v>
      </c>
      <c r="AC186" s="116">
        <v>0</v>
      </c>
      <c r="AD186" s="116">
        <v>0</v>
      </c>
      <c r="AE186" s="116">
        <v>627.46735240720227</v>
      </c>
      <c r="AF186" s="116">
        <v>1180.6426937343158</v>
      </c>
      <c r="AG186" s="116">
        <v>1127.8826927238661</v>
      </c>
      <c r="AH186" s="116">
        <v>931.9380951185035</v>
      </c>
      <c r="AI186" s="116">
        <v>1348</v>
      </c>
      <c r="AJ186" s="116">
        <v>0</v>
      </c>
      <c r="AK186" s="116">
        <v>0</v>
      </c>
      <c r="AL186" s="116">
        <v>0</v>
      </c>
      <c r="AM186" s="116">
        <v>0</v>
      </c>
      <c r="AN186" s="116">
        <v>0</v>
      </c>
      <c r="AO186" s="116">
        <v>480</v>
      </c>
      <c r="AP186" s="116">
        <v>607</v>
      </c>
      <c r="AQ186" s="116">
        <v>274.64808104924532</v>
      </c>
      <c r="AR186" s="116">
        <v>0</v>
      </c>
      <c r="AS186" s="116">
        <v>0</v>
      </c>
      <c r="AT186" s="116">
        <v>0</v>
      </c>
      <c r="AU186" s="116">
        <v>0</v>
      </c>
      <c r="AV186" s="116">
        <v>0</v>
      </c>
      <c r="AW186" s="116">
        <v>799</v>
      </c>
      <c r="AX186" s="116">
        <v>76.718494064327842</v>
      </c>
      <c r="AY186" s="116">
        <v>184.93085586990719</v>
      </c>
    </row>
    <row r="187" spans="1:51" x14ac:dyDescent="0.2">
      <c r="A187" s="119"/>
      <c r="B187" s="137">
        <v>3</v>
      </c>
      <c r="C187" s="116"/>
      <c r="D187" s="116">
        <v>0</v>
      </c>
      <c r="E187" s="116">
        <v>0</v>
      </c>
      <c r="F187" s="116">
        <v>82.798214063667729</v>
      </c>
      <c r="G187" s="116">
        <v>839</v>
      </c>
      <c r="H187" s="116">
        <v>712.40357187266454</v>
      </c>
      <c r="I187" s="116">
        <v>0</v>
      </c>
      <c r="J187" s="116">
        <v>0</v>
      </c>
      <c r="K187" s="116">
        <v>0</v>
      </c>
      <c r="L187" s="116">
        <v>0</v>
      </c>
      <c r="M187" s="116">
        <v>476.98051043246164</v>
      </c>
      <c r="N187" s="116">
        <v>619</v>
      </c>
      <c r="O187" s="116">
        <v>640</v>
      </c>
      <c r="P187" s="116">
        <v>457.05978252247451</v>
      </c>
      <c r="Q187" s="116">
        <v>0</v>
      </c>
      <c r="R187" s="116">
        <v>0</v>
      </c>
      <c r="S187" s="116">
        <v>0</v>
      </c>
      <c r="T187" s="116">
        <v>1335.0116269475311</v>
      </c>
      <c r="U187" s="116">
        <v>1480</v>
      </c>
      <c r="V187" s="116">
        <v>1360</v>
      </c>
      <c r="W187" s="116">
        <v>1270</v>
      </c>
      <c r="X187" s="116">
        <v>1666</v>
      </c>
      <c r="Y187" s="116">
        <v>468.35906041068392</v>
      </c>
      <c r="Z187" s="116">
        <v>0</v>
      </c>
      <c r="AA187" s="116">
        <v>0</v>
      </c>
      <c r="AB187" s="116">
        <v>0</v>
      </c>
      <c r="AC187" s="116">
        <v>0</v>
      </c>
      <c r="AD187" s="116">
        <v>873</v>
      </c>
      <c r="AE187" s="116">
        <v>373.53264759279773</v>
      </c>
      <c r="AF187" s="116">
        <v>90.357306265684201</v>
      </c>
      <c r="AG187" s="116">
        <v>466.11730727613394</v>
      </c>
      <c r="AH187" s="116">
        <v>556.0619048814965</v>
      </c>
      <c r="AI187" s="116">
        <v>0</v>
      </c>
      <c r="AJ187" s="116">
        <v>1788</v>
      </c>
      <c r="AK187" s="116">
        <v>1421.406831888045</v>
      </c>
      <c r="AL187" s="116">
        <v>0</v>
      </c>
      <c r="AM187" s="116">
        <v>0</v>
      </c>
      <c r="AN187" s="116">
        <v>0</v>
      </c>
      <c r="AO187" s="116">
        <v>0</v>
      </c>
      <c r="AP187" s="116">
        <v>0</v>
      </c>
      <c r="AQ187" s="116">
        <v>473.35191895075468</v>
      </c>
      <c r="AR187" s="116">
        <v>284</v>
      </c>
      <c r="AS187" s="116">
        <v>0</v>
      </c>
      <c r="AT187" s="116">
        <v>166.5047392545298</v>
      </c>
      <c r="AU187" s="116">
        <v>206</v>
      </c>
      <c r="AV187" s="116">
        <v>833</v>
      </c>
      <c r="AW187" s="116">
        <v>0</v>
      </c>
      <c r="AX187" s="116">
        <v>851.28150593567216</v>
      </c>
      <c r="AY187" s="116">
        <v>813.06914413009281</v>
      </c>
    </row>
    <row r="188" spans="1:51" x14ac:dyDescent="0.2">
      <c r="A188" s="138"/>
      <c r="B188" s="139">
        <v>4</v>
      </c>
      <c r="C188" s="116"/>
      <c r="D188" s="116">
        <v>0</v>
      </c>
      <c r="E188" s="116">
        <v>0</v>
      </c>
      <c r="F188" s="116">
        <v>0</v>
      </c>
      <c r="G188" s="116">
        <v>0</v>
      </c>
      <c r="H188" s="116">
        <v>99.596428127335457</v>
      </c>
      <c r="I188" s="116">
        <v>787</v>
      </c>
      <c r="J188" s="116">
        <v>815</v>
      </c>
      <c r="K188" s="116">
        <v>1002</v>
      </c>
      <c r="L188" s="116">
        <v>610</v>
      </c>
      <c r="M188" s="116">
        <v>232.01948956753836</v>
      </c>
      <c r="N188" s="116">
        <v>0</v>
      </c>
      <c r="O188" s="116">
        <v>0</v>
      </c>
      <c r="P188" s="116">
        <v>0</v>
      </c>
      <c r="Q188" s="116">
        <v>0</v>
      </c>
      <c r="R188" s="116">
        <v>0</v>
      </c>
      <c r="S188" s="116">
        <v>0</v>
      </c>
      <c r="T188" s="116">
        <v>0</v>
      </c>
      <c r="U188" s="116">
        <v>0</v>
      </c>
      <c r="V188" s="116">
        <v>0</v>
      </c>
      <c r="W188" s="116">
        <v>0</v>
      </c>
      <c r="X188" s="116">
        <v>0</v>
      </c>
      <c r="Y188" s="116">
        <v>1127.6409395893161</v>
      </c>
      <c r="Z188" s="116">
        <v>1825</v>
      </c>
      <c r="AA188" s="116">
        <v>1427</v>
      </c>
      <c r="AB188" s="116">
        <v>910</v>
      </c>
      <c r="AC188" s="116">
        <v>953</v>
      </c>
      <c r="AD188" s="116">
        <v>0</v>
      </c>
      <c r="AE188" s="116">
        <v>0</v>
      </c>
      <c r="AF188" s="116">
        <v>0</v>
      </c>
      <c r="AG188" s="116">
        <v>0</v>
      </c>
      <c r="AH188" s="116">
        <v>0</v>
      </c>
      <c r="AI188" s="116">
        <v>0</v>
      </c>
      <c r="AJ188" s="116">
        <v>0</v>
      </c>
      <c r="AK188" s="116">
        <v>166.59316811195504</v>
      </c>
      <c r="AL188" s="116">
        <v>1716</v>
      </c>
      <c r="AM188" s="116">
        <v>1219</v>
      </c>
      <c r="AN188" s="116">
        <v>499</v>
      </c>
      <c r="AO188" s="116">
        <v>0</v>
      </c>
      <c r="AP188" s="116">
        <v>0</v>
      </c>
      <c r="AQ188" s="116">
        <v>0</v>
      </c>
      <c r="AR188" s="116">
        <v>0</v>
      </c>
      <c r="AS188" s="116">
        <v>248</v>
      </c>
      <c r="AT188" s="116">
        <v>56.495260745470205</v>
      </c>
      <c r="AU188" s="116">
        <v>0</v>
      </c>
      <c r="AV188" s="116">
        <v>0</v>
      </c>
      <c r="AW188" s="116">
        <v>0</v>
      </c>
      <c r="AX188" s="116">
        <v>0</v>
      </c>
      <c r="AY188" s="116">
        <v>0</v>
      </c>
    </row>
    <row r="189" spans="1:51" x14ac:dyDescent="0.2">
      <c r="A189" s="136" t="s">
        <v>133</v>
      </c>
      <c r="B189" s="133">
        <v>1</v>
      </c>
      <c r="C189" s="134"/>
      <c r="D189" s="134">
        <v>0</v>
      </c>
      <c r="E189" s="134">
        <v>28.24939154122978</v>
      </c>
      <c r="F189" s="134">
        <v>77.180770280936798</v>
      </c>
      <c r="G189" s="134">
        <v>77.180770280936798</v>
      </c>
      <c r="H189" s="134">
        <v>0</v>
      </c>
      <c r="I189" s="134">
        <v>36.73768032165313</v>
      </c>
      <c r="J189" s="134">
        <v>77.180770280936798</v>
      </c>
      <c r="K189" s="134">
        <v>36.737680321653137</v>
      </c>
      <c r="L189" s="134">
        <v>0</v>
      </c>
      <c r="M189" s="134">
        <v>77.180770280936798</v>
      </c>
      <c r="N189" s="134">
        <v>77.180770280936798</v>
      </c>
      <c r="O189" s="134">
        <v>77.180770280936798</v>
      </c>
      <c r="P189" s="134">
        <v>77.180770280936798</v>
      </c>
      <c r="Q189" s="134">
        <v>77.180770280936798</v>
      </c>
      <c r="R189" s="134">
        <v>77.180770280936798</v>
      </c>
      <c r="S189" s="134">
        <v>36.737680321653137</v>
      </c>
      <c r="T189" s="134">
        <v>0</v>
      </c>
      <c r="U189" s="134">
        <v>36.73768032165313</v>
      </c>
      <c r="V189" s="134">
        <v>77.180770280936798</v>
      </c>
      <c r="W189" s="134">
        <v>77.180770280936798</v>
      </c>
      <c r="X189" s="134">
        <v>77.180770280936798</v>
      </c>
      <c r="Y189" s="134">
        <v>0</v>
      </c>
      <c r="Z189" s="134">
        <v>36.737680321653137</v>
      </c>
      <c r="AA189" s="134">
        <v>0</v>
      </c>
      <c r="AB189" s="134">
        <v>36.737680321653137</v>
      </c>
      <c r="AC189" s="134">
        <v>0</v>
      </c>
      <c r="AD189" s="134">
        <v>0</v>
      </c>
      <c r="AE189" s="134">
        <v>36.73768032165313</v>
      </c>
      <c r="AF189" s="134">
        <v>77.180770280936798</v>
      </c>
      <c r="AG189" s="134">
        <v>36.737680321653137</v>
      </c>
      <c r="AH189" s="134">
        <v>0</v>
      </c>
      <c r="AI189" s="134">
        <v>36.73768032165313</v>
      </c>
      <c r="AJ189" s="134">
        <v>0</v>
      </c>
      <c r="AK189" s="134">
        <v>77.180770280936798</v>
      </c>
      <c r="AL189" s="134">
        <v>0</v>
      </c>
      <c r="AM189" s="134">
        <v>0</v>
      </c>
      <c r="AN189" s="134">
        <v>77.180770280936798</v>
      </c>
      <c r="AO189" s="134">
        <v>77.180770280936798</v>
      </c>
      <c r="AP189" s="134">
        <v>77.180770280936798</v>
      </c>
      <c r="AQ189" s="134">
        <v>0</v>
      </c>
      <c r="AR189" s="134">
        <v>36.737680321653137</v>
      </c>
      <c r="AS189" s="134">
        <v>0</v>
      </c>
      <c r="AT189" s="134">
        <v>77.180770280936798</v>
      </c>
      <c r="AU189" s="134">
        <v>77.180770280936798</v>
      </c>
      <c r="AV189" s="134">
        <v>77.180770280936798</v>
      </c>
      <c r="AW189" s="134">
        <v>77.180770280936798</v>
      </c>
      <c r="AX189" s="134">
        <v>0</v>
      </c>
      <c r="AY189" s="134">
        <v>77.180770280936798</v>
      </c>
    </row>
    <row r="190" spans="1:51" x14ac:dyDescent="0.2">
      <c r="A190" s="119"/>
      <c r="B190" s="129">
        <v>2</v>
      </c>
      <c r="C190" s="116"/>
      <c r="D190" s="116">
        <v>0</v>
      </c>
      <c r="E190" s="116">
        <v>0</v>
      </c>
      <c r="F190" s="116">
        <v>0</v>
      </c>
      <c r="G190" s="116">
        <v>0</v>
      </c>
      <c r="H190" s="116">
        <v>0</v>
      </c>
      <c r="I190" s="116">
        <v>77.180770280936798</v>
      </c>
      <c r="J190" s="116">
        <v>7.1054273576010019E-15</v>
      </c>
      <c r="K190" s="116">
        <v>0</v>
      </c>
      <c r="L190" s="116">
        <v>40.443089959283661</v>
      </c>
      <c r="M190" s="116">
        <v>0</v>
      </c>
      <c r="N190" s="116">
        <v>0</v>
      </c>
      <c r="O190" s="116">
        <v>0</v>
      </c>
      <c r="P190" s="116">
        <v>0</v>
      </c>
      <c r="Q190" s="116">
        <v>0</v>
      </c>
      <c r="R190" s="116">
        <v>0</v>
      </c>
      <c r="S190" s="116">
        <v>0</v>
      </c>
      <c r="T190" s="116">
        <v>40.443089959283661</v>
      </c>
      <c r="U190" s="116">
        <v>77.180770280936798</v>
      </c>
      <c r="V190" s="116">
        <v>40.443089959283668</v>
      </c>
      <c r="W190" s="116">
        <v>0</v>
      </c>
      <c r="X190" s="116">
        <v>0</v>
      </c>
      <c r="Y190" s="116">
        <v>0</v>
      </c>
      <c r="Z190" s="116">
        <v>0</v>
      </c>
      <c r="AA190" s="116">
        <v>0</v>
      </c>
      <c r="AB190" s="116">
        <v>0</v>
      </c>
      <c r="AC190" s="116">
        <v>0</v>
      </c>
      <c r="AD190" s="116">
        <v>0</v>
      </c>
      <c r="AE190" s="116">
        <v>0</v>
      </c>
      <c r="AF190" s="116">
        <v>40.443089959283668</v>
      </c>
      <c r="AG190" s="116">
        <v>0</v>
      </c>
      <c r="AH190" s="116">
        <v>40.443089959283661</v>
      </c>
      <c r="AI190" s="116">
        <v>77.180770280936798</v>
      </c>
      <c r="AJ190" s="116">
        <v>40.443089959283668</v>
      </c>
      <c r="AK190" s="116">
        <v>77.180770280936798</v>
      </c>
      <c r="AL190" s="116">
        <v>0</v>
      </c>
      <c r="AM190" s="116">
        <v>77.180770280936798</v>
      </c>
      <c r="AN190" s="116">
        <v>0</v>
      </c>
      <c r="AO190" s="116">
        <v>0</v>
      </c>
      <c r="AP190" s="116">
        <v>0</v>
      </c>
      <c r="AQ190" s="116">
        <v>0</v>
      </c>
      <c r="AR190" s="116">
        <v>0</v>
      </c>
      <c r="AS190" s="116">
        <v>0</v>
      </c>
      <c r="AT190" s="116">
        <v>77.180770280936798</v>
      </c>
      <c r="AU190" s="116">
        <v>0</v>
      </c>
      <c r="AV190" s="116">
        <v>0</v>
      </c>
      <c r="AW190" s="116">
        <v>0</v>
      </c>
      <c r="AX190" s="116">
        <v>0</v>
      </c>
      <c r="AY190" s="116">
        <v>0</v>
      </c>
    </row>
    <row r="191" spans="1:51" x14ac:dyDescent="0.2">
      <c r="A191" s="119"/>
      <c r="B191" s="130">
        <v>3</v>
      </c>
      <c r="C191" s="116"/>
      <c r="D191" s="116">
        <v>0</v>
      </c>
      <c r="E191" s="116">
        <v>0</v>
      </c>
      <c r="F191" s="116">
        <v>0</v>
      </c>
      <c r="G191" s="116">
        <v>0</v>
      </c>
      <c r="H191" s="116">
        <v>0</v>
      </c>
      <c r="I191" s="116">
        <v>0</v>
      </c>
      <c r="J191" s="116">
        <v>0</v>
      </c>
      <c r="K191" s="116">
        <v>40.443089959283661</v>
      </c>
      <c r="L191" s="116">
        <v>0</v>
      </c>
      <c r="M191" s="116">
        <v>0</v>
      </c>
      <c r="N191" s="116">
        <v>0</v>
      </c>
      <c r="O191" s="116">
        <v>0</v>
      </c>
      <c r="P191" s="116">
        <v>0</v>
      </c>
      <c r="Q191" s="116">
        <v>0</v>
      </c>
      <c r="R191" s="116">
        <v>0</v>
      </c>
      <c r="S191" s="116">
        <v>0</v>
      </c>
      <c r="T191" s="116">
        <v>0</v>
      </c>
      <c r="U191" s="116">
        <v>0</v>
      </c>
      <c r="V191" s="116">
        <v>0</v>
      </c>
      <c r="W191" s="116">
        <v>0</v>
      </c>
      <c r="X191" s="116">
        <v>0</v>
      </c>
      <c r="Y191" s="116">
        <v>0</v>
      </c>
      <c r="Z191" s="116">
        <v>0</v>
      </c>
      <c r="AA191" s="116">
        <v>0</v>
      </c>
      <c r="AB191" s="116">
        <v>40.443089959283661</v>
      </c>
      <c r="AC191" s="116">
        <v>0</v>
      </c>
      <c r="AD191" s="116">
        <v>40.443089959283661</v>
      </c>
      <c r="AE191" s="116">
        <v>77.180770280936798</v>
      </c>
      <c r="AF191" s="116">
        <v>0</v>
      </c>
      <c r="AG191" s="116">
        <v>0</v>
      </c>
      <c r="AH191" s="116">
        <v>0</v>
      </c>
      <c r="AI191" s="116">
        <v>0</v>
      </c>
      <c r="AJ191" s="116">
        <v>0</v>
      </c>
      <c r="AK191" s="116">
        <v>0</v>
      </c>
      <c r="AL191" s="116">
        <v>0</v>
      </c>
      <c r="AM191" s="116">
        <v>0</v>
      </c>
      <c r="AN191" s="116">
        <v>0</v>
      </c>
      <c r="AO191" s="116">
        <v>0</v>
      </c>
      <c r="AP191" s="116">
        <v>0</v>
      </c>
      <c r="AQ191" s="116">
        <v>0</v>
      </c>
      <c r="AR191" s="116">
        <v>0</v>
      </c>
      <c r="AS191" s="116">
        <v>0</v>
      </c>
      <c r="AT191" s="116">
        <v>40.443089959283661</v>
      </c>
      <c r="AU191" s="116">
        <v>0</v>
      </c>
      <c r="AV191" s="116">
        <v>0</v>
      </c>
      <c r="AW191" s="116">
        <v>0</v>
      </c>
      <c r="AX191" s="116">
        <v>0</v>
      </c>
      <c r="AY191" s="116">
        <v>0</v>
      </c>
    </row>
    <row r="192" spans="1:51" x14ac:dyDescent="0.2">
      <c r="A192" s="119"/>
      <c r="B192" s="130">
        <v>4</v>
      </c>
      <c r="C192" s="116"/>
      <c r="D192" s="116">
        <v>0</v>
      </c>
      <c r="E192" s="116">
        <v>0</v>
      </c>
      <c r="F192" s="116">
        <v>0</v>
      </c>
      <c r="G192" s="116">
        <v>0</v>
      </c>
      <c r="H192" s="116">
        <v>0</v>
      </c>
      <c r="I192" s="116">
        <v>0</v>
      </c>
      <c r="J192" s="116">
        <v>0</v>
      </c>
      <c r="K192" s="116">
        <v>0</v>
      </c>
      <c r="L192" s="116">
        <v>0</v>
      </c>
      <c r="M192" s="116">
        <v>0</v>
      </c>
      <c r="N192" s="116">
        <v>0</v>
      </c>
      <c r="O192" s="116">
        <v>0</v>
      </c>
      <c r="P192" s="116">
        <v>0</v>
      </c>
      <c r="Q192" s="116">
        <v>0</v>
      </c>
      <c r="R192" s="116">
        <v>0</v>
      </c>
      <c r="S192" s="116">
        <v>0</v>
      </c>
      <c r="T192" s="116">
        <v>0</v>
      </c>
      <c r="U192" s="116">
        <v>0</v>
      </c>
      <c r="V192" s="116">
        <v>0</v>
      </c>
      <c r="W192" s="116">
        <v>0</v>
      </c>
      <c r="X192" s="116">
        <v>0</v>
      </c>
      <c r="Y192" s="116">
        <v>0</v>
      </c>
      <c r="Z192" s="116">
        <v>0</v>
      </c>
      <c r="AA192" s="116">
        <v>0</v>
      </c>
      <c r="AB192" s="116">
        <v>0</v>
      </c>
      <c r="AC192" s="116">
        <v>0</v>
      </c>
      <c r="AD192" s="116">
        <v>0</v>
      </c>
      <c r="AE192" s="116">
        <v>0</v>
      </c>
      <c r="AF192" s="116">
        <v>0</v>
      </c>
      <c r="AG192" s="116">
        <v>0</v>
      </c>
      <c r="AH192" s="116">
        <v>0</v>
      </c>
      <c r="AI192" s="116">
        <v>0</v>
      </c>
      <c r="AJ192" s="116">
        <v>0</v>
      </c>
      <c r="AK192" s="116">
        <v>0</v>
      </c>
      <c r="AL192" s="116">
        <v>0</v>
      </c>
      <c r="AM192" s="116">
        <v>0</v>
      </c>
      <c r="AN192" s="116">
        <v>0</v>
      </c>
      <c r="AO192" s="116">
        <v>0</v>
      </c>
      <c r="AP192" s="116">
        <v>0</v>
      </c>
      <c r="AQ192" s="116">
        <v>0</v>
      </c>
      <c r="AR192" s="116">
        <v>0</v>
      </c>
      <c r="AS192" s="116">
        <v>0</v>
      </c>
      <c r="AT192" s="116">
        <v>0</v>
      </c>
      <c r="AU192" s="116">
        <v>0</v>
      </c>
      <c r="AV192" s="116">
        <v>0</v>
      </c>
      <c r="AW192" s="116">
        <v>0</v>
      </c>
      <c r="AX192" s="116">
        <v>0</v>
      </c>
      <c r="AY192" s="116">
        <v>0</v>
      </c>
    </row>
    <row r="193" spans="1:51" x14ac:dyDescent="0.2">
      <c r="A193" s="119"/>
      <c r="B193" s="137">
        <v>5</v>
      </c>
      <c r="C193" s="116"/>
      <c r="D193" s="116">
        <v>0</v>
      </c>
      <c r="E193" s="116">
        <v>0</v>
      </c>
      <c r="F193" s="116">
        <v>0</v>
      </c>
      <c r="G193" s="116">
        <v>0</v>
      </c>
      <c r="H193" s="116">
        <v>0</v>
      </c>
      <c r="I193" s="116">
        <v>0</v>
      </c>
      <c r="J193" s="116">
        <v>0</v>
      </c>
      <c r="K193" s="116">
        <v>0</v>
      </c>
      <c r="L193" s="116">
        <v>0</v>
      </c>
      <c r="M193" s="116">
        <v>0</v>
      </c>
      <c r="N193" s="116">
        <v>0</v>
      </c>
      <c r="O193" s="116">
        <v>0</v>
      </c>
      <c r="P193" s="116">
        <v>0</v>
      </c>
      <c r="Q193" s="116">
        <v>0</v>
      </c>
      <c r="R193" s="116">
        <v>0</v>
      </c>
      <c r="S193" s="116">
        <v>0</v>
      </c>
      <c r="T193" s="116">
        <v>0</v>
      </c>
      <c r="U193" s="116">
        <v>0</v>
      </c>
      <c r="V193" s="116">
        <v>0</v>
      </c>
      <c r="W193" s="116">
        <v>0</v>
      </c>
      <c r="X193" s="116">
        <v>0</v>
      </c>
      <c r="Y193" s="116">
        <v>0</v>
      </c>
      <c r="Z193" s="116">
        <v>0</v>
      </c>
      <c r="AA193" s="116">
        <v>0</v>
      </c>
      <c r="AB193" s="116">
        <v>0</v>
      </c>
      <c r="AC193" s="116">
        <v>0</v>
      </c>
      <c r="AD193" s="116">
        <v>0</v>
      </c>
      <c r="AE193" s="116">
        <v>0</v>
      </c>
      <c r="AF193" s="116">
        <v>0</v>
      </c>
      <c r="AG193" s="116">
        <v>0</v>
      </c>
      <c r="AH193" s="116">
        <v>0</v>
      </c>
      <c r="AI193" s="116">
        <v>0</v>
      </c>
      <c r="AJ193" s="116">
        <v>0</v>
      </c>
      <c r="AK193" s="116">
        <v>0</v>
      </c>
      <c r="AL193" s="116">
        <v>0</v>
      </c>
      <c r="AM193" s="116">
        <v>0</v>
      </c>
      <c r="AN193" s="116">
        <v>0</v>
      </c>
      <c r="AO193" s="116">
        <v>0</v>
      </c>
      <c r="AP193" s="116">
        <v>0</v>
      </c>
      <c r="AQ193" s="116">
        <v>0</v>
      </c>
      <c r="AR193" s="116">
        <v>0</v>
      </c>
      <c r="AS193" s="116">
        <v>0</v>
      </c>
      <c r="AT193" s="116">
        <v>0</v>
      </c>
      <c r="AU193" s="116">
        <v>0</v>
      </c>
      <c r="AV193" s="116">
        <v>0</v>
      </c>
      <c r="AW193" s="116">
        <v>0</v>
      </c>
      <c r="AX193" s="116">
        <v>0</v>
      </c>
      <c r="AY193" s="116">
        <v>0</v>
      </c>
    </row>
    <row r="194" spans="1:51" x14ac:dyDescent="0.2">
      <c r="A194" s="119"/>
      <c r="B194" s="137">
        <v>6</v>
      </c>
      <c r="C194" s="116"/>
      <c r="D194" s="116">
        <v>0</v>
      </c>
      <c r="E194" s="116">
        <v>0</v>
      </c>
      <c r="F194" s="116">
        <v>0</v>
      </c>
      <c r="G194" s="116">
        <v>0</v>
      </c>
      <c r="H194" s="116">
        <v>0</v>
      </c>
      <c r="I194" s="116">
        <v>0</v>
      </c>
      <c r="J194" s="116">
        <v>0</v>
      </c>
      <c r="K194" s="116">
        <v>0</v>
      </c>
      <c r="L194" s="116">
        <v>0</v>
      </c>
      <c r="M194" s="116">
        <v>0</v>
      </c>
      <c r="N194" s="116">
        <v>0</v>
      </c>
      <c r="O194" s="116">
        <v>0</v>
      </c>
      <c r="P194" s="116">
        <v>0</v>
      </c>
      <c r="Q194" s="116">
        <v>0</v>
      </c>
      <c r="R194" s="116">
        <v>0</v>
      </c>
      <c r="S194" s="116">
        <v>0</v>
      </c>
      <c r="T194" s="116">
        <v>0</v>
      </c>
      <c r="U194" s="116">
        <v>0</v>
      </c>
      <c r="V194" s="116">
        <v>0</v>
      </c>
      <c r="W194" s="116">
        <v>0</v>
      </c>
      <c r="X194" s="116">
        <v>0</v>
      </c>
      <c r="Y194" s="116">
        <v>0</v>
      </c>
      <c r="Z194" s="116">
        <v>0</v>
      </c>
      <c r="AA194" s="116">
        <v>0</v>
      </c>
      <c r="AB194" s="116">
        <v>0</v>
      </c>
      <c r="AC194" s="116">
        <v>0</v>
      </c>
      <c r="AD194" s="116">
        <v>0</v>
      </c>
      <c r="AE194" s="116">
        <v>0</v>
      </c>
      <c r="AF194" s="116">
        <v>0</v>
      </c>
      <c r="AG194" s="116">
        <v>0</v>
      </c>
      <c r="AH194" s="116">
        <v>0</v>
      </c>
      <c r="AI194" s="116">
        <v>0</v>
      </c>
      <c r="AJ194" s="116">
        <v>0</v>
      </c>
      <c r="AK194" s="116">
        <v>0</v>
      </c>
      <c r="AL194" s="116">
        <v>0</v>
      </c>
      <c r="AM194" s="116">
        <v>0</v>
      </c>
      <c r="AN194" s="116">
        <v>0</v>
      </c>
      <c r="AO194" s="116">
        <v>0</v>
      </c>
      <c r="AP194" s="116">
        <v>0</v>
      </c>
      <c r="AQ194" s="116">
        <v>0</v>
      </c>
      <c r="AR194" s="116">
        <v>0</v>
      </c>
      <c r="AS194" s="116">
        <v>0</v>
      </c>
      <c r="AT194" s="116">
        <v>0</v>
      </c>
      <c r="AU194" s="116">
        <v>0</v>
      </c>
      <c r="AV194" s="116">
        <v>0</v>
      </c>
      <c r="AW194" s="116">
        <v>0</v>
      </c>
      <c r="AX194" s="116">
        <v>0</v>
      </c>
      <c r="AY194" s="116">
        <v>0</v>
      </c>
    </row>
    <row r="195" spans="1:51" x14ac:dyDescent="0.2">
      <c r="A195" s="119"/>
      <c r="B195" s="140">
        <v>7</v>
      </c>
      <c r="C195" s="116"/>
      <c r="D195" s="116">
        <v>0</v>
      </c>
      <c r="E195" s="116">
        <v>0</v>
      </c>
      <c r="F195" s="116">
        <v>0</v>
      </c>
      <c r="G195" s="116">
        <v>0</v>
      </c>
      <c r="H195" s="116">
        <v>0</v>
      </c>
      <c r="I195" s="116">
        <v>0</v>
      </c>
      <c r="J195" s="116">
        <v>0</v>
      </c>
      <c r="K195" s="116">
        <v>0</v>
      </c>
      <c r="L195" s="116">
        <v>0</v>
      </c>
      <c r="M195" s="116">
        <v>0</v>
      </c>
      <c r="N195" s="116">
        <v>0</v>
      </c>
      <c r="O195" s="116">
        <v>0</v>
      </c>
      <c r="P195" s="116">
        <v>0</v>
      </c>
      <c r="Q195" s="116">
        <v>0</v>
      </c>
      <c r="R195" s="116">
        <v>0</v>
      </c>
      <c r="S195" s="116">
        <v>0</v>
      </c>
      <c r="T195" s="116">
        <v>0</v>
      </c>
      <c r="U195" s="116">
        <v>0</v>
      </c>
      <c r="V195" s="116">
        <v>0</v>
      </c>
      <c r="W195" s="116">
        <v>0</v>
      </c>
      <c r="X195" s="116">
        <v>0</v>
      </c>
      <c r="Y195" s="116">
        <v>0</v>
      </c>
      <c r="Z195" s="116">
        <v>0</v>
      </c>
      <c r="AA195" s="116">
        <v>0</v>
      </c>
      <c r="AB195" s="116">
        <v>0</v>
      </c>
      <c r="AC195" s="116">
        <v>0</v>
      </c>
      <c r="AD195" s="116">
        <v>0</v>
      </c>
      <c r="AE195" s="116">
        <v>0</v>
      </c>
      <c r="AF195" s="116">
        <v>0</v>
      </c>
      <c r="AG195" s="116">
        <v>0</v>
      </c>
      <c r="AH195" s="116">
        <v>0</v>
      </c>
      <c r="AI195" s="116">
        <v>0</v>
      </c>
      <c r="AJ195" s="116">
        <v>0</v>
      </c>
      <c r="AK195" s="116">
        <v>0</v>
      </c>
      <c r="AL195" s="116">
        <v>0</v>
      </c>
      <c r="AM195" s="116">
        <v>0</v>
      </c>
      <c r="AN195" s="116">
        <v>0</v>
      </c>
      <c r="AO195" s="116">
        <v>0</v>
      </c>
      <c r="AP195" s="116">
        <v>0</v>
      </c>
      <c r="AQ195" s="116">
        <v>0</v>
      </c>
      <c r="AR195" s="116">
        <v>0</v>
      </c>
      <c r="AS195" s="116">
        <v>0</v>
      </c>
      <c r="AT195" s="116">
        <v>0</v>
      </c>
      <c r="AU195" s="116">
        <v>0</v>
      </c>
      <c r="AV195" s="116">
        <v>0</v>
      </c>
      <c r="AW195" s="116">
        <v>0</v>
      </c>
      <c r="AX195" s="116">
        <v>0</v>
      </c>
      <c r="AY195" s="116">
        <v>0</v>
      </c>
    </row>
    <row r="196" spans="1:51" x14ac:dyDescent="0.2">
      <c r="A196" s="138"/>
      <c r="B196" s="139">
        <v>8</v>
      </c>
      <c r="C196" s="124"/>
      <c r="D196" s="124">
        <v>0</v>
      </c>
      <c r="E196" s="124">
        <v>0</v>
      </c>
      <c r="F196" s="124">
        <v>0</v>
      </c>
      <c r="G196" s="124">
        <v>0</v>
      </c>
      <c r="H196" s="124">
        <v>0</v>
      </c>
      <c r="I196" s="124">
        <v>0</v>
      </c>
      <c r="J196" s="124">
        <v>0</v>
      </c>
      <c r="K196" s="124">
        <v>0</v>
      </c>
      <c r="L196" s="124">
        <v>0</v>
      </c>
      <c r="M196" s="124">
        <v>0</v>
      </c>
      <c r="N196" s="124">
        <v>0</v>
      </c>
      <c r="O196" s="124">
        <v>0</v>
      </c>
      <c r="P196" s="124">
        <v>0</v>
      </c>
      <c r="Q196" s="124">
        <v>0</v>
      </c>
      <c r="R196" s="124">
        <v>0</v>
      </c>
      <c r="S196" s="124">
        <v>0</v>
      </c>
      <c r="T196" s="124">
        <v>0</v>
      </c>
      <c r="U196" s="124">
        <v>0</v>
      </c>
      <c r="V196" s="124">
        <v>0</v>
      </c>
      <c r="W196" s="124">
        <v>0</v>
      </c>
      <c r="X196" s="124">
        <v>0</v>
      </c>
      <c r="Y196" s="124">
        <v>0</v>
      </c>
      <c r="Z196" s="124">
        <v>0</v>
      </c>
      <c r="AA196" s="124">
        <v>0</v>
      </c>
      <c r="AB196" s="124">
        <v>0</v>
      </c>
      <c r="AC196" s="124">
        <v>0</v>
      </c>
      <c r="AD196" s="124">
        <v>0</v>
      </c>
      <c r="AE196" s="124">
        <v>0</v>
      </c>
      <c r="AF196" s="124">
        <v>0</v>
      </c>
      <c r="AG196" s="124">
        <v>0</v>
      </c>
      <c r="AH196" s="124">
        <v>0</v>
      </c>
      <c r="AI196" s="124">
        <v>0</v>
      </c>
      <c r="AJ196" s="124">
        <v>0</v>
      </c>
      <c r="AK196" s="124">
        <v>0</v>
      </c>
      <c r="AL196" s="124">
        <v>0</v>
      </c>
      <c r="AM196" s="124">
        <v>0</v>
      </c>
      <c r="AN196" s="124">
        <v>0</v>
      </c>
      <c r="AO196" s="124">
        <v>0</v>
      </c>
      <c r="AP196" s="124">
        <v>0</v>
      </c>
      <c r="AQ196" s="124">
        <v>0</v>
      </c>
      <c r="AR196" s="124">
        <v>0</v>
      </c>
      <c r="AS196" s="124">
        <v>0</v>
      </c>
      <c r="AT196" s="124">
        <v>0</v>
      </c>
      <c r="AU196" s="124">
        <v>0</v>
      </c>
      <c r="AV196" s="124">
        <v>0</v>
      </c>
      <c r="AW196" s="124">
        <v>0</v>
      </c>
      <c r="AX196" s="124">
        <v>0</v>
      </c>
      <c r="AY196" s="124">
        <v>0</v>
      </c>
    </row>
    <row r="197" spans="1:51" x14ac:dyDescent="0.2">
      <c r="A197" s="141" t="s">
        <v>134</v>
      </c>
      <c r="B197" s="129">
        <v>1</v>
      </c>
      <c r="C197" s="116"/>
      <c r="D197" s="116">
        <v>0</v>
      </c>
      <c r="E197" s="116">
        <v>19.894143222784233</v>
      </c>
      <c r="F197" s="116">
        <v>44.977141751522709</v>
      </c>
      <c r="G197" s="116">
        <v>106.77558101622768</v>
      </c>
      <c r="H197" s="116">
        <v>160.21237772685899</v>
      </c>
      <c r="I197" s="116">
        <v>130.23459297951749</v>
      </c>
      <c r="J197" s="116">
        <v>209.54499504293869</v>
      </c>
      <c r="K197" s="116">
        <v>251.0211387060094</v>
      </c>
      <c r="L197" s="116">
        <v>288.41940158986444</v>
      </c>
      <c r="M197" s="116">
        <v>362.69632036977424</v>
      </c>
      <c r="N197" s="116">
        <v>366.15029151195131</v>
      </c>
      <c r="O197" s="116">
        <v>380.0902562239703</v>
      </c>
      <c r="P197" s="116">
        <v>403.54976922155367</v>
      </c>
      <c r="Q197" s="116">
        <v>363.94920629607947</v>
      </c>
      <c r="R197" s="116">
        <v>385.53408643019151</v>
      </c>
      <c r="S197" s="116">
        <v>401.19232443669227</v>
      </c>
      <c r="T197" s="116">
        <v>379.18802020860841</v>
      </c>
      <c r="U197" s="116">
        <v>289.52201692551552</v>
      </c>
      <c r="V197" s="116">
        <v>342.07259298985042</v>
      </c>
      <c r="W197" s="116">
        <v>386.17080146904749</v>
      </c>
      <c r="X197" s="116">
        <v>398.83360824399921</v>
      </c>
      <c r="Y197" s="116">
        <v>333</v>
      </c>
      <c r="Z197" s="116">
        <v>363.57622106540731</v>
      </c>
      <c r="AA197" s="116">
        <v>339.15196866945627</v>
      </c>
      <c r="AB197" s="116">
        <v>291.66111187490418</v>
      </c>
      <c r="AC197" s="116">
        <v>266.87705063381031</v>
      </c>
      <c r="AD197" s="116">
        <v>220.58378779984059</v>
      </c>
      <c r="AE197" s="116">
        <v>208.95789815519382</v>
      </c>
      <c r="AF197" s="116">
        <v>246.42460875333634</v>
      </c>
      <c r="AG197" s="116">
        <v>417.29256778717314</v>
      </c>
      <c r="AH197" s="116">
        <v>400.32832244677104</v>
      </c>
      <c r="AI197" s="116">
        <v>392.87921389219122</v>
      </c>
      <c r="AJ197" s="116">
        <v>456.18486014225641</v>
      </c>
      <c r="AK197" s="116">
        <v>418.05190722246607</v>
      </c>
      <c r="AL197" s="116">
        <v>440</v>
      </c>
      <c r="AM197" s="116">
        <v>466.33822014517716</v>
      </c>
      <c r="AN197" s="116">
        <v>489.99484399207125</v>
      </c>
      <c r="AO197" s="116">
        <v>620.04110399501315</v>
      </c>
      <c r="AP197" s="116">
        <v>606.02842573150349</v>
      </c>
      <c r="AQ197" s="116">
        <v>516.51461303209476</v>
      </c>
      <c r="AR197" s="116">
        <v>402.35653552088473</v>
      </c>
      <c r="AS197" s="116">
        <v>195.36261419398642</v>
      </c>
      <c r="AT197" s="116">
        <v>173.59550563399776</v>
      </c>
      <c r="AU197" s="116">
        <v>251.32183119926933</v>
      </c>
      <c r="AV197" s="116">
        <v>262.08036596366782</v>
      </c>
      <c r="AW197" s="116">
        <v>324.07180805447268</v>
      </c>
      <c r="AX197" s="116">
        <v>321.62888730946975</v>
      </c>
      <c r="AY197" s="116">
        <v>268.71027317391963</v>
      </c>
    </row>
    <row r="198" spans="1:51" x14ac:dyDescent="0.2">
      <c r="A198" s="119"/>
      <c r="B198" s="129">
        <v>2</v>
      </c>
      <c r="C198" s="116"/>
      <c r="D198" s="116">
        <v>0</v>
      </c>
      <c r="E198" s="116">
        <v>0</v>
      </c>
      <c r="F198" s="116">
        <v>0</v>
      </c>
      <c r="G198" s="116">
        <v>0</v>
      </c>
      <c r="H198" s="116">
        <v>0</v>
      </c>
      <c r="I198" s="116">
        <v>0</v>
      </c>
      <c r="J198" s="116">
        <v>0</v>
      </c>
      <c r="K198" s="116">
        <v>0</v>
      </c>
      <c r="L198" s="116">
        <v>0</v>
      </c>
      <c r="M198" s="116">
        <v>0</v>
      </c>
      <c r="N198" s="116">
        <v>0</v>
      </c>
      <c r="O198" s="116">
        <v>0</v>
      </c>
      <c r="P198" s="116">
        <v>0</v>
      </c>
      <c r="Q198" s="116">
        <v>0</v>
      </c>
      <c r="R198" s="116">
        <v>0</v>
      </c>
      <c r="S198" s="116">
        <v>0</v>
      </c>
      <c r="T198" s="116">
        <v>0</v>
      </c>
      <c r="U198" s="116">
        <v>0</v>
      </c>
      <c r="V198" s="116">
        <v>0</v>
      </c>
      <c r="W198" s="116">
        <v>0</v>
      </c>
      <c r="X198" s="116">
        <v>0</v>
      </c>
      <c r="Y198" s="116">
        <v>0</v>
      </c>
      <c r="Z198" s="116">
        <v>81.447393221808113</v>
      </c>
      <c r="AA198" s="116">
        <v>0</v>
      </c>
      <c r="AB198" s="116">
        <v>0</v>
      </c>
      <c r="AC198" s="116">
        <v>0</v>
      </c>
      <c r="AD198" s="116">
        <v>0</v>
      </c>
      <c r="AE198" s="116">
        <v>0</v>
      </c>
      <c r="AF198" s="116">
        <v>0</v>
      </c>
      <c r="AG198" s="116">
        <v>0</v>
      </c>
      <c r="AH198" s="116">
        <v>0</v>
      </c>
      <c r="AI198" s="116">
        <v>0</v>
      </c>
      <c r="AJ198" s="116">
        <v>0</v>
      </c>
      <c r="AK198" s="116">
        <v>0</v>
      </c>
      <c r="AL198" s="116">
        <v>0</v>
      </c>
      <c r="AM198" s="116">
        <v>83.325055547570059</v>
      </c>
      <c r="AN198" s="116">
        <v>1.7476838392683476</v>
      </c>
      <c r="AO198" s="116">
        <v>0</v>
      </c>
      <c r="AP198" s="116">
        <v>0</v>
      </c>
      <c r="AQ198" s="116">
        <v>9.4853869679052423</v>
      </c>
      <c r="AR198" s="116">
        <v>99.412988913717413</v>
      </c>
      <c r="AS198" s="116">
        <v>113.77149181579858</v>
      </c>
      <c r="AT198" s="116">
        <v>0</v>
      </c>
      <c r="AU198" s="116">
        <v>0</v>
      </c>
      <c r="AV198" s="116">
        <v>0</v>
      </c>
      <c r="AW198" s="116">
        <v>0</v>
      </c>
      <c r="AX198" s="116">
        <v>0</v>
      </c>
      <c r="AY198" s="116">
        <v>0</v>
      </c>
    </row>
    <row r="199" spans="1:51" x14ac:dyDescent="0.2">
      <c r="A199" s="119"/>
      <c r="B199" s="129">
        <v>3</v>
      </c>
      <c r="C199" s="116"/>
      <c r="D199" s="116">
        <v>0</v>
      </c>
      <c r="E199" s="116">
        <v>0</v>
      </c>
      <c r="F199" s="116">
        <v>0</v>
      </c>
      <c r="G199" s="116">
        <v>0</v>
      </c>
      <c r="H199" s="116">
        <v>0</v>
      </c>
      <c r="I199" s="116">
        <v>0</v>
      </c>
      <c r="J199" s="116">
        <v>0</v>
      </c>
      <c r="K199" s="116">
        <v>0</v>
      </c>
      <c r="L199" s="116">
        <v>0</v>
      </c>
      <c r="M199" s="116">
        <v>0</v>
      </c>
      <c r="N199" s="116">
        <v>0</v>
      </c>
      <c r="O199" s="116">
        <v>0</v>
      </c>
      <c r="P199" s="116">
        <v>0</v>
      </c>
      <c r="Q199" s="116">
        <v>0</v>
      </c>
      <c r="R199" s="116">
        <v>0</v>
      </c>
      <c r="S199" s="116">
        <v>0</v>
      </c>
      <c r="T199" s="116">
        <v>0</v>
      </c>
      <c r="U199" s="116">
        <v>0</v>
      </c>
      <c r="V199" s="116">
        <v>0</v>
      </c>
      <c r="W199" s="116">
        <v>0</v>
      </c>
      <c r="X199" s="116">
        <v>0</v>
      </c>
      <c r="Y199" s="116">
        <v>0</v>
      </c>
      <c r="Z199" s="116">
        <v>0</v>
      </c>
      <c r="AA199" s="116">
        <v>0</v>
      </c>
      <c r="AB199" s="116">
        <v>0</v>
      </c>
      <c r="AC199" s="116">
        <v>0</v>
      </c>
      <c r="AD199" s="116">
        <v>0</v>
      </c>
      <c r="AE199" s="116">
        <v>0</v>
      </c>
      <c r="AF199" s="116">
        <v>0</v>
      </c>
      <c r="AG199" s="116">
        <v>0</v>
      </c>
      <c r="AH199" s="116">
        <v>0</v>
      </c>
      <c r="AI199" s="116">
        <v>0</v>
      </c>
      <c r="AJ199" s="116">
        <v>0</v>
      </c>
      <c r="AK199" s="116">
        <v>0</v>
      </c>
      <c r="AL199" s="116">
        <v>0</v>
      </c>
      <c r="AM199" s="116">
        <v>0</v>
      </c>
      <c r="AN199" s="116">
        <v>0</v>
      </c>
      <c r="AO199" s="116">
        <v>0</v>
      </c>
      <c r="AP199" s="116">
        <v>0</v>
      </c>
      <c r="AQ199" s="116">
        <v>0</v>
      </c>
      <c r="AR199" s="116">
        <v>0</v>
      </c>
      <c r="AS199" s="116">
        <v>0</v>
      </c>
      <c r="AT199" s="116">
        <v>0</v>
      </c>
      <c r="AU199" s="116">
        <v>0</v>
      </c>
      <c r="AV199" s="116">
        <v>0</v>
      </c>
      <c r="AW199" s="116">
        <v>0</v>
      </c>
      <c r="AX199" s="116">
        <v>0</v>
      </c>
      <c r="AY199" s="116">
        <v>0</v>
      </c>
    </row>
    <row r="200" spans="1:51" x14ac:dyDescent="0.2">
      <c r="A200" s="119"/>
      <c r="B200" s="130">
        <v>4</v>
      </c>
      <c r="C200" s="116"/>
      <c r="D200" s="116">
        <v>0</v>
      </c>
      <c r="E200" s="116">
        <v>0</v>
      </c>
      <c r="F200" s="116">
        <v>0</v>
      </c>
      <c r="G200" s="116">
        <v>0</v>
      </c>
      <c r="H200" s="116">
        <v>0</v>
      </c>
      <c r="I200" s="116">
        <v>0</v>
      </c>
      <c r="J200" s="116">
        <v>0</v>
      </c>
      <c r="K200" s="116">
        <v>0</v>
      </c>
      <c r="L200" s="116">
        <v>0</v>
      </c>
      <c r="M200" s="116">
        <v>0</v>
      </c>
      <c r="N200" s="116">
        <v>0</v>
      </c>
      <c r="O200" s="116">
        <v>0</v>
      </c>
      <c r="P200" s="116">
        <v>0</v>
      </c>
      <c r="Q200" s="116">
        <v>0</v>
      </c>
      <c r="R200" s="116">
        <v>0</v>
      </c>
      <c r="S200" s="116">
        <v>0</v>
      </c>
      <c r="T200" s="116">
        <v>0</v>
      </c>
      <c r="U200" s="116">
        <v>0</v>
      </c>
      <c r="V200" s="116">
        <v>0</v>
      </c>
      <c r="W200" s="116">
        <v>0</v>
      </c>
      <c r="X200" s="116">
        <v>0</v>
      </c>
      <c r="Y200" s="116">
        <v>0</v>
      </c>
      <c r="Z200" s="116">
        <v>0</v>
      </c>
      <c r="AA200" s="116">
        <v>0</v>
      </c>
      <c r="AB200" s="116">
        <v>0</v>
      </c>
      <c r="AC200" s="116">
        <v>0</v>
      </c>
      <c r="AD200" s="116">
        <v>0</v>
      </c>
      <c r="AE200" s="116">
        <v>0</v>
      </c>
      <c r="AF200" s="116">
        <v>0</v>
      </c>
      <c r="AG200" s="116">
        <v>0</v>
      </c>
      <c r="AH200" s="116">
        <v>0</v>
      </c>
      <c r="AI200" s="116">
        <v>0</v>
      </c>
      <c r="AJ200" s="116">
        <v>0</v>
      </c>
      <c r="AK200" s="116">
        <v>0</v>
      </c>
      <c r="AL200" s="116">
        <v>0</v>
      </c>
      <c r="AM200" s="116">
        <v>0</v>
      </c>
      <c r="AN200" s="116">
        <v>0</v>
      </c>
      <c r="AO200" s="116">
        <v>0</v>
      </c>
      <c r="AP200" s="116">
        <v>0</v>
      </c>
      <c r="AQ200" s="116">
        <v>0</v>
      </c>
      <c r="AR200" s="116">
        <v>0</v>
      </c>
      <c r="AS200" s="116">
        <v>0</v>
      </c>
      <c r="AT200" s="116">
        <v>0</v>
      </c>
      <c r="AU200" s="116">
        <v>0</v>
      </c>
      <c r="AV200" s="116">
        <v>0</v>
      </c>
      <c r="AW200" s="116">
        <v>0</v>
      </c>
      <c r="AX200" s="116">
        <v>0</v>
      </c>
      <c r="AY200" s="116">
        <v>0</v>
      </c>
    </row>
    <row r="201" spans="1:51" x14ac:dyDescent="0.2">
      <c r="A201" s="119"/>
      <c r="B201" s="130">
        <v>5</v>
      </c>
      <c r="C201" s="116"/>
      <c r="D201" s="116">
        <v>0</v>
      </c>
      <c r="E201" s="116">
        <v>0</v>
      </c>
      <c r="F201" s="116">
        <v>0</v>
      </c>
      <c r="G201" s="116">
        <v>0</v>
      </c>
      <c r="H201" s="116">
        <v>0</v>
      </c>
      <c r="I201" s="116">
        <v>0</v>
      </c>
      <c r="J201" s="116">
        <v>0</v>
      </c>
      <c r="K201" s="116">
        <v>0</v>
      </c>
      <c r="L201" s="116">
        <v>0</v>
      </c>
      <c r="M201" s="116">
        <v>0</v>
      </c>
      <c r="N201" s="116">
        <v>0</v>
      </c>
      <c r="O201" s="116">
        <v>0</v>
      </c>
      <c r="P201" s="116">
        <v>0</v>
      </c>
      <c r="Q201" s="116">
        <v>0</v>
      </c>
      <c r="R201" s="116">
        <v>0</v>
      </c>
      <c r="S201" s="116">
        <v>0</v>
      </c>
      <c r="T201" s="116">
        <v>0</v>
      </c>
      <c r="U201" s="116">
        <v>0</v>
      </c>
      <c r="V201" s="116">
        <v>0</v>
      </c>
      <c r="W201" s="116">
        <v>0</v>
      </c>
      <c r="X201" s="116">
        <v>0</v>
      </c>
      <c r="Y201" s="116">
        <v>0</v>
      </c>
      <c r="Z201" s="116">
        <v>0</v>
      </c>
      <c r="AA201" s="116">
        <v>0</v>
      </c>
      <c r="AB201" s="116">
        <v>0</v>
      </c>
      <c r="AC201" s="116">
        <v>0</v>
      </c>
      <c r="AD201" s="116">
        <v>0</v>
      </c>
      <c r="AE201" s="116">
        <v>0</v>
      </c>
      <c r="AF201" s="116">
        <v>0</v>
      </c>
      <c r="AG201" s="116">
        <v>0</v>
      </c>
      <c r="AH201" s="116">
        <v>0</v>
      </c>
      <c r="AI201" s="116">
        <v>0</v>
      </c>
      <c r="AJ201" s="116">
        <v>0</v>
      </c>
      <c r="AK201" s="116">
        <v>0</v>
      </c>
      <c r="AL201" s="116">
        <v>0</v>
      </c>
      <c r="AM201" s="116">
        <v>0</v>
      </c>
      <c r="AN201" s="116">
        <v>0</v>
      </c>
      <c r="AO201" s="116">
        <v>0</v>
      </c>
      <c r="AP201" s="116">
        <v>0</v>
      </c>
      <c r="AQ201" s="116">
        <v>0</v>
      </c>
      <c r="AR201" s="116">
        <v>0</v>
      </c>
      <c r="AS201" s="116">
        <v>0</v>
      </c>
      <c r="AT201" s="116">
        <v>0</v>
      </c>
      <c r="AU201" s="116">
        <v>0</v>
      </c>
      <c r="AV201" s="116">
        <v>0</v>
      </c>
      <c r="AW201" s="116">
        <v>0</v>
      </c>
      <c r="AX201" s="116">
        <v>0</v>
      </c>
      <c r="AY201" s="116">
        <v>0</v>
      </c>
    </row>
    <row r="202" spans="1:51" x14ac:dyDescent="0.2">
      <c r="A202" s="119"/>
      <c r="B202" s="130">
        <v>6</v>
      </c>
      <c r="C202" s="116"/>
      <c r="D202" s="116">
        <v>0</v>
      </c>
      <c r="E202" s="116">
        <v>0</v>
      </c>
      <c r="F202" s="116">
        <v>0</v>
      </c>
      <c r="G202" s="116">
        <v>0</v>
      </c>
      <c r="H202" s="116">
        <v>0</v>
      </c>
      <c r="I202" s="116">
        <v>0</v>
      </c>
      <c r="J202" s="116">
        <v>0</v>
      </c>
      <c r="K202" s="116">
        <v>0</v>
      </c>
      <c r="L202" s="116">
        <v>0</v>
      </c>
      <c r="M202" s="116">
        <v>0</v>
      </c>
      <c r="N202" s="116">
        <v>0</v>
      </c>
      <c r="O202" s="116">
        <v>0</v>
      </c>
      <c r="P202" s="116">
        <v>0</v>
      </c>
      <c r="Q202" s="116">
        <v>0</v>
      </c>
      <c r="R202" s="116">
        <v>0</v>
      </c>
      <c r="S202" s="116">
        <v>0</v>
      </c>
      <c r="T202" s="116">
        <v>0</v>
      </c>
      <c r="U202" s="116">
        <v>0</v>
      </c>
      <c r="V202" s="116">
        <v>0</v>
      </c>
      <c r="W202" s="116">
        <v>0</v>
      </c>
      <c r="X202" s="116">
        <v>0</v>
      </c>
      <c r="Y202" s="116">
        <v>0</v>
      </c>
      <c r="Z202" s="116">
        <v>0</v>
      </c>
      <c r="AA202" s="116">
        <v>0</v>
      </c>
      <c r="AB202" s="116">
        <v>0</v>
      </c>
      <c r="AC202" s="116">
        <v>0</v>
      </c>
      <c r="AD202" s="116">
        <v>0</v>
      </c>
      <c r="AE202" s="116">
        <v>0</v>
      </c>
      <c r="AF202" s="116">
        <v>0</v>
      </c>
      <c r="AG202" s="116">
        <v>0</v>
      </c>
      <c r="AH202" s="116">
        <v>0</v>
      </c>
      <c r="AI202" s="116">
        <v>0</v>
      </c>
      <c r="AJ202" s="116">
        <v>0</v>
      </c>
      <c r="AK202" s="116">
        <v>0</v>
      </c>
      <c r="AL202" s="116">
        <v>0</v>
      </c>
      <c r="AM202" s="116">
        <v>0</v>
      </c>
      <c r="AN202" s="116">
        <v>0</v>
      </c>
      <c r="AO202" s="116">
        <v>0</v>
      </c>
      <c r="AP202" s="116">
        <v>0</v>
      </c>
      <c r="AQ202" s="116">
        <v>0</v>
      </c>
      <c r="AR202" s="116">
        <v>0</v>
      </c>
      <c r="AS202" s="116">
        <v>0</v>
      </c>
      <c r="AT202" s="116">
        <v>0</v>
      </c>
      <c r="AU202" s="116">
        <v>0</v>
      </c>
      <c r="AV202" s="116">
        <v>0</v>
      </c>
      <c r="AW202" s="116">
        <v>0</v>
      </c>
      <c r="AX202" s="116">
        <v>0</v>
      </c>
      <c r="AY202" s="116">
        <v>0</v>
      </c>
    </row>
    <row r="203" spans="1:51" x14ac:dyDescent="0.2">
      <c r="A203" s="119"/>
      <c r="B203" s="137">
        <v>7</v>
      </c>
      <c r="C203" s="116"/>
      <c r="D203" s="116">
        <v>0</v>
      </c>
      <c r="E203" s="116">
        <v>0</v>
      </c>
      <c r="F203" s="116">
        <v>0</v>
      </c>
      <c r="G203" s="116">
        <v>0</v>
      </c>
      <c r="H203" s="116">
        <v>0</v>
      </c>
      <c r="I203" s="116">
        <v>0</v>
      </c>
      <c r="J203" s="116">
        <v>0</v>
      </c>
      <c r="K203" s="116">
        <v>0</v>
      </c>
      <c r="L203" s="116">
        <v>0</v>
      </c>
      <c r="M203" s="116">
        <v>0</v>
      </c>
      <c r="N203" s="116">
        <v>0</v>
      </c>
      <c r="O203" s="116">
        <v>0</v>
      </c>
      <c r="P203" s="116">
        <v>0</v>
      </c>
      <c r="Q203" s="116">
        <v>0</v>
      </c>
      <c r="R203" s="116">
        <v>0</v>
      </c>
      <c r="S203" s="116">
        <v>0</v>
      </c>
      <c r="T203" s="116">
        <v>0</v>
      </c>
      <c r="U203" s="116">
        <v>0</v>
      </c>
      <c r="V203" s="116">
        <v>0</v>
      </c>
      <c r="W203" s="116">
        <v>0</v>
      </c>
      <c r="X203" s="116">
        <v>0</v>
      </c>
      <c r="Y203" s="116">
        <v>0</v>
      </c>
      <c r="Z203" s="116">
        <v>0</v>
      </c>
      <c r="AA203" s="116">
        <v>0</v>
      </c>
      <c r="AB203" s="116">
        <v>0</v>
      </c>
      <c r="AC203" s="116">
        <v>0</v>
      </c>
      <c r="AD203" s="116">
        <v>0</v>
      </c>
      <c r="AE203" s="116">
        <v>0</v>
      </c>
      <c r="AF203" s="116">
        <v>0</v>
      </c>
      <c r="AG203" s="116">
        <v>0</v>
      </c>
      <c r="AH203" s="116">
        <v>0</v>
      </c>
      <c r="AI203" s="116">
        <v>0</v>
      </c>
      <c r="AJ203" s="116">
        <v>0</v>
      </c>
      <c r="AK203" s="116">
        <v>0</v>
      </c>
      <c r="AL203" s="116">
        <v>0</v>
      </c>
      <c r="AM203" s="116">
        <v>0</v>
      </c>
      <c r="AN203" s="116">
        <v>0</v>
      </c>
      <c r="AO203" s="116">
        <v>0</v>
      </c>
      <c r="AP203" s="116">
        <v>0</v>
      </c>
      <c r="AQ203" s="116">
        <v>0</v>
      </c>
      <c r="AR203" s="116">
        <v>0</v>
      </c>
      <c r="AS203" s="116">
        <v>0</v>
      </c>
      <c r="AT203" s="116">
        <v>0</v>
      </c>
      <c r="AU203" s="116">
        <v>0</v>
      </c>
      <c r="AV203" s="116">
        <v>0</v>
      </c>
      <c r="AW203" s="116">
        <v>0</v>
      </c>
      <c r="AX203" s="116">
        <v>0</v>
      </c>
      <c r="AY203" s="116">
        <v>0</v>
      </c>
    </row>
    <row r="204" spans="1:51" x14ac:dyDescent="0.2">
      <c r="A204" s="119"/>
      <c r="B204" s="137">
        <v>8</v>
      </c>
      <c r="C204" s="116"/>
      <c r="D204" s="116">
        <v>0</v>
      </c>
      <c r="E204" s="116">
        <v>0</v>
      </c>
      <c r="F204" s="116">
        <v>0</v>
      </c>
      <c r="G204" s="116">
        <v>0</v>
      </c>
      <c r="H204" s="116">
        <v>0</v>
      </c>
      <c r="I204" s="116">
        <v>0</v>
      </c>
      <c r="J204" s="116">
        <v>0</v>
      </c>
      <c r="K204" s="116">
        <v>0</v>
      </c>
      <c r="L204" s="116">
        <v>0</v>
      </c>
      <c r="M204" s="116">
        <v>0</v>
      </c>
      <c r="N204" s="116">
        <v>0</v>
      </c>
      <c r="O204" s="116">
        <v>0</v>
      </c>
      <c r="P204" s="116">
        <v>0</v>
      </c>
      <c r="Q204" s="116">
        <v>0</v>
      </c>
      <c r="R204" s="116">
        <v>0</v>
      </c>
      <c r="S204" s="116">
        <v>0</v>
      </c>
      <c r="T204" s="116">
        <v>0</v>
      </c>
      <c r="U204" s="116">
        <v>0</v>
      </c>
      <c r="V204" s="116">
        <v>0</v>
      </c>
      <c r="W204" s="116">
        <v>0</v>
      </c>
      <c r="X204" s="116">
        <v>0</v>
      </c>
      <c r="Y204" s="116">
        <v>0</v>
      </c>
      <c r="Z204" s="116">
        <v>0</v>
      </c>
      <c r="AA204" s="116">
        <v>0</v>
      </c>
      <c r="AB204" s="116">
        <v>0</v>
      </c>
      <c r="AC204" s="116">
        <v>0</v>
      </c>
      <c r="AD204" s="116">
        <v>0</v>
      </c>
      <c r="AE204" s="116">
        <v>0</v>
      </c>
      <c r="AF204" s="116">
        <v>0</v>
      </c>
      <c r="AG204" s="116">
        <v>0</v>
      </c>
      <c r="AH204" s="116">
        <v>0</v>
      </c>
      <c r="AI204" s="116">
        <v>0</v>
      </c>
      <c r="AJ204" s="116">
        <v>0</v>
      </c>
      <c r="AK204" s="116">
        <v>0</v>
      </c>
      <c r="AL204" s="116">
        <v>0</v>
      </c>
      <c r="AM204" s="116">
        <v>0</v>
      </c>
      <c r="AN204" s="116">
        <v>0</v>
      </c>
      <c r="AO204" s="116">
        <v>0</v>
      </c>
      <c r="AP204" s="116">
        <v>0</v>
      </c>
      <c r="AQ204" s="116">
        <v>0</v>
      </c>
      <c r="AR204" s="116">
        <v>0</v>
      </c>
      <c r="AS204" s="116">
        <v>0</v>
      </c>
      <c r="AT204" s="116">
        <v>0</v>
      </c>
      <c r="AU204" s="116">
        <v>0</v>
      </c>
      <c r="AV204" s="116">
        <v>0</v>
      </c>
      <c r="AW204" s="116">
        <v>0</v>
      </c>
      <c r="AX204" s="116">
        <v>0</v>
      </c>
      <c r="AY204" s="116">
        <v>0</v>
      </c>
    </row>
    <row r="205" spans="1:51" x14ac:dyDescent="0.2">
      <c r="A205" s="119"/>
      <c r="B205" s="137">
        <v>9</v>
      </c>
      <c r="C205" s="116"/>
      <c r="D205" s="116">
        <v>0</v>
      </c>
      <c r="E205" s="116">
        <v>0</v>
      </c>
      <c r="F205" s="116">
        <v>0</v>
      </c>
      <c r="G205" s="116">
        <v>0</v>
      </c>
      <c r="H205" s="116">
        <v>0</v>
      </c>
      <c r="I205" s="116">
        <v>0</v>
      </c>
      <c r="J205" s="116">
        <v>0</v>
      </c>
      <c r="K205" s="116">
        <v>0</v>
      </c>
      <c r="L205" s="116">
        <v>0</v>
      </c>
      <c r="M205" s="116">
        <v>0</v>
      </c>
      <c r="N205" s="116">
        <v>0</v>
      </c>
      <c r="O205" s="116">
        <v>0</v>
      </c>
      <c r="P205" s="116">
        <v>0</v>
      </c>
      <c r="Q205" s="116">
        <v>0</v>
      </c>
      <c r="R205" s="116">
        <v>0</v>
      </c>
      <c r="S205" s="116">
        <v>0</v>
      </c>
      <c r="T205" s="116">
        <v>0</v>
      </c>
      <c r="U205" s="116">
        <v>0</v>
      </c>
      <c r="V205" s="116">
        <v>0</v>
      </c>
      <c r="W205" s="116">
        <v>0</v>
      </c>
      <c r="X205" s="116">
        <v>0</v>
      </c>
      <c r="Y205" s="116">
        <v>0</v>
      </c>
      <c r="Z205" s="116">
        <v>0</v>
      </c>
      <c r="AA205" s="116">
        <v>0</v>
      </c>
      <c r="AB205" s="116">
        <v>0</v>
      </c>
      <c r="AC205" s="116">
        <v>0</v>
      </c>
      <c r="AD205" s="116">
        <v>0</v>
      </c>
      <c r="AE205" s="116">
        <v>0</v>
      </c>
      <c r="AF205" s="116">
        <v>0</v>
      </c>
      <c r="AG205" s="116">
        <v>0</v>
      </c>
      <c r="AH205" s="116">
        <v>0</v>
      </c>
      <c r="AI205" s="116">
        <v>0</v>
      </c>
      <c r="AJ205" s="116">
        <v>0</v>
      </c>
      <c r="AK205" s="116">
        <v>0</v>
      </c>
      <c r="AL205" s="116">
        <v>0</v>
      </c>
      <c r="AM205" s="116">
        <v>0</v>
      </c>
      <c r="AN205" s="116">
        <v>0</v>
      </c>
      <c r="AO205" s="116">
        <v>0</v>
      </c>
      <c r="AP205" s="116">
        <v>0</v>
      </c>
      <c r="AQ205" s="116">
        <v>0</v>
      </c>
      <c r="AR205" s="116">
        <v>0</v>
      </c>
      <c r="AS205" s="116">
        <v>0</v>
      </c>
      <c r="AT205" s="116">
        <v>0</v>
      </c>
      <c r="AU205" s="116">
        <v>0</v>
      </c>
      <c r="AV205" s="116">
        <v>0</v>
      </c>
      <c r="AW205" s="116">
        <v>0</v>
      </c>
      <c r="AX205" s="116">
        <v>0</v>
      </c>
      <c r="AY205" s="116">
        <v>0</v>
      </c>
    </row>
    <row r="206" spans="1:51" x14ac:dyDescent="0.2">
      <c r="A206" s="119"/>
      <c r="B206" s="140">
        <v>10</v>
      </c>
      <c r="C206" s="116"/>
      <c r="D206" s="116">
        <v>0</v>
      </c>
      <c r="E206" s="116">
        <v>0</v>
      </c>
      <c r="F206" s="116">
        <v>0</v>
      </c>
      <c r="G206" s="116">
        <v>0</v>
      </c>
      <c r="H206" s="116">
        <v>0</v>
      </c>
      <c r="I206" s="116">
        <v>0</v>
      </c>
      <c r="J206" s="116">
        <v>0</v>
      </c>
      <c r="K206" s="116">
        <v>0</v>
      </c>
      <c r="L206" s="116">
        <v>0</v>
      </c>
      <c r="M206" s="116">
        <v>0</v>
      </c>
      <c r="N206" s="116">
        <v>0</v>
      </c>
      <c r="O206" s="116">
        <v>0</v>
      </c>
      <c r="P206" s="116">
        <v>0</v>
      </c>
      <c r="Q206" s="116">
        <v>0</v>
      </c>
      <c r="R206" s="116">
        <v>0</v>
      </c>
      <c r="S206" s="116">
        <v>0</v>
      </c>
      <c r="T206" s="116">
        <v>0</v>
      </c>
      <c r="U206" s="116">
        <v>0</v>
      </c>
      <c r="V206" s="116">
        <v>0</v>
      </c>
      <c r="W206" s="116">
        <v>0</v>
      </c>
      <c r="X206" s="116">
        <v>0</v>
      </c>
      <c r="Y206" s="116">
        <v>0</v>
      </c>
      <c r="Z206" s="116">
        <v>0</v>
      </c>
      <c r="AA206" s="116">
        <v>0</v>
      </c>
      <c r="AB206" s="116">
        <v>0</v>
      </c>
      <c r="AC206" s="116">
        <v>0</v>
      </c>
      <c r="AD206" s="116">
        <v>0</v>
      </c>
      <c r="AE206" s="116">
        <v>0</v>
      </c>
      <c r="AF206" s="116">
        <v>0</v>
      </c>
      <c r="AG206" s="116">
        <v>0</v>
      </c>
      <c r="AH206" s="116">
        <v>0</v>
      </c>
      <c r="AI206" s="116">
        <v>0</v>
      </c>
      <c r="AJ206" s="116">
        <v>0</v>
      </c>
      <c r="AK206" s="116">
        <v>0</v>
      </c>
      <c r="AL206" s="116">
        <v>0</v>
      </c>
      <c r="AM206" s="116">
        <v>0</v>
      </c>
      <c r="AN206" s="116">
        <v>0</v>
      </c>
      <c r="AO206" s="116">
        <v>0</v>
      </c>
      <c r="AP206" s="116">
        <v>0</v>
      </c>
      <c r="AQ206" s="116">
        <v>0</v>
      </c>
      <c r="AR206" s="116">
        <v>0</v>
      </c>
      <c r="AS206" s="116">
        <v>0</v>
      </c>
      <c r="AT206" s="116">
        <v>0</v>
      </c>
      <c r="AU206" s="116">
        <v>0</v>
      </c>
      <c r="AV206" s="116">
        <v>0</v>
      </c>
      <c r="AW206" s="116">
        <v>0</v>
      </c>
      <c r="AX206" s="116">
        <v>0</v>
      </c>
      <c r="AY206" s="116">
        <v>0</v>
      </c>
    </row>
    <row r="207" spans="1:51" x14ac:dyDescent="0.2">
      <c r="A207" s="119"/>
      <c r="B207" s="140">
        <v>11</v>
      </c>
      <c r="C207" s="116"/>
      <c r="D207" s="116">
        <v>0</v>
      </c>
      <c r="E207" s="116">
        <v>0</v>
      </c>
      <c r="F207" s="116">
        <v>0</v>
      </c>
      <c r="G207" s="116">
        <v>0</v>
      </c>
      <c r="H207" s="116">
        <v>0</v>
      </c>
      <c r="I207" s="116">
        <v>0</v>
      </c>
      <c r="J207" s="116">
        <v>0</v>
      </c>
      <c r="K207" s="116">
        <v>0</v>
      </c>
      <c r="L207" s="116">
        <v>0</v>
      </c>
      <c r="M207" s="116">
        <v>0</v>
      </c>
      <c r="N207" s="116">
        <v>0</v>
      </c>
      <c r="O207" s="116">
        <v>0</v>
      </c>
      <c r="P207" s="116">
        <v>0</v>
      </c>
      <c r="Q207" s="116">
        <v>0</v>
      </c>
      <c r="R207" s="116">
        <v>0</v>
      </c>
      <c r="S207" s="116">
        <v>0</v>
      </c>
      <c r="T207" s="116">
        <v>0</v>
      </c>
      <c r="U207" s="116">
        <v>0</v>
      </c>
      <c r="V207" s="116">
        <v>0</v>
      </c>
      <c r="W207" s="116">
        <v>0</v>
      </c>
      <c r="X207" s="116">
        <v>0</v>
      </c>
      <c r="Y207" s="116">
        <v>0</v>
      </c>
      <c r="Z207" s="116">
        <v>0</v>
      </c>
      <c r="AA207" s="116">
        <v>0</v>
      </c>
      <c r="AB207" s="116">
        <v>0</v>
      </c>
      <c r="AC207" s="116">
        <v>0</v>
      </c>
      <c r="AD207" s="116">
        <v>0</v>
      </c>
      <c r="AE207" s="116">
        <v>0</v>
      </c>
      <c r="AF207" s="116">
        <v>0</v>
      </c>
      <c r="AG207" s="116">
        <v>0</v>
      </c>
      <c r="AH207" s="116">
        <v>0</v>
      </c>
      <c r="AI207" s="116">
        <v>0</v>
      </c>
      <c r="AJ207" s="116">
        <v>0</v>
      </c>
      <c r="AK207" s="116">
        <v>0</v>
      </c>
      <c r="AL207" s="116">
        <v>0</v>
      </c>
      <c r="AM207" s="116">
        <v>0</v>
      </c>
      <c r="AN207" s="116">
        <v>0</v>
      </c>
      <c r="AO207" s="116">
        <v>0</v>
      </c>
      <c r="AP207" s="116">
        <v>0</v>
      </c>
      <c r="AQ207" s="116">
        <v>0</v>
      </c>
      <c r="AR207" s="116">
        <v>0</v>
      </c>
      <c r="AS207" s="116">
        <v>0</v>
      </c>
      <c r="AT207" s="116">
        <v>0</v>
      </c>
      <c r="AU207" s="116">
        <v>0</v>
      </c>
      <c r="AV207" s="116">
        <v>0</v>
      </c>
      <c r="AW207" s="116">
        <v>0</v>
      </c>
      <c r="AX207" s="116">
        <v>0</v>
      </c>
      <c r="AY207" s="116">
        <v>0</v>
      </c>
    </row>
    <row r="208" spans="1:51" x14ac:dyDescent="0.2">
      <c r="A208" s="119"/>
      <c r="B208" s="140">
        <v>12</v>
      </c>
      <c r="C208" s="116"/>
      <c r="D208" s="116">
        <v>0</v>
      </c>
      <c r="E208" s="116">
        <v>0</v>
      </c>
      <c r="F208" s="116">
        <v>0</v>
      </c>
      <c r="G208" s="116">
        <v>0</v>
      </c>
      <c r="H208" s="116">
        <v>0</v>
      </c>
      <c r="I208" s="116">
        <v>0</v>
      </c>
      <c r="J208" s="116">
        <v>0</v>
      </c>
      <c r="K208" s="116">
        <v>0</v>
      </c>
      <c r="L208" s="116">
        <v>0</v>
      </c>
      <c r="M208" s="116">
        <v>0</v>
      </c>
      <c r="N208" s="116">
        <v>0</v>
      </c>
      <c r="O208" s="116">
        <v>0</v>
      </c>
      <c r="P208" s="116">
        <v>0</v>
      </c>
      <c r="Q208" s="116">
        <v>0</v>
      </c>
      <c r="R208" s="116">
        <v>0</v>
      </c>
      <c r="S208" s="116">
        <v>0</v>
      </c>
      <c r="T208" s="116">
        <v>0</v>
      </c>
      <c r="U208" s="116">
        <v>0</v>
      </c>
      <c r="V208" s="116">
        <v>0</v>
      </c>
      <c r="W208" s="116">
        <v>0</v>
      </c>
      <c r="X208" s="116">
        <v>0</v>
      </c>
      <c r="Y208" s="116">
        <v>0</v>
      </c>
      <c r="Z208" s="116">
        <v>0</v>
      </c>
      <c r="AA208" s="116">
        <v>0</v>
      </c>
      <c r="AB208" s="116">
        <v>0</v>
      </c>
      <c r="AC208" s="116">
        <v>0</v>
      </c>
      <c r="AD208" s="116">
        <v>0</v>
      </c>
      <c r="AE208" s="116">
        <v>0</v>
      </c>
      <c r="AF208" s="116">
        <v>0</v>
      </c>
      <c r="AG208" s="116">
        <v>0</v>
      </c>
      <c r="AH208" s="116">
        <v>0</v>
      </c>
      <c r="AI208" s="116">
        <v>0</v>
      </c>
      <c r="AJ208" s="116">
        <v>0</v>
      </c>
      <c r="AK208" s="116">
        <v>0</v>
      </c>
      <c r="AL208" s="116">
        <v>0</v>
      </c>
      <c r="AM208" s="116">
        <v>0</v>
      </c>
      <c r="AN208" s="116">
        <v>0</v>
      </c>
      <c r="AO208" s="116">
        <v>0</v>
      </c>
      <c r="AP208" s="116">
        <v>0</v>
      </c>
      <c r="AQ208" s="116">
        <v>0</v>
      </c>
      <c r="AR208" s="116">
        <v>0</v>
      </c>
      <c r="AS208" s="116">
        <v>0</v>
      </c>
      <c r="AT208" s="116">
        <v>0</v>
      </c>
      <c r="AU208" s="116">
        <v>0</v>
      </c>
      <c r="AV208" s="116">
        <v>0</v>
      </c>
      <c r="AW208" s="116">
        <v>0</v>
      </c>
      <c r="AX208" s="116">
        <v>0</v>
      </c>
      <c r="AY208" s="116">
        <v>0</v>
      </c>
    </row>
    <row r="209" spans="1:51" x14ac:dyDescent="0.2">
      <c r="A209" s="136" t="s">
        <v>123</v>
      </c>
      <c r="B209" s="133">
        <v>1</v>
      </c>
      <c r="C209" s="134"/>
      <c r="D209" s="134">
        <v>213.84921464285298</v>
      </c>
      <c r="E209" s="134">
        <v>267.85536320442912</v>
      </c>
      <c r="F209" s="134">
        <v>107.03255592560942</v>
      </c>
      <c r="G209" s="134">
        <v>0</v>
      </c>
      <c r="H209" s="134">
        <v>0</v>
      </c>
      <c r="I209" s="134">
        <v>0</v>
      </c>
      <c r="J209" s="134">
        <v>0</v>
      </c>
      <c r="K209" s="134">
        <v>0</v>
      </c>
      <c r="L209" s="134">
        <v>0</v>
      </c>
      <c r="M209" s="134">
        <v>0</v>
      </c>
      <c r="N209" s="134">
        <v>0</v>
      </c>
      <c r="O209" s="134">
        <v>0</v>
      </c>
      <c r="P209" s="134">
        <v>0</v>
      </c>
      <c r="Q209" s="134">
        <v>0</v>
      </c>
      <c r="R209" s="134">
        <v>0</v>
      </c>
      <c r="S209" s="134">
        <v>0</v>
      </c>
      <c r="T209" s="134">
        <v>0</v>
      </c>
      <c r="U209" s="134">
        <v>0</v>
      </c>
      <c r="V209" s="134">
        <v>0</v>
      </c>
      <c r="W209" s="134">
        <v>0</v>
      </c>
      <c r="X209" s="134">
        <v>0</v>
      </c>
      <c r="Y209" s="134">
        <v>0</v>
      </c>
      <c r="Z209" s="134">
        <v>0</v>
      </c>
      <c r="AA209" s="134">
        <v>0</v>
      </c>
      <c r="AB209" s="134">
        <v>0</v>
      </c>
      <c r="AC209" s="134">
        <v>0</v>
      </c>
      <c r="AD209" s="134">
        <v>0</v>
      </c>
      <c r="AE209" s="134">
        <v>0</v>
      </c>
      <c r="AF209" s="134">
        <v>0</v>
      </c>
      <c r="AG209" s="134">
        <v>0</v>
      </c>
      <c r="AH209" s="134">
        <v>0</v>
      </c>
      <c r="AI209" s="134">
        <v>0</v>
      </c>
      <c r="AJ209" s="134">
        <v>0</v>
      </c>
      <c r="AK209" s="134">
        <v>0</v>
      </c>
      <c r="AL209" s="134">
        <v>0</v>
      </c>
      <c r="AM209" s="134">
        <v>0</v>
      </c>
      <c r="AN209" s="134">
        <v>0</v>
      </c>
      <c r="AO209" s="134">
        <v>0</v>
      </c>
      <c r="AP209" s="134">
        <v>0</v>
      </c>
      <c r="AQ209" s="134">
        <v>0</v>
      </c>
      <c r="AR209" s="134">
        <v>0</v>
      </c>
      <c r="AS209" s="134">
        <v>0</v>
      </c>
      <c r="AT209" s="134">
        <v>0</v>
      </c>
      <c r="AU209" s="134">
        <v>0</v>
      </c>
      <c r="AV209" s="134">
        <v>0</v>
      </c>
      <c r="AW209" s="134">
        <v>0</v>
      </c>
      <c r="AX209" s="134">
        <v>0</v>
      </c>
      <c r="AY209" s="134">
        <v>0</v>
      </c>
    </row>
    <row r="210" spans="1:51" x14ac:dyDescent="0.2">
      <c r="A210" s="119"/>
      <c r="B210" s="129">
        <v>2</v>
      </c>
      <c r="C210" s="116"/>
      <c r="D210" s="120">
        <v>0</v>
      </c>
      <c r="E210" s="120">
        <v>0</v>
      </c>
      <c r="F210" s="120">
        <v>197.26827758962111</v>
      </c>
      <c r="G210" s="120">
        <v>360.2155789212901</v>
      </c>
      <c r="H210" s="120">
        <v>0</v>
      </c>
      <c r="I210" s="120">
        <v>0</v>
      </c>
      <c r="J210" s="120">
        <v>0</v>
      </c>
      <c r="K210" s="120">
        <v>0</v>
      </c>
      <c r="L210" s="120">
        <v>0</v>
      </c>
      <c r="M210" s="120">
        <v>0</v>
      </c>
      <c r="N210" s="120">
        <v>0</v>
      </c>
      <c r="O210" s="120">
        <v>0</v>
      </c>
      <c r="P210" s="120">
        <v>0</v>
      </c>
      <c r="Q210" s="120">
        <v>0</v>
      </c>
      <c r="R210" s="120">
        <v>0</v>
      </c>
      <c r="S210" s="120">
        <v>0</v>
      </c>
      <c r="T210" s="120">
        <v>0</v>
      </c>
      <c r="U210" s="120">
        <v>0</v>
      </c>
      <c r="V210" s="120">
        <v>0</v>
      </c>
      <c r="W210" s="120">
        <v>0</v>
      </c>
      <c r="X210" s="120">
        <v>0</v>
      </c>
      <c r="Y210" s="120">
        <v>0</v>
      </c>
      <c r="Z210" s="120">
        <v>0</v>
      </c>
      <c r="AA210" s="120">
        <v>0</v>
      </c>
      <c r="AB210" s="120">
        <v>0</v>
      </c>
      <c r="AC210" s="120">
        <v>0</v>
      </c>
      <c r="AD210" s="120">
        <v>0</v>
      </c>
      <c r="AE210" s="120">
        <v>0</v>
      </c>
      <c r="AF210" s="120">
        <v>0</v>
      </c>
      <c r="AG210" s="120">
        <v>0</v>
      </c>
      <c r="AH210" s="120">
        <v>0</v>
      </c>
      <c r="AI210" s="120">
        <v>0</v>
      </c>
      <c r="AJ210" s="120">
        <v>0</v>
      </c>
      <c r="AK210" s="120">
        <v>0</v>
      </c>
      <c r="AL210" s="120">
        <v>0</v>
      </c>
      <c r="AM210" s="120">
        <v>0</v>
      </c>
      <c r="AN210" s="120">
        <v>0</v>
      </c>
      <c r="AO210" s="120">
        <v>0</v>
      </c>
      <c r="AP210" s="120">
        <v>0</v>
      </c>
      <c r="AQ210" s="120">
        <v>0</v>
      </c>
      <c r="AR210" s="120">
        <v>0</v>
      </c>
      <c r="AS210" s="120">
        <v>0</v>
      </c>
      <c r="AT210" s="120">
        <v>0</v>
      </c>
      <c r="AU210" s="120">
        <v>0</v>
      </c>
      <c r="AV210" s="120">
        <v>0</v>
      </c>
      <c r="AW210" s="120">
        <v>0</v>
      </c>
      <c r="AX210" s="120">
        <v>0</v>
      </c>
      <c r="AY210" s="120">
        <v>0</v>
      </c>
    </row>
    <row r="211" spans="1:51" x14ac:dyDescent="0.2">
      <c r="A211" s="119"/>
      <c r="B211" s="129">
        <v>3</v>
      </c>
      <c r="C211" s="116"/>
      <c r="D211" s="120">
        <v>0</v>
      </c>
      <c r="E211" s="120">
        <v>0</v>
      </c>
      <c r="F211" s="120">
        <v>0</v>
      </c>
      <c r="G211" s="120">
        <v>0</v>
      </c>
      <c r="H211" s="120">
        <v>281</v>
      </c>
      <c r="I211" s="120">
        <v>166.48298490109062</v>
      </c>
      <c r="J211" s="120">
        <v>0</v>
      </c>
      <c r="K211" s="120">
        <v>0</v>
      </c>
      <c r="L211" s="120">
        <v>0</v>
      </c>
      <c r="M211" s="120">
        <v>0</v>
      </c>
      <c r="N211" s="120">
        <v>0</v>
      </c>
      <c r="O211" s="120">
        <v>0</v>
      </c>
      <c r="P211" s="120">
        <v>0</v>
      </c>
      <c r="Q211" s="120">
        <v>0</v>
      </c>
      <c r="R211" s="120">
        <v>0</v>
      </c>
      <c r="S211" s="120">
        <v>0</v>
      </c>
      <c r="T211" s="120">
        <v>0</v>
      </c>
      <c r="U211" s="120">
        <v>0</v>
      </c>
      <c r="V211" s="120">
        <v>0</v>
      </c>
      <c r="W211" s="120">
        <v>0</v>
      </c>
      <c r="X211" s="120">
        <v>0</v>
      </c>
      <c r="Y211" s="120">
        <v>0</v>
      </c>
      <c r="Z211" s="120">
        <v>0</v>
      </c>
      <c r="AA211" s="120">
        <v>0</v>
      </c>
      <c r="AB211" s="120">
        <v>0</v>
      </c>
      <c r="AC211" s="120">
        <v>0</v>
      </c>
      <c r="AD211" s="120">
        <v>0</v>
      </c>
      <c r="AE211" s="120">
        <v>0</v>
      </c>
      <c r="AF211" s="120">
        <v>0</v>
      </c>
      <c r="AG211" s="120">
        <v>0</v>
      </c>
      <c r="AH211" s="120">
        <v>0</v>
      </c>
      <c r="AI211" s="120">
        <v>0</v>
      </c>
      <c r="AJ211" s="120">
        <v>0</v>
      </c>
      <c r="AK211" s="120">
        <v>0</v>
      </c>
      <c r="AL211" s="120">
        <v>0</v>
      </c>
      <c r="AM211" s="120">
        <v>0</v>
      </c>
      <c r="AN211" s="120">
        <v>0</v>
      </c>
      <c r="AO211" s="120">
        <v>0</v>
      </c>
      <c r="AP211" s="120">
        <v>0</v>
      </c>
      <c r="AQ211" s="120">
        <v>0</v>
      </c>
      <c r="AR211" s="120">
        <v>0</v>
      </c>
      <c r="AS211" s="120">
        <v>0</v>
      </c>
      <c r="AT211" s="120">
        <v>0</v>
      </c>
      <c r="AU211" s="120">
        <v>0</v>
      </c>
      <c r="AV211" s="120">
        <v>0</v>
      </c>
      <c r="AW211" s="120">
        <v>0</v>
      </c>
      <c r="AX211" s="120">
        <v>0</v>
      </c>
      <c r="AY211" s="120">
        <v>0</v>
      </c>
    </row>
    <row r="212" spans="1:51" x14ac:dyDescent="0.2">
      <c r="A212" s="119"/>
      <c r="B212" s="129">
        <v>4</v>
      </c>
      <c r="C212" s="116"/>
      <c r="D212" s="120">
        <v>0</v>
      </c>
      <c r="E212" s="120">
        <v>0</v>
      </c>
      <c r="F212" s="120">
        <v>0</v>
      </c>
      <c r="G212" s="120">
        <v>0</v>
      </c>
      <c r="H212" s="120">
        <v>0</v>
      </c>
      <c r="I212" s="120">
        <v>86.389895613586134</v>
      </c>
      <c r="J212" s="120">
        <v>258.22248277503883</v>
      </c>
      <c r="K212" s="120">
        <v>40.866367218045298</v>
      </c>
      <c r="L212" s="120">
        <v>46.031586481628324</v>
      </c>
      <c r="M212" s="120">
        <v>0</v>
      </c>
      <c r="N212" s="120">
        <v>0</v>
      </c>
      <c r="O212" s="120">
        <v>0</v>
      </c>
      <c r="P212" s="120">
        <v>78.440306833312093</v>
      </c>
      <c r="Q212" s="120">
        <v>0</v>
      </c>
      <c r="R212" s="120">
        <v>0</v>
      </c>
      <c r="S212" s="120">
        <v>0</v>
      </c>
      <c r="T212" s="120">
        <v>0</v>
      </c>
      <c r="U212" s="120">
        <v>0</v>
      </c>
      <c r="V212" s="120">
        <v>0</v>
      </c>
      <c r="W212" s="120">
        <v>0</v>
      </c>
      <c r="X212" s="120">
        <v>0</v>
      </c>
      <c r="Y212" s="120">
        <v>0</v>
      </c>
      <c r="Z212" s="120">
        <v>0</v>
      </c>
      <c r="AA212" s="120">
        <v>0</v>
      </c>
      <c r="AB212" s="120">
        <v>0</v>
      </c>
      <c r="AC212" s="120">
        <v>0</v>
      </c>
      <c r="AD212" s="120">
        <v>0</v>
      </c>
      <c r="AE212" s="120">
        <v>0</v>
      </c>
      <c r="AF212" s="120">
        <v>0</v>
      </c>
      <c r="AG212" s="120">
        <v>0</v>
      </c>
      <c r="AH212" s="120">
        <v>0</v>
      </c>
      <c r="AI212" s="120">
        <v>0</v>
      </c>
      <c r="AJ212" s="120">
        <v>0</v>
      </c>
      <c r="AK212" s="120">
        <v>0</v>
      </c>
      <c r="AL212" s="120">
        <v>0</v>
      </c>
      <c r="AM212" s="120">
        <v>0</v>
      </c>
      <c r="AN212" s="120">
        <v>0</v>
      </c>
      <c r="AO212" s="120">
        <v>0</v>
      </c>
      <c r="AP212" s="120">
        <v>0</v>
      </c>
      <c r="AQ212" s="120">
        <v>0</v>
      </c>
      <c r="AR212" s="120">
        <v>0</v>
      </c>
      <c r="AS212" s="120">
        <v>0</v>
      </c>
      <c r="AT212" s="120">
        <v>0</v>
      </c>
      <c r="AU212" s="120">
        <v>0</v>
      </c>
      <c r="AV212" s="120">
        <v>0</v>
      </c>
      <c r="AW212" s="120">
        <v>0</v>
      </c>
      <c r="AX212" s="120">
        <v>0</v>
      </c>
      <c r="AY212" s="120">
        <v>0</v>
      </c>
    </row>
    <row r="213" spans="1:51" x14ac:dyDescent="0.2">
      <c r="A213" s="119"/>
      <c r="B213" s="129">
        <v>5</v>
      </c>
      <c r="C213" s="116"/>
      <c r="D213" s="120">
        <v>0</v>
      </c>
      <c r="E213" s="120">
        <v>0</v>
      </c>
      <c r="F213" s="120">
        <v>0</v>
      </c>
      <c r="G213" s="120">
        <v>0</v>
      </c>
      <c r="H213" s="120">
        <v>0</v>
      </c>
      <c r="I213" s="120">
        <v>0</v>
      </c>
      <c r="J213" s="120">
        <v>0</v>
      </c>
      <c r="K213" s="120">
        <v>285.70977036332329</v>
      </c>
      <c r="L213" s="120">
        <v>592.45679535409829</v>
      </c>
      <c r="M213" s="120">
        <v>538.27786735286895</v>
      </c>
      <c r="N213" s="120">
        <v>401.31477895419681</v>
      </c>
      <c r="O213" s="120">
        <v>341.98151332734847</v>
      </c>
      <c r="P213" s="120">
        <v>130.38459885592363</v>
      </c>
      <c r="Q213" s="120">
        <v>451.57753586549819</v>
      </c>
      <c r="R213" s="120">
        <v>341.55443371378334</v>
      </c>
      <c r="S213" s="120">
        <v>186.46231311583563</v>
      </c>
      <c r="T213" s="120">
        <v>0</v>
      </c>
      <c r="U213" s="120">
        <v>0</v>
      </c>
      <c r="V213" s="120">
        <v>0</v>
      </c>
      <c r="W213" s="120">
        <v>0</v>
      </c>
      <c r="X213" s="120">
        <v>0</v>
      </c>
      <c r="Y213" s="120">
        <v>0</v>
      </c>
      <c r="Z213" s="120">
        <v>0</v>
      </c>
      <c r="AA213" s="120">
        <v>0</v>
      </c>
      <c r="AB213" s="120">
        <v>0</v>
      </c>
      <c r="AC213" s="120">
        <v>0</v>
      </c>
      <c r="AD213" s="120">
        <v>0</v>
      </c>
      <c r="AE213" s="120">
        <v>0</v>
      </c>
      <c r="AF213" s="120">
        <v>0</v>
      </c>
      <c r="AG213" s="120">
        <v>0</v>
      </c>
      <c r="AH213" s="120">
        <v>0</v>
      </c>
      <c r="AI213" s="120">
        <v>0</v>
      </c>
      <c r="AJ213" s="120">
        <v>0</v>
      </c>
      <c r="AK213" s="120">
        <v>0</v>
      </c>
      <c r="AL213" s="120">
        <v>0</v>
      </c>
      <c r="AM213" s="120">
        <v>0</v>
      </c>
      <c r="AN213" s="120">
        <v>0</v>
      </c>
      <c r="AO213" s="120">
        <v>0</v>
      </c>
      <c r="AP213" s="120">
        <v>0</v>
      </c>
      <c r="AQ213" s="120">
        <v>0</v>
      </c>
      <c r="AR213" s="120">
        <v>0</v>
      </c>
      <c r="AS213" s="120">
        <v>0</v>
      </c>
      <c r="AT213" s="120">
        <v>0</v>
      </c>
      <c r="AU213" s="120">
        <v>0</v>
      </c>
      <c r="AV213" s="120">
        <v>0</v>
      </c>
      <c r="AW213" s="120">
        <v>0</v>
      </c>
      <c r="AX213" s="120">
        <v>0</v>
      </c>
      <c r="AY213" s="120">
        <v>0</v>
      </c>
    </row>
    <row r="214" spans="1:51" x14ac:dyDescent="0.2">
      <c r="A214" s="119"/>
      <c r="B214" s="129">
        <v>6</v>
      </c>
      <c r="C214" s="116"/>
      <c r="D214" s="120">
        <v>0</v>
      </c>
      <c r="E214" s="120">
        <v>0</v>
      </c>
      <c r="F214" s="120">
        <v>0</v>
      </c>
      <c r="G214" s="120">
        <v>0</v>
      </c>
      <c r="H214" s="120">
        <v>0</v>
      </c>
      <c r="I214" s="120">
        <v>0</v>
      </c>
      <c r="J214" s="120">
        <v>0</v>
      </c>
      <c r="K214" s="120">
        <v>0</v>
      </c>
      <c r="L214" s="120">
        <v>0</v>
      </c>
      <c r="M214" s="120">
        <v>0</v>
      </c>
      <c r="N214" s="120">
        <v>35.184181182914521</v>
      </c>
      <c r="O214" s="120">
        <v>136.61040812786098</v>
      </c>
      <c r="P214" s="120">
        <v>201.74095910442145</v>
      </c>
      <c r="Q214" s="120">
        <v>0</v>
      </c>
      <c r="R214" s="120">
        <v>70.233899788833142</v>
      </c>
      <c r="S214" s="120">
        <v>242.47561531407439</v>
      </c>
      <c r="T214" s="120">
        <v>375.76116183060452</v>
      </c>
      <c r="U214" s="120">
        <v>450.64177720140259</v>
      </c>
      <c r="V214" s="120">
        <v>302.74443028250255</v>
      </c>
      <c r="W214" s="120">
        <v>133.90765692352346</v>
      </c>
      <c r="X214" s="120">
        <v>0</v>
      </c>
      <c r="Y214" s="120">
        <v>0</v>
      </c>
      <c r="Z214" s="120">
        <v>0</v>
      </c>
      <c r="AA214" s="120">
        <v>0</v>
      </c>
      <c r="AB214" s="120">
        <v>0</v>
      </c>
      <c r="AC214" s="120">
        <v>0</v>
      </c>
      <c r="AD214" s="120">
        <v>0</v>
      </c>
      <c r="AE214" s="120">
        <v>72.597865230054424</v>
      </c>
      <c r="AF214" s="120">
        <v>0</v>
      </c>
      <c r="AG214" s="120">
        <v>0</v>
      </c>
      <c r="AH214" s="120">
        <v>0</v>
      </c>
      <c r="AI214" s="120">
        <v>0</v>
      </c>
      <c r="AJ214" s="120">
        <v>0</v>
      </c>
      <c r="AK214" s="120">
        <v>0</v>
      </c>
      <c r="AL214" s="120">
        <v>0</v>
      </c>
      <c r="AM214" s="120">
        <v>0</v>
      </c>
      <c r="AN214" s="120">
        <v>0</v>
      </c>
      <c r="AO214" s="120">
        <v>0</v>
      </c>
      <c r="AP214" s="120">
        <v>0</v>
      </c>
      <c r="AQ214" s="120">
        <v>0</v>
      </c>
      <c r="AR214" s="120">
        <v>0</v>
      </c>
      <c r="AS214" s="120">
        <v>0</v>
      </c>
      <c r="AT214" s="120">
        <v>0</v>
      </c>
      <c r="AU214" s="120">
        <v>0</v>
      </c>
      <c r="AV214" s="120">
        <v>0</v>
      </c>
      <c r="AW214" s="120">
        <v>0</v>
      </c>
      <c r="AX214" s="120">
        <v>0</v>
      </c>
      <c r="AY214" s="120">
        <v>0</v>
      </c>
    </row>
    <row r="215" spans="1:51" x14ac:dyDescent="0.2">
      <c r="A215" s="119"/>
      <c r="B215" s="129">
        <v>7</v>
      </c>
      <c r="C215" s="116"/>
      <c r="D215" s="120">
        <v>0</v>
      </c>
      <c r="E215" s="120">
        <v>0</v>
      </c>
      <c r="F215" s="120">
        <v>0</v>
      </c>
      <c r="G215" s="120">
        <v>0</v>
      </c>
      <c r="H215" s="120">
        <v>0</v>
      </c>
      <c r="I215" s="120">
        <v>0</v>
      </c>
      <c r="J215" s="120">
        <v>0</v>
      </c>
      <c r="K215" s="120">
        <v>0</v>
      </c>
      <c r="L215" s="120">
        <v>0</v>
      </c>
      <c r="M215" s="120">
        <v>0</v>
      </c>
      <c r="N215" s="120">
        <v>0</v>
      </c>
      <c r="O215" s="120">
        <v>0</v>
      </c>
      <c r="P215" s="120">
        <v>0</v>
      </c>
      <c r="Q215" s="120">
        <v>0</v>
      </c>
      <c r="R215" s="120">
        <v>0</v>
      </c>
      <c r="S215" s="120">
        <v>0</v>
      </c>
      <c r="T215" s="120">
        <v>0</v>
      </c>
      <c r="U215" s="120">
        <v>21.639036663050835</v>
      </c>
      <c r="V215" s="120">
        <v>114.16248509613555</v>
      </c>
      <c r="W215" s="120">
        <v>261.35703768307519</v>
      </c>
      <c r="X215" s="120">
        <v>363.84767736874232</v>
      </c>
      <c r="Y215" s="120">
        <v>398.16224006714708</v>
      </c>
      <c r="Z215" s="120">
        <v>222.02046524048473</v>
      </c>
      <c r="AA215" s="120">
        <v>2.7433835460703904</v>
      </c>
      <c r="AB215" s="120">
        <v>52.045475561726107</v>
      </c>
      <c r="AC215" s="120">
        <v>49.43388585033523</v>
      </c>
      <c r="AD215" s="120">
        <v>69.272373885254524</v>
      </c>
      <c r="AE215" s="120">
        <v>73.2771483636119</v>
      </c>
      <c r="AF215" s="120">
        <v>286.38244495289115</v>
      </c>
      <c r="AG215" s="120">
        <v>31.986304891996582</v>
      </c>
      <c r="AH215" s="120">
        <v>255.12697532206835</v>
      </c>
      <c r="AI215" s="120">
        <v>30.02536279731504</v>
      </c>
      <c r="AJ215" s="120">
        <v>0</v>
      </c>
      <c r="AK215" s="120">
        <v>0</v>
      </c>
      <c r="AL215" s="120">
        <v>0</v>
      </c>
      <c r="AM215" s="120">
        <v>0</v>
      </c>
      <c r="AN215" s="120">
        <v>0</v>
      </c>
      <c r="AO215" s="120">
        <v>0</v>
      </c>
      <c r="AP215" s="120">
        <v>0</v>
      </c>
      <c r="AQ215" s="120">
        <v>0</v>
      </c>
      <c r="AR215" s="120">
        <v>0</v>
      </c>
      <c r="AS215" s="120">
        <v>0</v>
      </c>
      <c r="AT215" s="120">
        <v>0</v>
      </c>
      <c r="AU215" s="120">
        <v>0</v>
      </c>
      <c r="AV215" s="120">
        <v>0</v>
      </c>
      <c r="AW215" s="120">
        <v>27.765587895331805</v>
      </c>
      <c r="AX215" s="120">
        <v>552.89614463248336</v>
      </c>
      <c r="AY215" s="120">
        <v>359.67170794305554</v>
      </c>
    </row>
    <row r="216" spans="1:51" x14ac:dyDescent="0.2">
      <c r="A216" s="119"/>
      <c r="B216" s="129">
        <v>8</v>
      </c>
      <c r="C216" s="116"/>
      <c r="D216" s="120">
        <v>0</v>
      </c>
      <c r="E216" s="120">
        <v>0</v>
      </c>
      <c r="F216" s="120">
        <v>0</v>
      </c>
      <c r="G216" s="120">
        <v>0</v>
      </c>
      <c r="H216" s="120">
        <v>0</v>
      </c>
      <c r="I216" s="120">
        <v>0</v>
      </c>
      <c r="J216" s="120">
        <v>0</v>
      </c>
      <c r="K216" s="120">
        <v>0</v>
      </c>
      <c r="L216" s="120">
        <v>0</v>
      </c>
      <c r="M216" s="120">
        <v>0</v>
      </c>
      <c r="N216" s="120">
        <v>0</v>
      </c>
      <c r="O216" s="120">
        <v>0</v>
      </c>
      <c r="P216" s="120">
        <v>0</v>
      </c>
      <c r="Q216" s="120">
        <v>0</v>
      </c>
      <c r="R216" s="120">
        <v>0</v>
      </c>
      <c r="S216" s="120">
        <v>0</v>
      </c>
      <c r="T216" s="120">
        <v>0</v>
      </c>
      <c r="U216" s="120">
        <v>0</v>
      </c>
      <c r="V216" s="120">
        <v>0</v>
      </c>
      <c r="W216" s="120">
        <v>0</v>
      </c>
      <c r="X216" s="120">
        <v>0</v>
      </c>
      <c r="Y216" s="120">
        <v>58.837759932852912</v>
      </c>
      <c r="Z216" s="120">
        <v>173.54009872156252</v>
      </c>
      <c r="AA216" s="120">
        <v>340.25661645392961</v>
      </c>
      <c r="AB216" s="120">
        <v>532.09388272659646</v>
      </c>
      <c r="AC216" s="120">
        <v>473.56611414966477</v>
      </c>
      <c r="AD216" s="120">
        <v>482.26178867424471</v>
      </c>
      <c r="AE216" s="120">
        <v>447.46768848524704</v>
      </c>
      <c r="AF216" s="120">
        <v>0</v>
      </c>
      <c r="AG216" s="120">
        <v>212.06197237955888</v>
      </c>
      <c r="AH216" s="120">
        <v>34.501546038155553</v>
      </c>
      <c r="AI216" s="120">
        <v>281.7750139007444</v>
      </c>
      <c r="AJ216" s="120">
        <v>209.67082909646601</v>
      </c>
      <c r="AK216" s="120">
        <v>0</v>
      </c>
      <c r="AL216" s="120">
        <v>154.50492563180438</v>
      </c>
      <c r="AM216" s="120">
        <v>0</v>
      </c>
      <c r="AN216" s="120">
        <v>0</v>
      </c>
      <c r="AO216" s="120">
        <v>0</v>
      </c>
      <c r="AP216" s="120">
        <v>0</v>
      </c>
      <c r="AQ216" s="120">
        <v>76.34828229902422</v>
      </c>
      <c r="AR216" s="120">
        <v>39.568374962587484</v>
      </c>
      <c r="AS216" s="120">
        <v>0</v>
      </c>
      <c r="AT216" s="120">
        <v>0</v>
      </c>
      <c r="AU216" s="120">
        <v>219.05964216241892</v>
      </c>
      <c r="AV216" s="120">
        <v>369.52174855461391</v>
      </c>
      <c r="AW216" s="120">
        <v>562.28718926089618</v>
      </c>
      <c r="AX216" s="120">
        <v>76.103855367516601</v>
      </c>
      <c r="AY216" s="120">
        <v>112.00023669264054</v>
      </c>
    </row>
    <row r="217" spans="1:51" x14ac:dyDescent="0.2">
      <c r="A217" s="119"/>
      <c r="B217" s="129">
        <v>9</v>
      </c>
      <c r="C217" s="116"/>
      <c r="D217" s="120">
        <v>0</v>
      </c>
      <c r="E217" s="120">
        <v>0</v>
      </c>
      <c r="F217" s="120">
        <v>0</v>
      </c>
      <c r="G217" s="120">
        <v>0</v>
      </c>
      <c r="H217" s="120">
        <v>0</v>
      </c>
      <c r="I217" s="120">
        <v>0</v>
      </c>
      <c r="J217" s="120">
        <v>0</v>
      </c>
      <c r="K217" s="120">
        <v>0</v>
      </c>
      <c r="L217" s="120">
        <v>0</v>
      </c>
      <c r="M217" s="120">
        <v>0</v>
      </c>
      <c r="N217" s="120">
        <v>0</v>
      </c>
      <c r="O217" s="120">
        <v>0</v>
      </c>
      <c r="P217" s="120">
        <v>0</v>
      </c>
      <c r="Q217" s="120">
        <v>0</v>
      </c>
      <c r="R217" s="120">
        <v>0</v>
      </c>
      <c r="S217" s="120">
        <v>0</v>
      </c>
      <c r="T217" s="120">
        <v>0</v>
      </c>
      <c r="U217" s="120">
        <v>0</v>
      </c>
      <c r="V217" s="120">
        <v>0</v>
      </c>
      <c r="W217" s="120">
        <v>0</v>
      </c>
      <c r="X217" s="120">
        <v>0</v>
      </c>
      <c r="Y217" s="120">
        <v>0</v>
      </c>
      <c r="Z217" s="120">
        <v>0</v>
      </c>
      <c r="AA217" s="120">
        <v>0</v>
      </c>
      <c r="AB217" s="120">
        <v>0</v>
      </c>
      <c r="AC217" s="120">
        <v>0</v>
      </c>
      <c r="AD217" s="120">
        <v>0</v>
      </c>
      <c r="AE217" s="120">
        <v>0</v>
      </c>
      <c r="AF217" s="120">
        <v>0</v>
      </c>
      <c r="AG217" s="120">
        <v>0</v>
      </c>
      <c r="AH217" s="120">
        <v>0</v>
      </c>
      <c r="AI217" s="120">
        <v>0</v>
      </c>
      <c r="AJ217" s="120">
        <v>0</v>
      </c>
      <c r="AK217" s="120">
        <v>222.1979425088355</v>
      </c>
      <c r="AL217" s="120">
        <v>62.437327131330349</v>
      </c>
      <c r="AM217" s="120">
        <v>234.66327569274728</v>
      </c>
      <c r="AN217" s="120">
        <v>358.94237160139039</v>
      </c>
      <c r="AO217" s="120">
        <v>333.57169723587981</v>
      </c>
      <c r="AP217" s="120">
        <v>387.80315337189461</v>
      </c>
      <c r="AQ217" s="120">
        <v>378.26058954717246</v>
      </c>
      <c r="AR217" s="120">
        <v>343.20114947201466</v>
      </c>
      <c r="AS217" s="120">
        <v>340</v>
      </c>
      <c r="AT217" s="120">
        <v>423.28206085489052</v>
      </c>
      <c r="AU217" s="120">
        <v>69.933461375484498</v>
      </c>
      <c r="AV217" s="120">
        <v>262.16725535708332</v>
      </c>
      <c r="AW217" s="120">
        <v>150.10043397055037</v>
      </c>
      <c r="AX217" s="120">
        <v>0</v>
      </c>
      <c r="AY217" s="120">
        <v>0</v>
      </c>
    </row>
    <row r="218" spans="1:51" x14ac:dyDescent="0.2">
      <c r="A218" s="119"/>
      <c r="B218" s="129">
        <v>10</v>
      </c>
      <c r="C218" s="116"/>
      <c r="D218" s="120">
        <v>0</v>
      </c>
      <c r="E218" s="120">
        <v>0</v>
      </c>
      <c r="F218" s="120">
        <v>0</v>
      </c>
      <c r="G218" s="120">
        <v>0</v>
      </c>
      <c r="H218" s="120">
        <v>0</v>
      </c>
      <c r="I218" s="120">
        <v>0</v>
      </c>
      <c r="J218" s="120">
        <v>0</v>
      </c>
      <c r="K218" s="120">
        <v>0</v>
      </c>
      <c r="L218" s="120">
        <v>0</v>
      </c>
      <c r="M218" s="120">
        <v>0</v>
      </c>
      <c r="N218" s="120">
        <v>0</v>
      </c>
      <c r="O218" s="120">
        <v>0</v>
      </c>
      <c r="P218" s="120">
        <v>0</v>
      </c>
      <c r="Q218" s="120">
        <v>0</v>
      </c>
      <c r="R218" s="120">
        <v>0</v>
      </c>
      <c r="S218" s="120">
        <v>0</v>
      </c>
      <c r="T218" s="120">
        <v>0</v>
      </c>
      <c r="U218" s="120">
        <v>0</v>
      </c>
      <c r="V218" s="120">
        <v>0</v>
      </c>
      <c r="W218" s="120">
        <v>0</v>
      </c>
      <c r="X218" s="120">
        <v>0</v>
      </c>
      <c r="Y218" s="120">
        <v>0</v>
      </c>
      <c r="Z218" s="120">
        <v>0</v>
      </c>
      <c r="AA218" s="120">
        <v>0</v>
      </c>
      <c r="AB218" s="120">
        <v>0</v>
      </c>
      <c r="AC218" s="120">
        <v>0</v>
      </c>
      <c r="AD218" s="120">
        <v>0</v>
      </c>
      <c r="AE218" s="120">
        <v>0</v>
      </c>
      <c r="AF218" s="120">
        <v>0</v>
      </c>
      <c r="AG218" s="120">
        <v>0</v>
      </c>
      <c r="AH218" s="120">
        <v>0</v>
      </c>
      <c r="AI218" s="120">
        <v>0</v>
      </c>
      <c r="AJ218" s="120">
        <v>0</v>
      </c>
      <c r="AK218" s="120">
        <v>0</v>
      </c>
      <c r="AL218" s="120">
        <v>35.057747236865275</v>
      </c>
      <c r="AM218" s="120">
        <v>0</v>
      </c>
      <c r="AN218" s="120">
        <v>32.641731559026965</v>
      </c>
      <c r="AO218" s="120">
        <v>18.533560821382693</v>
      </c>
      <c r="AP218" s="120">
        <v>51.225272359608923</v>
      </c>
      <c r="AQ218" s="120">
        <v>11.391128153803344</v>
      </c>
      <c r="AR218" s="120">
        <v>0</v>
      </c>
      <c r="AS218" s="120">
        <v>0</v>
      </c>
      <c r="AT218" s="120">
        <v>23.233539481692794</v>
      </c>
      <c r="AU218" s="120">
        <v>33.671705945785547</v>
      </c>
      <c r="AV218" s="120">
        <v>0</v>
      </c>
      <c r="AW218" s="120">
        <v>0</v>
      </c>
      <c r="AX218" s="120">
        <v>0</v>
      </c>
      <c r="AY218" s="120">
        <v>0</v>
      </c>
    </row>
    <row r="219" spans="1:51" x14ac:dyDescent="0.2">
      <c r="A219" s="119"/>
      <c r="B219" s="129">
        <v>11</v>
      </c>
      <c r="C219" s="116"/>
      <c r="D219" s="120">
        <v>0</v>
      </c>
      <c r="E219" s="120">
        <v>0</v>
      </c>
      <c r="F219" s="120">
        <v>0</v>
      </c>
      <c r="G219" s="120">
        <v>0</v>
      </c>
      <c r="H219" s="120">
        <v>0</v>
      </c>
      <c r="I219" s="120">
        <v>0</v>
      </c>
      <c r="J219" s="120">
        <v>0</v>
      </c>
      <c r="K219" s="120">
        <v>0</v>
      </c>
      <c r="L219" s="120">
        <v>0</v>
      </c>
      <c r="M219" s="120">
        <v>0</v>
      </c>
      <c r="N219" s="120">
        <v>0</v>
      </c>
      <c r="O219" s="120">
        <v>0</v>
      </c>
      <c r="P219" s="120">
        <v>0</v>
      </c>
      <c r="Q219" s="120">
        <v>0</v>
      </c>
      <c r="R219" s="120">
        <v>0</v>
      </c>
      <c r="S219" s="120">
        <v>0</v>
      </c>
      <c r="T219" s="120">
        <v>0</v>
      </c>
      <c r="U219" s="120">
        <v>0</v>
      </c>
      <c r="V219" s="120">
        <v>0</v>
      </c>
      <c r="W219" s="120">
        <v>0</v>
      </c>
      <c r="X219" s="120">
        <v>0</v>
      </c>
      <c r="Y219" s="120">
        <v>0</v>
      </c>
      <c r="Z219" s="120">
        <v>0</v>
      </c>
      <c r="AA219" s="120">
        <v>0</v>
      </c>
      <c r="AB219" s="120">
        <v>0</v>
      </c>
      <c r="AC219" s="120">
        <v>0</v>
      </c>
      <c r="AD219" s="120">
        <v>0</v>
      </c>
      <c r="AE219" s="120">
        <v>0</v>
      </c>
      <c r="AF219" s="120">
        <v>0</v>
      </c>
      <c r="AG219" s="120">
        <v>0</v>
      </c>
      <c r="AH219" s="120">
        <v>0</v>
      </c>
      <c r="AI219" s="120">
        <v>0</v>
      </c>
      <c r="AJ219" s="120">
        <v>0</v>
      </c>
      <c r="AK219" s="120">
        <v>0</v>
      </c>
      <c r="AL219" s="120">
        <v>0</v>
      </c>
      <c r="AM219" s="120">
        <v>0</v>
      </c>
      <c r="AN219" s="120">
        <v>0</v>
      </c>
      <c r="AO219" s="120">
        <v>0</v>
      </c>
      <c r="AP219" s="120">
        <v>0</v>
      </c>
      <c r="AQ219" s="120">
        <v>0</v>
      </c>
      <c r="AR219" s="120">
        <v>0</v>
      </c>
      <c r="AS219" s="120">
        <v>0</v>
      </c>
      <c r="AT219" s="120">
        <v>0</v>
      </c>
      <c r="AU219" s="120">
        <v>0</v>
      </c>
      <c r="AV219" s="120">
        <v>0</v>
      </c>
      <c r="AW219" s="120">
        <v>0</v>
      </c>
      <c r="AX219" s="120">
        <v>0</v>
      </c>
      <c r="AY219" s="120">
        <v>0</v>
      </c>
    </row>
    <row r="220" spans="1:51" x14ac:dyDescent="0.2">
      <c r="A220" s="119"/>
      <c r="B220" s="129">
        <v>12</v>
      </c>
      <c r="C220" s="116"/>
      <c r="D220" s="120">
        <v>0</v>
      </c>
      <c r="E220" s="120">
        <v>0</v>
      </c>
      <c r="F220" s="120">
        <v>0</v>
      </c>
      <c r="G220" s="120">
        <v>0</v>
      </c>
      <c r="H220" s="120">
        <v>0</v>
      </c>
      <c r="I220" s="120">
        <v>0</v>
      </c>
      <c r="J220" s="120">
        <v>0</v>
      </c>
      <c r="K220" s="120">
        <v>0</v>
      </c>
      <c r="L220" s="120">
        <v>0</v>
      </c>
      <c r="M220" s="120">
        <v>0</v>
      </c>
      <c r="N220" s="120">
        <v>0</v>
      </c>
      <c r="O220" s="120">
        <v>0</v>
      </c>
      <c r="P220" s="120">
        <v>0</v>
      </c>
      <c r="Q220" s="120">
        <v>0</v>
      </c>
      <c r="R220" s="120">
        <v>0</v>
      </c>
      <c r="S220" s="120">
        <v>0</v>
      </c>
      <c r="T220" s="120">
        <v>0</v>
      </c>
      <c r="U220" s="120">
        <v>0</v>
      </c>
      <c r="V220" s="120">
        <v>0</v>
      </c>
      <c r="W220" s="120">
        <v>0</v>
      </c>
      <c r="X220" s="120">
        <v>0</v>
      </c>
      <c r="Y220" s="120">
        <v>0</v>
      </c>
      <c r="Z220" s="120">
        <v>0</v>
      </c>
      <c r="AA220" s="120">
        <v>0</v>
      </c>
      <c r="AB220" s="120">
        <v>0</v>
      </c>
      <c r="AC220" s="120">
        <v>0</v>
      </c>
      <c r="AD220" s="120">
        <v>0</v>
      </c>
      <c r="AE220" s="120">
        <v>0</v>
      </c>
      <c r="AF220" s="120">
        <v>0</v>
      </c>
      <c r="AG220" s="120">
        <v>0</v>
      </c>
      <c r="AH220" s="120">
        <v>0</v>
      </c>
      <c r="AI220" s="120">
        <v>0</v>
      </c>
      <c r="AJ220" s="120">
        <v>0</v>
      </c>
      <c r="AK220" s="120">
        <v>0</v>
      </c>
      <c r="AL220" s="120">
        <v>0</v>
      </c>
      <c r="AM220" s="120">
        <v>0</v>
      </c>
      <c r="AN220" s="120">
        <v>0</v>
      </c>
      <c r="AO220" s="120">
        <v>0</v>
      </c>
      <c r="AP220" s="120">
        <v>0</v>
      </c>
      <c r="AQ220" s="120">
        <v>0</v>
      </c>
      <c r="AR220" s="120">
        <v>0</v>
      </c>
      <c r="AS220" s="120">
        <v>0</v>
      </c>
      <c r="AT220" s="120">
        <v>0</v>
      </c>
      <c r="AU220" s="120">
        <v>0</v>
      </c>
      <c r="AV220" s="120">
        <v>0</v>
      </c>
      <c r="AW220" s="120">
        <v>0</v>
      </c>
      <c r="AX220" s="120">
        <v>0</v>
      </c>
      <c r="AY220" s="120">
        <v>0</v>
      </c>
    </row>
    <row r="221" spans="1:51" x14ac:dyDescent="0.2">
      <c r="A221" s="119"/>
      <c r="B221" s="130">
        <v>13</v>
      </c>
      <c r="C221" s="116"/>
      <c r="D221" s="120">
        <v>0</v>
      </c>
      <c r="E221" s="120">
        <v>0</v>
      </c>
      <c r="F221" s="120">
        <v>0</v>
      </c>
      <c r="G221" s="120">
        <v>0</v>
      </c>
      <c r="H221" s="120">
        <v>0</v>
      </c>
      <c r="I221" s="120">
        <v>0</v>
      </c>
      <c r="J221" s="120">
        <v>0</v>
      </c>
      <c r="K221" s="120">
        <v>0</v>
      </c>
      <c r="L221" s="120">
        <v>0</v>
      </c>
      <c r="M221" s="120">
        <v>0</v>
      </c>
      <c r="N221" s="120">
        <v>0</v>
      </c>
      <c r="O221" s="120">
        <v>0</v>
      </c>
      <c r="P221" s="120">
        <v>0</v>
      </c>
      <c r="Q221" s="120">
        <v>0</v>
      </c>
      <c r="R221" s="120">
        <v>0</v>
      </c>
      <c r="S221" s="120">
        <v>0</v>
      </c>
      <c r="T221" s="120">
        <v>0</v>
      </c>
      <c r="U221" s="120">
        <v>0</v>
      </c>
      <c r="V221" s="120">
        <v>0</v>
      </c>
      <c r="W221" s="120">
        <v>0</v>
      </c>
      <c r="X221" s="120">
        <v>0</v>
      </c>
      <c r="Y221" s="120">
        <v>0</v>
      </c>
      <c r="Z221" s="120">
        <v>0</v>
      </c>
      <c r="AA221" s="120">
        <v>0</v>
      </c>
      <c r="AB221" s="120">
        <v>0</v>
      </c>
      <c r="AC221" s="120">
        <v>0</v>
      </c>
      <c r="AD221" s="120">
        <v>0</v>
      </c>
      <c r="AE221" s="120">
        <v>0</v>
      </c>
      <c r="AF221" s="120">
        <v>0</v>
      </c>
      <c r="AG221" s="120">
        <v>0</v>
      </c>
      <c r="AH221" s="120">
        <v>0</v>
      </c>
      <c r="AI221" s="120">
        <v>0</v>
      </c>
      <c r="AJ221" s="120">
        <v>0</v>
      </c>
      <c r="AK221" s="120">
        <v>0</v>
      </c>
      <c r="AL221" s="120">
        <v>0</v>
      </c>
      <c r="AM221" s="120">
        <v>0</v>
      </c>
      <c r="AN221" s="120">
        <v>0</v>
      </c>
      <c r="AO221" s="120">
        <v>0</v>
      </c>
      <c r="AP221" s="120">
        <v>0</v>
      </c>
      <c r="AQ221" s="120">
        <v>0</v>
      </c>
      <c r="AR221" s="120">
        <v>0</v>
      </c>
      <c r="AS221" s="120">
        <v>0</v>
      </c>
      <c r="AT221" s="120">
        <v>0</v>
      </c>
      <c r="AU221" s="120">
        <v>0</v>
      </c>
      <c r="AV221" s="120">
        <v>0</v>
      </c>
      <c r="AW221" s="120">
        <v>0</v>
      </c>
      <c r="AX221" s="120">
        <v>0</v>
      </c>
      <c r="AY221" s="120">
        <v>0</v>
      </c>
    </row>
    <row r="222" spans="1:51" x14ac:dyDescent="0.2">
      <c r="A222" s="119"/>
      <c r="B222" s="130">
        <v>14</v>
      </c>
      <c r="C222" s="116"/>
      <c r="D222" s="120">
        <v>0</v>
      </c>
      <c r="E222" s="120">
        <v>0</v>
      </c>
      <c r="F222" s="120">
        <v>0</v>
      </c>
      <c r="G222" s="120">
        <v>0</v>
      </c>
      <c r="H222" s="120">
        <v>0</v>
      </c>
      <c r="I222" s="120">
        <v>0</v>
      </c>
      <c r="J222" s="120">
        <v>0</v>
      </c>
      <c r="K222" s="120">
        <v>0</v>
      </c>
      <c r="L222" s="120">
        <v>0</v>
      </c>
      <c r="M222" s="120">
        <v>0</v>
      </c>
      <c r="N222" s="120">
        <v>0</v>
      </c>
      <c r="O222" s="120">
        <v>0</v>
      </c>
      <c r="P222" s="120">
        <v>0</v>
      </c>
      <c r="Q222" s="120">
        <v>0</v>
      </c>
      <c r="R222" s="120">
        <v>0</v>
      </c>
      <c r="S222" s="120">
        <v>0</v>
      </c>
      <c r="T222" s="120">
        <v>0</v>
      </c>
      <c r="U222" s="120">
        <v>0</v>
      </c>
      <c r="V222" s="120">
        <v>0</v>
      </c>
      <c r="W222" s="120">
        <v>0</v>
      </c>
      <c r="X222" s="120">
        <v>0</v>
      </c>
      <c r="Y222" s="120">
        <v>0</v>
      </c>
      <c r="Z222" s="120">
        <v>0</v>
      </c>
      <c r="AA222" s="120">
        <v>0</v>
      </c>
      <c r="AB222" s="120">
        <v>0</v>
      </c>
      <c r="AC222" s="120">
        <v>0</v>
      </c>
      <c r="AD222" s="120">
        <v>0</v>
      </c>
      <c r="AE222" s="120">
        <v>0</v>
      </c>
      <c r="AF222" s="120">
        <v>0</v>
      </c>
      <c r="AG222" s="120">
        <v>0</v>
      </c>
      <c r="AH222" s="120">
        <v>0</v>
      </c>
      <c r="AI222" s="120">
        <v>0</v>
      </c>
      <c r="AJ222" s="120">
        <v>0</v>
      </c>
      <c r="AK222" s="120">
        <v>0</v>
      </c>
      <c r="AL222" s="120">
        <v>0</v>
      </c>
      <c r="AM222" s="120">
        <v>0</v>
      </c>
      <c r="AN222" s="120">
        <v>0</v>
      </c>
      <c r="AO222" s="120">
        <v>0</v>
      </c>
      <c r="AP222" s="120">
        <v>0</v>
      </c>
      <c r="AQ222" s="120">
        <v>0</v>
      </c>
      <c r="AR222" s="120">
        <v>0</v>
      </c>
      <c r="AS222" s="120">
        <v>0</v>
      </c>
      <c r="AT222" s="120">
        <v>0</v>
      </c>
      <c r="AU222" s="120">
        <v>0</v>
      </c>
      <c r="AV222" s="120">
        <v>0</v>
      </c>
      <c r="AW222" s="120">
        <v>0</v>
      </c>
      <c r="AX222" s="120">
        <v>0</v>
      </c>
      <c r="AY222" s="120">
        <v>0</v>
      </c>
    </row>
    <row r="223" spans="1:51" x14ac:dyDescent="0.2">
      <c r="A223" s="119"/>
      <c r="B223" s="130">
        <v>15</v>
      </c>
      <c r="C223" s="116"/>
      <c r="D223" s="120">
        <v>0</v>
      </c>
      <c r="E223" s="120">
        <v>0</v>
      </c>
      <c r="F223" s="120">
        <v>0</v>
      </c>
      <c r="G223" s="120">
        <v>0</v>
      </c>
      <c r="H223" s="120">
        <v>0</v>
      </c>
      <c r="I223" s="120">
        <v>0</v>
      </c>
      <c r="J223" s="120">
        <v>0</v>
      </c>
      <c r="K223" s="120">
        <v>0</v>
      </c>
      <c r="L223" s="120">
        <v>0</v>
      </c>
      <c r="M223" s="120">
        <v>0</v>
      </c>
      <c r="N223" s="120">
        <v>0</v>
      </c>
      <c r="O223" s="120">
        <v>0</v>
      </c>
      <c r="P223" s="120">
        <v>0</v>
      </c>
      <c r="Q223" s="120">
        <v>0</v>
      </c>
      <c r="R223" s="120">
        <v>0</v>
      </c>
      <c r="S223" s="120">
        <v>0</v>
      </c>
      <c r="T223" s="120">
        <v>0</v>
      </c>
      <c r="U223" s="120">
        <v>0</v>
      </c>
      <c r="V223" s="120">
        <v>0</v>
      </c>
      <c r="W223" s="120">
        <v>0</v>
      </c>
      <c r="X223" s="120">
        <v>0</v>
      </c>
      <c r="Y223" s="120">
        <v>0</v>
      </c>
      <c r="Z223" s="120">
        <v>0</v>
      </c>
      <c r="AA223" s="120">
        <v>0</v>
      </c>
      <c r="AB223" s="120">
        <v>0</v>
      </c>
      <c r="AC223" s="120">
        <v>0</v>
      </c>
      <c r="AD223" s="120">
        <v>0</v>
      </c>
      <c r="AE223" s="120">
        <v>0</v>
      </c>
      <c r="AF223" s="120">
        <v>0</v>
      </c>
      <c r="AG223" s="120">
        <v>0</v>
      </c>
      <c r="AH223" s="120">
        <v>0</v>
      </c>
      <c r="AI223" s="120">
        <v>0</v>
      </c>
      <c r="AJ223" s="120">
        <v>0</v>
      </c>
      <c r="AK223" s="120">
        <v>0</v>
      </c>
      <c r="AL223" s="120">
        <v>0</v>
      </c>
      <c r="AM223" s="120">
        <v>0</v>
      </c>
      <c r="AN223" s="120">
        <v>0</v>
      </c>
      <c r="AO223" s="120">
        <v>0</v>
      </c>
      <c r="AP223" s="120">
        <v>0</v>
      </c>
      <c r="AQ223" s="120">
        <v>0</v>
      </c>
      <c r="AR223" s="120">
        <v>0</v>
      </c>
      <c r="AS223" s="120">
        <v>0</v>
      </c>
      <c r="AT223" s="120">
        <v>0</v>
      </c>
      <c r="AU223" s="120">
        <v>0</v>
      </c>
      <c r="AV223" s="120">
        <v>0</v>
      </c>
      <c r="AW223" s="120">
        <v>0</v>
      </c>
      <c r="AX223" s="120">
        <v>0</v>
      </c>
      <c r="AY223" s="120">
        <v>0</v>
      </c>
    </row>
    <row r="224" spans="1:51" x14ac:dyDescent="0.2">
      <c r="A224" s="119"/>
      <c r="B224" s="130">
        <v>16</v>
      </c>
      <c r="C224" s="116"/>
      <c r="D224" s="120">
        <v>0</v>
      </c>
      <c r="E224" s="120">
        <v>0</v>
      </c>
      <c r="F224" s="120">
        <v>0</v>
      </c>
      <c r="G224" s="120">
        <v>0</v>
      </c>
      <c r="H224" s="120">
        <v>0</v>
      </c>
      <c r="I224" s="120">
        <v>0</v>
      </c>
      <c r="J224" s="120">
        <v>0</v>
      </c>
      <c r="K224" s="120">
        <v>0</v>
      </c>
      <c r="L224" s="120">
        <v>0</v>
      </c>
      <c r="M224" s="120">
        <v>0</v>
      </c>
      <c r="N224" s="120">
        <v>0</v>
      </c>
      <c r="O224" s="120">
        <v>0</v>
      </c>
      <c r="P224" s="120">
        <v>0</v>
      </c>
      <c r="Q224" s="120">
        <v>0</v>
      </c>
      <c r="R224" s="120">
        <v>0</v>
      </c>
      <c r="S224" s="120">
        <v>0</v>
      </c>
      <c r="T224" s="120">
        <v>0</v>
      </c>
      <c r="U224" s="120">
        <v>0</v>
      </c>
      <c r="V224" s="120">
        <v>0</v>
      </c>
      <c r="W224" s="120">
        <v>0</v>
      </c>
      <c r="X224" s="120">
        <v>0</v>
      </c>
      <c r="Y224" s="120">
        <v>0</v>
      </c>
      <c r="Z224" s="120">
        <v>0</v>
      </c>
      <c r="AA224" s="120">
        <v>0</v>
      </c>
      <c r="AB224" s="120">
        <v>0</v>
      </c>
      <c r="AC224" s="120">
        <v>0</v>
      </c>
      <c r="AD224" s="120">
        <v>0</v>
      </c>
      <c r="AE224" s="120">
        <v>0</v>
      </c>
      <c r="AF224" s="120">
        <v>0</v>
      </c>
      <c r="AG224" s="120">
        <v>0</v>
      </c>
      <c r="AH224" s="120">
        <v>0</v>
      </c>
      <c r="AI224" s="120">
        <v>0</v>
      </c>
      <c r="AJ224" s="120">
        <v>0</v>
      </c>
      <c r="AK224" s="120">
        <v>0</v>
      </c>
      <c r="AL224" s="120">
        <v>0</v>
      </c>
      <c r="AM224" s="120">
        <v>0</v>
      </c>
      <c r="AN224" s="120">
        <v>0</v>
      </c>
      <c r="AO224" s="120">
        <v>0</v>
      </c>
      <c r="AP224" s="120">
        <v>0</v>
      </c>
      <c r="AQ224" s="120">
        <v>0</v>
      </c>
      <c r="AR224" s="120">
        <v>0</v>
      </c>
      <c r="AS224" s="120">
        <v>0</v>
      </c>
      <c r="AT224" s="120">
        <v>0</v>
      </c>
      <c r="AU224" s="120">
        <v>0</v>
      </c>
      <c r="AV224" s="120">
        <v>0</v>
      </c>
      <c r="AW224" s="120">
        <v>0</v>
      </c>
      <c r="AX224" s="120">
        <v>0</v>
      </c>
      <c r="AY224" s="120">
        <v>0</v>
      </c>
    </row>
    <row r="225" spans="1:51" x14ac:dyDescent="0.2">
      <c r="A225" s="119"/>
      <c r="B225" s="130">
        <v>17</v>
      </c>
      <c r="C225" s="116"/>
      <c r="D225" s="120">
        <v>0</v>
      </c>
      <c r="E225" s="120">
        <v>0</v>
      </c>
      <c r="F225" s="120">
        <v>0</v>
      </c>
      <c r="G225" s="120">
        <v>0</v>
      </c>
      <c r="H225" s="120">
        <v>0</v>
      </c>
      <c r="I225" s="120">
        <v>0</v>
      </c>
      <c r="J225" s="120">
        <v>0</v>
      </c>
      <c r="K225" s="120">
        <v>0</v>
      </c>
      <c r="L225" s="120">
        <v>0</v>
      </c>
      <c r="M225" s="120">
        <v>0</v>
      </c>
      <c r="N225" s="120">
        <v>0</v>
      </c>
      <c r="O225" s="120">
        <v>0</v>
      </c>
      <c r="P225" s="120">
        <v>0</v>
      </c>
      <c r="Q225" s="120">
        <v>0</v>
      </c>
      <c r="R225" s="120">
        <v>0</v>
      </c>
      <c r="S225" s="120">
        <v>0</v>
      </c>
      <c r="T225" s="120">
        <v>0</v>
      </c>
      <c r="U225" s="120">
        <v>0</v>
      </c>
      <c r="V225" s="120">
        <v>0</v>
      </c>
      <c r="W225" s="120">
        <v>0</v>
      </c>
      <c r="X225" s="120">
        <v>0</v>
      </c>
      <c r="Y225" s="120">
        <v>0</v>
      </c>
      <c r="Z225" s="120">
        <v>0</v>
      </c>
      <c r="AA225" s="120">
        <v>0</v>
      </c>
      <c r="AB225" s="120">
        <v>0</v>
      </c>
      <c r="AC225" s="120">
        <v>0</v>
      </c>
      <c r="AD225" s="120">
        <v>0</v>
      </c>
      <c r="AE225" s="120">
        <v>0</v>
      </c>
      <c r="AF225" s="120">
        <v>0</v>
      </c>
      <c r="AG225" s="120">
        <v>0</v>
      </c>
      <c r="AH225" s="120">
        <v>0</v>
      </c>
      <c r="AI225" s="120">
        <v>0</v>
      </c>
      <c r="AJ225" s="120">
        <v>0</v>
      </c>
      <c r="AK225" s="120">
        <v>0</v>
      </c>
      <c r="AL225" s="120">
        <v>0</v>
      </c>
      <c r="AM225" s="120">
        <v>0</v>
      </c>
      <c r="AN225" s="120">
        <v>0</v>
      </c>
      <c r="AO225" s="120">
        <v>0</v>
      </c>
      <c r="AP225" s="120">
        <v>0</v>
      </c>
      <c r="AQ225" s="120">
        <v>0</v>
      </c>
      <c r="AR225" s="120">
        <v>0</v>
      </c>
      <c r="AS225" s="120">
        <v>0</v>
      </c>
      <c r="AT225" s="120">
        <v>0</v>
      </c>
      <c r="AU225" s="120">
        <v>0</v>
      </c>
      <c r="AV225" s="120">
        <v>0</v>
      </c>
      <c r="AW225" s="120">
        <v>0</v>
      </c>
      <c r="AX225" s="120">
        <v>0</v>
      </c>
      <c r="AY225" s="120">
        <v>0</v>
      </c>
    </row>
    <row r="226" spans="1:51" x14ac:dyDescent="0.2">
      <c r="A226" s="119"/>
      <c r="B226" s="130">
        <v>18</v>
      </c>
      <c r="C226" s="116"/>
      <c r="D226" s="120">
        <v>0</v>
      </c>
      <c r="E226" s="120">
        <v>0</v>
      </c>
      <c r="F226" s="120">
        <v>0</v>
      </c>
      <c r="G226" s="120">
        <v>0</v>
      </c>
      <c r="H226" s="120">
        <v>0</v>
      </c>
      <c r="I226" s="120">
        <v>0</v>
      </c>
      <c r="J226" s="120">
        <v>0</v>
      </c>
      <c r="K226" s="120">
        <v>0</v>
      </c>
      <c r="L226" s="120">
        <v>0</v>
      </c>
      <c r="M226" s="120">
        <v>0</v>
      </c>
      <c r="N226" s="120">
        <v>0</v>
      </c>
      <c r="O226" s="120">
        <v>0</v>
      </c>
      <c r="P226" s="120">
        <v>0</v>
      </c>
      <c r="Q226" s="120">
        <v>0</v>
      </c>
      <c r="R226" s="120">
        <v>0</v>
      </c>
      <c r="S226" s="120">
        <v>0</v>
      </c>
      <c r="T226" s="120">
        <v>0</v>
      </c>
      <c r="U226" s="120">
        <v>0</v>
      </c>
      <c r="V226" s="120">
        <v>0</v>
      </c>
      <c r="W226" s="120">
        <v>0</v>
      </c>
      <c r="X226" s="120">
        <v>0</v>
      </c>
      <c r="Y226" s="120">
        <v>0</v>
      </c>
      <c r="Z226" s="120">
        <v>0</v>
      </c>
      <c r="AA226" s="120">
        <v>0</v>
      </c>
      <c r="AB226" s="120">
        <v>0</v>
      </c>
      <c r="AC226" s="120">
        <v>0</v>
      </c>
      <c r="AD226" s="120">
        <v>0</v>
      </c>
      <c r="AE226" s="120">
        <v>0</v>
      </c>
      <c r="AF226" s="120">
        <v>0</v>
      </c>
      <c r="AG226" s="120">
        <v>0</v>
      </c>
      <c r="AH226" s="120">
        <v>0</v>
      </c>
      <c r="AI226" s="120">
        <v>0</v>
      </c>
      <c r="AJ226" s="120">
        <v>0</v>
      </c>
      <c r="AK226" s="120">
        <v>0</v>
      </c>
      <c r="AL226" s="120">
        <v>0</v>
      </c>
      <c r="AM226" s="120">
        <v>0</v>
      </c>
      <c r="AN226" s="120">
        <v>0</v>
      </c>
      <c r="AO226" s="120">
        <v>0</v>
      </c>
      <c r="AP226" s="120">
        <v>0</v>
      </c>
      <c r="AQ226" s="120">
        <v>0</v>
      </c>
      <c r="AR226" s="120">
        <v>0</v>
      </c>
      <c r="AS226" s="120">
        <v>0</v>
      </c>
      <c r="AT226" s="120">
        <v>0</v>
      </c>
      <c r="AU226" s="120">
        <v>0</v>
      </c>
      <c r="AV226" s="120">
        <v>0</v>
      </c>
      <c r="AW226" s="120">
        <v>0</v>
      </c>
      <c r="AX226" s="120">
        <v>0</v>
      </c>
      <c r="AY226" s="120">
        <v>0</v>
      </c>
    </row>
    <row r="227" spans="1:51" x14ac:dyDescent="0.2">
      <c r="A227" s="119"/>
      <c r="B227" s="130">
        <v>19</v>
      </c>
      <c r="C227" s="116"/>
      <c r="D227" s="120">
        <v>0</v>
      </c>
      <c r="E227" s="120">
        <v>0</v>
      </c>
      <c r="F227" s="120">
        <v>0</v>
      </c>
      <c r="G227" s="120">
        <v>0</v>
      </c>
      <c r="H227" s="120">
        <v>0</v>
      </c>
      <c r="I227" s="120">
        <v>0</v>
      </c>
      <c r="J227" s="120">
        <v>0</v>
      </c>
      <c r="K227" s="120">
        <v>0</v>
      </c>
      <c r="L227" s="120">
        <v>0</v>
      </c>
      <c r="M227" s="120">
        <v>0</v>
      </c>
      <c r="N227" s="120">
        <v>0</v>
      </c>
      <c r="O227" s="120">
        <v>0</v>
      </c>
      <c r="P227" s="120">
        <v>0</v>
      </c>
      <c r="Q227" s="120">
        <v>0</v>
      </c>
      <c r="R227" s="120">
        <v>0</v>
      </c>
      <c r="S227" s="120">
        <v>0</v>
      </c>
      <c r="T227" s="120">
        <v>0</v>
      </c>
      <c r="U227" s="120">
        <v>0</v>
      </c>
      <c r="V227" s="120">
        <v>0</v>
      </c>
      <c r="W227" s="120">
        <v>0</v>
      </c>
      <c r="X227" s="120">
        <v>0</v>
      </c>
      <c r="Y227" s="120">
        <v>0</v>
      </c>
      <c r="Z227" s="120">
        <v>0</v>
      </c>
      <c r="AA227" s="120">
        <v>0</v>
      </c>
      <c r="AB227" s="120">
        <v>0</v>
      </c>
      <c r="AC227" s="120">
        <v>0</v>
      </c>
      <c r="AD227" s="120">
        <v>0</v>
      </c>
      <c r="AE227" s="120">
        <v>0</v>
      </c>
      <c r="AF227" s="120">
        <v>0</v>
      </c>
      <c r="AG227" s="120">
        <v>0</v>
      </c>
      <c r="AH227" s="120">
        <v>0</v>
      </c>
      <c r="AI227" s="120">
        <v>0</v>
      </c>
      <c r="AJ227" s="120">
        <v>0</v>
      </c>
      <c r="AK227" s="120">
        <v>0</v>
      </c>
      <c r="AL227" s="120">
        <v>0</v>
      </c>
      <c r="AM227" s="120">
        <v>0</v>
      </c>
      <c r="AN227" s="120">
        <v>0</v>
      </c>
      <c r="AO227" s="120">
        <v>0</v>
      </c>
      <c r="AP227" s="120">
        <v>0</v>
      </c>
      <c r="AQ227" s="120">
        <v>0</v>
      </c>
      <c r="AR227" s="120">
        <v>0</v>
      </c>
      <c r="AS227" s="120">
        <v>0</v>
      </c>
      <c r="AT227" s="120">
        <v>0</v>
      </c>
      <c r="AU227" s="120">
        <v>0</v>
      </c>
      <c r="AV227" s="120">
        <v>0</v>
      </c>
      <c r="AW227" s="120">
        <v>0</v>
      </c>
      <c r="AX227" s="120">
        <v>0</v>
      </c>
      <c r="AY227" s="120">
        <v>0</v>
      </c>
    </row>
    <row r="228" spans="1:51" x14ac:dyDescent="0.2">
      <c r="A228" s="119"/>
      <c r="B228" s="130">
        <v>20</v>
      </c>
      <c r="C228" s="116"/>
      <c r="D228" s="120">
        <v>0</v>
      </c>
      <c r="E228" s="120">
        <v>0</v>
      </c>
      <c r="F228" s="120">
        <v>0</v>
      </c>
      <c r="G228" s="120">
        <v>0</v>
      </c>
      <c r="H228" s="120">
        <v>0</v>
      </c>
      <c r="I228" s="120">
        <v>0</v>
      </c>
      <c r="J228" s="120">
        <v>0</v>
      </c>
      <c r="K228" s="120">
        <v>0</v>
      </c>
      <c r="L228" s="120">
        <v>0</v>
      </c>
      <c r="M228" s="120">
        <v>0</v>
      </c>
      <c r="N228" s="120">
        <v>0</v>
      </c>
      <c r="O228" s="120">
        <v>0</v>
      </c>
      <c r="P228" s="120">
        <v>0</v>
      </c>
      <c r="Q228" s="120">
        <v>0</v>
      </c>
      <c r="R228" s="120">
        <v>0</v>
      </c>
      <c r="S228" s="120">
        <v>0</v>
      </c>
      <c r="T228" s="120">
        <v>0</v>
      </c>
      <c r="U228" s="120">
        <v>0</v>
      </c>
      <c r="V228" s="120">
        <v>0</v>
      </c>
      <c r="W228" s="120">
        <v>0</v>
      </c>
      <c r="X228" s="120">
        <v>0</v>
      </c>
      <c r="Y228" s="120">
        <v>0</v>
      </c>
      <c r="Z228" s="120">
        <v>0</v>
      </c>
      <c r="AA228" s="120">
        <v>0</v>
      </c>
      <c r="AB228" s="120">
        <v>0</v>
      </c>
      <c r="AC228" s="120">
        <v>0</v>
      </c>
      <c r="AD228" s="120">
        <v>0</v>
      </c>
      <c r="AE228" s="120">
        <v>0</v>
      </c>
      <c r="AF228" s="120">
        <v>0</v>
      </c>
      <c r="AG228" s="120">
        <v>0</v>
      </c>
      <c r="AH228" s="120">
        <v>0</v>
      </c>
      <c r="AI228" s="120">
        <v>0</v>
      </c>
      <c r="AJ228" s="120">
        <v>0</v>
      </c>
      <c r="AK228" s="120">
        <v>0</v>
      </c>
      <c r="AL228" s="120">
        <v>0</v>
      </c>
      <c r="AM228" s="120">
        <v>0</v>
      </c>
      <c r="AN228" s="120">
        <v>0</v>
      </c>
      <c r="AO228" s="120">
        <v>0</v>
      </c>
      <c r="AP228" s="120">
        <v>0</v>
      </c>
      <c r="AQ228" s="120">
        <v>0</v>
      </c>
      <c r="AR228" s="120">
        <v>0</v>
      </c>
      <c r="AS228" s="120">
        <v>0</v>
      </c>
      <c r="AT228" s="120">
        <v>0</v>
      </c>
      <c r="AU228" s="120">
        <v>0</v>
      </c>
      <c r="AV228" s="120">
        <v>0</v>
      </c>
      <c r="AW228" s="120">
        <v>0</v>
      </c>
      <c r="AX228" s="120">
        <v>0</v>
      </c>
      <c r="AY228" s="120">
        <v>0</v>
      </c>
    </row>
    <row r="229" spans="1:51" x14ac:dyDescent="0.2">
      <c r="A229" s="119"/>
      <c r="B229" s="130">
        <v>21</v>
      </c>
      <c r="C229" s="116"/>
      <c r="D229" s="120">
        <v>0</v>
      </c>
      <c r="E229" s="120">
        <v>0</v>
      </c>
      <c r="F229" s="120">
        <v>0</v>
      </c>
      <c r="G229" s="120">
        <v>0</v>
      </c>
      <c r="H229" s="120">
        <v>0</v>
      </c>
      <c r="I229" s="120">
        <v>0</v>
      </c>
      <c r="J229" s="120">
        <v>0</v>
      </c>
      <c r="K229" s="120">
        <v>0</v>
      </c>
      <c r="L229" s="120">
        <v>0</v>
      </c>
      <c r="M229" s="120">
        <v>0</v>
      </c>
      <c r="N229" s="120">
        <v>0</v>
      </c>
      <c r="O229" s="120">
        <v>0</v>
      </c>
      <c r="P229" s="120">
        <v>0</v>
      </c>
      <c r="Q229" s="120">
        <v>0</v>
      </c>
      <c r="R229" s="120">
        <v>0</v>
      </c>
      <c r="S229" s="120">
        <v>0</v>
      </c>
      <c r="T229" s="120">
        <v>0</v>
      </c>
      <c r="U229" s="120">
        <v>0</v>
      </c>
      <c r="V229" s="120">
        <v>0</v>
      </c>
      <c r="W229" s="120">
        <v>0</v>
      </c>
      <c r="X229" s="120">
        <v>0</v>
      </c>
      <c r="Y229" s="120">
        <v>0</v>
      </c>
      <c r="Z229" s="120">
        <v>0</v>
      </c>
      <c r="AA229" s="120">
        <v>0</v>
      </c>
      <c r="AB229" s="120">
        <v>0</v>
      </c>
      <c r="AC229" s="120">
        <v>0</v>
      </c>
      <c r="AD229" s="120">
        <v>0</v>
      </c>
      <c r="AE229" s="120">
        <v>0</v>
      </c>
      <c r="AF229" s="120">
        <v>0</v>
      </c>
      <c r="AG229" s="120">
        <v>0</v>
      </c>
      <c r="AH229" s="120">
        <v>0</v>
      </c>
      <c r="AI229" s="120">
        <v>0</v>
      </c>
      <c r="AJ229" s="120">
        <v>0</v>
      </c>
      <c r="AK229" s="120">
        <v>0</v>
      </c>
      <c r="AL229" s="120">
        <v>0</v>
      </c>
      <c r="AM229" s="120">
        <v>0</v>
      </c>
      <c r="AN229" s="120">
        <v>0</v>
      </c>
      <c r="AO229" s="120">
        <v>0</v>
      </c>
      <c r="AP229" s="120">
        <v>0</v>
      </c>
      <c r="AQ229" s="120">
        <v>0</v>
      </c>
      <c r="AR229" s="120">
        <v>0</v>
      </c>
      <c r="AS229" s="120">
        <v>0</v>
      </c>
      <c r="AT229" s="120">
        <v>0</v>
      </c>
      <c r="AU229" s="120">
        <v>0</v>
      </c>
      <c r="AV229" s="120">
        <v>0</v>
      </c>
      <c r="AW229" s="120">
        <v>0</v>
      </c>
      <c r="AX229" s="120">
        <v>0</v>
      </c>
      <c r="AY229" s="120">
        <v>0</v>
      </c>
    </row>
    <row r="230" spans="1:51" x14ac:dyDescent="0.2">
      <c r="A230" s="119"/>
      <c r="B230" s="130">
        <v>22</v>
      </c>
      <c r="C230" s="116"/>
      <c r="D230" s="120">
        <v>0</v>
      </c>
      <c r="E230" s="120">
        <v>0</v>
      </c>
      <c r="F230" s="120">
        <v>0</v>
      </c>
      <c r="G230" s="120">
        <v>0</v>
      </c>
      <c r="H230" s="120">
        <v>0</v>
      </c>
      <c r="I230" s="120">
        <v>0</v>
      </c>
      <c r="J230" s="120">
        <v>0</v>
      </c>
      <c r="K230" s="120">
        <v>0</v>
      </c>
      <c r="L230" s="120">
        <v>0</v>
      </c>
      <c r="M230" s="120">
        <v>0</v>
      </c>
      <c r="N230" s="120">
        <v>0</v>
      </c>
      <c r="O230" s="120">
        <v>0</v>
      </c>
      <c r="P230" s="120">
        <v>0</v>
      </c>
      <c r="Q230" s="120">
        <v>0</v>
      </c>
      <c r="R230" s="120">
        <v>0</v>
      </c>
      <c r="S230" s="120">
        <v>0</v>
      </c>
      <c r="T230" s="120">
        <v>0</v>
      </c>
      <c r="U230" s="120">
        <v>0</v>
      </c>
      <c r="V230" s="120">
        <v>0</v>
      </c>
      <c r="W230" s="120">
        <v>0</v>
      </c>
      <c r="X230" s="120">
        <v>0</v>
      </c>
      <c r="Y230" s="120">
        <v>0</v>
      </c>
      <c r="Z230" s="120">
        <v>0</v>
      </c>
      <c r="AA230" s="120">
        <v>0</v>
      </c>
      <c r="AB230" s="120">
        <v>0</v>
      </c>
      <c r="AC230" s="120">
        <v>0</v>
      </c>
      <c r="AD230" s="120">
        <v>0</v>
      </c>
      <c r="AE230" s="120">
        <v>0</v>
      </c>
      <c r="AF230" s="120">
        <v>0</v>
      </c>
      <c r="AG230" s="120">
        <v>0</v>
      </c>
      <c r="AH230" s="120">
        <v>0</v>
      </c>
      <c r="AI230" s="120">
        <v>0</v>
      </c>
      <c r="AJ230" s="120">
        <v>0</v>
      </c>
      <c r="AK230" s="120">
        <v>0</v>
      </c>
      <c r="AL230" s="120">
        <v>0</v>
      </c>
      <c r="AM230" s="120">
        <v>0</v>
      </c>
      <c r="AN230" s="120">
        <v>0</v>
      </c>
      <c r="AO230" s="120">
        <v>0</v>
      </c>
      <c r="AP230" s="120">
        <v>0</v>
      </c>
      <c r="AQ230" s="120">
        <v>0</v>
      </c>
      <c r="AR230" s="120">
        <v>0</v>
      </c>
      <c r="AS230" s="120">
        <v>0</v>
      </c>
      <c r="AT230" s="120">
        <v>0</v>
      </c>
      <c r="AU230" s="120">
        <v>0</v>
      </c>
      <c r="AV230" s="120">
        <v>0</v>
      </c>
      <c r="AW230" s="120">
        <v>0</v>
      </c>
      <c r="AX230" s="120">
        <v>0</v>
      </c>
      <c r="AY230" s="120">
        <v>0</v>
      </c>
    </row>
    <row r="231" spans="1:51" x14ac:dyDescent="0.2">
      <c r="A231" s="119"/>
      <c r="B231" s="130">
        <v>23</v>
      </c>
      <c r="C231" s="116"/>
      <c r="D231" s="120">
        <v>0</v>
      </c>
      <c r="E231" s="120">
        <v>0</v>
      </c>
      <c r="F231" s="120">
        <v>0</v>
      </c>
      <c r="G231" s="120">
        <v>0</v>
      </c>
      <c r="H231" s="120">
        <v>0</v>
      </c>
      <c r="I231" s="120">
        <v>0</v>
      </c>
      <c r="J231" s="120">
        <v>0</v>
      </c>
      <c r="K231" s="120">
        <v>0</v>
      </c>
      <c r="L231" s="120">
        <v>0</v>
      </c>
      <c r="M231" s="120">
        <v>0</v>
      </c>
      <c r="N231" s="120">
        <v>0</v>
      </c>
      <c r="O231" s="120">
        <v>0</v>
      </c>
      <c r="P231" s="120">
        <v>0</v>
      </c>
      <c r="Q231" s="120">
        <v>0</v>
      </c>
      <c r="R231" s="120">
        <v>0</v>
      </c>
      <c r="S231" s="120">
        <v>0</v>
      </c>
      <c r="T231" s="120">
        <v>0</v>
      </c>
      <c r="U231" s="120">
        <v>0</v>
      </c>
      <c r="V231" s="120">
        <v>0</v>
      </c>
      <c r="W231" s="120">
        <v>0</v>
      </c>
      <c r="X231" s="120">
        <v>0</v>
      </c>
      <c r="Y231" s="120">
        <v>0</v>
      </c>
      <c r="Z231" s="120">
        <v>0</v>
      </c>
      <c r="AA231" s="120">
        <v>0</v>
      </c>
      <c r="AB231" s="120">
        <v>0</v>
      </c>
      <c r="AC231" s="120">
        <v>0</v>
      </c>
      <c r="AD231" s="120">
        <v>0</v>
      </c>
      <c r="AE231" s="120">
        <v>0</v>
      </c>
      <c r="AF231" s="120">
        <v>0</v>
      </c>
      <c r="AG231" s="120">
        <v>0</v>
      </c>
      <c r="AH231" s="120">
        <v>0</v>
      </c>
      <c r="AI231" s="120">
        <v>0</v>
      </c>
      <c r="AJ231" s="120">
        <v>0</v>
      </c>
      <c r="AK231" s="120">
        <v>0</v>
      </c>
      <c r="AL231" s="120">
        <v>0</v>
      </c>
      <c r="AM231" s="120">
        <v>0</v>
      </c>
      <c r="AN231" s="120">
        <v>0</v>
      </c>
      <c r="AO231" s="120">
        <v>0</v>
      </c>
      <c r="AP231" s="120">
        <v>0</v>
      </c>
      <c r="AQ231" s="120">
        <v>0</v>
      </c>
      <c r="AR231" s="120">
        <v>0</v>
      </c>
      <c r="AS231" s="120">
        <v>0</v>
      </c>
      <c r="AT231" s="120">
        <v>0</v>
      </c>
      <c r="AU231" s="120">
        <v>0</v>
      </c>
      <c r="AV231" s="120">
        <v>0</v>
      </c>
      <c r="AW231" s="120">
        <v>0</v>
      </c>
      <c r="AX231" s="120">
        <v>0</v>
      </c>
      <c r="AY231" s="120">
        <v>0</v>
      </c>
    </row>
    <row r="232" spans="1:51" x14ac:dyDescent="0.2">
      <c r="A232" s="119"/>
      <c r="B232" s="130">
        <v>24</v>
      </c>
      <c r="C232" s="116"/>
      <c r="D232" s="120">
        <v>0</v>
      </c>
      <c r="E232" s="120">
        <v>0</v>
      </c>
      <c r="F232" s="120">
        <v>0</v>
      </c>
      <c r="G232" s="120">
        <v>0</v>
      </c>
      <c r="H232" s="120">
        <v>0</v>
      </c>
      <c r="I232" s="120">
        <v>0</v>
      </c>
      <c r="J232" s="120">
        <v>0</v>
      </c>
      <c r="K232" s="120">
        <v>0</v>
      </c>
      <c r="L232" s="120">
        <v>0</v>
      </c>
      <c r="M232" s="120">
        <v>0</v>
      </c>
      <c r="N232" s="120">
        <v>0</v>
      </c>
      <c r="O232" s="120">
        <v>0</v>
      </c>
      <c r="P232" s="120">
        <v>0</v>
      </c>
      <c r="Q232" s="120">
        <v>0</v>
      </c>
      <c r="R232" s="120">
        <v>0</v>
      </c>
      <c r="S232" s="120">
        <v>0</v>
      </c>
      <c r="T232" s="120">
        <v>0</v>
      </c>
      <c r="U232" s="120">
        <v>0</v>
      </c>
      <c r="V232" s="120">
        <v>0</v>
      </c>
      <c r="W232" s="120">
        <v>0</v>
      </c>
      <c r="X232" s="120">
        <v>0</v>
      </c>
      <c r="Y232" s="120">
        <v>0</v>
      </c>
      <c r="Z232" s="120">
        <v>0</v>
      </c>
      <c r="AA232" s="120">
        <v>0</v>
      </c>
      <c r="AB232" s="120">
        <v>0</v>
      </c>
      <c r="AC232" s="120">
        <v>0</v>
      </c>
      <c r="AD232" s="120">
        <v>0</v>
      </c>
      <c r="AE232" s="120">
        <v>0</v>
      </c>
      <c r="AF232" s="120">
        <v>0</v>
      </c>
      <c r="AG232" s="120">
        <v>0</v>
      </c>
      <c r="AH232" s="120">
        <v>0</v>
      </c>
      <c r="AI232" s="120">
        <v>0</v>
      </c>
      <c r="AJ232" s="120">
        <v>0</v>
      </c>
      <c r="AK232" s="120">
        <v>0</v>
      </c>
      <c r="AL232" s="120">
        <v>0</v>
      </c>
      <c r="AM232" s="120">
        <v>0</v>
      </c>
      <c r="AN232" s="120">
        <v>0</v>
      </c>
      <c r="AO232" s="120">
        <v>0</v>
      </c>
      <c r="AP232" s="120">
        <v>0</v>
      </c>
      <c r="AQ232" s="120">
        <v>0</v>
      </c>
      <c r="AR232" s="120">
        <v>0</v>
      </c>
      <c r="AS232" s="120">
        <v>0</v>
      </c>
      <c r="AT232" s="120">
        <v>0</v>
      </c>
      <c r="AU232" s="120">
        <v>0</v>
      </c>
      <c r="AV232" s="120">
        <v>0</v>
      </c>
      <c r="AW232" s="120">
        <v>0</v>
      </c>
      <c r="AX232" s="120">
        <v>0</v>
      </c>
      <c r="AY232" s="120">
        <v>0</v>
      </c>
    </row>
    <row r="233" spans="1:51" x14ac:dyDescent="0.2">
      <c r="A233" s="119"/>
      <c r="B233" s="137">
        <v>25</v>
      </c>
      <c r="C233" s="116"/>
      <c r="D233" s="120">
        <v>0</v>
      </c>
      <c r="E233" s="120">
        <v>0</v>
      </c>
      <c r="F233" s="120">
        <v>0</v>
      </c>
      <c r="G233" s="120">
        <v>0</v>
      </c>
      <c r="H233" s="120">
        <v>0</v>
      </c>
      <c r="I233" s="120">
        <v>0</v>
      </c>
      <c r="J233" s="120">
        <v>0</v>
      </c>
      <c r="K233" s="120">
        <v>0</v>
      </c>
      <c r="L233" s="120">
        <v>0</v>
      </c>
      <c r="M233" s="120">
        <v>0</v>
      </c>
      <c r="N233" s="120">
        <v>0</v>
      </c>
      <c r="O233" s="120">
        <v>0</v>
      </c>
      <c r="P233" s="120">
        <v>0</v>
      </c>
      <c r="Q233" s="120">
        <v>0</v>
      </c>
      <c r="R233" s="120">
        <v>0</v>
      </c>
      <c r="S233" s="120">
        <v>0</v>
      </c>
      <c r="T233" s="120">
        <v>0</v>
      </c>
      <c r="U233" s="120">
        <v>0</v>
      </c>
      <c r="V233" s="120">
        <v>0</v>
      </c>
      <c r="W233" s="120">
        <v>0</v>
      </c>
      <c r="X233" s="120">
        <v>0</v>
      </c>
      <c r="Y233" s="120">
        <v>0</v>
      </c>
      <c r="Z233" s="120">
        <v>0</v>
      </c>
      <c r="AA233" s="120">
        <v>0</v>
      </c>
      <c r="AB233" s="120">
        <v>0</v>
      </c>
      <c r="AC233" s="120">
        <v>0</v>
      </c>
      <c r="AD233" s="120">
        <v>0</v>
      </c>
      <c r="AE233" s="120">
        <v>0</v>
      </c>
      <c r="AF233" s="120">
        <v>0</v>
      </c>
      <c r="AG233" s="120">
        <v>0</v>
      </c>
      <c r="AH233" s="120">
        <v>0</v>
      </c>
      <c r="AI233" s="120">
        <v>0</v>
      </c>
      <c r="AJ233" s="120">
        <v>0</v>
      </c>
      <c r="AK233" s="120">
        <v>0</v>
      </c>
      <c r="AL233" s="120">
        <v>0</v>
      </c>
      <c r="AM233" s="120">
        <v>0</v>
      </c>
      <c r="AN233" s="120">
        <v>0</v>
      </c>
      <c r="AO233" s="120">
        <v>0</v>
      </c>
      <c r="AP233" s="120">
        <v>0</v>
      </c>
      <c r="AQ233" s="120">
        <v>0</v>
      </c>
      <c r="AR233" s="120">
        <v>0</v>
      </c>
      <c r="AS233" s="120">
        <v>0</v>
      </c>
      <c r="AT233" s="120">
        <v>0</v>
      </c>
      <c r="AU233" s="120">
        <v>0</v>
      </c>
      <c r="AV233" s="120">
        <v>0</v>
      </c>
      <c r="AW233" s="120">
        <v>0</v>
      </c>
      <c r="AX233" s="120">
        <v>0</v>
      </c>
      <c r="AY233" s="120">
        <v>0</v>
      </c>
    </row>
    <row r="234" spans="1:51" x14ac:dyDescent="0.2">
      <c r="A234" s="119"/>
      <c r="B234" s="137">
        <v>26</v>
      </c>
      <c r="C234" s="116"/>
      <c r="D234" s="120">
        <v>0</v>
      </c>
      <c r="E234" s="120">
        <v>0</v>
      </c>
      <c r="F234" s="120">
        <v>0</v>
      </c>
      <c r="G234" s="120">
        <v>0</v>
      </c>
      <c r="H234" s="120">
        <v>0</v>
      </c>
      <c r="I234" s="120">
        <v>0</v>
      </c>
      <c r="J234" s="120">
        <v>0</v>
      </c>
      <c r="K234" s="120">
        <v>0</v>
      </c>
      <c r="L234" s="120">
        <v>0</v>
      </c>
      <c r="M234" s="120">
        <v>0</v>
      </c>
      <c r="N234" s="120">
        <v>0</v>
      </c>
      <c r="O234" s="120">
        <v>0</v>
      </c>
      <c r="P234" s="120">
        <v>0</v>
      </c>
      <c r="Q234" s="120">
        <v>0</v>
      </c>
      <c r="R234" s="120">
        <v>0</v>
      </c>
      <c r="S234" s="120">
        <v>0</v>
      </c>
      <c r="T234" s="120">
        <v>0</v>
      </c>
      <c r="U234" s="120">
        <v>0</v>
      </c>
      <c r="V234" s="120">
        <v>0</v>
      </c>
      <c r="W234" s="120">
        <v>0</v>
      </c>
      <c r="X234" s="120">
        <v>0</v>
      </c>
      <c r="Y234" s="120">
        <v>0</v>
      </c>
      <c r="Z234" s="120">
        <v>0</v>
      </c>
      <c r="AA234" s="120">
        <v>0</v>
      </c>
      <c r="AB234" s="120">
        <v>0</v>
      </c>
      <c r="AC234" s="120">
        <v>0</v>
      </c>
      <c r="AD234" s="120">
        <v>0</v>
      </c>
      <c r="AE234" s="120">
        <v>0</v>
      </c>
      <c r="AF234" s="120">
        <v>0</v>
      </c>
      <c r="AG234" s="120">
        <v>0</v>
      </c>
      <c r="AH234" s="120">
        <v>0</v>
      </c>
      <c r="AI234" s="120">
        <v>0</v>
      </c>
      <c r="AJ234" s="120">
        <v>0</v>
      </c>
      <c r="AK234" s="120">
        <v>0</v>
      </c>
      <c r="AL234" s="120">
        <v>0</v>
      </c>
      <c r="AM234" s="120">
        <v>0</v>
      </c>
      <c r="AN234" s="120">
        <v>0</v>
      </c>
      <c r="AO234" s="120">
        <v>0</v>
      </c>
      <c r="AP234" s="120">
        <v>0</v>
      </c>
      <c r="AQ234" s="120">
        <v>0</v>
      </c>
      <c r="AR234" s="120">
        <v>0</v>
      </c>
      <c r="AS234" s="120">
        <v>0</v>
      </c>
      <c r="AT234" s="120">
        <v>0</v>
      </c>
      <c r="AU234" s="120">
        <v>0</v>
      </c>
      <c r="AV234" s="120">
        <v>0</v>
      </c>
      <c r="AW234" s="120">
        <v>0</v>
      </c>
      <c r="AX234" s="120">
        <v>0</v>
      </c>
      <c r="AY234" s="120">
        <v>0</v>
      </c>
    </row>
    <row r="235" spans="1:51" x14ac:dyDescent="0.2">
      <c r="A235" s="119"/>
      <c r="B235" s="137">
        <v>27</v>
      </c>
      <c r="C235" s="116"/>
      <c r="D235" s="120">
        <v>0</v>
      </c>
      <c r="E235" s="120">
        <v>0</v>
      </c>
      <c r="F235" s="120">
        <v>0</v>
      </c>
      <c r="G235" s="120">
        <v>0</v>
      </c>
      <c r="H235" s="120">
        <v>0</v>
      </c>
      <c r="I235" s="120">
        <v>0</v>
      </c>
      <c r="J235" s="120">
        <v>0</v>
      </c>
      <c r="K235" s="120">
        <v>0</v>
      </c>
      <c r="L235" s="120">
        <v>0</v>
      </c>
      <c r="M235" s="120">
        <v>0</v>
      </c>
      <c r="N235" s="120">
        <v>0</v>
      </c>
      <c r="O235" s="120">
        <v>0</v>
      </c>
      <c r="P235" s="120">
        <v>0</v>
      </c>
      <c r="Q235" s="120">
        <v>0</v>
      </c>
      <c r="R235" s="120">
        <v>0</v>
      </c>
      <c r="S235" s="120">
        <v>0</v>
      </c>
      <c r="T235" s="120">
        <v>0</v>
      </c>
      <c r="U235" s="120">
        <v>0</v>
      </c>
      <c r="V235" s="120">
        <v>0</v>
      </c>
      <c r="W235" s="120">
        <v>0</v>
      </c>
      <c r="X235" s="120">
        <v>0</v>
      </c>
      <c r="Y235" s="120">
        <v>0</v>
      </c>
      <c r="Z235" s="120">
        <v>0</v>
      </c>
      <c r="AA235" s="120">
        <v>0</v>
      </c>
      <c r="AB235" s="120">
        <v>0</v>
      </c>
      <c r="AC235" s="120">
        <v>0</v>
      </c>
      <c r="AD235" s="120">
        <v>0</v>
      </c>
      <c r="AE235" s="120">
        <v>0</v>
      </c>
      <c r="AF235" s="120">
        <v>0</v>
      </c>
      <c r="AG235" s="120">
        <v>0</v>
      </c>
      <c r="AH235" s="120">
        <v>0</v>
      </c>
      <c r="AI235" s="120">
        <v>0</v>
      </c>
      <c r="AJ235" s="120">
        <v>0</v>
      </c>
      <c r="AK235" s="120">
        <v>0</v>
      </c>
      <c r="AL235" s="120">
        <v>0</v>
      </c>
      <c r="AM235" s="120">
        <v>0</v>
      </c>
      <c r="AN235" s="120">
        <v>0</v>
      </c>
      <c r="AO235" s="120">
        <v>0</v>
      </c>
      <c r="AP235" s="120">
        <v>0</v>
      </c>
      <c r="AQ235" s="120">
        <v>0</v>
      </c>
      <c r="AR235" s="120">
        <v>0</v>
      </c>
      <c r="AS235" s="120">
        <v>0</v>
      </c>
      <c r="AT235" s="120">
        <v>0</v>
      </c>
      <c r="AU235" s="120">
        <v>0</v>
      </c>
      <c r="AV235" s="120">
        <v>0</v>
      </c>
      <c r="AW235" s="120">
        <v>0</v>
      </c>
      <c r="AX235" s="120">
        <v>0</v>
      </c>
      <c r="AY235" s="120">
        <v>0</v>
      </c>
    </row>
    <row r="236" spans="1:51" x14ac:dyDescent="0.2">
      <c r="A236" s="119"/>
      <c r="B236" s="137">
        <v>28</v>
      </c>
      <c r="C236" s="116"/>
      <c r="D236" s="120">
        <v>0</v>
      </c>
      <c r="E236" s="120">
        <v>0</v>
      </c>
      <c r="F236" s="120">
        <v>0</v>
      </c>
      <c r="G236" s="120">
        <v>0</v>
      </c>
      <c r="H236" s="120">
        <v>0</v>
      </c>
      <c r="I236" s="120">
        <v>0</v>
      </c>
      <c r="J236" s="120">
        <v>0</v>
      </c>
      <c r="K236" s="120">
        <v>0</v>
      </c>
      <c r="L236" s="120">
        <v>0</v>
      </c>
      <c r="M236" s="120">
        <v>0</v>
      </c>
      <c r="N236" s="120">
        <v>0</v>
      </c>
      <c r="O236" s="120">
        <v>0</v>
      </c>
      <c r="P236" s="120">
        <v>0</v>
      </c>
      <c r="Q236" s="120">
        <v>0</v>
      </c>
      <c r="R236" s="120">
        <v>0</v>
      </c>
      <c r="S236" s="120">
        <v>0</v>
      </c>
      <c r="T236" s="120">
        <v>0</v>
      </c>
      <c r="U236" s="120">
        <v>0</v>
      </c>
      <c r="V236" s="120">
        <v>0</v>
      </c>
      <c r="W236" s="120">
        <v>0</v>
      </c>
      <c r="X236" s="120">
        <v>0</v>
      </c>
      <c r="Y236" s="120">
        <v>0</v>
      </c>
      <c r="Z236" s="120">
        <v>0</v>
      </c>
      <c r="AA236" s="120">
        <v>0</v>
      </c>
      <c r="AB236" s="120">
        <v>0</v>
      </c>
      <c r="AC236" s="120">
        <v>0</v>
      </c>
      <c r="AD236" s="120">
        <v>0</v>
      </c>
      <c r="AE236" s="120">
        <v>0</v>
      </c>
      <c r="AF236" s="120">
        <v>0</v>
      </c>
      <c r="AG236" s="120">
        <v>0</v>
      </c>
      <c r="AH236" s="120">
        <v>0</v>
      </c>
      <c r="AI236" s="120">
        <v>0</v>
      </c>
      <c r="AJ236" s="120">
        <v>0</v>
      </c>
      <c r="AK236" s="120">
        <v>0</v>
      </c>
      <c r="AL236" s="120">
        <v>0</v>
      </c>
      <c r="AM236" s="120">
        <v>0</v>
      </c>
      <c r="AN236" s="120">
        <v>0</v>
      </c>
      <c r="AO236" s="120">
        <v>0</v>
      </c>
      <c r="AP236" s="120">
        <v>0</v>
      </c>
      <c r="AQ236" s="120">
        <v>0</v>
      </c>
      <c r="AR236" s="120">
        <v>0</v>
      </c>
      <c r="AS236" s="120">
        <v>0</v>
      </c>
      <c r="AT236" s="120">
        <v>0</v>
      </c>
      <c r="AU236" s="120">
        <v>0</v>
      </c>
      <c r="AV236" s="120">
        <v>0</v>
      </c>
      <c r="AW236" s="120">
        <v>0</v>
      </c>
      <c r="AX236" s="120">
        <v>0</v>
      </c>
      <c r="AY236" s="120">
        <v>0</v>
      </c>
    </row>
    <row r="237" spans="1:51" x14ac:dyDescent="0.2">
      <c r="A237" s="119"/>
      <c r="B237" s="137">
        <v>29</v>
      </c>
      <c r="C237" s="116"/>
      <c r="D237" s="120">
        <v>0</v>
      </c>
      <c r="E237" s="120">
        <v>0</v>
      </c>
      <c r="F237" s="120">
        <v>0</v>
      </c>
      <c r="G237" s="120">
        <v>0</v>
      </c>
      <c r="H237" s="120">
        <v>0</v>
      </c>
      <c r="I237" s="120">
        <v>0</v>
      </c>
      <c r="J237" s="120">
        <v>0</v>
      </c>
      <c r="K237" s="120">
        <v>0</v>
      </c>
      <c r="L237" s="120">
        <v>0</v>
      </c>
      <c r="M237" s="120">
        <v>0</v>
      </c>
      <c r="N237" s="120">
        <v>0</v>
      </c>
      <c r="O237" s="120">
        <v>0</v>
      </c>
      <c r="P237" s="120">
        <v>0</v>
      </c>
      <c r="Q237" s="120">
        <v>0</v>
      </c>
      <c r="R237" s="120">
        <v>0</v>
      </c>
      <c r="S237" s="120">
        <v>0</v>
      </c>
      <c r="T237" s="120">
        <v>0</v>
      </c>
      <c r="U237" s="120">
        <v>0</v>
      </c>
      <c r="V237" s="120">
        <v>0</v>
      </c>
      <c r="W237" s="120">
        <v>0</v>
      </c>
      <c r="X237" s="120">
        <v>0</v>
      </c>
      <c r="Y237" s="120">
        <v>0</v>
      </c>
      <c r="Z237" s="120">
        <v>0</v>
      </c>
      <c r="AA237" s="120">
        <v>0</v>
      </c>
      <c r="AB237" s="120">
        <v>0</v>
      </c>
      <c r="AC237" s="120">
        <v>0</v>
      </c>
      <c r="AD237" s="120">
        <v>0</v>
      </c>
      <c r="AE237" s="120">
        <v>0</v>
      </c>
      <c r="AF237" s="120">
        <v>0</v>
      </c>
      <c r="AG237" s="120">
        <v>0</v>
      </c>
      <c r="AH237" s="120">
        <v>0</v>
      </c>
      <c r="AI237" s="120">
        <v>0</v>
      </c>
      <c r="AJ237" s="120">
        <v>0</v>
      </c>
      <c r="AK237" s="120">
        <v>0</v>
      </c>
      <c r="AL237" s="120">
        <v>0</v>
      </c>
      <c r="AM237" s="120">
        <v>0</v>
      </c>
      <c r="AN237" s="120">
        <v>0</v>
      </c>
      <c r="AO237" s="120">
        <v>0</v>
      </c>
      <c r="AP237" s="120">
        <v>0</v>
      </c>
      <c r="AQ237" s="120">
        <v>0</v>
      </c>
      <c r="AR237" s="120">
        <v>0</v>
      </c>
      <c r="AS237" s="120">
        <v>0</v>
      </c>
      <c r="AT237" s="120">
        <v>0</v>
      </c>
      <c r="AU237" s="120">
        <v>0</v>
      </c>
      <c r="AV237" s="120">
        <v>0</v>
      </c>
      <c r="AW237" s="120">
        <v>0</v>
      </c>
      <c r="AX237" s="120">
        <v>0</v>
      </c>
      <c r="AY237" s="120">
        <v>0</v>
      </c>
    </row>
    <row r="238" spans="1:51" x14ac:dyDescent="0.2">
      <c r="A238" s="119"/>
      <c r="B238" s="137">
        <v>30</v>
      </c>
      <c r="C238" s="116"/>
      <c r="D238" s="120">
        <v>0</v>
      </c>
      <c r="E238" s="120">
        <v>0</v>
      </c>
      <c r="F238" s="120">
        <v>0</v>
      </c>
      <c r="G238" s="120">
        <v>0</v>
      </c>
      <c r="H238" s="120">
        <v>0</v>
      </c>
      <c r="I238" s="120">
        <v>0</v>
      </c>
      <c r="J238" s="120">
        <v>0</v>
      </c>
      <c r="K238" s="120">
        <v>0</v>
      </c>
      <c r="L238" s="120">
        <v>0</v>
      </c>
      <c r="M238" s="120">
        <v>0</v>
      </c>
      <c r="N238" s="120">
        <v>0</v>
      </c>
      <c r="O238" s="120">
        <v>0</v>
      </c>
      <c r="P238" s="120">
        <v>0</v>
      </c>
      <c r="Q238" s="120">
        <v>0</v>
      </c>
      <c r="R238" s="120">
        <v>0</v>
      </c>
      <c r="S238" s="120">
        <v>0</v>
      </c>
      <c r="T238" s="120">
        <v>0</v>
      </c>
      <c r="U238" s="120">
        <v>0</v>
      </c>
      <c r="V238" s="120">
        <v>0</v>
      </c>
      <c r="W238" s="120">
        <v>0</v>
      </c>
      <c r="X238" s="120">
        <v>0</v>
      </c>
      <c r="Y238" s="120">
        <v>0</v>
      </c>
      <c r="Z238" s="120">
        <v>0</v>
      </c>
      <c r="AA238" s="120">
        <v>0</v>
      </c>
      <c r="AB238" s="120">
        <v>0</v>
      </c>
      <c r="AC238" s="120">
        <v>0</v>
      </c>
      <c r="AD238" s="120">
        <v>0</v>
      </c>
      <c r="AE238" s="120">
        <v>0</v>
      </c>
      <c r="AF238" s="120">
        <v>0</v>
      </c>
      <c r="AG238" s="120">
        <v>0</v>
      </c>
      <c r="AH238" s="120">
        <v>0</v>
      </c>
      <c r="AI238" s="120">
        <v>0</v>
      </c>
      <c r="AJ238" s="120">
        <v>0</v>
      </c>
      <c r="AK238" s="120">
        <v>0</v>
      </c>
      <c r="AL238" s="120">
        <v>0</v>
      </c>
      <c r="AM238" s="120">
        <v>0</v>
      </c>
      <c r="AN238" s="120">
        <v>0</v>
      </c>
      <c r="AO238" s="120">
        <v>0</v>
      </c>
      <c r="AP238" s="120">
        <v>0</v>
      </c>
      <c r="AQ238" s="120">
        <v>0</v>
      </c>
      <c r="AR238" s="120">
        <v>0</v>
      </c>
      <c r="AS238" s="120">
        <v>0</v>
      </c>
      <c r="AT238" s="120">
        <v>0</v>
      </c>
      <c r="AU238" s="120">
        <v>0</v>
      </c>
      <c r="AV238" s="120">
        <v>0</v>
      </c>
      <c r="AW238" s="120">
        <v>0</v>
      </c>
      <c r="AX238" s="120">
        <v>0</v>
      </c>
      <c r="AY238" s="120">
        <v>0</v>
      </c>
    </row>
    <row r="239" spans="1:51" x14ac:dyDescent="0.2">
      <c r="A239" s="119"/>
      <c r="B239" s="137">
        <v>31</v>
      </c>
      <c r="C239" s="116"/>
      <c r="D239" s="120">
        <v>0</v>
      </c>
      <c r="E239" s="120">
        <v>0</v>
      </c>
      <c r="F239" s="120">
        <v>0</v>
      </c>
      <c r="G239" s="120">
        <v>0</v>
      </c>
      <c r="H239" s="120">
        <v>0</v>
      </c>
      <c r="I239" s="120">
        <v>0</v>
      </c>
      <c r="J239" s="120">
        <v>0</v>
      </c>
      <c r="K239" s="120">
        <v>0</v>
      </c>
      <c r="L239" s="120">
        <v>0</v>
      </c>
      <c r="M239" s="120">
        <v>0</v>
      </c>
      <c r="N239" s="120">
        <v>0</v>
      </c>
      <c r="O239" s="120">
        <v>0</v>
      </c>
      <c r="P239" s="120">
        <v>0</v>
      </c>
      <c r="Q239" s="120">
        <v>0</v>
      </c>
      <c r="R239" s="120">
        <v>0</v>
      </c>
      <c r="S239" s="120">
        <v>0</v>
      </c>
      <c r="T239" s="120">
        <v>0</v>
      </c>
      <c r="U239" s="120">
        <v>0</v>
      </c>
      <c r="V239" s="120">
        <v>0</v>
      </c>
      <c r="W239" s="120">
        <v>0</v>
      </c>
      <c r="X239" s="120">
        <v>0</v>
      </c>
      <c r="Y239" s="120">
        <v>0</v>
      </c>
      <c r="Z239" s="120">
        <v>0</v>
      </c>
      <c r="AA239" s="120">
        <v>0</v>
      </c>
      <c r="AB239" s="120">
        <v>0</v>
      </c>
      <c r="AC239" s="120">
        <v>0</v>
      </c>
      <c r="AD239" s="120">
        <v>0</v>
      </c>
      <c r="AE239" s="120">
        <v>0</v>
      </c>
      <c r="AF239" s="120">
        <v>0</v>
      </c>
      <c r="AG239" s="120">
        <v>0</v>
      </c>
      <c r="AH239" s="120">
        <v>0</v>
      </c>
      <c r="AI239" s="120">
        <v>0</v>
      </c>
      <c r="AJ239" s="120">
        <v>0</v>
      </c>
      <c r="AK239" s="120">
        <v>0</v>
      </c>
      <c r="AL239" s="120">
        <v>0</v>
      </c>
      <c r="AM239" s="120">
        <v>0</v>
      </c>
      <c r="AN239" s="120">
        <v>0</v>
      </c>
      <c r="AO239" s="120">
        <v>0</v>
      </c>
      <c r="AP239" s="120">
        <v>0</v>
      </c>
      <c r="AQ239" s="120">
        <v>0</v>
      </c>
      <c r="AR239" s="120">
        <v>0</v>
      </c>
      <c r="AS239" s="120">
        <v>0</v>
      </c>
      <c r="AT239" s="120">
        <v>0</v>
      </c>
      <c r="AU239" s="120">
        <v>0</v>
      </c>
      <c r="AV239" s="120">
        <v>0</v>
      </c>
      <c r="AW239" s="120">
        <v>0</v>
      </c>
      <c r="AX239" s="120">
        <v>0</v>
      </c>
      <c r="AY239" s="120">
        <v>0</v>
      </c>
    </row>
    <row r="240" spans="1:51" x14ac:dyDescent="0.2">
      <c r="A240" s="119"/>
      <c r="B240" s="137">
        <v>32</v>
      </c>
      <c r="C240" s="116"/>
      <c r="D240" s="120">
        <v>0</v>
      </c>
      <c r="E240" s="120">
        <v>0</v>
      </c>
      <c r="F240" s="120">
        <v>0</v>
      </c>
      <c r="G240" s="120">
        <v>0</v>
      </c>
      <c r="H240" s="120">
        <v>0</v>
      </c>
      <c r="I240" s="120">
        <v>0</v>
      </c>
      <c r="J240" s="120">
        <v>0</v>
      </c>
      <c r="K240" s="120">
        <v>0</v>
      </c>
      <c r="L240" s="120">
        <v>0</v>
      </c>
      <c r="M240" s="120">
        <v>0</v>
      </c>
      <c r="N240" s="120">
        <v>0</v>
      </c>
      <c r="O240" s="120">
        <v>0</v>
      </c>
      <c r="P240" s="120">
        <v>0</v>
      </c>
      <c r="Q240" s="120">
        <v>0</v>
      </c>
      <c r="R240" s="120">
        <v>0</v>
      </c>
      <c r="S240" s="120">
        <v>0</v>
      </c>
      <c r="T240" s="120">
        <v>0</v>
      </c>
      <c r="U240" s="120">
        <v>0</v>
      </c>
      <c r="V240" s="120">
        <v>0</v>
      </c>
      <c r="W240" s="120">
        <v>0</v>
      </c>
      <c r="X240" s="120">
        <v>0</v>
      </c>
      <c r="Y240" s="120">
        <v>0</v>
      </c>
      <c r="Z240" s="120">
        <v>0</v>
      </c>
      <c r="AA240" s="120">
        <v>0</v>
      </c>
      <c r="AB240" s="120">
        <v>0</v>
      </c>
      <c r="AC240" s="120">
        <v>0</v>
      </c>
      <c r="AD240" s="120">
        <v>0</v>
      </c>
      <c r="AE240" s="120">
        <v>0</v>
      </c>
      <c r="AF240" s="120">
        <v>0</v>
      </c>
      <c r="AG240" s="120">
        <v>0</v>
      </c>
      <c r="AH240" s="120">
        <v>0</v>
      </c>
      <c r="AI240" s="120">
        <v>0</v>
      </c>
      <c r="AJ240" s="120">
        <v>0</v>
      </c>
      <c r="AK240" s="120">
        <v>0</v>
      </c>
      <c r="AL240" s="120">
        <v>0</v>
      </c>
      <c r="AM240" s="120">
        <v>0</v>
      </c>
      <c r="AN240" s="120">
        <v>0</v>
      </c>
      <c r="AO240" s="120">
        <v>0</v>
      </c>
      <c r="AP240" s="120">
        <v>0</v>
      </c>
      <c r="AQ240" s="120">
        <v>0</v>
      </c>
      <c r="AR240" s="120">
        <v>0</v>
      </c>
      <c r="AS240" s="120">
        <v>0</v>
      </c>
      <c r="AT240" s="120">
        <v>0</v>
      </c>
      <c r="AU240" s="120">
        <v>0</v>
      </c>
      <c r="AV240" s="120">
        <v>0</v>
      </c>
      <c r="AW240" s="120">
        <v>0</v>
      </c>
      <c r="AX240" s="120">
        <v>0</v>
      </c>
      <c r="AY240" s="120">
        <v>0</v>
      </c>
    </row>
    <row r="241" spans="1:51" x14ac:dyDescent="0.2">
      <c r="A241" s="119"/>
      <c r="B241" s="137">
        <v>33</v>
      </c>
      <c r="C241" s="116"/>
      <c r="D241" s="120">
        <v>0</v>
      </c>
      <c r="E241" s="120">
        <v>0</v>
      </c>
      <c r="F241" s="120">
        <v>0</v>
      </c>
      <c r="G241" s="120">
        <v>0</v>
      </c>
      <c r="H241" s="120">
        <v>0</v>
      </c>
      <c r="I241" s="120">
        <v>0</v>
      </c>
      <c r="J241" s="120">
        <v>0</v>
      </c>
      <c r="K241" s="120">
        <v>0</v>
      </c>
      <c r="L241" s="120">
        <v>0</v>
      </c>
      <c r="M241" s="120">
        <v>0</v>
      </c>
      <c r="N241" s="120">
        <v>0</v>
      </c>
      <c r="O241" s="120">
        <v>0</v>
      </c>
      <c r="P241" s="120">
        <v>0</v>
      </c>
      <c r="Q241" s="120">
        <v>0</v>
      </c>
      <c r="R241" s="120">
        <v>0</v>
      </c>
      <c r="S241" s="120">
        <v>0</v>
      </c>
      <c r="T241" s="120">
        <v>0</v>
      </c>
      <c r="U241" s="120">
        <v>0</v>
      </c>
      <c r="V241" s="120">
        <v>0</v>
      </c>
      <c r="W241" s="120">
        <v>0</v>
      </c>
      <c r="X241" s="120">
        <v>0</v>
      </c>
      <c r="Y241" s="120">
        <v>0</v>
      </c>
      <c r="Z241" s="120">
        <v>0</v>
      </c>
      <c r="AA241" s="120">
        <v>0</v>
      </c>
      <c r="AB241" s="120">
        <v>0</v>
      </c>
      <c r="AC241" s="120">
        <v>0</v>
      </c>
      <c r="AD241" s="120">
        <v>0</v>
      </c>
      <c r="AE241" s="120">
        <v>0</v>
      </c>
      <c r="AF241" s="120">
        <v>0</v>
      </c>
      <c r="AG241" s="120">
        <v>0</v>
      </c>
      <c r="AH241" s="120">
        <v>0</v>
      </c>
      <c r="AI241" s="120">
        <v>0</v>
      </c>
      <c r="AJ241" s="120">
        <v>0</v>
      </c>
      <c r="AK241" s="120">
        <v>0</v>
      </c>
      <c r="AL241" s="120">
        <v>0</v>
      </c>
      <c r="AM241" s="120">
        <v>0</v>
      </c>
      <c r="AN241" s="120">
        <v>0</v>
      </c>
      <c r="AO241" s="120">
        <v>0</v>
      </c>
      <c r="AP241" s="120">
        <v>0</v>
      </c>
      <c r="AQ241" s="120">
        <v>0</v>
      </c>
      <c r="AR241" s="120">
        <v>0</v>
      </c>
      <c r="AS241" s="120">
        <v>0</v>
      </c>
      <c r="AT241" s="120">
        <v>0</v>
      </c>
      <c r="AU241" s="120">
        <v>0</v>
      </c>
      <c r="AV241" s="120">
        <v>0</v>
      </c>
      <c r="AW241" s="120">
        <v>0</v>
      </c>
      <c r="AX241" s="120">
        <v>0</v>
      </c>
      <c r="AY241" s="120">
        <v>0</v>
      </c>
    </row>
    <row r="242" spans="1:51" x14ac:dyDescent="0.2">
      <c r="A242" s="119"/>
      <c r="B242" s="137">
        <v>34</v>
      </c>
      <c r="C242" s="116"/>
      <c r="D242" s="120">
        <v>0</v>
      </c>
      <c r="E242" s="120">
        <v>0</v>
      </c>
      <c r="F242" s="120">
        <v>0</v>
      </c>
      <c r="G242" s="120">
        <v>0</v>
      </c>
      <c r="H242" s="120">
        <v>0</v>
      </c>
      <c r="I242" s="120">
        <v>0</v>
      </c>
      <c r="J242" s="120">
        <v>0</v>
      </c>
      <c r="K242" s="120">
        <v>0</v>
      </c>
      <c r="L242" s="120">
        <v>0</v>
      </c>
      <c r="M242" s="120">
        <v>0</v>
      </c>
      <c r="N242" s="120">
        <v>0</v>
      </c>
      <c r="O242" s="120">
        <v>0</v>
      </c>
      <c r="P242" s="120">
        <v>0</v>
      </c>
      <c r="Q242" s="120">
        <v>0</v>
      </c>
      <c r="R242" s="120">
        <v>0</v>
      </c>
      <c r="S242" s="120">
        <v>0</v>
      </c>
      <c r="T242" s="120">
        <v>0</v>
      </c>
      <c r="U242" s="120">
        <v>0</v>
      </c>
      <c r="V242" s="120">
        <v>0</v>
      </c>
      <c r="W242" s="120">
        <v>0</v>
      </c>
      <c r="X242" s="120">
        <v>0</v>
      </c>
      <c r="Y242" s="120">
        <v>0</v>
      </c>
      <c r="Z242" s="120">
        <v>0</v>
      </c>
      <c r="AA242" s="120">
        <v>0</v>
      </c>
      <c r="AB242" s="120">
        <v>0</v>
      </c>
      <c r="AC242" s="120">
        <v>0</v>
      </c>
      <c r="AD242" s="120">
        <v>0</v>
      </c>
      <c r="AE242" s="120">
        <v>0</v>
      </c>
      <c r="AF242" s="120">
        <v>0</v>
      </c>
      <c r="AG242" s="120">
        <v>0</v>
      </c>
      <c r="AH242" s="120">
        <v>0</v>
      </c>
      <c r="AI242" s="120">
        <v>0</v>
      </c>
      <c r="AJ242" s="120">
        <v>0</v>
      </c>
      <c r="AK242" s="120">
        <v>0</v>
      </c>
      <c r="AL242" s="120">
        <v>0</v>
      </c>
      <c r="AM242" s="120">
        <v>0</v>
      </c>
      <c r="AN242" s="120">
        <v>0</v>
      </c>
      <c r="AO242" s="120">
        <v>0</v>
      </c>
      <c r="AP242" s="120">
        <v>0</v>
      </c>
      <c r="AQ242" s="120">
        <v>0</v>
      </c>
      <c r="AR242" s="120">
        <v>0</v>
      </c>
      <c r="AS242" s="120">
        <v>0</v>
      </c>
      <c r="AT242" s="120">
        <v>0</v>
      </c>
      <c r="AU242" s="120">
        <v>0</v>
      </c>
      <c r="AV242" s="120">
        <v>0</v>
      </c>
      <c r="AW242" s="120">
        <v>0</v>
      </c>
      <c r="AX242" s="120">
        <v>0</v>
      </c>
      <c r="AY242" s="120">
        <v>0</v>
      </c>
    </row>
    <row r="243" spans="1:51" x14ac:dyDescent="0.2">
      <c r="A243" s="119"/>
      <c r="B243" s="137">
        <v>35</v>
      </c>
      <c r="C243" s="116"/>
      <c r="D243" s="120">
        <v>0</v>
      </c>
      <c r="E243" s="120">
        <v>0</v>
      </c>
      <c r="F243" s="120">
        <v>0</v>
      </c>
      <c r="G243" s="120">
        <v>0</v>
      </c>
      <c r="H243" s="120">
        <v>0</v>
      </c>
      <c r="I243" s="120">
        <v>0</v>
      </c>
      <c r="J243" s="120">
        <v>0</v>
      </c>
      <c r="K243" s="120">
        <v>0</v>
      </c>
      <c r="L243" s="120">
        <v>0</v>
      </c>
      <c r="M243" s="120">
        <v>0</v>
      </c>
      <c r="N243" s="120">
        <v>0</v>
      </c>
      <c r="O243" s="120">
        <v>0</v>
      </c>
      <c r="P243" s="120">
        <v>0</v>
      </c>
      <c r="Q243" s="120">
        <v>0</v>
      </c>
      <c r="R243" s="120">
        <v>0</v>
      </c>
      <c r="S243" s="120">
        <v>0</v>
      </c>
      <c r="T243" s="120">
        <v>0</v>
      </c>
      <c r="U243" s="120">
        <v>0</v>
      </c>
      <c r="V243" s="120">
        <v>0</v>
      </c>
      <c r="W243" s="120">
        <v>0</v>
      </c>
      <c r="X243" s="120">
        <v>0</v>
      </c>
      <c r="Y243" s="120">
        <v>0</v>
      </c>
      <c r="Z243" s="120">
        <v>0</v>
      </c>
      <c r="AA243" s="120">
        <v>0</v>
      </c>
      <c r="AB243" s="120">
        <v>0</v>
      </c>
      <c r="AC243" s="120">
        <v>0</v>
      </c>
      <c r="AD243" s="120">
        <v>0</v>
      </c>
      <c r="AE243" s="120">
        <v>0</v>
      </c>
      <c r="AF243" s="120">
        <v>0</v>
      </c>
      <c r="AG243" s="120">
        <v>0</v>
      </c>
      <c r="AH243" s="120">
        <v>0</v>
      </c>
      <c r="AI243" s="120">
        <v>0</v>
      </c>
      <c r="AJ243" s="120">
        <v>0</v>
      </c>
      <c r="AK243" s="120">
        <v>0</v>
      </c>
      <c r="AL243" s="120">
        <v>0</v>
      </c>
      <c r="AM243" s="120">
        <v>0</v>
      </c>
      <c r="AN243" s="120">
        <v>0</v>
      </c>
      <c r="AO243" s="120">
        <v>0</v>
      </c>
      <c r="AP243" s="120">
        <v>0</v>
      </c>
      <c r="AQ243" s="120">
        <v>0</v>
      </c>
      <c r="AR243" s="120">
        <v>0</v>
      </c>
      <c r="AS243" s="120">
        <v>0</v>
      </c>
      <c r="AT243" s="120">
        <v>0</v>
      </c>
      <c r="AU243" s="120">
        <v>0</v>
      </c>
      <c r="AV243" s="120">
        <v>0</v>
      </c>
      <c r="AW243" s="120">
        <v>0</v>
      </c>
      <c r="AX243" s="120">
        <v>0</v>
      </c>
      <c r="AY243" s="120">
        <v>0</v>
      </c>
    </row>
    <row r="244" spans="1:51" x14ac:dyDescent="0.2">
      <c r="A244" s="119"/>
      <c r="B244" s="137">
        <v>36</v>
      </c>
      <c r="C244" s="116"/>
      <c r="D244" s="120">
        <v>0</v>
      </c>
      <c r="E244" s="120">
        <v>0</v>
      </c>
      <c r="F244" s="120">
        <v>0</v>
      </c>
      <c r="G244" s="120">
        <v>0</v>
      </c>
      <c r="H244" s="120">
        <v>0</v>
      </c>
      <c r="I244" s="120">
        <v>0</v>
      </c>
      <c r="J244" s="120">
        <v>0</v>
      </c>
      <c r="K244" s="120">
        <v>0</v>
      </c>
      <c r="L244" s="120">
        <v>0</v>
      </c>
      <c r="M244" s="120">
        <v>0</v>
      </c>
      <c r="N244" s="120">
        <v>0</v>
      </c>
      <c r="O244" s="120">
        <v>0</v>
      </c>
      <c r="P244" s="120">
        <v>0</v>
      </c>
      <c r="Q244" s="120">
        <v>0</v>
      </c>
      <c r="R244" s="120">
        <v>0</v>
      </c>
      <c r="S244" s="120">
        <v>0</v>
      </c>
      <c r="T244" s="120">
        <v>0</v>
      </c>
      <c r="U244" s="120">
        <v>0</v>
      </c>
      <c r="V244" s="120">
        <v>0</v>
      </c>
      <c r="W244" s="120">
        <v>0</v>
      </c>
      <c r="X244" s="120">
        <v>0</v>
      </c>
      <c r="Y244" s="120">
        <v>0</v>
      </c>
      <c r="Z244" s="120">
        <v>0</v>
      </c>
      <c r="AA244" s="120">
        <v>0</v>
      </c>
      <c r="AB244" s="120">
        <v>0</v>
      </c>
      <c r="AC244" s="120">
        <v>0</v>
      </c>
      <c r="AD244" s="120">
        <v>0</v>
      </c>
      <c r="AE244" s="120">
        <v>0</v>
      </c>
      <c r="AF244" s="120">
        <v>0</v>
      </c>
      <c r="AG244" s="120">
        <v>0</v>
      </c>
      <c r="AH244" s="120">
        <v>0</v>
      </c>
      <c r="AI244" s="120">
        <v>0</v>
      </c>
      <c r="AJ244" s="120">
        <v>0</v>
      </c>
      <c r="AK244" s="120">
        <v>0</v>
      </c>
      <c r="AL244" s="120">
        <v>0</v>
      </c>
      <c r="AM244" s="120">
        <v>0</v>
      </c>
      <c r="AN244" s="120">
        <v>0</v>
      </c>
      <c r="AO244" s="120">
        <v>0</v>
      </c>
      <c r="AP244" s="120">
        <v>0</v>
      </c>
      <c r="AQ244" s="120">
        <v>0</v>
      </c>
      <c r="AR244" s="120">
        <v>0</v>
      </c>
      <c r="AS244" s="120">
        <v>0</v>
      </c>
      <c r="AT244" s="120">
        <v>0</v>
      </c>
      <c r="AU244" s="120">
        <v>0</v>
      </c>
      <c r="AV244" s="120">
        <v>0</v>
      </c>
      <c r="AW244" s="120">
        <v>0</v>
      </c>
      <c r="AX244" s="120">
        <v>0</v>
      </c>
      <c r="AY244" s="120">
        <v>0</v>
      </c>
    </row>
    <row r="245" spans="1:51" x14ac:dyDescent="0.2">
      <c r="A245" s="119"/>
      <c r="B245" s="140">
        <v>37</v>
      </c>
      <c r="C245" s="116"/>
      <c r="D245" s="120">
        <v>0</v>
      </c>
      <c r="E245" s="120">
        <v>0</v>
      </c>
      <c r="F245" s="120">
        <v>0</v>
      </c>
      <c r="G245" s="120">
        <v>0</v>
      </c>
      <c r="H245" s="120">
        <v>0</v>
      </c>
      <c r="I245" s="120">
        <v>0</v>
      </c>
      <c r="J245" s="120">
        <v>0</v>
      </c>
      <c r="K245" s="120">
        <v>0</v>
      </c>
      <c r="L245" s="120">
        <v>0</v>
      </c>
      <c r="M245" s="120">
        <v>0</v>
      </c>
      <c r="N245" s="120">
        <v>0</v>
      </c>
      <c r="O245" s="120">
        <v>0</v>
      </c>
      <c r="P245" s="120">
        <v>0</v>
      </c>
      <c r="Q245" s="120">
        <v>0</v>
      </c>
      <c r="R245" s="120">
        <v>0</v>
      </c>
      <c r="S245" s="120">
        <v>0</v>
      </c>
      <c r="T245" s="120">
        <v>0</v>
      </c>
      <c r="U245" s="120">
        <v>0</v>
      </c>
      <c r="V245" s="120">
        <v>0</v>
      </c>
      <c r="W245" s="120">
        <v>0</v>
      </c>
      <c r="X245" s="120">
        <v>0</v>
      </c>
      <c r="Y245" s="120">
        <v>0</v>
      </c>
      <c r="Z245" s="120">
        <v>0</v>
      </c>
      <c r="AA245" s="120">
        <v>0</v>
      </c>
      <c r="AB245" s="120">
        <v>0</v>
      </c>
      <c r="AC245" s="120">
        <v>0</v>
      </c>
      <c r="AD245" s="120">
        <v>0</v>
      </c>
      <c r="AE245" s="120">
        <v>0</v>
      </c>
      <c r="AF245" s="120">
        <v>0</v>
      </c>
      <c r="AG245" s="120">
        <v>0</v>
      </c>
      <c r="AH245" s="120">
        <v>0</v>
      </c>
      <c r="AI245" s="120">
        <v>0</v>
      </c>
      <c r="AJ245" s="120">
        <v>0</v>
      </c>
      <c r="AK245" s="120">
        <v>0</v>
      </c>
      <c r="AL245" s="120">
        <v>0</v>
      </c>
      <c r="AM245" s="120">
        <v>0</v>
      </c>
      <c r="AN245" s="120">
        <v>0</v>
      </c>
      <c r="AO245" s="120">
        <v>0</v>
      </c>
      <c r="AP245" s="120">
        <v>0</v>
      </c>
      <c r="AQ245" s="120">
        <v>0</v>
      </c>
      <c r="AR245" s="120">
        <v>0</v>
      </c>
      <c r="AS245" s="120">
        <v>0</v>
      </c>
      <c r="AT245" s="120">
        <v>0</v>
      </c>
      <c r="AU245" s="120">
        <v>0</v>
      </c>
      <c r="AV245" s="120">
        <v>0</v>
      </c>
      <c r="AW245" s="120">
        <v>0</v>
      </c>
      <c r="AX245" s="120">
        <v>0</v>
      </c>
      <c r="AY245" s="120">
        <v>0</v>
      </c>
    </row>
    <row r="246" spans="1:51" x14ac:dyDescent="0.2">
      <c r="A246" s="119"/>
      <c r="B246" s="140">
        <v>38</v>
      </c>
      <c r="C246" s="116"/>
      <c r="D246" s="120">
        <v>0</v>
      </c>
      <c r="E246" s="120">
        <v>0</v>
      </c>
      <c r="F246" s="120">
        <v>0</v>
      </c>
      <c r="G246" s="120">
        <v>0</v>
      </c>
      <c r="H246" s="120">
        <v>0</v>
      </c>
      <c r="I246" s="120">
        <v>0</v>
      </c>
      <c r="J246" s="120">
        <v>0</v>
      </c>
      <c r="K246" s="120">
        <v>0</v>
      </c>
      <c r="L246" s="120">
        <v>0</v>
      </c>
      <c r="M246" s="120">
        <v>0</v>
      </c>
      <c r="N246" s="120">
        <v>0</v>
      </c>
      <c r="O246" s="120">
        <v>0</v>
      </c>
      <c r="P246" s="120">
        <v>0</v>
      </c>
      <c r="Q246" s="120">
        <v>0</v>
      </c>
      <c r="R246" s="120">
        <v>0</v>
      </c>
      <c r="S246" s="120">
        <v>0</v>
      </c>
      <c r="T246" s="120">
        <v>0</v>
      </c>
      <c r="U246" s="120">
        <v>0</v>
      </c>
      <c r="V246" s="120">
        <v>0</v>
      </c>
      <c r="W246" s="120">
        <v>0</v>
      </c>
      <c r="X246" s="120">
        <v>0</v>
      </c>
      <c r="Y246" s="120">
        <v>0</v>
      </c>
      <c r="Z246" s="120">
        <v>0</v>
      </c>
      <c r="AA246" s="120">
        <v>0</v>
      </c>
      <c r="AB246" s="120">
        <v>0</v>
      </c>
      <c r="AC246" s="120">
        <v>0</v>
      </c>
      <c r="AD246" s="120">
        <v>0</v>
      </c>
      <c r="AE246" s="120">
        <v>0</v>
      </c>
      <c r="AF246" s="120">
        <v>0</v>
      </c>
      <c r="AG246" s="120">
        <v>0</v>
      </c>
      <c r="AH246" s="120">
        <v>0</v>
      </c>
      <c r="AI246" s="120">
        <v>0</v>
      </c>
      <c r="AJ246" s="120">
        <v>0</v>
      </c>
      <c r="AK246" s="120">
        <v>0</v>
      </c>
      <c r="AL246" s="120">
        <v>0</v>
      </c>
      <c r="AM246" s="120">
        <v>0</v>
      </c>
      <c r="AN246" s="120">
        <v>0</v>
      </c>
      <c r="AO246" s="120">
        <v>0</v>
      </c>
      <c r="AP246" s="120">
        <v>0</v>
      </c>
      <c r="AQ246" s="120">
        <v>0</v>
      </c>
      <c r="AR246" s="120">
        <v>0</v>
      </c>
      <c r="AS246" s="120">
        <v>0</v>
      </c>
      <c r="AT246" s="120">
        <v>0</v>
      </c>
      <c r="AU246" s="120">
        <v>0</v>
      </c>
      <c r="AV246" s="120">
        <v>0</v>
      </c>
      <c r="AW246" s="120">
        <v>0</v>
      </c>
      <c r="AX246" s="120">
        <v>0</v>
      </c>
      <c r="AY246" s="120">
        <v>0</v>
      </c>
    </row>
    <row r="247" spans="1:51" x14ac:dyDescent="0.2">
      <c r="A247" s="119"/>
      <c r="B247" s="140">
        <v>39</v>
      </c>
      <c r="C247" s="116"/>
      <c r="D247" s="120">
        <v>0</v>
      </c>
      <c r="E247" s="120">
        <v>0</v>
      </c>
      <c r="F247" s="120">
        <v>0</v>
      </c>
      <c r="G247" s="120">
        <v>0</v>
      </c>
      <c r="H247" s="120">
        <v>0</v>
      </c>
      <c r="I247" s="120">
        <v>0</v>
      </c>
      <c r="J247" s="120">
        <v>0</v>
      </c>
      <c r="K247" s="120">
        <v>0</v>
      </c>
      <c r="L247" s="120">
        <v>0</v>
      </c>
      <c r="M247" s="120">
        <v>0</v>
      </c>
      <c r="N247" s="120">
        <v>0</v>
      </c>
      <c r="O247" s="120">
        <v>0</v>
      </c>
      <c r="P247" s="120">
        <v>0</v>
      </c>
      <c r="Q247" s="120">
        <v>0</v>
      </c>
      <c r="R247" s="120">
        <v>0</v>
      </c>
      <c r="S247" s="120">
        <v>0</v>
      </c>
      <c r="T247" s="120">
        <v>0</v>
      </c>
      <c r="U247" s="120">
        <v>0</v>
      </c>
      <c r="V247" s="120">
        <v>0</v>
      </c>
      <c r="W247" s="120">
        <v>0</v>
      </c>
      <c r="X247" s="120">
        <v>0</v>
      </c>
      <c r="Y247" s="120">
        <v>0</v>
      </c>
      <c r="Z247" s="120">
        <v>0</v>
      </c>
      <c r="AA247" s="120">
        <v>0</v>
      </c>
      <c r="AB247" s="120">
        <v>0</v>
      </c>
      <c r="AC247" s="120">
        <v>0</v>
      </c>
      <c r="AD247" s="120">
        <v>0</v>
      </c>
      <c r="AE247" s="120">
        <v>0</v>
      </c>
      <c r="AF247" s="120">
        <v>0</v>
      </c>
      <c r="AG247" s="120">
        <v>0</v>
      </c>
      <c r="AH247" s="120">
        <v>0</v>
      </c>
      <c r="AI247" s="120">
        <v>0</v>
      </c>
      <c r="AJ247" s="120">
        <v>0</v>
      </c>
      <c r="AK247" s="120">
        <v>0</v>
      </c>
      <c r="AL247" s="120">
        <v>0</v>
      </c>
      <c r="AM247" s="120">
        <v>0</v>
      </c>
      <c r="AN247" s="120">
        <v>0</v>
      </c>
      <c r="AO247" s="120">
        <v>0</v>
      </c>
      <c r="AP247" s="120">
        <v>0</v>
      </c>
      <c r="AQ247" s="120">
        <v>0</v>
      </c>
      <c r="AR247" s="120">
        <v>0</v>
      </c>
      <c r="AS247" s="120">
        <v>0</v>
      </c>
      <c r="AT247" s="120">
        <v>0</v>
      </c>
      <c r="AU247" s="120">
        <v>0</v>
      </c>
      <c r="AV247" s="120">
        <v>0</v>
      </c>
      <c r="AW247" s="120">
        <v>0</v>
      </c>
      <c r="AX247" s="120">
        <v>0</v>
      </c>
      <c r="AY247" s="120">
        <v>0</v>
      </c>
    </row>
    <row r="248" spans="1:51" x14ac:dyDescent="0.2">
      <c r="A248" s="119"/>
      <c r="B248" s="140">
        <v>40</v>
      </c>
      <c r="C248" s="116"/>
      <c r="D248" s="120">
        <v>0</v>
      </c>
      <c r="E248" s="120">
        <v>0</v>
      </c>
      <c r="F248" s="120">
        <v>0</v>
      </c>
      <c r="G248" s="120">
        <v>0</v>
      </c>
      <c r="H248" s="120">
        <v>0</v>
      </c>
      <c r="I248" s="120">
        <v>0</v>
      </c>
      <c r="J248" s="120">
        <v>0</v>
      </c>
      <c r="K248" s="120">
        <v>0</v>
      </c>
      <c r="L248" s="120">
        <v>0</v>
      </c>
      <c r="M248" s="120">
        <v>0</v>
      </c>
      <c r="N248" s="120">
        <v>0</v>
      </c>
      <c r="O248" s="120">
        <v>0</v>
      </c>
      <c r="P248" s="120">
        <v>0</v>
      </c>
      <c r="Q248" s="120">
        <v>0</v>
      </c>
      <c r="R248" s="120">
        <v>0</v>
      </c>
      <c r="S248" s="120">
        <v>0</v>
      </c>
      <c r="T248" s="120">
        <v>0</v>
      </c>
      <c r="U248" s="120">
        <v>0</v>
      </c>
      <c r="V248" s="120">
        <v>0</v>
      </c>
      <c r="W248" s="120">
        <v>0</v>
      </c>
      <c r="X248" s="120">
        <v>0</v>
      </c>
      <c r="Y248" s="120">
        <v>0</v>
      </c>
      <c r="Z248" s="120">
        <v>0</v>
      </c>
      <c r="AA248" s="120">
        <v>0</v>
      </c>
      <c r="AB248" s="120">
        <v>0</v>
      </c>
      <c r="AC248" s="120">
        <v>0</v>
      </c>
      <c r="AD248" s="120">
        <v>0</v>
      </c>
      <c r="AE248" s="120">
        <v>0</v>
      </c>
      <c r="AF248" s="120">
        <v>0</v>
      </c>
      <c r="AG248" s="120">
        <v>0</v>
      </c>
      <c r="AH248" s="120">
        <v>0</v>
      </c>
      <c r="AI248" s="120">
        <v>0</v>
      </c>
      <c r="AJ248" s="120">
        <v>0</v>
      </c>
      <c r="AK248" s="120">
        <v>0</v>
      </c>
      <c r="AL248" s="120">
        <v>0</v>
      </c>
      <c r="AM248" s="120">
        <v>0</v>
      </c>
      <c r="AN248" s="120">
        <v>0</v>
      </c>
      <c r="AO248" s="120">
        <v>0</v>
      </c>
      <c r="AP248" s="120">
        <v>0</v>
      </c>
      <c r="AQ248" s="120">
        <v>0</v>
      </c>
      <c r="AR248" s="120">
        <v>0</v>
      </c>
      <c r="AS248" s="120">
        <v>0</v>
      </c>
      <c r="AT248" s="120">
        <v>0</v>
      </c>
      <c r="AU248" s="120">
        <v>0</v>
      </c>
      <c r="AV248" s="120">
        <v>0</v>
      </c>
      <c r="AW248" s="120">
        <v>0</v>
      </c>
      <c r="AX248" s="120">
        <v>0</v>
      </c>
      <c r="AY248" s="120">
        <v>0</v>
      </c>
    </row>
    <row r="249" spans="1:51" x14ac:dyDescent="0.2">
      <c r="A249" s="119"/>
      <c r="B249" s="140">
        <v>41</v>
      </c>
      <c r="C249" s="116"/>
      <c r="D249" s="120">
        <v>0</v>
      </c>
      <c r="E249" s="120">
        <v>0</v>
      </c>
      <c r="F249" s="120">
        <v>0</v>
      </c>
      <c r="G249" s="120">
        <v>0</v>
      </c>
      <c r="H249" s="120">
        <v>0</v>
      </c>
      <c r="I249" s="120">
        <v>0</v>
      </c>
      <c r="J249" s="120">
        <v>0</v>
      </c>
      <c r="K249" s="120">
        <v>0</v>
      </c>
      <c r="L249" s="120">
        <v>0</v>
      </c>
      <c r="M249" s="120">
        <v>0</v>
      </c>
      <c r="N249" s="120">
        <v>0</v>
      </c>
      <c r="O249" s="120">
        <v>0</v>
      </c>
      <c r="P249" s="120">
        <v>0</v>
      </c>
      <c r="Q249" s="120">
        <v>0</v>
      </c>
      <c r="R249" s="120">
        <v>0</v>
      </c>
      <c r="S249" s="120">
        <v>0</v>
      </c>
      <c r="T249" s="120">
        <v>0</v>
      </c>
      <c r="U249" s="120">
        <v>0</v>
      </c>
      <c r="V249" s="120">
        <v>0</v>
      </c>
      <c r="W249" s="120">
        <v>0</v>
      </c>
      <c r="X249" s="120">
        <v>0</v>
      </c>
      <c r="Y249" s="120">
        <v>0</v>
      </c>
      <c r="Z249" s="120">
        <v>0</v>
      </c>
      <c r="AA249" s="120">
        <v>0</v>
      </c>
      <c r="AB249" s="120">
        <v>0</v>
      </c>
      <c r="AC249" s="120">
        <v>0</v>
      </c>
      <c r="AD249" s="120">
        <v>0</v>
      </c>
      <c r="AE249" s="120">
        <v>0</v>
      </c>
      <c r="AF249" s="120">
        <v>0</v>
      </c>
      <c r="AG249" s="120">
        <v>0</v>
      </c>
      <c r="AH249" s="120">
        <v>0</v>
      </c>
      <c r="AI249" s="120">
        <v>0</v>
      </c>
      <c r="AJ249" s="120">
        <v>0</v>
      </c>
      <c r="AK249" s="120">
        <v>0</v>
      </c>
      <c r="AL249" s="120">
        <v>0</v>
      </c>
      <c r="AM249" s="120">
        <v>0</v>
      </c>
      <c r="AN249" s="120">
        <v>0</v>
      </c>
      <c r="AO249" s="120">
        <v>0</v>
      </c>
      <c r="AP249" s="120">
        <v>0</v>
      </c>
      <c r="AQ249" s="120">
        <v>0</v>
      </c>
      <c r="AR249" s="120">
        <v>0</v>
      </c>
      <c r="AS249" s="120">
        <v>0</v>
      </c>
      <c r="AT249" s="120">
        <v>0</v>
      </c>
      <c r="AU249" s="120">
        <v>0</v>
      </c>
      <c r="AV249" s="120">
        <v>0</v>
      </c>
      <c r="AW249" s="120">
        <v>0</v>
      </c>
      <c r="AX249" s="120">
        <v>0</v>
      </c>
      <c r="AY249" s="120">
        <v>0</v>
      </c>
    </row>
    <row r="250" spans="1:51" x14ac:dyDescent="0.2">
      <c r="A250" s="119"/>
      <c r="B250" s="140">
        <v>42</v>
      </c>
      <c r="C250" s="116"/>
      <c r="D250" s="120">
        <v>0</v>
      </c>
      <c r="E250" s="120">
        <v>0</v>
      </c>
      <c r="F250" s="120">
        <v>0</v>
      </c>
      <c r="G250" s="120">
        <v>0</v>
      </c>
      <c r="H250" s="120">
        <v>0</v>
      </c>
      <c r="I250" s="120">
        <v>0</v>
      </c>
      <c r="J250" s="120">
        <v>0</v>
      </c>
      <c r="K250" s="120">
        <v>0</v>
      </c>
      <c r="L250" s="120">
        <v>0</v>
      </c>
      <c r="M250" s="120">
        <v>0</v>
      </c>
      <c r="N250" s="120">
        <v>0</v>
      </c>
      <c r="O250" s="120">
        <v>0</v>
      </c>
      <c r="P250" s="120">
        <v>0</v>
      </c>
      <c r="Q250" s="120">
        <v>0</v>
      </c>
      <c r="R250" s="120">
        <v>0</v>
      </c>
      <c r="S250" s="120">
        <v>0</v>
      </c>
      <c r="T250" s="120">
        <v>0</v>
      </c>
      <c r="U250" s="120">
        <v>0</v>
      </c>
      <c r="V250" s="120">
        <v>0</v>
      </c>
      <c r="W250" s="120">
        <v>0</v>
      </c>
      <c r="X250" s="120">
        <v>0</v>
      </c>
      <c r="Y250" s="120">
        <v>0</v>
      </c>
      <c r="Z250" s="120">
        <v>0</v>
      </c>
      <c r="AA250" s="120">
        <v>0</v>
      </c>
      <c r="AB250" s="120">
        <v>0</v>
      </c>
      <c r="AC250" s="120">
        <v>0</v>
      </c>
      <c r="AD250" s="120">
        <v>0</v>
      </c>
      <c r="AE250" s="120">
        <v>0</v>
      </c>
      <c r="AF250" s="120">
        <v>0</v>
      </c>
      <c r="AG250" s="120">
        <v>0</v>
      </c>
      <c r="AH250" s="120">
        <v>0</v>
      </c>
      <c r="AI250" s="120">
        <v>0</v>
      </c>
      <c r="AJ250" s="120">
        <v>0</v>
      </c>
      <c r="AK250" s="120">
        <v>0</v>
      </c>
      <c r="AL250" s="120">
        <v>0</v>
      </c>
      <c r="AM250" s="120">
        <v>0</v>
      </c>
      <c r="AN250" s="120">
        <v>0</v>
      </c>
      <c r="AO250" s="120">
        <v>0</v>
      </c>
      <c r="AP250" s="120">
        <v>0</v>
      </c>
      <c r="AQ250" s="120">
        <v>0</v>
      </c>
      <c r="AR250" s="120">
        <v>0</v>
      </c>
      <c r="AS250" s="120">
        <v>0</v>
      </c>
      <c r="AT250" s="120">
        <v>0</v>
      </c>
      <c r="AU250" s="120">
        <v>0</v>
      </c>
      <c r="AV250" s="120">
        <v>0</v>
      </c>
      <c r="AW250" s="120">
        <v>0</v>
      </c>
      <c r="AX250" s="120">
        <v>0</v>
      </c>
      <c r="AY250" s="120">
        <v>0</v>
      </c>
    </row>
    <row r="251" spans="1:51" x14ac:dyDescent="0.2">
      <c r="A251" s="119"/>
      <c r="B251" s="140">
        <v>43</v>
      </c>
      <c r="C251" s="116"/>
      <c r="D251" s="120">
        <v>0</v>
      </c>
      <c r="E251" s="120">
        <v>0</v>
      </c>
      <c r="F251" s="120">
        <v>0</v>
      </c>
      <c r="G251" s="120">
        <v>0</v>
      </c>
      <c r="H251" s="120">
        <v>0</v>
      </c>
      <c r="I251" s="120">
        <v>0</v>
      </c>
      <c r="J251" s="120">
        <v>0</v>
      </c>
      <c r="K251" s="120">
        <v>0</v>
      </c>
      <c r="L251" s="120">
        <v>0</v>
      </c>
      <c r="M251" s="120">
        <v>0</v>
      </c>
      <c r="N251" s="120">
        <v>0</v>
      </c>
      <c r="O251" s="120">
        <v>0</v>
      </c>
      <c r="P251" s="120">
        <v>0</v>
      </c>
      <c r="Q251" s="120">
        <v>0</v>
      </c>
      <c r="R251" s="120">
        <v>0</v>
      </c>
      <c r="S251" s="120">
        <v>0</v>
      </c>
      <c r="T251" s="120">
        <v>0</v>
      </c>
      <c r="U251" s="120">
        <v>0</v>
      </c>
      <c r="V251" s="120">
        <v>0</v>
      </c>
      <c r="W251" s="120">
        <v>0</v>
      </c>
      <c r="X251" s="120">
        <v>0</v>
      </c>
      <c r="Y251" s="120">
        <v>0</v>
      </c>
      <c r="Z251" s="120">
        <v>0</v>
      </c>
      <c r="AA251" s="120">
        <v>0</v>
      </c>
      <c r="AB251" s="120">
        <v>0</v>
      </c>
      <c r="AC251" s="120">
        <v>0</v>
      </c>
      <c r="AD251" s="120">
        <v>0</v>
      </c>
      <c r="AE251" s="120">
        <v>0</v>
      </c>
      <c r="AF251" s="120">
        <v>0</v>
      </c>
      <c r="AG251" s="120">
        <v>0</v>
      </c>
      <c r="AH251" s="120">
        <v>0</v>
      </c>
      <c r="AI251" s="120">
        <v>0</v>
      </c>
      <c r="AJ251" s="120">
        <v>0</v>
      </c>
      <c r="AK251" s="120">
        <v>0</v>
      </c>
      <c r="AL251" s="120">
        <v>0</v>
      </c>
      <c r="AM251" s="120">
        <v>0</v>
      </c>
      <c r="AN251" s="120">
        <v>0</v>
      </c>
      <c r="AO251" s="120">
        <v>0</v>
      </c>
      <c r="AP251" s="120">
        <v>0</v>
      </c>
      <c r="AQ251" s="120">
        <v>0</v>
      </c>
      <c r="AR251" s="120">
        <v>0</v>
      </c>
      <c r="AS251" s="120">
        <v>0</v>
      </c>
      <c r="AT251" s="120">
        <v>0</v>
      </c>
      <c r="AU251" s="120">
        <v>0</v>
      </c>
      <c r="AV251" s="120">
        <v>0</v>
      </c>
      <c r="AW251" s="120">
        <v>0</v>
      </c>
      <c r="AX251" s="120">
        <v>0</v>
      </c>
      <c r="AY251" s="120">
        <v>0</v>
      </c>
    </row>
    <row r="252" spans="1:51" x14ac:dyDescent="0.2">
      <c r="A252" s="119"/>
      <c r="B252" s="140">
        <v>44</v>
      </c>
      <c r="C252" s="116"/>
      <c r="D252" s="120">
        <v>0</v>
      </c>
      <c r="E252" s="120">
        <v>0</v>
      </c>
      <c r="F252" s="120">
        <v>0</v>
      </c>
      <c r="G252" s="120">
        <v>0</v>
      </c>
      <c r="H252" s="120">
        <v>0</v>
      </c>
      <c r="I252" s="120">
        <v>0</v>
      </c>
      <c r="J252" s="120">
        <v>0</v>
      </c>
      <c r="K252" s="120">
        <v>0</v>
      </c>
      <c r="L252" s="120">
        <v>0</v>
      </c>
      <c r="M252" s="120">
        <v>0</v>
      </c>
      <c r="N252" s="120">
        <v>0</v>
      </c>
      <c r="O252" s="120">
        <v>0</v>
      </c>
      <c r="P252" s="120">
        <v>0</v>
      </c>
      <c r="Q252" s="120">
        <v>0</v>
      </c>
      <c r="R252" s="120">
        <v>0</v>
      </c>
      <c r="S252" s="120">
        <v>0</v>
      </c>
      <c r="T252" s="120">
        <v>0</v>
      </c>
      <c r="U252" s="120">
        <v>0</v>
      </c>
      <c r="V252" s="120">
        <v>0</v>
      </c>
      <c r="W252" s="120">
        <v>0</v>
      </c>
      <c r="X252" s="120">
        <v>0</v>
      </c>
      <c r="Y252" s="120">
        <v>0</v>
      </c>
      <c r="Z252" s="120">
        <v>0</v>
      </c>
      <c r="AA252" s="120">
        <v>0</v>
      </c>
      <c r="AB252" s="120">
        <v>0</v>
      </c>
      <c r="AC252" s="120">
        <v>0</v>
      </c>
      <c r="AD252" s="120">
        <v>0</v>
      </c>
      <c r="AE252" s="120">
        <v>0</v>
      </c>
      <c r="AF252" s="120">
        <v>0</v>
      </c>
      <c r="AG252" s="120">
        <v>0</v>
      </c>
      <c r="AH252" s="120">
        <v>0</v>
      </c>
      <c r="AI252" s="120">
        <v>0</v>
      </c>
      <c r="AJ252" s="120">
        <v>0</v>
      </c>
      <c r="AK252" s="120">
        <v>0</v>
      </c>
      <c r="AL252" s="120">
        <v>0</v>
      </c>
      <c r="AM252" s="120">
        <v>0</v>
      </c>
      <c r="AN252" s="120">
        <v>0</v>
      </c>
      <c r="AO252" s="120">
        <v>0</v>
      </c>
      <c r="AP252" s="120">
        <v>0</v>
      </c>
      <c r="AQ252" s="120">
        <v>0</v>
      </c>
      <c r="AR252" s="120">
        <v>0</v>
      </c>
      <c r="AS252" s="120">
        <v>0</v>
      </c>
      <c r="AT252" s="120">
        <v>0</v>
      </c>
      <c r="AU252" s="120">
        <v>0</v>
      </c>
      <c r="AV252" s="120">
        <v>0</v>
      </c>
      <c r="AW252" s="120">
        <v>0</v>
      </c>
      <c r="AX252" s="120">
        <v>0</v>
      </c>
      <c r="AY252" s="120">
        <v>0</v>
      </c>
    </row>
    <row r="253" spans="1:51" x14ac:dyDescent="0.2">
      <c r="A253" s="119"/>
      <c r="B253" s="140">
        <v>45</v>
      </c>
      <c r="C253" s="116"/>
      <c r="D253" s="120">
        <v>0</v>
      </c>
      <c r="E253" s="120">
        <v>0</v>
      </c>
      <c r="F253" s="120">
        <v>0</v>
      </c>
      <c r="G253" s="120">
        <v>0</v>
      </c>
      <c r="H253" s="120">
        <v>0</v>
      </c>
      <c r="I253" s="120">
        <v>0</v>
      </c>
      <c r="J253" s="120">
        <v>0</v>
      </c>
      <c r="K253" s="120">
        <v>0</v>
      </c>
      <c r="L253" s="120">
        <v>0</v>
      </c>
      <c r="M253" s="120">
        <v>0</v>
      </c>
      <c r="N253" s="120">
        <v>0</v>
      </c>
      <c r="O253" s="120">
        <v>0</v>
      </c>
      <c r="P253" s="120">
        <v>0</v>
      </c>
      <c r="Q253" s="120">
        <v>0</v>
      </c>
      <c r="R253" s="120">
        <v>0</v>
      </c>
      <c r="S253" s="120">
        <v>0</v>
      </c>
      <c r="T253" s="120">
        <v>0</v>
      </c>
      <c r="U253" s="120">
        <v>0</v>
      </c>
      <c r="V253" s="120">
        <v>0</v>
      </c>
      <c r="W253" s="120">
        <v>0</v>
      </c>
      <c r="X253" s="120">
        <v>0</v>
      </c>
      <c r="Y253" s="120">
        <v>0</v>
      </c>
      <c r="Z253" s="120">
        <v>0</v>
      </c>
      <c r="AA253" s="120">
        <v>0</v>
      </c>
      <c r="AB253" s="120">
        <v>0</v>
      </c>
      <c r="AC253" s="120">
        <v>0</v>
      </c>
      <c r="AD253" s="120">
        <v>0</v>
      </c>
      <c r="AE253" s="120">
        <v>0</v>
      </c>
      <c r="AF253" s="120">
        <v>0</v>
      </c>
      <c r="AG253" s="120">
        <v>0</v>
      </c>
      <c r="AH253" s="120">
        <v>0</v>
      </c>
      <c r="AI253" s="120">
        <v>0</v>
      </c>
      <c r="AJ253" s="120">
        <v>0</v>
      </c>
      <c r="AK253" s="120">
        <v>0</v>
      </c>
      <c r="AL253" s="120">
        <v>0</v>
      </c>
      <c r="AM253" s="120">
        <v>0</v>
      </c>
      <c r="AN253" s="120">
        <v>0</v>
      </c>
      <c r="AO253" s="120">
        <v>0</v>
      </c>
      <c r="AP253" s="120">
        <v>0</v>
      </c>
      <c r="AQ253" s="120">
        <v>0</v>
      </c>
      <c r="AR253" s="120">
        <v>0</v>
      </c>
      <c r="AS253" s="120">
        <v>0</v>
      </c>
      <c r="AT253" s="120">
        <v>0</v>
      </c>
      <c r="AU253" s="120">
        <v>0</v>
      </c>
      <c r="AV253" s="120">
        <v>0</v>
      </c>
      <c r="AW253" s="120">
        <v>0</v>
      </c>
      <c r="AX253" s="120">
        <v>0</v>
      </c>
      <c r="AY253" s="120">
        <v>0</v>
      </c>
    </row>
    <row r="254" spans="1:51" x14ac:dyDescent="0.2">
      <c r="A254" s="119"/>
      <c r="B254" s="140">
        <v>46</v>
      </c>
      <c r="C254" s="116"/>
      <c r="D254" s="120">
        <v>0</v>
      </c>
      <c r="E254" s="120">
        <v>0</v>
      </c>
      <c r="F254" s="120">
        <v>0</v>
      </c>
      <c r="G254" s="120">
        <v>0</v>
      </c>
      <c r="H254" s="120">
        <v>0</v>
      </c>
      <c r="I254" s="120">
        <v>0</v>
      </c>
      <c r="J254" s="120">
        <v>0</v>
      </c>
      <c r="K254" s="120">
        <v>0</v>
      </c>
      <c r="L254" s="120">
        <v>0</v>
      </c>
      <c r="M254" s="120">
        <v>0</v>
      </c>
      <c r="N254" s="120">
        <v>0</v>
      </c>
      <c r="O254" s="120">
        <v>0</v>
      </c>
      <c r="P254" s="120">
        <v>0</v>
      </c>
      <c r="Q254" s="120">
        <v>0</v>
      </c>
      <c r="R254" s="120">
        <v>0</v>
      </c>
      <c r="S254" s="120">
        <v>0</v>
      </c>
      <c r="T254" s="120">
        <v>0</v>
      </c>
      <c r="U254" s="120">
        <v>0</v>
      </c>
      <c r="V254" s="120">
        <v>0</v>
      </c>
      <c r="W254" s="120">
        <v>0</v>
      </c>
      <c r="X254" s="120">
        <v>0</v>
      </c>
      <c r="Y254" s="120">
        <v>0</v>
      </c>
      <c r="Z254" s="120">
        <v>0</v>
      </c>
      <c r="AA254" s="120">
        <v>0</v>
      </c>
      <c r="AB254" s="120">
        <v>0</v>
      </c>
      <c r="AC254" s="120">
        <v>0</v>
      </c>
      <c r="AD254" s="120">
        <v>0</v>
      </c>
      <c r="AE254" s="120">
        <v>0</v>
      </c>
      <c r="AF254" s="120">
        <v>0</v>
      </c>
      <c r="AG254" s="120">
        <v>0</v>
      </c>
      <c r="AH254" s="120">
        <v>0</v>
      </c>
      <c r="AI254" s="120">
        <v>0</v>
      </c>
      <c r="AJ254" s="120">
        <v>0</v>
      </c>
      <c r="AK254" s="120">
        <v>0</v>
      </c>
      <c r="AL254" s="120">
        <v>0</v>
      </c>
      <c r="AM254" s="120">
        <v>0</v>
      </c>
      <c r="AN254" s="120">
        <v>0</v>
      </c>
      <c r="AO254" s="120">
        <v>0</v>
      </c>
      <c r="AP254" s="120">
        <v>0</v>
      </c>
      <c r="AQ254" s="120">
        <v>0</v>
      </c>
      <c r="AR254" s="120">
        <v>0</v>
      </c>
      <c r="AS254" s="120">
        <v>0</v>
      </c>
      <c r="AT254" s="120">
        <v>0</v>
      </c>
      <c r="AU254" s="120">
        <v>0</v>
      </c>
      <c r="AV254" s="120">
        <v>0</v>
      </c>
      <c r="AW254" s="120">
        <v>0</v>
      </c>
      <c r="AX254" s="120">
        <v>0</v>
      </c>
      <c r="AY254" s="120">
        <v>0</v>
      </c>
    </row>
    <row r="255" spans="1:51" x14ac:dyDescent="0.2">
      <c r="A255" s="119"/>
      <c r="B255" s="140">
        <v>47</v>
      </c>
      <c r="C255" s="116"/>
      <c r="D255" s="120">
        <v>0</v>
      </c>
      <c r="E255" s="120">
        <v>0</v>
      </c>
      <c r="F255" s="120">
        <v>0</v>
      </c>
      <c r="G255" s="120">
        <v>0</v>
      </c>
      <c r="H255" s="120">
        <v>0</v>
      </c>
      <c r="I255" s="120">
        <v>0</v>
      </c>
      <c r="J255" s="120">
        <v>0</v>
      </c>
      <c r="K255" s="120">
        <v>0</v>
      </c>
      <c r="L255" s="120">
        <v>0</v>
      </c>
      <c r="M255" s="120">
        <v>0</v>
      </c>
      <c r="N255" s="120">
        <v>0</v>
      </c>
      <c r="O255" s="120">
        <v>0</v>
      </c>
      <c r="P255" s="120">
        <v>0</v>
      </c>
      <c r="Q255" s="120">
        <v>0</v>
      </c>
      <c r="R255" s="120">
        <v>0</v>
      </c>
      <c r="S255" s="120">
        <v>0</v>
      </c>
      <c r="T255" s="120">
        <v>0</v>
      </c>
      <c r="U255" s="120">
        <v>0</v>
      </c>
      <c r="V255" s="120">
        <v>0</v>
      </c>
      <c r="W255" s="120">
        <v>0</v>
      </c>
      <c r="X255" s="120">
        <v>0</v>
      </c>
      <c r="Y255" s="120">
        <v>0</v>
      </c>
      <c r="Z255" s="120">
        <v>0</v>
      </c>
      <c r="AA255" s="120">
        <v>0</v>
      </c>
      <c r="AB255" s="120">
        <v>0</v>
      </c>
      <c r="AC255" s="120">
        <v>0</v>
      </c>
      <c r="AD255" s="120">
        <v>0</v>
      </c>
      <c r="AE255" s="120">
        <v>0</v>
      </c>
      <c r="AF255" s="120">
        <v>0</v>
      </c>
      <c r="AG255" s="120">
        <v>0</v>
      </c>
      <c r="AH255" s="120">
        <v>0</v>
      </c>
      <c r="AI255" s="120">
        <v>0</v>
      </c>
      <c r="AJ255" s="120">
        <v>0</v>
      </c>
      <c r="AK255" s="120">
        <v>0</v>
      </c>
      <c r="AL255" s="120">
        <v>0</v>
      </c>
      <c r="AM255" s="120">
        <v>0</v>
      </c>
      <c r="AN255" s="120">
        <v>0</v>
      </c>
      <c r="AO255" s="120">
        <v>0</v>
      </c>
      <c r="AP255" s="120">
        <v>0</v>
      </c>
      <c r="AQ255" s="120">
        <v>0</v>
      </c>
      <c r="AR255" s="120">
        <v>0</v>
      </c>
      <c r="AS255" s="120">
        <v>0</v>
      </c>
      <c r="AT255" s="120">
        <v>0</v>
      </c>
      <c r="AU255" s="120">
        <v>0</v>
      </c>
      <c r="AV255" s="120">
        <v>0</v>
      </c>
      <c r="AW255" s="120">
        <v>0</v>
      </c>
      <c r="AX255" s="120">
        <v>0</v>
      </c>
      <c r="AY255" s="120">
        <v>0</v>
      </c>
    </row>
    <row r="256" spans="1:51" x14ac:dyDescent="0.2">
      <c r="A256" s="138"/>
      <c r="B256" s="139">
        <v>48</v>
      </c>
      <c r="C256" s="124"/>
      <c r="D256" s="135">
        <v>0</v>
      </c>
      <c r="E256" s="135">
        <v>0</v>
      </c>
      <c r="F256" s="135">
        <v>0</v>
      </c>
      <c r="G256" s="135">
        <v>0</v>
      </c>
      <c r="H256" s="135">
        <v>0</v>
      </c>
      <c r="I256" s="135">
        <v>0</v>
      </c>
      <c r="J256" s="135">
        <v>0</v>
      </c>
      <c r="K256" s="135">
        <v>0</v>
      </c>
      <c r="L256" s="135">
        <v>0</v>
      </c>
      <c r="M256" s="135">
        <v>0</v>
      </c>
      <c r="N256" s="135">
        <v>0</v>
      </c>
      <c r="O256" s="135">
        <v>0</v>
      </c>
      <c r="P256" s="135">
        <v>0</v>
      </c>
      <c r="Q256" s="135">
        <v>0</v>
      </c>
      <c r="R256" s="135">
        <v>0</v>
      </c>
      <c r="S256" s="135">
        <v>0</v>
      </c>
      <c r="T256" s="135">
        <v>0</v>
      </c>
      <c r="U256" s="135">
        <v>0</v>
      </c>
      <c r="V256" s="135">
        <v>0</v>
      </c>
      <c r="W256" s="135">
        <v>0</v>
      </c>
      <c r="X256" s="135">
        <v>0</v>
      </c>
      <c r="Y256" s="135">
        <v>0</v>
      </c>
      <c r="Z256" s="135">
        <v>0</v>
      </c>
      <c r="AA256" s="135">
        <v>0</v>
      </c>
      <c r="AB256" s="135">
        <v>0</v>
      </c>
      <c r="AC256" s="135">
        <v>0</v>
      </c>
      <c r="AD256" s="135">
        <v>0</v>
      </c>
      <c r="AE256" s="135">
        <v>0</v>
      </c>
      <c r="AF256" s="135">
        <v>0</v>
      </c>
      <c r="AG256" s="135">
        <v>0</v>
      </c>
      <c r="AH256" s="135">
        <v>0</v>
      </c>
      <c r="AI256" s="135">
        <v>0</v>
      </c>
      <c r="AJ256" s="135">
        <v>0</v>
      </c>
      <c r="AK256" s="135">
        <v>0</v>
      </c>
      <c r="AL256" s="135">
        <v>0</v>
      </c>
      <c r="AM256" s="135">
        <v>0</v>
      </c>
      <c r="AN256" s="135">
        <v>0</v>
      </c>
      <c r="AO256" s="135">
        <v>0</v>
      </c>
      <c r="AP256" s="135">
        <v>0</v>
      </c>
      <c r="AQ256" s="135">
        <v>0</v>
      </c>
      <c r="AR256" s="135">
        <v>0</v>
      </c>
      <c r="AS256" s="135">
        <v>0</v>
      </c>
      <c r="AT256" s="135">
        <v>0</v>
      </c>
      <c r="AU256" s="135">
        <v>0</v>
      </c>
      <c r="AV256" s="135">
        <v>0</v>
      </c>
      <c r="AW256" s="135">
        <v>0</v>
      </c>
      <c r="AX256" s="135">
        <v>0</v>
      </c>
      <c r="AY256" s="135">
        <v>0</v>
      </c>
    </row>
    <row r="258" spans="1:52" x14ac:dyDescent="0.2">
      <c r="A258" s="112" t="s">
        <v>303</v>
      </c>
    </row>
    <row r="259" spans="1:52" x14ac:dyDescent="0.2">
      <c r="A259" s="147" t="s">
        <v>124</v>
      </c>
      <c r="B259" s="148">
        <v>650</v>
      </c>
      <c r="C259" s="134" t="s">
        <v>295</v>
      </c>
      <c r="D259" s="134">
        <f>E$14*$B$259</f>
        <v>12931.193094809752</v>
      </c>
      <c r="E259" s="134">
        <f t="shared" ref="E259:AX259" si="5">F$14*$B$259</f>
        <v>29235.142138489762</v>
      </c>
      <c r="F259" s="134">
        <f t="shared" si="5"/>
        <v>69404.127660547994</v>
      </c>
      <c r="G259" s="134">
        <f t="shared" si="5"/>
        <v>104138.04552245834</v>
      </c>
      <c r="H259" s="134">
        <f t="shared" si="5"/>
        <v>84652.485436686373</v>
      </c>
      <c r="I259" s="134">
        <f t="shared" si="5"/>
        <v>136204.24677791016</v>
      </c>
      <c r="J259" s="134">
        <f t="shared" si="5"/>
        <v>163163.74015890612</v>
      </c>
      <c r="K259" s="134">
        <f t="shared" si="5"/>
        <v>187472.61103341187</v>
      </c>
      <c r="L259" s="134">
        <f t="shared" si="5"/>
        <v>235752.60824035326</v>
      </c>
      <c r="M259" s="134">
        <f t="shared" si="5"/>
        <v>237997.68948276836</v>
      </c>
      <c r="N259" s="134">
        <f t="shared" si="5"/>
        <v>247058.66654558069</v>
      </c>
      <c r="O259" s="134">
        <f t="shared" si="5"/>
        <v>262307.34999400988</v>
      </c>
      <c r="P259" s="134">
        <f t="shared" si="5"/>
        <v>236566.98409245166</v>
      </c>
      <c r="Q259" s="134">
        <f t="shared" si="5"/>
        <v>250597.15617962449</v>
      </c>
      <c r="R259" s="134">
        <f t="shared" si="5"/>
        <v>260775.01088384999</v>
      </c>
      <c r="S259" s="134">
        <f t="shared" si="5"/>
        <v>246472.21313559546</v>
      </c>
      <c r="T259" s="134">
        <f t="shared" si="5"/>
        <v>188189.3110015851</v>
      </c>
      <c r="U259" s="134">
        <f t="shared" si="5"/>
        <v>222347.18544340276</v>
      </c>
      <c r="V259" s="134">
        <f t="shared" si="5"/>
        <v>251011.02095488086</v>
      </c>
      <c r="W259" s="134">
        <f t="shared" si="5"/>
        <v>259241.84535859947</v>
      </c>
      <c r="X259" s="134">
        <f t="shared" si="5"/>
        <v>269390.8055941753</v>
      </c>
      <c r="Y259" s="134">
        <f t="shared" si="5"/>
        <v>236324.54369251477</v>
      </c>
      <c r="Z259" s="134">
        <f t="shared" si="5"/>
        <v>220448.77963514658</v>
      </c>
      <c r="AA259" s="134">
        <f t="shared" si="5"/>
        <v>189579.72271868773</v>
      </c>
      <c r="AB259" s="134">
        <f t="shared" si="5"/>
        <v>173470.0829119767</v>
      </c>
      <c r="AC259" s="134">
        <f t="shared" si="5"/>
        <v>143379.4620698964</v>
      </c>
      <c r="AD259" s="134">
        <f t="shared" si="5"/>
        <v>135822.63380087598</v>
      </c>
      <c r="AE259" s="134">
        <f t="shared" si="5"/>
        <v>160175.99568966863</v>
      </c>
      <c r="AF259" s="134">
        <f t="shared" si="5"/>
        <v>271240.16906166251</v>
      </c>
      <c r="AG259" s="134">
        <f t="shared" si="5"/>
        <v>260213.40959040116</v>
      </c>
      <c r="AH259" s="134">
        <f t="shared" si="5"/>
        <v>255371.4890299243</v>
      </c>
      <c r="AI259" s="134">
        <f t="shared" si="5"/>
        <v>296520.1590924667</v>
      </c>
      <c r="AJ259" s="134">
        <f t="shared" si="5"/>
        <v>271733.73969460296</v>
      </c>
      <c r="AK259" s="134">
        <f t="shared" si="5"/>
        <v>340161.28610592056</v>
      </c>
      <c r="AL259" s="134">
        <f t="shared" si="5"/>
        <v>304255.83758988959</v>
      </c>
      <c r="AM259" s="134">
        <f t="shared" si="5"/>
        <v>318496.64859484631</v>
      </c>
      <c r="AN259" s="134">
        <f t="shared" si="5"/>
        <v>403026.71759675856</v>
      </c>
      <c r="AO259" s="134">
        <f t="shared" si="5"/>
        <v>400083.97825461568</v>
      </c>
      <c r="AP259" s="134">
        <f t="shared" si="5"/>
        <v>400352.94126477791</v>
      </c>
      <c r="AQ259" s="134">
        <f t="shared" si="5"/>
        <v>335483.21776884416</v>
      </c>
      <c r="AR259" s="134">
        <f t="shared" si="5"/>
        <v>126985.69922609116</v>
      </c>
      <c r="AS259" s="134">
        <f t="shared" si="5"/>
        <v>112837.07866209855</v>
      </c>
      <c r="AT259" s="134">
        <f t="shared" si="5"/>
        <v>163359.19027952506</v>
      </c>
      <c r="AU259" s="134">
        <f t="shared" si="5"/>
        <v>170352.23787638408</v>
      </c>
      <c r="AV259" s="134">
        <f t="shared" si="5"/>
        <v>210646.67523540725</v>
      </c>
      <c r="AW259" s="134">
        <f t="shared" si="5"/>
        <v>209058.77675115532</v>
      </c>
      <c r="AX259" s="134">
        <f t="shared" si="5"/>
        <v>174661.67756304776</v>
      </c>
      <c r="AY259" s="134">
        <f>AZ$14*$B$259</f>
        <v>175163.97559232774</v>
      </c>
      <c r="AZ259" s="149">
        <f>SUM($D259:$AY259)</f>
        <v>10414115.564079609</v>
      </c>
    </row>
    <row r="260" spans="1:52" x14ac:dyDescent="0.2">
      <c r="A260" s="150" t="s">
        <v>304</v>
      </c>
      <c r="B260" s="124">
        <v>60</v>
      </c>
      <c r="C260" s="135" t="s">
        <v>295</v>
      </c>
      <c r="D260" s="135">
        <f>(D$175-D$176+D$177-D$178+D$179-D$180+D$181-D$182)*$B$260</f>
        <v>49907.892843820067</v>
      </c>
      <c r="E260" s="135">
        <f t="shared" ref="E260:AY260" si="6">(E$175-E$176+E$177-E$178+E$179-E$180+E$181-E$182)*$B$260</f>
        <v>114252.98062132554</v>
      </c>
      <c r="F260" s="135">
        <f t="shared" si="6"/>
        <v>203271.74822517455</v>
      </c>
      <c r="G260" s="135">
        <f t="shared" si="6"/>
        <v>280389.4233020221</v>
      </c>
      <c r="H260" s="135">
        <f t="shared" si="6"/>
        <v>306608.59977578482</v>
      </c>
      <c r="I260" s="135">
        <f t="shared" si="6"/>
        <v>402563.37663554051</v>
      </c>
      <c r="J260" s="135">
        <f t="shared" si="6"/>
        <v>464649.19102772942</v>
      </c>
      <c r="K260" s="135">
        <f t="shared" si="6"/>
        <v>468105.67604614724</v>
      </c>
      <c r="L260" s="135">
        <f t="shared" si="6"/>
        <v>607744.10265641217</v>
      </c>
      <c r="M260" s="135">
        <f t="shared" si="6"/>
        <v>669041.68502906815</v>
      </c>
      <c r="N260" s="135">
        <f t="shared" si="6"/>
        <v>679504.78331076191</v>
      </c>
      <c r="O260" s="135">
        <f t="shared" si="6"/>
        <v>673475.23696909996</v>
      </c>
      <c r="P260" s="135">
        <f t="shared" si="6"/>
        <v>659145.26336446614</v>
      </c>
      <c r="Q260" s="135">
        <f t="shared" si="6"/>
        <v>647385.50406763761</v>
      </c>
      <c r="R260" s="135">
        <f t="shared" si="6"/>
        <v>652818.26912097377</v>
      </c>
      <c r="S260" s="135">
        <f t="shared" si="6"/>
        <v>656696.64279618813</v>
      </c>
      <c r="T260" s="135">
        <f t="shared" si="6"/>
        <v>639425.14266455942</v>
      </c>
      <c r="U260" s="135">
        <f t="shared" si="6"/>
        <v>630372.36753705551</v>
      </c>
      <c r="V260" s="135">
        <f t="shared" si="6"/>
        <v>634873.54979533458</v>
      </c>
      <c r="W260" s="135">
        <f t="shared" si="6"/>
        <v>640593.00752396509</v>
      </c>
      <c r="X260" s="135">
        <f t="shared" si="6"/>
        <v>617021.4330530708</v>
      </c>
      <c r="Y260" s="135">
        <f t="shared" si="6"/>
        <v>548074.19722830749</v>
      </c>
      <c r="Z260" s="135">
        <f t="shared" si="6"/>
        <v>511885.88561146223</v>
      </c>
      <c r="AA260" s="135">
        <f t="shared" si="6"/>
        <v>441562.69290767988</v>
      </c>
      <c r="AB260" s="135">
        <f t="shared" si="6"/>
        <v>593737.97062622244</v>
      </c>
      <c r="AC260" s="135">
        <f t="shared" si="6"/>
        <v>674432.349693981</v>
      </c>
      <c r="AD260" s="135">
        <f t="shared" si="6"/>
        <v>678568.86369157094</v>
      </c>
      <c r="AE260" s="135">
        <f t="shared" si="6"/>
        <v>662421.38042459788</v>
      </c>
      <c r="AF260" s="135">
        <f t="shared" si="6"/>
        <v>651916.5910959827</v>
      </c>
      <c r="AG260" s="135">
        <f t="shared" si="6"/>
        <v>630695.58913037099</v>
      </c>
      <c r="AH260" s="135">
        <f t="shared" si="6"/>
        <v>635563.25114049169</v>
      </c>
      <c r="AI260" s="135">
        <f t="shared" si="6"/>
        <v>634873.02591989411</v>
      </c>
      <c r="AJ260" s="135">
        <f t="shared" si="6"/>
        <v>606770.52227810048</v>
      </c>
      <c r="AK260" s="135">
        <f t="shared" si="6"/>
        <v>617883.8132495553</v>
      </c>
      <c r="AL260" s="135">
        <f t="shared" si="6"/>
        <v>568243.90390140773</v>
      </c>
      <c r="AM260" s="135">
        <f t="shared" si="6"/>
        <v>529932.08159161243</v>
      </c>
      <c r="AN260" s="135">
        <f t="shared" si="6"/>
        <v>667467.08968393761</v>
      </c>
      <c r="AO260" s="135">
        <f t="shared" si="6"/>
        <v>663549.54329804261</v>
      </c>
      <c r="AP260" s="135">
        <f t="shared" si="6"/>
        <v>651530.08657861478</v>
      </c>
      <c r="AQ260" s="135">
        <f t="shared" si="6"/>
        <v>656872.31835979898</v>
      </c>
      <c r="AR260" s="135">
        <f t="shared" si="6"/>
        <v>708201.63939690939</v>
      </c>
      <c r="AS260" s="135">
        <f t="shared" si="6"/>
        <v>727996.22330137319</v>
      </c>
      <c r="AT260" s="135">
        <f t="shared" si="6"/>
        <v>714885.74593853962</v>
      </c>
      <c r="AU260" s="135">
        <f t="shared" si="6"/>
        <v>725085.13338434626</v>
      </c>
      <c r="AV260" s="135">
        <f t="shared" si="6"/>
        <v>664558.6831073534</v>
      </c>
      <c r="AW260" s="135">
        <f t="shared" si="6"/>
        <v>656517.91939370055</v>
      </c>
      <c r="AX260" s="135">
        <f t="shared" si="6"/>
        <v>663399.65037099668</v>
      </c>
      <c r="AY260" s="135">
        <f t="shared" si="6"/>
        <v>667137.23835219815</v>
      </c>
      <c r="AZ260" s="151">
        <f>SUM($D260:$AY260)</f>
        <v>27851609.266023189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14.7109375" style="110" customWidth="1"/>
    <col min="2" max="2" width="12.7109375" style="110" customWidth="1"/>
    <col min="3" max="16384" width="9.140625" style="110"/>
  </cols>
  <sheetData>
    <row r="1" spans="1:53" x14ac:dyDescent="0.2">
      <c r="A1" s="112" t="s">
        <v>286</v>
      </c>
    </row>
    <row r="2" spans="1:53" x14ac:dyDescent="0.2">
      <c r="A2" s="110" t="s">
        <v>287</v>
      </c>
      <c r="B2" s="117" t="s">
        <v>66</v>
      </c>
    </row>
    <row r="3" spans="1:53" x14ac:dyDescent="0.2">
      <c r="A3" s="110" t="s">
        <v>288</v>
      </c>
      <c r="B3" s="118">
        <v>5458</v>
      </c>
      <c r="C3" s="119"/>
    </row>
    <row r="4" spans="1:53" x14ac:dyDescent="0.2">
      <c r="B4" s="120"/>
      <c r="C4" s="120"/>
    </row>
    <row r="5" spans="1:53" x14ac:dyDescent="0.2">
      <c r="C5" s="121" t="s">
        <v>289</v>
      </c>
    </row>
    <row r="6" spans="1:53" x14ac:dyDescent="0.2">
      <c r="C6" s="122">
        <v>0</v>
      </c>
      <c r="D6" s="122">
        <v>1</v>
      </c>
      <c r="E6" s="122">
        <v>2</v>
      </c>
      <c r="F6" s="122">
        <v>3</v>
      </c>
      <c r="G6" s="122">
        <v>4</v>
      </c>
      <c r="H6" s="122">
        <v>5</v>
      </c>
      <c r="I6" s="122">
        <v>6</v>
      </c>
      <c r="J6" s="122">
        <v>7</v>
      </c>
      <c r="K6" s="122">
        <v>8</v>
      </c>
      <c r="L6" s="122">
        <v>9</v>
      </c>
      <c r="M6" s="122">
        <v>10</v>
      </c>
      <c r="N6" s="122">
        <v>11</v>
      </c>
      <c r="O6" s="122">
        <v>12</v>
      </c>
      <c r="P6" s="122">
        <v>13</v>
      </c>
      <c r="Q6" s="122">
        <v>14</v>
      </c>
      <c r="R6" s="122">
        <v>15</v>
      </c>
      <c r="S6" s="122">
        <v>16</v>
      </c>
      <c r="T6" s="122">
        <v>17</v>
      </c>
      <c r="U6" s="122">
        <v>18</v>
      </c>
      <c r="V6" s="122">
        <v>19</v>
      </c>
      <c r="W6" s="122">
        <v>20</v>
      </c>
      <c r="X6" s="122">
        <v>21</v>
      </c>
      <c r="Y6" s="122">
        <v>22</v>
      </c>
      <c r="Z6" s="122">
        <v>23</v>
      </c>
      <c r="AA6" s="122">
        <v>24</v>
      </c>
      <c r="AB6" s="122">
        <v>25</v>
      </c>
      <c r="AC6" s="122">
        <v>26</v>
      </c>
      <c r="AD6" s="122">
        <v>27</v>
      </c>
      <c r="AE6" s="122">
        <v>28</v>
      </c>
      <c r="AF6" s="122">
        <v>29</v>
      </c>
      <c r="AG6" s="122">
        <v>30</v>
      </c>
      <c r="AH6" s="122">
        <v>31</v>
      </c>
      <c r="AI6" s="122">
        <v>32</v>
      </c>
      <c r="AJ6" s="122">
        <v>33</v>
      </c>
      <c r="AK6" s="122">
        <v>34</v>
      </c>
      <c r="AL6" s="122">
        <v>35</v>
      </c>
      <c r="AM6" s="122">
        <v>36</v>
      </c>
      <c r="AN6" s="122">
        <v>37</v>
      </c>
      <c r="AO6" s="122">
        <v>38</v>
      </c>
      <c r="AP6" s="122">
        <v>39</v>
      </c>
      <c r="AQ6" s="122">
        <v>40</v>
      </c>
      <c r="AR6" s="122">
        <v>41</v>
      </c>
      <c r="AS6" s="122">
        <v>42</v>
      </c>
      <c r="AT6" s="122">
        <v>43</v>
      </c>
      <c r="AU6" s="122">
        <v>44</v>
      </c>
      <c r="AV6" s="122">
        <v>45</v>
      </c>
      <c r="AW6" s="122">
        <v>46</v>
      </c>
      <c r="AX6" s="122">
        <v>47</v>
      </c>
      <c r="AY6" s="122">
        <v>48</v>
      </c>
    </row>
    <row r="7" spans="1:53" x14ac:dyDescent="0.2">
      <c r="B7" s="120"/>
      <c r="C7" s="123" t="s">
        <v>290</v>
      </c>
      <c r="D7" s="122" t="s">
        <v>291</v>
      </c>
      <c r="E7" s="122" t="s">
        <v>291</v>
      </c>
      <c r="F7" s="122" t="s">
        <v>291</v>
      </c>
      <c r="G7" s="122" t="s">
        <v>291</v>
      </c>
      <c r="H7" s="122" t="s">
        <v>291</v>
      </c>
      <c r="I7" s="122" t="s">
        <v>291</v>
      </c>
      <c r="J7" s="122" t="s">
        <v>291</v>
      </c>
      <c r="K7" s="122" t="s">
        <v>291</v>
      </c>
      <c r="L7" s="122" t="s">
        <v>291</v>
      </c>
      <c r="M7" s="122" t="s">
        <v>291</v>
      </c>
      <c r="N7" s="122" t="s">
        <v>291</v>
      </c>
      <c r="O7" s="122" t="s">
        <v>291</v>
      </c>
      <c r="P7" s="122" t="s">
        <v>291</v>
      </c>
      <c r="Q7" s="122" t="s">
        <v>291</v>
      </c>
      <c r="R7" s="122" t="s">
        <v>291</v>
      </c>
      <c r="S7" s="122" t="s">
        <v>291</v>
      </c>
      <c r="T7" s="122" t="s">
        <v>291</v>
      </c>
      <c r="U7" s="122" t="s">
        <v>291</v>
      </c>
      <c r="V7" s="122" t="s">
        <v>291</v>
      </c>
      <c r="W7" s="122" t="s">
        <v>291</v>
      </c>
      <c r="X7" s="122" t="s">
        <v>291</v>
      </c>
      <c r="Y7" s="122" t="s">
        <v>291</v>
      </c>
      <c r="Z7" s="122" t="s">
        <v>291</v>
      </c>
      <c r="AA7" s="122" t="s">
        <v>291</v>
      </c>
      <c r="AB7" s="122" t="s">
        <v>291</v>
      </c>
      <c r="AC7" s="122" t="s">
        <v>291</v>
      </c>
      <c r="AD7" s="122" t="s">
        <v>291</v>
      </c>
      <c r="AE7" s="122" t="s">
        <v>291</v>
      </c>
      <c r="AF7" s="122" t="s">
        <v>291</v>
      </c>
      <c r="AG7" s="122" t="s">
        <v>291</v>
      </c>
      <c r="AH7" s="122" t="s">
        <v>291</v>
      </c>
      <c r="AI7" s="122" t="s">
        <v>291</v>
      </c>
      <c r="AJ7" s="122" t="s">
        <v>291</v>
      </c>
      <c r="AK7" s="122" t="s">
        <v>291</v>
      </c>
      <c r="AL7" s="122" t="s">
        <v>291</v>
      </c>
      <c r="AM7" s="122" t="s">
        <v>291</v>
      </c>
      <c r="AN7" s="122" t="s">
        <v>291</v>
      </c>
      <c r="AO7" s="122" t="s">
        <v>291</v>
      </c>
      <c r="AP7" s="122" t="s">
        <v>291</v>
      </c>
      <c r="AQ7" s="122" t="s">
        <v>291</v>
      </c>
      <c r="AR7" s="122" t="s">
        <v>291</v>
      </c>
      <c r="AS7" s="122" t="s">
        <v>291</v>
      </c>
      <c r="AT7" s="122" t="s">
        <v>291</v>
      </c>
      <c r="AU7" s="122" t="s">
        <v>291</v>
      </c>
      <c r="AV7" s="122" t="s">
        <v>291</v>
      </c>
      <c r="AW7" s="122" t="s">
        <v>291</v>
      </c>
      <c r="AX7" s="122" t="s">
        <v>291</v>
      </c>
      <c r="AY7" s="121" t="s">
        <v>292</v>
      </c>
      <c r="AZ7" s="121" t="s">
        <v>293</v>
      </c>
    </row>
    <row r="8" spans="1:53" x14ac:dyDescent="0.2">
      <c r="A8" s="112" t="s">
        <v>294</v>
      </c>
      <c r="B8" s="124"/>
      <c r="AY8" s="120"/>
    </row>
    <row r="9" spans="1:53" x14ac:dyDescent="0.2">
      <c r="A9" s="125" t="s">
        <v>125</v>
      </c>
      <c r="B9" s="126">
        <v>1</v>
      </c>
      <c r="C9" s="127" t="s">
        <v>295</v>
      </c>
      <c r="D9" s="127">
        <v>310.18336739940219</v>
      </c>
      <c r="E9" s="127">
        <v>310.18336739940219</v>
      </c>
      <c r="F9" s="127">
        <v>310.18336739940219</v>
      </c>
      <c r="G9" s="127">
        <v>310.18336739940219</v>
      </c>
      <c r="H9" s="127">
        <v>1515</v>
      </c>
      <c r="I9" s="127">
        <v>1515</v>
      </c>
      <c r="J9" s="127">
        <v>1515</v>
      </c>
      <c r="K9" s="127">
        <v>1515</v>
      </c>
      <c r="L9" s="127">
        <v>145.36856683877429</v>
      </c>
      <c r="M9" s="127">
        <v>145.36856683877429</v>
      </c>
      <c r="N9" s="127">
        <v>145.36856683877429</v>
      </c>
      <c r="O9" s="127">
        <v>145.36856683877429</v>
      </c>
      <c r="P9" s="127">
        <v>226.0226181769539</v>
      </c>
      <c r="Q9" s="127">
        <v>226.0226181769539</v>
      </c>
      <c r="R9" s="127">
        <v>226.0226181769539</v>
      </c>
      <c r="S9" s="127">
        <v>226.0226181769539</v>
      </c>
      <c r="T9" s="127">
        <v>4736.1045390837353</v>
      </c>
      <c r="U9" s="127">
        <v>4736.1045390837353</v>
      </c>
      <c r="V9" s="127">
        <v>4736.1045390837353</v>
      </c>
      <c r="W9" s="127">
        <v>4736.1045390837353</v>
      </c>
      <c r="X9" s="127">
        <v>878</v>
      </c>
      <c r="Y9" s="127">
        <v>878</v>
      </c>
      <c r="Z9" s="127">
        <v>878</v>
      </c>
      <c r="AA9" s="127">
        <v>878</v>
      </c>
      <c r="AB9" s="127">
        <v>973</v>
      </c>
      <c r="AC9" s="127">
        <v>973</v>
      </c>
      <c r="AD9" s="127">
        <v>973</v>
      </c>
      <c r="AE9" s="127">
        <v>973</v>
      </c>
      <c r="AF9" s="127">
        <v>239.41182828052521</v>
      </c>
      <c r="AG9" s="127">
        <v>239.41182828052521</v>
      </c>
      <c r="AH9" s="127">
        <v>239.41182828052521</v>
      </c>
      <c r="AI9" s="127">
        <v>239.41182828052521</v>
      </c>
      <c r="AJ9" s="127">
        <v>777</v>
      </c>
      <c r="AK9" s="127">
        <v>777</v>
      </c>
      <c r="AL9" s="127">
        <v>777</v>
      </c>
      <c r="AM9" s="127">
        <v>777</v>
      </c>
      <c r="AN9" s="127">
        <v>232.07964179523614</v>
      </c>
      <c r="AO9" s="127">
        <v>232.07964179523614</v>
      </c>
      <c r="AP9" s="127">
        <v>232.07964179523614</v>
      </c>
      <c r="AQ9" s="127">
        <v>232.07964179523614</v>
      </c>
      <c r="AR9" s="127">
        <v>261.40838773639234</v>
      </c>
      <c r="AS9" s="127">
        <v>261.40838773639234</v>
      </c>
      <c r="AT9" s="127">
        <v>261.40838773639234</v>
      </c>
      <c r="AU9" s="127">
        <v>261.40838773639234</v>
      </c>
      <c r="AV9" s="127">
        <v>313.05248385016745</v>
      </c>
      <c r="AW9" s="127">
        <v>313.05248385016745</v>
      </c>
      <c r="AX9" s="127">
        <v>313.05248385016745</v>
      </c>
      <c r="AY9" s="127">
        <v>313.05248385016745</v>
      </c>
    </row>
    <row r="10" spans="1:53" x14ac:dyDescent="0.2">
      <c r="A10" s="128" t="s">
        <v>133</v>
      </c>
      <c r="B10" s="129">
        <v>1</v>
      </c>
      <c r="C10" s="116" t="s">
        <v>295</v>
      </c>
      <c r="E10" s="110">
        <v>15.93645294623772</v>
      </c>
      <c r="F10" s="110">
        <v>43.540325891316058</v>
      </c>
      <c r="G10" s="110">
        <v>0</v>
      </c>
      <c r="H10" s="110">
        <v>43.540325891316058</v>
      </c>
      <c r="I10" s="110">
        <v>43.540325891316058</v>
      </c>
      <c r="J10" s="110">
        <v>43.540325891316058</v>
      </c>
      <c r="K10" s="110">
        <v>43.540325891316058</v>
      </c>
      <c r="L10" s="110">
        <v>0</v>
      </c>
      <c r="M10" s="110">
        <v>43.540325891316058</v>
      </c>
      <c r="N10" s="110">
        <v>0</v>
      </c>
      <c r="O10" s="110">
        <v>43.540325891316058</v>
      </c>
      <c r="P10" s="110">
        <v>0</v>
      </c>
      <c r="Q10" s="110">
        <v>43.540325891316058</v>
      </c>
      <c r="R10" s="110">
        <v>0</v>
      </c>
      <c r="S10" s="110">
        <v>0</v>
      </c>
      <c r="T10" s="110">
        <v>43.540325891316058</v>
      </c>
      <c r="U10" s="110">
        <v>43.540325891316058</v>
      </c>
      <c r="V10" s="110">
        <v>43.540325891316058</v>
      </c>
      <c r="W10" s="110">
        <v>43.540325891316058</v>
      </c>
      <c r="X10" s="110">
        <v>43.540325891316058</v>
      </c>
      <c r="Y10" s="110">
        <v>0</v>
      </c>
      <c r="Z10" s="110">
        <v>0</v>
      </c>
      <c r="AA10" s="110">
        <v>0</v>
      </c>
      <c r="AB10" s="110">
        <v>43.540325891316058</v>
      </c>
      <c r="AC10" s="110">
        <v>43.540325891316058</v>
      </c>
      <c r="AD10" s="110">
        <v>0</v>
      </c>
      <c r="AE10" s="110">
        <v>43.540325891316058</v>
      </c>
      <c r="AF10" s="110">
        <v>0</v>
      </c>
      <c r="AG10" s="110">
        <v>0</v>
      </c>
      <c r="AH10" s="110">
        <v>0</v>
      </c>
      <c r="AI10" s="110">
        <v>43.540325891316058</v>
      </c>
      <c r="AJ10" s="110">
        <v>0</v>
      </c>
      <c r="AK10" s="110">
        <v>0</v>
      </c>
      <c r="AL10" s="110">
        <v>0</v>
      </c>
      <c r="AM10" s="110">
        <v>0</v>
      </c>
      <c r="AN10" s="110">
        <v>0</v>
      </c>
      <c r="AO10" s="110">
        <v>43.540325891316058</v>
      </c>
      <c r="AP10" s="110">
        <v>0</v>
      </c>
      <c r="AQ10" s="110">
        <v>0</v>
      </c>
      <c r="AR10" s="110">
        <v>43.540325891316058</v>
      </c>
      <c r="AS10" s="110">
        <v>43.540325891316058</v>
      </c>
      <c r="AT10" s="110">
        <v>43.540325891316058</v>
      </c>
      <c r="AU10" s="110">
        <v>43.540325891316058</v>
      </c>
      <c r="AV10" s="110">
        <v>43.540325891316058</v>
      </c>
      <c r="AW10" s="110">
        <v>0</v>
      </c>
      <c r="AX10" s="110">
        <v>0</v>
      </c>
      <c r="AY10" s="110">
        <v>43.540325891316058</v>
      </c>
      <c r="AZ10" s="110">
        <v>0</v>
      </c>
    </row>
    <row r="11" spans="1:53" x14ac:dyDescent="0.2">
      <c r="B11" s="129">
        <v>2</v>
      </c>
      <c r="C11" s="116" t="s">
        <v>295</v>
      </c>
      <c r="H11" s="110">
        <v>43.540325891316058</v>
      </c>
      <c r="O11" s="110">
        <v>43.540325891316058</v>
      </c>
      <c r="Q11" s="110">
        <v>43.540325891316058</v>
      </c>
      <c r="S11" s="110">
        <v>43.540325891316058</v>
      </c>
      <c r="T11" s="110">
        <v>43.540325891316058</v>
      </c>
      <c r="AA11" s="110">
        <v>43.540325891316058</v>
      </c>
      <c r="AI11" s="110">
        <v>43.540325891316058</v>
      </c>
      <c r="AK11" s="110">
        <v>43.540325891316058</v>
      </c>
      <c r="AL11" s="110">
        <v>43.540325891316058</v>
      </c>
      <c r="AM11" s="110">
        <v>43.540325891316058</v>
      </c>
      <c r="AO11" s="110">
        <v>43.540325891316058</v>
      </c>
      <c r="AX11" s="110">
        <v>43.540325891316058</v>
      </c>
      <c r="BA11" s="110">
        <v>43.540325891316058</v>
      </c>
    </row>
    <row r="12" spans="1:53" x14ac:dyDescent="0.2">
      <c r="B12" s="130">
        <v>3</v>
      </c>
      <c r="C12" s="116" t="s">
        <v>295</v>
      </c>
      <c r="AF12" s="110">
        <v>0</v>
      </c>
      <c r="AH12" s="110">
        <v>43.540325891316058</v>
      </c>
      <c r="AI12" s="110">
        <v>43.540325891316058</v>
      </c>
      <c r="AR12" s="110">
        <v>43.540325891316058</v>
      </c>
      <c r="AS12" s="110">
        <v>0</v>
      </c>
    </row>
    <row r="13" spans="1:53" x14ac:dyDescent="0.2">
      <c r="B13" s="130">
        <v>4</v>
      </c>
      <c r="C13" s="116" t="s">
        <v>295</v>
      </c>
    </row>
    <row r="14" spans="1:53" x14ac:dyDescent="0.2">
      <c r="A14" s="125" t="s">
        <v>134</v>
      </c>
      <c r="B14" s="131">
        <v>1</v>
      </c>
      <c r="C14" s="127" t="s">
        <v>295</v>
      </c>
      <c r="D14" s="127"/>
      <c r="E14" s="127">
        <f t="shared" ref="E14:AZ14" si="0">D$172*SUM(D$122:D$169)</f>
        <v>18.923661086461951</v>
      </c>
      <c r="F14" s="127">
        <f t="shared" si="0"/>
        <v>35.787667076173719</v>
      </c>
      <c r="G14" s="127">
        <f t="shared" si="0"/>
        <v>64.998174599740437</v>
      </c>
      <c r="H14" s="127">
        <f t="shared" si="0"/>
        <v>34.482239874470032</v>
      </c>
      <c r="I14" s="127">
        <f t="shared" si="0"/>
        <v>97.135619468834946</v>
      </c>
      <c r="J14" s="127">
        <f t="shared" si="0"/>
        <v>95.642779877180601</v>
      </c>
      <c r="K14" s="127">
        <f t="shared" si="0"/>
        <v>93.711350931721995</v>
      </c>
      <c r="L14" s="127">
        <f t="shared" si="0"/>
        <v>84.539458259875914</v>
      </c>
      <c r="M14" s="127">
        <f t="shared" si="0"/>
        <v>0</v>
      </c>
      <c r="N14" s="127">
        <f t="shared" si="0"/>
        <v>0</v>
      </c>
      <c r="O14" s="127">
        <f t="shared" si="0"/>
        <v>0</v>
      </c>
      <c r="P14" s="127">
        <f t="shared" si="0"/>
        <v>0</v>
      </c>
      <c r="Q14" s="127">
        <f t="shared" si="0"/>
        <v>0.15337693126831281</v>
      </c>
      <c r="R14" s="127">
        <f t="shared" si="0"/>
        <v>0.31651403197925715</v>
      </c>
      <c r="S14" s="127">
        <f t="shared" si="0"/>
        <v>0.2510079356927658</v>
      </c>
      <c r="T14" s="127">
        <f t="shared" si="0"/>
        <v>0.28087475876897422</v>
      </c>
      <c r="U14" s="127">
        <f t="shared" si="0"/>
        <v>100.96925094469562</v>
      </c>
      <c r="V14" s="127">
        <f t="shared" si="0"/>
        <v>108.08467969527437</v>
      </c>
      <c r="W14" s="127">
        <f t="shared" si="0"/>
        <v>115.60785725279567</v>
      </c>
      <c r="X14" s="127">
        <f t="shared" si="0"/>
        <v>120.38352998338833</v>
      </c>
      <c r="Y14" s="127">
        <f t="shared" si="0"/>
        <v>76.489484961103486</v>
      </c>
      <c r="Z14" s="127">
        <f t="shared" si="0"/>
        <v>66.162223944965035</v>
      </c>
      <c r="AA14" s="127">
        <f t="shared" si="0"/>
        <v>56.57844440248379</v>
      </c>
      <c r="AB14" s="127">
        <f t="shared" si="0"/>
        <v>65.594285945158504</v>
      </c>
      <c r="AC14" s="127">
        <f t="shared" si="0"/>
        <v>92.839316269402303</v>
      </c>
      <c r="AD14" s="127">
        <f t="shared" si="0"/>
        <v>89.458482381769556</v>
      </c>
      <c r="AE14" s="127">
        <f t="shared" si="0"/>
        <v>61.769564988748748</v>
      </c>
      <c r="AF14" s="127">
        <f t="shared" si="0"/>
        <v>58.918762731567206</v>
      </c>
      <c r="AG14" s="127">
        <f t="shared" si="0"/>
        <v>0</v>
      </c>
      <c r="AH14" s="127">
        <f t="shared" si="0"/>
        <v>0</v>
      </c>
      <c r="AI14" s="127">
        <f t="shared" si="0"/>
        <v>0</v>
      </c>
      <c r="AJ14" s="127">
        <f t="shared" si="0"/>
        <v>0</v>
      </c>
      <c r="AK14" s="127">
        <f t="shared" si="0"/>
        <v>0</v>
      </c>
      <c r="AL14" s="127">
        <f t="shared" si="0"/>
        <v>0</v>
      </c>
      <c r="AM14" s="127">
        <f t="shared" si="0"/>
        <v>0</v>
      </c>
      <c r="AN14" s="127">
        <f t="shared" si="0"/>
        <v>0</v>
      </c>
      <c r="AO14" s="127">
        <f t="shared" si="0"/>
        <v>0</v>
      </c>
      <c r="AP14" s="127">
        <f t="shared" si="0"/>
        <v>0</v>
      </c>
      <c r="AQ14" s="127">
        <f t="shared" si="0"/>
        <v>0</v>
      </c>
      <c r="AR14" s="127">
        <f t="shared" si="0"/>
        <v>0</v>
      </c>
      <c r="AS14" s="127">
        <f t="shared" si="0"/>
        <v>2.928675999359474</v>
      </c>
      <c r="AT14" s="127">
        <f t="shared" si="0"/>
        <v>3.0436471495948427</v>
      </c>
      <c r="AU14" s="127">
        <f t="shared" si="0"/>
        <v>3.2317486712915979</v>
      </c>
      <c r="AV14" s="127">
        <f t="shared" si="0"/>
        <v>3.3403568088369364</v>
      </c>
      <c r="AW14" s="127">
        <f t="shared" si="0"/>
        <v>145.94135073455291</v>
      </c>
      <c r="AX14" s="127">
        <f t="shared" si="0"/>
        <v>130.13367665818603</v>
      </c>
      <c r="AY14" s="127">
        <f t="shared" si="0"/>
        <v>129.02192579504035</v>
      </c>
      <c r="AZ14" s="120">
        <f t="shared" si="0"/>
        <v>129.28657436975507</v>
      </c>
      <c r="BA14" s="117">
        <f>SUM($E14:$AZ14)</f>
        <v>2086.0065645201389</v>
      </c>
    </row>
    <row r="15" spans="1:53" x14ac:dyDescent="0.2">
      <c r="A15" s="132" t="s">
        <v>123</v>
      </c>
      <c r="B15" s="133">
        <v>1</v>
      </c>
      <c r="C15" s="134" t="s">
        <v>295</v>
      </c>
      <c r="D15" s="134">
        <v>69.771613090956222</v>
      </c>
      <c r="E15" s="134">
        <v>131.94926971362221</v>
      </c>
      <c r="F15" s="134">
        <v>239.64852620595076</v>
      </c>
      <c r="G15" s="134">
        <v>69.771613090956222</v>
      </c>
      <c r="H15" s="134">
        <v>209.72674869130685</v>
      </c>
      <c r="I15" s="134">
        <v>209.72674869130685</v>
      </c>
      <c r="J15" s="134">
        <v>209.72674869130685</v>
      </c>
      <c r="K15" s="134">
        <v>209.72674869130685</v>
      </c>
      <c r="L15" s="134">
        <v>68.019711669009652</v>
      </c>
      <c r="M15" s="134">
        <v>237.89662478400419</v>
      </c>
      <c r="N15" s="134">
        <v>68.019711669009652</v>
      </c>
      <c r="O15" s="134">
        <v>237.89662478400419</v>
      </c>
      <c r="P15" s="134">
        <v>58.896754561522158</v>
      </c>
      <c r="Q15" s="134">
        <v>228.77366767651668</v>
      </c>
      <c r="R15" s="134">
        <v>58.896754561522158</v>
      </c>
      <c r="S15" s="134">
        <v>58.896754561522158</v>
      </c>
      <c r="T15" s="134">
        <v>218.62497733702281</v>
      </c>
      <c r="U15" s="134">
        <v>218.62497733702281</v>
      </c>
      <c r="V15" s="134">
        <v>218.62497733702281</v>
      </c>
      <c r="W15" s="134">
        <v>218.62497733702281</v>
      </c>
      <c r="X15" s="134">
        <v>206.41620688940017</v>
      </c>
      <c r="Y15" s="134">
        <v>36.53929377440565</v>
      </c>
      <c r="Z15" s="134">
        <v>36.53929377440565</v>
      </c>
      <c r="AA15" s="134">
        <v>36.53929377440565</v>
      </c>
      <c r="AB15" s="134">
        <v>212.90352066046043</v>
      </c>
      <c r="AC15" s="134">
        <v>212.90352066046043</v>
      </c>
      <c r="AD15" s="134">
        <v>43.026607545465914</v>
      </c>
      <c r="AE15" s="134">
        <v>212.90352066046043</v>
      </c>
      <c r="AF15" s="134">
        <v>43.512512204284832</v>
      </c>
      <c r="AG15" s="134">
        <v>43.512512204284832</v>
      </c>
      <c r="AH15" s="134">
        <v>43.512512204284832</v>
      </c>
      <c r="AI15" s="134">
        <v>213.38942531927935</v>
      </c>
      <c r="AJ15" s="134">
        <v>45.009842978756836</v>
      </c>
      <c r="AK15" s="134">
        <v>45.009842978756836</v>
      </c>
      <c r="AL15" s="134">
        <v>45.009842978756836</v>
      </c>
      <c r="AM15" s="134">
        <v>45.009842978756836</v>
      </c>
      <c r="AN15" s="134">
        <v>49.587275591605191</v>
      </c>
      <c r="AO15" s="134">
        <v>219.46418870659971</v>
      </c>
      <c r="AP15" s="134">
        <v>49.587275591605191</v>
      </c>
      <c r="AQ15" s="134">
        <v>49.587275591605191</v>
      </c>
      <c r="AR15" s="134">
        <v>205.51497812363516</v>
      </c>
      <c r="AS15" s="134">
        <v>205.51497812363516</v>
      </c>
      <c r="AT15" s="134">
        <v>205.51497812363516</v>
      </c>
      <c r="AU15" s="134">
        <v>205.51497812363516</v>
      </c>
      <c r="AV15" s="134">
        <v>201.66069172956847</v>
      </c>
      <c r="AW15" s="134">
        <v>31.783778614573954</v>
      </c>
      <c r="AX15" s="134">
        <v>31.783778614573954</v>
      </c>
      <c r="AY15" s="134">
        <v>201.66069172956847</v>
      </c>
      <c r="AZ15" s="110">
        <v>0</v>
      </c>
    </row>
    <row r="16" spans="1:53" x14ac:dyDescent="0.2">
      <c r="A16" s="120"/>
      <c r="B16" s="129">
        <v>2</v>
      </c>
      <c r="C16" s="119" t="s">
        <v>295</v>
      </c>
      <c r="D16" s="116"/>
      <c r="E16" s="120"/>
      <c r="F16" s="120"/>
      <c r="G16" s="120"/>
      <c r="H16" s="120">
        <v>169.87691311499452</v>
      </c>
      <c r="I16" s="120"/>
      <c r="J16" s="120"/>
      <c r="K16" s="120"/>
      <c r="L16" s="120"/>
      <c r="M16" s="120"/>
      <c r="N16" s="120"/>
      <c r="O16" s="120">
        <v>169.87691311499452</v>
      </c>
      <c r="P16" s="120"/>
      <c r="Q16" s="120">
        <v>169.87691311499452</v>
      </c>
      <c r="R16" s="120"/>
      <c r="S16" s="120">
        <v>169.87691311499452</v>
      </c>
      <c r="T16" s="120">
        <v>169.87691311499452</v>
      </c>
      <c r="U16" s="120"/>
      <c r="V16" s="120"/>
      <c r="W16" s="120"/>
      <c r="X16" s="120"/>
      <c r="Y16" s="120"/>
      <c r="Z16" s="120"/>
      <c r="AA16" s="120">
        <v>169.87691311499452</v>
      </c>
      <c r="AB16" s="120"/>
      <c r="AC16" s="120"/>
      <c r="AD16" s="120"/>
      <c r="AE16" s="120"/>
      <c r="AF16" s="120"/>
      <c r="AG16" s="120"/>
      <c r="AH16" s="120"/>
      <c r="AI16" s="120">
        <v>169.87691311499452</v>
      </c>
      <c r="AJ16" s="120"/>
      <c r="AK16" s="120">
        <v>169.87691311499452</v>
      </c>
      <c r="AL16" s="120">
        <v>169.87691311499452</v>
      </c>
      <c r="AM16" s="120">
        <v>169.87691311499452</v>
      </c>
      <c r="AN16" s="120"/>
      <c r="AO16" s="120">
        <v>169.87691311499452</v>
      </c>
      <c r="AP16" s="120"/>
      <c r="AQ16" s="120"/>
      <c r="AR16" s="120"/>
      <c r="AS16" s="120"/>
      <c r="AT16" s="120"/>
      <c r="AU16" s="120"/>
      <c r="AV16" s="120"/>
      <c r="AW16" s="120"/>
      <c r="AX16" s="120">
        <v>169.87691311499452</v>
      </c>
      <c r="AY16" s="120"/>
      <c r="BA16" s="110">
        <v>169.87691311499452</v>
      </c>
    </row>
    <row r="17" spans="1:51" x14ac:dyDescent="0.2">
      <c r="A17" s="120"/>
      <c r="B17" s="129">
        <v>3</v>
      </c>
      <c r="C17" s="119" t="s">
        <v>295</v>
      </c>
      <c r="D17" s="116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>
        <v>0</v>
      </c>
      <c r="AG17" s="120"/>
      <c r="AH17" s="120">
        <v>169.87691311499452</v>
      </c>
      <c r="AI17" s="120">
        <v>169.87691311499452</v>
      </c>
      <c r="AJ17" s="120"/>
      <c r="AK17" s="120"/>
      <c r="AL17" s="120"/>
      <c r="AM17" s="120"/>
      <c r="AN17" s="120"/>
      <c r="AO17" s="120"/>
      <c r="AP17" s="120"/>
      <c r="AQ17" s="120"/>
      <c r="AR17" s="120">
        <v>169.87691311499452</v>
      </c>
      <c r="AS17" s="120">
        <v>0</v>
      </c>
      <c r="AT17" s="120"/>
      <c r="AU17" s="120"/>
      <c r="AV17" s="120"/>
      <c r="AW17" s="120"/>
      <c r="AX17" s="120"/>
      <c r="AY17" s="120"/>
    </row>
    <row r="18" spans="1:51" x14ac:dyDescent="0.2">
      <c r="A18" s="135"/>
      <c r="B18" s="126">
        <v>4</v>
      </c>
      <c r="C18" s="135" t="s">
        <v>295</v>
      </c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  <c r="AF18" s="135"/>
      <c r="AG18" s="135"/>
      <c r="AH18" s="135"/>
      <c r="AI18" s="135"/>
      <c r="AJ18" s="135"/>
      <c r="AK18" s="135"/>
      <c r="AL18" s="135"/>
      <c r="AM18" s="135"/>
      <c r="AN18" s="135"/>
      <c r="AO18" s="135"/>
      <c r="AP18" s="135"/>
      <c r="AQ18" s="135"/>
      <c r="AR18" s="135"/>
      <c r="AS18" s="135"/>
      <c r="AT18" s="135"/>
      <c r="AU18" s="135"/>
      <c r="AV18" s="135"/>
      <c r="AW18" s="135"/>
      <c r="AX18" s="135"/>
      <c r="AY18" s="135"/>
    </row>
    <row r="20" spans="1:51" x14ac:dyDescent="0.2">
      <c r="A20" s="112" t="s">
        <v>296</v>
      </c>
    </row>
    <row r="21" spans="1:51" x14ac:dyDescent="0.2">
      <c r="A21" s="136" t="s">
        <v>125</v>
      </c>
      <c r="B21" s="133">
        <v>1</v>
      </c>
      <c r="C21" s="134" t="s">
        <v>295</v>
      </c>
      <c r="D21" s="134"/>
      <c r="E21" s="134"/>
      <c r="F21" s="134"/>
      <c r="G21" s="134"/>
      <c r="H21" s="134"/>
      <c r="I21" s="134"/>
      <c r="J21" s="134"/>
      <c r="K21" s="134"/>
      <c r="L21" s="134"/>
      <c r="M21" s="134"/>
      <c r="N21" s="134"/>
      <c r="O21" s="134"/>
      <c r="P21" s="134"/>
      <c r="Q21" s="134"/>
      <c r="R21" s="134"/>
      <c r="S21" s="134"/>
      <c r="T21" s="134">
        <v>4.0376947217878296</v>
      </c>
      <c r="U21" s="134">
        <v>106.18668229647119</v>
      </c>
      <c r="V21" s="134">
        <v>160.88182174056783</v>
      </c>
      <c r="W21" s="134">
        <v>198.60834424790301</v>
      </c>
      <c r="X21" s="134"/>
      <c r="Y21" s="134"/>
      <c r="Z21" s="134"/>
      <c r="AA21" s="134"/>
      <c r="AB21" s="134"/>
      <c r="AC21" s="134"/>
      <c r="AD21" s="134"/>
      <c r="AE21" s="134"/>
      <c r="AF21" s="134"/>
      <c r="AG21" s="134"/>
      <c r="AH21" s="134"/>
      <c r="AI21" s="134"/>
      <c r="AJ21" s="134"/>
      <c r="AK21" s="134"/>
      <c r="AL21" s="134"/>
      <c r="AM21" s="134"/>
      <c r="AN21" s="134"/>
      <c r="AO21" s="134"/>
      <c r="AP21" s="134"/>
      <c r="AQ21" s="134"/>
      <c r="AR21" s="134"/>
      <c r="AS21" s="134"/>
      <c r="AT21" s="134"/>
      <c r="AU21" s="134"/>
      <c r="AV21" s="134"/>
      <c r="AW21" s="134"/>
      <c r="AX21" s="134"/>
      <c r="AY21" s="134"/>
    </row>
    <row r="22" spans="1:51" x14ac:dyDescent="0.2">
      <c r="A22" s="119"/>
      <c r="B22" s="130">
        <v>2</v>
      </c>
      <c r="C22" s="120" t="s">
        <v>295</v>
      </c>
      <c r="D22" s="120"/>
      <c r="E22" s="120"/>
      <c r="F22" s="120"/>
      <c r="G22" s="120"/>
      <c r="H22" s="120"/>
      <c r="I22" s="120"/>
      <c r="J22" s="120"/>
      <c r="K22" s="120"/>
      <c r="L22" s="120"/>
      <c r="M22" s="120"/>
      <c r="N22" s="120"/>
      <c r="O22" s="120"/>
      <c r="P22" s="120"/>
      <c r="Q22" s="120"/>
      <c r="R22" s="120"/>
      <c r="S22" s="120"/>
      <c r="T22" s="120">
        <v>226.0226181769539</v>
      </c>
      <c r="U22" s="120">
        <v>4491.066844361947</v>
      </c>
      <c r="V22" s="120">
        <v>4393.9178567872641</v>
      </c>
      <c r="W22" s="120">
        <v>4342.2227173431675</v>
      </c>
      <c r="X22" s="120">
        <v>616.56231040473267</v>
      </c>
      <c r="Y22" s="120"/>
      <c r="Z22" s="120"/>
      <c r="AA22" s="120"/>
      <c r="AB22" s="120"/>
      <c r="AC22" s="120"/>
      <c r="AD22" s="120"/>
      <c r="AE22" s="120"/>
      <c r="AF22" s="120"/>
      <c r="AG22" s="120"/>
      <c r="AH22" s="120"/>
      <c r="AI22" s="120"/>
      <c r="AJ22" s="120"/>
      <c r="AK22" s="120"/>
      <c r="AL22" s="120"/>
      <c r="AM22" s="120"/>
      <c r="AN22" s="120"/>
      <c r="AO22" s="120"/>
      <c r="AP22" s="120"/>
      <c r="AQ22" s="120"/>
      <c r="AR22" s="120"/>
      <c r="AS22" s="120"/>
      <c r="AT22" s="120"/>
      <c r="AU22" s="120"/>
      <c r="AV22" s="120"/>
      <c r="AW22" s="120"/>
      <c r="AX22" s="120"/>
      <c r="AY22" s="120"/>
    </row>
    <row r="23" spans="1:51" x14ac:dyDescent="0.2">
      <c r="A23" s="119"/>
      <c r="B23" s="137">
        <v>3</v>
      </c>
      <c r="C23" s="120" t="s">
        <v>295</v>
      </c>
      <c r="D23" s="120"/>
      <c r="E23" s="120"/>
      <c r="F23" s="120"/>
      <c r="G23" s="120"/>
      <c r="H23" s="120"/>
      <c r="I23" s="120"/>
      <c r="J23" s="120"/>
      <c r="K23" s="120"/>
      <c r="L23" s="120"/>
      <c r="M23" s="120"/>
      <c r="N23" s="120"/>
      <c r="O23" s="120"/>
      <c r="P23" s="120"/>
      <c r="Q23" s="120"/>
      <c r="R23" s="120"/>
      <c r="S23" s="120"/>
      <c r="T23" s="120">
        <v>134.54212188595884</v>
      </c>
      <c r="U23" s="120">
        <v>0</v>
      </c>
      <c r="V23" s="120">
        <v>0</v>
      </c>
      <c r="W23" s="120">
        <v>0</v>
      </c>
      <c r="X23" s="120">
        <v>0</v>
      </c>
      <c r="Y23" s="120">
        <v>453.50688941934823</v>
      </c>
      <c r="Z23" s="120"/>
      <c r="AA23" s="120"/>
      <c r="AB23" s="120"/>
      <c r="AC23" s="120"/>
      <c r="AD23" s="120"/>
      <c r="AE23" s="120"/>
      <c r="AF23" s="120"/>
      <c r="AG23" s="120"/>
      <c r="AH23" s="120"/>
      <c r="AI23" s="120"/>
      <c r="AJ23" s="120"/>
      <c r="AK23" s="120"/>
      <c r="AL23" s="120"/>
      <c r="AM23" s="120"/>
      <c r="AN23" s="120"/>
      <c r="AO23" s="120"/>
      <c r="AP23" s="120"/>
      <c r="AQ23" s="120"/>
      <c r="AR23" s="120"/>
      <c r="AS23" s="120"/>
      <c r="AT23" s="120"/>
      <c r="AU23" s="120"/>
      <c r="AV23" s="120"/>
      <c r="AW23" s="120"/>
      <c r="AX23" s="120"/>
      <c r="AY23" s="120"/>
    </row>
    <row r="24" spans="1:51" x14ac:dyDescent="0.2">
      <c r="A24" s="138"/>
      <c r="B24" s="139">
        <v>4</v>
      </c>
      <c r="C24" s="138" t="s">
        <v>295</v>
      </c>
      <c r="D24" s="135">
        <v>0</v>
      </c>
      <c r="E24" s="135">
        <v>0</v>
      </c>
      <c r="F24" s="135">
        <v>0</v>
      </c>
      <c r="G24" s="135">
        <v>0</v>
      </c>
      <c r="H24" s="135">
        <v>0</v>
      </c>
      <c r="I24" s="135">
        <v>0</v>
      </c>
      <c r="J24" s="135">
        <v>0</v>
      </c>
      <c r="K24" s="135">
        <v>0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5">
        <v>0</v>
      </c>
      <c r="Z24" s="135">
        <v>486.91231806178439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>
        <v>0</v>
      </c>
      <c r="AI24" s="135">
        <v>0</v>
      </c>
      <c r="AJ24" s="135">
        <v>0</v>
      </c>
      <c r="AK24" s="135">
        <v>0</v>
      </c>
      <c r="AL24" s="135">
        <v>0</v>
      </c>
      <c r="AM24" s="135">
        <v>0</v>
      </c>
      <c r="AN24" s="135">
        <v>0</v>
      </c>
      <c r="AO24" s="135">
        <v>0</v>
      </c>
      <c r="AP24" s="135">
        <v>0</v>
      </c>
      <c r="AQ24" s="135">
        <v>0</v>
      </c>
      <c r="AR24" s="135">
        <v>0</v>
      </c>
      <c r="AS24" s="135">
        <v>0</v>
      </c>
      <c r="AT24" s="135">
        <v>0</v>
      </c>
      <c r="AU24" s="135">
        <v>0</v>
      </c>
      <c r="AV24" s="135">
        <v>0</v>
      </c>
      <c r="AW24" s="135">
        <v>0</v>
      </c>
      <c r="AX24" s="135">
        <v>0</v>
      </c>
      <c r="AY24" s="135">
        <v>0</v>
      </c>
    </row>
    <row r="25" spans="1:51" x14ac:dyDescent="0.2">
      <c r="A25" s="136" t="s">
        <v>133</v>
      </c>
      <c r="B25" s="133">
        <v>1</v>
      </c>
      <c r="C25" s="119" t="s">
        <v>295</v>
      </c>
      <c r="D25" s="120"/>
      <c r="E25" s="120"/>
      <c r="F25" s="120"/>
      <c r="G25" s="120"/>
      <c r="H25" s="120"/>
      <c r="I25" s="120"/>
      <c r="J25" s="120"/>
      <c r="K25" s="120"/>
      <c r="L25" s="120"/>
      <c r="M25" s="120"/>
      <c r="N25" s="120"/>
      <c r="O25" s="120"/>
      <c r="P25" s="120"/>
      <c r="Q25" s="120"/>
      <c r="R25" s="120"/>
      <c r="S25" s="120"/>
      <c r="T25" s="120"/>
      <c r="U25" s="120"/>
      <c r="V25" s="120"/>
      <c r="W25" s="120"/>
      <c r="X25" s="120"/>
      <c r="Y25" s="120"/>
      <c r="Z25" s="120"/>
      <c r="AA25" s="120"/>
      <c r="AB25" s="120"/>
      <c r="AC25" s="120"/>
      <c r="AD25" s="120"/>
      <c r="AE25" s="120"/>
      <c r="AF25" s="120"/>
      <c r="AG25" s="120"/>
      <c r="AH25" s="120"/>
      <c r="AI25" s="120"/>
      <c r="AJ25" s="120"/>
      <c r="AK25" s="120"/>
      <c r="AL25" s="120"/>
      <c r="AM25" s="120"/>
      <c r="AN25" s="120"/>
      <c r="AO25" s="120"/>
      <c r="AP25" s="120"/>
      <c r="AQ25" s="120"/>
      <c r="AR25" s="120"/>
      <c r="AS25" s="120"/>
      <c r="AT25" s="120"/>
      <c r="AU25" s="120"/>
      <c r="AV25" s="120"/>
      <c r="AW25" s="120"/>
      <c r="AX25" s="120"/>
      <c r="AY25" s="120"/>
    </row>
    <row r="26" spans="1:51" x14ac:dyDescent="0.2">
      <c r="A26" s="119"/>
      <c r="B26" s="129">
        <v>2</v>
      </c>
      <c r="C26" s="119" t="s">
        <v>295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  <c r="AB26" s="120"/>
      <c r="AC26" s="120"/>
      <c r="AD26" s="120"/>
      <c r="AE26" s="120"/>
      <c r="AF26" s="120"/>
      <c r="AG26" s="120"/>
      <c r="AH26" s="120"/>
      <c r="AI26" s="120"/>
      <c r="AJ26" s="120"/>
      <c r="AK26" s="120"/>
      <c r="AL26" s="120"/>
      <c r="AM26" s="120"/>
      <c r="AN26" s="120"/>
      <c r="AO26" s="120"/>
      <c r="AP26" s="120"/>
      <c r="AQ26" s="120"/>
      <c r="AR26" s="120"/>
      <c r="AS26" s="120"/>
      <c r="AT26" s="120"/>
      <c r="AU26" s="120"/>
      <c r="AV26" s="120"/>
      <c r="AW26" s="120"/>
      <c r="AX26" s="120"/>
      <c r="AY26" s="120"/>
    </row>
    <row r="27" spans="1:51" x14ac:dyDescent="0.2">
      <c r="A27" s="119"/>
      <c r="B27" s="130">
        <v>3</v>
      </c>
      <c r="C27" s="119" t="s">
        <v>295</v>
      </c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  <c r="AB27" s="120"/>
      <c r="AC27" s="120"/>
      <c r="AD27" s="120"/>
      <c r="AE27" s="120"/>
      <c r="AF27" s="120"/>
      <c r="AG27" s="120"/>
      <c r="AH27" s="120"/>
      <c r="AI27" s="120"/>
      <c r="AJ27" s="120"/>
      <c r="AK27" s="120"/>
      <c r="AL27" s="120"/>
      <c r="AM27" s="120"/>
      <c r="AN27" s="120"/>
      <c r="AO27" s="120"/>
      <c r="AP27" s="120"/>
      <c r="AQ27" s="120"/>
      <c r="AR27" s="120"/>
      <c r="AS27" s="120"/>
      <c r="AT27" s="120"/>
      <c r="AU27" s="120"/>
      <c r="AV27" s="120"/>
      <c r="AW27" s="120"/>
      <c r="AX27" s="120"/>
      <c r="AY27" s="120"/>
    </row>
    <row r="28" spans="1:51" x14ac:dyDescent="0.2">
      <c r="A28" s="119"/>
      <c r="B28" s="130">
        <v>4</v>
      </c>
      <c r="C28" s="119" t="s">
        <v>295</v>
      </c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  <c r="AB28" s="120"/>
      <c r="AC28" s="120"/>
      <c r="AD28" s="120"/>
      <c r="AE28" s="120"/>
      <c r="AF28" s="120"/>
      <c r="AG28" s="120"/>
      <c r="AH28" s="120"/>
      <c r="AI28" s="120"/>
      <c r="AJ28" s="120"/>
      <c r="AK28" s="120"/>
      <c r="AL28" s="120"/>
      <c r="AM28" s="120"/>
      <c r="AN28" s="120"/>
      <c r="AO28" s="120"/>
      <c r="AP28" s="120"/>
      <c r="AQ28" s="120"/>
      <c r="AR28" s="120"/>
      <c r="AS28" s="120"/>
      <c r="AT28" s="120"/>
      <c r="AU28" s="120"/>
      <c r="AV28" s="120"/>
      <c r="AW28" s="120"/>
      <c r="AX28" s="120"/>
      <c r="AY28" s="120"/>
    </row>
    <row r="29" spans="1:51" x14ac:dyDescent="0.2">
      <c r="A29" s="119"/>
      <c r="B29" s="137">
        <v>5</v>
      </c>
      <c r="C29" s="119" t="s">
        <v>295</v>
      </c>
      <c r="D29" s="120"/>
      <c r="E29" s="120"/>
      <c r="F29" s="120"/>
      <c r="G29" s="120"/>
      <c r="H29" s="120"/>
      <c r="I29" s="120"/>
      <c r="J29" s="120"/>
      <c r="K29" s="120"/>
      <c r="L29" s="120"/>
      <c r="M29" s="120"/>
      <c r="N29" s="120"/>
      <c r="O29" s="120"/>
      <c r="P29" s="120"/>
      <c r="Q29" s="120"/>
      <c r="R29" s="120"/>
      <c r="S29" s="120"/>
      <c r="T29" s="120">
        <v>0</v>
      </c>
      <c r="U29" s="120">
        <v>0</v>
      </c>
      <c r="V29" s="120">
        <v>0</v>
      </c>
      <c r="W29" s="120">
        <v>0</v>
      </c>
      <c r="X29" s="120"/>
      <c r="Y29" s="120"/>
      <c r="Z29" s="120"/>
      <c r="AA29" s="120"/>
      <c r="AB29" s="120"/>
      <c r="AC29" s="120"/>
      <c r="AD29" s="120"/>
      <c r="AE29" s="120"/>
      <c r="AF29" s="120"/>
      <c r="AG29" s="120"/>
      <c r="AH29" s="120"/>
      <c r="AI29" s="120"/>
      <c r="AJ29" s="120"/>
      <c r="AK29" s="120"/>
      <c r="AL29" s="120"/>
      <c r="AM29" s="120"/>
      <c r="AN29" s="120"/>
      <c r="AO29" s="120"/>
      <c r="AP29" s="120"/>
      <c r="AQ29" s="120"/>
      <c r="AR29" s="120"/>
      <c r="AS29" s="120"/>
      <c r="AT29" s="120"/>
      <c r="AU29" s="120"/>
      <c r="AV29" s="120"/>
      <c r="AW29" s="120"/>
      <c r="AX29" s="120"/>
      <c r="AY29" s="120"/>
    </row>
    <row r="30" spans="1:51" x14ac:dyDescent="0.2">
      <c r="A30" s="119"/>
      <c r="B30" s="137">
        <v>6</v>
      </c>
      <c r="C30" s="119" t="s">
        <v>295</v>
      </c>
      <c r="D30" s="120"/>
      <c r="E30" s="120"/>
      <c r="F30" s="120"/>
      <c r="G30" s="120"/>
      <c r="H30" s="120"/>
      <c r="I30" s="120"/>
      <c r="J30" s="120"/>
      <c r="K30" s="120"/>
      <c r="L30" s="120"/>
      <c r="M30" s="120"/>
      <c r="N30" s="120"/>
      <c r="O30" s="120"/>
      <c r="P30" s="120"/>
      <c r="Q30" s="120"/>
      <c r="R30" s="120"/>
      <c r="S30" s="120"/>
      <c r="T30" s="120">
        <v>0</v>
      </c>
      <c r="U30" s="120">
        <v>0</v>
      </c>
      <c r="V30" s="120">
        <v>0</v>
      </c>
      <c r="W30" s="120">
        <v>0</v>
      </c>
      <c r="X30" s="120">
        <v>0</v>
      </c>
      <c r="Y30" s="120"/>
      <c r="Z30" s="120"/>
      <c r="AA30" s="120"/>
      <c r="AB30" s="120"/>
      <c r="AC30" s="120"/>
      <c r="AD30" s="120"/>
      <c r="AE30" s="120"/>
      <c r="AF30" s="120"/>
      <c r="AG30" s="120"/>
      <c r="AH30" s="120"/>
      <c r="AI30" s="120"/>
      <c r="AJ30" s="120"/>
      <c r="AK30" s="120"/>
      <c r="AL30" s="120"/>
      <c r="AM30" s="120"/>
      <c r="AN30" s="120"/>
      <c r="AO30" s="120"/>
      <c r="AP30" s="120"/>
      <c r="AQ30" s="120"/>
      <c r="AR30" s="120"/>
      <c r="AS30" s="120"/>
      <c r="AT30" s="120"/>
      <c r="AU30" s="120"/>
      <c r="AV30" s="120"/>
      <c r="AW30" s="120"/>
      <c r="AX30" s="120"/>
      <c r="AY30" s="120"/>
    </row>
    <row r="31" spans="1:51" x14ac:dyDescent="0.2">
      <c r="A31" s="119"/>
      <c r="B31" s="140">
        <v>7</v>
      </c>
      <c r="C31" s="119" t="s">
        <v>295</v>
      </c>
      <c r="D31" s="120"/>
      <c r="E31" s="120"/>
      <c r="F31" s="120"/>
      <c r="G31" s="120"/>
      <c r="H31" s="120"/>
      <c r="I31" s="120"/>
      <c r="J31" s="120"/>
      <c r="K31" s="120"/>
      <c r="L31" s="120"/>
      <c r="M31" s="120"/>
      <c r="N31" s="120"/>
      <c r="O31" s="120"/>
      <c r="P31" s="120"/>
      <c r="Q31" s="120"/>
      <c r="R31" s="120"/>
      <c r="S31" s="120"/>
      <c r="T31" s="120">
        <v>0</v>
      </c>
      <c r="U31" s="120">
        <v>0</v>
      </c>
      <c r="V31" s="120">
        <v>0</v>
      </c>
      <c r="W31" s="120">
        <v>0</v>
      </c>
      <c r="X31" s="120">
        <v>0</v>
      </c>
      <c r="Y31" s="120">
        <v>0</v>
      </c>
      <c r="Z31" s="120"/>
      <c r="AA31" s="120"/>
      <c r="AB31" s="120"/>
      <c r="AC31" s="120"/>
      <c r="AD31" s="120"/>
      <c r="AE31" s="120"/>
      <c r="AF31" s="120"/>
      <c r="AG31" s="120"/>
      <c r="AH31" s="120"/>
      <c r="AI31" s="120"/>
      <c r="AJ31" s="120"/>
      <c r="AK31" s="120"/>
      <c r="AL31" s="120"/>
      <c r="AM31" s="120"/>
      <c r="AN31" s="120"/>
      <c r="AO31" s="120"/>
      <c r="AP31" s="120"/>
      <c r="AQ31" s="120"/>
      <c r="AR31" s="120"/>
      <c r="AS31" s="120"/>
      <c r="AT31" s="120"/>
      <c r="AU31" s="120"/>
      <c r="AV31" s="120"/>
      <c r="AW31" s="120"/>
      <c r="AX31" s="120"/>
      <c r="AY31" s="120"/>
    </row>
    <row r="32" spans="1:51" x14ac:dyDescent="0.2">
      <c r="A32" s="138"/>
      <c r="B32" s="139">
        <v>8</v>
      </c>
      <c r="C32" s="138" t="s">
        <v>295</v>
      </c>
      <c r="D32" s="135">
        <v>0</v>
      </c>
      <c r="E32" s="135">
        <v>0</v>
      </c>
      <c r="F32" s="135">
        <v>0</v>
      </c>
      <c r="G32" s="135">
        <v>0</v>
      </c>
      <c r="H32" s="135">
        <v>0</v>
      </c>
      <c r="I32" s="135">
        <v>0</v>
      </c>
      <c r="J32" s="135">
        <v>0</v>
      </c>
      <c r="K32" s="135">
        <v>0</v>
      </c>
      <c r="L32" s="135">
        <v>0</v>
      </c>
      <c r="M32" s="135">
        <v>0</v>
      </c>
      <c r="N32" s="135"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5">
        <v>0</v>
      </c>
      <c r="AH32" s="135">
        <v>0</v>
      </c>
      <c r="AI32" s="135">
        <v>0</v>
      </c>
      <c r="AJ32" s="135">
        <v>0</v>
      </c>
      <c r="AK32" s="135">
        <v>0</v>
      </c>
      <c r="AL32" s="135">
        <v>0</v>
      </c>
      <c r="AM32" s="135">
        <v>0</v>
      </c>
      <c r="AN32" s="135">
        <v>0</v>
      </c>
      <c r="AO32" s="135">
        <v>0</v>
      </c>
      <c r="AP32" s="135">
        <v>0</v>
      </c>
      <c r="AQ32" s="135">
        <v>0</v>
      </c>
      <c r="AR32" s="135">
        <v>0</v>
      </c>
      <c r="AS32" s="135">
        <v>0</v>
      </c>
      <c r="AT32" s="135">
        <v>0</v>
      </c>
      <c r="AU32" s="135">
        <v>0</v>
      </c>
      <c r="AV32" s="135">
        <v>0</v>
      </c>
      <c r="AW32" s="135">
        <v>0</v>
      </c>
      <c r="AX32" s="135">
        <v>0</v>
      </c>
      <c r="AY32" s="135">
        <v>0</v>
      </c>
    </row>
    <row r="33" spans="1:51" x14ac:dyDescent="0.2">
      <c r="A33" s="141" t="s">
        <v>134</v>
      </c>
      <c r="B33" s="129">
        <v>1</v>
      </c>
      <c r="C33" s="119" t="s">
        <v>295</v>
      </c>
      <c r="D33" s="116"/>
      <c r="E33" s="116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  <c r="AI33" s="116"/>
      <c r="AJ33" s="116"/>
      <c r="AK33" s="116"/>
      <c r="AL33" s="116"/>
      <c r="AM33" s="116"/>
      <c r="AN33" s="116"/>
      <c r="AO33" s="116"/>
      <c r="AP33" s="116"/>
      <c r="AQ33" s="116"/>
      <c r="AR33" s="116"/>
      <c r="AS33" s="116"/>
      <c r="AT33" s="116"/>
      <c r="AU33" s="116"/>
      <c r="AV33" s="116"/>
      <c r="AW33" s="116"/>
      <c r="AX33" s="116"/>
      <c r="AY33" s="116"/>
    </row>
    <row r="34" spans="1:51" x14ac:dyDescent="0.2">
      <c r="A34" s="119"/>
      <c r="B34" s="129">
        <v>2</v>
      </c>
      <c r="C34" s="119" t="s">
        <v>295</v>
      </c>
      <c r="D34" s="116"/>
      <c r="E34" s="116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116"/>
      <c r="AL34" s="116"/>
      <c r="AM34" s="116"/>
      <c r="AN34" s="116"/>
      <c r="AO34" s="116"/>
      <c r="AP34" s="116"/>
      <c r="AQ34" s="116"/>
      <c r="AR34" s="116"/>
      <c r="AS34" s="116"/>
      <c r="AT34" s="116"/>
      <c r="AU34" s="116"/>
      <c r="AV34" s="116"/>
      <c r="AW34" s="116"/>
      <c r="AX34" s="116"/>
      <c r="AY34" s="116"/>
    </row>
    <row r="35" spans="1:51" x14ac:dyDescent="0.2">
      <c r="A35" s="119"/>
      <c r="B35" s="129">
        <v>3</v>
      </c>
      <c r="C35" s="119" t="s">
        <v>295</v>
      </c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  <c r="AH35" s="116"/>
      <c r="AI35" s="116"/>
      <c r="AJ35" s="116"/>
      <c r="AK35" s="116"/>
      <c r="AL35" s="116"/>
      <c r="AM35" s="116"/>
      <c r="AN35" s="116"/>
      <c r="AO35" s="116"/>
      <c r="AP35" s="116"/>
      <c r="AQ35" s="116"/>
      <c r="AR35" s="116"/>
      <c r="AS35" s="116"/>
      <c r="AT35" s="116"/>
      <c r="AU35" s="116"/>
      <c r="AV35" s="116"/>
      <c r="AW35" s="116"/>
      <c r="AX35" s="116"/>
      <c r="AY35" s="116"/>
    </row>
    <row r="36" spans="1:51" x14ac:dyDescent="0.2">
      <c r="A36" s="119"/>
      <c r="B36" s="130">
        <v>4</v>
      </c>
      <c r="C36" s="119" t="s">
        <v>295</v>
      </c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1" x14ac:dyDescent="0.2">
      <c r="A37" s="119"/>
      <c r="B37" s="130">
        <v>5</v>
      </c>
      <c r="C37" s="119" t="s">
        <v>295</v>
      </c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1" x14ac:dyDescent="0.2">
      <c r="A38" s="119"/>
      <c r="B38" s="130">
        <v>6</v>
      </c>
      <c r="C38" s="119" t="s">
        <v>295</v>
      </c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1" x14ac:dyDescent="0.2">
      <c r="A39" s="119"/>
      <c r="B39" s="137">
        <v>7</v>
      </c>
      <c r="C39" s="119" t="s">
        <v>295</v>
      </c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116"/>
      <c r="AK39" s="116"/>
      <c r="AL39" s="116"/>
      <c r="AM39" s="116"/>
      <c r="AN39" s="116"/>
      <c r="AO39" s="116"/>
      <c r="AP39" s="116"/>
      <c r="AQ39" s="116"/>
      <c r="AR39" s="116"/>
      <c r="AS39" s="116"/>
      <c r="AT39" s="116"/>
      <c r="AU39" s="116"/>
      <c r="AV39" s="116"/>
      <c r="AW39" s="116"/>
      <c r="AX39" s="116"/>
      <c r="AY39" s="116"/>
    </row>
    <row r="40" spans="1:51" x14ac:dyDescent="0.2">
      <c r="A40" s="119"/>
      <c r="B40" s="137">
        <v>8</v>
      </c>
      <c r="C40" s="119" t="s">
        <v>295</v>
      </c>
      <c r="D40" s="116"/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116"/>
      <c r="AA40" s="116"/>
      <c r="AB40" s="116"/>
      <c r="AC40" s="116"/>
      <c r="AD40" s="116"/>
      <c r="AE40" s="116"/>
      <c r="AF40" s="116"/>
      <c r="AG40" s="116"/>
      <c r="AH40" s="116"/>
      <c r="AI40" s="116"/>
      <c r="AJ40" s="116"/>
      <c r="AK40" s="116"/>
      <c r="AL40" s="116"/>
      <c r="AM40" s="116"/>
      <c r="AN40" s="116"/>
      <c r="AO40" s="116"/>
      <c r="AP40" s="116"/>
      <c r="AQ40" s="116"/>
      <c r="AR40" s="116"/>
      <c r="AS40" s="116"/>
      <c r="AT40" s="116"/>
      <c r="AU40" s="116"/>
      <c r="AV40" s="116"/>
      <c r="AW40" s="116"/>
      <c r="AX40" s="116"/>
      <c r="AY40" s="116"/>
    </row>
    <row r="41" spans="1:51" x14ac:dyDescent="0.2">
      <c r="A41" s="119"/>
      <c r="B41" s="137">
        <v>9</v>
      </c>
      <c r="C41" s="119" t="s">
        <v>295</v>
      </c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>
        <v>0</v>
      </c>
      <c r="U41" s="116">
        <v>0</v>
      </c>
      <c r="V41" s="116">
        <v>0</v>
      </c>
      <c r="W41" s="116">
        <v>0</v>
      </c>
      <c r="X41" s="116"/>
      <c r="Y41" s="116"/>
      <c r="Z41" s="116"/>
      <c r="AA41" s="116"/>
      <c r="AB41" s="116"/>
      <c r="AC41" s="116"/>
      <c r="AD41" s="116"/>
      <c r="AE41" s="116"/>
      <c r="AF41" s="116"/>
      <c r="AG41" s="116"/>
      <c r="AH41" s="116"/>
      <c r="AI41" s="116"/>
      <c r="AJ41" s="116"/>
      <c r="AK41" s="116"/>
      <c r="AL41" s="116"/>
      <c r="AM41" s="116"/>
      <c r="AN41" s="116"/>
      <c r="AO41" s="116"/>
      <c r="AP41" s="116"/>
      <c r="AQ41" s="116"/>
      <c r="AR41" s="116"/>
      <c r="AS41" s="116"/>
      <c r="AT41" s="116"/>
      <c r="AU41" s="116"/>
      <c r="AV41" s="116"/>
      <c r="AW41" s="116"/>
      <c r="AX41" s="116"/>
      <c r="AY41" s="116"/>
    </row>
    <row r="42" spans="1:51" x14ac:dyDescent="0.2">
      <c r="A42" s="119"/>
      <c r="B42" s="140">
        <v>10</v>
      </c>
      <c r="C42" s="119" t="s">
        <v>295</v>
      </c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/>
      <c r="Z42" s="116"/>
      <c r="AA42" s="116"/>
      <c r="AB42" s="116"/>
      <c r="AC42" s="116"/>
      <c r="AD42" s="116"/>
      <c r="AE42" s="116"/>
      <c r="AF42" s="116"/>
      <c r="AG42" s="116"/>
      <c r="AH42" s="116"/>
      <c r="AI42" s="116"/>
      <c r="AJ42" s="116"/>
      <c r="AK42" s="116"/>
      <c r="AL42" s="116"/>
      <c r="AM42" s="116"/>
      <c r="AN42" s="116"/>
      <c r="AO42" s="116"/>
      <c r="AP42" s="116"/>
      <c r="AQ42" s="116"/>
      <c r="AR42" s="116"/>
      <c r="AS42" s="116"/>
      <c r="AT42" s="116"/>
      <c r="AU42" s="116"/>
      <c r="AV42" s="116"/>
      <c r="AW42" s="116"/>
      <c r="AX42" s="116"/>
      <c r="AY42" s="116"/>
    </row>
    <row r="43" spans="1:51" x14ac:dyDescent="0.2">
      <c r="A43" s="119"/>
      <c r="B43" s="140">
        <v>11</v>
      </c>
      <c r="C43" s="119" t="s">
        <v>295</v>
      </c>
      <c r="D43" s="116"/>
      <c r="E43" s="116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/>
      <c r="AA43" s="116"/>
      <c r="AB43" s="116"/>
      <c r="AC43" s="116"/>
      <c r="AD43" s="116"/>
      <c r="AE43" s="116"/>
      <c r="AF43" s="116"/>
      <c r="AG43" s="116"/>
      <c r="AH43" s="116"/>
      <c r="AI43" s="116"/>
      <c r="AJ43" s="116"/>
      <c r="AK43" s="116"/>
      <c r="AL43" s="116"/>
      <c r="AM43" s="116"/>
      <c r="AN43" s="116"/>
      <c r="AO43" s="116"/>
      <c r="AP43" s="116"/>
      <c r="AQ43" s="116"/>
      <c r="AR43" s="116"/>
      <c r="AS43" s="116"/>
      <c r="AT43" s="116"/>
      <c r="AU43" s="116"/>
      <c r="AV43" s="116"/>
      <c r="AW43" s="116"/>
      <c r="AX43" s="116"/>
      <c r="AY43" s="116"/>
    </row>
    <row r="44" spans="1:51" x14ac:dyDescent="0.2">
      <c r="A44" s="119"/>
      <c r="B44" s="140">
        <v>12</v>
      </c>
      <c r="C44" s="138" t="s">
        <v>295</v>
      </c>
      <c r="D44" s="116">
        <v>0</v>
      </c>
      <c r="E44" s="116">
        <v>0</v>
      </c>
      <c r="F44" s="116">
        <v>0</v>
      </c>
      <c r="G44" s="116">
        <v>0</v>
      </c>
      <c r="H44" s="116">
        <v>0</v>
      </c>
      <c r="I44" s="116">
        <v>0</v>
      </c>
      <c r="J44" s="116">
        <v>0</v>
      </c>
      <c r="K44" s="116">
        <v>0</v>
      </c>
      <c r="L44" s="116">
        <v>0</v>
      </c>
      <c r="M44" s="116">
        <v>0</v>
      </c>
      <c r="N44" s="116">
        <v>0</v>
      </c>
      <c r="O44" s="116">
        <v>0</v>
      </c>
      <c r="P44" s="116">
        <v>0</v>
      </c>
      <c r="Q44" s="116">
        <v>0</v>
      </c>
      <c r="R44" s="116">
        <v>0</v>
      </c>
      <c r="S44" s="116">
        <v>0</v>
      </c>
      <c r="T44" s="116">
        <v>0</v>
      </c>
      <c r="U44" s="116">
        <v>0</v>
      </c>
      <c r="V44" s="116">
        <v>0</v>
      </c>
      <c r="W44" s="116">
        <v>0</v>
      </c>
      <c r="X44" s="116">
        <v>0</v>
      </c>
      <c r="Y44" s="116">
        <v>0</v>
      </c>
      <c r="Z44" s="116">
        <v>0</v>
      </c>
      <c r="AA44" s="116">
        <v>0</v>
      </c>
      <c r="AB44" s="116">
        <v>0</v>
      </c>
      <c r="AC44" s="116">
        <v>0</v>
      </c>
      <c r="AD44" s="116">
        <v>0</v>
      </c>
      <c r="AE44" s="116">
        <v>0</v>
      </c>
      <c r="AF44" s="116">
        <v>0</v>
      </c>
      <c r="AG44" s="116">
        <v>0</v>
      </c>
      <c r="AH44" s="116">
        <v>0</v>
      </c>
      <c r="AI44" s="116">
        <v>0</v>
      </c>
      <c r="AJ44" s="116">
        <v>0</v>
      </c>
      <c r="AK44" s="116">
        <v>0</v>
      </c>
      <c r="AL44" s="116">
        <v>0</v>
      </c>
      <c r="AM44" s="116">
        <v>0</v>
      </c>
      <c r="AN44" s="116">
        <v>0</v>
      </c>
      <c r="AO44" s="116">
        <v>0</v>
      </c>
      <c r="AP44" s="116">
        <v>0</v>
      </c>
      <c r="AQ44" s="116">
        <v>0</v>
      </c>
      <c r="AR44" s="116">
        <v>0</v>
      </c>
      <c r="AS44" s="116">
        <v>0</v>
      </c>
      <c r="AT44" s="116">
        <v>0</v>
      </c>
      <c r="AU44" s="116">
        <v>0</v>
      </c>
      <c r="AV44" s="116">
        <v>0</v>
      </c>
      <c r="AW44" s="116">
        <v>0</v>
      </c>
      <c r="AX44" s="116">
        <v>0</v>
      </c>
      <c r="AY44" s="116">
        <v>0</v>
      </c>
    </row>
    <row r="45" spans="1:51" x14ac:dyDescent="0.2">
      <c r="A45" s="136" t="s">
        <v>123</v>
      </c>
      <c r="B45" s="133">
        <v>1</v>
      </c>
      <c r="C45" s="119" t="s">
        <v>295</v>
      </c>
      <c r="D45" s="134"/>
      <c r="E45" s="134"/>
      <c r="F45" s="134"/>
      <c r="G45" s="134"/>
      <c r="H45" s="134"/>
      <c r="I45" s="134"/>
      <c r="J45" s="134"/>
      <c r="K45" s="134"/>
      <c r="L45" s="134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  <c r="AA45" s="134"/>
      <c r="AB45" s="134"/>
      <c r="AC45" s="134"/>
      <c r="AD45" s="134"/>
      <c r="AE45" s="134"/>
      <c r="AF45" s="134"/>
      <c r="AG45" s="134"/>
      <c r="AH45" s="134"/>
      <c r="AI45" s="134"/>
      <c r="AJ45" s="134"/>
      <c r="AK45" s="134"/>
      <c r="AL45" s="134"/>
      <c r="AM45" s="134"/>
      <c r="AN45" s="134"/>
      <c r="AO45" s="134"/>
      <c r="AP45" s="134"/>
      <c r="AQ45" s="134"/>
      <c r="AR45" s="134"/>
      <c r="AS45" s="134"/>
      <c r="AT45" s="134"/>
      <c r="AU45" s="134"/>
      <c r="AV45" s="134"/>
      <c r="AW45" s="134"/>
      <c r="AX45" s="134"/>
      <c r="AY45" s="134"/>
    </row>
    <row r="46" spans="1:51" x14ac:dyDescent="0.2">
      <c r="A46" s="119"/>
      <c r="B46" s="129">
        <v>2</v>
      </c>
      <c r="C46" s="119" t="s">
        <v>295</v>
      </c>
      <c r="D46" s="120"/>
      <c r="E46" s="120"/>
      <c r="F46" s="120"/>
      <c r="G46" s="120"/>
      <c r="H46" s="120"/>
      <c r="I46" s="120"/>
      <c r="J46" s="120"/>
      <c r="K46" s="120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120"/>
      <c r="AF46" s="120"/>
      <c r="AG46" s="120"/>
      <c r="AH46" s="120"/>
      <c r="AI46" s="120"/>
      <c r="AJ46" s="120"/>
      <c r="AK46" s="120"/>
      <c r="AL46" s="120"/>
      <c r="AM46" s="120"/>
      <c r="AN46" s="120"/>
      <c r="AO46" s="120"/>
      <c r="AP46" s="120"/>
      <c r="AQ46" s="120"/>
      <c r="AR46" s="120"/>
      <c r="AS46" s="120"/>
      <c r="AT46" s="120"/>
      <c r="AU46" s="120"/>
      <c r="AV46" s="120"/>
      <c r="AW46" s="120"/>
      <c r="AX46" s="120"/>
      <c r="AY46" s="120"/>
    </row>
    <row r="47" spans="1:51" x14ac:dyDescent="0.2">
      <c r="A47" s="119"/>
      <c r="B47" s="129">
        <v>3</v>
      </c>
      <c r="C47" s="119" t="s">
        <v>295</v>
      </c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  <c r="AK47" s="120"/>
      <c r="AL47" s="120"/>
      <c r="AM47" s="120"/>
      <c r="AN47" s="120"/>
      <c r="AO47" s="120"/>
      <c r="AP47" s="120"/>
      <c r="AQ47" s="120"/>
      <c r="AR47" s="120"/>
      <c r="AS47" s="120"/>
      <c r="AT47" s="120"/>
      <c r="AU47" s="120"/>
      <c r="AV47" s="120"/>
      <c r="AW47" s="120"/>
      <c r="AX47" s="120"/>
      <c r="AY47" s="120"/>
    </row>
    <row r="48" spans="1:51" x14ac:dyDescent="0.2">
      <c r="A48" s="119"/>
      <c r="B48" s="129">
        <v>4</v>
      </c>
      <c r="C48" s="119" t="s">
        <v>295</v>
      </c>
      <c r="D48" s="120"/>
      <c r="E48" s="120"/>
      <c r="F48" s="120"/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120"/>
      <c r="AG48" s="120"/>
      <c r="AH48" s="120"/>
      <c r="AI48" s="120"/>
      <c r="AJ48" s="120"/>
      <c r="AK48" s="120"/>
      <c r="AL48" s="120"/>
      <c r="AM48" s="120"/>
      <c r="AN48" s="120"/>
      <c r="AO48" s="120"/>
      <c r="AP48" s="120"/>
      <c r="AQ48" s="120"/>
      <c r="AR48" s="120"/>
      <c r="AS48" s="120"/>
      <c r="AT48" s="120"/>
      <c r="AU48" s="120"/>
      <c r="AV48" s="120"/>
      <c r="AW48" s="120"/>
      <c r="AX48" s="120"/>
      <c r="AY48" s="120"/>
    </row>
    <row r="49" spans="1:51" x14ac:dyDescent="0.2">
      <c r="A49" s="119"/>
      <c r="B49" s="129">
        <v>5</v>
      </c>
      <c r="C49" s="119" t="s">
        <v>295</v>
      </c>
      <c r="D49" s="120"/>
      <c r="E49" s="120"/>
      <c r="F49" s="120"/>
      <c r="G49" s="120"/>
      <c r="H49" s="120"/>
      <c r="I49" s="120"/>
      <c r="J49" s="120"/>
      <c r="K49" s="120"/>
      <c r="L49" s="120"/>
      <c r="M49" s="120"/>
      <c r="N49" s="120"/>
      <c r="O49" s="120"/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  <c r="AM49" s="120"/>
      <c r="AN49" s="120"/>
      <c r="AO49" s="120"/>
      <c r="AP49" s="120"/>
      <c r="AQ49" s="120"/>
      <c r="AR49" s="120"/>
      <c r="AS49" s="120"/>
      <c r="AT49" s="120"/>
      <c r="AU49" s="120"/>
      <c r="AV49" s="120"/>
      <c r="AW49" s="120"/>
      <c r="AX49" s="120"/>
      <c r="AY49" s="120"/>
    </row>
    <row r="50" spans="1:51" x14ac:dyDescent="0.2">
      <c r="A50" s="119"/>
      <c r="B50" s="129">
        <v>6</v>
      </c>
      <c r="C50" s="119" t="s">
        <v>295</v>
      </c>
      <c r="D50" s="120"/>
      <c r="E50" s="120"/>
      <c r="F50" s="120"/>
      <c r="G50" s="120"/>
      <c r="H50" s="120"/>
      <c r="I50" s="120"/>
      <c r="J50" s="120"/>
      <c r="K50" s="120"/>
      <c r="L50" s="120"/>
      <c r="M50" s="120"/>
      <c r="N50" s="120"/>
      <c r="O50" s="120"/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</row>
    <row r="51" spans="1:51" x14ac:dyDescent="0.2">
      <c r="A51" s="119"/>
      <c r="B51" s="129">
        <v>7</v>
      </c>
      <c r="C51" s="119" t="s">
        <v>295</v>
      </c>
      <c r="D51" s="120"/>
      <c r="E51" s="120"/>
      <c r="F51" s="120"/>
      <c r="G51" s="120"/>
      <c r="H51" s="120"/>
      <c r="I51" s="120"/>
      <c r="J51" s="120"/>
      <c r="K51" s="120"/>
      <c r="L51" s="120"/>
      <c r="M51" s="120"/>
      <c r="N51" s="120"/>
      <c r="O51" s="120"/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</row>
    <row r="52" spans="1:51" x14ac:dyDescent="0.2">
      <c r="A52" s="119"/>
      <c r="B52" s="129">
        <v>8</v>
      </c>
      <c r="C52" s="119" t="s">
        <v>295</v>
      </c>
      <c r="D52" s="120"/>
      <c r="E52" s="120"/>
      <c r="F52" s="120"/>
      <c r="G52" s="120"/>
      <c r="H52" s="120"/>
      <c r="I52" s="120"/>
      <c r="J52" s="120"/>
      <c r="K52" s="120"/>
      <c r="L52" s="120"/>
      <c r="M52" s="120"/>
      <c r="N52" s="120"/>
      <c r="O52" s="120"/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  <c r="AM52" s="120"/>
      <c r="AN52" s="120"/>
      <c r="AO52" s="120"/>
      <c r="AP52" s="120"/>
      <c r="AQ52" s="120"/>
      <c r="AR52" s="120"/>
      <c r="AS52" s="120"/>
      <c r="AT52" s="120"/>
      <c r="AU52" s="120"/>
      <c r="AV52" s="120"/>
      <c r="AW52" s="120"/>
      <c r="AX52" s="120"/>
      <c r="AY52" s="120"/>
    </row>
    <row r="53" spans="1:51" x14ac:dyDescent="0.2">
      <c r="A53" s="119"/>
      <c r="B53" s="129">
        <v>9</v>
      </c>
      <c r="C53" s="119" t="s">
        <v>295</v>
      </c>
      <c r="D53" s="120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</row>
    <row r="54" spans="1:51" x14ac:dyDescent="0.2">
      <c r="A54" s="119"/>
      <c r="B54" s="129">
        <v>10</v>
      </c>
      <c r="C54" s="119" t="s">
        <v>295</v>
      </c>
      <c r="D54" s="120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120"/>
      <c r="T54" s="120"/>
      <c r="U54" s="120"/>
      <c r="V54" s="120"/>
      <c r="W54" s="120"/>
      <c r="X54" s="120"/>
      <c r="Y54" s="120"/>
      <c r="Z54" s="120"/>
      <c r="AA54" s="120"/>
      <c r="AB54" s="120"/>
      <c r="AC54" s="120"/>
      <c r="AD54" s="120"/>
      <c r="AE54" s="120"/>
      <c r="AF54" s="120"/>
      <c r="AG54" s="120"/>
      <c r="AH54" s="120"/>
      <c r="AI54" s="120"/>
      <c r="AJ54" s="120"/>
      <c r="AK54" s="120"/>
      <c r="AL54" s="120"/>
      <c r="AM54" s="120"/>
      <c r="AN54" s="120"/>
      <c r="AO54" s="120"/>
      <c r="AP54" s="120"/>
      <c r="AQ54" s="120"/>
      <c r="AR54" s="120"/>
      <c r="AS54" s="120"/>
      <c r="AT54" s="120"/>
      <c r="AU54" s="120"/>
      <c r="AV54" s="120"/>
      <c r="AW54" s="120"/>
      <c r="AX54" s="120"/>
      <c r="AY54" s="120"/>
    </row>
    <row r="55" spans="1:51" x14ac:dyDescent="0.2">
      <c r="A55" s="119"/>
      <c r="B55" s="129">
        <v>11</v>
      </c>
      <c r="C55" s="119" t="s">
        <v>295</v>
      </c>
      <c r="D55" s="120"/>
      <c r="E55" s="120"/>
      <c r="F55" s="120"/>
      <c r="G55" s="120"/>
      <c r="H55" s="120"/>
      <c r="I55" s="120"/>
      <c r="J55" s="120"/>
      <c r="K55" s="120"/>
      <c r="L55" s="120"/>
      <c r="M55" s="120"/>
      <c r="N55" s="120"/>
      <c r="O55" s="120"/>
      <c r="P55" s="120"/>
      <c r="Q55" s="120"/>
      <c r="R55" s="120"/>
      <c r="S55" s="120"/>
      <c r="T55" s="120"/>
      <c r="U55" s="120"/>
      <c r="V55" s="120"/>
      <c r="W55" s="120"/>
      <c r="X55" s="120"/>
      <c r="Y55" s="120"/>
      <c r="Z55" s="120"/>
      <c r="AA55" s="120"/>
      <c r="AB55" s="120"/>
      <c r="AC55" s="120"/>
      <c r="AD55" s="120"/>
      <c r="AE55" s="120"/>
      <c r="AF55" s="120"/>
      <c r="AG55" s="120"/>
      <c r="AH55" s="120"/>
      <c r="AI55" s="120"/>
      <c r="AJ55" s="120"/>
      <c r="AK55" s="120"/>
      <c r="AL55" s="120"/>
      <c r="AM55" s="120"/>
      <c r="AN55" s="120"/>
      <c r="AO55" s="120"/>
      <c r="AP55" s="120"/>
      <c r="AQ55" s="120"/>
      <c r="AR55" s="120"/>
      <c r="AS55" s="120"/>
      <c r="AT55" s="120"/>
      <c r="AU55" s="120"/>
      <c r="AV55" s="120"/>
      <c r="AW55" s="120"/>
      <c r="AX55" s="120"/>
      <c r="AY55" s="120"/>
    </row>
    <row r="56" spans="1:51" x14ac:dyDescent="0.2">
      <c r="A56" s="119"/>
      <c r="B56" s="129">
        <v>12</v>
      </c>
      <c r="C56" s="119" t="s">
        <v>295</v>
      </c>
      <c r="D56" s="120"/>
      <c r="E56" s="120"/>
      <c r="F56" s="120"/>
      <c r="G56" s="120"/>
      <c r="H56" s="120"/>
      <c r="I56" s="120"/>
      <c r="J56" s="120"/>
      <c r="K56" s="120"/>
      <c r="L56" s="120"/>
      <c r="M56" s="120"/>
      <c r="N56" s="120"/>
      <c r="O56" s="120"/>
      <c r="P56" s="120"/>
      <c r="Q56" s="120"/>
      <c r="R56" s="120"/>
      <c r="S56" s="120"/>
      <c r="T56" s="120"/>
      <c r="U56" s="120"/>
      <c r="V56" s="120"/>
      <c r="W56" s="120"/>
      <c r="X56" s="120"/>
      <c r="Y56" s="120"/>
      <c r="Z56" s="120"/>
      <c r="AA56" s="120"/>
      <c r="AB56" s="120"/>
      <c r="AC56" s="120"/>
      <c r="AD56" s="120"/>
      <c r="AE56" s="120"/>
      <c r="AF56" s="120"/>
      <c r="AG56" s="120"/>
      <c r="AH56" s="120"/>
      <c r="AI56" s="120"/>
      <c r="AJ56" s="120"/>
      <c r="AK56" s="120"/>
      <c r="AL56" s="120"/>
      <c r="AM56" s="120"/>
      <c r="AN56" s="120"/>
      <c r="AO56" s="120"/>
      <c r="AP56" s="120"/>
      <c r="AQ56" s="120"/>
      <c r="AR56" s="120"/>
      <c r="AS56" s="120"/>
      <c r="AT56" s="120"/>
      <c r="AU56" s="120"/>
      <c r="AV56" s="120"/>
      <c r="AW56" s="120"/>
      <c r="AX56" s="120"/>
      <c r="AY56" s="120"/>
    </row>
    <row r="57" spans="1:51" x14ac:dyDescent="0.2">
      <c r="A57" s="119"/>
      <c r="B57" s="130">
        <v>13</v>
      </c>
      <c r="C57" s="119" t="s">
        <v>295</v>
      </c>
      <c r="D57" s="120"/>
      <c r="E57" s="120"/>
      <c r="F57" s="120"/>
      <c r="G57" s="120"/>
      <c r="H57" s="120"/>
      <c r="I57" s="120"/>
      <c r="J57" s="120"/>
      <c r="K57" s="120"/>
      <c r="L57" s="120"/>
      <c r="M57" s="120"/>
      <c r="N57" s="120"/>
      <c r="O57" s="120"/>
      <c r="P57" s="120"/>
      <c r="Q57" s="120"/>
      <c r="R57" s="120"/>
      <c r="S57" s="120"/>
      <c r="T57" s="120"/>
      <c r="U57" s="120"/>
      <c r="V57" s="120"/>
      <c r="W57" s="120"/>
      <c r="X57" s="120"/>
      <c r="Y57" s="120"/>
      <c r="Z57" s="120"/>
      <c r="AA57" s="120"/>
      <c r="AB57" s="120"/>
      <c r="AC57" s="120"/>
      <c r="AD57" s="120"/>
      <c r="AE57" s="120"/>
      <c r="AF57" s="120"/>
      <c r="AG57" s="120"/>
      <c r="AH57" s="120"/>
      <c r="AI57" s="120"/>
      <c r="AJ57" s="120"/>
      <c r="AK57" s="120"/>
      <c r="AL57" s="120"/>
      <c r="AM57" s="120"/>
      <c r="AN57" s="120"/>
      <c r="AO57" s="120"/>
      <c r="AP57" s="120"/>
      <c r="AQ57" s="120"/>
      <c r="AR57" s="120"/>
      <c r="AS57" s="120"/>
      <c r="AT57" s="120"/>
      <c r="AU57" s="120"/>
      <c r="AV57" s="120"/>
      <c r="AW57" s="120"/>
      <c r="AX57" s="120"/>
      <c r="AY57" s="120"/>
    </row>
    <row r="58" spans="1:51" x14ac:dyDescent="0.2">
      <c r="A58" s="119"/>
      <c r="B58" s="130">
        <v>14</v>
      </c>
      <c r="C58" s="119" t="s">
        <v>295</v>
      </c>
      <c r="D58" s="120"/>
      <c r="E58" s="120"/>
      <c r="F58" s="120"/>
      <c r="G58" s="120"/>
      <c r="H58" s="120"/>
      <c r="I58" s="120"/>
      <c r="J58" s="120"/>
      <c r="K58" s="120"/>
      <c r="L58" s="120"/>
      <c r="M58" s="120"/>
      <c r="N58" s="120"/>
      <c r="O58" s="120"/>
      <c r="P58" s="120"/>
      <c r="Q58" s="120"/>
      <c r="R58" s="120"/>
      <c r="S58" s="120"/>
      <c r="T58" s="120"/>
      <c r="U58" s="120"/>
      <c r="V58" s="120"/>
      <c r="W58" s="120"/>
      <c r="X58" s="120"/>
      <c r="Y58" s="120"/>
      <c r="Z58" s="120"/>
      <c r="AA58" s="120"/>
      <c r="AB58" s="120"/>
      <c r="AC58" s="120"/>
      <c r="AD58" s="120"/>
      <c r="AE58" s="120"/>
      <c r="AF58" s="120"/>
      <c r="AG58" s="120"/>
      <c r="AH58" s="120"/>
      <c r="AI58" s="120"/>
      <c r="AJ58" s="120"/>
      <c r="AK58" s="120"/>
      <c r="AL58" s="120"/>
      <c r="AM58" s="120"/>
      <c r="AN58" s="120"/>
      <c r="AO58" s="120"/>
      <c r="AP58" s="120"/>
      <c r="AQ58" s="120"/>
      <c r="AR58" s="120"/>
      <c r="AS58" s="120"/>
      <c r="AT58" s="120"/>
      <c r="AU58" s="120"/>
      <c r="AV58" s="120"/>
      <c r="AW58" s="120"/>
      <c r="AX58" s="120"/>
      <c r="AY58" s="120"/>
    </row>
    <row r="59" spans="1:51" x14ac:dyDescent="0.2">
      <c r="A59" s="119"/>
      <c r="B59" s="130">
        <v>15</v>
      </c>
      <c r="C59" s="119" t="s">
        <v>295</v>
      </c>
      <c r="D59" s="120"/>
      <c r="E59" s="120"/>
      <c r="F59" s="120"/>
      <c r="G59" s="120"/>
      <c r="H59" s="120"/>
      <c r="I59" s="120"/>
      <c r="J59" s="120"/>
      <c r="K59" s="120"/>
      <c r="L59" s="120"/>
      <c r="M59" s="120"/>
      <c r="N59" s="120"/>
      <c r="O59" s="120"/>
      <c r="P59" s="120"/>
      <c r="Q59" s="120"/>
      <c r="R59" s="120"/>
      <c r="S59" s="120"/>
      <c r="T59" s="120"/>
      <c r="U59" s="120"/>
      <c r="V59" s="120"/>
      <c r="W59" s="120"/>
      <c r="X59" s="120"/>
      <c r="Y59" s="120"/>
      <c r="Z59" s="120"/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  <c r="AO59" s="120"/>
      <c r="AP59" s="120"/>
      <c r="AQ59" s="120"/>
      <c r="AR59" s="120"/>
      <c r="AS59" s="120"/>
      <c r="AT59" s="120"/>
      <c r="AU59" s="120"/>
      <c r="AV59" s="120"/>
      <c r="AW59" s="120"/>
      <c r="AX59" s="120"/>
      <c r="AY59" s="120"/>
    </row>
    <row r="60" spans="1:51" x14ac:dyDescent="0.2">
      <c r="A60" s="119"/>
      <c r="B60" s="130">
        <v>16</v>
      </c>
      <c r="C60" s="119" t="s">
        <v>295</v>
      </c>
      <c r="D60" s="120"/>
      <c r="E60" s="120"/>
      <c r="F60" s="120"/>
      <c r="G60" s="120"/>
      <c r="H60" s="120"/>
      <c r="I60" s="120"/>
      <c r="J60" s="120"/>
      <c r="K60" s="120"/>
      <c r="L60" s="120"/>
      <c r="M60" s="120"/>
      <c r="N60" s="120"/>
      <c r="O60" s="120"/>
      <c r="P60" s="120"/>
      <c r="Q60" s="120"/>
      <c r="R60" s="120"/>
      <c r="S60" s="120"/>
      <c r="T60" s="120"/>
      <c r="U60" s="120"/>
      <c r="V60" s="120"/>
      <c r="W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AQ60" s="120"/>
      <c r="AR60" s="120"/>
      <c r="AS60" s="120"/>
      <c r="AT60" s="120"/>
      <c r="AU60" s="120"/>
      <c r="AV60" s="120"/>
      <c r="AW60" s="120"/>
      <c r="AX60" s="120"/>
      <c r="AY60" s="120"/>
    </row>
    <row r="61" spans="1:51" x14ac:dyDescent="0.2">
      <c r="A61" s="119"/>
      <c r="B61" s="130">
        <v>17</v>
      </c>
      <c r="C61" s="119" t="s">
        <v>295</v>
      </c>
      <c r="D61" s="120"/>
      <c r="E61" s="120"/>
      <c r="F61" s="120"/>
      <c r="G61" s="120"/>
      <c r="H61" s="120"/>
      <c r="I61" s="120"/>
      <c r="J61" s="120"/>
      <c r="K61" s="120"/>
      <c r="L61" s="120"/>
      <c r="M61" s="120"/>
      <c r="N61" s="120"/>
      <c r="O61" s="120"/>
      <c r="P61" s="120"/>
      <c r="Q61" s="120"/>
      <c r="R61" s="120"/>
      <c r="S61" s="120"/>
      <c r="T61" s="120"/>
      <c r="U61" s="120"/>
      <c r="V61" s="120"/>
      <c r="W61" s="120"/>
      <c r="X61" s="120"/>
      <c r="Y61" s="120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AQ61" s="120"/>
      <c r="AR61" s="120"/>
      <c r="AS61" s="120"/>
      <c r="AT61" s="120"/>
      <c r="AU61" s="120"/>
      <c r="AV61" s="120"/>
      <c r="AW61" s="120"/>
      <c r="AX61" s="120"/>
      <c r="AY61" s="120"/>
    </row>
    <row r="62" spans="1:51" x14ac:dyDescent="0.2">
      <c r="A62" s="119"/>
      <c r="B62" s="130">
        <v>18</v>
      </c>
      <c r="C62" s="119" t="s">
        <v>295</v>
      </c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20"/>
      <c r="S62" s="120"/>
      <c r="T62" s="120"/>
      <c r="U62" s="120"/>
      <c r="V62" s="120"/>
      <c r="W62" s="120"/>
      <c r="X62" s="120"/>
      <c r="Y62" s="120"/>
      <c r="Z62" s="120"/>
      <c r="AA62" s="120"/>
      <c r="AB62" s="120"/>
      <c r="AC62" s="120"/>
      <c r="AD62" s="120"/>
      <c r="AE62" s="120"/>
      <c r="AF62" s="120"/>
      <c r="AG62" s="120"/>
      <c r="AH62" s="120"/>
      <c r="AI62" s="120"/>
      <c r="AJ62" s="120"/>
      <c r="AK62" s="120"/>
      <c r="AL62" s="120"/>
      <c r="AM62" s="120"/>
      <c r="AN62" s="120"/>
      <c r="AO62" s="120"/>
      <c r="AP62" s="120"/>
      <c r="AQ62" s="120"/>
      <c r="AR62" s="120"/>
      <c r="AS62" s="120"/>
      <c r="AT62" s="120"/>
      <c r="AU62" s="120"/>
      <c r="AV62" s="120"/>
      <c r="AW62" s="120"/>
      <c r="AX62" s="120"/>
      <c r="AY62" s="120"/>
    </row>
    <row r="63" spans="1:51" x14ac:dyDescent="0.2">
      <c r="A63" s="119"/>
      <c r="B63" s="130">
        <v>19</v>
      </c>
      <c r="C63" s="119" t="s">
        <v>295</v>
      </c>
      <c r="D63" s="120"/>
      <c r="E63" s="120"/>
      <c r="F63" s="120"/>
      <c r="G63" s="120"/>
      <c r="H63" s="120"/>
      <c r="I63" s="120"/>
      <c r="J63" s="120"/>
      <c r="K63" s="120"/>
      <c r="L63" s="120"/>
      <c r="M63" s="120"/>
      <c r="N63" s="120"/>
      <c r="O63" s="120"/>
      <c r="P63" s="120"/>
      <c r="Q63" s="120"/>
      <c r="R63" s="120"/>
      <c r="S63" s="120"/>
      <c r="T63" s="120"/>
      <c r="U63" s="120"/>
      <c r="V63" s="120"/>
      <c r="W63" s="120"/>
      <c r="X63" s="120"/>
      <c r="Y63" s="120"/>
      <c r="Z63" s="120"/>
      <c r="AA63" s="120"/>
      <c r="AB63" s="120"/>
      <c r="AC63" s="120"/>
      <c r="AD63" s="120"/>
      <c r="AE63" s="120"/>
      <c r="AF63" s="120"/>
      <c r="AG63" s="120"/>
      <c r="AH63" s="120"/>
      <c r="AI63" s="120"/>
      <c r="AJ63" s="120"/>
      <c r="AK63" s="120"/>
      <c r="AL63" s="120"/>
      <c r="AM63" s="120"/>
      <c r="AN63" s="120"/>
      <c r="AO63" s="120"/>
      <c r="AP63" s="120"/>
      <c r="AQ63" s="120"/>
      <c r="AR63" s="120"/>
      <c r="AS63" s="120"/>
      <c r="AT63" s="120"/>
      <c r="AU63" s="120"/>
      <c r="AV63" s="120"/>
      <c r="AW63" s="120"/>
      <c r="AX63" s="120"/>
      <c r="AY63" s="120"/>
    </row>
    <row r="64" spans="1:51" x14ac:dyDescent="0.2">
      <c r="A64" s="119"/>
      <c r="B64" s="130">
        <v>20</v>
      </c>
      <c r="C64" s="119" t="s">
        <v>295</v>
      </c>
      <c r="D64" s="120"/>
      <c r="E64" s="120"/>
      <c r="F64" s="120"/>
      <c r="G64" s="120"/>
      <c r="H64" s="120"/>
      <c r="I64" s="120"/>
      <c r="J64" s="120"/>
      <c r="K64" s="120"/>
      <c r="L64" s="120"/>
      <c r="M64" s="120"/>
      <c r="N64" s="120"/>
      <c r="O64" s="120"/>
      <c r="P64" s="120"/>
      <c r="Q64" s="120"/>
      <c r="R64" s="120"/>
      <c r="S64" s="120"/>
      <c r="T64" s="120"/>
      <c r="U64" s="120"/>
      <c r="V64" s="120"/>
      <c r="W64" s="120"/>
      <c r="X64" s="120"/>
      <c r="Y64" s="120"/>
      <c r="Z64" s="120"/>
      <c r="AA64" s="120"/>
      <c r="AB64" s="120"/>
      <c r="AC64" s="120"/>
      <c r="AD64" s="120"/>
      <c r="AE64" s="120"/>
      <c r="AF64" s="120"/>
      <c r="AG64" s="120"/>
      <c r="AH64" s="120"/>
      <c r="AI64" s="120"/>
      <c r="AJ64" s="120"/>
      <c r="AK64" s="120"/>
      <c r="AL64" s="120"/>
      <c r="AM64" s="120"/>
      <c r="AN64" s="120"/>
      <c r="AO64" s="120"/>
      <c r="AP64" s="120"/>
      <c r="AQ64" s="120"/>
      <c r="AR64" s="120"/>
      <c r="AS64" s="120"/>
      <c r="AT64" s="120"/>
      <c r="AU64" s="120"/>
      <c r="AV64" s="120"/>
      <c r="AW64" s="120"/>
      <c r="AX64" s="120"/>
      <c r="AY64" s="120"/>
    </row>
    <row r="65" spans="1:51" x14ac:dyDescent="0.2">
      <c r="A65" s="119"/>
      <c r="B65" s="130">
        <v>21</v>
      </c>
      <c r="C65" s="119" t="s">
        <v>295</v>
      </c>
      <c r="D65" s="120"/>
      <c r="E65" s="120"/>
      <c r="F65" s="120"/>
      <c r="G65" s="120"/>
      <c r="H65" s="120"/>
      <c r="I65" s="120"/>
      <c r="J65" s="120"/>
      <c r="K65" s="120"/>
      <c r="L65" s="120"/>
      <c r="M65" s="120"/>
      <c r="N65" s="120"/>
      <c r="O65" s="120"/>
      <c r="P65" s="120"/>
      <c r="Q65" s="120"/>
      <c r="R65" s="120"/>
      <c r="S65" s="120"/>
      <c r="T65" s="120"/>
      <c r="U65" s="120"/>
      <c r="V65" s="120"/>
      <c r="W65" s="120"/>
      <c r="X65" s="120"/>
      <c r="Y65" s="120"/>
      <c r="Z65" s="120"/>
      <c r="AA65" s="120"/>
      <c r="AB65" s="120"/>
      <c r="AC65" s="120"/>
      <c r="AD65" s="120"/>
      <c r="AE65" s="120"/>
      <c r="AF65" s="120"/>
      <c r="AG65" s="120"/>
      <c r="AH65" s="120"/>
      <c r="AI65" s="120"/>
      <c r="AJ65" s="120"/>
      <c r="AK65" s="120"/>
      <c r="AL65" s="120"/>
      <c r="AM65" s="120"/>
      <c r="AN65" s="120"/>
      <c r="AO65" s="120"/>
      <c r="AP65" s="120"/>
      <c r="AQ65" s="120"/>
      <c r="AR65" s="120"/>
      <c r="AS65" s="120"/>
      <c r="AT65" s="120"/>
      <c r="AU65" s="120"/>
      <c r="AV65" s="120"/>
      <c r="AW65" s="120"/>
      <c r="AX65" s="120"/>
      <c r="AY65" s="120"/>
    </row>
    <row r="66" spans="1:51" x14ac:dyDescent="0.2">
      <c r="A66" s="119"/>
      <c r="B66" s="130">
        <v>22</v>
      </c>
      <c r="C66" s="119" t="s">
        <v>295</v>
      </c>
      <c r="D66" s="120"/>
      <c r="E66" s="120"/>
      <c r="F66" s="120"/>
      <c r="G66" s="120"/>
      <c r="H66" s="120"/>
      <c r="I66" s="120"/>
      <c r="J66" s="120"/>
      <c r="K66" s="120"/>
      <c r="L66" s="120"/>
      <c r="M66" s="120"/>
      <c r="N66" s="120"/>
      <c r="O66" s="120"/>
      <c r="P66" s="120"/>
      <c r="Q66" s="120"/>
      <c r="R66" s="120"/>
      <c r="S66" s="120"/>
      <c r="T66" s="120"/>
      <c r="U66" s="120"/>
      <c r="V66" s="120"/>
      <c r="W66" s="120"/>
      <c r="X66" s="120"/>
      <c r="Y66" s="120"/>
      <c r="Z66" s="120"/>
      <c r="AA66" s="120"/>
      <c r="AB66" s="120"/>
      <c r="AC66" s="120"/>
      <c r="AD66" s="120"/>
      <c r="AE66" s="120"/>
      <c r="AF66" s="120"/>
      <c r="AG66" s="120"/>
      <c r="AH66" s="120"/>
      <c r="AI66" s="120"/>
      <c r="AJ66" s="120"/>
      <c r="AK66" s="120"/>
      <c r="AL66" s="120"/>
      <c r="AM66" s="120"/>
      <c r="AN66" s="120"/>
      <c r="AO66" s="120"/>
      <c r="AP66" s="120"/>
      <c r="AQ66" s="120"/>
      <c r="AR66" s="120"/>
      <c r="AS66" s="120"/>
      <c r="AT66" s="120"/>
      <c r="AU66" s="120"/>
      <c r="AV66" s="120"/>
      <c r="AW66" s="120"/>
      <c r="AX66" s="120"/>
      <c r="AY66" s="120"/>
    </row>
    <row r="67" spans="1:51" x14ac:dyDescent="0.2">
      <c r="A67" s="119"/>
      <c r="B67" s="130">
        <v>23</v>
      </c>
      <c r="C67" s="119" t="s">
        <v>295</v>
      </c>
      <c r="D67" s="120"/>
      <c r="E67" s="120"/>
      <c r="F67" s="120"/>
      <c r="G67" s="120"/>
      <c r="H67" s="120"/>
      <c r="I67" s="120"/>
      <c r="J67" s="120"/>
      <c r="K67" s="120"/>
      <c r="L67" s="120"/>
      <c r="M67" s="120"/>
      <c r="N67" s="120"/>
      <c r="O67" s="120"/>
      <c r="P67" s="120"/>
      <c r="Q67" s="120"/>
      <c r="R67" s="120"/>
      <c r="S67" s="120"/>
      <c r="T67" s="120"/>
      <c r="U67" s="120"/>
      <c r="V67" s="120"/>
      <c r="W67" s="120"/>
      <c r="X67" s="120"/>
      <c r="Y67" s="120"/>
      <c r="Z67" s="120"/>
      <c r="AA67" s="120"/>
      <c r="AB67" s="120"/>
      <c r="AC67" s="120"/>
      <c r="AD67" s="120"/>
      <c r="AE67" s="120"/>
      <c r="AF67" s="120"/>
      <c r="AG67" s="120"/>
      <c r="AH67" s="120"/>
      <c r="AI67" s="120"/>
      <c r="AJ67" s="120"/>
      <c r="AK67" s="120"/>
      <c r="AL67" s="120"/>
      <c r="AM67" s="120"/>
      <c r="AN67" s="120"/>
      <c r="AO67" s="120"/>
      <c r="AP67" s="120"/>
      <c r="AQ67" s="120"/>
      <c r="AR67" s="120"/>
      <c r="AS67" s="120"/>
      <c r="AT67" s="120"/>
      <c r="AU67" s="120"/>
      <c r="AV67" s="120"/>
      <c r="AW67" s="120"/>
      <c r="AX67" s="120"/>
      <c r="AY67" s="120"/>
    </row>
    <row r="68" spans="1:51" x14ac:dyDescent="0.2">
      <c r="A68" s="119"/>
      <c r="B68" s="130">
        <v>24</v>
      </c>
      <c r="C68" s="119" t="s">
        <v>295</v>
      </c>
      <c r="D68" s="120"/>
      <c r="E68" s="120"/>
      <c r="F68" s="120"/>
      <c r="G68" s="120"/>
      <c r="H68" s="120"/>
      <c r="I68" s="120"/>
      <c r="J68" s="120"/>
      <c r="K68" s="120"/>
      <c r="L68" s="120"/>
      <c r="M68" s="120"/>
      <c r="N68" s="120"/>
      <c r="O68" s="120"/>
      <c r="P68" s="120"/>
      <c r="Q68" s="120"/>
      <c r="R68" s="120"/>
      <c r="S68" s="120"/>
      <c r="T68" s="120"/>
      <c r="U68" s="120"/>
      <c r="V68" s="120"/>
      <c r="W68" s="120"/>
      <c r="X68" s="120"/>
      <c r="Y68" s="120"/>
      <c r="Z68" s="120"/>
      <c r="AA68" s="120"/>
      <c r="AB68" s="120"/>
      <c r="AC68" s="120"/>
      <c r="AD68" s="120"/>
      <c r="AE68" s="120"/>
      <c r="AF68" s="120"/>
      <c r="AG68" s="120"/>
      <c r="AH68" s="120"/>
      <c r="AI68" s="120"/>
      <c r="AJ68" s="120"/>
      <c r="AK68" s="120"/>
      <c r="AL68" s="120"/>
      <c r="AM68" s="120"/>
      <c r="AN68" s="120"/>
      <c r="AO68" s="120"/>
      <c r="AP68" s="120"/>
      <c r="AQ68" s="120"/>
      <c r="AR68" s="120"/>
      <c r="AS68" s="120"/>
      <c r="AT68" s="120"/>
      <c r="AU68" s="120"/>
      <c r="AV68" s="120"/>
      <c r="AW68" s="120"/>
      <c r="AX68" s="120"/>
      <c r="AY68" s="120"/>
    </row>
    <row r="69" spans="1:51" x14ac:dyDescent="0.2">
      <c r="A69" s="119"/>
      <c r="B69" s="137">
        <v>25</v>
      </c>
      <c r="C69" s="119" t="s">
        <v>295</v>
      </c>
      <c r="D69" s="120"/>
      <c r="E69" s="120"/>
      <c r="F69" s="120"/>
      <c r="G69" s="120"/>
      <c r="H69" s="120"/>
      <c r="I69" s="120"/>
      <c r="J69" s="120"/>
      <c r="K69" s="120"/>
      <c r="L69" s="120"/>
      <c r="M69" s="120"/>
      <c r="N69" s="120"/>
      <c r="O69" s="120"/>
      <c r="P69" s="120"/>
      <c r="Q69" s="120"/>
      <c r="R69" s="120"/>
      <c r="S69" s="120"/>
      <c r="T69" s="120"/>
      <c r="U69" s="120"/>
      <c r="V69" s="120"/>
      <c r="W69" s="120"/>
      <c r="X69" s="120"/>
      <c r="Y69" s="120"/>
      <c r="Z69" s="120"/>
      <c r="AA69" s="120"/>
      <c r="AB69" s="120"/>
      <c r="AC69" s="120"/>
      <c r="AD69" s="120"/>
      <c r="AE69" s="120"/>
      <c r="AF69" s="120"/>
      <c r="AG69" s="120"/>
      <c r="AH69" s="120"/>
      <c r="AI69" s="120"/>
      <c r="AJ69" s="120"/>
      <c r="AK69" s="120"/>
      <c r="AL69" s="120"/>
      <c r="AM69" s="120"/>
      <c r="AN69" s="120"/>
      <c r="AO69" s="120"/>
      <c r="AP69" s="120"/>
      <c r="AQ69" s="120"/>
      <c r="AR69" s="120"/>
      <c r="AS69" s="120"/>
      <c r="AT69" s="120"/>
      <c r="AU69" s="120"/>
      <c r="AV69" s="120"/>
      <c r="AW69" s="120"/>
      <c r="AX69" s="120"/>
      <c r="AY69" s="120"/>
    </row>
    <row r="70" spans="1:51" x14ac:dyDescent="0.2">
      <c r="A70" s="119"/>
      <c r="B70" s="137">
        <v>26</v>
      </c>
      <c r="C70" s="119" t="s">
        <v>295</v>
      </c>
      <c r="D70" s="120"/>
      <c r="E70" s="120"/>
      <c r="F70" s="120"/>
      <c r="G70" s="120"/>
      <c r="H70" s="120"/>
      <c r="I70" s="120"/>
      <c r="J70" s="120"/>
      <c r="K70" s="120"/>
      <c r="L70" s="120"/>
      <c r="M70" s="120"/>
      <c r="N70" s="120"/>
      <c r="O70" s="120"/>
      <c r="P70" s="120"/>
      <c r="Q70" s="120"/>
      <c r="R70" s="120"/>
      <c r="S70" s="120"/>
      <c r="T70" s="120"/>
      <c r="U70" s="120"/>
      <c r="V70" s="120"/>
      <c r="W70" s="120"/>
      <c r="X70" s="120"/>
      <c r="Y70" s="120"/>
      <c r="Z70" s="120"/>
      <c r="AA70" s="120"/>
      <c r="AB70" s="120"/>
      <c r="AC70" s="120"/>
      <c r="AD70" s="120"/>
      <c r="AE70" s="120"/>
      <c r="AF70" s="120"/>
      <c r="AG70" s="120"/>
      <c r="AH70" s="120"/>
      <c r="AI70" s="120"/>
      <c r="AJ70" s="120"/>
      <c r="AK70" s="120"/>
      <c r="AL70" s="120"/>
      <c r="AM70" s="120"/>
      <c r="AN70" s="120"/>
      <c r="AO70" s="120"/>
      <c r="AP70" s="120"/>
      <c r="AQ70" s="120"/>
      <c r="AR70" s="120"/>
      <c r="AS70" s="120"/>
      <c r="AT70" s="120"/>
      <c r="AU70" s="120"/>
      <c r="AV70" s="120"/>
      <c r="AW70" s="120"/>
      <c r="AX70" s="120"/>
      <c r="AY70" s="120"/>
    </row>
    <row r="71" spans="1:51" x14ac:dyDescent="0.2">
      <c r="A71" s="119"/>
      <c r="B71" s="137">
        <v>27</v>
      </c>
      <c r="C71" s="119" t="s">
        <v>295</v>
      </c>
      <c r="D71" s="120"/>
      <c r="E71" s="120"/>
      <c r="F71" s="120"/>
      <c r="G71" s="120"/>
      <c r="H71" s="120"/>
      <c r="I71" s="120"/>
      <c r="J71" s="120"/>
      <c r="K71" s="120"/>
      <c r="L71" s="120"/>
      <c r="M71" s="120"/>
      <c r="N71" s="120"/>
      <c r="O71" s="120"/>
      <c r="P71" s="120"/>
      <c r="Q71" s="120"/>
      <c r="R71" s="120"/>
      <c r="S71" s="120"/>
      <c r="T71" s="120"/>
      <c r="U71" s="120"/>
      <c r="V71" s="120"/>
      <c r="W71" s="120"/>
      <c r="X71" s="120"/>
      <c r="Y71" s="120"/>
      <c r="Z71" s="120"/>
      <c r="AA71" s="120"/>
      <c r="AB71" s="120"/>
      <c r="AC71" s="120"/>
      <c r="AD71" s="120"/>
      <c r="AE71" s="120"/>
      <c r="AF71" s="120"/>
      <c r="AG71" s="120"/>
      <c r="AH71" s="120"/>
      <c r="AI71" s="120"/>
      <c r="AJ71" s="120"/>
      <c r="AK71" s="120"/>
      <c r="AL71" s="120"/>
      <c r="AM71" s="120"/>
      <c r="AN71" s="120"/>
      <c r="AO71" s="120"/>
      <c r="AP71" s="120"/>
      <c r="AQ71" s="120"/>
      <c r="AR71" s="120"/>
      <c r="AS71" s="120"/>
      <c r="AT71" s="120"/>
      <c r="AU71" s="120"/>
      <c r="AV71" s="120"/>
      <c r="AW71" s="120"/>
      <c r="AX71" s="120"/>
      <c r="AY71" s="120"/>
    </row>
    <row r="72" spans="1:51" x14ac:dyDescent="0.2">
      <c r="A72" s="119"/>
      <c r="B72" s="137">
        <v>28</v>
      </c>
      <c r="C72" s="119" t="s">
        <v>295</v>
      </c>
      <c r="D72" s="120"/>
      <c r="E72" s="120"/>
      <c r="F72" s="120"/>
      <c r="G72" s="120"/>
      <c r="H72" s="120"/>
      <c r="I72" s="120"/>
      <c r="J72" s="120"/>
      <c r="K72" s="120"/>
      <c r="L72" s="120"/>
      <c r="M72" s="120"/>
      <c r="N72" s="120"/>
      <c r="O72" s="120"/>
      <c r="P72" s="120"/>
      <c r="Q72" s="120"/>
      <c r="R72" s="120"/>
      <c r="S72" s="120"/>
      <c r="T72" s="120"/>
      <c r="U72" s="120"/>
      <c r="V72" s="120"/>
      <c r="W72" s="120"/>
      <c r="X72" s="120"/>
      <c r="Y72" s="120"/>
      <c r="Z72" s="120"/>
      <c r="AA72" s="120"/>
      <c r="AB72" s="120"/>
      <c r="AC72" s="120"/>
      <c r="AD72" s="120"/>
      <c r="AE72" s="120"/>
      <c r="AF72" s="120"/>
      <c r="AG72" s="120"/>
      <c r="AH72" s="120"/>
      <c r="AI72" s="120"/>
      <c r="AJ72" s="120"/>
      <c r="AK72" s="120"/>
      <c r="AL72" s="120"/>
      <c r="AM72" s="120"/>
      <c r="AN72" s="120"/>
      <c r="AO72" s="120"/>
      <c r="AP72" s="120"/>
      <c r="AQ72" s="120"/>
      <c r="AR72" s="120"/>
      <c r="AS72" s="120"/>
      <c r="AT72" s="120"/>
      <c r="AU72" s="120"/>
      <c r="AV72" s="120"/>
      <c r="AW72" s="120"/>
      <c r="AX72" s="120"/>
      <c r="AY72" s="120"/>
    </row>
    <row r="73" spans="1:51" x14ac:dyDescent="0.2">
      <c r="A73" s="119"/>
      <c r="B73" s="137">
        <v>29</v>
      </c>
      <c r="C73" s="119" t="s">
        <v>295</v>
      </c>
      <c r="D73" s="120"/>
      <c r="E73" s="120"/>
      <c r="F73" s="120"/>
      <c r="G73" s="120"/>
      <c r="H73" s="120"/>
      <c r="I73" s="120"/>
      <c r="J73" s="120"/>
      <c r="K73" s="120"/>
      <c r="L73" s="120"/>
      <c r="M73" s="120"/>
      <c r="N73" s="120"/>
      <c r="O73" s="120"/>
      <c r="P73" s="120"/>
      <c r="Q73" s="120"/>
      <c r="R73" s="120"/>
      <c r="S73" s="120"/>
      <c r="T73" s="120"/>
      <c r="U73" s="120"/>
      <c r="V73" s="120"/>
      <c r="W73" s="120"/>
      <c r="X73" s="120"/>
      <c r="Y73" s="120"/>
      <c r="Z73" s="120"/>
      <c r="AA73" s="120"/>
      <c r="AB73" s="120"/>
      <c r="AC73" s="120"/>
      <c r="AD73" s="120"/>
      <c r="AE73" s="120"/>
      <c r="AF73" s="120"/>
      <c r="AG73" s="120"/>
      <c r="AH73" s="120"/>
      <c r="AI73" s="120"/>
      <c r="AJ73" s="120"/>
      <c r="AK73" s="120"/>
      <c r="AL73" s="120"/>
      <c r="AM73" s="120"/>
      <c r="AN73" s="120"/>
      <c r="AO73" s="120"/>
      <c r="AP73" s="120"/>
      <c r="AQ73" s="120"/>
      <c r="AR73" s="120"/>
      <c r="AS73" s="120"/>
      <c r="AT73" s="120"/>
      <c r="AU73" s="120"/>
      <c r="AV73" s="120"/>
      <c r="AW73" s="120"/>
      <c r="AX73" s="120"/>
      <c r="AY73" s="120"/>
    </row>
    <row r="74" spans="1:51" x14ac:dyDescent="0.2">
      <c r="A74" s="119"/>
      <c r="B74" s="137">
        <v>30</v>
      </c>
      <c r="C74" s="119" t="s">
        <v>295</v>
      </c>
      <c r="D74" s="120"/>
      <c r="E74" s="120"/>
      <c r="F74" s="120"/>
      <c r="G74" s="120"/>
      <c r="H74" s="120"/>
      <c r="I74" s="120"/>
      <c r="J74" s="120"/>
      <c r="K74" s="120"/>
      <c r="L74" s="120"/>
      <c r="M74" s="120"/>
      <c r="N74" s="120"/>
      <c r="O74" s="120"/>
      <c r="P74" s="120"/>
      <c r="Q74" s="120"/>
      <c r="R74" s="120"/>
      <c r="S74" s="120"/>
      <c r="T74" s="120"/>
      <c r="U74" s="120"/>
      <c r="V74" s="120"/>
      <c r="W74" s="120"/>
      <c r="X74" s="120"/>
      <c r="Y74" s="120"/>
      <c r="Z74" s="120"/>
      <c r="AA74" s="120"/>
      <c r="AB74" s="120"/>
      <c r="AC74" s="120"/>
      <c r="AD74" s="120"/>
      <c r="AE74" s="120"/>
      <c r="AF74" s="120"/>
      <c r="AG74" s="120"/>
      <c r="AH74" s="120"/>
      <c r="AI74" s="120"/>
      <c r="AJ74" s="120"/>
      <c r="AK74" s="120"/>
      <c r="AL74" s="120"/>
      <c r="AM74" s="120"/>
      <c r="AN74" s="120"/>
      <c r="AO74" s="120"/>
      <c r="AP74" s="120"/>
      <c r="AQ74" s="120"/>
      <c r="AR74" s="120"/>
      <c r="AS74" s="120"/>
      <c r="AT74" s="120"/>
      <c r="AU74" s="120"/>
      <c r="AV74" s="120"/>
      <c r="AW74" s="120"/>
      <c r="AX74" s="120"/>
      <c r="AY74" s="120"/>
    </row>
    <row r="75" spans="1:51" x14ac:dyDescent="0.2">
      <c r="A75" s="119"/>
      <c r="B75" s="137">
        <v>31</v>
      </c>
      <c r="C75" s="119" t="s">
        <v>295</v>
      </c>
      <c r="D75" s="120"/>
      <c r="E75" s="120"/>
      <c r="F75" s="120"/>
      <c r="G75" s="120"/>
      <c r="H75" s="120"/>
      <c r="I75" s="120"/>
      <c r="J75" s="120"/>
      <c r="K75" s="120"/>
      <c r="L75" s="120"/>
      <c r="M75" s="120"/>
      <c r="N75" s="120"/>
      <c r="O75" s="120"/>
      <c r="P75" s="120"/>
      <c r="Q75" s="120"/>
      <c r="R75" s="120"/>
      <c r="S75" s="120"/>
      <c r="T75" s="120"/>
      <c r="U75" s="120"/>
      <c r="V75" s="120"/>
      <c r="W75" s="120"/>
      <c r="X75" s="120"/>
      <c r="Y75" s="120"/>
      <c r="Z75" s="120"/>
      <c r="AA75" s="120"/>
      <c r="AB75" s="120"/>
      <c r="AC75" s="120"/>
      <c r="AD75" s="120"/>
      <c r="AE75" s="120"/>
      <c r="AF75" s="120"/>
      <c r="AG75" s="120"/>
      <c r="AH75" s="120"/>
      <c r="AI75" s="120"/>
      <c r="AJ75" s="120"/>
      <c r="AK75" s="120"/>
      <c r="AL75" s="120"/>
      <c r="AM75" s="120"/>
      <c r="AN75" s="120"/>
      <c r="AO75" s="120"/>
      <c r="AP75" s="120"/>
      <c r="AQ75" s="120"/>
      <c r="AR75" s="120"/>
      <c r="AS75" s="120"/>
      <c r="AT75" s="120"/>
      <c r="AU75" s="120"/>
      <c r="AV75" s="120"/>
      <c r="AW75" s="120"/>
      <c r="AX75" s="120"/>
      <c r="AY75" s="120"/>
    </row>
    <row r="76" spans="1:51" x14ac:dyDescent="0.2">
      <c r="A76" s="119"/>
      <c r="B76" s="137">
        <v>32</v>
      </c>
      <c r="C76" s="119" t="s">
        <v>295</v>
      </c>
      <c r="D76" s="120"/>
      <c r="E76" s="120"/>
      <c r="F76" s="120"/>
      <c r="G76" s="120"/>
      <c r="H76" s="120"/>
      <c r="I76" s="120"/>
      <c r="J76" s="120"/>
      <c r="K76" s="120"/>
      <c r="L76" s="120"/>
      <c r="M76" s="120"/>
      <c r="N76" s="120"/>
      <c r="O76" s="120"/>
      <c r="P76" s="120"/>
      <c r="Q76" s="120"/>
      <c r="R76" s="120"/>
      <c r="S76" s="120"/>
      <c r="T76" s="120"/>
      <c r="U76" s="120"/>
      <c r="V76" s="120"/>
      <c r="W76" s="120"/>
      <c r="X76" s="120"/>
      <c r="Y76" s="120"/>
      <c r="Z76" s="120"/>
      <c r="AA76" s="120"/>
      <c r="AB76" s="120"/>
      <c r="AC76" s="120"/>
      <c r="AD76" s="120"/>
      <c r="AE76" s="120"/>
      <c r="AF76" s="120"/>
      <c r="AG76" s="120"/>
      <c r="AH76" s="120"/>
      <c r="AI76" s="120"/>
      <c r="AJ76" s="120"/>
      <c r="AK76" s="120"/>
      <c r="AL76" s="120"/>
      <c r="AM76" s="120"/>
      <c r="AN76" s="120"/>
      <c r="AO76" s="120"/>
      <c r="AP76" s="120"/>
      <c r="AQ76" s="120"/>
      <c r="AR76" s="120"/>
      <c r="AS76" s="120"/>
      <c r="AT76" s="120"/>
      <c r="AU76" s="120"/>
      <c r="AV76" s="120"/>
      <c r="AW76" s="120"/>
      <c r="AX76" s="120"/>
      <c r="AY76" s="120"/>
    </row>
    <row r="77" spans="1:51" x14ac:dyDescent="0.2">
      <c r="A77" s="119"/>
      <c r="B77" s="137">
        <v>33</v>
      </c>
      <c r="C77" s="119" t="s">
        <v>295</v>
      </c>
      <c r="D77" s="120"/>
      <c r="E77" s="120"/>
      <c r="F77" s="120"/>
      <c r="G77" s="120"/>
      <c r="H77" s="120"/>
      <c r="I77" s="120"/>
      <c r="J77" s="120"/>
      <c r="K77" s="120"/>
      <c r="L77" s="120"/>
      <c r="M77" s="120"/>
      <c r="N77" s="120"/>
      <c r="O77" s="120"/>
      <c r="P77" s="120"/>
      <c r="Q77" s="120"/>
      <c r="R77" s="120"/>
      <c r="S77" s="120"/>
      <c r="T77" s="120"/>
      <c r="U77" s="120"/>
      <c r="V77" s="120"/>
      <c r="W77" s="120"/>
      <c r="X77" s="120"/>
      <c r="Y77" s="120"/>
      <c r="Z77" s="120"/>
      <c r="AA77" s="120"/>
      <c r="AB77" s="120"/>
      <c r="AC77" s="120"/>
      <c r="AD77" s="120"/>
      <c r="AE77" s="120"/>
      <c r="AF77" s="120"/>
      <c r="AG77" s="120"/>
      <c r="AH77" s="120"/>
      <c r="AI77" s="120"/>
      <c r="AJ77" s="120"/>
      <c r="AK77" s="120"/>
      <c r="AL77" s="120"/>
      <c r="AM77" s="120"/>
      <c r="AN77" s="120"/>
      <c r="AO77" s="120"/>
      <c r="AP77" s="120"/>
      <c r="AQ77" s="120"/>
      <c r="AR77" s="120"/>
      <c r="AS77" s="120"/>
      <c r="AT77" s="120"/>
      <c r="AU77" s="120"/>
      <c r="AV77" s="120"/>
      <c r="AW77" s="120"/>
      <c r="AX77" s="120"/>
      <c r="AY77" s="120"/>
    </row>
    <row r="78" spans="1:51" x14ac:dyDescent="0.2">
      <c r="A78" s="119"/>
      <c r="B78" s="137">
        <v>34</v>
      </c>
      <c r="C78" s="119" t="s">
        <v>295</v>
      </c>
      <c r="D78" s="120"/>
      <c r="E78" s="120"/>
      <c r="F78" s="120"/>
      <c r="G78" s="120"/>
      <c r="H78" s="120"/>
      <c r="I78" s="120"/>
      <c r="J78" s="120"/>
      <c r="K78" s="120"/>
      <c r="L78" s="120"/>
      <c r="M78" s="120"/>
      <c r="N78" s="120"/>
      <c r="O78" s="120"/>
      <c r="P78" s="120"/>
      <c r="Q78" s="120"/>
      <c r="R78" s="120"/>
      <c r="S78" s="120"/>
      <c r="T78" s="120"/>
      <c r="U78" s="120"/>
      <c r="V78" s="120"/>
      <c r="W78" s="120"/>
      <c r="X78" s="120"/>
      <c r="Y78" s="120"/>
      <c r="Z78" s="120"/>
      <c r="AA78" s="120"/>
      <c r="AB78" s="120"/>
      <c r="AC78" s="120"/>
      <c r="AD78" s="120"/>
      <c r="AE78" s="120"/>
      <c r="AF78" s="120"/>
      <c r="AG78" s="120"/>
      <c r="AH78" s="120"/>
      <c r="AI78" s="120"/>
      <c r="AJ78" s="120"/>
      <c r="AK78" s="120"/>
      <c r="AL78" s="120"/>
      <c r="AM78" s="120"/>
      <c r="AN78" s="120"/>
      <c r="AO78" s="120"/>
      <c r="AP78" s="120"/>
      <c r="AQ78" s="120"/>
      <c r="AR78" s="120"/>
      <c r="AS78" s="120"/>
      <c r="AT78" s="120"/>
      <c r="AU78" s="120"/>
      <c r="AV78" s="120"/>
      <c r="AW78" s="120"/>
      <c r="AX78" s="120"/>
      <c r="AY78" s="120"/>
    </row>
    <row r="79" spans="1:51" x14ac:dyDescent="0.2">
      <c r="A79" s="119"/>
      <c r="B79" s="137">
        <v>35</v>
      </c>
      <c r="C79" s="119" t="s">
        <v>295</v>
      </c>
      <c r="D79" s="120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0"/>
      <c r="P79" s="120"/>
      <c r="Q79" s="120"/>
      <c r="R79" s="120"/>
      <c r="S79" s="120"/>
      <c r="T79" s="120"/>
      <c r="U79" s="120"/>
      <c r="V79" s="120"/>
      <c r="W79" s="120"/>
      <c r="X79" s="120"/>
      <c r="Y79" s="120"/>
      <c r="Z79" s="120"/>
      <c r="AA79" s="120"/>
      <c r="AB79" s="120"/>
      <c r="AC79" s="120"/>
      <c r="AD79" s="120"/>
      <c r="AE79" s="120"/>
      <c r="AF79" s="120"/>
      <c r="AG79" s="120"/>
      <c r="AH79" s="120"/>
      <c r="AI79" s="120"/>
      <c r="AJ79" s="120"/>
      <c r="AK79" s="120"/>
      <c r="AL79" s="120"/>
      <c r="AM79" s="120"/>
      <c r="AN79" s="120"/>
      <c r="AO79" s="120"/>
      <c r="AP79" s="120"/>
      <c r="AQ79" s="120"/>
      <c r="AR79" s="120"/>
      <c r="AS79" s="120"/>
      <c r="AT79" s="120"/>
      <c r="AU79" s="120"/>
      <c r="AV79" s="120"/>
      <c r="AW79" s="120"/>
      <c r="AX79" s="120"/>
      <c r="AY79" s="120"/>
    </row>
    <row r="80" spans="1:51" x14ac:dyDescent="0.2">
      <c r="A80" s="119"/>
      <c r="B80" s="137">
        <v>36</v>
      </c>
      <c r="C80" s="119" t="s">
        <v>295</v>
      </c>
      <c r="D80" s="120"/>
      <c r="E80" s="120"/>
      <c r="F80" s="120"/>
      <c r="G80" s="120"/>
      <c r="H80" s="120"/>
      <c r="I80" s="120"/>
      <c r="J80" s="120"/>
      <c r="K80" s="120"/>
      <c r="L80" s="120"/>
      <c r="M80" s="120"/>
      <c r="N80" s="120"/>
      <c r="O80" s="120"/>
      <c r="P80" s="120"/>
      <c r="Q80" s="120"/>
      <c r="R80" s="120"/>
      <c r="S80" s="120"/>
      <c r="T80" s="120"/>
      <c r="U80" s="120"/>
      <c r="V80" s="120"/>
      <c r="W80" s="120"/>
      <c r="X80" s="120"/>
      <c r="Y80" s="120"/>
      <c r="Z80" s="120"/>
      <c r="AA80" s="120"/>
      <c r="AB80" s="120"/>
      <c r="AC80" s="120"/>
      <c r="AD80" s="120"/>
      <c r="AE80" s="120"/>
      <c r="AF80" s="120"/>
      <c r="AG80" s="120"/>
      <c r="AH80" s="120"/>
      <c r="AI80" s="120"/>
      <c r="AJ80" s="120"/>
      <c r="AK80" s="120"/>
      <c r="AL80" s="120"/>
      <c r="AM80" s="120"/>
      <c r="AN80" s="120"/>
      <c r="AO80" s="120"/>
      <c r="AP80" s="120"/>
      <c r="AQ80" s="120"/>
      <c r="AR80" s="120"/>
      <c r="AS80" s="120"/>
      <c r="AT80" s="120"/>
      <c r="AU80" s="120"/>
      <c r="AV80" s="120"/>
      <c r="AW80" s="120"/>
      <c r="AX80" s="120"/>
      <c r="AY80" s="120"/>
    </row>
    <row r="81" spans="1:52" x14ac:dyDescent="0.2">
      <c r="A81" s="119"/>
      <c r="B81" s="140">
        <v>37</v>
      </c>
      <c r="C81" s="119" t="s">
        <v>295</v>
      </c>
      <c r="D81" s="120"/>
      <c r="E81" s="120"/>
      <c r="F81" s="120"/>
      <c r="G81" s="120"/>
      <c r="H81" s="120"/>
      <c r="I81" s="120"/>
      <c r="J81" s="120"/>
      <c r="K81" s="120"/>
      <c r="L81" s="120"/>
      <c r="M81" s="120"/>
      <c r="N81" s="120"/>
      <c r="O81" s="120"/>
      <c r="P81" s="120"/>
      <c r="Q81" s="120"/>
      <c r="R81" s="120"/>
      <c r="S81" s="120"/>
      <c r="T81" s="120"/>
      <c r="U81" s="120"/>
      <c r="V81" s="120"/>
      <c r="W81" s="120"/>
      <c r="X81" s="120"/>
      <c r="Y81" s="120"/>
      <c r="Z81" s="120"/>
      <c r="AA81" s="120"/>
      <c r="AB81" s="120"/>
      <c r="AC81" s="120"/>
      <c r="AD81" s="120"/>
      <c r="AE81" s="120"/>
      <c r="AF81" s="120"/>
      <c r="AG81" s="120"/>
      <c r="AH81" s="120"/>
      <c r="AI81" s="120"/>
      <c r="AJ81" s="120"/>
      <c r="AK81" s="120"/>
      <c r="AL81" s="120"/>
      <c r="AM81" s="120"/>
      <c r="AN81" s="120"/>
      <c r="AO81" s="120"/>
      <c r="AP81" s="120"/>
      <c r="AQ81" s="120"/>
      <c r="AR81" s="120"/>
      <c r="AS81" s="120"/>
      <c r="AT81" s="120"/>
      <c r="AU81" s="120"/>
      <c r="AV81" s="120"/>
      <c r="AW81" s="120"/>
      <c r="AX81" s="120"/>
      <c r="AY81" s="120"/>
    </row>
    <row r="82" spans="1:52" x14ac:dyDescent="0.2">
      <c r="A82" s="119"/>
      <c r="B82" s="140">
        <v>38</v>
      </c>
      <c r="C82" s="119" t="s">
        <v>295</v>
      </c>
      <c r="D82" s="120"/>
      <c r="E82" s="120"/>
      <c r="F82" s="120"/>
      <c r="G82" s="120"/>
      <c r="H82" s="120"/>
      <c r="I82" s="120"/>
      <c r="J82" s="120"/>
      <c r="K82" s="120"/>
      <c r="L82" s="120"/>
      <c r="M82" s="120"/>
      <c r="N82" s="120"/>
      <c r="O82" s="120"/>
      <c r="P82" s="120"/>
      <c r="Q82" s="120"/>
      <c r="R82" s="120"/>
      <c r="S82" s="120"/>
      <c r="T82" s="120"/>
      <c r="U82" s="120"/>
      <c r="V82" s="120"/>
      <c r="W82" s="120"/>
      <c r="X82" s="120"/>
      <c r="Y82" s="120"/>
      <c r="Z82" s="120"/>
      <c r="AA82" s="120"/>
      <c r="AB82" s="120"/>
      <c r="AC82" s="120"/>
      <c r="AD82" s="120"/>
      <c r="AE82" s="120"/>
      <c r="AF82" s="120"/>
      <c r="AG82" s="120"/>
      <c r="AH82" s="120"/>
      <c r="AI82" s="120"/>
      <c r="AJ82" s="120"/>
      <c r="AK82" s="120"/>
      <c r="AL82" s="120"/>
      <c r="AM82" s="120"/>
      <c r="AN82" s="120"/>
      <c r="AO82" s="120"/>
      <c r="AP82" s="120"/>
      <c r="AQ82" s="120"/>
      <c r="AR82" s="120"/>
      <c r="AS82" s="120"/>
      <c r="AT82" s="120"/>
      <c r="AU82" s="120"/>
      <c r="AV82" s="120"/>
      <c r="AW82" s="120"/>
      <c r="AX82" s="120"/>
      <c r="AY82" s="120"/>
    </row>
    <row r="83" spans="1:52" x14ac:dyDescent="0.2">
      <c r="A83" s="119"/>
      <c r="B83" s="140">
        <v>39</v>
      </c>
      <c r="C83" s="119" t="s">
        <v>295</v>
      </c>
      <c r="D83" s="120"/>
      <c r="E83" s="120"/>
      <c r="F83" s="120"/>
      <c r="G83" s="120"/>
      <c r="H83" s="120"/>
      <c r="I83" s="120"/>
      <c r="J83" s="120"/>
      <c r="K83" s="120"/>
      <c r="L83" s="120"/>
      <c r="M83" s="120"/>
      <c r="N83" s="120"/>
      <c r="O83" s="120"/>
      <c r="P83" s="120"/>
      <c r="Q83" s="120"/>
      <c r="R83" s="120"/>
      <c r="S83" s="120"/>
      <c r="T83" s="120"/>
      <c r="U83" s="120"/>
      <c r="V83" s="120"/>
      <c r="W83" s="120"/>
      <c r="X83" s="120"/>
      <c r="Y83" s="120"/>
      <c r="Z83" s="120"/>
      <c r="AA83" s="120"/>
      <c r="AB83" s="120"/>
      <c r="AC83" s="120"/>
      <c r="AD83" s="120"/>
      <c r="AE83" s="120"/>
      <c r="AF83" s="120"/>
      <c r="AG83" s="120"/>
      <c r="AH83" s="120"/>
      <c r="AI83" s="120"/>
      <c r="AJ83" s="120"/>
      <c r="AK83" s="120"/>
      <c r="AL83" s="120"/>
      <c r="AM83" s="120"/>
      <c r="AN83" s="120"/>
      <c r="AO83" s="120"/>
      <c r="AP83" s="120"/>
      <c r="AQ83" s="120"/>
      <c r="AR83" s="120"/>
      <c r="AS83" s="120"/>
      <c r="AT83" s="120"/>
      <c r="AU83" s="120"/>
      <c r="AV83" s="120"/>
      <c r="AW83" s="120"/>
      <c r="AX83" s="120"/>
      <c r="AY83" s="120"/>
    </row>
    <row r="84" spans="1:52" x14ac:dyDescent="0.2">
      <c r="A84" s="119"/>
      <c r="B84" s="140">
        <v>40</v>
      </c>
      <c r="C84" s="119" t="s">
        <v>295</v>
      </c>
      <c r="D84" s="120"/>
      <c r="E84" s="120"/>
      <c r="F84" s="120"/>
      <c r="G84" s="120"/>
      <c r="H84" s="120"/>
      <c r="I84" s="120"/>
      <c r="J84" s="120"/>
      <c r="K84" s="120"/>
      <c r="L84" s="120"/>
      <c r="M84" s="120"/>
      <c r="N84" s="120"/>
      <c r="O84" s="120"/>
      <c r="P84" s="120"/>
      <c r="Q84" s="120"/>
      <c r="R84" s="120"/>
      <c r="S84" s="120"/>
      <c r="T84" s="120"/>
      <c r="U84" s="120"/>
      <c r="V84" s="120"/>
      <c r="W84" s="120"/>
      <c r="X84" s="120"/>
      <c r="Y84" s="120"/>
      <c r="Z84" s="120"/>
      <c r="AA84" s="120"/>
      <c r="AB84" s="120"/>
      <c r="AC84" s="120"/>
      <c r="AD84" s="120"/>
      <c r="AE84" s="120"/>
      <c r="AF84" s="120"/>
      <c r="AG84" s="120"/>
      <c r="AH84" s="120"/>
      <c r="AI84" s="120"/>
      <c r="AJ84" s="120"/>
      <c r="AK84" s="120"/>
      <c r="AL84" s="120"/>
      <c r="AM84" s="120"/>
      <c r="AN84" s="120"/>
      <c r="AO84" s="120"/>
      <c r="AP84" s="120"/>
      <c r="AQ84" s="120"/>
      <c r="AR84" s="120"/>
      <c r="AS84" s="120"/>
      <c r="AT84" s="120"/>
      <c r="AU84" s="120"/>
      <c r="AV84" s="120"/>
      <c r="AW84" s="120"/>
      <c r="AX84" s="120"/>
      <c r="AY84" s="120"/>
    </row>
    <row r="85" spans="1:52" x14ac:dyDescent="0.2">
      <c r="A85" s="119"/>
      <c r="B85" s="140">
        <v>41</v>
      </c>
      <c r="C85" s="119" t="s">
        <v>295</v>
      </c>
      <c r="D85" s="120"/>
      <c r="E85" s="120"/>
      <c r="F85" s="120"/>
      <c r="G85" s="120"/>
      <c r="H85" s="120"/>
      <c r="I85" s="120"/>
      <c r="J85" s="120"/>
      <c r="K85" s="120"/>
      <c r="L85" s="120"/>
      <c r="M85" s="120"/>
      <c r="N85" s="120"/>
      <c r="O85" s="120"/>
      <c r="P85" s="120"/>
      <c r="Q85" s="120"/>
      <c r="R85" s="120"/>
      <c r="S85" s="120"/>
      <c r="T85" s="120"/>
      <c r="U85" s="120"/>
      <c r="V85" s="120"/>
      <c r="W85" s="120"/>
      <c r="X85" s="120"/>
      <c r="Y85" s="120"/>
      <c r="Z85" s="120"/>
      <c r="AA85" s="120"/>
      <c r="AB85" s="120"/>
      <c r="AC85" s="120"/>
      <c r="AD85" s="120"/>
      <c r="AE85" s="120"/>
      <c r="AF85" s="120"/>
      <c r="AG85" s="120"/>
      <c r="AH85" s="120"/>
      <c r="AI85" s="120"/>
      <c r="AJ85" s="120"/>
      <c r="AK85" s="120"/>
      <c r="AL85" s="120"/>
      <c r="AM85" s="120"/>
      <c r="AN85" s="120"/>
      <c r="AO85" s="120"/>
      <c r="AP85" s="120"/>
      <c r="AQ85" s="120"/>
      <c r="AR85" s="120"/>
      <c r="AS85" s="120"/>
      <c r="AT85" s="120"/>
      <c r="AU85" s="120"/>
      <c r="AV85" s="120"/>
      <c r="AW85" s="120"/>
      <c r="AX85" s="120"/>
      <c r="AY85" s="120"/>
    </row>
    <row r="86" spans="1:52" x14ac:dyDescent="0.2">
      <c r="A86" s="119"/>
      <c r="B86" s="140">
        <v>42</v>
      </c>
      <c r="C86" s="119" t="s">
        <v>295</v>
      </c>
      <c r="D86" s="120"/>
      <c r="E86" s="120"/>
      <c r="F86" s="120"/>
      <c r="G86" s="120"/>
      <c r="H86" s="120"/>
      <c r="I86" s="120"/>
      <c r="J86" s="120"/>
      <c r="K86" s="120"/>
      <c r="L86" s="120"/>
      <c r="M86" s="120"/>
      <c r="N86" s="120"/>
      <c r="O86" s="120"/>
      <c r="P86" s="120"/>
      <c r="Q86" s="120"/>
      <c r="R86" s="120"/>
      <c r="S86" s="120"/>
      <c r="T86" s="120"/>
      <c r="U86" s="120"/>
      <c r="V86" s="120"/>
      <c r="W86" s="120"/>
      <c r="X86" s="120"/>
      <c r="Y86" s="120"/>
      <c r="Z86" s="120"/>
      <c r="AA86" s="120"/>
      <c r="AB86" s="120"/>
      <c r="AC86" s="120"/>
      <c r="AD86" s="120"/>
      <c r="AE86" s="120"/>
      <c r="AF86" s="120"/>
      <c r="AG86" s="120"/>
      <c r="AH86" s="120"/>
      <c r="AI86" s="120"/>
      <c r="AJ86" s="120"/>
      <c r="AK86" s="120"/>
      <c r="AL86" s="120"/>
      <c r="AM86" s="120"/>
      <c r="AN86" s="120"/>
      <c r="AO86" s="120"/>
      <c r="AP86" s="120"/>
      <c r="AQ86" s="120"/>
      <c r="AR86" s="120"/>
      <c r="AS86" s="120"/>
      <c r="AT86" s="120"/>
      <c r="AU86" s="120"/>
      <c r="AV86" s="120"/>
      <c r="AW86" s="120"/>
      <c r="AX86" s="120"/>
      <c r="AY86" s="120"/>
    </row>
    <row r="87" spans="1:52" x14ac:dyDescent="0.2">
      <c r="A87" s="119"/>
      <c r="B87" s="140">
        <v>43</v>
      </c>
      <c r="C87" s="119" t="s">
        <v>295</v>
      </c>
      <c r="D87" s="120"/>
      <c r="E87" s="120"/>
      <c r="F87" s="120"/>
      <c r="G87" s="120"/>
      <c r="H87" s="120"/>
      <c r="I87" s="120"/>
      <c r="J87" s="120"/>
      <c r="K87" s="120"/>
      <c r="L87" s="120"/>
      <c r="M87" s="120"/>
      <c r="N87" s="120"/>
      <c r="O87" s="120"/>
      <c r="P87" s="120"/>
      <c r="Q87" s="120"/>
      <c r="R87" s="120"/>
      <c r="S87" s="120"/>
      <c r="T87" s="120"/>
      <c r="U87" s="120"/>
      <c r="V87" s="120"/>
      <c r="W87" s="120"/>
      <c r="X87" s="120"/>
      <c r="Y87" s="120"/>
      <c r="Z87" s="120"/>
      <c r="AA87" s="120"/>
      <c r="AB87" s="120"/>
      <c r="AC87" s="120"/>
      <c r="AD87" s="120"/>
      <c r="AE87" s="120"/>
      <c r="AF87" s="120"/>
      <c r="AG87" s="120"/>
      <c r="AH87" s="120"/>
      <c r="AI87" s="120"/>
      <c r="AJ87" s="120"/>
      <c r="AK87" s="120"/>
      <c r="AL87" s="120"/>
      <c r="AM87" s="120"/>
      <c r="AN87" s="120"/>
      <c r="AO87" s="120"/>
      <c r="AP87" s="120"/>
      <c r="AQ87" s="120"/>
      <c r="AR87" s="120"/>
      <c r="AS87" s="120"/>
      <c r="AT87" s="120"/>
      <c r="AU87" s="120"/>
      <c r="AV87" s="120"/>
      <c r="AW87" s="120"/>
      <c r="AX87" s="120"/>
      <c r="AY87" s="120"/>
    </row>
    <row r="88" spans="1:52" x14ac:dyDescent="0.2">
      <c r="A88" s="119"/>
      <c r="B88" s="140">
        <v>44</v>
      </c>
      <c r="C88" s="119" t="s">
        <v>295</v>
      </c>
      <c r="D88" s="120"/>
      <c r="E88" s="120"/>
      <c r="F88" s="120"/>
      <c r="G88" s="120"/>
      <c r="H88" s="120"/>
      <c r="I88" s="120"/>
      <c r="J88" s="120"/>
      <c r="K88" s="120"/>
      <c r="L88" s="120"/>
      <c r="M88" s="120"/>
      <c r="N88" s="120"/>
      <c r="O88" s="120"/>
      <c r="P88" s="120"/>
      <c r="Q88" s="120"/>
      <c r="R88" s="120"/>
      <c r="S88" s="120"/>
      <c r="T88" s="120"/>
      <c r="U88" s="120"/>
      <c r="V88" s="120"/>
      <c r="W88" s="120"/>
      <c r="X88" s="120"/>
      <c r="Y88" s="120"/>
      <c r="Z88" s="120"/>
      <c r="AA88" s="120"/>
      <c r="AB88" s="120"/>
      <c r="AC88" s="120"/>
      <c r="AD88" s="120"/>
      <c r="AE88" s="120"/>
      <c r="AF88" s="120"/>
      <c r="AG88" s="120"/>
      <c r="AH88" s="120"/>
      <c r="AI88" s="120"/>
      <c r="AJ88" s="120"/>
      <c r="AK88" s="120"/>
      <c r="AL88" s="120"/>
      <c r="AM88" s="120"/>
      <c r="AN88" s="120"/>
      <c r="AO88" s="120"/>
      <c r="AP88" s="120"/>
      <c r="AQ88" s="120"/>
      <c r="AR88" s="120"/>
      <c r="AS88" s="120"/>
      <c r="AT88" s="120"/>
      <c r="AU88" s="120"/>
      <c r="AV88" s="120"/>
      <c r="AW88" s="120"/>
      <c r="AX88" s="120"/>
      <c r="AY88" s="120"/>
    </row>
    <row r="89" spans="1:52" x14ac:dyDescent="0.2">
      <c r="A89" s="119"/>
      <c r="B89" s="140">
        <v>45</v>
      </c>
      <c r="C89" s="119" t="s">
        <v>295</v>
      </c>
      <c r="D89" s="120"/>
      <c r="E89" s="120"/>
      <c r="F89" s="120"/>
      <c r="G89" s="120"/>
      <c r="H89" s="120"/>
      <c r="I89" s="120"/>
      <c r="J89" s="120"/>
      <c r="K89" s="120"/>
      <c r="L89" s="120"/>
      <c r="M89" s="120"/>
      <c r="N89" s="120"/>
      <c r="O89" s="120"/>
      <c r="P89" s="120"/>
      <c r="Q89" s="120"/>
      <c r="R89" s="120"/>
      <c r="S89" s="120"/>
      <c r="T89" s="120">
        <v>0</v>
      </c>
      <c r="U89" s="120">
        <v>0</v>
      </c>
      <c r="V89" s="120">
        <v>0</v>
      </c>
      <c r="W89" s="120">
        <v>0</v>
      </c>
      <c r="X89" s="120"/>
      <c r="Y89" s="120"/>
      <c r="Z89" s="120"/>
      <c r="AA89" s="120"/>
      <c r="AB89" s="120"/>
      <c r="AC89" s="120"/>
      <c r="AD89" s="120"/>
      <c r="AE89" s="120"/>
      <c r="AF89" s="120"/>
      <c r="AG89" s="120"/>
      <c r="AH89" s="120"/>
      <c r="AI89" s="120"/>
      <c r="AJ89" s="120"/>
      <c r="AK89" s="120"/>
      <c r="AL89" s="120"/>
      <c r="AM89" s="120"/>
      <c r="AN89" s="120"/>
      <c r="AO89" s="120"/>
      <c r="AP89" s="120"/>
      <c r="AQ89" s="120"/>
      <c r="AR89" s="120"/>
      <c r="AS89" s="120"/>
      <c r="AT89" s="120"/>
      <c r="AU89" s="120"/>
      <c r="AV89" s="120"/>
      <c r="AW89" s="120"/>
      <c r="AX89" s="120"/>
      <c r="AY89" s="120"/>
    </row>
    <row r="90" spans="1:52" x14ac:dyDescent="0.2">
      <c r="A90" s="119"/>
      <c r="B90" s="140">
        <v>46</v>
      </c>
      <c r="C90" s="119" t="s">
        <v>295</v>
      </c>
      <c r="D90" s="120"/>
      <c r="E90" s="120"/>
      <c r="F90" s="120"/>
      <c r="G90" s="120"/>
      <c r="H90" s="120"/>
      <c r="I90" s="120"/>
      <c r="J90" s="120"/>
      <c r="K90" s="120"/>
      <c r="L90" s="120"/>
      <c r="M90" s="120"/>
      <c r="N90" s="120"/>
      <c r="O90" s="120"/>
      <c r="P90" s="120"/>
      <c r="Q90" s="120"/>
      <c r="R90" s="120"/>
      <c r="S90" s="120"/>
      <c r="T90" s="120">
        <v>0</v>
      </c>
      <c r="U90" s="120">
        <v>0</v>
      </c>
      <c r="V90" s="120">
        <v>0</v>
      </c>
      <c r="W90" s="120">
        <v>0</v>
      </c>
      <c r="X90" s="120">
        <v>0</v>
      </c>
      <c r="Y90" s="120"/>
      <c r="Z90" s="120"/>
      <c r="AA90" s="120"/>
      <c r="AB90" s="120"/>
      <c r="AC90" s="120"/>
      <c r="AD90" s="120"/>
      <c r="AE90" s="120"/>
      <c r="AF90" s="120"/>
      <c r="AG90" s="120"/>
      <c r="AH90" s="120"/>
      <c r="AI90" s="120"/>
      <c r="AJ90" s="120"/>
      <c r="AK90" s="120"/>
      <c r="AL90" s="120"/>
      <c r="AM90" s="120"/>
      <c r="AN90" s="120"/>
      <c r="AO90" s="120"/>
      <c r="AP90" s="120"/>
      <c r="AQ90" s="120"/>
      <c r="AR90" s="120"/>
      <c r="AS90" s="120"/>
      <c r="AT90" s="120"/>
      <c r="AU90" s="120"/>
      <c r="AV90" s="120"/>
      <c r="AW90" s="120"/>
      <c r="AX90" s="120"/>
      <c r="AY90" s="120"/>
    </row>
    <row r="91" spans="1:52" x14ac:dyDescent="0.2">
      <c r="A91" s="119"/>
      <c r="B91" s="140">
        <v>47</v>
      </c>
      <c r="C91" s="119" t="s">
        <v>295</v>
      </c>
      <c r="D91" s="120"/>
      <c r="E91" s="120"/>
      <c r="F91" s="120"/>
      <c r="G91" s="120"/>
      <c r="H91" s="120"/>
      <c r="I91" s="120"/>
      <c r="J91" s="120"/>
      <c r="K91" s="120"/>
      <c r="L91" s="120"/>
      <c r="M91" s="120"/>
      <c r="N91" s="120"/>
      <c r="O91" s="120"/>
      <c r="P91" s="120"/>
      <c r="Q91" s="120"/>
      <c r="R91" s="120"/>
      <c r="S91" s="120"/>
      <c r="T91" s="120">
        <v>0</v>
      </c>
      <c r="U91" s="120">
        <v>0</v>
      </c>
      <c r="V91" s="120">
        <v>0</v>
      </c>
      <c r="W91" s="120">
        <v>0</v>
      </c>
      <c r="X91" s="120">
        <v>0</v>
      </c>
      <c r="Y91" s="120">
        <v>0</v>
      </c>
      <c r="Z91" s="120"/>
      <c r="AA91" s="120"/>
      <c r="AB91" s="120"/>
      <c r="AC91" s="120"/>
      <c r="AD91" s="120"/>
      <c r="AE91" s="120"/>
      <c r="AF91" s="120"/>
      <c r="AG91" s="120"/>
      <c r="AH91" s="120"/>
      <c r="AI91" s="120"/>
      <c r="AJ91" s="120"/>
      <c r="AK91" s="120"/>
      <c r="AL91" s="120"/>
      <c r="AM91" s="120"/>
      <c r="AN91" s="120"/>
      <c r="AO91" s="120"/>
      <c r="AP91" s="120"/>
      <c r="AQ91" s="120"/>
      <c r="AR91" s="120"/>
      <c r="AS91" s="120"/>
      <c r="AT91" s="120"/>
      <c r="AU91" s="120"/>
      <c r="AV91" s="120"/>
      <c r="AW91" s="120"/>
      <c r="AX91" s="120"/>
      <c r="AY91" s="120"/>
    </row>
    <row r="92" spans="1:52" x14ac:dyDescent="0.2">
      <c r="A92" s="138"/>
      <c r="B92" s="139">
        <v>48</v>
      </c>
      <c r="C92" s="138" t="s">
        <v>295</v>
      </c>
      <c r="D92" s="135">
        <v>0</v>
      </c>
      <c r="E92" s="135">
        <v>0</v>
      </c>
      <c r="F92" s="135">
        <v>0</v>
      </c>
      <c r="G92" s="135">
        <v>0</v>
      </c>
      <c r="H92" s="135">
        <v>0</v>
      </c>
      <c r="I92" s="135">
        <v>0</v>
      </c>
      <c r="J92" s="135">
        <v>0</v>
      </c>
      <c r="K92" s="135">
        <v>0</v>
      </c>
      <c r="L92" s="135">
        <v>0</v>
      </c>
      <c r="M92" s="135">
        <v>0</v>
      </c>
      <c r="N92" s="135">
        <v>0</v>
      </c>
      <c r="O92" s="135">
        <v>0</v>
      </c>
      <c r="P92" s="135">
        <v>0</v>
      </c>
      <c r="Q92" s="135">
        <v>0</v>
      </c>
      <c r="R92" s="135">
        <v>0</v>
      </c>
      <c r="S92" s="135">
        <v>0</v>
      </c>
      <c r="T92" s="135">
        <v>0</v>
      </c>
      <c r="U92" s="135">
        <v>0</v>
      </c>
      <c r="V92" s="135">
        <v>0</v>
      </c>
      <c r="W92" s="135">
        <v>0</v>
      </c>
      <c r="X92" s="135">
        <v>0</v>
      </c>
      <c r="Y92" s="135">
        <v>0</v>
      </c>
      <c r="Z92" s="135">
        <v>0</v>
      </c>
      <c r="AA92" s="135">
        <v>0</v>
      </c>
      <c r="AB92" s="135">
        <v>0</v>
      </c>
      <c r="AC92" s="135">
        <v>0</v>
      </c>
      <c r="AD92" s="135">
        <v>0</v>
      </c>
      <c r="AE92" s="135">
        <v>0</v>
      </c>
      <c r="AF92" s="135">
        <v>0</v>
      </c>
      <c r="AG92" s="135">
        <v>0</v>
      </c>
      <c r="AH92" s="135">
        <v>0</v>
      </c>
      <c r="AI92" s="135">
        <v>0</v>
      </c>
      <c r="AJ92" s="135">
        <v>0</v>
      </c>
      <c r="AK92" s="135">
        <v>0</v>
      </c>
      <c r="AL92" s="135">
        <v>0</v>
      </c>
      <c r="AM92" s="135">
        <v>0</v>
      </c>
      <c r="AN92" s="135">
        <v>0</v>
      </c>
      <c r="AO92" s="135">
        <v>0</v>
      </c>
      <c r="AP92" s="135">
        <v>0</v>
      </c>
      <c r="AQ92" s="135">
        <v>0</v>
      </c>
      <c r="AR92" s="135">
        <v>0</v>
      </c>
      <c r="AS92" s="135">
        <v>0</v>
      </c>
      <c r="AT92" s="135">
        <v>0</v>
      </c>
      <c r="AU92" s="135">
        <v>0</v>
      </c>
      <c r="AV92" s="135">
        <v>0</v>
      </c>
      <c r="AW92" s="135">
        <v>0</v>
      </c>
      <c r="AX92" s="135">
        <v>0</v>
      </c>
      <c r="AY92" s="135">
        <v>0</v>
      </c>
      <c r="AZ92" s="117">
        <f>SUM(D21:AY92)</f>
        <v>15614.468219447888</v>
      </c>
    </row>
    <row r="94" spans="1:52" x14ac:dyDescent="0.2">
      <c r="A94" s="112" t="s">
        <v>297</v>
      </c>
      <c r="B94" s="116"/>
      <c r="C94" s="116"/>
      <c r="D94" s="124"/>
      <c r="E94" s="124"/>
      <c r="F94" s="124"/>
      <c r="G94" s="124"/>
      <c r="H94" s="124"/>
      <c r="I94" s="124"/>
      <c r="J94" s="124"/>
      <c r="K94" s="124"/>
      <c r="L94" s="124"/>
      <c r="M94" s="124"/>
      <c r="N94" s="124"/>
      <c r="O94" s="124"/>
      <c r="P94" s="124"/>
      <c r="Q94" s="124"/>
      <c r="R94" s="124"/>
      <c r="S94" s="124"/>
      <c r="T94" s="124"/>
      <c r="U94" s="124"/>
      <c r="V94" s="124"/>
      <c r="W94" s="124"/>
      <c r="X94" s="124"/>
      <c r="Y94" s="124"/>
      <c r="Z94" s="124"/>
      <c r="AA94" s="124"/>
      <c r="AB94" s="124"/>
      <c r="AC94" s="124"/>
      <c r="AD94" s="124"/>
      <c r="AE94" s="124"/>
      <c r="AF94" s="124"/>
      <c r="AG94" s="124"/>
      <c r="AH94" s="124"/>
      <c r="AI94" s="124"/>
      <c r="AJ94" s="124"/>
      <c r="AK94" s="124"/>
      <c r="AL94" s="124"/>
      <c r="AM94" s="124"/>
      <c r="AN94" s="124"/>
      <c r="AO94" s="124"/>
      <c r="AP94" s="124"/>
      <c r="AQ94" s="124"/>
      <c r="AR94" s="124"/>
      <c r="AS94" s="124"/>
      <c r="AT94" s="124"/>
      <c r="AU94" s="124"/>
      <c r="AV94" s="124"/>
      <c r="AW94" s="124"/>
      <c r="AX94" s="124"/>
      <c r="AY94" s="124"/>
    </row>
    <row r="95" spans="1:52" x14ac:dyDescent="0.2">
      <c r="A95" s="136" t="s">
        <v>125</v>
      </c>
      <c r="B95" s="133">
        <v>1</v>
      </c>
      <c r="C95" s="134"/>
      <c r="D95" s="120">
        <v>310.18336739940219</v>
      </c>
      <c r="E95" s="120">
        <v>310.18336739940219</v>
      </c>
      <c r="F95" s="120">
        <v>310.18336739940219</v>
      </c>
      <c r="G95" s="120">
        <v>310.18336739940219</v>
      </c>
      <c r="H95" s="120">
        <v>1515</v>
      </c>
      <c r="I95" s="120">
        <v>1515</v>
      </c>
      <c r="J95" s="120">
        <v>1515</v>
      </c>
      <c r="K95" s="120">
        <v>1515</v>
      </c>
      <c r="L95" s="120">
        <v>145.36856683877429</v>
      </c>
      <c r="M95" s="120">
        <v>145.36856683877429</v>
      </c>
      <c r="N95" s="120">
        <v>145.36856683877429</v>
      </c>
      <c r="O95" s="120">
        <v>145.36856683877429</v>
      </c>
      <c r="P95" s="120">
        <v>226.0226181769539</v>
      </c>
      <c r="Q95" s="120">
        <v>226.0226181769539</v>
      </c>
      <c r="R95" s="120">
        <v>226.0226181769539</v>
      </c>
      <c r="S95" s="120">
        <v>226.0226181769539</v>
      </c>
      <c r="T95" s="120">
        <v>4732.066844361947</v>
      </c>
      <c r="U95" s="120">
        <v>4629.9178567872641</v>
      </c>
      <c r="V95" s="120">
        <v>4575.2227173431675</v>
      </c>
      <c r="W95" s="120">
        <v>4537.4961948358323</v>
      </c>
      <c r="X95" s="120">
        <v>878</v>
      </c>
      <c r="Y95" s="120">
        <v>878</v>
      </c>
      <c r="Z95" s="120">
        <v>878</v>
      </c>
      <c r="AA95" s="120">
        <v>878</v>
      </c>
      <c r="AB95" s="120">
        <v>973</v>
      </c>
      <c r="AC95" s="120">
        <v>973</v>
      </c>
      <c r="AD95" s="120">
        <v>973</v>
      </c>
      <c r="AE95" s="120">
        <v>973</v>
      </c>
      <c r="AF95" s="120">
        <v>239.41182828052521</v>
      </c>
      <c r="AG95" s="120">
        <v>239.41182828052521</v>
      </c>
      <c r="AH95" s="120">
        <v>239.41182828052521</v>
      </c>
      <c r="AI95" s="120">
        <v>239.41182828052521</v>
      </c>
      <c r="AJ95" s="120">
        <v>777</v>
      </c>
      <c r="AK95" s="120">
        <v>777</v>
      </c>
      <c r="AL95" s="120">
        <v>777</v>
      </c>
      <c r="AM95" s="120">
        <v>777</v>
      </c>
      <c r="AN95" s="120">
        <v>232.07964179523614</v>
      </c>
      <c r="AO95" s="120">
        <v>232.07964179523614</v>
      </c>
      <c r="AP95" s="120">
        <v>232.07964179523614</v>
      </c>
      <c r="AQ95" s="120">
        <v>232.07964179523614</v>
      </c>
      <c r="AR95" s="120">
        <v>261.40838773639234</v>
      </c>
      <c r="AS95" s="120">
        <v>261.40838773639234</v>
      </c>
      <c r="AT95" s="120">
        <v>261.40838773639234</v>
      </c>
      <c r="AU95" s="120">
        <v>261.40838773639234</v>
      </c>
      <c r="AV95" s="120">
        <v>313.05248385016745</v>
      </c>
      <c r="AW95" s="120">
        <v>313.05248385016745</v>
      </c>
      <c r="AX95" s="120">
        <v>313.05248385016745</v>
      </c>
      <c r="AY95" s="120">
        <v>313.05248385016745</v>
      </c>
    </row>
    <row r="96" spans="1:52" x14ac:dyDescent="0.2">
      <c r="A96" s="119"/>
      <c r="B96" s="130">
        <v>2</v>
      </c>
      <c r="C96" s="120"/>
      <c r="D96" s="120">
        <v>0</v>
      </c>
      <c r="E96" s="120">
        <v>57.183367399402186</v>
      </c>
      <c r="F96" s="120">
        <v>135.36673479880437</v>
      </c>
      <c r="G96" s="120">
        <v>136.55010219820656</v>
      </c>
      <c r="H96" s="120">
        <v>138.73346959760875</v>
      </c>
      <c r="I96" s="120">
        <v>1310.7334695976087</v>
      </c>
      <c r="J96" s="120">
        <v>1515</v>
      </c>
      <c r="K96" s="120">
        <v>1515</v>
      </c>
      <c r="L96" s="120">
        <v>1515</v>
      </c>
      <c r="M96" s="120">
        <v>145.36856683877429</v>
      </c>
      <c r="N96" s="120">
        <v>145.36856683877429</v>
      </c>
      <c r="O96" s="120">
        <v>145.36856683877429</v>
      </c>
      <c r="P96" s="120">
        <v>145.36856683877429</v>
      </c>
      <c r="Q96" s="120">
        <v>226.0226181769539</v>
      </c>
      <c r="R96" s="120">
        <v>226.0226181769539</v>
      </c>
      <c r="S96" s="120">
        <v>226.0226181769539</v>
      </c>
      <c r="T96" s="120">
        <v>0</v>
      </c>
      <c r="U96" s="120">
        <v>0</v>
      </c>
      <c r="V96" s="120">
        <v>0</v>
      </c>
      <c r="W96" s="120">
        <v>0</v>
      </c>
      <c r="X96" s="120">
        <v>3636.9338844310996</v>
      </c>
      <c r="Y96" s="120">
        <v>878</v>
      </c>
      <c r="Z96" s="120">
        <v>878</v>
      </c>
      <c r="AA96" s="120">
        <v>878</v>
      </c>
      <c r="AB96" s="120">
        <v>878</v>
      </c>
      <c r="AC96" s="120">
        <v>973</v>
      </c>
      <c r="AD96" s="120">
        <v>973</v>
      </c>
      <c r="AE96" s="120">
        <v>973</v>
      </c>
      <c r="AF96" s="120">
        <v>973</v>
      </c>
      <c r="AG96" s="120">
        <v>239.41182828052521</v>
      </c>
      <c r="AH96" s="120">
        <v>239.41182828052521</v>
      </c>
      <c r="AI96" s="120">
        <v>239.41182828052521</v>
      </c>
      <c r="AJ96" s="120">
        <v>239.41182828052521</v>
      </c>
      <c r="AK96" s="120">
        <v>777</v>
      </c>
      <c r="AL96" s="120">
        <v>777</v>
      </c>
      <c r="AM96" s="120">
        <v>777</v>
      </c>
      <c r="AN96" s="120">
        <v>777</v>
      </c>
      <c r="AO96" s="120">
        <v>232.07964179523614</v>
      </c>
      <c r="AP96" s="120">
        <v>232.07964179523614</v>
      </c>
      <c r="AQ96" s="120">
        <v>232.07964179523614</v>
      </c>
      <c r="AR96" s="120">
        <v>232.07964179523614</v>
      </c>
      <c r="AS96" s="120">
        <v>261.40838773639234</v>
      </c>
      <c r="AT96" s="120">
        <v>261.40838773639234</v>
      </c>
      <c r="AU96" s="120">
        <v>261.40838773639234</v>
      </c>
      <c r="AV96" s="120">
        <v>261.40838773639234</v>
      </c>
      <c r="AW96" s="120">
        <v>313.05248385016745</v>
      </c>
      <c r="AX96" s="120">
        <v>313.05248385016745</v>
      </c>
      <c r="AY96" s="120">
        <v>313.05248385016745</v>
      </c>
    </row>
    <row r="97" spans="1:52" x14ac:dyDescent="0.2">
      <c r="A97" s="119"/>
      <c r="B97" s="137">
        <v>3</v>
      </c>
      <c r="C97" s="120"/>
      <c r="D97" s="120">
        <v>0</v>
      </c>
      <c r="E97" s="120">
        <v>0</v>
      </c>
      <c r="F97" s="120">
        <v>0</v>
      </c>
      <c r="G97" s="120">
        <v>0</v>
      </c>
      <c r="H97" s="120">
        <v>0</v>
      </c>
      <c r="I97" s="120">
        <v>0</v>
      </c>
      <c r="J97" s="120">
        <v>848.73346959760875</v>
      </c>
      <c r="K97" s="120">
        <v>1515</v>
      </c>
      <c r="L97" s="120">
        <v>1515</v>
      </c>
      <c r="M97" s="120">
        <v>1515</v>
      </c>
      <c r="N97" s="120">
        <v>145.36856683877429</v>
      </c>
      <c r="O97" s="120">
        <v>145.36856683877429</v>
      </c>
      <c r="P97" s="120">
        <v>145.36856683877429</v>
      </c>
      <c r="Q97" s="120">
        <v>125.47426735509714</v>
      </c>
      <c r="R97" s="120">
        <v>160.49688553205104</v>
      </c>
      <c r="S97" s="120">
        <v>103.51950370900494</v>
      </c>
      <c r="T97" s="120">
        <v>0</v>
      </c>
      <c r="U97" s="120">
        <v>0</v>
      </c>
      <c r="V97" s="120">
        <v>0</v>
      </c>
      <c r="W97" s="120">
        <v>0</v>
      </c>
      <c r="X97" s="120">
        <v>0</v>
      </c>
      <c r="Y97" s="120">
        <v>2941.4269950117514</v>
      </c>
      <c r="Z97" s="120">
        <v>878</v>
      </c>
      <c r="AA97" s="120">
        <v>878</v>
      </c>
      <c r="AB97" s="120">
        <v>878</v>
      </c>
      <c r="AC97" s="120">
        <v>878</v>
      </c>
      <c r="AD97" s="120">
        <v>973</v>
      </c>
      <c r="AE97" s="120">
        <v>973</v>
      </c>
      <c r="AF97" s="120">
        <v>973</v>
      </c>
      <c r="AG97" s="120">
        <v>973</v>
      </c>
      <c r="AH97" s="120">
        <v>239.41182828052521</v>
      </c>
      <c r="AI97" s="120">
        <v>239.41182828052521</v>
      </c>
      <c r="AJ97" s="120">
        <v>239.41182828052521</v>
      </c>
      <c r="AK97" s="120">
        <v>239.41182828052521</v>
      </c>
      <c r="AL97" s="120">
        <v>777</v>
      </c>
      <c r="AM97" s="120">
        <v>777</v>
      </c>
      <c r="AN97" s="120">
        <v>777</v>
      </c>
      <c r="AO97" s="120">
        <v>777</v>
      </c>
      <c r="AP97" s="120">
        <v>232.07964179523614</v>
      </c>
      <c r="AQ97" s="120">
        <v>232.07964179523614</v>
      </c>
      <c r="AR97" s="120">
        <v>232.07964179523614</v>
      </c>
      <c r="AS97" s="120">
        <v>232.07964179523614</v>
      </c>
      <c r="AT97" s="120">
        <v>261.40838773639234</v>
      </c>
      <c r="AU97" s="120">
        <v>261.40838773639234</v>
      </c>
      <c r="AV97" s="120">
        <v>261.40838773639234</v>
      </c>
      <c r="AW97" s="120">
        <v>261.40838773639234</v>
      </c>
      <c r="AX97" s="120">
        <v>313.05248385016745</v>
      </c>
      <c r="AY97" s="120">
        <v>313.05248385016745</v>
      </c>
    </row>
    <row r="98" spans="1:52" x14ac:dyDescent="0.2">
      <c r="A98" s="119"/>
      <c r="B98" s="140">
        <v>4</v>
      </c>
      <c r="C98" s="116"/>
      <c r="D98" s="120">
        <v>0</v>
      </c>
      <c r="E98" s="120">
        <v>0</v>
      </c>
      <c r="F98" s="120">
        <v>0</v>
      </c>
      <c r="G98" s="120">
        <v>0</v>
      </c>
      <c r="H98" s="120">
        <v>0</v>
      </c>
      <c r="I98" s="120">
        <v>0</v>
      </c>
      <c r="J98" s="120">
        <v>0</v>
      </c>
      <c r="K98" s="120">
        <v>339.73346959760875</v>
      </c>
      <c r="L98" s="120">
        <v>1513.7334695976087</v>
      </c>
      <c r="M98" s="120">
        <v>1515</v>
      </c>
      <c r="N98" s="120">
        <v>1515</v>
      </c>
      <c r="O98" s="120">
        <v>145.36856683877429</v>
      </c>
      <c r="P98" s="120">
        <v>29.73713367754857</v>
      </c>
      <c r="Q98" s="120">
        <v>0</v>
      </c>
      <c r="R98" s="120">
        <v>0</v>
      </c>
      <c r="S98" s="120">
        <v>0</v>
      </c>
      <c r="T98" s="120">
        <v>0</v>
      </c>
      <c r="U98" s="120">
        <v>0</v>
      </c>
      <c r="V98" s="120">
        <v>0</v>
      </c>
      <c r="W98" s="120">
        <v>0</v>
      </c>
      <c r="X98" s="120">
        <v>0</v>
      </c>
      <c r="Y98" s="120">
        <v>0</v>
      </c>
      <c r="Z98" s="120">
        <v>2181.514676949967</v>
      </c>
      <c r="AA98" s="120">
        <v>878</v>
      </c>
      <c r="AB98" s="120">
        <v>878</v>
      </c>
      <c r="AC98" s="120">
        <v>878</v>
      </c>
      <c r="AD98" s="120">
        <v>878</v>
      </c>
      <c r="AE98" s="120">
        <v>973</v>
      </c>
      <c r="AF98" s="120">
        <v>973</v>
      </c>
      <c r="AG98" s="120">
        <v>973</v>
      </c>
      <c r="AH98" s="120">
        <v>973</v>
      </c>
      <c r="AI98" s="120">
        <v>239.41182828052521</v>
      </c>
      <c r="AJ98" s="120">
        <v>239.41182828052521</v>
      </c>
      <c r="AK98" s="120">
        <v>210.82365656105043</v>
      </c>
      <c r="AL98" s="120">
        <v>223.23548484157564</v>
      </c>
      <c r="AM98" s="120">
        <v>710.23548484157561</v>
      </c>
      <c r="AN98" s="120">
        <v>777</v>
      </c>
      <c r="AO98" s="120">
        <v>777</v>
      </c>
      <c r="AP98" s="120">
        <v>777</v>
      </c>
      <c r="AQ98" s="120">
        <v>232.07964179523614</v>
      </c>
      <c r="AR98" s="120">
        <v>232.07964179523614</v>
      </c>
      <c r="AS98" s="120">
        <v>232.07964179523614</v>
      </c>
      <c r="AT98" s="120">
        <v>176.15928359047228</v>
      </c>
      <c r="AU98" s="120">
        <v>164.56767132686463</v>
      </c>
      <c r="AV98" s="120">
        <v>123.97605906325697</v>
      </c>
      <c r="AW98" s="120">
        <v>136.38444679964931</v>
      </c>
      <c r="AX98" s="120">
        <v>48.792834536041653</v>
      </c>
      <c r="AY98" s="120">
        <v>79.845318386209101</v>
      </c>
    </row>
    <row r="99" spans="1:52" x14ac:dyDescent="0.2">
      <c r="A99" s="138"/>
      <c r="B99" s="142" t="s">
        <v>298</v>
      </c>
      <c r="C99" s="135"/>
      <c r="D99" s="135">
        <v>0</v>
      </c>
      <c r="E99" s="135">
        <v>0</v>
      </c>
      <c r="F99" s="135">
        <v>0</v>
      </c>
      <c r="G99" s="135">
        <v>0</v>
      </c>
      <c r="H99" s="135">
        <v>0</v>
      </c>
      <c r="I99" s="135">
        <v>0</v>
      </c>
      <c r="J99" s="135">
        <v>0</v>
      </c>
      <c r="K99" s="135">
        <v>0</v>
      </c>
      <c r="L99" s="135">
        <v>0</v>
      </c>
      <c r="M99" s="135">
        <v>1328.7334695976087</v>
      </c>
      <c r="N99" s="135">
        <v>1291</v>
      </c>
      <c r="O99" s="135">
        <v>1277</v>
      </c>
      <c r="P99" s="135">
        <v>0</v>
      </c>
      <c r="Q99" s="135">
        <v>0</v>
      </c>
      <c r="R99" s="135">
        <v>0</v>
      </c>
      <c r="S99" s="135">
        <v>0</v>
      </c>
      <c r="T99" s="135">
        <v>0</v>
      </c>
      <c r="U99" s="135">
        <v>0</v>
      </c>
      <c r="V99" s="135">
        <v>0</v>
      </c>
      <c r="W99" s="135">
        <v>0</v>
      </c>
      <c r="X99" s="135">
        <v>0</v>
      </c>
      <c r="Y99" s="135">
        <v>0</v>
      </c>
      <c r="Z99" s="135">
        <v>0</v>
      </c>
      <c r="AA99" s="135">
        <v>1941.514676949967</v>
      </c>
      <c r="AB99" s="135">
        <v>602</v>
      </c>
      <c r="AC99" s="135">
        <v>576</v>
      </c>
      <c r="AD99" s="135">
        <v>607</v>
      </c>
      <c r="AE99" s="135">
        <v>645</v>
      </c>
      <c r="AF99" s="135">
        <v>737</v>
      </c>
      <c r="AG99" s="135">
        <v>807</v>
      </c>
      <c r="AH99" s="135">
        <v>766</v>
      </c>
      <c r="AI99" s="135">
        <v>790</v>
      </c>
      <c r="AJ99" s="135">
        <v>28.411828280525214</v>
      </c>
      <c r="AK99" s="135">
        <v>0</v>
      </c>
      <c r="AL99" s="135">
        <v>0</v>
      </c>
      <c r="AM99" s="135">
        <v>0</v>
      </c>
      <c r="AN99" s="135">
        <v>494.23548484157561</v>
      </c>
      <c r="AO99" s="135">
        <v>600</v>
      </c>
      <c r="AP99" s="135">
        <v>613</v>
      </c>
      <c r="AQ99" s="135">
        <v>566</v>
      </c>
      <c r="AR99" s="135">
        <v>6.0796417952361423</v>
      </c>
      <c r="AS99" s="135">
        <v>11.079641795236142</v>
      </c>
      <c r="AT99" s="135">
        <v>0</v>
      </c>
      <c r="AU99" s="135">
        <v>0</v>
      </c>
      <c r="AV99" s="135">
        <v>0</v>
      </c>
      <c r="AW99" s="135">
        <v>0</v>
      </c>
      <c r="AX99" s="135">
        <v>0</v>
      </c>
      <c r="AY99" s="135">
        <v>0</v>
      </c>
      <c r="AZ99" s="117">
        <f>SUM($D99:$AY99)</f>
        <v>13687.054743260151</v>
      </c>
    </row>
    <row r="100" spans="1:52" x14ac:dyDescent="0.2">
      <c r="A100" s="141" t="s">
        <v>133</v>
      </c>
      <c r="B100" s="129">
        <v>1</v>
      </c>
      <c r="C100" s="116"/>
      <c r="D100" s="116">
        <v>0</v>
      </c>
      <c r="E100" s="116">
        <v>15.93645294623772</v>
      </c>
      <c r="F100" s="116">
        <v>43.540325891316058</v>
      </c>
      <c r="G100" s="116">
        <v>0</v>
      </c>
      <c r="H100" s="116">
        <v>43.540325891316058</v>
      </c>
      <c r="I100" s="116">
        <v>43.540325891316058</v>
      </c>
      <c r="J100" s="116">
        <v>43.540325891316058</v>
      </c>
      <c r="K100" s="116">
        <v>43.540325891316058</v>
      </c>
      <c r="L100" s="116">
        <v>0</v>
      </c>
      <c r="M100" s="116">
        <v>43.540325891316058</v>
      </c>
      <c r="N100" s="116">
        <v>0</v>
      </c>
      <c r="O100" s="116">
        <v>43.540325891316058</v>
      </c>
      <c r="P100" s="116">
        <v>0</v>
      </c>
      <c r="Q100" s="116">
        <v>43.540325891316058</v>
      </c>
      <c r="R100" s="116">
        <v>0</v>
      </c>
      <c r="S100" s="116">
        <v>0</v>
      </c>
      <c r="T100" s="116">
        <v>43.540325891316058</v>
      </c>
      <c r="U100" s="116">
        <v>43.540325891316058</v>
      </c>
      <c r="V100" s="116">
        <v>43.540325891316058</v>
      </c>
      <c r="W100" s="116">
        <v>43.540325891316058</v>
      </c>
      <c r="X100" s="116">
        <v>43.540325891316058</v>
      </c>
      <c r="Y100" s="116">
        <v>0</v>
      </c>
      <c r="Z100" s="116">
        <v>0</v>
      </c>
      <c r="AA100" s="116">
        <v>0</v>
      </c>
      <c r="AB100" s="116">
        <v>43.540325891316058</v>
      </c>
      <c r="AC100" s="116">
        <v>43.540325891316058</v>
      </c>
      <c r="AD100" s="116">
        <v>0</v>
      </c>
      <c r="AE100" s="116">
        <v>43.540325891316058</v>
      </c>
      <c r="AF100" s="116">
        <v>0</v>
      </c>
      <c r="AG100" s="116">
        <v>0</v>
      </c>
      <c r="AH100" s="116">
        <v>0</v>
      </c>
      <c r="AI100" s="116">
        <v>43.540325891316058</v>
      </c>
      <c r="AJ100" s="116">
        <v>0</v>
      </c>
      <c r="AK100" s="116">
        <v>0</v>
      </c>
      <c r="AL100" s="116">
        <v>0</v>
      </c>
      <c r="AM100" s="116">
        <v>0</v>
      </c>
      <c r="AN100" s="116">
        <v>0</v>
      </c>
      <c r="AO100" s="116">
        <v>43.540325891316058</v>
      </c>
      <c r="AP100" s="116">
        <v>0</v>
      </c>
      <c r="AQ100" s="116">
        <v>0</v>
      </c>
      <c r="AR100" s="116">
        <v>43.540325891316058</v>
      </c>
      <c r="AS100" s="116">
        <v>43.540325891316058</v>
      </c>
      <c r="AT100" s="116">
        <v>43.540325891316058</v>
      </c>
      <c r="AU100" s="116">
        <v>43.540325891316058</v>
      </c>
      <c r="AV100" s="116">
        <v>43.540325891316058</v>
      </c>
      <c r="AW100" s="116">
        <v>0</v>
      </c>
      <c r="AX100" s="116">
        <v>0</v>
      </c>
      <c r="AY100" s="116">
        <v>43.540325891316058</v>
      </c>
    </row>
    <row r="101" spans="1:52" x14ac:dyDescent="0.2">
      <c r="A101" s="119"/>
      <c r="B101" s="129">
        <v>2</v>
      </c>
      <c r="C101" s="116"/>
      <c r="D101" s="116">
        <v>0</v>
      </c>
      <c r="E101" s="116">
        <v>0</v>
      </c>
      <c r="F101" s="116">
        <v>0</v>
      </c>
      <c r="G101" s="116">
        <v>0</v>
      </c>
      <c r="H101" s="116">
        <v>43.540325891316058</v>
      </c>
      <c r="I101" s="116">
        <v>0</v>
      </c>
      <c r="J101" s="116">
        <v>0</v>
      </c>
      <c r="K101" s="116">
        <v>0</v>
      </c>
      <c r="L101" s="116">
        <v>0</v>
      </c>
      <c r="M101" s="116">
        <v>0</v>
      </c>
      <c r="N101" s="116">
        <v>0</v>
      </c>
      <c r="O101" s="116">
        <v>43.540325891316058</v>
      </c>
      <c r="P101" s="116">
        <v>0</v>
      </c>
      <c r="Q101" s="116">
        <v>43.540325891316058</v>
      </c>
      <c r="R101" s="116">
        <v>0</v>
      </c>
      <c r="S101" s="116">
        <v>43.540325891316058</v>
      </c>
      <c r="T101" s="116">
        <v>43.540325891316058</v>
      </c>
      <c r="U101" s="116">
        <v>0</v>
      </c>
      <c r="V101" s="116">
        <v>0</v>
      </c>
      <c r="W101" s="116">
        <v>0</v>
      </c>
      <c r="X101" s="116">
        <v>0</v>
      </c>
      <c r="Y101" s="116">
        <v>0</v>
      </c>
      <c r="Z101" s="116">
        <v>0</v>
      </c>
      <c r="AA101" s="116">
        <v>43.540325891316058</v>
      </c>
      <c r="AB101" s="116">
        <v>0</v>
      </c>
      <c r="AC101" s="116">
        <v>0</v>
      </c>
      <c r="AD101" s="116">
        <v>0</v>
      </c>
      <c r="AE101" s="116">
        <v>0</v>
      </c>
      <c r="AF101" s="116">
        <v>0</v>
      </c>
      <c r="AG101" s="116">
        <v>0</v>
      </c>
      <c r="AH101" s="116">
        <v>0</v>
      </c>
      <c r="AI101" s="116">
        <v>43.540325891316058</v>
      </c>
      <c r="AJ101" s="116">
        <v>18.620977673948175</v>
      </c>
      <c r="AK101" s="116">
        <v>43.540325891316058</v>
      </c>
      <c r="AL101" s="116">
        <v>43.540325891316058</v>
      </c>
      <c r="AM101" s="116">
        <v>43.540325891316058</v>
      </c>
      <c r="AN101" s="116">
        <v>0</v>
      </c>
      <c r="AO101" s="116">
        <v>43.540325891316058</v>
      </c>
      <c r="AP101" s="116">
        <v>0</v>
      </c>
      <c r="AQ101" s="116">
        <v>0</v>
      </c>
      <c r="AR101" s="116">
        <v>0</v>
      </c>
      <c r="AS101" s="116">
        <v>0</v>
      </c>
      <c r="AT101" s="116">
        <v>0</v>
      </c>
      <c r="AU101" s="116">
        <v>0</v>
      </c>
      <c r="AV101" s="116">
        <v>0</v>
      </c>
      <c r="AW101" s="116">
        <v>0</v>
      </c>
      <c r="AX101" s="116">
        <v>43.540325891316058</v>
      </c>
      <c r="AY101" s="116">
        <v>0</v>
      </c>
    </row>
    <row r="102" spans="1:52" x14ac:dyDescent="0.2">
      <c r="A102" s="119"/>
      <c r="B102" s="130">
        <v>3</v>
      </c>
      <c r="C102" s="116"/>
      <c r="D102" s="116">
        <v>0</v>
      </c>
      <c r="E102" s="116">
        <v>0</v>
      </c>
      <c r="F102" s="116">
        <v>0</v>
      </c>
      <c r="G102" s="116">
        <v>0</v>
      </c>
      <c r="H102" s="116">
        <v>0</v>
      </c>
      <c r="I102" s="116">
        <v>0</v>
      </c>
      <c r="J102" s="116">
        <v>0</v>
      </c>
      <c r="K102" s="116">
        <v>0</v>
      </c>
      <c r="L102" s="116">
        <v>0</v>
      </c>
      <c r="M102" s="116">
        <v>0</v>
      </c>
      <c r="N102" s="116">
        <v>0</v>
      </c>
      <c r="O102" s="116">
        <v>0</v>
      </c>
      <c r="P102" s="116">
        <v>0</v>
      </c>
      <c r="Q102" s="116">
        <v>0</v>
      </c>
      <c r="R102" s="116">
        <v>0</v>
      </c>
      <c r="S102" s="116">
        <v>0</v>
      </c>
      <c r="T102" s="116">
        <v>0</v>
      </c>
      <c r="U102" s="116">
        <v>0</v>
      </c>
      <c r="V102" s="116">
        <v>0</v>
      </c>
      <c r="W102" s="116">
        <v>0</v>
      </c>
      <c r="X102" s="116">
        <v>0</v>
      </c>
      <c r="Y102" s="116">
        <v>0</v>
      </c>
      <c r="Z102" s="116">
        <v>0</v>
      </c>
      <c r="AA102" s="116">
        <v>0</v>
      </c>
      <c r="AB102" s="116">
        <v>0</v>
      </c>
      <c r="AC102" s="116">
        <v>0</v>
      </c>
      <c r="AD102" s="116">
        <v>0</v>
      </c>
      <c r="AE102" s="116">
        <v>0</v>
      </c>
      <c r="AF102" s="116">
        <v>0</v>
      </c>
      <c r="AG102" s="116">
        <v>0</v>
      </c>
      <c r="AH102" s="116">
        <v>43.540325891316058</v>
      </c>
      <c r="AI102" s="116">
        <v>43.540325891316058</v>
      </c>
      <c r="AJ102" s="116">
        <v>0</v>
      </c>
      <c r="AK102" s="116">
        <v>0</v>
      </c>
      <c r="AL102" s="116">
        <v>0</v>
      </c>
      <c r="AM102" s="116">
        <v>0</v>
      </c>
      <c r="AN102" s="116">
        <v>0</v>
      </c>
      <c r="AO102" s="116">
        <v>0</v>
      </c>
      <c r="AP102" s="116">
        <v>0</v>
      </c>
      <c r="AQ102" s="116">
        <v>0</v>
      </c>
      <c r="AR102" s="116">
        <v>43.540325891316058</v>
      </c>
      <c r="AS102" s="116">
        <v>0</v>
      </c>
      <c r="AT102" s="116">
        <v>0</v>
      </c>
      <c r="AU102" s="116">
        <v>0</v>
      </c>
      <c r="AV102" s="116">
        <v>0</v>
      </c>
      <c r="AW102" s="116">
        <v>0</v>
      </c>
      <c r="AX102" s="116">
        <v>0</v>
      </c>
      <c r="AY102" s="116">
        <v>0</v>
      </c>
    </row>
    <row r="103" spans="1:52" x14ac:dyDescent="0.2">
      <c r="A103" s="119"/>
      <c r="B103" s="130">
        <v>4</v>
      </c>
      <c r="C103" s="116"/>
      <c r="D103" s="116">
        <v>0</v>
      </c>
      <c r="E103" s="116">
        <v>0</v>
      </c>
      <c r="F103" s="116">
        <v>0</v>
      </c>
      <c r="G103" s="116">
        <v>0</v>
      </c>
      <c r="H103" s="116">
        <v>0</v>
      </c>
      <c r="I103" s="116">
        <v>0</v>
      </c>
      <c r="J103" s="116">
        <v>0</v>
      </c>
      <c r="K103" s="116">
        <v>0</v>
      </c>
      <c r="L103" s="116">
        <v>0</v>
      </c>
      <c r="M103" s="116">
        <v>0</v>
      </c>
      <c r="N103" s="116">
        <v>0</v>
      </c>
      <c r="O103" s="116">
        <v>0</v>
      </c>
      <c r="P103" s="116">
        <v>0</v>
      </c>
      <c r="Q103" s="116">
        <v>0</v>
      </c>
      <c r="R103" s="116">
        <v>0</v>
      </c>
      <c r="S103" s="116">
        <v>0</v>
      </c>
      <c r="T103" s="116">
        <v>0</v>
      </c>
      <c r="U103" s="116">
        <v>0</v>
      </c>
      <c r="V103" s="116">
        <v>0</v>
      </c>
      <c r="W103" s="116">
        <v>0</v>
      </c>
      <c r="X103" s="116">
        <v>0</v>
      </c>
      <c r="Y103" s="116">
        <v>0</v>
      </c>
      <c r="Z103" s="116">
        <v>0</v>
      </c>
      <c r="AA103" s="116">
        <v>0</v>
      </c>
      <c r="AB103" s="116">
        <v>0</v>
      </c>
      <c r="AC103" s="116">
        <v>0</v>
      </c>
      <c r="AD103" s="116">
        <v>0</v>
      </c>
      <c r="AE103" s="116">
        <v>0</v>
      </c>
      <c r="AF103" s="116">
        <v>0</v>
      </c>
      <c r="AG103" s="116">
        <v>0</v>
      </c>
      <c r="AH103" s="116">
        <v>0</v>
      </c>
      <c r="AI103" s="116">
        <v>0</v>
      </c>
      <c r="AJ103" s="116">
        <v>0</v>
      </c>
      <c r="AK103" s="116">
        <v>0</v>
      </c>
      <c r="AL103" s="116">
        <v>0</v>
      </c>
      <c r="AM103" s="116">
        <v>0</v>
      </c>
      <c r="AN103" s="116">
        <v>0</v>
      </c>
      <c r="AO103" s="116">
        <v>0</v>
      </c>
      <c r="AP103" s="116">
        <v>0</v>
      </c>
      <c r="AQ103" s="116">
        <v>0</v>
      </c>
      <c r="AR103" s="116">
        <v>0</v>
      </c>
      <c r="AS103" s="116">
        <v>0</v>
      </c>
      <c r="AT103" s="116">
        <v>0</v>
      </c>
      <c r="AU103" s="116">
        <v>0</v>
      </c>
      <c r="AV103" s="116">
        <v>0</v>
      </c>
      <c r="AW103" s="116">
        <v>0</v>
      </c>
      <c r="AX103" s="116">
        <v>0</v>
      </c>
      <c r="AY103" s="116">
        <v>0</v>
      </c>
    </row>
    <row r="104" spans="1:52" x14ac:dyDescent="0.2">
      <c r="A104" s="119"/>
      <c r="B104" s="137">
        <v>5</v>
      </c>
      <c r="C104" s="116"/>
      <c r="D104" s="116">
        <v>0</v>
      </c>
      <c r="E104" s="116">
        <v>0</v>
      </c>
      <c r="F104" s="116">
        <v>0</v>
      </c>
      <c r="G104" s="116">
        <v>0</v>
      </c>
      <c r="H104" s="116">
        <v>0</v>
      </c>
      <c r="I104" s="116">
        <v>0</v>
      </c>
      <c r="J104" s="116">
        <v>0</v>
      </c>
      <c r="K104" s="116">
        <v>0</v>
      </c>
      <c r="L104" s="116">
        <v>0</v>
      </c>
      <c r="M104" s="116">
        <v>0</v>
      </c>
      <c r="N104" s="116">
        <v>0</v>
      </c>
      <c r="O104" s="116">
        <v>0</v>
      </c>
      <c r="P104" s="116">
        <v>0</v>
      </c>
      <c r="Q104" s="116">
        <v>0</v>
      </c>
      <c r="R104" s="116">
        <v>0</v>
      </c>
      <c r="S104" s="116">
        <v>0</v>
      </c>
      <c r="T104" s="116">
        <v>0</v>
      </c>
      <c r="U104" s="116">
        <v>0</v>
      </c>
      <c r="V104" s="116">
        <v>0</v>
      </c>
      <c r="W104" s="116">
        <v>0</v>
      </c>
      <c r="X104" s="116">
        <v>0</v>
      </c>
      <c r="Y104" s="116">
        <v>0</v>
      </c>
      <c r="Z104" s="116">
        <v>0</v>
      </c>
      <c r="AA104" s="116">
        <v>0</v>
      </c>
      <c r="AB104" s="116">
        <v>0</v>
      </c>
      <c r="AC104" s="116">
        <v>0</v>
      </c>
      <c r="AD104" s="116">
        <v>0</v>
      </c>
      <c r="AE104" s="116">
        <v>0</v>
      </c>
      <c r="AF104" s="116">
        <v>0</v>
      </c>
      <c r="AG104" s="116">
        <v>0</v>
      </c>
      <c r="AH104" s="116">
        <v>0</v>
      </c>
      <c r="AI104" s="116">
        <v>0</v>
      </c>
      <c r="AJ104" s="116">
        <v>0</v>
      </c>
      <c r="AK104" s="116">
        <v>0</v>
      </c>
      <c r="AL104" s="116">
        <v>0</v>
      </c>
      <c r="AM104" s="116">
        <v>0</v>
      </c>
      <c r="AN104" s="116">
        <v>0</v>
      </c>
      <c r="AO104" s="116">
        <v>0</v>
      </c>
      <c r="AP104" s="116">
        <v>0</v>
      </c>
      <c r="AQ104" s="116">
        <v>0</v>
      </c>
      <c r="AR104" s="116">
        <v>0</v>
      </c>
      <c r="AS104" s="116">
        <v>0</v>
      </c>
      <c r="AT104" s="116">
        <v>0</v>
      </c>
      <c r="AU104" s="116">
        <v>0</v>
      </c>
      <c r="AV104" s="116">
        <v>0</v>
      </c>
      <c r="AW104" s="116">
        <v>0</v>
      </c>
      <c r="AX104" s="116">
        <v>0</v>
      </c>
      <c r="AY104" s="116">
        <v>0</v>
      </c>
    </row>
    <row r="105" spans="1:52" x14ac:dyDescent="0.2">
      <c r="A105" s="119"/>
      <c r="B105" s="137">
        <v>6</v>
      </c>
      <c r="C105" s="116"/>
      <c r="D105" s="116">
        <v>0</v>
      </c>
      <c r="E105" s="116">
        <v>0</v>
      </c>
      <c r="F105" s="116">
        <v>0</v>
      </c>
      <c r="G105" s="116">
        <v>0</v>
      </c>
      <c r="H105" s="116">
        <v>0</v>
      </c>
      <c r="I105" s="116">
        <v>0</v>
      </c>
      <c r="J105" s="116">
        <v>0</v>
      </c>
      <c r="K105" s="116">
        <v>0</v>
      </c>
      <c r="L105" s="116">
        <v>0</v>
      </c>
      <c r="M105" s="116">
        <v>0</v>
      </c>
      <c r="N105" s="116">
        <v>0</v>
      </c>
      <c r="O105" s="116">
        <v>0</v>
      </c>
      <c r="P105" s="116">
        <v>0</v>
      </c>
      <c r="Q105" s="116">
        <v>0</v>
      </c>
      <c r="R105" s="116">
        <v>0</v>
      </c>
      <c r="S105" s="116">
        <v>0</v>
      </c>
      <c r="T105" s="116">
        <v>0</v>
      </c>
      <c r="U105" s="116">
        <v>0</v>
      </c>
      <c r="V105" s="116">
        <v>0</v>
      </c>
      <c r="W105" s="116">
        <v>0</v>
      </c>
      <c r="X105" s="116">
        <v>0</v>
      </c>
      <c r="Y105" s="116">
        <v>0</v>
      </c>
      <c r="Z105" s="116">
        <v>0</v>
      </c>
      <c r="AA105" s="116">
        <v>0</v>
      </c>
      <c r="AB105" s="116">
        <v>0</v>
      </c>
      <c r="AC105" s="116">
        <v>0</v>
      </c>
      <c r="AD105" s="116">
        <v>0</v>
      </c>
      <c r="AE105" s="116">
        <v>0</v>
      </c>
      <c r="AF105" s="116">
        <v>0</v>
      </c>
      <c r="AG105" s="116">
        <v>0</v>
      </c>
      <c r="AH105" s="116">
        <v>0</v>
      </c>
      <c r="AI105" s="116">
        <v>0</v>
      </c>
      <c r="AJ105" s="116">
        <v>0</v>
      </c>
      <c r="AK105" s="116">
        <v>0</v>
      </c>
      <c r="AL105" s="116">
        <v>0</v>
      </c>
      <c r="AM105" s="116">
        <v>0</v>
      </c>
      <c r="AN105" s="116">
        <v>0</v>
      </c>
      <c r="AO105" s="116">
        <v>0</v>
      </c>
      <c r="AP105" s="116">
        <v>0</v>
      </c>
      <c r="AQ105" s="116">
        <v>0</v>
      </c>
      <c r="AR105" s="116">
        <v>0</v>
      </c>
      <c r="AS105" s="116">
        <v>0</v>
      </c>
      <c r="AT105" s="116">
        <v>0</v>
      </c>
      <c r="AU105" s="116">
        <v>0</v>
      </c>
      <c r="AV105" s="116">
        <v>0</v>
      </c>
      <c r="AW105" s="116">
        <v>0</v>
      </c>
      <c r="AX105" s="116">
        <v>0</v>
      </c>
      <c r="AY105" s="116">
        <v>0</v>
      </c>
    </row>
    <row r="106" spans="1:52" x14ac:dyDescent="0.2">
      <c r="A106" s="119"/>
      <c r="B106" s="140">
        <v>7</v>
      </c>
      <c r="C106" s="116"/>
      <c r="D106" s="116">
        <v>0</v>
      </c>
      <c r="E106" s="116">
        <v>0</v>
      </c>
      <c r="F106" s="116">
        <v>0</v>
      </c>
      <c r="G106" s="116">
        <v>0</v>
      </c>
      <c r="H106" s="116">
        <v>0</v>
      </c>
      <c r="I106" s="116">
        <v>0</v>
      </c>
      <c r="J106" s="116">
        <v>0</v>
      </c>
      <c r="K106" s="116">
        <v>0</v>
      </c>
      <c r="L106" s="116">
        <v>0</v>
      </c>
      <c r="M106" s="116">
        <v>0</v>
      </c>
      <c r="N106" s="116">
        <v>0</v>
      </c>
      <c r="O106" s="116">
        <v>0</v>
      </c>
      <c r="P106" s="116">
        <v>0</v>
      </c>
      <c r="Q106" s="116">
        <v>0</v>
      </c>
      <c r="R106" s="116">
        <v>0</v>
      </c>
      <c r="S106" s="116">
        <v>0</v>
      </c>
      <c r="T106" s="116">
        <v>0</v>
      </c>
      <c r="U106" s="116">
        <v>0</v>
      </c>
      <c r="V106" s="116">
        <v>0</v>
      </c>
      <c r="W106" s="116">
        <v>0</v>
      </c>
      <c r="X106" s="116">
        <v>0</v>
      </c>
      <c r="Y106" s="116">
        <v>0</v>
      </c>
      <c r="Z106" s="116">
        <v>0</v>
      </c>
      <c r="AA106" s="116">
        <v>0</v>
      </c>
      <c r="AB106" s="116">
        <v>0</v>
      </c>
      <c r="AC106" s="116">
        <v>0</v>
      </c>
      <c r="AD106" s="116">
        <v>0</v>
      </c>
      <c r="AE106" s="116">
        <v>0</v>
      </c>
      <c r="AF106" s="116">
        <v>0</v>
      </c>
      <c r="AG106" s="116">
        <v>0</v>
      </c>
      <c r="AH106" s="116">
        <v>0</v>
      </c>
      <c r="AI106" s="116">
        <v>0</v>
      </c>
      <c r="AJ106" s="116">
        <v>0</v>
      </c>
      <c r="AK106" s="116">
        <v>0</v>
      </c>
      <c r="AL106" s="116">
        <v>0</v>
      </c>
      <c r="AM106" s="116">
        <v>0</v>
      </c>
      <c r="AN106" s="116">
        <v>0</v>
      </c>
      <c r="AO106" s="116">
        <v>0</v>
      </c>
      <c r="AP106" s="116">
        <v>0</v>
      </c>
      <c r="AQ106" s="116">
        <v>0</v>
      </c>
      <c r="AR106" s="116">
        <v>0</v>
      </c>
      <c r="AS106" s="116">
        <v>0</v>
      </c>
      <c r="AT106" s="116">
        <v>0</v>
      </c>
      <c r="AU106" s="116">
        <v>0</v>
      </c>
      <c r="AV106" s="116">
        <v>0</v>
      </c>
      <c r="AW106" s="116">
        <v>0</v>
      </c>
      <c r="AX106" s="116">
        <v>0</v>
      </c>
      <c r="AY106" s="116">
        <v>0</v>
      </c>
    </row>
    <row r="107" spans="1:52" x14ac:dyDescent="0.2">
      <c r="A107" s="119"/>
      <c r="B107" s="140">
        <v>8</v>
      </c>
      <c r="C107" s="116"/>
      <c r="D107" s="116">
        <v>0</v>
      </c>
      <c r="E107" s="116">
        <v>0</v>
      </c>
      <c r="F107" s="116">
        <v>0</v>
      </c>
      <c r="G107" s="116">
        <v>0</v>
      </c>
      <c r="H107" s="116">
        <v>0</v>
      </c>
      <c r="I107" s="116">
        <v>0</v>
      </c>
      <c r="J107" s="116">
        <v>0</v>
      </c>
      <c r="K107" s="116">
        <v>0</v>
      </c>
      <c r="L107" s="116">
        <v>0</v>
      </c>
      <c r="M107" s="116">
        <v>0</v>
      </c>
      <c r="N107" s="116">
        <v>0</v>
      </c>
      <c r="O107" s="116">
        <v>0</v>
      </c>
      <c r="P107" s="116">
        <v>0</v>
      </c>
      <c r="Q107" s="116">
        <v>0</v>
      </c>
      <c r="R107" s="116">
        <v>0</v>
      </c>
      <c r="S107" s="116">
        <v>0</v>
      </c>
      <c r="T107" s="116">
        <v>0</v>
      </c>
      <c r="U107" s="116">
        <v>0</v>
      </c>
      <c r="V107" s="116">
        <v>0</v>
      </c>
      <c r="W107" s="116">
        <v>0</v>
      </c>
      <c r="X107" s="116">
        <v>0</v>
      </c>
      <c r="Y107" s="116">
        <v>0</v>
      </c>
      <c r="Z107" s="116">
        <v>0</v>
      </c>
      <c r="AA107" s="116">
        <v>0</v>
      </c>
      <c r="AB107" s="116">
        <v>0</v>
      </c>
      <c r="AC107" s="116">
        <v>0</v>
      </c>
      <c r="AD107" s="116">
        <v>0</v>
      </c>
      <c r="AE107" s="116">
        <v>0</v>
      </c>
      <c r="AF107" s="116">
        <v>0</v>
      </c>
      <c r="AG107" s="116">
        <v>0</v>
      </c>
      <c r="AH107" s="116">
        <v>0</v>
      </c>
      <c r="AI107" s="116">
        <v>0</v>
      </c>
      <c r="AJ107" s="116">
        <v>0</v>
      </c>
      <c r="AK107" s="116">
        <v>0</v>
      </c>
      <c r="AL107" s="116">
        <v>0</v>
      </c>
      <c r="AM107" s="116">
        <v>0</v>
      </c>
      <c r="AN107" s="116">
        <v>0</v>
      </c>
      <c r="AO107" s="116">
        <v>0</v>
      </c>
      <c r="AP107" s="116">
        <v>0</v>
      </c>
      <c r="AQ107" s="116">
        <v>0</v>
      </c>
      <c r="AR107" s="116">
        <v>0</v>
      </c>
      <c r="AS107" s="116">
        <v>0</v>
      </c>
      <c r="AT107" s="116">
        <v>0</v>
      </c>
      <c r="AU107" s="116">
        <v>0</v>
      </c>
      <c r="AV107" s="116">
        <v>0</v>
      </c>
      <c r="AW107" s="116">
        <v>0</v>
      </c>
      <c r="AX107" s="116">
        <v>0</v>
      </c>
      <c r="AY107" s="116">
        <v>0</v>
      </c>
    </row>
    <row r="108" spans="1:52" x14ac:dyDescent="0.2">
      <c r="A108" s="138"/>
      <c r="B108" s="142" t="s">
        <v>298</v>
      </c>
      <c r="C108" s="124"/>
      <c r="D108" s="135">
        <v>0</v>
      </c>
      <c r="E108" s="135">
        <v>0</v>
      </c>
      <c r="F108" s="135">
        <v>0</v>
      </c>
      <c r="G108" s="135">
        <v>0</v>
      </c>
      <c r="H108" s="135">
        <v>0</v>
      </c>
      <c r="I108" s="135">
        <v>0</v>
      </c>
      <c r="J108" s="135">
        <v>0</v>
      </c>
      <c r="K108" s="135">
        <v>0</v>
      </c>
      <c r="L108" s="135">
        <v>0</v>
      </c>
      <c r="M108" s="135">
        <v>0</v>
      </c>
      <c r="N108" s="135">
        <v>0</v>
      </c>
      <c r="O108" s="135">
        <v>0</v>
      </c>
      <c r="P108" s="135">
        <v>0</v>
      </c>
      <c r="Q108" s="135">
        <v>0</v>
      </c>
      <c r="R108" s="135">
        <v>0</v>
      </c>
      <c r="S108" s="135">
        <v>0</v>
      </c>
      <c r="T108" s="135">
        <v>0</v>
      </c>
      <c r="U108" s="135">
        <v>0</v>
      </c>
      <c r="V108" s="135">
        <v>0</v>
      </c>
      <c r="W108" s="135">
        <v>0</v>
      </c>
      <c r="X108" s="135">
        <v>0</v>
      </c>
      <c r="Y108" s="135">
        <v>0</v>
      </c>
      <c r="Z108" s="135">
        <v>0</v>
      </c>
      <c r="AA108" s="135">
        <v>0</v>
      </c>
      <c r="AB108" s="135">
        <v>0</v>
      </c>
      <c r="AC108" s="135">
        <v>0</v>
      </c>
      <c r="AD108" s="135">
        <v>0</v>
      </c>
      <c r="AE108" s="135">
        <v>0</v>
      </c>
      <c r="AF108" s="135">
        <v>0</v>
      </c>
      <c r="AG108" s="135">
        <v>0</v>
      </c>
      <c r="AH108" s="135">
        <v>0</v>
      </c>
      <c r="AI108" s="135">
        <v>0</v>
      </c>
      <c r="AJ108" s="135">
        <v>0</v>
      </c>
      <c r="AK108" s="135">
        <v>0</v>
      </c>
      <c r="AL108" s="135">
        <v>0</v>
      </c>
      <c r="AM108" s="135">
        <v>0</v>
      </c>
      <c r="AN108" s="135">
        <v>0</v>
      </c>
      <c r="AO108" s="135">
        <v>0</v>
      </c>
      <c r="AP108" s="135">
        <v>0</v>
      </c>
      <c r="AQ108" s="135">
        <v>0</v>
      </c>
      <c r="AR108" s="135">
        <v>0</v>
      </c>
      <c r="AS108" s="135">
        <v>0</v>
      </c>
      <c r="AT108" s="135">
        <v>0</v>
      </c>
      <c r="AU108" s="135">
        <v>0</v>
      </c>
      <c r="AV108" s="135">
        <v>0</v>
      </c>
      <c r="AW108" s="135">
        <v>0</v>
      </c>
      <c r="AX108" s="135">
        <v>0</v>
      </c>
      <c r="AY108" s="135">
        <v>0</v>
      </c>
      <c r="AZ108" s="117">
        <f>SUM($D108:$AY108)</f>
        <v>0</v>
      </c>
    </row>
    <row r="109" spans="1:52" x14ac:dyDescent="0.2">
      <c r="A109" s="141" t="s">
        <v>134</v>
      </c>
      <c r="B109" s="129">
        <v>1</v>
      </c>
      <c r="C109" s="116"/>
      <c r="D109" s="116">
        <v>0</v>
      </c>
      <c r="E109" s="116">
        <v>18.923661086461951</v>
      </c>
      <c r="F109" s="116">
        <v>35.787667076173719</v>
      </c>
      <c r="G109" s="116">
        <v>64.998174599740437</v>
      </c>
      <c r="H109" s="116">
        <v>34.482239874470032</v>
      </c>
      <c r="I109" s="116">
        <v>97.135619468834946</v>
      </c>
      <c r="J109" s="116">
        <v>95.642779877180601</v>
      </c>
      <c r="K109" s="116">
        <v>93.711350931721995</v>
      </c>
      <c r="L109" s="116">
        <v>84.539458259875914</v>
      </c>
      <c r="M109" s="116">
        <v>0</v>
      </c>
      <c r="N109" s="116">
        <v>0</v>
      </c>
      <c r="O109" s="116">
        <v>0</v>
      </c>
      <c r="P109" s="116">
        <v>0</v>
      </c>
      <c r="Q109" s="116">
        <v>0.15337693126831281</v>
      </c>
      <c r="R109" s="116">
        <v>0.31651403197925715</v>
      </c>
      <c r="S109" s="116">
        <v>0.2510079356927658</v>
      </c>
      <c r="T109" s="116">
        <v>0.28087475876897422</v>
      </c>
      <c r="U109" s="116">
        <v>100.96925094469562</v>
      </c>
      <c r="V109" s="116">
        <v>108.08467969527437</v>
      </c>
      <c r="W109" s="116">
        <v>115.60785725279567</v>
      </c>
      <c r="X109" s="116">
        <v>120.38352998338833</v>
      </c>
      <c r="Y109" s="116">
        <v>76.489484961103486</v>
      </c>
      <c r="Z109" s="116">
        <v>66.162223944965035</v>
      </c>
      <c r="AA109" s="116">
        <v>56.57844440248379</v>
      </c>
      <c r="AB109" s="116">
        <v>65.594285945158504</v>
      </c>
      <c r="AC109" s="116">
        <v>92.839316269402303</v>
      </c>
      <c r="AD109" s="116">
        <v>89.458482381769556</v>
      </c>
      <c r="AE109" s="116">
        <v>61.769564988748748</v>
      </c>
      <c r="AF109" s="116">
        <v>58.918762731567206</v>
      </c>
      <c r="AG109" s="116">
        <v>0</v>
      </c>
      <c r="AH109" s="116">
        <v>0</v>
      </c>
      <c r="AI109" s="116">
        <v>0</v>
      </c>
      <c r="AJ109" s="116">
        <v>0</v>
      </c>
      <c r="AK109" s="116">
        <v>0</v>
      </c>
      <c r="AL109" s="116">
        <v>0</v>
      </c>
      <c r="AM109" s="116">
        <v>0</v>
      </c>
      <c r="AN109" s="116">
        <v>0</v>
      </c>
      <c r="AO109" s="116">
        <v>0</v>
      </c>
      <c r="AP109" s="116">
        <v>0</v>
      </c>
      <c r="AQ109" s="116">
        <v>0</v>
      </c>
      <c r="AR109" s="116">
        <v>0</v>
      </c>
      <c r="AS109" s="116">
        <v>2.928675999359474</v>
      </c>
      <c r="AT109" s="116">
        <v>3.0436471495948427</v>
      </c>
      <c r="AU109" s="116">
        <v>3.2317486712915979</v>
      </c>
      <c r="AV109" s="116">
        <v>3.3403568088369364</v>
      </c>
      <c r="AW109" s="116">
        <v>145.94135073455291</v>
      </c>
      <c r="AX109" s="116">
        <v>130.13367665818603</v>
      </c>
      <c r="AY109" s="116">
        <v>129.02192579504035</v>
      </c>
    </row>
    <row r="110" spans="1:52" x14ac:dyDescent="0.2">
      <c r="A110" s="119"/>
      <c r="B110" s="129">
        <v>2</v>
      </c>
      <c r="C110" s="116"/>
      <c r="D110" s="116">
        <v>0</v>
      </c>
      <c r="E110" s="116">
        <v>0</v>
      </c>
      <c r="F110" s="116">
        <v>0</v>
      </c>
      <c r="G110" s="116">
        <v>0</v>
      </c>
      <c r="H110" s="116">
        <v>0</v>
      </c>
      <c r="I110" s="116">
        <v>0</v>
      </c>
      <c r="J110" s="116">
        <v>0</v>
      </c>
      <c r="K110" s="116">
        <v>0</v>
      </c>
      <c r="L110" s="116">
        <v>0</v>
      </c>
      <c r="M110" s="116">
        <v>0</v>
      </c>
      <c r="N110" s="116">
        <v>0</v>
      </c>
      <c r="O110" s="116">
        <v>0</v>
      </c>
      <c r="P110" s="116">
        <v>0</v>
      </c>
      <c r="Q110" s="116">
        <v>0</v>
      </c>
      <c r="R110" s="116">
        <v>0</v>
      </c>
      <c r="S110" s="116">
        <v>0</v>
      </c>
      <c r="T110" s="116">
        <v>0</v>
      </c>
      <c r="U110" s="116">
        <v>0</v>
      </c>
      <c r="V110" s="116">
        <v>0</v>
      </c>
      <c r="W110" s="116">
        <v>0</v>
      </c>
      <c r="X110" s="116">
        <v>0</v>
      </c>
      <c r="Y110" s="116">
        <v>10.137490751517333</v>
      </c>
      <c r="Z110" s="116">
        <v>0</v>
      </c>
      <c r="AA110" s="116">
        <v>0</v>
      </c>
      <c r="AB110" s="116">
        <v>0</v>
      </c>
      <c r="AC110" s="116">
        <v>0</v>
      </c>
      <c r="AD110" s="116">
        <v>0</v>
      </c>
      <c r="AE110" s="116">
        <v>0</v>
      </c>
      <c r="AF110" s="116">
        <v>0</v>
      </c>
      <c r="AG110" s="116">
        <v>0</v>
      </c>
      <c r="AH110" s="116">
        <v>0</v>
      </c>
      <c r="AI110" s="116">
        <v>0</v>
      </c>
      <c r="AJ110" s="116">
        <v>0</v>
      </c>
      <c r="AK110" s="116">
        <v>0</v>
      </c>
      <c r="AL110" s="116">
        <v>0</v>
      </c>
      <c r="AM110" s="116">
        <v>0</v>
      </c>
      <c r="AN110" s="116">
        <v>0</v>
      </c>
      <c r="AO110" s="116">
        <v>0</v>
      </c>
      <c r="AP110" s="116">
        <v>0</v>
      </c>
      <c r="AQ110" s="116">
        <v>0</v>
      </c>
      <c r="AR110" s="116">
        <v>0</v>
      </c>
      <c r="AS110" s="116">
        <v>0</v>
      </c>
      <c r="AT110" s="116">
        <v>0</v>
      </c>
      <c r="AU110" s="116">
        <v>0</v>
      </c>
      <c r="AV110" s="116">
        <v>0</v>
      </c>
      <c r="AW110" s="116">
        <v>0</v>
      </c>
      <c r="AX110" s="116">
        <v>31.941350734552913</v>
      </c>
      <c r="AY110" s="116">
        <v>62.405413804499389</v>
      </c>
    </row>
    <row r="111" spans="1:52" x14ac:dyDescent="0.2">
      <c r="A111" s="119"/>
      <c r="B111" s="129">
        <v>3</v>
      </c>
      <c r="C111" s="116"/>
      <c r="D111" s="116">
        <v>0</v>
      </c>
      <c r="E111" s="116">
        <v>0</v>
      </c>
      <c r="F111" s="116">
        <v>0</v>
      </c>
      <c r="G111" s="116">
        <v>0</v>
      </c>
      <c r="H111" s="116">
        <v>0</v>
      </c>
      <c r="I111" s="116">
        <v>0</v>
      </c>
      <c r="J111" s="116">
        <v>0</v>
      </c>
      <c r="K111" s="116">
        <v>0</v>
      </c>
      <c r="L111" s="116">
        <v>0</v>
      </c>
      <c r="M111" s="116">
        <v>0</v>
      </c>
      <c r="N111" s="116">
        <v>0</v>
      </c>
      <c r="O111" s="116">
        <v>0</v>
      </c>
      <c r="P111" s="116">
        <v>0</v>
      </c>
      <c r="Q111" s="116">
        <v>0</v>
      </c>
      <c r="R111" s="116">
        <v>0</v>
      </c>
      <c r="S111" s="116">
        <v>0</v>
      </c>
      <c r="T111" s="116">
        <v>0</v>
      </c>
      <c r="U111" s="116">
        <v>0</v>
      </c>
      <c r="V111" s="116">
        <v>0</v>
      </c>
      <c r="W111" s="116">
        <v>0</v>
      </c>
      <c r="X111" s="116">
        <v>0</v>
      </c>
      <c r="Y111" s="116">
        <v>0</v>
      </c>
      <c r="Z111" s="116">
        <v>0</v>
      </c>
      <c r="AA111" s="116">
        <v>0</v>
      </c>
      <c r="AB111" s="116">
        <v>0</v>
      </c>
      <c r="AC111" s="116">
        <v>0</v>
      </c>
      <c r="AD111" s="116">
        <v>0</v>
      </c>
      <c r="AE111" s="116">
        <v>0</v>
      </c>
      <c r="AF111" s="116">
        <v>0</v>
      </c>
      <c r="AG111" s="116">
        <v>0</v>
      </c>
      <c r="AH111" s="116">
        <v>0</v>
      </c>
      <c r="AI111" s="116">
        <v>0</v>
      </c>
      <c r="AJ111" s="116">
        <v>0</v>
      </c>
      <c r="AK111" s="116">
        <v>0</v>
      </c>
      <c r="AL111" s="116">
        <v>0</v>
      </c>
      <c r="AM111" s="116">
        <v>0</v>
      </c>
      <c r="AN111" s="116">
        <v>0</v>
      </c>
      <c r="AO111" s="116">
        <v>0</v>
      </c>
      <c r="AP111" s="116">
        <v>0</v>
      </c>
      <c r="AQ111" s="116">
        <v>0</v>
      </c>
      <c r="AR111" s="116">
        <v>0</v>
      </c>
      <c r="AS111" s="116">
        <v>0</v>
      </c>
      <c r="AT111" s="116">
        <v>0</v>
      </c>
      <c r="AU111" s="116">
        <v>0</v>
      </c>
      <c r="AV111" s="116">
        <v>0</v>
      </c>
      <c r="AW111" s="116">
        <v>0</v>
      </c>
      <c r="AX111" s="116">
        <v>0</v>
      </c>
      <c r="AY111" s="116">
        <v>0</v>
      </c>
    </row>
    <row r="112" spans="1:52" x14ac:dyDescent="0.2">
      <c r="A112" s="119"/>
      <c r="B112" s="130">
        <v>4</v>
      </c>
      <c r="C112" s="116"/>
      <c r="D112" s="116">
        <v>0</v>
      </c>
      <c r="E112" s="116">
        <v>0</v>
      </c>
      <c r="F112" s="116">
        <v>0</v>
      </c>
      <c r="G112" s="116">
        <v>0</v>
      </c>
      <c r="H112" s="116">
        <v>0</v>
      </c>
      <c r="I112" s="116">
        <v>0</v>
      </c>
      <c r="J112" s="116">
        <v>0</v>
      </c>
      <c r="K112" s="116">
        <v>0</v>
      </c>
      <c r="L112" s="116">
        <v>0</v>
      </c>
      <c r="M112" s="116">
        <v>0</v>
      </c>
      <c r="N112" s="116">
        <v>0</v>
      </c>
      <c r="O112" s="116">
        <v>0</v>
      </c>
      <c r="P112" s="116">
        <v>0</v>
      </c>
      <c r="Q112" s="116">
        <v>0</v>
      </c>
      <c r="R112" s="116">
        <v>0</v>
      </c>
      <c r="S112" s="116">
        <v>0</v>
      </c>
      <c r="T112" s="116">
        <v>0</v>
      </c>
      <c r="U112" s="116">
        <v>0</v>
      </c>
      <c r="V112" s="116">
        <v>0</v>
      </c>
      <c r="W112" s="116">
        <v>0</v>
      </c>
      <c r="X112" s="116">
        <v>0</v>
      </c>
      <c r="Y112" s="116">
        <v>0</v>
      </c>
      <c r="Z112" s="116">
        <v>0</v>
      </c>
      <c r="AA112" s="116">
        <v>0</v>
      </c>
      <c r="AB112" s="116">
        <v>0</v>
      </c>
      <c r="AC112" s="116">
        <v>0</v>
      </c>
      <c r="AD112" s="116">
        <v>0</v>
      </c>
      <c r="AE112" s="116">
        <v>0</v>
      </c>
      <c r="AF112" s="116">
        <v>0</v>
      </c>
      <c r="AG112" s="116">
        <v>0</v>
      </c>
      <c r="AH112" s="116">
        <v>0</v>
      </c>
      <c r="AI112" s="116">
        <v>0</v>
      </c>
      <c r="AJ112" s="116">
        <v>0</v>
      </c>
      <c r="AK112" s="116">
        <v>0</v>
      </c>
      <c r="AL112" s="116">
        <v>0</v>
      </c>
      <c r="AM112" s="116">
        <v>0</v>
      </c>
      <c r="AN112" s="116">
        <v>0</v>
      </c>
      <c r="AO112" s="116">
        <v>0</v>
      </c>
      <c r="AP112" s="116">
        <v>0</v>
      </c>
      <c r="AQ112" s="116">
        <v>0</v>
      </c>
      <c r="AR112" s="116">
        <v>0</v>
      </c>
      <c r="AS112" s="116">
        <v>0</v>
      </c>
      <c r="AT112" s="116">
        <v>0</v>
      </c>
      <c r="AU112" s="116">
        <v>0</v>
      </c>
      <c r="AV112" s="116">
        <v>0</v>
      </c>
      <c r="AW112" s="116">
        <v>0</v>
      </c>
      <c r="AX112" s="116">
        <v>0</v>
      </c>
      <c r="AY112" s="116">
        <v>0</v>
      </c>
    </row>
    <row r="113" spans="1:52" x14ac:dyDescent="0.2">
      <c r="A113" s="119"/>
      <c r="B113" s="130">
        <v>5</v>
      </c>
      <c r="C113" s="116"/>
      <c r="D113" s="116">
        <v>0</v>
      </c>
      <c r="E113" s="116">
        <v>0</v>
      </c>
      <c r="F113" s="116">
        <v>0</v>
      </c>
      <c r="G113" s="116">
        <v>0</v>
      </c>
      <c r="H113" s="116">
        <v>0</v>
      </c>
      <c r="I113" s="116">
        <v>0</v>
      </c>
      <c r="J113" s="116">
        <v>0</v>
      </c>
      <c r="K113" s="116">
        <v>0</v>
      </c>
      <c r="L113" s="116">
        <v>0</v>
      </c>
      <c r="M113" s="116">
        <v>0</v>
      </c>
      <c r="N113" s="116">
        <v>0</v>
      </c>
      <c r="O113" s="116">
        <v>0</v>
      </c>
      <c r="P113" s="116">
        <v>0</v>
      </c>
      <c r="Q113" s="116">
        <v>0</v>
      </c>
      <c r="R113" s="116">
        <v>0</v>
      </c>
      <c r="S113" s="116">
        <v>0</v>
      </c>
      <c r="T113" s="116">
        <v>0</v>
      </c>
      <c r="U113" s="116">
        <v>0</v>
      </c>
      <c r="V113" s="116">
        <v>0</v>
      </c>
      <c r="W113" s="116">
        <v>0</v>
      </c>
      <c r="X113" s="116">
        <v>0</v>
      </c>
      <c r="Y113" s="116">
        <v>0</v>
      </c>
      <c r="Z113" s="116">
        <v>0</v>
      </c>
      <c r="AA113" s="116">
        <v>0</v>
      </c>
      <c r="AB113" s="116">
        <v>0</v>
      </c>
      <c r="AC113" s="116">
        <v>0</v>
      </c>
      <c r="AD113" s="116">
        <v>0</v>
      </c>
      <c r="AE113" s="116">
        <v>0</v>
      </c>
      <c r="AF113" s="116">
        <v>0</v>
      </c>
      <c r="AG113" s="116">
        <v>0</v>
      </c>
      <c r="AH113" s="116">
        <v>0</v>
      </c>
      <c r="AI113" s="116">
        <v>0</v>
      </c>
      <c r="AJ113" s="116">
        <v>0</v>
      </c>
      <c r="AK113" s="116">
        <v>0</v>
      </c>
      <c r="AL113" s="116">
        <v>0</v>
      </c>
      <c r="AM113" s="116">
        <v>0</v>
      </c>
      <c r="AN113" s="116">
        <v>0</v>
      </c>
      <c r="AO113" s="116">
        <v>0</v>
      </c>
      <c r="AP113" s="116">
        <v>0</v>
      </c>
      <c r="AQ113" s="116">
        <v>0</v>
      </c>
      <c r="AR113" s="116">
        <v>0</v>
      </c>
      <c r="AS113" s="116">
        <v>0</v>
      </c>
      <c r="AT113" s="116">
        <v>0</v>
      </c>
      <c r="AU113" s="116">
        <v>0</v>
      </c>
      <c r="AV113" s="116">
        <v>0</v>
      </c>
      <c r="AW113" s="116">
        <v>0</v>
      </c>
      <c r="AX113" s="116">
        <v>0</v>
      </c>
      <c r="AY113" s="116">
        <v>0</v>
      </c>
    </row>
    <row r="114" spans="1:52" x14ac:dyDescent="0.2">
      <c r="A114" s="119"/>
      <c r="B114" s="130">
        <v>6</v>
      </c>
      <c r="C114" s="116"/>
      <c r="D114" s="116">
        <v>0</v>
      </c>
      <c r="E114" s="116">
        <v>0</v>
      </c>
      <c r="F114" s="116">
        <v>0</v>
      </c>
      <c r="G114" s="116">
        <v>0</v>
      </c>
      <c r="H114" s="116">
        <v>0</v>
      </c>
      <c r="I114" s="116">
        <v>0</v>
      </c>
      <c r="J114" s="116">
        <v>0</v>
      </c>
      <c r="K114" s="116">
        <v>0</v>
      </c>
      <c r="L114" s="116">
        <v>0</v>
      </c>
      <c r="M114" s="116">
        <v>0</v>
      </c>
      <c r="N114" s="116">
        <v>0</v>
      </c>
      <c r="O114" s="116">
        <v>0</v>
      </c>
      <c r="P114" s="116">
        <v>0</v>
      </c>
      <c r="Q114" s="116">
        <v>0</v>
      </c>
      <c r="R114" s="116">
        <v>0</v>
      </c>
      <c r="S114" s="116">
        <v>0</v>
      </c>
      <c r="T114" s="116">
        <v>0</v>
      </c>
      <c r="U114" s="116">
        <v>0</v>
      </c>
      <c r="V114" s="116">
        <v>0</v>
      </c>
      <c r="W114" s="116">
        <v>0</v>
      </c>
      <c r="X114" s="116">
        <v>0</v>
      </c>
      <c r="Y114" s="116">
        <v>0</v>
      </c>
      <c r="Z114" s="116">
        <v>0</v>
      </c>
      <c r="AA114" s="116">
        <v>0</v>
      </c>
      <c r="AB114" s="116">
        <v>0</v>
      </c>
      <c r="AC114" s="116">
        <v>0</v>
      </c>
      <c r="AD114" s="116">
        <v>0</v>
      </c>
      <c r="AE114" s="116">
        <v>0</v>
      </c>
      <c r="AF114" s="116">
        <v>0</v>
      </c>
      <c r="AG114" s="116">
        <v>0</v>
      </c>
      <c r="AH114" s="116">
        <v>0</v>
      </c>
      <c r="AI114" s="116">
        <v>0</v>
      </c>
      <c r="AJ114" s="116">
        <v>0</v>
      </c>
      <c r="AK114" s="116">
        <v>0</v>
      </c>
      <c r="AL114" s="116">
        <v>0</v>
      </c>
      <c r="AM114" s="116">
        <v>0</v>
      </c>
      <c r="AN114" s="116">
        <v>0</v>
      </c>
      <c r="AO114" s="116">
        <v>0</v>
      </c>
      <c r="AP114" s="116">
        <v>0</v>
      </c>
      <c r="AQ114" s="116">
        <v>0</v>
      </c>
      <c r="AR114" s="116">
        <v>0</v>
      </c>
      <c r="AS114" s="116">
        <v>0</v>
      </c>
      <c r="AT114" s="116">
        <v>0</v>
      </c>
      <c r="AU114" s="116">
        <v>0</v>
      </c>
      <c r="AV114" s="116">
        <v>0</v>
      </c>
      <c r="AW114" s="116">
        <v>0</v>
      </c>
      <c r="AX114" s="116">
        <v>0</v>
      </c>
      <c r="AY114" s="116">
        <v>0</v>
      </c>
    </row>
    <row r="115" spans="1:52" x14ac:dyDescent="0.2">
      <c r="A115" s="119"/>
      <c r="B115" s="137">
        <v>7</v>
      </c>
      <c r="C115" s="116"/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0</v>
      </c>
      <c r="AA115" s="116">
        <v>0</v>
      </c>
      <c r="AB115" s="116">
        <v>0</v>
      </c>
      <c r="AC115" s="116">
        <v>0</v>
      </c>
      <c r="AD115" s="116">
        <v>0</v>
      </c>
      <c r="AE115" s="116">
        <v>0</v>
      </c>
      <c r="AF115" s="116">
        <v>0</v>
      </c>
      <c r="AG115" s="116">
        <v>0</v>
      </c>
      <c r="AH115" s="116">
        <v>0</v>
      </c>
      <c r="AI115" s="116">
        <v>0</v>
      </c>
      <c r="AJ115" s="116">
        <v>0</v>
      </c>
      <c r="AK115" s="116">
        <v>0</v>
      </c>
      <c r="AL115" s="116">
        <v>0</v>
      </c>
      <c r="AM115" s="116">
        <v>0</v>
      </c>
      <c r="AN115" s="116">
        <v>0</v>
      </c>
      <c r="AO115" s="116">
        <v>0</v>
      </c>
      <c r="AP115" s="116">
        <v>0</v>
      </c>
      <c r="AQ115" s="116">
        <v>0</v>
      </c>
      <c r="AR115" s="116">
        <v>0</v>
      </c>
      <c r="AS115" s="116">
        <v>0</v>
      </c>
      <c r="AT115" s="116">
        <v>0</v>
      </c>
      <c r="AU115" s="116">
        <v>0</v>
      </c>
      <c r="AV115" s="116">
        <v>0</v>
      </c>
      <c r="AW115" s="116">
        <v>0</v>
      </c>
      <c r="AX115" s="116">
        <v>0</v>
      </c>
      <c r="AY115" s="116">
        <v>0</v>
      </c>
    </row>
    <row r="116" spans="1:52" x14ac:dyDescent="0.2">
      <c r="A116" s="119"/>
      <c r="B116" s="137">
        <v>8</v>
      </c>
      <c r="C116" s="116"/>
      <c r="D116" s="116">
        <v>0</v>
      </c>
      <c r="E116" s="116">
        <v>0</v>
      </c>
      <c r="F116" s="116">
        <v>0</v>
      </c>
      <c r="G116" s="116">
        <v>0</v>
      </c>
      <c r="H116" s="116">
        <v>0</v>
      </c>
      <c r="I116" s="116">
        <v>0</v>
      </c>
      <c r="J116" s="116">
        <v>0</v>
      </c>
      <c r="K116" s="116">
        <v>0</v>
      </c>
      <c r="L116" s="116">
        <v>0</v>
      </c>
      <c r="M116" s="116">
        <v>0</v>
      </c>
      <c r="N116" s="116">
        <v>0</v>
      </c>
      <c r="O116" s="116">
        <v>0</v>
      </c>
      <c r="P116" s="116">
        <v>0</v>
      </c>
      <c r="Q116" s="116">
        <v>0</v>
      </c>
      <c r="R116" s="116">
        <v>0</v>
      </c>
      <c r="S116" s="116">
        <v>0</v>
      </c>
      <c r="T116" s="116">
        <v>0</v>
      </c>
      <c r="U116" s="116">
        <v>0</v>
      </c>
      <c r="V116" s="116">
        <v>0</v>
      </c>
      <c r="W116" s="116">
        <v>0</v>
      </c>
      <c r="X116" s="116">
        <v>0</v>
      </c>
      <c r="Y116" s="116">
        <v>0</v>
      </c>
      <c r="Z116" s="116">
        <v>0</v>
      </c>
      <c r="AA116" s="116">
        <v>0</v>
      </c>
      <c r="AB116" s="116">
        <v>0</v>
      </c>
      <c r="AC116" s="116">
        <v>0</v>
      </c>
      <c r="AD116" s="116">
        <v>0</v>
      </c>
      <c r="AE116" s="116">
        <v>0</v>
      </c>
      <c r="AF116" s="116">
        <v>0</v>
      </c>
      <c r="AG116" s="116">
        <v>0</v>
      </c>
      <c r="AH116" s="116">
        <v>0</v>
      </c>
      <c r="AI116" s="116">
        <v>0</v>
      </c>
      <c r="AJ116" s="116">
        <v>0</v>
      </c>
      <c r="AK116" s="116">
        <v>0</v>
      </c>
      <c r="AL116" s="116">
        <v>0</v>
      </c>
      <c r="AM116" s="116">
        <v>0</v>
      </c>
      <c r="AN116" s="116">
        <v>0</v>
      </c>
      <c r="AO116" s="116">
        <v>0</v>
      </c>
      <c r="AP116" s="116">
        <v>0</v>
      </c>
      <c r="AQ116" s="116">
        <v>0</v>
      </c>
      <c r="AR116" s="116">
        <v>0</v>
      </c>
      <c r="AS116" s="116">
        <v>0</v>
      </c>
      <c r="AT116" s="116">
        <v>0</v>
      </c>
      <c r="AU116" s="116">
        <v>0</v>
      </c>
      <c r="AV116" s="116">
        <v>0</v>
      </c>
      <c r="AW116" s="116">
        <v>0</v>
      </c>
      <c r="AX116" s="116">
        <v>0</v>
      </c>
      <c r="AY116" s="116">
        <v>0</v>
      </c>
    </row>
    <row r="117" spans="1:52" x14ac:dyDescent="0.2">
      <c r="A117" s="119"/>
      <c r="B117" s="137">
        <v>9</v>
      </c>
      <c r="C117" s="116"/>
      <c r="D117" s="116">
        <v>0</v>
      </c>
      <c r="E117" s="116">
        <v>0</v>
      </c>
      <c r="F117" s="116">
        <v>0</v>
      </c>
      <c r="G117" s="116">
        <v>0</v>
      </c>
      <c r="H117" s="116">
        <v>0</v>
      </c>
      <c r="I117" s="116">
        <v>0</v>
      </c>
      <c r="J117" s="116">
        <v>0</v>
      </c>
      <c r="K117" s="116">
        <v>0</v>
      </c>
      <c r="L117" s="116">
        <v>0</v>
      </c>
      <c r="M117" s="116">
        <v>0</v>
      </c>
      <c r="N117" s="116">
        <v>0</v>
      </c>
      <c r="O117" s="116">
        <v>0</v>
      </c>
      <c r="P117" s="116">
        <v>0</v>
      </c>
      <c r="Q117" s="116">
        <v>0</v>
      </c>
      <c r="R117" s="116">
        <v>0</v>
      </c>
      <c r="S117" s="116">
        <v>0</v>
      </c>
      <c r="T117" s="116">
        <v>0</v>
      </c>
      <c r="U117" s="116">
        <v>0</v>
      </c>
      <c r="V117" s="116">
        <v>0</v>
      </c>
      <c r="W117" s="116">
        <v>0</v>
      </c>
      <c r="X117" s="116">
        <v>0</v>
      </c>
      <c r="Y117" s="116">
        <v>0</v>
      </c>
      <c r="Z117" s="116">
        <v>0</v>
      </c>
      <c r="AA117" s="116">
        <v>0</v>
      </c>
      <c r="AB117" s="116">
        <v>0</v>
      </c>
      <c r="AC117" s="116">
        <v>0</v>
      </c>
      <c r="AD117" s="116">
        <v>0</v>
      </c>
      <c r="AE117" s="116">
        <v>0</v>
      </c>
      <c r="AF117" s="116">
        <v>0</v>
      </c>
      <c r="AG117" s="116">
        <v>0</v>
      </c>
      <c r="AH117" s="116">
        <v>0</v>
      </c>
      <c r="AI117" s="116">
        <v>0</v>
      </c>
      <c r="AJ117" s="116">
        <v>0</v>
      </c>
      <c r="AK117" s="116">
        <v>0</v>
      </c>
      <c r="AL117" s="116">
        <v>0</v>
      </c>
      <c r="AM117" s="116">
        <v>0</v>
      </c>
      <c r="AN117" s="116">
        <v>0</v>
      </c>
      <c r="AO117" s="116">
        <v>0</v>
      </c>
      <c r="AP117" s="116">
        <v>0</v>
      </c>
      <c r="AQ117" s="116">
        <v>0</v>
      </c>
      <c r="AR117" s="116">
        <v>0</v>
      </c>
      <c r="AS117" s="116">
        <v>0</v>
      </c>
      <c r="AT117" s="116">
        <v>0</v>
      </c>
      <c r="AU117" s="116">
        <v>0</v>
      </c>
      <c r="AV117" s="116">
        <v>0</v>
      </c>
      <c r="AW117" s="116">
        <v>0</v>
      </c>
      <c r="AX117" s="116">
        <v>0</v>
      </c>
      <c r="AY117" s="116">
        <v>0</v>
      </c>
    </row>
    <row r="118" spans="1:52" x14ac:dyDescent="0.2">
      <c r="A118" s="119"/>
      <c r="B118" s="140">
        <v>10</v>
      </c>
      <c r="C118" s="116"/>
      <c r="D118" s="116">
        <v>0</v>
      </c>
      <c r="E118" s="116">
        <v>0</v>
      </c>
      <c r="F118" s="116">
        <v>0</v>
      </c>
      <c r="G118" s="116">
        <v>0</v>
      </c>
      <c r="H118" s="116">
        <v>0</v>
      </c>
      <c r="I118" s="116">
        <v>0</v>
      </c>
      <c r="J118" s="116">
        <v>0</v>
      </c>
      <c r="K118" s="116">
        <v>0</v>
      </c>
      <c r="L118" s="116">
        <v>0</v>
      </c>
      <c r="M118" s="116">
        <v>0</v>
      </c>
      <c r="N118" s="116">
        <v>0</v>
      </c>
      <c r="O118" s="116">
        <v>0</v>
      </c>
      <c r="P118" s="116">
        <v>0</v>
      </c>
      <c r="Q118" s="116">
        <v>0</v>
      </c>
      <c r="R118" s="116">
        <v>0</v>
      </c>
      <c r="S118" s="116">
        <v>0</v>
      </c>
      <c r="T118" s="116">
        <v>0</v>
      </c>
      <c r="U118" s="116">
        <v>0</v>
      </c>
      <c r="V118" s="116">
        <v>0</v>
      </c>
      <c r="W118" s="116">
        <v>0</v>
      </c>
      <c r="X118" s="116">
        <v>0</v>
      </c>
      <c r="Y118" s="116">
        <v>0</v>
      </c>
      <c r="Z118" s="116">
        <v>0</v>
      </c>
      <c r="AA118" s="116">
        <v>0</v>
      </c>
      <c r="AB118" s="116">
        <v>0</v>
      </c>
      <c r="AC118" s="116">
        <v>0</v>
      </c>
      <c r="AD118" s="116">
        <v>0</v>
      </c>
      <c r="AE118" s="116">
        <v>0</v>
      </c>
      <c r="AF118" s="116">
        <v>0</v>
      </c>
      <c r="AG118" s="116">
        <v>0</v>
      </c>
      <c r="AH118" s="116">
        <v>0</v>
      </c>
      <c r="AI118" s="116">
        <v>0</v>
      </c>
      <c r="AJ118" s="116">
        <v>0</v>
      </c>
      <c r="AK118" s="116">
        <v>0</v>
      </c>
      <c r="AL118" s="116">
        <v>0</v>
      </c>
      <c r="AM118" s="116">
        <v>0</v>
      </c>
      <c r="AN118" s="116">
        <v>0</v>
      </c>
      <c r="AO118" s="116">
        <v>0</v>
      </c>
      <c r="AP118" s="116">
        <v>0</v>
      </c>
      <c r="AQ118" s="116">
        <v>0</v>
      </c>
      <c r="AR118" s="116">
        <v>0</v>
      </c>
      <c r="AS118" s="116">
        <v>0</v>
      </c>
      <c r="AT118" s="116">
        <v>0</v>
      </c>
      <c r="AU118" s="116">
        <v>0</v>
      </c>
      <c r="AV118" s="116">
        <v>0</v>
      </c>
      <c r="AW118" s="116">
        <v>0</v>
      </c>
      <c r="AX118" s="116">
        <v>0</v>
      </c>
      <c r="AY118" s="116">
        <v>0</v>
      </c>
    </row>
    <row r="119" spans="1:52" x14ac:dyDescent="0.2">
      <c r="A119" s="119"/>
      <c r="B119" s="140">
        <v>11</v>
      </c>
      <c r="C119" s="116"/>
      <c r="D119" s="116">
        <v>0</v>
      </c>
      <c r="E119" s="116">
        <v>0</v>
      </c>
      <c r="F119" s="116">
        <v>0</v>
      </c>
      <c r="G119" s="116">
        <v>0</v>
      </c>
      <c r="H119" s="116">
        <v>0</v>
      </c>
      <c r="I119" s="116">
        <v>0</v>
      </c>
      <c r="J119" s="116">
        <v>0</v>
      </c>
      <c r="K119" s="116">
        <v>0</v>
      </c>
      <c r="L119" s="116">
        <v>0</v>
      </c>
      <c r="M119" s="116">
        <v>0</v>
      </c>
      <c r="N119" s="116">
        <v>0</v>
      </c>
      <c r="O119" s="116">
        <v>0</v>
      </c>
      <c r="P119" s="116">
        <v>0</v>
      </c>
      <c r="Q119" s="116">
        <v>0</v>
      </c>
      <c r="R119" s="116">
        <v>0</v>
      </c>
      <c r="S119" s="116">
        <v>0</v>
      </c>
      <c r="T119" s="116">
        <v>0</v>
      </c>
      <c r="U119" s="116">
        <v>0</v>
      </c>
      <c r="V119" s="116">
        <v>0</v>
      </c>
      <c r="W119" s="116">
        <v>0</v>
      </c>
      <c r="X119" s="116">
        <v>0</v>
      </c>
      <c r="Y119" s="116">
        <v>0</v>
      </c>
      <c r="Z119" s="116">
        <v>0</v>
      </c>
      <c r="AA119" s="116">
        <v>0</v>
      </c>
      <c r="AB119" s="116">
        <v>0</v>
      </c>
      <c r="AC119" s="116">
        <v>0</v>
      </c>
      <c r="AD119" s="116">
        <v>0</v>
      </c>
      <c r="AE119" s="116">
        <v>0</v>
      </c>
      <c r="AF119" s="116">
        <v>0</v>
      </c>
      <c r="AG119" s="116">
        <v>0</v>
      </c>
      <c r="AH119" s="116">
        <v>0</v>
      </c>
      <c r="AI119" s="116">
        <v>0</v>
      </c>
      <c r="AJ119" s="116">
        <v>0</v>
      </c>
      <c r="AK119" s="116">
        <v>0</v>
      </c>
      <c r="AL119" s="116">
        <v>0</v>
      </c>
      <c r="AM119" s="116">
        <v>0</v>
      </c>
      <c r="AN119" s="116">
        <v>0</v>
      </c>
      <c r="AO119" s="116">
        <v>0</v>
      </c>
      <c r="AP119" s="116">
        <v>0</v>
      </c>
      <c r="AQ119" s="116">
        <v>0</v>
      </c>
      <c r="AR119" s="116">
        <v>0</v>
      </c>
      <c r="AS119" s="116">
        <v>0</v>
      </c>
      <c r="AT119" s="116">
        <v>0</v>
      </c>
      <c r="AU119" s="116">
        <v>0</v>
      </c>
      <c r="AV119" s="116">
        <v>0</v>
      </c>
      <c r="AW119" s="116">
        <v>0</v>
      </c>
      <c r="AX119" s="116">
        <v>0</v>
      </c>
      <c r="AY119" s="116">
        <v>0</v>
      </c>
    </row>
    <row r="120" spans="1:52" x14ac:dyDescent="0.2">
      <c r="A120" s="119"/>
      <c r="B120" s="140">
        <v>12</v>
      </c>
      <c r="C120" s="116"/>
      <c r="D120" s="116">
        <v>0</v>
      </c>
      <c r="E120" s="116">
        <v>0</v>
      </c>
      <c r="F120" s="116">
        <v>0</v>
      </c>
      <c r="G120" s="116">
        <v>0</v>
      </c>
      <c r="H120" s="116">
        <v>0</v>
      </c>
      <c r="I120" s="116">
        <v>0</v>
      </c>
      <c r="J120" s="116">
        <v>0</v>
      </c>
      <c r="K120" s="116">
        <v>0</v>
      </c>
      <c r="L120" s="116">
        <v>0</v>
      </c>
      <c r="M120" s="116">
        <v>0</v>
      </c>
      <c r="N120" s="116">
        <v>0</v>
      </c>
      <c r="O120" s="116">
        <v>0</v>
      </c>
      <c r="P120" s="116">
        <v>0</v>
      </c>
      <c r="Q120" s="116">
        <v>0</v>
      </c>
      <c r="R120" s="116">
        <v>0</v>
      </c>
      <c r="S120" s="116">
        <v>0</v>
      </c>
      <c r="T120" s="116">
        <v>0</v>
      </c>
      <c r="U120" s="116">
        <v>0</v>
      </c>
      <c r="V120" s="116">
        <v>0</v>
      </c>
      <c r="W120" s="116">
        <v>0</v>
      </c>
      <c r="X120" s="116">
        <v>0</v>
      </c>
      <c r="Y120" s="116">
        <v>0</v>
      </c>
      <c r="Z120" s="116">
        <v>0</v>
      </c>
      <c r="AA120" s="116">
        <v>0</v>
      </c>
      <c r="AB120" s="116">
        <v>0</v>
      </c>
      <c r="AC120" s="116">
        <v>0</v>
      </c>
      <c r="AD120" s="116">
        <v>0</v>
      </c>
      <c r="AE120" s="116">
        <v>0</v>
      </c>
      <c r="AF120" s="116">
        <v>0</v>
      </c>
      <c r="AG120" s="116">
        <v>0</v>
      </c>
      <c r="AH120" s="116">
        <v>0</v>
      </c>
      <c r="AI120" s="116">
        <v>0</v>
      </c>
      <c r="AJ120" s="116">
        <v>0</v>
      </c>
      <c r="AK120" s="116">
        <v>0</v>
      </c>
      <c r="AL120" s="116">
        <v>0</v>
      </c>
      <c r="AM120" s="116">
        <v>0</v>
      </c>
      <c r="AN120" s="116">
        <v>0</v>
      </c>
      <c r="AO120" s="116">
        <v>0</v>
      </c>
      <c r="AP120" s="116">
        <v>0</v>
      </c>
      <c r="AQ120" s="116">
        <v>0</v>
      </c>
      <c r="AR120" s="116">
        <v>0</v>
      </c>
      <c r="AS120" s="116">
        <v>0</v>
      </c>
      <c r="AT120" s="116">
        <v>0</v>
      </c>
      <c r="AU120" s="116">
        <v>0</v>
      </c>
      <c r="AV120" s="116">
        <v>0</v>
      </c>
      <c r="AW120" s="116">
        <v>0</v>
      </c>
      <c r="AX120" s="116">
        <v>0</v>
      </c>
      <c r="AY120" s="116">
        <v>0</v>
      </c>
    </row>
    <row r="121" spans="1:52" x14ac:dyDescent="0.2">
      <c r="A121" s="138"/>
      <c r="B121" s="142" t="s">
        <v>298</v>
      </c>
      <c r="C121" s="124"/>
      <c r="D121" s="135">
        <v>0</v>
      </c>
      <c r="E121" s="135">
        <v>0</v>
      </c>
      <c r="F121" s="135">
        <v>0</v>
      </c>
      <c r="G121" s="135">
        <v>0</v>
      </c>
      <c r="H121" s="135">
        <v>0</v>
      </c>
      <c r="I121" s="135">
        <v>0</v>
      </c>
      <c r="J121" s="135">
        <v>0</v>
      </c>
      <c r="K121" s="135">
        <v>0</v>
      </c>
      <c r="L121" s="135">
        <v>0</v>
      </c>
      <c r="M121" s="135">
        <v>0</v>
      </c>
      <c r="N121" s="135">
        <v>0</v>
      </c>
      <c r="O121" s="135">
        <v>0</v>
      </c>
      <c r="P121" s="135">
        <v>0</v>
      </c>
      <c r="Q121" s="135">
        <v>0</v>
      </c>
      <c r="R121" s="135">
        <v>0</v>
      </c>
      <c r="S121" s="135">
        <v>0</v>
      </c>
      <c r="T121" s="135">
        <v>0</v>
      </c>
      <c r="U121" s="135">
        <v>0</v>
      </c>
      <c r="V121" s="135">
        <v>0</v>
      </c>
      <c r="W121" s="135">
        <v>0</v>
      </c>
      <c r="X121" s="135">
        <v>0</v>
      </c>
      <c r="Y121" s="135">
        <v>0</v>
      </c>
      <c r="Z121" s="135">
        <v>0</v>
      </c>
      <c r="AA121" s="135">
        <v>0</v>
      </c>
      <c r="AB121" s="135">
        <v>0</v>
      </c>
      <c r="AC121" s="135">
        <v>0</v>
      </c>
      <c r="AD121" s="135">
        <v>0</v>
      </c>
      <c r="AE121" s="135">
        <v>0</v>
      </c>
      <c r="AF121" s="135">
        <v>0</v>
      </c>
      <c r="AG121" s="135">
        <v>0</v>
      </c>
      <c r="AH121" s="135">
        <v>0</v>
      </c>
      <c r="AI121" s="135">
        <v>0</v>
      </c>
      <c r="AJ121" s="135">
        <v>0</v>
      </c>
      <c r="AK121" s="135">
        <v>0</v>
      </c>
      <c r="AL121" s="135">
        <v>0</v>
      </c>
      <c r="AM121" s="135">
        <v>0</v>
      </c>
      <c r="AN121" s="135">
        <v>0</v>
      </c>
      <c r="AO121" s="135">
        <v>0</v>
      </c>
      <c r="AP121" s="135">
        <v>0</v>
      </c>
      <c r="AQ121" s="135">
        <v>0</v>
      </c>
      <c r="AR121" s="135">
        <v>0</v>
      </c>
      <c r="AS121" s="135">
        <v>0</v>
      </c>
      <c r="AT121" s="135">
        <v>0</v>
      </c>
      <c r="AU121" s="135">
        <v>0</v>
      </c>
      <c r="AV121" s="135">
        <v>0</v>
      </c>
      <c r="AW121" s="135">
        <v>0</v>
      </c>
      <c r="AX121" s="135">
        <v>0</v>
      </c>
      <c r="AY121" s="135">
        <v>0</v>
      </c>
      <c r="AZ121" s="117">
        <f>SUM($D121:$AY121)</f>
        <v>0</v>
      </c>
    </row>
    <row r="122" spans="1:52" x14ac:dyDescent="0.2">
      <c r="A122" s="141" t="s">
        <v>123</v>
      </c>
      <c r="B122" s="129">
        <v>1</v>
      </c>
      <c r="C122" s="116"/>
      <c r="D122" s="116">
        <v>69.771613090956222</v>
      </c>
      <c r="E122" s="116">
        <v>131.94926971362221</v>
      </c>
      <c r="F122" s="116">
        <v>239.64852620595076</v>
      </c>
      <c r="G122" s="116">
        <v>69.771613090956222</v>
      </c>
      <c r="H122" s="116">
        <v>209.72674869130685</v>
      </c>
      <c r="I122" s="116">
        <v>209.72674869130685</v>
      </c>
      <c r="J122" s="116">
        <v>209.72674869130685</v>
      </c>
      <c r="K122" s="116">
        <v>209.72674869130685</v>
      </c>
      <c r="L122" s="116">
        <v>68.019711669009652</v>
      </c>
      <c r="M122" s="116">
        <v>237.89662478400419</v>
      </c>
      <c r="N122" s="116">
        <v>68.019711669009652</v>
      </c>
      <c r="O122" s="116">
        <v>237.89662478400419</v>
      </c>
      <c r="P122" s="116">
        <v>58.896754561522158</v>
      </c>
      <c r="Q122" s="116">
        <v>228.77366767651668</v>
      </c>
      <c r="R122" s="116">
        <v>58.896754561522158</v>
      </c>
      <c r="S122" s="116">
        <v>58.896754561522158</v>
      </c>
      <c r="T122" s="116">
        <v>218.62497733702281</v>
      </c>
      <c r="U122" s="116">
        <v>218.62497733702281</v>
      </c>
      <c r="V122" s="116">
        <v>218.62497733702281</v>
      </c>
      <c r="W122" s="116">
        <v>218.62497733702281</v>
      </c>
      <c r="X122" s="116">
        <v>206.41620688940017</v>
      </c>
      <c r="Y122" s="116">
        <v>36.53929377440565</v>
      </c>
      <c r="Z122" s="116">
        <v>36.53929377440565</v>
      </c>
      <c r="AA122" s="116">
        <v>36.53929377440565</v>
      </c>
      <c r="AB122" s="116">
        <v>212.90352066046043</v>
      </c>
      <c r="AC122" s="116">
        <v>212.90352066046043</v>
      </c>
      <c r="AD122" s="116">
        <v>43.026607545465914</v>
      </c>
      <c r="AE122" s="116">
        <v>212.90352066046043</v>
      </c>
      <c r="AF122" s="116">
        <v>43.512512204284832</v>
      </c>
      <c r="AG122" s="116">
        <v>43.512512204284832</v>
      </c>
      <c r="AH122" s="116">
        <v>43.512512204284832</v>
      </c>
      <c r="AI122" s="116">
        <v>213.38942531927935</v>
      </c>
      <c r="AJ122" s="116">
        <v>45.009842978756836</v>
      </c>
      <c r="AK122" s="116">
        <v>45.009842978756836</v>
      </c>
      <c r="AL122" s="116">
        <v>45.009842978756836</v>
      </c>
      <c r="AM122" s="116">
        <v>45.009842978756836</v>
      </c>
      <c r="AN122" s="116">
        <v>49.587275591605191</v>
      </c>
      <c r="AO122" s="116">
        <v>219.46418870659971</v>
      </c>
      <c r="AP122" s="116">
        <v>49.587275591605191</v>
      </c>
      <c r="AQ122" s="116">
        <v>49.587275591605191</v>
      </c>
      <c r="AR122" s="116">
        <v>205.51497812363516</v>
      </c>
      <c r="AS122" s="116">
        <v>205.51497812363516</v>
      </c>
      <c r="AT122" s="116">
        <v>205.51497812363516</v>
      </c>
      <c r="AU122" s="116">
        <v>205.51497812363516</v>
      </c>
      <c r="AV122" s="116">
        <v>201.66069172956847</v>
      </c>
      <c r="AW122" s="116">
        <v>31.783778614573954</v>
      </c>
      <c r="AX122" s="116">
        <v>31.783778614573954</v>
      </c>
      <c r="AY122" s="116">
        <v>201.66069172956847</v>
      </c>
    </row>
    <row r="123" spans="1:52" x14ac:dyDescent="0.2">
      <c r="A123" s="119"/>
      <c r="B123" s="129">
        <v>2</v>
      </c>
      <c r="C123" s="116"/>
      <c r="D123" s="116">
        <v>0</v>
      </c>
      <c r="E123" s="116">
        <v>0</v>
      </c>
      <c r="F123" s="116">
        <v>0</v>
      </c>
      <c r="G123" s="116">
        <v>57.364541379292746</v>
      </c>
      <c r="H123" s="116">
        <v>169.87691311499452</v>
      </c>
      <c r="I123" s="116">
        <v>156.0604127124146</v>
      </c>
      <c r="J123" s="116">
        <v>156.0604127124146</v>
      </c>
      <c r="K123" s="116">
        <v>120.65141843271216</v>
      </c>
      <c r="L123" s="116">
        <v>122.22850211559941</v>
      </c>
      <c r="M123" s="116">
        <v>28.248213784609064</v>
      </c>
      <c r="N123" s="116">
        <v>104.05123146201299</v>
      </c>
      <c r="O123" s="116">
        <v>173.94785624601718</v>
      </c>
      <c r="P123" s="116">
        <v>185.07524584391177</v>
      </c>
      <c r="Q123" s="116">
        <v>228.736641282253</v>
      </c>
      <c r="R123" s="116">
        <v>228.62984542213948</v>
      </c>
      <c r="S123" s="116">
        <v>228.736641282253</v>
      </c>
      <c r="T123" s="116">
        <v>228.736641282253</v>
      </c>
      <c r="U123" s="116">
        <v>184.05657624669001</v>
      </c>
      <c r="V123" s="116">
        <v>184.05657624669001</v>
      </c>
      <c r="W123" s="116">
        <v>184.05657624669001</v>
      </c>
      <c r="X123" s="116">
        <v>184.05657624669001</v>
      </c>
      <c r="Y123" s="116">
        <v>186.15203926641479</v>
      </c>
      <c r="Z123" s="116">
        <v>32.952180218604305</v>
      </c>
      <c r="AA123" s="116">
        <v>202.82909333359882</v>
      </c>
      <c r="AB123" s="116">
        <v>32.952180218604305</v>
      </c>
      <c r="AC123" s="116">
        <v>186.35997738087946</v>
      </c>
      <c r="AD123" s="116">
        <v>186.35997738087946</v>
      </c>
      <c r="AE123" s="116">
        <v>37.662306306981407</v>
      </c>
      <c r="AF123" s="116">
        <v>186.35997738087946</v>
      </c>
      <c r="AG123" s="116">
        <v>43.512512204284832</v>
      </c>
      <c r="AH123" s="116">
        <v>43.512512204284832</v>
      </c>
      <c r="AI123" s="116">
        <v>213.38942531927935</v>
      </c>
      <c r="AJ123" s="116">
        <v>213.38942531927935</v>
      </c>
      <c r="AK123" s="116">
        <v>214.88675609375136</v>
      </c>
      <c r="AL123" s="116">
        <v>214.88675609375136</v>
      </c>
      <c r="AM123" s="116">
        <v>214.88675609375136</v>
      </c>
      <c r="AN123" s="116">
        <v>45.009842978756836</v>
      </c>
      <c r="AO123" s="116">
        <v>219.46418870659971</v>
      </c>
      <c r="AP123" s="116">
        <v>219.46418870659971</v>
      </c>
      <c r="AQ123" s="116">
        <v>49.587275591605191</v>
      </c>
      <c r="AR123" s="116">
        <v>49.587275591605191</v>
      </c>
      <c r="AS123" s="116">
        <v>205.06983787685328</v>
      </c>
      <c r="AT123" s="116">
        <v>205.06983787685328</v>
      </c>
      <c r="AU123" s="116">
        <v>205.06983787685328</v>
      </c>
      <c r="AV123" s="116">
        <v>205.06983787685328</v>
      </c>
      <c r="AW123" s="116">
        <v>183.68612915485346</v>
      </c>
      <c r="AX123" s="116">
        <v>198.827717625053</v>
      </c>
      <c r="AY123" s="116">
        <v>28.950804510058468</v>
      </c>
    </row>
    <row r="124" spans="1:52" x14ac:dyDescent="0.2">
      <c r="A124" s="119"/>
      <c r="B124" s="129">
        <v>3</v>
      </c>
      <c r="C124" s="116"/>
      <c r="D124" s="116">
        <v>0</v>
      </c>
      <c r="E124" s="116">
        <v>0</v>
      </c>
      <c r="F124" s="116">
        <v>0</v>
      </c>
      <c r="G124" s="116">
        <v>0</v>
      </c>
      <c r="H124" s="116">
        <v>0</v>
      </c>
      <c r="I124" s="116">
        <v>7.9825192267741443</v>
      </c>
      <c r="J124" s="116">
        <v>0.43454141776861377</v>
      </c>
      <c r="K124" s="116">
        <v>0</v>
      </c>
      <c r="L124" s="116">
        <v>0</v>
      </c>
      <c r="M124" s="116">
        <v>0</v>
      </c>
      <c r="N124" s="116">
        <v>0</v>
      </c>
      <c r="O124" s="116">
        <v>0</v>
      </c>
      <c r="P124" s="116">
        <v>0</v>
      </c>
      <c r="Q124" s="116">
        <v>45.958895306907124</v>
      </c>
      <c r="R124" s="116">
        <v>111.744057488766</v>
      </c>
      <c r="S124" s="116">
        <v>159.14550495704893</v>
      </c>
      <c r="T124" s="116">
        <v>191.21001047737516</v>
      </c>
      <c r="U124" s="116">
        <v>192.56941072967385</v>
      </c>
      <c r="V124" s="116">
        <v>154.95403897712276</v>
      </c>
      <c r="W124" s="116">
        <v>154.95403897712276</v>
      </c>
      <c r="X124" s="116">
        <v>154.95403897712276</v>
      </c>
      <c r="Y124" s="116">
        <v>165.98748482513244</v>
      </c>
      <c r="Z124" s="116">
        <v>167.87723331052212</v>
      </c>
      <c r="AA124" s="116">
        <v>29.717218615756877</v>
      </c>
      <c r="AB124" s="116">
        <v>182.91707766356737</v>
      </c>
      <c r="AC124" s="116">
        <v>28.843898593783269</v>
      </c>
      <c r="AD124" s="116">
        <v>163.12572503105548</v>
      </c>
      <c r="AE124" s="116">
        <v>163.12572503105548</v>
      </c>
      <c r="AF124" s="116">
        <v>31.966838473372775</v>
      </c>
      <c r="AG124" s="116">
        <v>150.32681585425223</v>
      </c>
      <c r="AH124" s="116">
        <v>213.38942531927935</v>
      </c>
      <c r="AI124" s="116">
        <v>213.38942531927935</v>
      </c>
      <c r="AJ124" s="116">
        <v>213.38942531927935</v>
      </c>
      <c r="AK124" s="116">
        <v>213.38942531927935</v>
      </c>
      <c r="AL124" s="116">
        <v>214.88675609375136</v>
      </c>
      <c r="AM124" s="116">
        <v>214.88675609375136</v>
      </c>
      <c r="AN124" s="116">
        <v>214.88675609375136</v>
      </c>
      <c r="AO124" s="116">
        <v>45.009842978756836</v>
      </c>
      <c r="AP124" s="116">
        <v>219.46418870659971</v>
      </c>
      <c r="AQ124" s="116">
        <v>219.46418870659971</v>
      </c>
      <c r="AR124" s="116">
        <v>219.46418870659971</v>
      </c>
      <c r="AS124" s="116">
        <v>49.479870806340294</v>
      </c>
      <c r="AT124" s="116">
        <v>204.62566179259187</v>
      </c>
      <c r="AU124" s="116">
        <v>204.62566179259187</v>
      </c>
      <c r="AV124" s="116">
        <v>204.62566179259187</v>
      </c>
      <c r="AW124" s="116">
        <v>186.79140889056762</v>
      </c>
      <c r="AX124" s="116">
        <v>167.31368793051848</v>
      </c>
      <c r="AY124" s="116">
        <v>181.10566569025212</v>
      </c>
    </row>
    <row r="125" spans="1:52" x14ac:dyDescent="0.2">
      <c r="A125" s="119"/>
      <c r="B125" s="129">
        <v>4</v>
      </c>
      <c r="C125" s="116"/>
      <c r="D125" s="116">
        <v>0</v>
      </c>
      <c r="E125" s="116">
        <v>0</v>
      </c>
      <c r="F125" s="116">
        <v>0</v>
      </c>
      <c r="G125" s="116">
        <v>0</v>
      </c>
      <c r="H125" s="116">
        <v>0</v>
      </c>
      <c r="I125" s="116">
        <v>0</v>
      </c>
      <c r="J125" s="116">
        <v>0</v>
      </c>
      <c r="K125" s="116">
        <v>0</v>
      </c>
      <c r="L125" s="116">
        <v>0</v>
      </c>
      <c r="M125" s="116">
        <v>0</v>
      </c>
      <c r="N125" s="116">
        <v>0</v>
      </c>
      <c r="O125" s="116">
        <v>0</v>
      </c>
      <c r="P125" s="116">
        <v>0</v>
      </c>
      <c r="Q125" s="116">
        <v>0</v>
      </c>
      <c r="R125" s="116">
        <v>0</v>
      </c>
      <c r="S125" s="116">
        <v>0</v>
      </c>
      <c r="T125" s="116">
        <v>0</v>
      </c>
      <c r="U125" s="116">
        <v>88.321602063337508</v>
      </c>
      <c r="V125" s="116">
        <v>162.12084666843879</v>
      </c>
      <c r="W125" s="116">
        <v>130.453117649772</v>
      </c>
      <c r="X125" s="116">
        <v>130.453117649772</v>
      </c>
      <c r="Y125" s="116">
        <v>139.74198432787966</v>
      </c>
      <c r="Z125" s="116">
        <v>149.69226137101447</v>
      </c>
      <c r="AA125" s="116">
        <v>151.39649060551633</v>
      </c>
      <c r="AB125" s="116">
        <v>26.799837716294558</v>
      </c>
      <c r="AC125" s="116">
        <v>160.11206555068372</v>
      </c>
      <c r="AD125" s="116">
        <v>25.247813060294398</v>
      </c>
      <c r="AE125" s="116">
        <v>58.890871771529845</v>
      </c>
      <c r="AF125" s="116">
        <v>0</v>
      </c>
      <c r="AG125" s="116">
        <v>0</v>
      </c>
      <c r="AH125" s="116">
        <v>76.326815854252231</v>
      </c>
      <c r="AI125" s="116">
        <v>207.90246603911876</v>
      </c>
      <c r="AJ125" s="116">
        <v>213.38942531927935</v>
      </c>
      <c r="AK125" s="116">
        <v>213.38942531927935</v>
      </c>
      <c r="AL125" s="116">
        <v>213.38942531927935</v>
      </c>
      <c r="AM125" s="116">
        <v>214.88675609375136</v>
      </c>
      <c r="AN125" s="116">
        <v>214.88675609375136</v>
      </c>
      <c r="AO125" s="116">
        <v>214.88675609375136</v>
      </c>
      <c r="AP125" s="116">
        <v>45.009842978756836</v>
      </c>
      <c r="AQ125" s="116">
        <v>219.46418870659971</v>
      </c>
      <c r="AR125" s="116">
        <v>219.46418870659971</v>
      </c>
      <c r="AS125" s="116">
        <v>218.98883482235937</v>
      </c>
      <c r="AT125" s="116">
        <v>49.372698657124872</v>
      </c>
      <c r="AU125" s="116">
        <v>204.18244778249931</v>
      </c>
      <c r="AV125" s="116">
        <v>204.18244778249931</v>
      </c>
      <c r="AW125" s="116">
        <v>186.38682342137488</v>
      </c>
      <c r="AX125" s="116">
        <v>170.14218568932444</v>
      </c>
      <c r="AY125" s="116">
        <v>152.40056664981583</v>
      </c>
    </row>
    <row r="126" spans="1:52" x14ac:dyDescent="0.2">
      <c r="A126" s="119"/>
      <c r="B126" s="129">
        <v>5</v>
      </c>
      <c r="C126" s="116"/>
      <c r="D126" s="116">
        <v>0</v>
      </c>
      <c r="E126" s="116">
        <v>0</v>
      </c>
      <c r="F126" s="116">
        <v>0</v>
      </c>
      <c r="G126" s="116">
        <v>0</v>
      </c>
      <c r="H126" s="116">
        <v>0</v>
      </c>
      <c r="I126" s="116">
        <v>0</v>
      </c>
      <c r="J126" s="116">
        <v>0</v>
      </c>
      <c r="K126" s="116">
        <v>0</v>
      </c>
      <c r="L126" s="116">
        <v>0</v>
      </c>
      <c r="M126" s="116">
        <v>0</v>
      </c>
      <c r="N126" s="116">
        <v>0</v>
      </c>
      <c r="O126" s="116">
        <v>0</v>
      </c>
      <c r="P126" s="116">
        <v>0</v>
      </c>
      <c r="Q126" s="116">
        <v>0</v>
      </c>
      <c r="R126" s="116">
        <v>0</v>
      </c>
      <c r="S126" s="116">
        <v>0</v>
      </c>
      <c r="T126" s="116">
        <v>0</v>
      </c>
      <c r="U126" s="116">
        <v>0</v>
      </c>
      <c r="V126" s="116">
        <v>11.39583784096687</v>
      </c>
      <c r="W126" s="116">
        <v>73.266911809447919</v>
      </c>
      <c r="X126" s="116">
        <v>103.26231993121135</v>
      </c>
      <c r="Y126" s="116">
        <v>117.64635270222873</v>
      </c>
      <c r="Z126" s="116">
        <v>126.02331835168512</v>
      </c>
      <c r="AA126" s="116">
        <v>134.9967627859092</v>
      </c>
      <c r="AB126" s="116">
        <v>136.53368545375935</v>
      </c>
      <c r="AC126" s="116">
        <v>23.458593522203962</v>
      </c>
      <c r="AD126" s="116">
        <v>77.688345080620238</v>
      </c>
      <c r="AE126" s="116">
        <v>0</v>
      </c>
      <c r="AF126" s="116">
        <v>0</v>
      </c>
      <c r="AG126" s="116">
        <v>0</v>
      </c>
      <c r="AH126" s="116">
        <v>0</v>
      </c>
      <c r="AI126" s="116">
        <v>0</v>
      </c>
      <c r="AJ126" s="116">
        <v>130.90246603911876</v>
      </c>
      <c r="AK126" s="116">
        <v>213.38942531927935</v>
      </c>
      <c r="AL126" s="116">
        <v>213.38942531927935</v>
      </c>
      <c r="AM126" s="116">
        <v>213.38942531927935</v>
      </c>
      <c r="AN126" s="116">
        <v>214.88675609375136</v>
      </c>
      <c r="AO126" s="116">
        <v>214.88675609375136</v>
      </c>
      <c r="AP126" s="116">
        <v>214.88675609375136</v>
      </c>
      <c r="AQ126" s="116">
        <v>45.009842978756836</v>
      </c>
      <c r="AR126" s="116">
        <v>219.46418870659971</v>
      </c>
      <c r="AS126" s="116">
        <v>218.98883482235937</v>
      </c>
      <c r="AT126" s="116">
        <v>218.51451054261437</v>
      </c>
      <c r="AU126" s="116">
        <v>49.26575864007512</v>
      </c>
      <c r="AV126" s="116">
        <v>203.74019376274725</v>
      </c>
      <c r="AW126" s="116">
        <v>185.9831142740797</v>
      </c>
      <c r="AX126" s="116">
        <v>169.77366201665959</v>
      </c>
      <c r="AY126" s="116">
        <v>154.97695275750101</v>
      </c>
    </row>
    <row r="127" spans="1:52" x14ac:dyDescent="0.2">
      <c r="A127" s="119"/>
      <c r="B127" s="129">
        <v>6</v>
      </c>
      <c r="C127" s="116"/>
      <c r="D127" s="116">
        <v>0</v>
      </c>
      <c r="E127" s="116">
        <v>0</v>
      </c>
      <c r="F127" s="116">
        <v>0</v>
      </c>
      <c r="G127" s="116">
        <v>0</v>
      </c>
      <c r="H127" s="116">
        <v>0</v>
      </c>
      <c r="I127" s="116">
        <v>0</v>
      </c>
      <c r="J127" s="116">
        <v>0</v>
      </c>
      <c r="K127" s="116">
        <v>0</v>
      </c>
      <c r="L127" s="116">
        <v>0</v>
      </c>
      <c r="M127" s="116">
        <v>0</v>
      </c>
      <c r="N127" s="116">
        <v>0</v>
      </c>
      <c r="O127" s="116">
        <v>0</v>
      </c>
      <c r="P127" s="116">
        <v>0</v>
      </c>
      <c r="Q127" s="116">
        <v>0</v>
      </c>
      <c r="R127" s="116">
        <v>0</v>
      </c>
      <c r="S127" s="116">
        <v>0</v>
      </c>
      <c r="T127" s="116">
        <v>0</v>
      </c>
      <c r="U127" s="116">
        <v>0</v>
      </c>
      <c r="V127" s="116">
        <v>0</v>
      </c>
      <c r="W127" s="116">
        <v>0</v>
      </c>
      <c r="X127" s="116">
        <v>0</v>
      </c>
      <c r="Y127" s="116">
        <v>27.878874379566227</v>
      </c>
      <c r="Z127" s="116">
        <v>63.238812078836489</v>
      </c>
      <c r="AA127" s="116">
        <v>112.68200247679766</v>
      </c>
      <c r="AB127" s="116">
        <v>121.74394184283365</v>
      </c>
      <c r="AC127" s="116">
        <v>105.86088215760449</v>
      </c>
      <c r="AD127" s="116">
        <v>0</v>
      </c>
      <c r="AE127" s="116">
        <v>0</v>
      </c>
      <c r="AF127" s="116">
        <v>0</v>
      </c>
      <c r="AG127" s="116">
        <v>0</v>
      </c>
      <c r="AH127" s="116">
        <v>0</v>
      </c>
      <c r="AI127" s="116">
        <v>0</v>
      </c>
      <c r="AJ127" s="116">
        <v>0</v>
      </c>
      <c r="AK127" s="116">
        <v>61.724319023279804</v>
      </c>
      <c r="AL127" s="116">
        <v>177.25581612201691</v>
      </c>
      <c r="AM127" s="116">
        <v>213.38942531927935</v>
      </c>
      <c r="AN127" s="116">
        <v>213.38942531927935</v>
      </c>
      <c r="AO127" s="116">
        <v>214.88675609375136</v>
      </c>
      <c r="AP127" s="116">
        <v>214.88675609375136</v>
      </c>
      <c r="AQ127" s="116">
        <v>214.88675609375136</v>
      </c>
      <c r="AR127" s="116">
        <v>45.009842978756836</v>
      </c>
      <c r="AS127" s="116">
        <v>218.98883482235937</v>
      </c>
      <c r="AT127" s="116">
        <v>218.51451054261437</v>
      </c>
      <c r="AU127" s="116">
        <v>218.04121363726742</v>
      </c>
      <c r="AV127" s="116">
        <v>49.159050252398643</v>
      </c>
      <c r="AW127" s="116">
        <v>185.58027955059097</v>
      </c>
      <c r="AX127" s="116">
        <v>169.40593655695272</v>
      </c>
      <c r="AY127" s="116">
        <v>154.64127659595877</v>
      </c>
    </row>
    <row r="128" spans="1:52" x14ac:dyDescent="0.2">
      <c r="A128" s="119"/>
      <c r="B128" s="129">
        <v>7</v>
      </c>
      <c r="C128" s="116"/>
      <c r="D128" s="116">
        <v>0</v>
      </c>
      <c r="E128" s="116">
        <v>0</v>
      </c>
      <c r="F128" s="116">
        <v>0</v>
      </c>
      <c r="G128" s="116">
        <v>0</v>
      </c>
      <c r="H128" s="116">
        <v>0</v>
      </c>
      <c r="I128" s="116">
        <v>0</v>
      </c>
      <c r="J128" s="116">
        <v>0</v>
      </c>
      <c r="K128" s="116">
        <v>0</v>
      </c>
      <c r="L128" s="116">
        <v>0</v>
      </c>
      <c r="M128" s="116">
        <v>0</v>
      </c>
      <c r="N128" s="116">
        <v>0</v>
      </c>
      <c r="O128" s="116">
        <v>0</v>
      </c>
      <c r="P128" s="116">
        <v>0</v>
      </c>
      <c r="Q128" s="116">
        <v>0</v>
      </c>
      <c r="R128" s="116">
        <v>0</v>
      </c>
      <c r="S128" s="116">
        <v>0</v>
      </c>
      <c r="T128" s="116">
        <v>0</v>
      </c>
      <c r="U128" s="116">
        <v>0</v>
      </c>
      <c r="V128" s="116">
        <v>0</v>
      </c>
      <c r="W128" s="116">
        <v>0</v>
      </c>
      <c r="X128" s="116">
        <v>0</v>
      </c>
      <c r="Y128" s="116">
        <v>0</v>
      </c>
      <c r="Z128" s="116">
        <v>0</v>
      </c>
      <c r="AA128" s="116">
        <v>0</v>
      </c>
      <c r="AB128" s="116">
        <v>30.806077617354035</v>
      </c>
      <c r="AC128" s="116">
        <v>0</v>
      </c>
      <c r="AD128" s="116">
        <v>0</v>
      </c>
      <c r="AE128" s="116">
        <v>0</v>
      </c>
      <c r="AF128" s="116">
        <v>0</v>
      </c>
      <c r="AG128" s="116">
        <v>0</v>
      </c>
      <c r="AH128" s="116">
        <v>0</v>
      </c>
      <c r="AI128" s="116">
        <v>0</v>
      </c>
      <c r="AJ128" s="116">
        <v>0</v>
      </c>
      <c r="AK128" s="116">
        <v>0</v>
      </c>
      <c r="AL128" s="116">
        <v>0</v>
      </c>
      <c r="AM128" s="116">
        <v>84.144682421455073</v>
      </c>
      <c r="AN128" s="116">
        <v>213.38942531927935</v>
      </c>
      <c r="AO128" s="116">
        <v>213.38942531927935</v>
      </c>
      <c r="AP128" s="116">
        <v>214.88675609375136</v>
      </c>
      <c r="AQ128" s="116">
        <v>214.88675609375136</v>
      </c>
      <c r="AR128" s="116">
        <v>214.88675609375136</v>
      </c>
      <c r="AS128" s="116">
        <v>44.912352796804626</v>
      </c>
      <c r="AT128" s="116">
        <v>218.51451054261437</v>
      </c>
      <c r="AU128" s="116">
        <v>218.04121363726742</v>
      </c>
      <c r="AV128" s="116">
        <v>217.56894188105156</v>
      </c>
      <c r="AW128" s="116">
        <v>44.777371218686696</v>
      </c>
      <c r="AX128" s="116">
        <v>169.03900758129473</v>
      </c>
      <c r="AY128" s="116">
        <v>154.30632750049585</v>
      </c>
    </row>
    <row r="129" spans="1:51" x14ac:dyDescent="0.2">
      <c r="A129" s="119"/>
      <c r="B129" s="129">
        <v>8</v>
      </c>
      <c r="C129" s="116"/>
      <c r="D129" s="116">
        <v>0</v>
      </c>
      <c r="E129" s="116">
        <v>0</v>
      </c>
      <c r="F129" s="116">
        <v>0</v>
      </c>
      <c r="G129" s="116">
        <v>0</v>
      </c>
      <c r="H129" s="116">
        <v>0</v>
      </c>
      <c r="I129" s="116">
        <v>0</v>
      </c>
      <c r="J129" s="116">
        <v>0</v>
      </c>
      <c r="K129" s="116">
        <v>0</v>
      </c>
      <c r="L129" s="116">
        <v>0</v>
      </c>
      <c r="M129" s="116">
        <v>0</v>
      </c>
      <c r="N129" s="116">
        <v>0</v>
      </c>
      <c r="O129" s="116">
        <v>0</v>
      </c>
      <c r="P129" s="116">
        <v>0</v>
      </c>
      <c r="Q129" s="116">
        <v>0</v>
      </c>
      <c r="R129" s="116">
        <v>0</v>
      </c>
      <c r="S129" s="116">
        <v>0</v>
      </c>
      <c r="T129" s="116">
        <v>0</v>
      </c>
      <c r="U129" s="116">
        <v>0</v>
      </c>
      <c r="V129" s="116">
        <v>0</v>
      </c>
      <c r="W129" s="116">
        <v>0</v>
      </c>
      <c r="X129" s="116">
        <v>0</v>
      </c>
      <c r="Y129" s="116">
        <v>0</v>
      </c>
      <c r="Z129" s="116">
        <v>0</v>
      </c>
      <c r="AA129" s="116">
        <v>0</v>
      </c>
      <c r="AB129" s="116">
        <v>0</v>
      </c>
      <c r="AC129" s="116">
        <v>0</v>
      </c>
      <c r="AD129" s="116">
        <v>0</v>
      </c>
      <c r="AE129" s="116">
        <v>0</v>
      </c>
      <c r="AF129" s="116">
        <v>0</v>
      </c>
      <c r="AG129" s="116">
        <v>0</v>
      </c>
      <c r="AH129" s="116">
        <v>0</v>
      </c>
      <c r="AI129" s="116">
        <v>0</v>
      </c>
      <c r="AJ129" s="116">
        <v>0</v>
      </c>
      <c r="AK129" s="116">
        <v>0</v>
      </c>
      <c r="AL129" s="116">
        <v>0</v>
      </c>
      <c r="AM129" s="116">
        <v>0</v>
      </c>
      <c r="AN129" s="116">
        <v>0.35317105661033565</v>
      </c>
      <c r="AO129" s="116">
        <v>19.74259637588969</v>
      </c>
      <c r="AP129" s="116">
        <v>42.963500990945107</v>
      </c>
      <c r="AQ129" s="116">
        <v>124.85025708469647</v>
      </c>
      <c r="AR129" s="116">
        <v>178.73701317844782</v>
      </c>
      <c r="AS129" s="116">
        <v>214.42131681282368</v>
      </c>
      <c r="AT129" s="116">
        <v>44.815073776121778</v>
      </c>
      <c r="AU129" s="116">
        <v>218.04121363726742</v>
      </c>
      <c r="AV129" s="116">
        <v>217.56894188105156</v>
      </c>
      <c r="AW129" s="116">
        <v>198.17643396780966</v>
      </c>
      <c r="AX129" s="116">
        <v>40.786243081623411</v>
      </c>
      <c r="AY129" s="116">
        <v>153.97210389630553</v>
      </c>
    </row>
    <row r="130" spans="1:51" x14ac:dyDescent="0.2">
      <c r="A130" s="119"/>
      <c r="B130" s="129">
        <v>9</v>
      </c>
      <c r="C130" s="116"/>
      <c r="D130" s="116">
        <v>0</v>
      </c>
      <c r="E130" s="116">
        <v>0</v>
      </c>
      <c r="F130" s="116">
        <v>0</v>
      </c>
      <c r="G130" s="116">
        <v>0</v>
      </c>
      <c r="H130" s="116">
        <v>0</v>
      </c>
      <c r="I130" s="116">
        <v>0</v>
      </c>
      <c r="J130" s="116">
        <v>0</v>
      </c>
      <c r="K130" s="116">
        <v>0</v>
      </c>
      <c r="L130" s="116">
        <v>0</v>
      </c>
      <c r="M130" s="116">
        <v>0</v>
      </c>
      <c r="N130" s="116">
        <v>0</v>
      </c>
      <c r="O130" s="116">
        <v>0</v>
      </c>
      <c r="P130" s="116">
        <v>0</v>
      </c>
      <c r="Q130" s="116">
        <v>0</v>
      </c>
      <c r="R130" s="116">
        <v>0</v>
      </c>
      <c r="S130" s="116">
        <v>0</v>
      </c>
      <c r="T130" s="116">
        <v>0</v>
      </c>
      <c r="U130" s="116">
        <v>0</v>
      </c>
      <c r="V130" s="116">
        <v>0</v>
      </c>
      <c r="W130" s="116">
        <v>0</v>
      </c>
      <c r="X130" s="116">
        <v>0</v>
      </c>
      <c r="Y130" s="116">
        <v>0</v>
      </c>
      <c r="Z130" s="116">
        <v>0</v>
      </c>
      <c r="AA130" s="116">
        <v>0</v>
      </c>
      <c r="AB130" s="116">
        <v>0</v>
      </c>
      <c r="AC130" s="116">
        <v>0</v>
      </c>
      <c r="AD130" s="116">
        <v>0</v>
      </c>
      <c r="AE130" s="116">
        <v>0</v>
      </c>
      <c r="AF130" s="116">
        <v>0</v>
      </c>
      <c r="AG130" s="116">
        <v>0</v>
      </c>
      <c r="AH130" s="116">
        <v>0</v>
      </c>
      <c r="AI130" s="116">
        <v>0</v>
      </c>
      <c r="AJ130" s="116">
        <v>0</v>
      </c>
      <c r="AK130" s="116">
        <v>0</v>
      </c>
      <c r="AL130" s="116">
        <v>0</v>
      </c>
      <c r="AM130" s="116">
        <v>0</v>
      </c>
      <c r="AN130" s="116">
        <v>0</v>
      </c>
      <c r="AO130" s="116">
        <v>0</v>
      </c>
      <c r="AP130" s="116">
        <v>0</v>
      </c>
      <c r="AQ130" s="116">
        <v>0</v>
      </c>
      <c r="AR130" s="116">
        <v>0</v>
      </c>
      <c r="AS130" s="116">
        <v>28.844130860432784</v>
      </c>
      <c r="AT130" s="116">
        <v>127.11103135057056</v>
      </c>
      <c r="AU130" s="116">
        <v>19.413334456697299</v>
      </c>
      <c r="AV130" s="116">
        <v>133.77332672532432</v>
      </c>
      <c r="AW130" s="116">
        <v>198.17643396780966</v>
      </c>
      <c r="AX130" s="116">
        <v>180.512432705902</v>
      </c>
      <c r="AY130" s="116">
        <v>37.150854984069426</v>
      </c>
    </row>
    <row r="131" spans="1:51" x14ac:dyDescent="0.2">
      <c r="A131" s="119"/>
      <c r="B131" s="129">
        <v>10</v>
      </c>
      <c r="C131" s="116"/>
      <c r="D131" s="116">
        <v>0</v>
      </c>
      <c r="E131" s="116">
        <v>0</v>
      </c>
      <c r="F131" s="116">
        <v>0</v>
      </c>
      <c r="G131" s="116">
        <v>0</v>
      </c>
      <c r="H131" s="116">
        <v>0</v>
      </c>
      <c r="I131" s="116">
        <v>0</v>
      </c>
      <c r="J131" s="116">
        <v>0</v>
      </c>
      <c r="K131" s="116">
        <v>0</v>
      </c>
      <c r="L131" s="116">
        <v>0</v>
      </c>
      <c r="M131" s="116">
        <v>0</v>
      </c>
      <c r="N131" s="116">
        <v>0</v>
      </c>
      <c r="O131" s="116">
        <v>0</v>
      </c>
      <c r="P131" s="116">
        <v>0</v>
      </c>
      <c r="Q131" s="116">
        <v>0</v>
      </c>
      <c r="R131" s="116">
        <v>0</v>
      </c>
      <c r="S131" s="116">
        <v>0</v>
      </c>
      <c r="T131" s="116">
        <v>0</v>
      </c>
      <c r="U131" s="116">
        <v>0</v>
      </c>
      <c r="V131" s="116">
        <v>0</v>
      </c>
      <c r="W131" s="116">
        <v>0</v>
      </c>
      <c r="X131" s="116">
        <v>0</v>
      </c>
      <c r="Y131" s="116">
        <v>0</v>
      </c>
      <c r="Z131" s="116">
        <v>0</v>
      </c>
      <c r="AA131" s="116">
        <v>0</v>
      </c>
      <c r="AB131" s="116">
        <v>0</v>
      </c>
      <c r="AC131" s="116">
        <v>0</v>
      </c>
      <c r="AD131" s="116">
        <v>0</v>
      </c>
      <c r="AE131" s="116">
        <v>0</v>
      </c>
      <c r="AF131" s="116">
        <v>0</v>
      </c>
      <c r="AG131" s="116">
        <v>0</v>
      </c>
      <c r="AH131" s="116">
        <v>0</v>
      </c>
      <c r="AI131" s="116">
        <v>0</v>
      </c>
      <c r="AJ131" s="116">
        <v>0</v>
      </c>
      <c r="AK131" s="116">
        <v>0</v>
      </c>
      <c r="AL131" s="116">
        <v>0</v>
      </c>
      <c r="AM131" s="116">
        <v>0</v>
      </c>
      <c r="AN131" s="116">
        <v>0</v>
      </c>
      <c r="AO131" s="116">
        <v>0</v>
      </c>
      <c r="AP131" s="116">
        <v>0</v>
      </c>
      <c r="AQ131" s="116">
        <v>0</v>
      </c>
      <c r="AR131" s="116">
        <v>0</v>
      </c>
      <c r="AS131" s="116">
        <v>0</v>
      </c>
      <c r="AT131" s="116">
        <v>0</v>
      </c>
      <c r="AU131" s="116">
        <v>0</v>
      </c>
      <c r="AV131" s="116">
        <v>0</v>
      </c>
      <c r="AW131" s="116">
        <v>58.657442114874307</v>
      </c>
      <c r="AX131" s="116">
        <v>149.94157844470107</v>
      </c>
      <c r="AY131" s="116">
        <v>164.4228716250673</v>
      </c>
    </row>
    <row r="132" spans="1:51" x14ac:dyDescent="0.2">
      <c r="A132" s="119"/>
      <c r="B132" s="129">
        <v>11</v>
      </c>
      <c r="C132" s="116"/>
      <c r="D132" s="116">
        <v>0</v>
      </c>
      <c r="E132" s="116">
        <v>0</v>
      </c>
      <c r="F132" s="116">
        <v>0</v>
      </c>
      <c r="G132" s="116">
        <v>0</v>
      </c>
      <c r="H132" s="116">
        <v>0</v>
      </c>
      <c r="I132" s="116">
        <v>0</v>
      </c>
      <c r="J132" s="116">
        <v>0</v>
      </c>
      <c r="K132" s="116">
        <v>0</v>
      </c>
      <c r="L132" s="116">
        <v>0</v>
      </c>
      <c r="M132" s="116">
        <v>0</v>
      </c>
      <c r="N132" s="116">
        <v>0</v>
      </c>
      <c r="O132" s="116">
        <v>0</v>
      </c>
      <c r="P132" s="116">
        <v>0</v>
      </c>
      <c r="Q132" s="116">
        <v>0</v>
      </c>
      <c r="R132" s="116">
        <v>0</v>
      </c>
      <c r="S132" s="116">
        <v>0</v>
      </c>
      <c r="T132" s="116">
        <v>0</v>
      </c>
      <c r="U132" s="116">
        <v>0</v>
      </c>
      <c r="V132" s="116">
        <v>0</v>
      </c>
      <c r="W132" s="116">
        <v>0</v>
      </c>
      <c r="X132" s="116">
        <v>0</v>
      </c>
      <c r="Y132" s="116">
        <v>0</v>
      </c>
      <c r="Z132" s="116">
        <v>0</v>
      </c>
      <c r="AA132" s="116">
        <v>0</v>
      </c>
      <c r="AB132" s="116">
        <v>0</v>
      </c>
      <c r="AC132" s="116">
        <v>0</v>
      </c>
      <c r="AD132" s="116">
        <v>0</v>
      </c>
      <c r="AE132" s="116">
        <v>0</v>
      </c>
      <c r="AF132" s="116">
        <v>0</v>
      </c>
      <c r="AG132" s="116">
        <v>0</v>
      </c>
      <c r="AH132" s="116">
        <v>0</v>
      </c>
      <c r="AI132" s="116">
        <v>0</v>
      </c>
      <c r="AJ132" s="116">
        <v>0</v>
      </c>
      <c r="AK132" s="116">
        <v>0</v>
      </c>
      <c r="AL132" s="116">
        <v>0</v>
      </c>
      <c r="AM132" s="116">
        <v>0</v>
      </c>
      <c r="AN132" s="116">
        <v>0</v>
      </c>
      <c r="AO132" s="116">
        <v>0</v>
      </c>
      <c r="AP132" s="116">
        <v>0</v>
      </c>
      <c r="AQ132" s="116">
        <v>0</v>
      </c>
      <c r="AR132" s="116">
        <v>0</v>
      </c>
      <c r="AS132" s="116">
        <v>0</v>
      </c>
      <c r="AT132" s="116">
        <v>0</v>
      </c>
      <c r="AU132" s="116">
        <v>0</v>
      </c>
      <c r="AV132" s="116">
        <v>0</v>
      </c>
      <c r="AW132" s="116">
        <v>0</v>
      </c>
      <c r="AX132" s="116">
        <v>0</v>
      </c>
      <c r="AY132" s="116">
        <v>66.907266653799113</v>
      </c>
    </row>
    <row r="133" spans="1:51" x14ac:dyDescent="0.2">
      <c r="A133" s="119"/>
      <c r="B133" s="129">
        <v>12</v>
      </c>
      <c r="C133" s="116"/>
      <c r="D133" s="116">
        <v>0</v>
      </c>
      <c r="E133" s="116">
        <v>0</v>
      </c>
      <c r="F133" s="116">
        <v>0</v>
      </c>
      <c r="G133" s="116">
        <v>0</v>
      </c>
      <c r="H133" s="116">
        <v>0</v>
      </c>
      <c r="I133" s="116">
        <v>0</v>
      </c>
      <c r="J133" s="116">
        <v>0</v>
      </c>
      <c r="K133" s="116">
        <v>0</v>
      </c>
      <c r="L133" s="116">
        <v>0</v>
      </c>
      <c r="M133" s="116">
        <v>0</v>
      </c>
      <c r="N133" s="116">
        <v>0</v>
      </c>
      <c r="O133" s="116">
        <v>0</v>
      </c>
      <c r="P133" s="116">
        <v>0</v>
      </c>
      <c r="Q133" s="116">
        <v>0</v>
      </c>
      <c r="R133" s="116">
        <v>0</v>
      </c>
      <c r="S133" s="116">
        <v>0</v>
      </c>
      <c r="T133" s="116">
        <v>0</v>
      </c>
      <c r="U133" s="116">
        <v>0</v>
      </c>
      <c r="V133" s="116">
        <v>0</v>
      </c>
      <c r="W133" s="116">
        <v>0</v>
      </c>
      <c r="X133" s="116">
        <v>0</v>
      </c>
      <c r="Y133" s="116">
        <v>0</v>
      </c>
      <c r="Z133" s="116">
        <v>0</v>
      </c>
      <c r="AA133" s="116">
        <v>0</v>
      </c>
      <c r="AB133" s="116">
        <v>0</v>
      </c>
      <c r="AC133" s="116">
        <v>0</v>
      </c>
      <c r="AD133" s="116">
        <v>0</v>
      </c>
      <c r="AE133" s="116">
        <v>0</v>
      </c>
      <c r="AF133" s="116">
        <v>0</v>
      </c>
      <c r="AG133" s="116">
        <v>0</v>
      </c>
      <c r="AH133" s="116">
        <v>0</v>
      </c>
      <c r="AI133" s="116">
        <v>0</v>
      </c>
      <c r="AJ133" s="116">
        <v>0</v>
      </c>
      <c r="AK133" s="116">
        <v>0</v>
      </c>
      <c r="AL133" s="116">
        <v>0</v>
      </c>
      <c r="AM133" s="116">
        <v>0</v>
      </c>
      <c r="AN133" s="116">
        <v>0</v>
      </c>
      <c r="AO133" s="116">
        <v>0</v>
      </c>
      <c r="AP133" s="116">
        <v>0</v>
      </c>
      <c r="AQ133" s="116">
        <v>0</v>
      </c>
      <c r="AR133" s="116">
        <v>0</v>
      </c>
      <c r="AS133" s="116">
        <v>0</v>
      </c>
      <c r="AT133" s="116">
        <v>0</v>
      </c>
      <c r="AU133" s="116">
        <v>0</v>
      </c>
      <c r="AV133" s="116">
        <v>0</v>
      </c>
      <c r="AW133" s="116">
        <v>0</v>
      </c>
      <c r="AX133" s="116">
        <v>0</v>
      </c>
      <c r="AY133" s="116">
        <v>0</v>
      </c>
    </row>
    <row r="134" spans="1:51" x14ac:dyDescent="0.2">
      <c r="A134" s="119"/>
      <c r="B134" s="130">
        <v>13</v>
      </c>
      <c r="C134" s="116"/>
      <c r="D134" s="116">
        <v>0</v>
      </c>
      <c r="E134" s="116">
        <v>0</v>
      </c>
      <c r="F134" s="116">
        <v>0</v>
      </c>
      <c r="G134" s="116">
        <v>0</v>
      </c>
      <c r="H134" s="116">
        <v>0</v>
      </c>
      <c r="I134" s="116">
        <v>0</v>
      </c>
      <c r="J134" s="116">
        <v>0</v>
      </c>
      <c r="K134" s="116">
        <v>0</v>
      </c>
      <c r="L134" s="116">
        <v>0</v>
      </c>
      <c r="M134" s="116">
        <v>0</v>
      </c>
      <c r="N134" s="116">
        <v>0</v>
      </c>
      <c r="O134" s="116">
        <v>0</v>
      </c>
      <c r="P134" s="116">
        <v>0</v>
      </c>
      <c r="Q134" s="116">
        <v>0</v>
      </c>
      <c r="R134" s="116">
        <v>0</v>
      </c>
      <c r="S134" s="116">
        <v>0</v>
      </c>
      <c r="T134" s="116">
        <v>0</v>
      </c>
      <c r="U134" s="116">
        <v>0</v>
      </c>
      <c r="V134" s="116">
        <v>0</v>
      </c>
      <c r="W134" s="116">
        <v>0</v>
      </c>
      <c r="X134" s="116">
        <v>0</v>
      </c>
      <c r="Y134" s="116">
        <v>0</v>
      </c>
      <c r="Z134" s="116">
        <v>0</v>
      </c>
      <c r="AA134" s="116">
        <v>0</v>
      </c>
      <c r="AB134" s="116">
        <v>0</v>
      </c>
      <c r="AC134" s="116">
        <v>0</v>
      </c>
      <c r="AD134" s="116">
        <v>0</v>
      </c>
      <c r="AE134" s="116">
        <v>0</v>
      </c>
      <c r="AF134" s="116">
        <v>0</v>
      </c>
      <c r="AG134" s="116">
        <v>0</v>
      </c>
      <c r="AH134" s="116">
        <v>0</v>
      </c>
      <c r="AI134" s="116">
        <v>0</v>
      </c>
      <c r="AJ134" s="116">
        <v>0</v>
      </c>
      <c r="AK134" s="116">
        <v>0</v>
      </c>
      <c r="AL134" s="116">
        <v>0</v>
      </c>
      <c r="AM134" s="116">
        <v>0</v>
      </c>
      <c r="AN134" s="116">
        <v>0</v>
      </c>
      <c r="AO134" s="116">
        <v>0</v>
      </c>
      <c r="AP134" s="116">
        <v>0</v>
      </c>
      <c r="AQ134" s="116">
        <v>0</v>
      </c>
      <c r="AR134" s="116">
        <v>0</v>
      </c>
      <c r="AS134" s="116">
        <v>0</v>
      </c>
      <c r="AT134" s="116">
        <v>0</v>
      </c>
      <c r="AU134" s="116">
        <v>0</v>
      </c>
      <c r="AV134" s="116">
        <v>0</v>
      </c>
      <c r="AW134" s="116">
        <v>0</v>
      </c>
      <c r="AX134" s="116">
        <v>0</v>
      </c>
      <c r="AY134" s="116">
        <v>0</v>
      </c>
    </row>
    <row r="135" spans="1:51" x14ac:dyDescent="0.2">
      <c r="A135" s="119"/>
      <c r="B135" s="130">
        <v>14</v>
      </c>
      <c r="C135" s="116"/>
      <c r="D135" s="116">
        <v>0</v>
      </c>
      <c r="E135" s="116">
        <v>0</v>
      </c>
      <c r="F135" s="116">
        <v>0</v>
      </c>
      <c r="G135" s="116">
        <v>0</v>
      </c>
      <c r="H135" s="116">
        <v>0</v>
      </c>
      <c r="I135" s="116">
        <v>0</v>
      </c>
      <c r="J135" s="116">
        <v>0</v>
      </c>
      <c r="K135" s="116">
        <v>0</v>
      </c>
      <c r="L135" s="116">
        <v>0</v>
      </c>
      <c r="M135" s="116">
        <v>0</v>
      </c>
      <c r="N135" s="116">
        <v>0</v>
      </c>
      <c r="O135" s="116">
        <v>0</v>
      </c>
      <c r="P135" s="116">
        <v>0</v>
      </c>
      <c r="Q135" s="116">
        <v>0</v>
      </c>
      <c r="R135" s="116">
        <v>0</v>
      </c>
      <c r="S135" s="116">
        <v>0</v>
      </c>
      <c r="T135" s="116">
        <v>0</v>
      </c>
      <c r="U135" s="116">
        <v>0</v>
      </c>
      <c r="V135" s="116">
        <v>0</v>
      </c>
      <c r="W135" s="116">
        <v>0</v>
      </c>
      <c r="X135" s="116">
        <v>0</v>
      </c>
      <c r="Y135" s="116">
        <v>0</v>
      </c>
      <c r="Z135" s="116">
        <v>0</v>
      </c>
      <c r="AA135" s="116">
        <v>0</v>
      </c>
      <c r="AB135" s="116">
        <v>0</v>
      </c>
      <c r="AC135" s="116">
        <v>0</v>
      </c>
      <c r="AD135" s="116">
        <v>0</v>
      </c>
      <c r="AE135" s="116">
        <v>0</v>
      </c>
      <c r="AF135" s="116">
        <v>0</v>
      </c>
      <c r="AG135" s="116">
        <v>0</v>
      </c>
      <c r="AH135" s="116">
        <v>0</v>
      </c>
      <c r="AI135" s="116">
        <v>0</v>
      </c>
      <c r="AJ135" s="116">
        <v>0</v>
      </c>
      <c r="AK135" s="116">
        <v>0</v>
      </c>
      <c r="AL135" s="116">
        <v>0</v>
      </c>
      <c r="AM135" s="116">
        <v>0</v>
      </c>
      <c r="AN135" s="116">
        <v>0</v>
      </c>
      <c r="AO135" s="116">
        <v>0</v>
      </c>
      <c r="AP135" s="116">
        <v>0</v>
      </c>
      <c r="AQ135" s="116">
        <v>0</v>
      </c>
      <c r="AR135" s="116">
        <v>0</v>
      </c>
      <c r="AS135" s="116">
        <v>0</v>
      </c>
      <c r="AT135" s="116">
        <v>0</v>
      </c>
      <c r="AU135" s="116">
        <v>0</v>
      </c>
      <c r="AV135" s="116">
        <v>0</v>
      </c>
      <c r="AW135" s="116">
        <v>0</v>
      </c>
      <c r="AX135" s="116">
        <v>0</v>
      </c>
      <c r="AY135" s="116">
        <v>0</v>
      </c>
    </row>
    <row r="136" spans="1:51" x14ac:dyDescent="0.2">
      <c r="A136" s="119"/>
      <c r="B136" s="130">
        <v>15</v>
      </c>
      <c r="C136" s="116"/>
      <c r="D136" s="116">
        <v>0</v>
      </c>
      <c r="E136" s="116">
        <v>0</v>
      </c>
      <c r="F136" s="116">
        <v>0</v>
      </c>
      <c r="G136" s="116">
        <v>0</v>
      </c>
      <c r="H136" s="116">
        <v>0</v>
      </c>
      <c r="I136" s="116">
        <v>0</v>
      </c>
      <c r="J136" s="116">
        <v>0</v>
      </c>
      <c r="K136" s="116">
        <v>0</v>
      </c>
      <c r="L136" s="116">
        <v>0</v>
      </c>
      <c r="M136" s="116">
        <v>0</v>
      </c>
      <c r="N136" s="116">
        <v>0</v>
      </c>
      <c r="O136" s="116">
        <v>0</v>
      </c>
      <c r="P136" s="116">
        <v>0</v>
      </c>
      <c r="Q136" s="116">
        <v>0</v>
      </c>
      <c r="R136" s="116">
        <v>0</v>
      </c>
      <c r="S136" s="116">
        <v>0</v>
      </c>
      <c r="T136" s="116">
        <v>0</v>
      </c>
      <c r="U136" s="116">
        <v>0</v>
      </c>
      <c r="V136" s="116">
        <v>0</v>
      </c>
      <c r="W136" s="116">
        <v>0</v>
      </c>
      <c r="X136" s="116">
        <v>0</v>
      </c>
      <c r="Y136" s="116">
        <v>0</v>
      </c>
      <c r="Z136" s="116">
        <v>0</v>
      </c>
      <c r="AA136" s="116">
        <v>0</v>
      </c>
      <c r="AB136" s="116">
        <v>0</v>
      </c>
      <c r="AC136" s="116">
        <v>0</v>
      </c>
      <c r="AD136" s="116">
        <v>0</v>
      </c>
      <c r="AE136" s="116">
        <v>0</v>
      </c>
      <c r="AF136" s="116">
        <v>0</v>
      </c>
      <c r="AG136" s="116">
        <v>0</v>
      </c>
      <c r="AH136" s="116">
        <v>0</v>
      </c>
      <c r="AI136" s="116">
        <v>0</v>
      </c>
      <c r="AJ136" s="116">
        <v>0</v>
      </c>
      <c r="AK136" s="116">
        <v>0</v>
      </c>
      <c r="AL136" s="116">
        <v>0</v>
      </c>
      <c r="AM136" s="116">
        <v>0</v>
      </c>
      <c r="AN136" s="116">
        <v>0</v>
      </c>
      <c r="AO136" s="116">
        <v>0</v>
      </c>
      <c r="AP136" s="116">
        <v>0</v>
      </c>
      <c r="AQ136" s="116">
        <v>0</v>
      </c>
      <c r="AR136" s="116">
        <v>0</v>
      </c>
      <c r="AS136" s="116">
        <v>0</v>
      </c>
      <c r="AT136" s="116">
        <v>0</v>
      </c>
      <c r="AU136" s="116">
        <v>0</v>
      </c>
      <c r="AV136" s="116">
        <v>0</v>
      </c>
      <c r="AW136" s="116">
        <v>0</v>
      </c>
      <c r="AX136" s="116">
        <v>0</v>
      </c>
      <c r="AY136" s="116">
        <v>0</v>
      </c>
    </row>
    <row r="137" spans="1:51" x14ac:dyDescent="0.2">
      <c r="A137" s="119"/>
      <c r="B137" s="130">
        <v>16</v>
      </c>
      <c r="C137" s="116"/>
      <c r="D137" s="116">
        <v>0</v>
      </c>
      <c r="E137" s="116">
        <v>0</v>
      </c>
      <c r="F137" s="116">
        <v>0</v>
      </c>
      <c r="G137" s="116">
        <v>0</v>
      </c>
      <c r="H137" s="116">
        <v>0</v>
      </c>
      <c r="I137" s="116">
        <v>0</v>
      </c>
      <c r="J137" s="116">
        <v>0</v>
      </c>
      <c r="K137" s="116">
        <v>0</v>
      </c>
      <c r="L137" s="116">
        <v>0</v>
      </c>
      <c r="M137" s="116">
        <v>0</v>
      </c>
      <c r="N137" s="116">
        <v>0</v>
      </c>
      <c r="O137" s="116">
        <v>0</v>
      </c>
      <c r="P137" s="116">
        <v>0</v>
      </c>
      <c r="Q137" s="116">
        <v>0</v>
      </c>
      <c r="R137" s="116">
        <v>0</v>
      </c>
      <c r="S137" s="116">
        <v>0</v>
      </c>
      <c r="T137" s="116">
        <v>0</v>
      </c>
      <c r="U137" s="116">
        <v>0</v>
      </c>
      <c r="V137" s="116">
        <v>0</v>
      </c>
      <c r="W137" s="116">
        <v>0</v>
      </c>
      <c r="X137" s="116">
        <v>0</v>
      </c>
      <c r="Y137" s="116">
        <v>0</v>
      </c>
      <c r="Z137" s="116">
        <v>0</v>
      </c>
      <c r="AA137" s="116">
        <v>0</v>
      </c>
      <c r="AB137" s="116">
        <v>0</v>
      </c>
      <c r="AC137" s="116">
        <v>0</v>
      </c>
      <c r="AD137" s="116">
        <v>0</v>
      </c>
      <c r="AE137" s="116">
        <v>0</v>
      </c>
      <c r="AF137" s="116">
        <v>0</v>
      </c>
      <c r="AG137" s="116">
        <v>0</v>
      </c>
      <c r="AH137" s="116">
        <v>0</v>
      </c>
      <c r="AI137" s="116">
        <v>0</v>
      </c>
      <c r="AJ137" s="116">
        <v>0</v>
      </c>
      <c r="AK137" s="116">
        <v>0</v>
      </c>
      <c r="AL137" s="116">
        <v>0</v>
      </c>
      <c r="AM137" s="116">
        <v>0</v>
      </c>
      <c r="AN137" s="116">
        <v>0</v>
      </c>
      <c r="AO137" s="116">
        <v>0</v>
      </c>
      <c r="AP137" s="116">
        <v>0</v>
      </c>
      <c r="AQ137" s="116">
        <v>0</v>
      </c>
      <c r="AR137" s="116">
        <v>0</v>
      </c>
      <c r="AS137" s="116">
        <v>0</v>
      </c>
      <c r="AT137" s="116">
        <v>0</v>
      </c>
      <c r="AU137" s="116">
        <v>0</v>
      </c>
      <c r="AV137" s="116">
        <v>0</v>
      </c>
      <c r="AW137" s="116">
        <v>0</v>
      </c>
      <c r="AX137" s="116">
        <v>0</v>
      </c>
      <c r="AY137" s="116">
        <v>0</v>
      </c>
    </row>
    <row r="138" spans="1:51" x14ac:dyDescent="0.2">
      <c r="A138" s="119"/>
      <c r="B138" s="130">
        <v>17</v>
      </c>
      <c r="C138" s="116"/>
      <c r="D138" s="116">
        <v>0</v>
      </c>
      <c r="E138" s="116">
        <v>0</v>
      </c>
      <c r="F138" s="116">
        <v>0</v>
      </c>
      <c r="G138" s="116">
        <v>0</v>
      </c>
      <c r="H138" s="116">
        <v>0</v>
      </c>
      <c r="I138" s="116">
        <v>0</v>
      </c>
      <c r="J138" s="116">
        <v>0</v>
      </c>
      <c r="K138" s="116">
        <v>0</v>
      </c>
      <c r="L138" s="116">
        <v>0</v>
      </c>
      <c r="M138" s="116">
        <v>0</v>
      </c>
      <c r="N138" s="116">
        <v>0</v>
      </c>
      <c r="O138" s="116">
        <v>0</v>
      </c>
      <c r="P138" s="116">
        <v>0</v>
      </c>
      <c r="Q138" s="116">
        <v>0</v>
      </c>
      <c r="R138" s="116">
        <v>0</v>
      </c>
      <c r="S138" s="116">
        <v>0</v>
      </c>
      <c r="T138" s="116">
        <v>0</v>
      </c>
      <c r="U138" s="116">
        <v>0</v>
      </c>
      <c r="V138" s="116">
        <v>0</v>
      </c>
      <c r="W138" s="116">
        <v>0</v>
      </c>
      <c r="X138" s="116">
        <v>0</v>
      </c>
      <c r="Y138" s="116">
        <v>0</v>
      </c>
      <c r="Z138" s="116">
        <v>0</v>
      </c>
      <c r="AA138" s="116">
        <v>0</v>
      </c>
      <c r="AB138" s="116">
        <v>0</v>
      </c>
      <c r="AC138" s="116">
        <v>0</v>
      </c>
      <c r="AD138" s="116">
        <v>0</v>
      </c>
      <c r="AE138" s="116">
        <v>0</v>
      </c>
      <c r="AF138" s="116">
        <v>0</v>
      </c>
      <c r="AG138" s="116">
        <v>0</v>
      </c>
      <c r="AH138" s="116">
        <v>0</v>
      </c>
      <c r="AI138" s="116">
        <v>0</v>
      </c>
      <c r="AJ138" s="116">
        <v>0</v>
      </c>
      <c r="AK138" s="116">
        <v>0</v>
      </c>
      <c r="AL138" s="116">
        <v>0</v>
      </c>
      <c r="AM138" s="116">
        <v>0</v>
      </c>
      <c r="AN138" s="116">
        <v>0</v>
      </c>
      <c r="AO138" s="116">
        <v>0</v>
      </c>
      <c r="AP138" s="116">
        <v>0</v>
      </c>
      <c r="AQ138" s="116">
        <v>0</v>
      </c>
      <c r="AR138" s="116">
        <v>0</v>
      </c>
      <c r="AS138" s="116">
        <v>0</v>
      </c>
      <c r="AT138" s="116">
        <v>0</v>
      </c>
      <c r="AU138" s="116">
        <v>0</v>
      </c>
      <c r="AV138" s="116">
        <v>0</v>
      </c>
      <c r="AW138" s="116">
        <v>0</v>
      </c>
      <c r="AX138" s="116">
        <v>0</v>
      </c>
      <c r="AY138" s="116">
        <v>0</v>
      </c>
    </row>
    <row r="139" spans="1:51" x14ac:dyDescent="0.2">
      <c r="A139" s="119"/>
      <c r="B139" s="130">
        <v>18</v>
      </c>
      <c r="C139" s="116"/>
      <c r="D139" s="116">
        <v>0</v>
      </c>
      <c r="E139" s="116">
        <v>0</v>
      </c>
      <c r="F139" s="116">
        <v>0</v>
      </c>
      <c r="G139" s="116">
        <v>0</v>
      </c>
      <c r="H139" s="116">
        <v>0</v>
      </c>
      <c r="I139" s="116">
        <v>0</v>
      </c>
      <c r="J139" s="116">
        <v>0</v>
      </c>
      <c r="K139" s="116">
        <v>0</v>
      </c>
      <c r="L139" s="116">
        <v>0</v>
      </c>
      <c r="M139" s="116">
        <v>0</v>
      </c>
      <c r="N139" s="116">
        <v>0</v>
      </c>
      <c r="O139" s="116">
        <v>0</v>
      </c>
      <c r="P139" s="116">
        <v>0</v>
      </c>
      <c r="Q139" s="116">
        <v>0</v>
      </c>
      <c r="R139" s="116">
        <v>0</v>
      </c>
      <c r="S139" s="116">
        <v>0</v>
      </c>
      <c r="T139" s="116">
        <v>0</v>
      </c>
      <c r="U139" s="116">
        <v>0</v>
      </c>
      <c r="V139" s="116">
        <v>0</v>
      </c>
      <c r="W139" s="116">
        <v>0</v>
      </c>
      <c r="X139" s="116">
        <v>0</v>
      </c>
      <c r="Y139" s="116">
        <v>0</v>
      </c>
      <c r="Z139" s="116">
        <v>0</v>
      </c>
      <c r="AA139" s="116">
        <v>0</v>
      </c>
      <c r="AB139" s="116">
        <v>0</v>
      </c>
      <c r="AC139" s="116">
        <v>0</v>
      </c>
      <c r="AD139" s="116">
        <v>0</v>
      </c>
      <c r="AE139" s="116">
        <v>0</v>
      </c>
      <c r="AF139" s="116">
        <v>0</v>
      </c>
      <c r="AG139" s="116">
        <v>0</v>
      </c>
      <c r="AH139" s="116">
        <v>0</v>
      </c>
      <c r="AI139" s="116">
        <v>0</v>
      </c>
      <c r="AJ139" s="116">
        <v>0</v>
      </c>
      <c r="AK139" s="116">
        <v>0</v>
      </c>
      <c r="AL139" s="116">
        <v>0</v>
      </c>
      <c r="AM139" s="116">
        <v>0</v>
      </c>
      <c r="AN139" s="116">
        <v>0</v>
      </c>
      <c r="AO139" s="116">
        <v>0</v>
      </c>
      <c r="AP139" s="116">
        <v>0</v>
      </c>
      <c r="AQ139" s="116">
        <v>0</v>
      </c>
      <c r="AR139" s="116">
        <v>0</v>
      </c>
      <c r="AS139" s="116">
        <v>0</v>
      </c>
      <c r="AT139" s="116">
        <v>0</v>
      </c>
      <c r="AU139" s="116">
        <v>0</v>
      </c>
      <c r="AV139" s="116">
        <v>0</v>
      </c>
      <c r="AW139" s="116">
        <v>0</v>
      </c>
      <c r="AX139" s="116">
        <v>0</v>
      </c>
      <c r="AY139" s="116">
        <v>0</v>
      </c>
    </row>
    <row r="140" spans="1:51" x14ac:dyDescent="0.2">
      <c r="A140" s="119"/>
      <c r="B140" s="130">
        <v>19</v>
      </c>
      <c r="C140" s="116"/>
      <c r="D140" s="116">
        <v>0</v>
      </c>
      <c r="E140" s="116">
        <v>0</v>
      </c>
      <c r="F140" s="116">
        <v>0</v>
      </c>
      <c r="G140" s="116">
        <v>0</v>
      </c>
      <c r="H140" s="116">
        <v>0</v>
      </c>
      <c r="I140" s="116">
        <v>0</v>
      </c>
      <c r="J140" s="116">
        <v>0</v>
      </c>
      <c r="K140" s="116">
        <v>0</v>
      </c>
      <c r="L140" s="116">
        <v>0</v>
      </c>
      <c r="M140" s="116">
        <v>0</v>
      </c>
      <c r="N140" s="116">
        <v>0</v>
      </c>
      <c r="O140" s="116">
        <v>0</v>
      </c>
      <c r="P140" s="116">
        <v>0</v>
      </c>
      <c r="Q140" s="116">
        <v>0</v>
      </c>
      <c r="R140" s="116">
        <v>0</v>
      </c>
      <c r="S140" s="116">
        <v>0</v>
      </c>
      <c r="T140" s="116">
        <v>0</v>
      </c>
      <c r="U140" s="116">
        <v>0</v>
      </c>
      <c r="V140" s="116">
        <v>0</v>
      </c>
      <c r="W140" s="116">
        <v>0</v>
      </c>
      <c r="X140" s="116">
        <v>0</v>
      </c>
      <c r="Y140" s="116">
        <v>0</v>
      </c>
      <c r="Z140" s="116">
        <v>0</v>
      </c>
      <c r="AA140" s="116">
        <v>0</v>
      </c>
      <c r="AB140" s="116">
        <v>0</v>
      </c>
      <c r="AC140" s="116">
        <v>0</v>
      </c>
      <c r="AD140" s="116">
        <v>0</v>
      </c>
      <c r="AE140" s="116">
        <v>0</v>
      </c>
      <c r="AF140" s="116">
        <v>0</v>
      </c>
      <c r="AG140" s="116">
        <v>0</v>
      </c>
      <c r="AH140" s="116">
        <v>0</v>
      </c>
      <c r="AI140" s="116">
        <v>0</v>
      </c>
      <c r="AJ140" s="116">
        <v>0</v>
      </c>
      <c r="AK140" s="116">
        <v>0</v>
      </c>
      <c r="AL140" s="116">
        <v>0</v>
      </c>
      <c r="AM140" s="116">
        <v>0</v>
      </c>
      <c r="AN140" s="116">
        <v>0</v>
      </c>
      <c r="AO140" s="116">
        <v>0</v>
      </c>
      <c r="AP140" s="116">
        <v>0</v>
      </c>
      <c r="AQ140" s="116">
        <v>0</v>
      </c>
      <c r="AR140" s="116">
        <v>0</v>
      </c>
      <c r="AS140" s="116">
        <v>0</v>
      </c>
      <c r="AT140" s="116">
        <v>0</v>
      </c>
      <c r="AU140" s="116">
        <v>0</v>
      </c>
      <c r="AV140" s="116">
        <v>0</v>
      </c>
      <c r="AW140" s="116">
        <v>0</v>
      </c>
      <c r="AX140" s="116">
        <v>0</v>
      </c>
      <c r="AY140" s="116">
        <v>0</v>
      </c>
    </row>
    <row r="141" spans="1:51" x14ac:dyDescent="0.2">
      <c r="A141" s="119"/>
      <c r="B141" s="130">
        <v>20</v>
      </c>
      <c r="C141" s="116"/>
      <c r="D141" s="116">
        <v>0</v>
      </c>
      <c r="E141" s="116">
        <v>0</v>
      </c>
      <c r="F141" s="116">
        <v>0</v>
      </c>
      <c r="G141" s="116">
        <v>0</v>
      </c>
      <c r="H141" s="116">
        <v>0</v>
      </c>
      <c r="I141" s="116">
        <v>0</v>
      </c>
      <c r="J141" s="116">
        <v>0</v>
      </c>
      <c r="K141" s="116">
        <v>0</v>
      </c>
      <c r="L141" s="116">
        <v>0</v>
      </c>
      <c r="M141" s="116">
        <v>0</v>
      </c>
      <c r="N141" s="116">
        <v>0</v>
      </c>
      <c r="O141" s="116">
        <v>0</v>
      </c>
      <c r="P141" s="116">
        <v>0</v>
      </c>
      <c r="Q141" s="116">
        <v>0</v>
      </c>
      <c r="R141" s="116">
        <v>0</v>
      </c>
      <c r="S141" s="116">
        <v>0</v>
      </c>
      <c r="T141" s="116">
        <v>0</v>
      </c>
      <c r="U141" s="116">
        <v>0</v>
      </c>
      <c r="V141" s="116">
        <v>0</v>
      </c>
      <c r="W141" s="116">
        <v>0</v>
      </c>
      <c r="X141" s="116">
        <v>0</v>
      </c>
      <c r="Y141" s="116">
        <v>0</v>
      </c>
      <c r="Z141" s="116">
        <v>0</v>
      </c>
      <c r="AA141" s="116">
        <v>0</v>
      </c>
      <c r="AB141" s="116">
        <v>0</v>
      </c>
      <c r="AC141" s="116">
        <v>0</v>
      </c>
      <c r="AD141" s="116">
        <v>0</v>
      </c>
      <c r="AE141" s="116">
        <v>0</v>
      </c>
      <c r="AF141" s="116">
        <v>0</v>
      </c>
      <c r="AG141" s="116">
        <v>0</v>
      </c>
      <c r="AH141" s="116">
        <v>0</v>
      </c>
      <c r="AI141" s="116">
        <v>0</v>
      </c>
      <c r="AJ141" s="116">
        <v>0</v>
      </c>
      <c r="AK141" s="116">
        <v>0</v>
      </c>
      <c r="AL141" s="116">
        <v>0</v>
      </c>
      <c r="AM141" s="116">
        <v>0</v>
      </c>
      <c r="AN141" s="116">
        <v>0</v>
      </c>
      <c r="AO141" s="116">
        <v>0</v>
      </c>
      <c r="AP141" s="116">
        <v>0</v>
      </c>
      <c r="AQ141" s="116">
        <v>0</v>
      </c>
      <c r="AR141" s="116">
        <v>0</v>
      </c>
      <c r="AS141" s="116">
        <v>0</v>
      </c>
      <c r="AT141" s="116">
        <v>0</v>
      </c>
      <c r="AU141" s="116">
        <v>0</v>
      </c>
      <c r="AV141" s="116">
        <v>0</v>
      </c>
      <c r="AW141" s="116">
        <v>0</v>
      </c>
      <c r="AX141" s="116">
        <v>0</v>
      </c>
      <c r="AY141" s="116">
        <v>0</v>
      </c>
    </row>
    <row r="142" spans="1:51" x14ac:dyDescent="0.2">
      <c r="A142" s="119"/>
      <c r="B142" s="130">
        <v>21</v>
      </c>
      <c r="C142" s="116"/>
      <c r="D142" s="116">
        <v>0</v>
      </c>
      <c r="E142" s="116">
        <v>0</v>
      </c>
      <c r="F142" s="116">
        <v>0</v>
      </c>
      <c r="G142" s="116">
        <v>0</v>
      </c>
      <c r="H142" s="116">
        <v>0</v>
      </c>
      <c r="I142" s="116">
        <v>0</v>
      </c>
      <c r="J142" s="116">
        <v>0</v>
      </c>
      <c r="K142" s="116">
        <v>0</v>
      </c>
      <c r="L142" s="116">
        <v>0</v>
      </c>
      <c r="M142" s="116">
        <v>0</v>
      </c>
      <c r="N142" s="116">
        <v>0</v>
      </c>
      <c r="O142" s="116">
        <v>0</v>
      </c>
      <c r="P142" s="116">
        <v>0</v>
      </c>
      <c r="Q142" s="116">
        <v>0</v>
      </c>
      <c r="R142" s="116">
        <v>0</v>
      </c>
      <c r="S142" s="116">
        <v>0</v>
      </c>
      <c r="T142" s="116">
        <v>0</v>
      </c>
      <c r="U142" s="116">
        <v>0</v>
      </c>
      <c r="V142" s="116">
        <v>0</v>
      </c>
      <c r="W142" s="116">
        <v>0</v>
      </c>
      <c r="X142" s="116">
        <v>0</v>
      </c>
      <c r="Y142" s="116">
        <v>0</v>
      </c>
      <c r="Z142" s="116">
        <v>0</v>
      </c>
      <c r="AA142" s="116">
        <v>0</v>
      </c>
      <c r="AB142" s="116">
        <v>0</v>
      </c>
      <c r="AC142" s="116">
        <v>0</v>
      </c>
      <c r="AD142" s="116">
        <v>0</v>
      </c>
      <c r="AE142" s="116">
        <v>0</v>
      </c>
      <c r="AF142" s="116">
        <v>0</v>
      </c>
      <c r="AG142" s="116">
        <v>0</v>
      </c>
      <c r="AH142" s="116">
        <v>0</v>
      </c>
      <c r="AI142" s="116">
        <v>0</v>
      </c>
      <c r="AJ142" s="116">
        <v>0</v>
      </c>
      <c r="AK142" s="116">
        <v>0</v>
      </c>
      <c r="AL142" s="116">
        <v>0</v>
      </c>
      <c r="AM142" s="116">
        <v>0</v>
      </c>
      <c r="AN142" s="116">
        <v>0</v>
      </c>
      <c r="AO142" s="116">
        <v>0</v>
      </c>
      <c r="AP142" s="116">
        <v>0</v>
      </c>
      <c r="AQ142" s="116">
        <v>0</v>
      </c>
      <c r="AR142" s="116">
        <v>0</v>
      </c>
      <c r="AS142" s="116">
        <v>0</v>
      </c>
      <c r="AT142" s="116">
        <v>0</v>
      </c>
      <c r="AU142" s="116">
        <v>0</v>
      </c>
      <c r="AV142" s="116">
        <v>0</v>
      </c>
      <c r="AW142" s="116">
        <v>0</v>
      </c>
      <c r="AX142" s="116">
        <v>0</v>
      </c>
      <c r="AY142" s="116">
        <v>0</v>
      </c>
    </row>
    <row r="143" spans="1:51" x14ac:dyDescent="0.2">
      <c r="A143" s="119"/>
      <c r="B143" s="130">
        <v>22</v>
      </c>
      <c r="C143" s="116"/>
      <c r="D143" s="116">
        <v>0</v>
      </c>
      <c r="E143" s="116">
        <v>0</v>
      </c>
      <c r="F143" s="116">
        <v>0</v>
      </c>
      <c r="G143" s="116">
        <v>0</v>
      </c>
      <c r="H143" s="116">
        <v>0</v>
      </c>
      <c r="I143" s="116">
        <v>0</v>
      </c>
      <c r="J143" s="116">
        <v>0</v>
      </c>
      <c r="K143" s="116">
        <v>0</v>
      </c>
      <c r="L143" s="116">
        <v>0</v>
      </c>
      <c r="M143" s="116">
        <v>0</v>
      </c>
      <c r="N143" s="116">
        <v>0</v>
      </c>
      <c r="O143" s="116">
        <v>0</v>
      </c>
      <c r="P143" s="116">
        <v>0</v>
      </c>
      <c r="Q143" s="116">
        <v>0</v>
      </c>
      <c r="R143" s="116">
        <v>0</v>
      </c>
      <c r="S143" s="116">
        <v>0</v>
      </c>
      <c r="T143" s="116">
        <v>0</v>
      </c>
      <c r="U143" s="116">
        <v>0</v>
      </c>
      <c r="V143" s="116">
        <v>0</v>
      </c>
      <c r="W143" s="116">
        <v>0</v>
      </c>
      <c r="X143" s="116">
        <v>0</v>
      </c>
      <c r="Y143" s="116">
        <v>0</v>
      </c>
      <c r="Z143" s="116">
        <v>0</v>
      </c>
      <c r="AA143" s="116">
        <v>0</v>
      </c>
      <c r="AB143" s="116">
        <v>0</v>
      </c>
      <c r="AC143" s="116">
        <v>0</v>
      </c>
      <c r="AD143" s="116">
        <v>0</v>
      </c>
      <c r="AE143" s="116">
        <v>0</v>
      </c>
      <c r="AF143" s="116">
        <v>0</v>
      </c>
      <c r="AG143" s="116">
        <v>0</v>
      </c>
      <c r="AH143" s="116">
        <v>0</v>
      </c>
      <c r="AI143" s="116">
        <v>0</v>
      </c>
      <c r="AJ143" s="116">
        <v>0</v>
      </c>
      <c r="AK143" s="116">
        <v>0</v>
      </c>
      <c r="AL143" s="116">
        <v>0</v>
      </c>
      <c r="AM143" s="116">
        <v>0</v>
      </c>
      <c r="AN143" s="116">
        <v>0</v>
      </c>
      <c r="AO143" s="116">
        <v>0</v>
      </c>
      <c r="AP143" s="116">
        <v>0</v>
      </c>
      <c r="AQ143" s="116">
        <v>0</v>
      </c>
      <c r="AR143" s="116">
        <v>0</v>
      </c>
      <c r="AS143" s="116">
        <v>0</v>
      </c>
      <c r="AT143" s="116">
        <v>0</v>
      </c>
      <c r="AU143" s="116">
        <v>0</v>
      </c>
      <c r="AV143" s="116">
        <v>0</v>
      </c>
      <c r="AW143" s="116">
        <v>0</v>
      </c>
      <c r="AX143" s="116">
        <v>0</v>
      </c>
      <c r="AY143" s="116">
        <v>0</v>
      </c>
    </row>
    <row r="144" spans="1:51" x14ac:dyDescent="0.2">
      <c r="A144" s="119"/>
      <c r="B144" s="130">
        <v>23</v>
      </c>
      <c r="C144" s="116"/>
      <c r="D144" s="116">
        <v>0</v>
      </c>
      <c r="E144" s="116">
        <v>0</v>
      </c>
      <c r="F144" s="116">
        <v>0</v>
      </c>
      <c r="G144" s="116">
        <v>0</v>
      </c>
      <c r="H144" s="116">
        <v>0</v>
      </c>
      <c r="I144" s="116">
        <v>0</v>
      </c>
      <c r="J144" s="116">
        <v>0</v>
      </c>
      <c r="K144" s="116">
        <v>0</v>
      </c>
      <c r="L144" s="116">
        <v>0</v>
      </c>
      <c r="M144" s="116">
        <v>0</v>
      </c>
      <c r="N144" s="116">
        <v>0</v>
      </c>
      <c r="O144" s="116">
        <v>0</v>
      </c>
      <c r="P144" s="116">
        <v>0</v>
      </c>
      <c r="Q144" s="116">
        <v>0</v>
      </c>
      <c r="R144" s="116">
        <v>0</v>
      </c>
      <c r="S144" s="116">
        <v>0</v>
      </c>
      <c r="T144" s="116">
        <v>0</v>
      </c>
      <c r="U144" s="116">
        <v>0</v>
      </c>
      <c r="V144" s="116">
        <v>0</v>
      </c>
      <c r="W144" s="116">
        <v>0</v>
      </c>
      <c r="X144" s="116">
        <v>0</v>
      </c>
      <c r="Y144" s="116">
        <v>0</v>
      </c>
      <c r="Z144" s="116">
        <v>0</v>
      </c>
      <c r="AA144" s="116">
        <v>0</v>
      </c>
      <c r="AB144" s="116">
        <v>0</v>
      </c>
      <c r="AC144" s="116">
        <v>0</v>
      </c>
      <c r="AD144" s="116">
        <v>0</v>
      </c>
      <c r="AE144" s="116">
        <v>0</v>
      </c>
      <c r="AF144" s="116">
        <v>0</v>
      </c>
      <c r="AG144" s="116">
        <v>0</v>
      </c>
      <c r="AH144" s="116">
        <v>0</v>
      </c>
      <c r="AI144" s="116">
        <v>0</v>
      </c>
      <c r="AJ144" s="116">
        <v>0</v>
      </c>
      <c r="AK144" s="116">
        <v>0</v>
      </c>
      <c r="AL144" s="116">
        <v>0</v>
      </c>
      <c r="AM144" s="116">
        <v>0</v>
      </c>
      <c r="AN144" s="116">
        <v>0</v>
      </c>
      <c r="AO144" s="116">
        <v>0</v>
      </c>
      <c r="AP144" s="116">
        <v>0</v>
      </c>
      <c r="AQ144" s="116">
        <v>0</v>
      </c>
      <c r="AR144" s="116">
        <v>0</v>
      </c>
      <c r="AS144" s="116">
        <v>0</v>
      </c>
      <c r="AT144" s="116">
        <v>0</v>
      </c>
      <c r="AU144" s="116">
        <v>0</v>
      </c>
      <c r="AV144" s="116">
        <v>0</v>
      </c>
      <c r="AW144" s="116">
        <v>0</v>
      </c>
      <c r="AX144" s="116">
        <v>0</v>
      </c>
      <c r="AY144" s="116">
        <v>0</v>
      </c>
    </row>
    <row r="145" spans="1:51" x14ac:dyDescent="0.2">
      <c r="A145" s="119"/>
      <c r="B145" s="130">
        <v>24</v>
      </c>
      <c r="C145" s="116"/>
      <c r="D145" s="116">
        <v>0</v>
      </c>
      <c r="E145" s="116">
        <v>0</v>
      </c>
      <c r="F145" s="116">
        <v>0</v>
      </c>
      <c r="G145" s="116">
        <v>0</v>
      </c>
      <c r="H145" s="116">
        <v>0</v>
      </c>
      <c r="I145" s="116">
        <v>0</v>
      </c>
      <c r="J145" s="116">
        <v>0</v>
      </c>
      <c r="K145" s="116">
        <v>0</v>
      </c>
      <c r="L145" s="116">
        <v>0</v>
      </c>
      <c r="M145" s="116">
        <v>0</v>
      </c>
      <c r="N145" s="116">
        <v>0</v>
      </c>
      <c r="O145" s="116">
        <v>0</v>
      </c>
      <c r="P145" s="116">
        <v>0</v>
      </c>
      <c r="Q145" s="116">
        <v>0</v>
      </c>
      <c r="R145" s="116">
        <v>0</v>
      </c>
      <c r="S145" s="116">
        <v>0</v>
      </c>
      <c r="T145" s="116">
        <v>0</v>
      </c>
      <c r="U145" s="116">
        <v>0</v>
      </c>
      <c r="V145" s="116">
        <v>0</v>
      </c>
      <c r="W145" s="116">
        <v>0</v>
      </c>
      <c r="X145" s="116">
        <v>0</v>
      </c>
      <c r="Y145" s="116">
        <v>0</v>
      </c>
      <c r="Z145" s="116">
        <v>0</v>
      </c>
      <c r="AA145" s="116">
        <v>0</v>
      </c>
      <c r="AB145" s="116">
        <v>0</v>
      </c>
      <c r="AC145" s="116">
        <v>0</v>
      </c>
      <c r="AD145" s="116">
        <v>0</v>
      </c>
      <c r="AE145" s="116">
        <v>0</v>
      </c>
      <c r="AF145" s="116">
        <v>0</v>
      </c>
      <c r="AG145" s="116">
        <v>0</v>
      </c>
      <c r="AH145" s="116">
        <v>0</v>
      </c>
      <c r="AI145" s="116">
        <v>0</v>
      </c>
      <c r="AJ145" s="116">
        <v>0</v>
      </c>
      <c r="AK145" s="116">
        <v>0</v>
      </c>
      <c r="AL145" s="116">
        <v>0</v>
      </c>
      <c r="AM145" s="116">
        <v>0</v>
      </c>
      <c r="AN145" s="116">
        <v>0</v>
      </c>
      <c r="AO145" s="116">
        <v>0</v>
      </c>
      <c r="AP145" s="116">
        <v>0</v>
      </c>
      <c r="AQ145" s="116">
        <v>0</v>
      </c>
      <c r="AR145" s="116">
        <v>0</v>
      </c>
      <c r="AS145" s="116">
        <v>0</v>
      </c>
      <c r="AT145" s="116">
        <v>0</v>
      </c>
      <c r="AU145" s="116">
        <v>0</v>
      </c>
      <c r="AV145" s="116">
        <v>0</v>
      </c>
      <c r="AW145" s="116">
        <v>0</v>
      </c>
      <c r="AX145" s="116">
        <v>0</v>
      </c>
      <c r="AY145" s="116">
        <v>0</v>
      </c>
    </row>
    <row r="146" spans="1:51" x14ac:dyDescent="0.2">
      <c r="A146" s="119"/>
      <c r="B146" s="137">
        <v>25</v>
      </c>
      <c r="C146" s="116"/>
      <c r="D146" s="116">
        <v>0</v>
      </c>
      <c r="E146" s="116">
        <v>0</v>
      </c>
      <c r="F146" s="116">
        <v>0</v>
      </c>
      <c r="G146" s="116">
        <v>0</v>
      </c>
      <c r="H146" s="116">
        <v>0</v>
      </c>
      <c r="I146" s="116">
        <v>0</v>
      </c>
      <c r="J146" s="116">
        <v>0</v>
      </c>
      <c r="K146" s="116">
        <v>0</v>
      </c>
      <c r="L146" s="116">
        <v>0</v>
      </c>
      <c r="M146" s="116">
        <v>0</v>
      </c>
      <c r="N146" s="116">
        <v>0</v>
      </c>
      <c r="O146" s="116">
        <v>0</v>
      </c>
      <c r="P146" s="116">
        <v>0</v>
      </c>
      <c r="Q146" s="116">
        <v>0</v>
      </c>
      <c r="R146" s="116">
        <v>0</v>
      </c>
      <c r="S146" s="116">
        <v>0</v>
      </c>
      <c r="T146" s="116">
        <v>0</v>
      </c>
      <c r="U146" s="116">
        <v>0</v>
      </c>
      <c r="V146" s="116">
        <v>0</v>
      </c>
      <c r="W146" s="116">
        <v>0</v>
      </c>
      <c r="X146" s="116">
        <v>0</v>
      </c>
      <c r="Y146" s="116">
        <v>0</v>
      </c>
      <c r="Z146" s="116">
        <v>0</v>
      </c>
      <c r="AA146" s="116">
        <v>0</v>
      </c>
      <c r="AB146" s="116">
        <v>0</v>
      </c>
      <c r="AC146" s="116">
        <v>0</v>
      </c>
      <c r="AD146" s="116">
        <v>0</v>
      </c>
      <c r="AE146" s="116">
        <v>0</v>
      </c>
      <c r="AF146" s="116">
        <v>0</v>
      </c>
      <c r="AG146" s="116">
        <v>0</v>
      </c>
      <c r="AH146" s="116">
        <v>0</v>
      </c>
      <c r="AI146" s="116">
        <v>0</v>
      </c>
      <c r="AJ146" s="116">
        <v>0</v>
      </c>
      <c r="AK146" s="116">
        <v>0</v>
      </c>
      <c r="AL146" s="116">
        <v>0</v>
      </c>
      <c r="AM146" s="116">
        <v>0</v>
      </c>
      <c r="AN146" s="116">
        <v>0</v>
      </c>
      <c r="AO146" s="116">
        <v>0</v>
      </c>
      <c r="AP146" s="116">
        <v>0</v>
      </c>
      <c r="AQ146" s="116">
        <v>0</v>
      </c>
      <c r="AR146" s="116">
        <v>0</v>
      </c>
      <c r="AS146" s="116">
        <v>0</v>
      </c>
      <c r="AT146" s="116">
        <v>0</v>
      </c>
      <c r="AU146" s="116">
        <v>0</v>
      </c>
      <c r="AV146" s="116">
        <v>0</v>
      </c>
      <c r="AW146" s="116">
        <v>0</v>
      </c>
      <c r="AX146" s="116">
        <v>0</v>
      </c>
      <c r="AY146" s="116">
        <v>0</v>
      </c>
    </row>
    <row r="147" spans="1:51" x14ac:dyDescent="0.2">
      <c r="A147" s="119"/>
      <c r="B147" s="137">
        <v>26</v>
      </c>
      <c r="C147" s="116"/>
      <c r="D147" s="116">
        <v>0</v>
      </c>
      <c r="E147" s="116">
        <v>0</v>
      </c>
      <c r="F147" s="116">
        <v>0</v>
      </c>
      <c r="G147" s="116">
        <v>0</v>
      </c>
      <c r="H147" s="116">
        <v>0</v>
      </c>
      <c r="I147" s="116">
        <v>0</v>
      </c>
      <c r="J147" s="116">
        <v>0</v>
      </c>
      <c r="K147" s="116">
        <v>0</v>
      </c>
      <c r="L147" s="116">
        <v>0</v>
      </c>
      <c r="M147" s="116">
        <v>0</v>
      </c>
      <c r="N147" s="116">
        <v>0</v>
      </c>
      <c r="O147" s="116">
        <v>0</v>
      </c>
      <c r="P147" s="116">
        <v>0</v>
      </c>
      <c r="Q147" s="116">
        <v>0</v>
      </c>
      <c r="R147" s="116">
        <v>0</v>
      </c>
      <c r="S147" s="116">
        <v>0</v>
      </c>
      <c r="T147" s="116">
        <v>0</v>
      </c>
      <c r="U147" s="116">
        <v>0</v>
      </c>
      <c r="V147" s="116">
        <v>0</v>
      </c>
      <c r="W147" s="116">
        <v>0</v>
      </c>
      <c r="X147" s="116">
        <v>0</v>
      </c>
      <c r="Y147" s="116">
        <v>0</v>
      </c>
      <c r="Z147" s="116">
        <v>0</v>
      </c>
      <c r="AA147" s="116">
        <v>0</v>
      </c>
      <c r="AB147" s="116">
        <v>0</v>
      </c>
      <c r="AC147" s="116">
        <v>0</v>
      </c>
      <c r="AD147" s="116">
        <v>0</v>
      </c>
      <c r="AE147" s="116">
        <v>0</v>
      </c>
      <c r="AF147" s="116">
        <v>0</v>
      </c>
      <c r="AG147" s="116">
        <v>0</v>
      </c>
      <c r="AH147" s="116">
        <v>0</v>
      </c>
      <c r="AI147" s="116">
        <v>0</v>
      </c>
      <c r="AJ147" s="116">
        <v>0</v>
      </c>
      <c r="AK147" s="116">
        <v>0</v>
      </c>
      <c r="AL147" s="116">
        <v>0</v>
      </c>
      <c r="AM147" s="116">
        <v>0</v>
      </c>
      <c r="AN147" s="116">
        <v>0</v>
      </c>
      <c r="AO147" s="116">
        <v>0</v>
      </c>
      <c r="AP147" s="116">
        <v>0</v>
      </c>
      <c r="AQ147" s="116">
        <v>0</v>
      </c>
      <c r="AR147" s="116">
        <v>0</v>
      </c>
      <c r="AS147" s="116">
        <v>0</v>
      </c>
      <c r="AT147" s="116">
        <v>0</v>
      </c>
      <c r="AU147" s="116">
        <v>0</v>
      </c>
      <c r="AV147" s="116">
        <v>0</v>
      </c>
      <c r="AW147" s="116">
        <v>0</v>
      </c>
      <c r="AX147" s="116">
        <v>0</v>
      </c>
      <c r="AY147" s="116">
        <v>0</v>
      </c>
    </row>
    <row r="148" spans="1:51" x14ac:dyDescent="0.2">
      <c r="A148" s="119"/>
      <c r="B148" s="137">
        <v>27</v>
      </c>
      <c r="C148" s="116"/>
      <c r="D148" s="116">
        <v>0</v>
      </c>
      <c r="E148" s="116">
        <v>0</v>
      </c>
      <c r="F148" s="116">
        <v>0</v>
      </c>
      <c r="G148" s="116">
        <v>0</v>
      </c>
      <c r="H148" s="116">
        <v>0</v>
      </c>
      <c r="I148" s="116">
        <v>0</v>
      </c>
      <c r="J148" s="116">
        <v>0</v>
      </c>
      <c r="K148" s="116">
        <v>0</v>
      </c>
      <c r="L148" s="116">
        <v>0</v>
      </c>
      <c r="M148" s="116">
        <v>0</v>
      </c>
      <c r="N148" s="116">
        <v>0</v>
      </c>
      <c r="O148" s="116">
        <v>0</v>
      </c>
      <c r="P148" s="116">
        <v>0</v>
      </c>
      <c r="Q148" s="116">
        <v>0</v>
      </c>
      <c r="R148" s="116">
        <v>0</v>
      </c>
      <c r="S148" s="116">
        <v>0</v>
      </c>
      <c r="T148" s="116">
        <v>0</v>
      </c>
      <c r="U148" s="116">
        <v>0</v>
      </c>
      <c r="V148" s="116">
        <v>0</v>
      </c>
      <c r="W148" s="116">
        <v>0</v>
      </c>
      <c r="X148" s="116">
        <v>0</v>
      </c>
      <c r="Y148" s="116">
        <v>0</v>
      </c>
      <c r="Z148" s="116">
        <v>0</v>
      </c>
      <c r="AA148" s="116">
        <v>0</v>
      </c>
      <c r="AB148" s="116">
        <v>0</v>
      </c>
      <c r="AC148" s="116">
        <v>0</v>
      </c>
      <c r="AD148" s="116">
        <v>0</v>
      </c>
      <c r="AE148" s="116">
        <v>0</v>
      </c>
      <c r="AF148" s="116">
        <v>0</v>
      </c>
      <c r="AG148" s="116">
        <v>0</v>
      </c>
      <c r="AH148" s="116">
        <v>0</v>
      </c>
      <c r="AI148" s="116">
        <v>0</v>
      </c>
      <c r="AJ148" s="116">
        <v>0</v>
      </c>
      <c r="AK148" s="116">
        <v>0</v>
      </c>
      <c r="AL148" s="116">
        <v>0</v>
      </c>
      <c r="AM148" s="116">
        <v>0</v>
      </c>
      <c r="AN148" s="116">
        <v>0</v>
      </c>
      <c r="AO148" s="116">
        <v>0</v>
      </c>
      <c r="AP148" s="116">
        <v>0</v>
      </c>
      <c r="AQ148" s="116">
        <v>0</v>
      </c>
      <c r="AR148" s="116">
        <v>0</v>
      </c>
      <c r="AS148" s="116">
        <v>0</v>
      </c>
      <c r="AT148" s="116">
        <v>0</v>
      </c>
      <c r="AU148" s="116">
        <v>0</v>
      </c>
      <c r="AV148" s="116">
        <v>0</v>
      </c>
      <c r="AW148" s="116">
        <v>0</v>
      </c>
      <c r="AX148" s="116">
        <v>0</v>
      </c>
      <c r="AY148" s="116">
        <v>0</v>
      </c>
    </row>
    <row r="149" spans="1:51" x14ac:dyDescent="0.2">
      <c r="A149" s="119"/>
      <c r="B149" s="137">
        <v>28</v>
      </c>
      <c r="C149" s="116"/>
      <c r="D149" s="116">
        <v>0</v>
      </c>
      <c r="E149" s="116">
        <v>0</v>
      </c>
      <c r="F149" s="116">
        <v>0</v>
      </c>
      <c r="G149" s="116">
        <v>0</v>
      </c>
      <c r="H149" s="116">
        <v>0</v>
      </c>
      <c r="I149" s="116">
        <v>0</v>
      </c>
      <c r="J149" s="116">
        <v>0</v>
      </c>
      <c r="K149" s="116">
        <v>0</v>
      </c>
      <c r="L149" s="116">
        <v>0</v>
      </c>
      <c r="M149" s="116">
        <v>0</v>
      </c>
      <c r="N149" s="116">
        <v>0</v>
      </c>
      <c r="O149" s="116">
        <v>0</v>
      </c>
      <c r="P149" s="116">
        <v>0</v>
      </c>
      <c r="Q149" s="116">
        <v>0</v>
      </c>
      <c r="R149" s="116">
        <v>0</v>
      </c>
      <c r="S149" s="116">
        <v>0</v>
      </c>
      <c r="T149" s="116">
        <v>0</v>
      </c>
      <c r="U149" s="116">
        <v>0</v>
      </c>
      <c r="V149" s="116">
        <v>0</v>
      </c>
      <c r="W149" s="116">
        <v>0</v>
      </c>
      <c r="X149" s="116">
        <v>0</v>
      </c>
      <c r="Y149" s="116">
        <v>0</v>
      </c>
      <c r="Z149" s="116">
        <v>0</v>
      </c>
      <c r="AA149" s="116">
        <v>0</v>
      </c>
      <c r="AB149" s="116">
        <v>0</v>
      </c>
      <c r="AC149" s="116">
        <v>0</v>
      </c>
      <c r="AD149" s="116">
        <v>0</v>
      </c>
      <c r="AE149" s="116">
        <v>0</v>
      </c>
      <c r="AF149" s="116">
        <v>0</v>
      </c>
      <c r="AG149" s="116">
        <v>0</v>
      </c>
      <c r="AH149" s="116">
        <v>0</v>
      </c>
      <c r="AI149" s="116">
        <v>0</v>
      </c>
      <c r="AJ149" s="116">
        <v>0</v>
      </c>
      <c r="AK149" s="116">
        <v>0</v>
      </c>
      <c r="AL149" s="116">
        <v>0</v>
      </c>
      <c r="AM149" s="116">
        <v>0</v>
      </c>
      <c r="AN149" s="116">
        <v>0</v>
      </c>
      <c r="AO149" s="116">
        <v>0</v>
      </c>
      <c r="AP149" s="116">
        <v>0</v>
      </c>
      <c r="AQ149" s="116">
        <v>0</v>
      </c>
      <c r="AR149" s="116">
        <v>0</v>
      </c>
      <c r="AS149" s="116">
        <v>0</v>
      </c>
      <c r="AT149" s="116">
        <v>0</v>
      </c>
      <c r="AU149" s="116">
        <v>0</v>
      </c>
      <c r="AV149" s="116">
        <v>0</v>
      </c>
      <c r="AW149" s="116">
        <v>0</v>
      </c>
      <c r="AX149" s="116">
        <v>0</v>
      </c>
      <c r="AY149" s="116">
        <v>0</v>
      </c>
    </row>
    <row r="150" spans="1:51" x14ac:dyDescent="0.2">
      <c r="A150" s="119"/>
      <c r="B150" s="137">
        <v>29</v>
      </c>
      <c r="C150" s="116"/>
      <c r="D150" s="116">
        <v>0</v>
      </c>
      <c r="E150" s="116">
        <v>0</v>
      </c>
      <c r="F150" s="116">
        <v>0</v>
      </c>
      <c r="G150" s="116">
        <v>0</v>
      </c>
      <c r="H150" s="116">
        <v>0</v>
      </c>
      <c r="I150" s="116">
        <v>0</v>
      </c>
      <c r="J150" s="116">
        <v>0</v>
      </c>
      <c r="K150" s="116">
        <v>0</v>
      </c>
      <c r="L150" s="116">
        <v>0</v>
      </c>
      <c r="M150" s="116">
        <v>0</v>
      </c>
      <c r="N150" s="116">
        <v>0</v>
      </c>
      <c r="O150" s="116">
        <v>0</v>
      </c>
      <c r="P150" s="116">
        <v>0</v>
      </c>
      <c r="Q150" s="116">
        <v>0</v>
      </c>
      <c r="R150" s="116">
        <v>0</v>
      </c>
      <c r="S150" s="116">
        <v>0</v>
      </c>
      <c r="T150" s="116">
        <v>0</v>
      </c>
      <c r="U150" s="116">
        <v>0</v>
      </c>
      <c r="V150" s="116">
        <v>0</v>
      </c>
      <c r="W150" s="116">
        <v>0</v>
      </c>
      <c r="X150" s="116">
        <v>0</v>
      </c>
      <c r="Y150" s="116">
        <v>0</v>
      </c>
      <c r="Z150" s="116">
        <v>0</v>
      </c>
      <c r="AA150" s="116">
        <v>0</v>
      </c>
      <c r="AB150" s="116">
        <v>0</v>
      </c>
      <c r="AC150" s="116">
        <v>0</v>
      </c>
      <c r="AD150" s="116">
        <v>0</v>
      </c>
      <c r="AE150" s="116">
        <v>0</v>
      </c>
      <c r="AF150" s="116">
        <v>0</v>
      </c>
      <c r="AG150" s="116">
        <v>0</v>
      </c>
      <c r="AH150" s="116">
        <v>0</v>
      </c>
      <c r="AI150" s="116">
        <v>0</v>
      </c>
      <c r="AJ150" s="116">
        <v>0</v>
      </c>
      <c r="AK150" s="116">
        <v>0</v>
      </c>
      <c r="AL150" s="116">
        <v>0</v>
      </c>
      <c r="AM150" s="116">
        <v>0</v>
      </c>
      <c r="AN150" s="116">
        <v>0</v>
      </c>
      <c r="AO150" s="116">
        <v>0</v>
      </c>
      <c r="AP150" s="116">
        <v>0</v>
      </c>
      <c r="AQ150" s="116">
        <v>0</v>
      </c>
      <c r="AR150" s="116">
        <v>0</v>
      </c>
      <c r="AS150" s="116">
        <v>0</v>
      </c>
      <c r="AT150" s="116">
        <v>0</v>
      </c>
      <c r="AU150" s="116">
        <v>0</v>
      </c>
      <c r="AV150" s="116">
        <v>0</v>
      </c>
      <c r="AW150" s="116">
        <v>0</v>
      </c>
      <c r="AX150" s="116">
        <v>0</v>
      </c>
      <c r="AY150" s="116">
        <v>0</v>
      </c>
    </row>
    <row r="151" spans="1:51" x14ac:dyDescent="0.2">
      <c r="A151" s="119"/>
      <c r="B151" s="137">
        <v>30</v>
      </c>
      <c r="C151" s="116"/>
      <c r="D151" s="116">
        <v>0</v>
      </c>
      <c r="E151" s="116">
        <v>0</v>
      </c>
      <c r="F151" s="116">
        <v>0</v>
      </c>
      <c r="G151" s="116">
        <v>0</v>
      </c>
      <c r="H151" s="116">
        <v>0</v>
      </c>
      <c r="I151" s="116">
        <v>0</v>
      </c>
      <c r="J151" s="116">
        <v>0</v>
      </c>
      <c r="K151" s="116">
        <v>0</v>
      </c>
      <c r="L151" s="116">
        <v>0</v>
      </c>
      <c r="M151" s="116">
        <v>0</v>
      </c>
      <c r="N151" s="116">
        <v>0</v>
      </c>
      <c r="O151" s="116">
        <v>0</v>
      </c>
      <c r="P151" s="116">
        <v>0</v>
      </c>
      <c r="Q151" s="116">
        <v>0</v>
      </c>
      <c r="R151" s="116">
        <v>0</v>
      </c>
      <c r="S151" s="116">
        <v>0</v>
      </c>
      <c r="T151" s="116">
        <v>0</v>
      </c>
      <c r="U151" s="116">
        <v>0</v>
      </c>
      <c r="V151" s="116">
        <v>0</v>
      </c>
      <c r="W151" s="116">
        <v>0</v>
      </c>
      <c r="X151" s="116">
        <v>0</v>
      </c>
      <c r="Y151" s="116">
        <v>0</v>
      </c>
      <c r="Z151" s="116">
        <v>0</v>
      </c>
      <c r="AA151" s="116">
        <v>0</v>
      </c>
      <c r="AB151" s="116">
        <v>0</v>
      </c>
      <c r="AC151" s="116">
        <v>0</v>
      </c>
      <c r="AD151" s="116">
        <v>0</v>
      </c>
      <c r="AE151" s="116">
        <v>0</v>
      </c>
      <c r="AF151" s="116">
        <v>0</v>
      </c>
      <c r="AG151" s="116">
        <v>0</v>
      </c>
      <c r="AH151" s="116">
        <v>0</v>
      </c>
      <c r="AI151" s="116">
        <v>0</v>
      </c>
      <c r="AJ151" s="116">
        <v>0</v>
      </c>
      <c r="AK151" s="116">
        <v>0</v>
      </c>
      <c r="AL151" s="116">
        <v>0</v>
      </c>
      <c r="AM151" s="116">
        <v>0</v>
      </c>
      <c r="AN151" s="116">
        <v>0</v>
      </c>
      <c r="AO151" s="116">
        <v>0</v>
      </c>
      <c r="AP151" s="116">
        <v>0</v>
      </c>
      <c r="AQ151" s="116">
        <v>0</v>
      </c>
      <c r="AR151" s="116">
        <v>0</v>
      </c>
      <c r="AS151" s="116">
        <v>0</v>
      </c>
      <c r="AT151" s="116">
        <v>0</v>
      </c>
      <c r="AU151" s="116">
        <v>0</v>
      </c>
      <c r="AV151" s="116">
        <v>0</v>
      </c>
      <c r="AW151" s="116">
        <v>0</v>
      </c>
      <c r="AX151" s="116">
        <v>0</v>
      </c>
      <c r="AY151" s="116">
        <v>0</v>
      </c>
    </row>
    <row r="152" spans="1:51" x14ac:dyDescent="0.2">
      <c r="A152" s="119"/>
      <c r="B152" s="137">
        <v>31</v>
      </c>
      <c r="C152" s="116"/>
      <c r="D152" s="116">
        <v>0</v>
      </c>
      <c r="E152" s="116">
        <v>0</v>
      </c>
      <c r="F152" s="116">
        <v>0</v>
      </c>
      <c r="G152" s="116">
        <v>0</v>
      </c>
      <c r="H152" s="116">
        <v>0</v>
      </c>
      <c r="I152" s="116">
        <v>0</v>
      </c>
      <c r="J152" s="116">
        <v>0</v>
      </c>
      <c r="K152" s="116">
        <v>0</v>
      </c>
      <c r="L152" s="116">
        <v>0</v>
      </c>
      <c r="M152" s="116">
        <v>0</v>
      </c>
      <c r="N152" s="116">
        <v>0</v>
      </c>
      <c r="O152" s="116">
        <v>0</v>
      </c>
      <c r="P152" s="116">
        <v>0</v>
      </c>
      <c r="Q152" s="116">
        <v>0</v>
      </c>
      <c r="R152" s="116">
        <v>0</v>
      </c>
      <c r="S152" s="116">
        <v>0</v>
      </c>
      <c r="T152" s="116">
        <v>0</v>
      </c>
      <c r="U152" s="116">
        <v>0</v>
      </c>
      <c r="V152" s="116">
        <v>0</v>
      </c>
      <c r="W152" s="116">
        <v>0</v>
      </c>
      <c r="X152" s="116">
        <v>0</v>
      </c>
      <c r="Y152" s="116">
        <v>0</v>
      </c>
      <c r="Z152" s="116">
        <v>0</v>
      </c>
      <c r="AA152" s="116">
        <v>0</v>
      </c>
      <c r="AB152" s="116">
        <v>0</v>
      </c>
      <c r="AC152" s="116">
        <v>0</v>
      </c>
      <c r="AD152" s="116">
        <v>0</v>
      </c>
      <c r="AE152" s="116">
        <v>0</v>
      </c>
      <c r="AF152" s="116">
        <v>0</v>
      </c>
      <c r="AG152" s="116">
        <v>0</v>
      </c>
      <c r="AH152" s="116">
        <v>0</v>
      </c>
      <c r="AI152" s="116">
        <v>0</v>
      </c>
      <c r="AJ152" s="116">
        <v>0</v>
      </c>
      <c r="AK152" s="116">
        <v>0</v>
      </c>
      <c r="AL152" s="116">
        <v>0</v>
      </c>
      <c r="AM152" s="116">
        <v>0</v>
      </c>
      <c r="AN152" s="116">
        <v>0</v>
      </c>
      <c r="AO152" s="116">
        <v>0</v>
      </c>
      <c r="AP152" s="116">
        <v>0</v>
      </c>
      <c r="AQ152" s="116">
        <v>0</v>
      </c>
      <c r="AR152" s="116">
        <v>0</v>
      </c>
      <c r="AS152" s="116">
        <v>0</v>
      </c>
      <c r="AT152" s="116">
        <v>0</v>
      </c>
      <c r="AU152" s="116">
        <v>0</v>
      </c>
      <c r="AV152" s="116">
        <v>0</v>
      </c>
      <c r="AW152" s="116">
        <v>0</v>
      </c>
      <c r="AX152" s="116">
        <v>0</v>
      </c>
      <c r="AY152" s="116">
        <v>0</v>
      </c>
    </row>
    <row r="153" spans="1:51" x14ac:dyDescent="0.2">
      <c r="A153" s="119"/>
      <c r="B153" s="137">
        <v>32</v>
      </c>
      <c r="C153" s="116"/>
      <c r="D153" s="116">
        <v>0</v>
      </c>
      <c r="E153" s="116">
        <v>0</v>
      </c>
      <c r="F153" s="116">
        <v>0</v>
      </c>
      <c r="G153" s="116">
        <v>0</v>
      </c>
      <c r="H153" s="116">
        <v>0</v>
      </c>
      <c r="I153" s="116">
        <v>0</v>
      </c>
      <c r="J153" s="116">
        <v>0</v>
      </c>
      <c r="K153" s="116">
        <v>0</v>
      </c>
      <c r="L153" s="116">
        <v>0</v>
      </c>
      <c r="M153" s="116">
        <v>0</v>
      </c>
      <c r="N153" s="116">
        <v>0</v>
      </c>
      <c r="O153" s="116">
        <v>0</v>
      </c>
      <c r="P153" s="116">
        <v>0</v>
      </c>
      <c r="Q153" s="116">
        <v>0</v>
      </c>
      <c r="R153" s="116">
        <v>0</v>
      </c>
      <c r="S153" s="116">
        <v>0</v>
      </c>
      <c r="T153" s="116">
        <v>0</v>
      </c>
      <c r="U153" s="116">
        <v>0</v>
      </c>
      <c r="V153" s="116">
        <v>0</v>
      </c>
      <c r="W153" s="116">
        <v>0</v>
      </c>
      <c r="X153" s="116">
        <v>0</v>
      </c>
      <c r="Y153" s="116">
        <v>0</v>
      </c>
      <c r="Z153" s="116">
        <v>0</v>
      </c>
      <c r="AA153" s="116">
        <v>0</v>
      </c>
      <c r="AB153" s="116">
        <v>0</v>
      </c>
      <c r="AC153" s="116">
        <v>0</v>
      </c>
      <c r="AD153" s="116">
        <v>0</v>
      </c>
      <c r="AE153" s="116">
        <v>0</v>
      </c>
      <c r="AF153" s="116">
        <v>0</v>
      </c>
      <c r="AG153" s="116">
        <v>0</v>
      </c>
      <c r="AH153" s="116">
        <v>0</v>
      </c>
      <c r="AI153" s="116">
        <v>0</v>
      </c>
      <c r="AJ153" s="116">
        <v>0</v>
      </c>
      <c r="AK153" s="116">
        <v>0</v>
      </c>
      <c r="AL153" s="116">
        <v>0</v>
      </c>
      <c r="AM153" s="116">
        <v>0</v>
      </c>
      <c r="AN153" s="116">
        <v>0</v>
      </c>
      <c r="AO153" s="116">
        <v>0</v>
      </c>
      <c r="AP153" s="116">
        <v>0</v>
      </c>
      <c r="AQ153" s="116">
        <v>0</v>
      </c>
      <c r="AR153" s="116">
        <v>0</v>
      </c>
      <c r="AS153" s="116">
        <v>0</v>
      </c>
      <c r="AT153" s="116">
        <v>0</v>
      </c>
      <c r="AU153" s="116">
        <v>0</v>
      </c>
      <c r="AV153" s="116">
        <v>0</v>
      </c>
      <c r="AW153" s="116">
        <v>0</v>
      </c>
      <c r="AX153" s="116">
        <v>0</v>
      </c>
      <c r="AY153" s="116">
        <v>0</v>
      </c>
    </row>
    <row r="154" spans="1:51" x14ac:dyDescent="0.2">
      <c r="A154" s="119"/>
      <c r="B154" s="137">
        <v>33</v>
      </c>
      <c r="C154" s="116"/>
      <c r="D154" s="116">
        <v>0</v>
      </c>
      <c r="E154" s="116">
        <v>0</v>
      </c>
      <c r="F154" s="116">
        <v>0</v>
      </c>
      <c r="G154" s="116">
        <v>0</v>
      </c>
      <c r="H154" s="116">
        <v>0</v>
      </c>
      <c r="I154" s="116">
        <v>0</v>
      </c>
      <c r="J154" s="116">
        <v>0</v>
      </c>
      <c r="K154" s="116">
        <v>0</v>
      </c>
      <c r="L154" s="116">
        <v>0</v>
      </c>
      <c r="M154" s="116">
        <v>0</v>
      </c>
      <c r="N154" s="116">
        <v>0</v>
      </c>
      <c r="O154" s="116">
        <v>0</v>
      </c>
      <c r="P154" s="116">
        <v>0</v>
      </c>
      <c r="Q154" s="116">
        <v>0</v>
      </c>
      <c r="R154" s="116">
        <v>0</v>
      </c>
      <c r="S154" s="116">
        <v>0</v>
      </c>
      <c r="T154" s="116">
        <v>0</v>
      </c>
      <c r="U154" s="116">
        <v>0</v>
      </c>
      <c r="V154" s="116">
        <v>0</v>
      </c>
      <c r="W154" s="116">
        <v>0</v>
      </c>
      <c r="X154" s="116">
        <v>0</v>
      </c>
      <c r="Y154" s="116">
        <v>0</v>
      </c>
      <c r="Z154" s="116">
        <v>0</v>
      </c>
      <c r="AA154" s="116">
        <v>0</v>
      </c>
      <c r="AB154" s="116">
        <v>0</v>
      </c>
      <c r="AC154" s="116">
        <v>0</v>
      </c>
      <c r="AD154" s="116">
        <v>0</v>
      </c>
      <c r="AE154" s="116">
        <v>0</v>
      </c>
      <c r="AF154" s="116">
        <v>0</v>
      </c>
      <c r="AG154" s="116">
        <v>0</v>
      </c>
      <c r="AH154" s="116">
        <v>0</v>
      </c>
      <c r="AI154" s="116">
        <v>0</v>
      </c>
      <c r="AJ154" s="116">
        <v>0</v>
      </c>
      <c r="AK154" s="116">
        <v>0</v>
      </c>
      <c r="AL154" s="116">
        <v>0</v>
      </c>
      <c r="AM154" s="116">
        <v>0</v>
      </c>
      <c r="AN154" s="116">
        <v>0</v>
      </c>
      <c r="AO154" s="116">
        <v>0</v>
      </c>
      <c r="AP154" s="116">
        <v>0</v>
      </c>
      <c r="AQ154" s="116">
        <v>0</v>
      </c>
      <c r="AR154" s="116">
        <v>0</v>
      </c>
      <c r="AS154" s="116">
        <v>0</v>
      </c>
      <c r="AT154" s="116">
        <v>0</v>
      </c>
      <c r="AU154" s="116">
        <v>0</v>
      </c>
      <c r="AV154" s="116">
        <v>0</v>
      </c>
      <c r="AW154" s="116">
        <v>0</v>
      </c>
      <c r="AX154" s="116">
        <v>0</v>
      </c>
      <c r="AY154" s="116">
        <v>0</v>
      </c>
    </row>
    <row r="155" spans="1:51" x14ac:dyDescent="0.2">
      <c r="A155" s="119"/>
      <c r="B155" s="137">
        <v>34</v>
      </c>
      <c r="C155" s="116"/>
      <c r="D155" s="116">
        <v>0</v>
      </c>
      <c r="E155" s="116">
        <v>0</v>
      </c>
      <c r="F155" s="116">
        <v>0</v>
      </c>
      <c r="G155" s="116">
        <v>0</v>
      </c>
      <c r="H155" s="116">
        <v>0</v>
      </c>
      <c r="I155" s="116">
        <v>0</v>
      </c>
      <c r="J155" s="116">
        <v>0</v>
      </c>
      <c r="K155" s="116">
        <v>0</v>
      </c>
      <c r="L155" s="116">
        <v>0</v>
      </c>
      <c r="M155" s="116">
        <v>0</v>
      </c>
      <c r="N155" s="116">
        <v>0</v>
      </c>
      <c r="O155" s="116">
        <v>0</v>
      </c>
      <c r="P155" s="116">
        <v>0</v>
      </c>
      <c r="Q155" s="116">
        <v>0</v>
      </c>
      <c r="R155" s="116">
        <v>0</v>
      </c>
      <c r="S155" s="116">
        <v>0</v>
      </c>
      <c r="T155" s="116">
        <v>0</v>
      </c>
      <c r="U155" s="116">
        <v>0</v>
      </c>
      <c r="V155" s="116">
        <v>0</v>
      </c>
      <c r="W155" s="116">
        <v>0</v>
      </c>
      <c r="X155" s="116">
        <v>0</v>
      </c>
      <c r="Y155" s="116">
        <v>0</v>
      </c>
      <c r="Z155" s="116">
        <v>0</v>
      </c>
      <c r="AA155" s="116">
        <v>0</v>
      </c>
      <c r="AB155" s="116">
        <v>0</v>
      </c>
      <c r="AC155" s="116">
        <v>0</v>
      </c>
      <c r="AD155" s="116">
        <v>0</v>
      </c>
      <c r="AE155" s="116">
        <v>0</v>
      </c>
      <c r="AF155" s="116">
        <v>0</v>
      </c>
      <c r="AG155" s="116">
        <v>0</v>
      </c>
      <c r="AH155" s="116">
        <v>0</v>
      </c>
      <c r="AI155" s="116">
        <v>0</v>
      </c>
      <c r="AJ155" s="116">
        <v>0</v>
      </c>
      <c r="AK155" s="116">
        <v>0</v>
      </c>
      <c r="AL155" s="116">
        <v>0</v>
      </c>
      <c r="AM155" s="116">
        <v>0</v>
      </c>
      <c r="AN155" s="116">
        <v>0</v>
      </c>
      <c r="AO155" s="116">
        <v>0</v>
      </c>
      <c r="AP155" s="116">
        <v>0</v>
      </c>
      <c r="AQ155" s="116">
        <v>0</v>
      </c>
      <c r="AR155" s="116">
        <v>0</v>
      </c>
      <c r="AS155" s="116">
        <v>0</v>
      </c>
      <c r="AT155" s="116">
        <v>0</v>
      </c>
      <c r="AU155" s="116">
        <v>0</v>
      </c>
      <c r="AV155" s="116">
        <v>0</v>
      </c>
      <c r="AW155" s="116">
        <v>0</v>
      </c>
      <c r="AX155" s="116">
        <v>0</v>
      </c>
      <c r="AY155" s="116">
        <v>0</v>
      </c>
    </row>
    <row r="156" spans="1:51" x14ac:dyDescent="0.2">
      <c r="A156" s="119"/>
      <c r="B156" s="137">
        <v>35</v>
      </c>
      <c r="C156" s="116"/>
      <c r="D156" s="116">
        <v>0</v>
      </c>
      <c r="E156" s="116">
        <v>0</v>
      </c>
      <c r="F156" s="116">
        <v>0</v>
      </c>
      <c r="G156" s="116">
        <v>0</v>
      </c>
      <c r="H156" s="116">
        <v>0</v>
      </c>
      <c r="I156" s="116">
        <v>0</v>
      </c>
      <c r="J156" s="116">
        <v>0</v>
      </c>
      <c r="K156" s="116">
        <v>0</v>
      </c>
      <c r="L156" s="116">
        <v>0</v>
      </c>
      <c r="M156" s="116">
        <v>0</v>
      </c>
      <c r="N156" s="116">
        <v>0</v>
      </c>
      <c r="O156" s="116">
        <v>0</v>
      </c>
      <c r="P156" s="116">
        <v>0</v>
      </c>
      <c r="Q156" s="116">
        <v>0</v>
      </c>
      <c r="R156" s="116">
        <v>0</v>
      </c>
      <c r="S156" s="116">
        <v>0</v>
      </c>
      <c r="T156" s="116">
        <v>0</v>
      </c>
      <c r="U156" s="116">
        <v>0</v>
      </c>
      <c r="V156" s="116">
        <v>0</v>
      </c>
      <c r="W156" s="116">
        <v>0</v>
      </c>
      <c r="X156" s="116">
        <v>0</v>
      </c>
      <c r="Y156" s="116">
        <v>0</v>
      </c>
      <c r="Z156" s="116">
        <v>0</v>
      </c>
      <c r="AA156" s="116">
        <v>0</v>
      </c>
      <c r="AB156" s="116">
        <v>0</v>
      </c>
      <c r="AC156" s="116">
        <v>0</v>
      </c>
      <c r="AD156" s="116">
        <v>0</v>
      </c>
      <c r="AE156" s="116">
        <v>0</v>
      </c>
      <c r="AF156" s="116">
        <v>0</v>
      </c>
      <c r="AG156" s="116">
        <v>0</v>
      </c>
      <c r="AH156" s="116">
        <v>0</v>
      </c>
      <c r="AI156" s="116">
        <v>0</v>
      </c>
      <c r="AJ156" s="116">
        <v>0</v>
      </c>
      <c r="AK156" s="116">
        <v>0</v>
      </c>
      <c r="AL156" s="116">
        <v>0</v>
      </c>
      <c r="AM156" s="116">
        <v>0</v>
      </c>
      <c r="AN156" s="116">
        <v>0</v>
      </c>
      <c r="AO156" s="116">
        <v>0</v>
      </c>
      <c r="AP156" s="116">
        <v>0</v>
      </c>
      <c r="AQ156" s="116">
        <v>0</v>
      </c>
      <c r="AR156" s="116">
        <v>0</v>
      </c>
      <c r="AS156" s="116">
        <v>0</v>
      </c>
      <c r="AT156" s="116">
        <v>0</v>
      </c>
      <c r="AU156" s="116">
        <v>0</v>
      </c>
      <c r="AV156" s="116">
        <v>0</v>
      </c>
      <c r="AW156" s="116">
        <v>0</v>
      </c>
      <c r="AX156" s="116">
        <v>0</v>
      </c>
      <c r="AY156" s="116">
        <v>0</v>
      </c>
    </row>
    <row r="157" spans="1:51" x14ac:dyDescent="0.2">
      <c r="A157" s="119"/>
      <c r="B157" s="137">
        <v>36</v>
      </c>
      <c r="C157" s="116"/>
      <c r="D157" s="116">
        <v>0</v>
      </c>
      <c r="E157" s="116">
        <v>0</v>
      </c>
      <c r="F157" s="116">
        <v>0</v>
      </c>
      <c r="G157" s="116">
        <v>0</v>
      </c>
      <c r="H157" s="116">
        <v>0</v>
      </c>
      <c r="I157" s="116">
        <v>0</v>
      </c>
      <c r="J157" s="116">
        <v>0</v>
      </c>
      <c r="K157" s="116">
        <v>0</v>
      </c>
      <c r="L157" s="116">
        <v>0</v>
      </c>
      <c r="M157" s="116">
        <v>0</v>
      </c>
      <c r="N157" s="116">
        <v>0</v>
      </c>
      <c r="O157" s="116">
        <v>0</v>
      </c>
      <c r="P157" s="116">
        <v>0</v>
      </c>
      <c r="Q157" s="116">
        <v>0</v>
      </c>
      <c r="R157" s="116">
        <v>0</v>
      </c>
      <c r="S157" s="116">
        <v>0</v>
      </c>
      <c r="T157" s="116">
        <v>0</v>
      </c>
      <c r="U157" s="116">
        <v>0</v>
      </c>
      <c r="V157" s="116">
        <v>0</v>
      </c>
      <c r="W157" s="116">
        <v>0</v>
      </c>
      <c r="X157" s="116">
        <v>0</v>
      </c>
      <c r="Y157" s="116">
        <v>0</v>
      </c>
      <c r="Z157" s="116">
        <v>0</v>
      </c>
      <c r="AA157" s="116">
        <v>0</v>
      </c>
      <c r="AB157" s="116">
        <v>0</v>
      </c>
      <c r="AC157" s="116">
        <v>0</v>
      </c>
      <c r="AD157" s="116">
        <v>0</v>
      </c>
      <c r="AE157" s="116">
        <v>0</v>
      </c>
      <c r="AF157" s="116">
        <v>0</v>
      </c>
      <c r="AG157" s="116">
        <v>0</v>
      </c>
      <c r="AH157" s="116">
        <v>0</v>
      </c>
      <c r="AI157" s="116">
        <v>0</v>
      </c>
      <c r="AJ157" s="116">
        <v>0</v>
      </c>
      <c r="AK157" s="116">
        <v>0</v>
      </c>
      <c r="AL157" s="116">
        <v>0</v>
      </c>
      <c r="AM157" s="116">
        <v>0</v>
      </c>
      <c r="AN157" s="116">
        <v>0</v>
      </c>
      <c r="AO157" s="116">
        <v>0</v>
      </c>
      <c r="AP157" s="116">
        <v>0</v>
      </c>
      <c r="AQ157" s="116">
        <v>0</v>
      </c>
      <c r="AR157" s="116">
        <v>0</v>
      </c>
      <c r="AS157" s="116">
        <v>0</v>
      </c>
      <c r="AT157" s="116">
        <v>0</v>
      </c>
      <c r="AU157" s="116">
        <v>0</v>
      </c>
      <c r="AV157" s="116">
        <v>0</v>
      </c>
      <c r="AW157" s="116">
        <v>0</v>
      </c>
      <c r="AX157" s="116">
        <v>0</v>
      </c>
      <c r="AY157" s="116">
        <v>0</v>
      </c>
    </row>
    <row r="158" spans="1:51" x14ac:dyDescent="0.2">
      <c r="A158" s="119"/>
      <c r="B158" s="140">
        <v>37</v>
      </c>
      <c r="C158" s="116"/>
      <c r="D158" s="116">
        <v>0</v>
      </c>
      <c r="E158" s="116">
        <v>0</v>
      </c>
      <c r="F158" s="116">
        <v>0</v>
      </c>
      <c r="G158" s="116">
        <v>0</v>
      </c>
      <c r="H158" s="116">
        <v>0</v>
      </c>
      <c r="I158" s="116">
        <v>0</v>
      </c>
      <c r="J158" s="116">
        <v>0</v>
      </c>
      <c r="K158" s="116">
        <v>0</v>
      </c>
      <c r="L158" s="116">
        <v>0</v>
      </c>
      <c r="M158" s="116">
        <v>0</v>
      </c>
      <c r="N158" s="116">
        <v>0</v>
      </c>
      <c r="O158" s="116">
        <v>0</v>
      </c>
      <c r="P158" s="116">
        <v>0</v>
      </c>
      <c r="Q158" s="116">
        <v>0</v>
      </c>
      <c r="R158" s="116">
        <v>0</v>
      </c>
      <c r="S158" s="116">
        <v>0</v>
      </c>
      <c r="T158" s="116">
        <v>0</v>
      </c>
      <c r="U158" s="116">
        <v>0</v>
      </c>
      <c r="V158" s="116">
        <v>0</v>
      </c>
      <c r="W158" s="116">
        <v>0</v>
      </c>
      <c r="X158" s="116">
        <v>0</v>
      </c>
      <c r="Y158" s="116">
        <v>0</v>
      </c>
      <c r="Z158" s="116">
        <v>0</v>
      </c>
      <c r="AA158" s="116">
        <v>0</v>
      </c>
      <c r="AB158" s="116">
        <v>0</v>
      </c>
      <c r="AC158" s="116">
        <v>0</v>
      </c>
      <c r="AD158" s="116">
        <v>0</v>
      </c>
      <c r="AE158" s="116">
        <v>0</v>
      </c>
      <c r="AF158" s="116">
        <v>0</v>
      </c>
      <c r="AG158" s="116">
        <v>0</v>
      </c>
      <c r="AH158" s="116">
        <v>0</v>
      </c>
      <c r="AI158" s="116">
        <v>0</v>
      </c>
      <c r="AJ158" s="116">
        <v>0</v>
      </c>
      <c r="AK158" s="116">
        <v>0</v>
      </c>
      <c r="AL158" s="116">
        <v>0</v>
      </c>
      <c r="AM158" s="116">
        <v>0</v>
      </c>
      <c r="AN158" s="116">
        <v>0</v>
      </c>
      <c r="AO158" s="116">
        <v>0</v>
      </c>
      <c r="AP158" s="116">
        <v>0</v>
      </c>
      <c r="AQ158" s="116">
        <v>0</v>
      </c>
      <c r="AR158" s="116">
        <v>0</v>
      </c>
      <c r="AS158" s="116">
        <v>0</v>
      </c>
      <c r="AT158" s="116">
        <v>0</v>
      </c>
      <c r="AU158" s="116">
        <v>0</v>
      </c>
      <c r="AV158" s="116">
        <v>0</v>
      </c>
      <c r="AW158" s="116">
        <v>0</v>
      </c>
      <c r="AX158" s="116">
        <v>0</v>
      </c>
      <c r="AY158" s="116">
        <v>0</v>
      </c>
    </row>
    <row r="159" spans="1:51" x14ac:dyDescent="0.2">
      <c r="A159" s="119"/>
      <c r="B159" s="140">
        <v>38</v>
      </c>
      <c r="C159" s="116"/>
      <c r="D159" s="116">
        <v>0</v>
      </c>
      <c r="E159" s="116">
        <v>0</v>
      </c>
      <c r="F159" s="116">
        <v>0</v>
      </c>
      <c r="G159" s="116">
        <v>0</v>
      </c>
      <c r="H159" s="116">
        <v>0</v>
      </c>
      <c r="I159" s="116">
        <v>0</v>
      </c>
      <c r="J159" s="116">
        <v>0</v>
      </c>
      <c r="K159" s="116">
        <v>0</v>
      </c>
      <c r="L159" s="116">
        <v>0</v>
      </c>
      <c r="M159" s="116">
        <v>0</v>
      </c>
      <c r="N159" s="116">
        <v>0</v>
      </c>
      <c r="O159" s="116">
        <v>0</v>
      </c>
      <c r="P159" s="116">
        <v>0</v>
      </c>
      <c r="Q159" s="116">
        <v>0</v>
      </c>
      <c r="R159" s="116">
        <v>0</v>
      </c>
      <c r="S159" s="116">
        <v>0</v>
      </c>
      <c r="T159" s="116">
        <v>0</v>
      </c>
      <c r="U159" s="116">
        <v>0</v>
      </c>
      <c r="V159" s="116">
        <v>0</v>
      </c>
      <c r="W159" s="116">
        <v>0</v>
      </c>
      <c r="X159" s="116">
        <v>0</v>
      </c>
      <c r="Y159" s="116">
        <v>0</v>
      </c>
      <c r="Z159" s="116">
        <v>0</v>
      </c>
      <c r="AA159" s="116">
        <v>0</v>
      </c>
      <c r="AB159" s="116">
        <v>0</v>
      </c>
      <c r="AC159" s="116">
        <v>0</v>
      </c>
      <c r="AD159" s="116">
        <v>0</v>
      </c>
      <c r="AE159" s="116">
        <v>0</v>
      </c>
      <c r="AF159" s="116">
        <v>0</v>
      </c>
      <c r="AG159" s="116">
        <v>0</v>
      </c>
      <c r="AH159" s="116">
        <v>0</v>
      </c>
      <c r="AI159" s="116">
        <v>0</v>
      </c>
      <c r="AJ159" s="116">
        <v>0</v>
      </c>
      <c r="AK159" s="116">
        <v>0</v>
      </c>
      <c r="AL159" s="116">
        <v>0</v>
      </c>
      <c r="AM159" s="116">
        <v>0</v>
      </c>
      <c r="AN159" s="116">
        <v>0</v>
      </c>
      <c r="AO159" s="116">
        <v>0</v>
      </c>
      <c r="AP159" s="116">
        <v>0</v>
      </c>
      <c r="AQ159" s="116">
        <v>0</v>
      </c>
      <c r="AR159" s="116">
        <v>0</v>
      </c>
      <c r="AS159" s="116">
        <v>0</v>
      </c>
      <c r="AT159" s="116">
        <v>0</v>
      </c>
      <c r="AU159" s="116">
        <v>0</v>
      </c>
      <c r="AV159" s="116">
        <v>0</v>
      </c>
      <c r="AW159" s="116">
        <v>0</v>
      </c>
      <c r="AX159" s="116">
        <v>0</v>
      </c>
      <c r="AY159" s="116">
        <v>0</v>
      </c>
    </row>
    <row r="160" spans="1:51" x14ac:dyDescent="0.2">
      <c r="A160" s="119"/>
      <c r="B160" s="140">
        <v>39</v>
      </c>
      <c r="C160" s="116"/>
      <c r="D160" s="116">
        <v>0</v>
      </c>
      <c r="E160" s="116">
        <v>0</v>
      </c>
      <c r="F160" s="116">
        <v>0</v>
      </c>
      <c r="G160" s="116">
        <v>0</v>
      </c>
      <c r="H160" s="116">
        <v>0</v>
      </c>
      <c r="I160" s="116">
        <v>0</v>
      </c>
      <c r="J160" s="116">
        <v>0</v>
      </c>
      <c r="K160" s="116">
        <v>0</v>
      </c>
      <c r="L160" s="116">
        <v>0</v>
      </c>
      <c r="M160" s="116">
        <v>0</v>
      </c>
      <c r="N160" s="116">
        <v>0</v>
      </c>
      <c r="O160" s="116">
        <v>0</v>
      </c>
      <c r="P160" s="116">
        <v>0</v>
      </c>
      <c r="Q160" s="116">
        <v>0</v>
      </c>
      <c r="R160" s="116">
        <v>0</v>
      </c>
      <c r="S160" s="116">
        <v>0</v>
      </c>
      <c r="T160" s="116">
        <v>0</v>
      </c>
      <c r="U160" s="116">
        <v>0</v>
      </c>
      <c r="V160" s="116">
        <v>0</v>
      </c>
      <c r="W160" s="116">
        <v>0</v>
      </c>
      <c r="X160" s="116">
        <v>0</v>
      </c>
      <c r="Y160" s="116">
        <v>0</v>
      </c>
      <c r="Z160" s="116">
        <v>0</v>
      </c>
      <c r="AA160" s="116">
        <v>0</v>
      </c>
      <c r="AB160" s="116">
        <v>0</v>
      </c>
      <c r="AC160" s="116">
        <v>0</v>
      </c>
      <c r="AD160" s="116">
        <v>0</v>
      </c>
      <c r="AE160" s="116">
        <v>0</v>
      </c>
      <c r="AF160" s="116">
        <v>0</v>
      </c>
      <c r="AG160" s="116">
        <v>0</v>
      </c>
      <c r="AH160" s="116">
        <v>0</v>
      </c>
      <c r="AI160" s="116">
        <v>0</v>
      </c>
      <c r="AJ160" s="116">
        <v>0</v>
      </c>
      <c r="AK160" s="116">
        <v>0</v>
      </c>
      <c r="AL160" s="116">
        <v>0</v>
      </c>
      <c r="AM160" s="116">
        <v>0</v>
      </c>
      <c r="AN160" s="116">
        <v>0</v>
      </c>
      <c r="AO160" s="116">
        <v>0</v>
      </c>
      <c r="AP160" s="116">
        <v>0</v>
      </c>
      <c r="AQ160" s="116">
        <v>0</v>
      </c>
      <c r="AR160" s="116">
        <v>0</v>
      </c>
      <c r="AS160" s="116">
        <v>0</v>
      </c>
      <c r="AT160" s="116">
        <v>0</v>
      </c>
      <c r="AU160" s="116">
        <v>0</v>
      </c>
      <c r="AV160" s="116">
        <v>0</v>
      </c>
      <c r="AW160" s="116">
        <v>0</v>
      </c>
      <c r="AX160" s="116">
        <v>0</v>
      </c>
      <c r="AY160" s="116">
        <v>0</v>
      </c>
    </row>
    <row r="161" spans="1:52" x14ac:dyDescent="0.2">
      <c r="A161" s="119"/>
      <c r="B161" s="140">
        <v>40</v>
      </c>
      <c r="C161" s="116"/>
      <c r="D161" s="116">
        <v>0</v>
      </c>
      <c r="E161" s="116">
        <v>0</v>
      </c>
      <c r="F161" s="116">
        <v>0</v>
      </c>
      <c r="G161" s="116">
        <v>0</v>
      </c>
      <c r="H161" s="116">
        <v>0</v>
      </c>
      <c r="I161" s="116">
        <v>0</v>
      </c>
      <c r="J161" s="116">
        <v>0</v>
      </c>
      <c r="K161" s="116">
        <v>0</v>
      </c>
      <c r="L161" s="116">
        <v>0</v>
      </c>
      <c r="M161" s="116">
        <v>0</v>
      </c>
      <c r="N161" s="116">
        <v>0</v>
      </c>
      <c r="O161" s="116">
        <v>0</v>
      </c>
      <c r="P161" s="116">
        <v>0</v>
      </c>
      <c r="Q161" s="116">
        <v>0</v>
      </c>
      <c r="R161" s="116">
        <v>0</v>
      </c>
      <c r="S161" s="116">
        <v>0</v>
      </c>
      <c r="T161" s="116">
        <v>0</v>
      </c>
      <c r="U161" s="116">
        <v>0</v>
      </c>
      <c r="V161" s="116">
        <v>0</v>
      </c>
      <c r="W161" s="116">
        <v>0</v>
      </c>
      <c r="X161" s="116">
        <v>0</v>
      </c>
      <c r="Y161" s="116">
        <v>0</v>
      </c>
      <c r="Z161" s="116">
        <v>0</v>
      </c>
      <c r="AA161" s="116">
        <v>0</v>
      </c>
      <c r="AB161" s="116">
        <v>0</v>
      </c>
      <c r="AC161" s="116">
        <v>0</v>
      </c>
      <c r="AD161" s="116">
        <v>0</v>
      </c>
      <c r="AE161" s="116">
        <v>0</v>
      </c>
      <c r="AF161" s="116">
        <v>0</v>
      </c>
      <c r="AG161" s="116">
        <v>0</v>
      </c>
      <c r="AH161" s="116">
        <v>0</v>
      </c>
      <c r="AI161" s="116">
        <v>0</v>
      </c>
      <c r="AJ161" s="116">
        <v>0</v>
      </c>
      <c r="AK161" s="116">
        <v>0</v>
      </c>
      <c r="AL161" s="116">
        <v>0</v>
      </c>
      <c r="AM161" s="116">
        <v>0</v>
      </c>
      <c r="AN161" s="116">
        <v>0</v>
      </c>
      <c r="AO161" s="116">
        <v>0</v>
      </c>
      <c r="AP161" s="116">
        <v>0</v>
      </c>
      <c r="AQ161" s="116">
        <v>0</v>
      </c>
      <c r="AR161" s="116">
        <v>0</v>
      </c>
      <c r="AS161" s="116">
        <v>0</v>
      </c>
      <c r="AT161" s="116">
        <v>0</v>
      </c>
      <c r="AU161" s="116">
        <v>0</v>
      </c>
      <c r="AV161" s="116">
        <v>0</v>
      </c>
      <c r="AW161" s="116">
        <v>0</v>
      </c>
      <c r="AX161" s="116">
        <v>0</v>
      </c>
      <c r="AY161" s="116">
        <v>0</v>
      </c>
    </row>
    <row r="162" spans="1:52" x14ac:dyDescent="0.2">
      <c r="A162" s="119"/>
      <c r="B162" s="140">
        <v>41</v>
      </c>
      <c r="C162" s="116"/>
      <c r="D162" s="116">
        <v>0</v>
      </c>
      <c r="E162" s="116">
        <v>0</v>
      </c>
      <c r="F162" s="116">
        <v>0</v>
      </c>
      <c r="G162" s="116">
        <v>0</v>
      </c>
      <c r="H162" s="116">
        <v>0</v>
      </c>
      <c r="I162" s="116">
        <v>0</v>
      </c>
      <c r="J162" s="116">
        <v>0</v>
      </c>
      <c r="K162" s="116">
        <v>0</v>
      </c>
      <c r="L162" s="116">
        <v>0</v>
      </c>
      <c r="M162" s="116">
        <v>0</v>
      </c>
      <c r="N162" s="116">
        <v>0</v>
      </c>
      <c r="O162" s="116">
        <v>0</v>
      </c>
      <c r="P162" s="116">
        <v>0</v>
      </c>
      <c r="Q162" s="116">
        <v>0</v>
      </c>
      <c r="R162" s="116">
        <v>0</v>
      </c>
      <c r="S162" s="116">
        <v>0</v>
      </c>
      <c r="T162" s="116">
        <v>0</v>
      </c>
      <c r="U162" s="116">
        <v>0</v>
      </c>
      <c r="V162" s="116">
        <v>0</v>
      </c>
      <c r="W162" s="116">
        <v>0</v>
      </c>
      <c r="X162" s="116">
        <v>0</v>
      </c>
      <c r="Y162" s="116">
        <v>0</v>
      </c>
      <c r="Z162" s="116">
        <v>0</v>
      </c>
      <c r="AA162" s="116">
        <v>0</v>
      </c>
      <c r="AB162" s="116">
        <v>0</v>
      </c>
      <c r="AC162" s="116">
        <v>0</v>
      </c>
      <c r="AD162" s="116">
        <v>0</v>
      </c>
      <c r="AE162" s="116">
        <v>0</v>
      </c>
      <c r="AF162" s="116">
        <v>0</v>
      </c>
      <c r="AG162" s="116">
        <v>0</v>
      </c>
      <c r="AH162" s="116">
        <v>0</v>
      </c>
      <c r="AI162" s="116">
        <v>0</v>
      </c>
      <c r="AJ162" s="116">
        <v>0</v>
      </c>
      <c r="AK162" s="116">
        <v>0</v>
      </c>
      <c r="AL162" s="116">
        <v>0</v>
      </c>
      <c r="AM162" s="116">
        <v>0</v>
      </c>
      <c r="AN162" s="116">
        <v>0</v>
      </c>
      <c r="AO162" s="116">
        <v>0</v>
      </c>
      <c r="AP162" s="116">
        <v>0</v>
      </c>
      <c r="AQ162" s="116">
        <v>0</v>
      </c>
      <c r="AR162" s="116">
        <v>0</v>
      </c>
      <c r="AS162" s="116">
        <v>0</v>
      </c>
      <c r="AT162" s="116">
        <v>0</v>
      </c>
      <c r="AU162" s="116">
        <v>0</v>
      </c>
      <c r="AV162" s="116">
        <v>0</v>
      </c>
      <c r="AW162" s="116">
        <v>0</v>
      </c>
      <c r="AX162" s="116">
        <v>0</v>
      </c>
      <c r="AY162" s="116">
        <v>0</v>
      </c>
    </row>
    <row r="163" spans="1:52" x14ac:dyDescent="0.2">
      <c r="A163" s="119"/>
      <c r="B163" s="140">
        <v>42</v>
      </c>
      <c r="C163" s="116"/>
      <c r="D163" s="116">
        <v>0</v>
      </c>
      <c r="E163" s="116">
        <v>0</v>
      </c>
      <c r="F163" s="116">
        <v>0</v>
      </c>
      <c r="G163" s="116">
        <v>0</v>
      </c>
      <c r="H163" s="116">
        <v>0</v>
      </c>
      <c r="I163" s="116">
        <v>0</v>
      </c>
      <c r="J163" s="116">
        <v>0</v>
      </c>
      <c r="K163" s="116">
        <v>0</v>
      </c>
      <c r="L163" s="116">
        <v>0</v>
      </c>
      <c r="M163" s="116">
        <v>0</v>
      </c>
      <c r="N163" s="116">
        <v>0</v>
      </c>
      <c r="O163" s="116">
        <v>0</v>
      </c>
      <c r="P163" s="116">
        <v>0</v>
      </c>
      <c r="Q163" s="116">
        <v>0</v>
      </c>
      <c r="R163" s="116">
        <v>0</v>
      </c>
      <c r="S163" s="116">
        <v>0</v>
      </c>
      <c r="T163" s="116">
        <v>0</v>
      </c>
      <c r="U163" s="116">
        <v>0</v>
      </c>
      <c r="V163" s="116">
        <v>0</v>
      </c>
      <c r="W163" s="116">
        <v>0</v>
      </c>
      <c r="X163" s="116">
        <v>0</v>
      </c>
      <c r="Y163" s="116">
        <v>0</v>
      </c>
      <c r="Z163" s="116">
        <v>0</v>
      </c>
      <c r="AA163" s="116">
        <v>0</v>
      </c>
      <c r="AB163" s="116">
        <v>0</v>
      </c>
      <c r="AC163" s="116">
        <v>0</v>
      </c>
      <c r="AD163" s="116">
        <v>0</v>
      </c>
      <c r="AE163" s="116">
        <v>0</v>
      </c>
      <c r="AF163" s="116">
        <v>0</v>
      </c>
      <c r="AG163" s="116">
        <v>0</v>
      </c>
      <c r="AH163" s="116">
        <v>0</v>
      </c>
      <c r="AI163" s="116">
        <v>0</v>
      </c>
      <c r="AJ163" s="116">
        <v>0</v>
      </c>
      <c r="AK163" s="116">
        <v>0</v>
      </c>
      <c r="AL163" s="116">
        <v>0</v>
      </c>
      <c r="AM163" s="116">
        <v>0</v>
      </c>
      <c r="AN163" s="116">
        <v>0</v>
      </c>
      <c r="AO163" s="116">
        <v>0</v>
      </c>
      <c r="AP163" s="116">
        <v>0</v>
      </c>
      <c r="AQ163" s="116">
        <v>0</v>
      </c>
      <c r="AR163" s="116">
        <v>0</v>
      </c>
      <c r="AS163" s="116">
        <v>0</v>
      </c>
      <c r="AT163" s="116">
        <v>0</v>
      </c>
      <c r="AU163" s="116">
        <v>0</v>
      </c>
      <c r="AV163" s="116">
        <v>0</v>
      </c>
      <c r="AW163" s="116">
        <v>0</v>
      </c>
      <c r="AX163" s="116">
        <v>0</v>
      </c>
      <c r="AY163" s="116">
        <v>0</v>
      </c>
    </row>
    <row r="164" spans="1:52" x14ac:dyDescent="0.2">
      <c r="A164" s="119"/>
      <c r="B164" s="140">
        <v>43</v>
      </c>
      <c r="C164" s="116"/>
      <c r="D164" s="116">
        <v>0</v>
      </c>
      <c r="E164" s="116">
        <v>0</v>
      </c>
      <c r="F164" s="116">
        <v>0</v>
      </c>
      <c r="G164" s="116">
        <v>0</v>
      </c>
      <c r="H164" s="116">
        <v>0</v>
      </c>
      <c r="I164" s="116">
        <v>0</v>
      </c>
      <c r="J164" s="116">
        <v>0</v>
      </c>
      <c r="K164" s="116">
        <v>0</v>
      </c>
      <c r="L164" s="116">
        <v>0</v>
      </c>
      <c r="M164" s="116">
        <v>0</v>
      </c>
      <c r="N164" s="116">
        <v>0</v>
      </c>
      <c r="O164" s="116">
        <v>0</v>
      </c>
      <c r="P164" s="116">
        <v>0</v>
      </c>
      <c r="Q164" s="116">
        <v>0</v>
      </c>
      <c r="R164" s="116">
        <v>0</v>
      </c>
      <c r="S164" s="116">
        <v>0</v>
      </c>
      <c r="T164" s="116">
        <v>0</v>
      </c>
      <c r="U164" s="116">
        <v>0</v>
      </c>
      <c r="V164" s="116">
        <v>0</v>
      </c>
      <c r="W164" s="116">
        <v>0</v>
      </c>
      <c r="X164" s="116">
        <v>0</v>
      </c>
      <c r="Y164" s="116">
        <v>0</v>
      </c>
      <c r="Z164" s="116">
        <v>0</v>
      </c>
      <c r="AA164" s="116">
        <v>0</v>
      </c>
      <c r="AB164" s="116">
        <v>0</v>
      </c>
      <c r="AC164" s="116">
        <v>0</v>
      </c>
      <c r="AD164" s="116">
        <v>0</v>
      </c>
      <c r="AE164" s="116">
        <v>0</v>
      </c>
      <c r="AF164" s="116">
        <v>0</v>
      </c>
      <c r="AG164" s="116">
        <v>0</v>
      </c>
      <c r="AH164" s="116">
        <v>0</v>
      </c>
      <c r="AI164" s="116">
        <v>0</v>
      </c>
      <c r="AJ164" s="116">
        <v>0</v>
      </c>
      <c r="AK164" s="116">
        <v>0</v>
      </c>
      <c r="AL164" s="116">
        <v>0</v>
      </c>
      <c r="AM164" s="116">
        <v>0</v>
      </c>
      <c r="AN164" s="116">
        <v>0</v>
      </c>
      <c r="AO164" s="116">
        <v>0</v>
      </c>
      <c r="AP164" s="116">
        <v>0</v>
      </c>
      <c r="AQ164" s="116">
        <v>0</v>
      </c>
      <c r="AR164" s="116">
        <v>0</v>
      </c>
      <c r="AS164" s="116">
        <v>0</v>
      </c>
      <c r="AT164" s="116">
        <v>0</v>
      </c>
      <c r="AU164" s="116">
        <v>0</v>
      </c>
      <c r="AV164" s="116">
        <v>0</v>
      </c>
      <c r="AW164" s="116">
        <v>0</v>
      </c>
      <c r="AX164" s="116">
        <v>0</v>
      </c>
      <c r="AY164" s="116">
        <v>0</v>
      </c>
    </row>
    <row r="165" spans="1:52" x14ac:dyDescent="0.2">
      <c r="A165" s="119"/>
      <c r="B165" s="140">
        <v>44</v>
      </c>
      <c r="C165" s="116"/>
      <c r="D165" s="116">
        <v>0</v>
      </c>
      <c r="E165" s="116">
        <v>0</v>
      </c>
      <c r="F165" s="116">
        <v>0</v>
      </c>
      <c r="G165" s="116">
        <v>0</v>
      </c>
      <c r="H165" s="116">
        <v>0</v>
      </c>
      <c r="I165" s="116">
        <v>0</v>
      </c>
      <c r="J165" s="116">
        <v>0</v>
      </c>
      <c r="K165" s="116">
        <v>0</v>
      </c>
      <c r="L165" s="116">
        <v>0</v>
      </c>
      <c r="M165" s="116">
        <v>0</v>
      </c>
      <c r="N165" s="116">
        <v>0</v>
      </c>
      <c r="O165" s="116">
        <v>0</v>
      </c>
      <c r="P165" s="116">
        <v>0</v>
      </c>
      <c r="Q165" s="116">
        <v>0</v>
      </c>
      <c r="R165" s="116">
        <v>0</v>
      </c>
      <c r="S165" s="116">
        <v>0</v>
      </c>
      <c r="T165" s="116">
        <v>0</v>
      </c>
      <c r="U165" s="116">
        <v>0</v>
      </c>
      <c r="V165" s="116">
        <v>0</v>
      </c>
      <c r="W165" s="116">
        <v>0</v>
      </c>
      <c r="X165" s="116">
        <v>0</v>
      </c>
      <c r="Y165" s="116">
        <v>0</v>
      </c>
      <c r="Z165" s="116">
        <v>0</v>
      </c>
      <c r="AA165" s="116">
        <v>0</v>
      </c>
      <c r="AB165" s="116">
        <v>0</v>
      </c>
      <c r="AC165" s="116">
        <v>0</v>
      </c>
      <c r="AD165" s="116">
        <v>0</v>
      </c>
      <c r="AE165" s="116">
        <v>0</v>
      </c>
      <c r="AF165" s="116">
        <v>0</v>
      </c>
      <c r="AG165" s="116">
        <v>0</v>
      </c>
      <c r="AH165" s="116">
        <v>0</v>
      </c>
      <c r="AI165" s="116">
        <v>0</v>
      </c>
      <c r="AJ165" s="116">
        <v>0</v>
      </c>
      <c r="AK165" s="116">
        <v>0</v>
      </c>
      <c r="AL165" s="116">
        <v>0</v>
      </c>
      <c r="AM165" s="116">
        <v>0</v>
      </c>
      <c r="AN165" s="116">
        <v>0</v>
      </c>
      <c r="AO165" s="116">
        <v>0</v>
      </c>
      <c r="AP165" s="116">
        <v>0</v>
      </c>
      <c r="AQ165" s="116">
        <v>0</v>
      </c>
      <c r="AR165" s="116">
        <v>0</v>
      </c>
      <c r="AS165" s="116">
        <v>0</v>
      </c>
      <c r="AT165" s="116">
        <v>0</v>
      </c>
      <c r="AU165" s="116">
        <v>0</v>
      </c>
      <c r="AV165" s="116">
        <v>0</v>
      </c>
      <c r="AW165" s="116">
        <v>0</v>
      </c>
      <c r="AX165" s="116">
        <v>0</v>
      </c>
      <c r="AY165" s="116">
        <v>0</v>
      </c>
    </row>
    <row r="166" spans="1:52" x14ac:dyDescent="0.2">
      <c r="A166" s="119"/>
      <c r="B166" s="140">
        <v>45</v>
      </c>
      <c r="C166" s="116"/>
      <c r="D166" s="116">
        <v>0</v>
      </c>
      <c r="E166" s="116">
        <v>0</v>
      </c>
      <c r="F166" s="116">
        <v>0</v>
      </c>
      <c r="G166" s="116">
        <v>0</v>
      </c>
      <c r="H166" s="116">
        <v>0</v>
      </c>
      <c r="I166" s="116">
        <v>0</v>
      </c>
      <c r="J166" s="116">
        <v>0</v>
      </c>
      <c r="K166" s="116">
        <v>0</v>
      </c>
      <c r="L166" s="116">
        <v>0</v>
      </c>
      <c r="M166" s="116">
        <v>0</v>
      </c>
      <c r="N166" s="116">
        <v>0</v>
      </c>
      <c r="O166" s="116">
        <v>0</v>
      </c>
      <c r="P166" s="116">
        <v>0</v>
      </c>
      <c r="Q166" s="116">
        <v>0</v>
      </c>
      <c r="R166" s="116">
        <v>0</v>
      </c>
      <c r="S166" s="116">
        <v>0</v>
      </c>
      <c r="T166" s="116">
        <v>0</v>
      </c>
      <c r="U166" s="116">
        <v>0</v>
      </c>
      <c r="V166" s="116">
        <v>0</v>
      </c>
      <c r="W166" s="116">
        <v>0</v>
      </c>
      <c r="X166" s="116">
        <v>0</v>
      </c>
      <c r="Y166" s="116">
        <v>0</v>
      </c>
      <c r="Z166" s="116">
        <v>0</v>
      </c>
      <c r="AA166" s="116">
        <v>0</v>
      </c>
      <c r="AB166" s="116">
        <v>0</v>
      </c>
      <c r="AC166" s="116">
        <v>0</v>
      </c>
      <c r="AD166" s="116">
        <v>0</v>
      </c>
      <c r="AE166" s="116">
        <v>0</v>
      </c>
      <c r="AF166" s="116">
        <v>0</v>
      </c>
      <c r="AG166" s="116">
        <v>0</v>
      </c>
      <c r="AH166" s="116">
        <v>0</v>
      </c>
      <c r="AI166" s="116">
        <v>0</v>
      </c>
      <c r="AJ166" s="116">
        <v>0</v>
      </c>
      <c r="AK166" s="116">
        <v>0</v>
      </c>
      <c r="AL166" s="116">
        <v>0</v>
      </c>
      <c r="AM166" s="116">
        <v>0</v>
      </c>
      <c r="AN166" s="116">
        <v>0</v>
      </c>
      <c r="AO166" s="116">
        <v>0</v>
      </c>
      <c r="AP166" s="116">
        <v>0</v>
      </c>
      <c r="AQ166" s="116">
        <v>0</v>
      </c>
      <c r="AR166" s="116">
        <v>0</v>
      </c>
      <c r="AS166" s="116">
        <v>0</v>
      </c>
      <c r="AT166" s="116">
        <v>0</v>
      </c>
      <c r="AU166" s="116">
        <v>0</v>
      </c>
      <c r="AV166" s="116">
        <v>0</v>
      </c>
      <c r="AW166" s="116">
        <v>0</v>
      </c>
      <c r="AX166" s="116">
        <v>0</v>
      </c>
      <c r="AY166" s="116">
        <v>0</v>
      </c>
    </row>
    <row r="167" spans="1:52" x14ac:dyDescent="0.2">
      <c r="A167" s="119"/>
      <c r="B167" s="140">
        <v>46</v>
      </c>
      <c r="C167" s="116"/>
      <c r="D167" s="116">
        <v>0</v>
      </c>
      <c r="E167" s="116">
        <v>0</v>
      </c>
      <c r="F167" s="116">
        <v>0</v>
      </c>
      <c r="G167" s="116">
        <v>0</v>
      </c>
      <c r="H167" s="116">
        <v>0</v>
      </c>
      <c r="I167" s="116">
        <v>0</v>
      </c>
      <c r="J167" s="116">
        <v>0</v>
      </c>
      <c r="K167" s="116">
        <v>0</v>
      </c>
      <c r="L167" s="116">
        <v>0</v>
      </c>
      <c r="M167" s="116">
        <v>0</v>
      </c>
      <c r="N167" s="116">
        <v>0</v>
      </c>
      <c r="O167" s="116">
        <v>0</v>
      </c>
      <c r="P167" s="116">
        <v>0</v>
      </c>
      <c r="Q167" s="116">
        <v>0</v>
      </c>
      <c r="R167" s="116">
        <v>0</v>
      </c>
      <c r="S167" s="116">
        <v>0</v>
      </c>
      <c r="T167" s="116">
        <v>0</v>
      </c>
      <c r="U167" s="116">
        <v>0</v>
      </c>
      <c r="V167" s="116">
        <v>0</v>
      </c>
      <c r="W167" s="116">
        <v>0</v>
      </c>
      <c r="X167" s="116">
        <v>0</v>
      </c>
      <c r="Y167" s="116">
        <v>0</v>
      </c>
      <c r="Z167" s="116">
        <v>0</v>
      </c>
      <c r="AA167" s="116">
        <v>0</v>
      </c>
      <c r="AB167" s="116">
        <v>0</v>
      </c>
      <c r="AC167" s="116">
        <v>0</v>
      </c>
      <c r="AD167" s="116">
        <v>0</v>
      </c>
      <c r="AE167" s="116">
        <v>0</v>
      </c>
      <c r="AF167" s="116">
        <v>0</v>
      </c>
      <c r="AG167" s="116">
        <v>0</v>
      </c>
      <c r="AH167" s="116">
        <v>0</v>
      </c>
      <c r="AI167" s="116">
        <v>0</v>
      </c>
      <c r="AJ167" s="116">
        <v>0</v>
      </c>
      <c r="AK167" s="116">
        <v>0</v>
      </c>
      <c r="AL167" s="116">
        <v>0</v>
      </c>
      <c r="AM167" s="116">
        <v>0</v>
      </c>
      <c r="AN167" s="116">
        <v>0</v>
      </c>
      <c r="AO167" s="116">
        <v>0</v>
      </c>
      <c r="AP167" s="116">
        <v>0</v>
      </c>
      <c r="AQ167" s="116">
        <v>0</v>
      </c>
      <c r="AR167" s="116">
        <v>0</v>
      </c>
      <c r="AS167" s="116">
        <v>0</v>
      </c>
      <c r="AT167" s="116">
        <v>0</v>
      </c>
      <c r="AU167" s="116">
        <v>0</v>
      </c>
      <c r="AV167" s="116">
        <v>0</v>
      </c>
      <c r="AW167" s="116">
        <v>0</v>
      </c>
      <c r="AX167" s="116">
        <v>0</v>
      </c>
      <c r="AY167" s="116">
        <v>0</v>
      </c>
    </row>
    <row r="168" spans="1:52" x14ac:dyDescent="0.2">
      <c r="A168" s="119"/>
      <c r="B168" s="140">
        <v>47</v>
      </c>
      <c r="C168" s="116"/>
      <c r="D168" s="116">
        <v>0</v>
      </c>
      <c r="E168" s="116">
        <v>0</v>
      </c>
      <c r="F168" s="116">
        <v>0</v>
      </c>
      <c r="G168" s="116">
        <v>0</v>
      </c>
      <c r="H168" s="116">
        <v>0</v>
      </c>
      <c r="I168" s="116">
        <v>0</v>
      </c>
      <c r="J168" s="116">
        <v>0</v>
      </c>
      <c r="K168" s="116">
        <v>0</v>
      </c>
      <c r="L168" s="116">
        <v>0</v>
      </c>
      <c r="M168" s="116">
        <v>0</v>
      </c>
      <c r="N168" s="116">
        <v>0</v>
      </c>
      <c r="O168" s="116">
        <v>0</v>
      </c>
      <c r="P168" s="116">
        <v>0</v>
      </c>
      <c r="Q168" s="116">
        <v>0</v>
      </c>
      <c r="R168" s="116">
        <v>0</v>
      </c>
      <c r="S168" s="116">
        <v>0</v>
      </c>
      <c r="T168" s="116">
        <v>0</v>
      </c>
      <c r="U168" s="116">
        <v>0</v>
      </c>
      <c r="V168" s="116">
        <v>0</v>
      </c>
      <c r="W168" s="116">
        <v>0</v>
      </c>
      <c r="X168" s="116">
        <v>0</v>
      </c>
      <c r="Y168" s="116">
        <v>0</v>
      </c>
      <c r="Z168" s="116">
        <v>0</v>
      </c>
      <c r="AA168" s="116">
        <v>0</v>
      </c>
      <c r="AB168" s="116">
        <v>0</v>
      </c>
      <c r="AC168" s="116">
        <v>0</v>
      </c>
      <c r="AD168" s="116">
        <v>0</v>
      </c>
      <c r="AE168" s="116">
        <v>0</v>
      </c>
      <c r="AF168" s="116">
        <v>0</v>
      </c>
      <c r="AG168" s="116">
        <v>0</v>
      </c>
      <c r="AH168" s="116">
        <v>0</v>
      </c>
      <c r="AI168" s="116">
        <v>0</v>
      </c>
      <c r="AJ168" s="116">
        <v>0</v>
      </c>
      <c r="AK168" s="116">
        <v>0</v>
      </c>
      <c r="AL168" s="116">
        <v>0</v>
      </c>
      <c r="AM168" s="116">
        <v>0</v>
      </c>
      <c r="AN168" s="116">
        <v>0</v>
      </c>
      <c r="AO168" s="116">
        <v>0</v>
      </c>
      <c r="AP168" s="116">
        <v>0</v>
      </c>
      <c r="AQ168" s="116">
        <v>0</v>
      </c>
      <c r="AR168" s="116">
        <v>0</v>
      </c>
      <c r="AS168" s="116">
        <v>0</v>
      </c>
      <c r="AT168" s="116">
        <v>0</v>
      </c>
      <c r="AU168" s="116">
        <v>0</v>
      </c>
      <c r="AV168" s="116">
        <v>0</v>
      </c>
      <c r="AW168" s="116">
        <v>0</v>
      </c>
      <c r="AX168" s="116">
        <v>0</v>
      </c>
      <c r="AY168" s="116">
        <v>0</v>
      </c>
    </row>
    <row r="169" spans="1:52" x14ac:dyDescent="0.2">
      <c r="A169" s="119"/>
      <c r="B169" s="140">
        <v>48</v>
      </c>
      <c r="C169" s="116"/>
      <c r="D169" s="116">
        <v>0</v>
      </c>
      <c r="E169" s="116">
        <v>0</v>
      </c>
      <c r="F169" s="116">
        <v>0</v>
      </c>
      <c r="G169" s="116">
        <v>0</v>
      </c>
      <c r="H169" s="116">
        <v>0</v>
      </c>
      <c r="I169" s="116">
        <v>0</v>
      </c>
      <c r="J169" s="116">
        <v>0</v>
      </c>
      <c r="K169" s="116">
        <v>0</v>
      </c>
      <c r="L169" s="116">
        <v>0</v>
      </c>
      <c r="M169" s="116">
        <v>0</v>
      </c>
      <c r="N169" s="116">
        <v>0</v>
      </c>
      <c r="O169" s="116">
        <v>0</v>
      </c>
      <c r="P169" s="116">
        <v>0</v>
      </c>
      <c r="Q169" s="116">
        <v>0</v>
      </c>
      <c r="R169" s="116">
        <v>0</v>
      </c>
      <c r="S169" s="116">
        <v>0</v>
      </c>
      <c r="T169" s="116">
        <v>0</v>
      </c>
      <c r="U169" s="116">
        <v>0</v>
      </c>
      <c r="V169" s="116">
        <v>0</v>
      </c>
      <c r="W169" s="116">
        <v>0</v>
      </c>
      <c r="X169" s="116">
        <v>0</v>
      </c>
      <c r="Y169" s="116">
        <v>0</v>
      </c>
      <c r="Z169" s="116">
        <v>0</v>
      </c>
      <c r="AA169" s="116">
        <v>0</v>
      </c>
      <c r="AB169" s="116">
        <v>0</v>
      </c>
      <c r="AC169" s="116">
        <v>0</v>
      </c>
      <c r="AD169" s="116">
        <v>0</v>
      </c>
      <c r="AE169" s="116">
        <v>0</v>
      </c>
      <c r="AF169" s="116">
        <v>0</v>
      </c>
      <c r="AG169" s="116">
        <v>0</v>
      </c>
      <c r="AH169" s="116">
        <v>0</v>
      </c>
      <c r="AI169" s="116">
        <v>0</v>
      </c>
      <c r="AJ169" s="116">
        <v>0</v>
      </c>
      <c r="AK169" s="116">
        <v>0</v>
      </c>
      <c r="AL169" s="116">
        <v>0</v>
      </c>
      <c r="AM169" s="116">
        <v>0</v>
      </c>
      <c r="AN169" s="116">
        <v>0</v>
      </c>
      <c r="AO169" s="116">
        <v>0</v>
      </c>
      <c r="AP169" s="116">
        <v>0</v>
      </c>
      <c r="AQ169" s="116">
        <v>0</v>
      </c>
      <c r="AR169" s="116">
        <v>0</v>
      </c>
      <c r="AS169" s="116">
        <v>0</v>
      </c>
      <c r="AT169" s="116">
        <v>0</v>
      </c>
      <c r="AU169" s="116">
        <v>0</v>
      </c>
      <c r="AV169" s="116">
        <v>0</v>
      </c>
      <c r="AW169" s="116">
        <v>0</v>
      </c>
      <c r="AX169" s="116">
        <v>0</v>
      </c>
      <c r="AY169" s="116">
        <v>0</v>
      </c>
    </row>
    <row r="170" spans="1:52" x14ac:dyDescent="0.2">
      <c r="A170" s="138"/>
      <c r="B170" s="142" t="s">
        <v>298</v>
      </c>
      <c r="C170" s="124"/>
      <c r="D170" s="135">
        <v>0</v>
      </c>
      <c r="E170" s="135">
        <v>0</v>
      </c>
      <c r="F170" s="135">
        <v>0</v>
      </c>
      <c r="G170" s="135">
        <v>0</v>
      </c>
      <c r="H170" s="135">
        <v>0</v>
      </c>
      <c r="I170" s="135">
        <v>0</v>
      </c>
      <c r="J170" s="135">
        <v>0</v>
      </c>
      <c r="K170" s="135">
        <v>0</v>
      </c>
      <c r="L170" s="135">
        <v>0</v>
      </c>
      <c r="M170" s="135">
        <v>0</v>
      </c>
      <c r="N170" s="135">
        <v>0</v>
      </c>
      <c r="O170" s="135">
        <v>0</v>
      </c>
      <c r="P170" s="135">
        <v>0</v>
      </c>
      <c r="Q170" s="135">
        <v>0</v>
      </c>
      <c r="R170" s="135">
        <v>0</v>
      </c>
      <c r="S170" s="135">
        <v>0</v>
      </c>
      <c r="T170" s="135">
        <v>0</v>
      </c>
      <c r="U170" s="135">
        <v>0</v>
      </c>
      <c r="V170" s="135">
        <v>0</v>
      </c>
      <c r="W170" s="135">
        <v>0</v>
      </c>
      <c r="X170" s="135">
        <v>0</v>
      </c>
      <c r="Y170" s="135">
        <v>0</v>
      </c>
      <c r="Z170" s="135">
        <v>0</v>
      </c>
      <c r="AA170" s="135">
        <v>0</v>
      </c>
      <c r="AB170" s="135">
        <v>0</v>
      </c>
      <c r="AC170" s="135">
        <v>0</v>
      </c>
      <c r="AD170" s="135">
        <v>0</v>
      </c>
      <c r="AE170" s="135">
        <v>0</v>
      </c>
      <c r="AF170" s="135">
        <v>0</v>
      </c>
      <c r="AG170" s="135">
        <v>0</v>
      </c>
      <c r="AH170" s="135">
        <v>0</v>
      </c>
      <c r="AI170" s="135">
        <v>0</v>
      </c>
      <c r="AJ170" s="135">
        <v>0</v>
      </c>
      <c r="AK170" s="135">
        <v>0</v>
      </c>
      <c r="AL170" s="135">
        <v>0</v>
      </c>
      <c r="AM170" s="135">
        <v>0</v>
      </c>
      <c r="AN170" s="135">
        <v>0</v>
      </c>
      <c r="AO170" s="135">
        <v>0</v>
      </c>
      <c r="AP170" s="135">
        <v>0</v>
      </c>
      <c r="AQ170" s="135">
        <v>0</v>
      </c>
      <c r="AR170" s="135">
        <v>0</v>
      </c>
      <c r="AS170" s="135">
        <v>0</v>
      </c>
      <c r="AT170" s="135">
        <v>0</v>
      </c>
      <c r="AU170" s="135">
        <v>0</v>
      </c>
      <c r="AV170" s="135">
        <v>0</v>
      </c>
      <c r="AW170" s="135">
        <v>0</v>
      </c>
      <c r="AX170" s="135">
        <v>0</v>
      </c>
      <c r="AY170" s="135">
        <v>0</v>
      </c>
      <c r="AZ170" s="117">
        <f>SUM($D170:$AY170)</f>
        <v>0</v>
      </c>
    </row>
    <row r="172" spans="1:52" x14ac:dyDescent="0.2">
      <c r="A172" s="112" t="s">
        <v>124</v>
      </c>
      <c r="B172" s="143" t="s">
        <v>299</v>
      </c>
      <c r="C172" s="144"/>
      <c r="D172" s="144">
        <v>0.271222926461404</v>
      </c>
      <c r="E172" s="144">
        <v>0.271222926461404</v>
      </c>
      <c r="F172" s="144">
        <v>0.271222926461404</v>
      </c>
      <c r="G172" s="144">
        <v>0.271222926461404</v>
      </c>
      <c r="H172" s="144">
        <v>0.25588694009595697</v>
      </c>
      <c r="I172" s="144">
        <v>0.25588694009595697</v>
      </c>
      <c r="J172" s="144">
        <v>0.25588694009595697</v>
      </c>
      <c r="K172" s="144">
        <v>0.25588694009595697</v>
      </c>
      <c r="L172" s="144">
        <v>0</v>
      </c>
      <c r="M172" s="144">
        <v>0</v>
      </c>
      <c r="N172" s="144">
        <v>0</v>
      </c>
      <c r="O172" s="144">
        <v>0</v>
      </c>
      <c r="P172" s="144">
        <v>6.286661215771901E-4</v>
      </c>
      <c r="Q172" s="144">
        <v>6.286661215771901E-4</v>
      </c>
      <c r="R172" s="144">
        <v>6.286661215771901E-4</v>
      </c>
      <c r="S172" s="144">
        <v>6.286661215771901E-4</v>
      </c>
      <c r="T172" s="144">
        <v>0.158117345563145</v>
      </c>
      <c r="U172" s="144">
        <v>0.158117345563145</v>
      </c>
      <c r="V172" s="144">
        <v>0.158117345563145</v>
      </c>
      <c r="W172" s="144">
        <v>0.158117345563145</v>
      </c>
      <c r="X172" s="144">
        <v>9.8171398110435792E-2</v>
      </c>
      <c r="Y172" s="144">
        <v>9.8171398110435792E-2</v>
      </c>
      <c r="Z172" s="144">
        <v>9.8171398110435792E-2</v>
      </c>
      <c r="AA172" s="144">
        <v>9.8171398110435792E-2</v>
      </c>
      <c r="AB172" s="144">
        <v>0.124674045770773</v>
      </c>
      <c r="AC172" s="144">
        <v>0.124674045770773</v>
      </c>
      <c r="AD172" s="144">
        <v>0.124674045770773</v>
      </c>
      <c r="AE172" s="144">
        <v>0.124674045770773</v>
      </c>
      <c r="AF172" s="144">
        <v>0</v>
      </c>
      <c r="AG172" s="144">
        <v>0</v>
      </c>
      <c r="AH172" s="144">
        <v>0</v>
      </c>
      <c r="AI172" s="144">
        <v>0</v>
      </c>
      <c r="AJ172" s="144">
        <v>0</v>
      </c>
      <c r="AK172" s="144">
        <v>0</v>
      </c>
      <c r="AL172" s="144">
        <v>0</v>
      </c>
      <c r="AM172" s="144">
        <v>0</v>
      </c>
      <c r="AN172" s="144">
        <v>0</v>
      </c>
      <c r="AO172" s="144">
        <v>0</v>
      </c>
      <c r="AP172" s="144">
        <v>0</v>
      </c>
      <c r="AQ172" s="144">
        <v>0</v>
      </c>
      <c r="AR172" s="144">
        <v>2.1659747179794599E-3</v>
      </c>
      <c r="AS172" s="144">
        <v>2.1659747179794599E-3</v>
      </c>
      <c r="AT172" s="144">
        <v>2.1659747179794599E-3</v>
      </c>
      <c r="AU172" s="144">
        <v>2.1659747179794599E-3</v>
      </c>
      <c r="AV172" s="144">
        <v>8.9132703158726109E-2</v>
      </c>
      <c r="AW172" s="144">
        <v>8.9132703158726109E-2</v>
      </c>
      <c r="AX172" s="144">
        <v>8.9132703158726109E-2</v>
      </c>
      <c r="AY172" s="144">
        <v>8.9132703158726109E-2</v>
      </c>
    </row>
    <row r="174" spans="1:52" x14ac:dyDescent="0.2">
      <c r="A174" s="112" t="s">
        <v>274</v>
      </c>
    </row>
    <row r="175" spans="1:52" x14ac:dyDescent="0.2">
      <c r="A175" s="145" t="s">
        <v>125</v>
      </c>
      <c r="B175" s="145" t="s">
        <v>300</v>
      </c>
      <c r="C175" s="134" t="s">
        <v>295</v>
      </c>
      <c r="D175" s="134">
        <f t="shared" ref="D175:AY175" si="1">SUM(D95:D98)</f>
        <v>310.18336739940219</v>
      </c>
      <c r="E175" s="134">
        <f t="shared" si="1"/>
        <v>367.36673479880437</v>
      </c>
      <c r="F175" s="134">
        <f t="shared" si="1"/>
        <v>445.55010219820656</v>
      </c>
      <c r="G175" s="134">
        <f t="shared" si="1"/>
        <v>446.73346959760875</v>
      </c>
      <c r="H175" s="134">
        <f t="shared" si="1"/>
        <v>1653.7334695976087</v>
      </c>
      <c r="I175" s="134">
        <f t="shared" si="1"/>
        <v>2825.7334695976087</v>
      </c>
      <c r="J175" s="134">
        <f t="shared" si="1"/>
        <v>3878.7334695976087</v>
      </c>
      <c r="K175" s="134">
        <f t="shared" si="1"/>
        <v>4884.7334695976087</v>
      </c>
      <c r="L175" s="134">
        <f t="shared" si="1"/>
        <v>4689.1020364363831</v>
      </c>
      <c r="M175" s="134">
        <f t="shared" si="1"/>
        <v>3320.7371336775486</v>
      </c>
      <c r="N175" s="134">
        <f t="shared" si="1"/>
        <v>1951.1057005163229</v>
      </c>
      <c r="O175" s="134">
        <f t="shared" si="1"/>
        <v>581.47426735509714</v>
      </c>
      <c r="P175" s="134">
        <f t="shared" si="1"/>
        <v>546.49688553205101</v>
      </c>
      <c r="Q175" s="134">
        <f t="shared" si="1"/>
        <v>577.51950370900499</v>
      </c>
      <c r="R175" s="134">
        <f t="shared" si="1"/>
        <v>612.54212188595886</v>
      </c>
      <c r="S175" s="134">
        <f t="shared" si="1"/>
        <v>555.56474006291273</v>
      </c>
      <c r="T175" s="134">
        <f t="shared" si="1"/>
        <v>4732.066844361947</v>
      </c>
      <c r="U175" s="134">
        <f t="shared" si="1"/>
        <v>4629.9178567872641</v>
      </c>
      <c r="V175" s="134">
        <f t="shared" si="1"/>
        <v>4575.2227173431675</v>
      </c>
      <c r="W175" s="134">
        <f t="shared" si="1"/>
        <v>4537.4961948358323</v>
      </c>
      <c r="X175" s="134">
        <f t="shared" si="1"/>
        <v>4514.9338844310996</v>
      </c>
      <c r="Y175" s="134">
        <f t="shared" si="1"/>
        <v>4697.4269950117514</v>
      </c>
      <c r="Z175" s="134">
        <f t="shared" si="1"/>
        <v>4815.514676949967</v>
      </c>
      <c r="AA175" s="134">
        <f t="shared" si="1"/>
        <v>3512</v>
      </c>
      <c r="AB175" s="134">
        <f t="shared" si="1"/>
        <v>3607</v>
      </c>
      <c r="AC175" s="134">
        <f t="shared" si="1"/>
        <v>3702</v>
      </c>
      <c r="AD175" s="134">
        <f t="shared" si="1"/>
        <v>3797</v>
      </c>
      <c r="AE175" s="134">
        <f t="shared" si="1"/>
        <v>3892</v>
      </c>
      <c r="AF175" s="134">
        <f t="shared" si="1"/>
        <v>3158.4118282805252</v>
      </c>
      <c r="AG175" s="134">
        <f t="shared" si="1"/>
        <v>2424.8236565610505</v>
      </c>
      <c r="AH175" s="134">
        <f t="shared" si="1"/>
        <v>1691.2354848415757</v>
      </c>
      <c r="AI175" s="134">
        <f t="shared" si="1"/>
        <v>957.64731312210085</v>
      </c>
      <c r="AJ175" s="134">
        <f t="shared" si="1"/>
        <v>1495.2354848415757</v>
      </c>
      <c r="AK175" s="134">
        <f t="shared" si="1"/>
        <v>2004.2354848415757</v>
      </c>
      <c r="AL175" s="134">
        <f t="shared" si="1"/>
        <v>2554.2354848415757</v>
      </c>
      <c r="AM175" s="134">
        <f t="shared" si="1"/>
        <v>3041.2354848415757</v>
      </c>
      <c r="AN175" s="134">
        <f t="shared" si="1"/>
        <v>2563.0796417952361</v>
      </c>
      <c r="AO175" s="134">
        <f t="shared" si="1"/>
        <v>2018.1592835904723</v>
      </c>
      <c r="AP175" s="134">
        <f t="shared" si="1"/>
        <v>1473.2389253857084</v>
      </c>
      <c r="AQ175" s="134">
        <f t="shared" si="1"/>
        <v>928.31856718094457</v>
      </c>
      <c r="AR175" s="134">
        <f t="shared" si="1"/>
        <v>957.64731312210085</v>
      </c>
      <c r="AS175" s="134">
        <f t="shared" si="1"/>
        <v>986.97605906325703</v>
      </c>
      <c r="AT175" s="134">
        <f t="shared" si="1"/>
        <v>960.38444679964937</v>
      </c>
      <c r="AU175" s="134">
        <f t="shared" si="1"/>
        <v>948.79283453604171</v>
      </c>
      <c r="AV175" s="134">
        <f t="shared" si="1"/>
        <v>959.8453183862091</v>
      </c>
      <c r="AW175" s="134">
        <f t="shared" si="1"/>
        <v>1023.8978022363765</v>
      </c>
      <c r="AX175" s="134">
        <f t="shared" si="1"/>
        <v>987.95028608654411</v>
      </c>
      <c r="AY175" s="134">
        <f t="shared" si="1"/>
        <v>1019.0027699367115</v>
      </c>
    </row>
    <row r="176" spans="1:52" x14ac:dyDescent="0.2">
      <c r="A176" s="135"/>
      <c r="B176" s="146" t="s">
        <v>301</v>
      </c>
      <c r="C176" s="135" t="s">
        <v>295</v>
      </c>
      <c r="D176" s="135">
        <v>253</v>
      </c>
      <c r="E176" s="135">
        <v>232</v>
      </c>
      <c r="F176" s="135">
        <v>309</v>
      </c>
      <c r="G176" s="135">
        <v>308</v>
      </c>
      <c r="H176" s="135">
        <v>343</v>
      </c>
      <c r="I176" s="135">
        <v>462</v>
      </c>
      <c r="J176" s="135">
        <v>509</v>
      </c>
      <c r="K176" s="135">
        <v>341</v>
      </c>
      <c r="L176" s="135">
        <v>185</v>
      </c>
      <c r="M176" s="135">
        <v>224</v>
      </c>
      <c r="N176" s="135">
        <v>238</v>
      </c>
      <c r="O176" s="135">
        <v>261</v>
      </c>
      <c r="P176" s="135">
        <v>195</v>
      </c>
      <c r="Q176" s="135">
        <v>191</v>
      </c>
      <c r="R176" s="135">
        <v>283</v>
      </c>
      <c r="S176" s="135">
        <v>195</v>
      </c>
      <c r="T176" s="135">
        <v>241</v>
      </c>
      <c r="U176" s="135">
        <v>236</v>
      </c>
      <c r="V176" s="135">
        <v>233</v>
      </c>
      <c r="W176" s="135">
        <v>284</v>
      </c>
      <c r="X176" s="135">
        <v>242</v>
      </c>
      <c r="Y176" s="135">
        <v>273</v>
      </c>
      <c r="Z176" s="135">
        <v>240</v>
      </c>
      <c r="AA176" s="135">
        <v>276</v>
      </c>
      <c r="AB176" s="135">
        <v>302</v>
      </c>
      <c r="AC176" s="135">
        <v>271</v>
      </c>
      <c r="AD176" s="135">
        <v>233</v>
      </c>
      <c r="AE176" s="135">
        <v>236</v>
      </c>
      <c r="AF176" s="135">
        <v>166</v>
      </c>
      <c r="AG176" s="135">
        <v>207</v>
      </c>
      <c r="AH176" s="135">
        <v>183</v>
      </c>
      <c r="AI176" s="135">
        <v>211</v>
      </c>
      <c r="AJ176" s="135">
        <v>268</v>
      </c>
      <c r="AK176" s="135">
        <v>227</v>
      </c>
      <c r="AL176" s="135">
        <v>290</v>
      </c>
      <c r="AM176" s="135">
        <v>216</v>
      </c>
      <c r="AN176" s="135">
        <v>177</v>
      </c>
      <c r="AO176" s="135">
        <v>164</v>
      </c>
      <c r="AP176" s="135">
        <v>211</v>
      </c>
      <c r="AQ176" s="135">
        <v>226</v>
      </c>
      <c r="AR176" s="135">
        <v>221</v>
      </c>
      <c r="AS176" s="135">
        <v>288</v>
      </c>
      <c r="AT176" s="135">
        <v>273</v>
      </c>
      <c r="AU176" s="135">
        <v>302</v>
      </c>
      <c r="AV176" s="135">
        <v>249</v>
      </c>
      <c r="AW176" s="135">
        <v>349</v>
      </c>
      <c r="AX176" s="135">
        <v>282</v>
      </c>
      <c r="AY176" s="135">
        <v>313</v>
      </c>
    </row>
    <row r="177" spans="1:51" x14ac:dyDescent="0.2">
      <c r="A177" s="145" t="s">
        <v>133</v>
      </c>
      <c r="B177" s="145" t="s">
        <v>300</v>
      </c>
      <c r="C177" s="134" t="s">
        <v>295</v>
      </c>
      <c r="D177" s="134">
        <f t="shared" ref="D177:AY177" si="2">SUM(D100:D107)</f>
        <v>0</v>
      </c>
      <c r="E177" s="134">
        <f t="shared" si="2"/>
        <v>15.93645294623772</v>
      </c>
      <c r="F177" s="134">
        <f t="shared" si="2"/>
        <v>43.540325891316058</v>
      </c>
      <c r="G177" s="134">
        <f t="shared" si="2"/>
        <v>0</v>
      </c>
      <c r="H177" s="134">
        <f t="shared" si="2"/>
        <v>87.080651782632117</v>
      </c>
      <c r="I177" s="134">
        <f t="shared" si="2"/>
        <v>43.540325891316058</v>
      </c>
      <c r="J177" s="134">
        <f t="shared" si="2"/>
        <v>43.540325891316058</v>
      </c>
      <c r="K177" s="134">
        <f t="shared" si="2"/>
        <v>43.540325891316058</v>
      </c>
      <c r="L177" s="134">
        <f t="shared" si="2"/>
        <v>0</v>
      </c>
      <c r="M177" s="134">
        <f t="shared" si="2"/>
        <v>43.540325891316058</v>
      </c>
      <c r="N177" s="134">
        <f t="shared" si="2"/>
        <v>0</v>
      </c>
      <c r="O177" s="134">
        <f t="shared" si="2"/>
        <v>87.080651782632117</v>
      </c>
      <c r="P177" s="134">
        <f t="shared" si="2"/>
        <v>0</v>
      </c>
      <c r="Q177" s="134">
        <f t="shared" si="2"/>
        <v>87.080651782632117</v>
      </c>
      <c r="R177" s="134">
        <f t="shared" si="2"/>
        <v>0</v>
      </c>
      <c r="S177" s="134">
        <f t="shared" si="2"/>
        <v>43.540325891316058</v>
      </c>
      <c r="T177" s="134">
        <f t="shared" si="2"/>
        <v>87.080651782632117</v>
      </c>
      <c r="U177" s="134">
        <f t="shared" si="2"/>
        <v>43.540325891316058</v>
      </c>
      <c r="V177" s="134">
        <f t="shared" si="2"/>
        <v>43.540325891316058</v>
      </c>
      <c r="W177" s="134">
        <f t="shared" si="2"/>
        <v>43.540325891316058</v>
      </c>
      <c r="X177" s="134">
        <f t="shared" si="2"/>
        <v>43.540325891316058</v>
      </c>
      <c r="Y177" s="134">
        <f t="shared" si="2"/>
        <v>0</v>
      </c>
      <c r="Z177" s="134">
        <f t="shared" si="2"/>
        <v>0</v>
      </c>
      <c r="AA177" s="134">
        <f t="shared" si="2"/>
        <v>43.540325891316058</v>
      </c>
      <c r="AB177" s="134">
        <f t="shared" si="2"/>
        <v>43.540325891316058</v>
      </c>
      <c r="AC177" s="134">
        <f t="shared" si="2"/>
        <v>43.540325891316058</v>
      </c>
      <c r="AD177" s="134">
        <f t="shared" si="2"/>
        <v>0</v>
      </c>
      <c r="AE177" s="134">
        <f t="shared" si="2"/>
        <v>43.540325891316058</v>
      </c>
      <c r="AF177" s="134">
        <f t="shared" si="2"/>
        <v>0</v>
      </c>
      <c r="AG177" s="134">
        <f t="shared" si="2"/>
        <v>0</v>
      </c>
      <c r="AH177" s="134">
        <f t="shared" si="2"/>
        <v>43.540325891316058</v>
      </c>
      <c r="AI177" s="134">
        <f t="shared" si="2"/>
        <v>130.62097767394818</v>
      </c>
      <c r="AJ177" s="134">
        <f t="shared" si="2"/>
        <v>18.620977673948175</v>
      </c>
      <c r="AK177" s="134">
        <f t="shared" si="2"/>
        <v>43.540325891316058</v>
      </c>
      <c r="AL177" s="134">
        <f t="shared" si="2"/>
        <v>43.540325891316058</v>
      </c>
      <c r="AM177" s="134">
        <f t="shared" si="2"/>
        <v>43.540325891316058</v>
      </c>
      <c r="AN177" s="134">
        <f t="shared" si="2"/>
        <v>0</v>
      </c>
      <c r="AO177" s="134">
        <f t="shared" si="2"/>
        <v>87.080651782632117</v>
      </c>
      <c r="AP177" s="134">
        <f t="shared" si="2"/>
        <v>0</v>
      </c>
      <c r="AQ177" s="134">
        <f t="shared" si="2"/>
        <v>0</v>
      </c>
      <c r="AR177" s="134">
        <f t="shared" si="2"/>
        <v>87.080651782632117</v>
      </c>
      <c r="AS177" s="134">
        <f t="shared" si="2"/>
        <v>43.540325891316058</v>
      </c>
      <c r="AT177" s="134">
        <f t="shared" si="2"/>
        <v>43.540325891316058</v>
      </c>
      <c r="AU177" s="134">
        <f t="shared" si="2"/>
        <v>43.540325891316058</v>
      </c>
      <c r="AV177" s="134">
        <f t="shared" si="2"/>
        <v>43.540325891316058</v>
      </c>
      <c r="AW177" s="134">
        <f t="shared" si="2"/>
        <v>0</v>
      </c>
      <c r="AX177" s="134">
        <f t="shared" si="2"/>
        <v>43.540325891316058</v>
      </c>
      <c r="AY177" s="134">
        <f t="shared" si="2"/>
        <v>43.540325891316058</v>
      </c>
    </row>
    <row r="178" spans="1:51" x14ac:dyDescent="0.2">
      <c r="A178" s="135"/>
      <c r="B178" s="146" t="s">
        <v>301</v>
      </c>
      <c r="C178" s="135" t="s">
        <v>295</v>
      </c>
      <c r="D178" s="135">
        <v>0</v>
      </c>
      <c r="E178" s="135">
        <v>15.93645294623772</v>
      </c>
      <c r="F178" s="135">
        <v>43.540325891316058</v>
      </c>
      <c r="G178" s="135">
        <v>0</v>
      </c>
      <c r="H178" s="135">
        <v>87.080651782632117</v>
      </c>
      <c r="I178" s="135">
        <v>43.540325891316058</v>
      </c>
      <c r="J178" s="135">
        <v>43.540325891316058</v>
      </c>
      <c r="K178" s="135">
        <v>43.540325891316058</v>
      </c>
      <c r="L178" s="135">
        <v>0</v>
      </c>
      <c r="M178" s="135">
        <v>43.540325891316058</v>
      </c>
      <c r="N178" s="135">
        <v>0</v>
      </c>
      <c r="O178" s="135">
        <v>87.080651782632117</v>
      </c>
      <c r="P178" s="135">
        <v>0</v>
      </c>
      <c r="Q178" s="135">
        <v>87.080651782632117</v>
      </c>
      <c r="R178" s="135">
        <v>0</v>
      </c>
      <c r="S178" s="135">
        <v>43.540325891316058</v>
      </c>
      <c r="T178" s="135">
        <v>87.080651782632117</v>
      </c>
      <c r="U178" s="135">
        <v>43.540325891316058</v>
      </c>
      <c r="V178" s="135">
        <v>43.540325891316058</v>
      </c>
      <c r="W178" s="135">
        <v>43.540325891316058</v>
      </c>
      <c r="X178" s="135">
        <v>43.540325891316058</v>
      </c>
      <c r="Y178" s="135">
        <v>0</v>
      </c>
      <c r="Z178" s="135">
        <v>0</v>
      </c>
      <c r="AA178" s="135">
        <v>43.540325891316058</v>
      </c>
      <c r="AB178" s="135">
        <v>43.540325891316058</v>
      </c>
      <c r="AC178" s="135">
        <v>43.540325891316058</v>
      </c>
      <c r="AD178" s="135">
        <v>0</v>
      </c>
      <c r="AE178" s="135">
        <v>43.540325891316058</v>
      </c>
      <c r="AF178" s="135">
        <v>0</v>
      </c>
      <c r="AG178" s="135">
        <v>0</v>
      </c>
      <c r="AH178" s="135">
        <v>43.540325891316058</v>
      </c>
      <c r="AI178" s="135">
        <v>112</v>
      </c>
      <c r="AJ178" s="135">
        <v>18.620977673948175</v>
      </c>
      <c r="AK178" s="135">
        <v>43.540325891316058</v>
      </c>
      <c r="AL178" s="135">
        <v>43.540325891316058</v>
      </c>
      <c r="AM178" s="135">
        <v>43.540325891316058</v>
      </c>
      <c r="AN178" s="135">
        <v>0</v>
      </c>
      <c r="AO178" s="135">
        <v>87.080651782632117</v>
      </c>
      <c r="AP178" s="135">
        <v>0</v>
      </c>
      <c r="AQ178" s="135">
        <v>0</v>
      </c>
      <c r="AR178" s="135">
        <v>87.080651782632117</v>
      </c>
      <c r="AS178" s="135">
        <v>43.540325891316058</v>
      </c>
      <c r="AT178" s="135">
        <v>43.540325891316058</v>
      </c>
      <c r="AU178" s="135">
        <v>43.540325891316058</v>
      </c>
      <c r="AV178" s="135">
        <v>43.540325891316058</v>
      </c>
      <c r="AW178" s="135">
        <v>0</v>
      </c>
      <c r="AX178" s="135">
        <v>43.540325891316058</v>
      </c>
      <c r="AY178" s="135">
        <v>43.540325891316058</v>
      </c>
    </row>
    <row r="179" spans="1:51" x14ac:dyDescent="0.2">
      <c r="A179" s="145" t="s">
        <v>134</v>
      </c>
      <c r="B179" s="145" t="s">
        <v>300</v>
      </c>
      <c r="C179" s="134" t="s">
        <v>295</v>
      </c>
      <c r="D179" s="134">
        <f t="shared" ref="D179:AY179" si="3">SUM(D109:D120)</f>
        <v>0</v>
      </c>
      <c r="E179" s="134">
        <f t="shared" si="3"/>
        <v>18.923661086461951</v>
      </c>
      <c r="F179" s="134">
        <f t="shared" si="3"/>
        <v>35.787667076173719</v>
      </c>
      <c r="G179" s="134">
        <f t="shared" si="3"/>
        <v>64.998174599740437</v>
      </c>
      <c r="H179" s="134">
        <f t="shared" si="3"/>
        <v>34.482239874470032</v>
      </c>
      <c r="I179" s="134">
        <f t="shared" si="3"/>
        <v>97.135619468834946</v>
      </c>
      <c r="J179" s="134">
        <f t="shared" si="3"/>
        <v>95.642779877180601</v>
      </c>
      <c r="K179" s="134">
        <f t="shared" si="3"/>
        <v>93.711350931721995</v>
      </c>
      <c r="L179" s="134">
        <f t="shared" si="3"/>
        <v>84.539458259875914</v>
      </c>
      <c r="M179" s="134">
        <f t="shared" si="3"/>
        <v>0</v>
      </c>
      <c r="N179" s="134">
        <f t="shared" si="3"/>
        <v>0</v>
      </c>
      <c r="O179" s="134">
        <f t="shared" si="3"/>
        <v>0</v>
      </c>
      <c r="P179" s="134">
        <f t="shared" si="3"/>
        <v>0</v>
      </c>
      <c r="Q179" s="134">
        <f t="shared" si="3"/>
        <v>0.15337693126831281</v>
      </c>
      <c r="R179" s="134">
        <f t="shared" si="3"/>
        <v>0.31651403197925715</v>
      </c>
      <c r="S179" s="134">
        <f t="shared" si="3"/>
        <v>0.2510079356927658</v>
      </c>
      <c r="T179" s="134">
        <f t="shared" si="3"/>
        <v>0.28087475876897422</v>
      </c>
      <c r="U179" s="134">
        <f t="shared" si="3"/>
        <v>100.96925094469562</v>
      </c>
      <c r="V179" s="134">
        <f t="shared" si="3"/>
        <v>108.08467969527437</v>
      </c>
      <c r="W179" s="134">
        <f t="shared" si="3"/>
        <v>115.60785725279567</v>
      </c>
      <c r="X179" s="134">
        <f t="shared" si="3"/>
        <v>120.38352998338833</v>
      </c>
      <c r="Y179" s="134">
        <f t="shared" si="3"/>
        <v>86.626975712620819</v>
      </c>
      <c r="Z179" s="134">
        <f t="shared" si="3"/>
        <v>66.162223944965035</v>
      </c>
      <c r="AA179" s="134">
        <f t="shared" si="3"/>
        <v>56.57844440248379</v>
      </c>
      <c r="AB179" s="134">
        <f t="shared" si="3"/>
        <v>65.594285945158504</v>
      </c>
      <c r="AC179" s="134">
        <f t="shared" si="3"/>
        <v>92.839316269402303</v>
      </c>
      <c r="AD179" s="134">
        <f t="shared" si="3"/>
        <v>89.458482381769556</v>
      </c>
      <c r="AE179" s="134">
        <f t="shared" si="3"/>
        <v>61.769564988748748</v>
      </c>
      <c r="AF179" s="134">
        <f t="shared" si="3"/>
        <v>58.918762731567206</v>
      </c>
      <c r="AG179" s="134">
        <f t="shared" si="3"/>
        <v>0</v>
      </c>
      <c r="AH179" s="134">
        <f t="shared" si="3"/>
        <v>0</v>
      </c>
      <c r="AI179" s="134">
        <f t="shared" si="3"/>
        <v>0</v>
      </c>
      <c r="AJ179" s="134">
        <f t="shared" si="3"/>
        <v>0</v>
      </c>
      <c r="AK179" s="134">
        <f t="shared" si="3"/>
        <v>0</v>
      </c>
      <c r="AL179" s="134">
        <f t="shared" si="3"/>
        <v>0</v>
      </c>
      <c r="AM179" s="134">
        <f t="shared" si="3"/>
        <v>0</v>
      </c>
      <c r="AN179" s="134">
        <f t="shared" si="3"/>
        <v>0</v>
      </c>
      <c r="AO179" s="134">
        <f t="shared" si="3"/>
        <v>0</v>
      </c>
      <c r="AP179" s="134">
        <f t="shared" si="3"/>
        <v>0</v>
      </c>
      <c r="AQ179" s="134">
        <f t="shared" si="3"/>
        <v>0</v>
      </c>
      <c r="AR179" s="134">
        <f t="shared" si="3"/>
        <v>0</v>
      </c>
      <c r="AS179" s="134">
        <f t="shared" si="3"/>
        <v>2.928675999359474</v>
      </c>
      <c r="AT179" s="134">
        <f t="shared" si="3"/>
        <v>3.0436471495948427</v>
      </c>
      <c r="AU179" s="134">
        <f t="shared" si="3"/>
        <v>3.2317486712915979</v>
      </c>
      <c r="AV179" s="134">
        <f t="shared" si="3"/>
        <v>3.3403568088369364</v>
      </c>
      <c r="AW179" s="134">
        <f t="shared" si="3"/>
        <v>145.94135073455291</v>
      </c>
      <c r="AX179" s="134">
        <f t="shared" si="3"/>
        <v>162.07502739273895</v>
      </c>
      <c r="AY179" s="134">
        <f t="shared" si="3"/>
        <v>191.42733959953972</v>
      </c>
    </row>
    <row r="180" spans="1:51" x14ac:dyDescent="0.2">
      <c r="A180" s="135"/>
      <c r="B180" s="146" t="s">
        <v>301</v>
      </c>
      <c r="C180" s="135" t="s">
        <v>295</v>
      </c>
      <c r="D180" s="135">
        <v>0</v>
      </c>
      <c r="E180" s="135">
        <v>18.923661086461951</v>
      </c>
      <c r="F180" s="135">
        <v>35.787667076173719</v>
      </c>
      <c r="G180" s="135">
        <v>64.998174599740437</v>
      </c>
      <c r="H180" s="135">
        <v>34.482239874470032</v>
      </c>
      <c r="I180" s="135">
        <v>97.135619468834946</v>
      </c>
      <c r="J180" s="135">
        <v>95.642779877180601</v>
      </c>
      <c r="K180" s="135">
        <v>93.711350931721995</v>
      </c>
      <c r="L180" s="135">
        <v>84.539458259875914</v>
      </c>
      <c r="M180" s="135">
        <v>0</v>
      </c>
      <c r="N180" s="135">
        <v>0</v>
      </c>
      <c r="O180" s="135">
        <v>0</v>
      </c>
      <c r="P180" s="135">
        <v>0</v>
      </c>
      <c r="Q180" s="135">
        <v>0.15337693126831281</v>
      </c>
      <c r="R180" s="135">
        <v>0.31651403197925715</v>
      </c>
      <c r="S180" s="135">
        <v>0.2510079356927658</v>
      </c>
      <c r="T180" s="135">
        <v>0.28087475876897422</v>
      </c>
      <c r="U180" s="135">
        <v>100.96925094469562</v>
      </c>
      <c r="V180" s="135">
        <v>108.08467969527437</v>
      </c>
      <c r="W180" s="135">
        <v>115.60785725279567</v>
      </c>
      <c r="X180" s="135">
        <v>110.24603923187099</v>
      </c>
      <c r="Y180" s="135">
        <v>86.626975712620819</v>
      </c>
      <c r="Z180" s="135">
        <v>66.162223944965035</v>
      </c>
      <c r="AA180" s="135">
        <v>56.57844440248379</v>
      </c>
      <c r="AB180" s="135">
        <v>65.594285945158504</v>
      </c>
      <c r="AC180" s="135">
        <v>92.839316269402303</v>
      </c>
      <c r="AD180" s="135">
        <v>89.458482381769556</v>
      </c>
      <c r="AE180" s="135">
        <v>61.769564988748748</v>
      </c>
      <c r="AF180" s="135">
        <v>58.918762731567206</v>
      </c>
      <c r="AG180" s="135">
        <v>0</v>
      </c>
      <c r="AH180" s="135">
        <v>0</v>
      </c>
      <c r="AI180" s="135">
        <v>0</v>
      </c>
      <c r="AJ180" s="135">
        <v>0</v>
      </c>
      <c r="AK180" s="135">
        <v>0</v>
      </c>
      <c r="AL180" s="135">
        <v>0</v>
      </c>
      <c r="AM180" s="135">
        <v>0</v>
      </c>
      <c r="AN180" s="135">
        <v>0</v>
      </c>
      <c r="AO180" s="135">
        <v>0</v>
      </c>
      <c r="AP180" s="135">
        <v>0</v>
      </c>
      <c r="AQ180" s="135">
        <v>0</v>
      </c>
      <c r="AR180" s="135">
        <v>0</v>
      </c>
      <c r="AS180" s="135">
        <v>2.928675999359474</v>
      </c>
      <c r="AT180" s="135">
        <v>3.0436471495948427</v>
      </c>
      <c r="AU180" s="135">
        <v>3.2317486712915979</v>
      </c>
      <c r="AV180" s="135">
        <v>3.3403568088369364</v>
      </c>
      <c r="AW180" s="135">
        <v>114</v>
      </c>
      <c r="AX180" s="135">
        <v>99.669613588239557</v>
      </c>
      <c r="AY180" s="135">
        <v>147.69129924345256</v>
      </c>
    </row>
    <row r="181" spans="1:51" x14ac:dyDescent="0.2">
      <c r="A181" s="145" t="s">
        <v>123</v>
      </c>
      <c r="B181" s="145" t="s">
        <v>300</v>
      </c>
      <c r="C181" s="134" t="s">
        <v>295</v>
      </c>
      <c r="D181" s="134">
        <f t="shared" ref="D181:AY181" si="4">(1-D172)*SUM(D122:D169)</f>
        <v>50.847952004494267</v>
      </c>
      <c r="E181" s="134">
        <f t="shared" si="4"/>
        <v>96.161602637448496</v>
      </c>
      <c r="F181" s="134">
        <f t="shared" si="4"/>
        <v>174.65035160621034</v>
      </c>
      <c r="G181" s="134">
        <f t="shared" si="4"/>
        <v>92.653914595778929</v>
      </c>
      <c r="H181" s="134">
        <f t="shared" si="4"/>
        <v>282.46804233746644</v>
      </c>
      <c r="I181" s="134">
        <f t="shared" si="4"/>
        <v>278.126900753315</v>
      </c>
      <c r="J181" s="134">
        <f t="shared" si="4"/>
        <v>272.51035188976812</v>
      </c>
      <c r="K181" s="134">
        <f t="shared" si="4"/>
        <v>245.83870886414311</v>
      </c>
      <c r="L181" s="134">
        <f t="shared" si="4"/>
        <v>190.24821378460905</v>
      </c>
      <c r="M181" s="134">
        <f t="shared" si="4"/>
        <v>266.14483856861324</v>
      </c>
      <c r="N181" s="134">
        <f t="shared" si="4"/>
        <v>172.07094313102266</v>
      </c>
      <c r="O181" s="134">
        <f t="shared" si="4"/>
        <v>411.84448103002137</v>
      </c>
      <c r="P181" s="134">
        <f t="shared" si="4"/>
        <v>243.81862347416561</v>
      </c>
      <c r="Q181" s="134">
        <f t="shared" si="4"/>
        <v>503.15269023369757</v>
      </c>
      <c r="R181" s="134">
        <f t="shared" si="4"/>
        <v>399.01964953673485</v>
      </c>
      <c r="S181" s="134">
        <f t="shared" si="4"/>
        <v>446.49802604205513</v>
      </c>
      <c r="T181" s="134">
        <f t="shared" si="4"/>
        <v>537.60237815195535</v>
      </c>
      <c r="U181" s="134">
        <f t="shared" si="4"/>
        <v>575.48788668144982</v>
      </c>
      <c r="V181" s="134">
        <f t="shared" si="4"/>
        <v>615.54441981744549</v>
      </c>
      <c r="W181" s="134">
        <f t="shared" si="4"/>
        <v>640.97209203666716</v>
      </c>
      <c r="X181" s="134">
        <f t="shared" si="4"/>
        <v>702.65277473309277</v>
      </c>
      <c r="Y181" s="134">
        <f t="shared" si="4"/>
        <v>607.7838053306624</v>
      </c>
      <c r="Z181" s="134">
        <f t="shared" si="4"/>
        <v>519.7446547025844</v>
      </c>
      <c r="AA181" s="134">
        <f t="shared" si="4"/>
        <v>602.56657564682598</v>
      </c>
      <c r="AB181" s="134">
        <f t="shared" si="4"/>
        <v>651.81700490347146</v>
      </c>
      <c r="AC181" s="134">
        <f t="shared" si="4"/>
        <v>628.08045548384564</v>
      </c>
      <c r="AD181" s="134">
        <f t="shared" si="4"/>
        <v>433.6789031095667</v>
      </c>
      <c r="AE181" s="134">
        <f t="shared" si="4"/>
        <v>413.66366103845996</v>
      </c>
      <c r="AF181" s="134">
        <f t="shared" si="4"/>
        <v>261.83932805853703</v>
      </c>
      <c r="AG181" s="134">
        <f t="shared" si="4"/>
        <v>237.3518402628219</v>
      </c>
      <c r="AH181" s="134">
        <f t="shared" si="4"/>
        <v>376.74126558210128</v>
      </c>
      <c r="AI181" s="134">
        <f t="shared" si="4"/>
        <v>848.07074199695683</v>
      </c>
      <c r="AJ181" s="134">
        <f t="shared" si="4"/>
        <v>816.08058497571358</v>
      </c>
      <c r="AK181" s="134">
        <f t="shared" si="4"/>
        <v>961.78919405362603</v>
      </c>
      <c r="AL181" s="134">
        <f t="shared" si="4"/>
        <v>1078.8180219268352</v>
      </c>
      <c r="AM181" s="134">
        <f t="shared" si="4"/>
        <v>1200.5936443200249</v>
      </c>
      <c r="AN181" s="134">
        <f t="shared" si="4"/>
        <v>1166.3894085467853</v>
      </c>
      <c r="AO181" s="134">
        <f t="shared" si="4"/>
        <v>1361.7305103683793</v>
      </c>
      <c r="AP181" s="134">
        <f t="shared" si="4"/>
        <v>1221.1492652557606</v>
      </c>
      <c r="AQ181" s="134">
        <f t="shared" si="4"/>
        <v>1137.7365408473659</v>
      </c>
      <c r="AR181" s="134">
        <f t="shared" si="4"/>
        <v>1349.1997560866362</v>
      </c>
      <c r="AS181" s="134">
        <f t="shared" si="4"/>
        <v>1402.1653445943734</v>
      </c>
      <c r="AT181" s="134">
        <f t="shared" si="4"/>
        <v>1488.8210645334491</v>
      </c>
      <c r="AU181" s="134">
        <f t="shared" si="4"/>
        <v>1538.8553027753178</v>
      </c>
      <c r="AV181" s="134">
        <f t="shared" si="4"/>
        <v>1491.4077429495335</v>
      </c>
      <c r="AW181" s="134">
        <f t="shared" si="4"/>
        <v>1329.8655385170348</v>
      </c>
      <c r="AX181" s="134">
        <f t="shared" si="4"/>
        <v>1318.5043044515633</v>
      </c>
      <c r="AY181" s="134">
        <f t="shared" si="4"/>
        <v>1321.2088082231367</v>
      </c>
    </row>
    <row r="182" spans="1:51" x14ac:dyDescent="0.2">
      <c r="A182" s="135"/>
      <c r="B182" s="146" t="s">
        <v>301</v>
      </c>
      <c r="C182" s="135" t="s">
        <v>295</v>
      </c>
      <c r="D182" s="135">
        <v>50.847952004494267</v>
      </c>
      <c r="E182" s="135">
        <v>96.161602637448496</v>
      </c>
      <c r="F182" s="135">
        <v>117.28581022691759</v>
      </c>
      <c r="G182" s="135">
        <v>92.653914595778929</v>
      </c>
      <c r="H182" s="135">
        <v>118.4251103982777</v>
      </c>
      <c r="I182" s="135">
        <v>121.63194662313181</v>
      </c>
      <c r="J182" s="135">
        <v>151.85893345705594</v>
      </c>
      <c r="K182" s="135">
        <v>123.6102067485437</v>
      </c>
      <c r="L182" s="135">
        <v>162</v>
      </c>
      <c r="M182" s="135">
        <v>162.09360710660025</v>
      </c>
      <c r="N182" s="135">
        <v>168</v>
      </c>
      <c r="O182" s="135">
        <v>226.7692351861096</v>
      </c>
      <c r="P182" s="135">
        <v>139</v>
      </c>
      <c r="Q182" s="135">
        <v>162.77878732279203</v>
      </c>
      <c r="R182" s="135">
        <v>181.01441641242747</v>
      </c>
      <c r="S182" s="135">
        <v>196.42828739742146</v>
      </c>
      <c r="T182" s="135">
        <v>72.654789112253951</v>
      </c>
      <c r="U182" s="135">
        <v>62.960586948231317</v>
      </c>
      <c r="V182" s="135">
        <v>72.813775134412822</v>
      </c>
      <c r="W182" s="135">
        <v>68.246039231870995</v>
      </c>
      <c r="X182" s="135">
        <v>65.246039231870995</v>
      </c>
      <c r="Y182" s="135">
        <v>68</v>
      </c>
      <c r="Z182" s="135">
        <v>58</v>
      </c>
      <c r="AA182" s="135">
        <v>70.813775134412822</v>
      </c>
      <c r="AB182" s="135">
        <v>147.18158769831646</v>
      </c>
      <c r="AC182" s="135">
        <v>175.65859493099617</v>
      </c>
      <c r="AD182" s="135">
        <v>174</v>
      </c>
      <c r="AE182" s="135">
        <v>195.3368451842077</v>
      </c>
      <c r="AF182" s="135">
        <v>68</v>
      </c>
      <c r="AG182" s="135">
        <v>74</v>
      </c>
      <c r="AH182" s="135">
        <v>81.813775134412822</v>
      </c>
      <c r="AI182" s="135">
        <v>77</v>
      </c>
      <c r="AJ182" s="135">
        <v>69.17814701583896</v>
      </c>
      <c r="AK182" s="135">
        <v>97.857928220542249</v>
      </c>
      <c r="AL182" s="135">
        <v>93.111133700561837</v>
      </c>
      <c r="AM182" s="135">
        <v>83.791511364844737</v>
      </c>
      <c r="AN182" s="135">
        <v>194</v>
      </c>
      <c r="AO182" s="135">
        <v>190.16852070422394</v>
      </c>
      <c r="AP182" s="135">
        <v>133</v>
      </c>
      <c r="AQ182" s="135">
        <v>161</v>
      </c>
      <c r="AR182" s="135">
        <v>149.50574246630336</v>
      </c>
      <c r="AS182" s="135">
        <v>115.62750951326768</v>
      </c>
      <c r="AT182" s="135">
        <v>152.14038307292995</v>
      </c>
      <c r="AU182" s="135">
        <v>103.16690082079965</v>
      </c>
      <c r="AV182" s="135">
        <v>63.192306388886401</v>
      </c>
      <c r="AW182" s="135">
        <v>84</v>
      </c>
      <c r="AX182" s="135">
        <v>69.669613588239557</v>
      </c>
      <c r="AY182" s="135">
        <v>76.691299243452562</v>
      </c>
    </row>
    <row r="184" spans="1:51" x14ac:dyDescent="0.2">
      <c r="A184" s="112" t="s">
        <v>302</v>
      </c>
    </row>
    <row r="185" spans="1:51" x14ac:dyDescent="0.2">
      <c r="A185" s="136" t="s">
        <v>125</v>
      </c>
      <c r="B185" s="133">
        <v>1</v>
      </c>
      <c r="C185" s="134"/>
      <c r="D185" s="134">
        <v>253</v>
      </c>
      <c r="E185" s="134">
        <v>174.81663260059781</v>
      </c>
      <c r="F185" s="134">
        <v>173.63326520119563</v>
      </c>
      <c r="G185" s="134">
        <v>171.44989780179344</v>
      </c>
      <c r="H185" s="134">
        <v>204.26653040239125</v>
      </c>
      <c r="I185" s="134">
        <v>0</v>
      </c>
      <c r="J185" s="134">
        <v>0</v>
      </c>
      <c r="K185" s="134">
        <v>0</v>
      </c>
      <c r="L185" s="134">
        <v>0</v>
      </c>
      <c r="M185" s="134">
        <v>0</v>
      </c>
      <c r="N185" s="134">
        <v>0</v>
      </c>
      <c r="O185" s="134">
        <v>0</v>
      </c>
      <c r="P185" s="134">
        <v>0</v>
      </c>
      <c r="Q185" s="134">
        <v>0</v>
      </c>
      <c r="R185" s="134">
        <v>0</v>
      </c>
      <c r="S185" s="134">
        <v>0</v>
      </c>
      <c r="T185" s="134">
        <v>241</v>
      </c>
      <c r="U185" s="134">
        <v>236</v>
      </c>
      <c r="V185" s="134">
        <v>233</v>
      </c>
      <c r="W185" s="134">
        <v>284</v>
      </c>
      <c r="X185" s="134">
        <v>0</v>
      </c>
      <c r="Y185" s="134">
        <v>0</v>
      </c>
      <c r="Z185" s="134">
        <v>0</v>
      </c>
      <c r="AA185" s="134">
        <v>0</v>
      </c>
      <c r="AB185" s="134">
        <v>0</v>
      </c>
      <c r="AC185" s="134">
        <v>0</v>
      </c>
      <c r="AD185" s="134">
        <v>0</v>
      </c>
      <c r="AE185" s="134">
        <v>0</v>
      </c>
      <c r="AF185" s="134">
        <v>0</v>
      </c>
      <c r="AG185" s="134">
        <v>0</v>
      </c>
      <c r="AH185" s="134">
        <v>0</v>
      </c>
      <c r="AI185" s="134">
        <v>0</v>
      </c>
      <c r="AJ185" s="134">
        <v>0</v>
      </c>
      <c r="AK185" s="134">
        <v>0</v>
      </c>
      <c r="AL185" s="134">
        <v>0</v>
      </c>
      <c r="AM185" s="134">
        <v>0</v>
      </c>
      <c r="AN185" s="134">
        <v>0</v>
      </c>
      <c r="AO185" s="134">
        <v>0</v>
      </c>
      <c r="AP185" s="134">
        <v>0</v>
      </c>
      <c r="AQ185" s="134">
        <v>0</v>
      </c>
      <c r="AR185" s="134">
        <v>0</v>
      </c>
      <c r="AS185" s="134">
        <v>0</v>
      </c>
      <c r="AT185" s="134">
        <v>0</v>
      </c>
      <c r="AU185" s="134">
        <v>0</v>
      </c>
      <c r="AV185" s="134">
        <v>0</v>
      </c>
      <c r="AW185" s="134">
        <v>0</v>
      </c>
      <c r="AX185" s="134">
        <v>0</v>
      </c>
      <c r="AY185" s="134">
        <v>0</v>
      </c>
    </row>
    <row r="186" spans="1:51" x14ac:dyDescent="0.2">
      <c r="A186" s="119"/>
      <c r="B186" s="130">
        <v>2</v>
      </c>
      <c r="C186" s="116"/>
      <c r="D186" s="116">
        <v>0</v>
      </c>
      <c r="E186" s="116">
        <v>57.183367399402186</v>
      </c>
      <c r="F186" s="116">
        <v>135.36673479880437</v>
      </c>
      <c r="G186" s="116">
        <v>136.55010219820656</v>
      </c>
      <c r="H186" s="116">
        <v>138.73346959760875</v>
      </c>
      <c r="I186" s="116">
        <v>462</v>
      </c>
      <c r="J186" s="116">
        <v>0</v>
      </c>
      <c r="K186" s="116">
        <v>0</v>
      </c>
      <c r="L186" s="116">
        <v>0</v>
      </c>
      <c r="M186" s="116">
        <v>0</v>
      </c>
      <c r="N186" s="116">
        <v>0</v>
      </c>
      <c r="O186" s="116">
        <v>0</v>
      </c>
      <c r="P186" s="116">
        <v>19.894299483677145</v>
      </c>
      <c r="Q186" s="116">
        <v>65.52573264490286</v>
      </c>
      <c r="R186" s="116">
        <v>122.50311446794896</v>
      </c>
      <c r="S186" s="116">
        <v>91.480496290995063</v>
      </c>
      <c r="T186" s="116">
        <v>0</v>
      </c>
      <c r="U186" s="116">
        <v>0</v>
      </c>
      <c r="V186" s="116">
        <v>0</v>
      </c>
      <c r="W186" s="116">
        <v>0</v>
      </c>
      <c r="X186" s="116">
        <v>242</v>
      </c>
      <c r="Y186" s="116">
        <v>0</v>
      </c>
      <c r="Z186" s="116">
        <v>0</v>
      </c>
      <c r="AA186" s="116">
        <v>0</v>
      </c>
      <c r="AB186" s="116">
        <v>0</v>
      </c>
      <c r="AC186" s="116">
        <v>0</v>
      </c>
      <c r="AD186" s="116">
        <v>0</v>
      </c>
      <c r="AE186" s="116">
        <v>0</v>
      </c>
      <c r="AF186" s="116">
        <v>0</v>
      </c>
      <c r="AG186" s="116">
        <v>0</v>
      </c>
      <c r="AH186" s="116">
        <v>0</v>
      </c>
      <c r="AI186" s="116">
        <v>0</v>
      </c>
      <c r="AJ186" s="116">
        <v>0</v>
      </c>
      <c r="AK186" s="116">
        <v>0</v>
      </c>
      <c r="AL186" s="116">
        <v>0</v>
      </c>
      <c r="AM186" s="116">
        <v>0</v>
      </c>
      <c r="AN186" s="116">
        <v>0</v>
      </c>
      <c r="AO186" s="116">
        <v>0</v>
      </c>
      <c r="AP186" s="116">
        <v>0</v>
      </c>
      <c r="AQ186" s="116">
        <v>0</v>
      </c>
      <c r="AR186" s="116">
        <v>0</v>
      </c>
      <c r="AS186" s="116">
        <v>0</v>
      </c>
      <c r="AT186" s="116">
        <v>0</v>
      </c>
      <c r="AU186" s="116">
        <v>0</v>
      </c>
      <c r="AV186" s="116">
        <v>0</v>
      </c>
      <c r="AW186" s="116">
        <v>0</v>
      </c>
      <c r="AX186" s="116">
        <v>0</v>
      </c>
      <c r="AY186" s="116">
        <v>0</v>
      </c>
    </row>
    <row r="187" spans="1:51" x14ac:dyDescent="0.2">
      <c r="A187" s="119"/>
      <c r="B187" s="137">
        <v>3</v>
      </c>
      <c r="C187" s="116"/>
      <c r="D187" s="116">
        <v>0</v>
      </c>
      <c r="E187" s="116">
        <v>0</v>
      </c>
      <c r="F187" s="116">
        <v>0</v>
      </c>
      <c r="G187" s="116">
        <v>0</v>
      </c>
      <c r="H187" s="116">
        <v>0</v>
      </c>
      <c r="I187" s="116">
        <v>0</v>
      </c>
      <c r="J187" s="116">
        <v>509</v>
      </c>
      <c r="K187" s="116">
        <v>1.266530402391254</v>
      </c>
      <c r="L187" s="116">
        <v>0</v>
      </c>
      <c r="M187" s="116">
        <v>0</v>
      </c>
      <c r="N187" s="116">
        <v>0</v>
      </c>
      <c r="O187" s="116">
        <v>115.63143316122571</v>
      </c>
      <c r="P187" s="116">
        <v>145.36856683877429</v>
      </c>
      <c r="Q187" s="116">
        <v>125.47426735509714</v>
      </c>
      <c r="R187" s="116">
        <v>160.49688553205104</v>
      </c>
      <c r="S187" s="116">
        <v>103.51950370900494</v>
      </c>
      <c r="T187" s="116">
        <v>0</v>
      </c>
      <c r="U187" s="116">
        <v>0</v>
      </c>
      <c r="V187" s="116">
        <v>0</v>
      </c>
      <c r="W187" s="116">
        <v>0</v>
      </c>
      <c r="X187" s="116">
        <v>0</v>
      </c>
      <c r="Y187" s="116">
        <v>273</v>
      </c>
      <c r="Z187" s="116">
        <v>0</v>
      </c>
      <c r="AA187" s="116">
        <v>0</v>
      </c>
      <c r="AB187" s="116">
        <v>0</v>
      </c>
      <c r="AC187" s="116">
        <v>0</v>
      </c>
      <c r="AD187" s="116">
        <v>0</v>
      </c>
      <c r="AE187" s="116">
        <v>0</v>
      </c>
      <c r="AF187" s="116">
        <v>0</v>
      </c>
      <c r="AG187" s="116">
        <v>0</v>
      </c>
      <c r="AH187" s="116">
        <v>0</v>
      </c>
      <c r="AI187" s="116">
        <v>0</v>
      </c>
      <c r="AJ187" s="116">
        <v>28.588171719474786</v>
      </c>
      <c r="AK187" s="116">
        <v>16.176343438949573</v>
      </c>
      <c r="AL187" s="116">
        <v>66.764515158424359</v>
      </c>
      <c r="AM187" s="116">
        <v>0</v>
      </c>
      <c r="AN187" s="116">
        <v>0</v>
      </c>
      <c r="AO187" s="116">
        <v>0</v>
      </c>
      <c r="AP187" s="116">
        <v>0</v>
      </c>
      <c r="AQ187" s="116">
        <v>0</v>
      </c>
      <c r="AR187" s="116">
        <v>0</v>
      </c>
      <c r="AS187" s="116">
        <v>55.920358204763858</v>
      </c>
      <c r="AT187" s="116">
        <v>96.840716409527715</v>
      </c>
      <c r="AU187" s="116">
        <v>137.43232867313537</v>
      </c>
      <c r="AV187" s="116">
        <v>125.02394093674303</v>
      </c>
      <c r="AW187" s="116">
        <v>212.61555320035069</v>
      </c>
      <c r="AX187" s="116">
        <v>233.20716546395835</v>
      </c>
      <c r="AY187" s="116">
        <v>233.1546816137909</v>
      </c>
    </row>
    <row r="188" spans="1:51" x14ac:dyDescent="0.2">
      <c r="A188" s="138"/>
      <c r="B188" s="139">
        <v>4</v>
      </c>
      <c r="C188" s="116"/>
      <c r="D188" s="116">
        <v>0</v>
      </c>
      <c r="E188" s="116">
        <v>0</v>
      </c>
      <c r="F188" s="116">
        <v>0</v>
      </c>
      <c r="G188" s="116">
        <v>0</v>
      </c>
      <c r="H188" s="116">
        <v>0</v>
      </c>
      <c r="I188" s="116">
        <v>0</v>
      </c>
      <c r="J188" s="116">
        <v>0</v>
      </c>
      <c r="K188" s="116">
        <v>339.73346959760875</v>
      </c>
      <c r="L188" s="116">
        <v>185</v>
      </c>
      <c r="M188" s="116">
        <v>224</v>
      </c>
      <c r="N188" s="116">
        <v>238</v>
      </c>
      <c r="O188" s="116">
        <v>145.36856683877429</v>
      </c>
      <c r="P188" s="116">
        <v>29.73713367754857</v>
      </c>
      <c r="Q188" s="116">
        <v>0</v>
      </c>
      <c r="R188" s="116">
        <v>0</v>
      </c>
      <c r="S188" s="116">
        <v>0</v>
      </c>
      <c r="T188" s="116">
        <v>0</v>
      </c>
      <c r="U188" s="116">
        <v>0</v>
      </c>
      <c r="V188" s="116">
        <v>0</v>
      </c>
      <c r="W188" s="116">
        <v>0</v>
      </c>
      <c r="X188" s="116">
        <v>0</v>
      </c>
      <c r="Y188" s="116">
        <v>0</v>
      </c>
      <c r="Z188" s="116">
        <v>240</v>
      </c>
      <c r="AA188" s="116">
        <v>276</v>
      </c>
      <c r="AB188" s="116">
        <v>302</v>
      </c>
      <c r="AC188" s="116">
        <v>271</v>
      </c>
      <c r="AD188" s="116">
        <v>233</v>
      </c>
      <c r="AE188" s="116">
        <v>236</v>
      </c>
      <c r="AF188" s="116">
        <v>166</v>
      </c>
      <c r="AG188" s="116">
        <v>207</v>
      </c>
      <c r="AH188" s="116">
        <v>183</v>
      </c>
      <c r="AI188" s="116">
        <v>211</v>
      </c>
      <c r="AJ188" s="116">
        <v>239.41182828052521</v>
      </c>
      <c r="AK188" s="116">
        <v>210.82365656105043</v>
      </c>
      <c r="AL188" s="116">
        <v>223.23548484157564</v>
      </c>
      <c r="AM188" s="116">
        <v>216</v>
      </c>
      <c r="AN188" s="116">
        <v>177</v>
      </c>
      <c r="AO188" s="116">
        <v>164</v>
      </c>
      <c r="AP188" s="116">
        <v>211</v>
      </c>
      <c r="AQ188" s="116">
        <v>226</v>
      </c>
      <c r="AR188" s="116">
        <v>221</v>
      </c>
      <c r="AS188" s="116">
        <v>232.07964179523614</v>
      </c>
      <c r="AT188" s="116">
        <v>176.15928359047228</v>
      </c>
      <c r="AU188" s="116">
        <v>164.56767132686463</v>
      </c>
      <c r="AV188" s="116">
        <v>123.97605906325697</v>
      </c>
      <c r="AW188" s="116">
        <v>136.38444679964931</v>
      </c>
      <c r="AX188" s="116">
        <v>48.792834536041653</v>
      </c>
      <c r="AY188" s="116">
        <v>79.845318386209101</v>
      </c>
    </row>
    <row r="189" spans="1:51" x14ac:dyDescent="0.2">
      <c r="A189" s="136" t="s">
        <v>133</v>
      </c>
      <c r="B189" s="133">
        <v>1</v>
      </c>
      <c r="C189" s="134"/>
      <c r="D189" s="134">
        <v>0</v>
      </c>
      <c r="E189" s="134">
        <v>15.93645294623772</v>
      </c>
      <c r="F189" s="134">
        <v>43.540325891316058</v>
      </c>
      <c r="G189" s="134">
        <v>0</v>
      </c>
      <c r="H189" s="134">
        <v>43.540325891316058</v>
      </c>
      <c r="I189" s="134">
        <v>43.540325891316058</v>
      </c>
      <c r="J189" s="134">
        <v>43.540325891316058</v>
      </c>
      <c r="K189" s="134">
        <v>43.540325891316058</v>
      </c>
      <c r="L189" s="134">
        <v>0</v>
      </c>
      <c r="M189" s="134">
        <v>43.540325891316058</v>
      </c>
      <c r="N189" s="134">
        <v>0</v>
      </c>
      <c r="O189" s="134">
        <v>43.540325891316058</v>
      </c>
      <c r="P189" s="134">
        <v>0</v>
      </c>
      <c r="Q189" s="134">
        <v>43.540325891316058</v>
      </c>
      <c r="R189" s="134">
        <v>0</v>
      </c>
      <c r="S189" s="134">
        <v>0</v>
      </c>
      <c r="T189" s="134">
        <v>43.540325891316058</v>
      </c>
      <c r="U189" s="134">
        <v>43.540325891316058</v>
      </c>
      <c r="V189" s="134">
        <v>43.540325891316058</v>
      </c>
      <c r="W189" s="134">
        <v>43.540325891316058</v>
      </c>
      <c r="X189" s="134">
        <v>43.540325891316058</v>
      </c>
      <c r="Y189" s="134">
        <v>0</v>
      </c>
      <c r="Z189" s="134">
        <v>0</v>
      </c>
      <c r="AA189" s="134">
        <v>0</v>
      </c>
      <c r="AB189" s="134">
        <v>43.540325891316058</v>
      </c>
      <c r="AC189" s="134">
        <v>43.540325891316058</v>
      </c>
      <c r="AD189" s="134">
        <v>0</v>
      </c>
      <c r="AE189" s="134">
        <v>43.540325891316058</v>
      </c>
      <c r="AF189" s="134">
        <v>0</v>
      </c>
      <c r="AG189" s="134">
        <v>0</v>
      </c>
      <c r="AH189" s="134">
        <v>0</v>
      </c>
      <c r="AI189" s="134">
        <v>24.919348217367883</v>
      </c>
      <c r="AJ189" s="134">
        <v>0</v>
      </c>
      <c r="AK189" s="134">
        <v>0</v>
      </c>
      <c r="AL189" s="134">
        <v>0</v>
      </c>
      <c r="AM189" s="134">
        <v>0</v>
      </c>
      <c r="AN189" s="134">
        <v>0</v>
      </c>
      <c r="AO189" s="134">
        <v>43.540325891316058</v>
      </c>
      <c r="AP189" s="134">
        <v>0</v>
      </c>
      <c r="AQ189" s="134">
        <v>0</v>
      </c>
      <c r="AR189" s="134">
        <v>43.540325891316058</v>
      </c>
      <c r="AS189" s="134">
        <v>43.540325891316058</v>
      </c>
      <c r="AT189" s="134">
        <v>43.540325891316058</v>
      </c>
      <c r="AU189" s="134">
        <v>43.540325891316058</v>
      </c>
      <c r="AV189" s="134">
        <v>43.540325891316058</v>
      </c>
      <c r="AW189" s="134">
        <v>0</v>
      </c>
      <c r="AX189" s="134">
        <v>0</v>
      </c>
      <c r="AY189" s="134">
        <v>43.540325891316058</v>
      </c>
    </row>
    <row r="190" spans="1:51" x14ac:dyDescent="0.2">
      <c r="A190" s="119"/>
      <c r="B190" s="129">
        <v>2</v>
      </c>
      <c r="C190" s="116"/>
      <c r="D190" s="116">
        <v>0</v>
      </c>
      <c r="E190" s="116">
        <v>0</v>
      </c>
      <c r="F190" s="116">
        <v>0</v>
      </c>
      <c r="G190" s="116">
        <v>0</v>
      </c>
      <c r="H190" s="116">
        <v>43.540325891316058</v>
      </c>
      <c r="I190" s="116">
        <v>0</v>
      </c>
      <c r="J190" s="116">
        <v>0</v>
      </c>
      <c r="K190" s="116">
        <v>0</v>
      </c>
      <c r="L190" s="116">
        <v>0</v>
      </c>
      <c r="M190" s="116">
        <v>0</v>
      </c>
      <c r="N190" s="116">
        <v>0</v>
      </c>
      <c r="O190" s="116">
        <v>43.540325891316058</v>
      </c>
      <c r="P190" s="116">
        <v>0</v>
      </c>
      <c r="Q190" s="116">
        <v>43.540325891316058</v>
      </c>
      <c r="R190" s="116">
        <v>0</v>
      </c>
      <c r="S190" s="116">
        <v>43.540325891316058</v>
      </c>
      <c r="T190" s="116">
        <v>43.540325891316058</v>
      </c>
      <c r="U190" s="116">
        <v>0</v>
      </c>
      <c r="V190" s="116">
        <v>0</v>
      </c>
      <c r="W190" s="116">
        <v>0</v>
      </c>
      <c r="X190" s="116">
        <v>0</v>
      </c>
      <c r="Y190" s="116">
        <v>0</v>
      </c>
      <c r="Z190" s="116">
        <v>0</v>
      </c>
      <c r="AA190" s="116">
        <v>43.540325891316058</v>
      </c>
      <c r="AB190" s="116">
        <v>0</v>
      </c>
      <c r="AC190" s="116">
        <v>0</v>
      </c>
      <c r="AD190" s="116">
        <v>0</v>
      </c>
      <c r="AE190" s="116">
        <v>0</v>
      </c>
      <c r="AF190" s="116">
        <v>0</v>
      </c>
      <c r="AG190" s="116">
        <v>0</v>
      </c>
      <c r="AH190" s="116">
        <v>0</v>
      </c>
      <c r="AI190" s="116">
        <v>43.540325891316058</v>
      </c>
      <c r="AJ190" s="116">
        <v>18.620977673948175</v>
      </c>
      <c r="AK190" s="116">
        <v>43.540325891316058</v>
      </c>
      <c r="AL190" s="116">
        <v>43.540325891316058</v>
      </c>
      <c r="AM190" s="116">
        <v>43.540325891316058</v>
      </c>
      <c r="AN190" s="116">
        <v>0</v>
      </c>
      <c r="AO190" s="116">
        <v>43.540325891316058</v>
      </c>
      <c r="AP190" s="116">
        <v>0</v>
      </c>
      <c r="AQ190" s="116">
        <v>0</v>
      </c>
      <c r="AR190" s="116">
        <v>0</v>
      </c>
      <c r="AS190" s="116">
        <v>0</v>
      </c>
      <c r="AT190" s="116">
        <v>0</v>
      </c>
      <c r="AU190" s="116">
        <v>0</v>
      </c>
      <c r="AV190" s="116">
        <v>0</v>
      </c>
      <c r="AW190" s="116">
        <v>0</v>
      </c>
      <c r="AX190" s="116">
        <v>43.540325891316058</v>
      </c>
      <c r="AY190" s="116">
        <v>0</v>
      </c>
    </row>
    <row r="191" spans="1:51" x14ac:dyDescent="0.2">
      <c r="A191" s="119"/>
      <c r="B191" s="130">
        <v>3</v>
      </c>
      <c r="C191" s="116"/>
      <c r="D191" s="116">
        <v>0</v>
      </c>
      <c r="E191" s="116">
        <v>0</v>
      </c>
      <c r="F191" s="116">
        <v>0</v>
      </c>
      <c r="G191" s="116">
        <v>0</v>
      </c>
      <c r="H191" s="116">
        <v>0</v>
      </c>
      <c r="I191" s="116">
        <v>0</v>
      </c>
      <c r="J191" s="116">
        <v>0</v>
      </c>
      <c r="K191" s="116">
        <v>0</v>
      </c>
      <c r="L191" s="116">
        <v>0</v>
      </c>
      <c r="M191" s="116">
        <v>0</v>
      </c>
      <c r="N191" s="116">
        <v>0</v>
      </c>
      <c r="O191" s="116">
        <v>0</v>
      </c>
      <c r="P191" s="116">
        <v>0</v>
      </c>
      <c r="Q191" s="116">
        <v>0</v>
      </c>
      <c r="R191" s="116">
        <v>0</v>
      </c>
      <c r="S191" s="116">
        <v>0</v>
      </c>
      <c r="T191" s="116">
        <v>0</v>
      </c>
      <c r="U191" s="116">
        <v>0</v>
      </c>
      <c r="V191" s="116">
        <v>0</v>
      </c>
      <c r="W191" s="116">
        <v>0</v>
      </c>
      <c r="X191" s="116">
        <v>0</v>
      </c>
      <c r="Y191" s="116">
        <v>0</v>
      </c>
      <c r="Z191" s="116">
        <v>0</v>
      </c>
      <c r="AA191" s="116">
        <v>0</v>
      </c>
      <c r="AB191" s="116">
        <v>0</v>
      </c>
      <c r="AC191" s="116">
        <v>0</v>
      </c>
      <c r="AD191" s="116">
        <v>0</v>
      </c>
      <c r="AE191" s="116">
        <v>0</v>
      </c>
      <c r="AF191" s="116">
        <v>0</v>
      </c>
      <c r="AG191" s="116">
        <v>0</v>
      </c>
      <c r="AH191" s="116">
        <v>43.540325891316058</v>
      </c>
      <c r="AI191" s="116">
        <v>43.540325891316058</v>
      </c>
      <c r="AJ191" s="116">
        <v>0</v>
      </c>
      <c r="AK191" s="116">
        <v>0</v>
      </c>
      <c r="AL191" s="116">
        <v>0</v>
      </c>
      <c r="AM191" s="116">
        <v>0</v>
      </c>
      <c r="AN191" s="116">
        <v>0</v>
      </c>
      <c r="AO191" s="116">
        <v>0</v>
      </c>
      <c r="AP191" s="116">
        <v>0</v>
      </c>
      <c r="AQ191" s="116">
        <v>0</v>
      </c>
      <c r="AR191" s="116">
        <v>43.540325891316058</v>
      </c>
      <c r="AS191" s="116">
        <v>0</v>
      </c>
      <c r="AT191" s="116">
        <v>0</v>
      </c>
      <c r="AU191" s="116">
        <v>0</v>
      </c>
      <c r="AV191" s="116">
        <v>0</v>
      </c>
      <c r="AW191" s="116">
        <v>0</v>
      </c>
      <c r="AX191" s="116">
        <v>0</v>
      </c>
      <c r="AY191" s="116">
        <v>0</v>
      </c>
    </row>
    <row r="192" spans="1:51" x14ac:dyDescent="0.2">
      <c r="A192" s="119"/>
      <c r="B192" s="130">
        <v>4</v>
      </c>
      <c r="C192" s="116"/>
      <c r="D192" s="116">
        <v>0</v>
      </c>
      <c r="E192" s="116">
        <v>0</v>
      </c>
      <c r="F192" s="116">
        <v>0</v>
      </c>
      <c r="G192" s="116">
        <v>0</v>
      </c>
      <c r="H192" s="116">
        <v>0</v>
      </c>
      <c r="I192" s="116">
        <v>0</v>
      </c>
      <c r="J192" s="116">
        <v>0</v>
      </c>
      <c r="K192" s="116">
        <v>0</v>
      </c>
      <c r="L192" s="116">
        <v>0</v>
      </c>
      <c r="M192" s="116">
        <v>0</v>
      </c>
      <c r="N192" s="116">
        <v>0</v>
      </c>
      <c r="O192" s="116">
        <v>0</v>
      </c>
      <c r="P192" s="116">
        <v>0</v>
      </c>
      <c r="Q192" s="116">
        <v>0</v>
      </c>
      <c r="R192" s="116">
        <v>0</v>
      </c>
      <c r="S192" s="116">
        <v>0</v>
      </c>
      <c r="T192" s="116">
        <v>0</v>
      </c>
      <c r="U192" s="116">
        <v>0</v>
      </c>
      <c r="V192" s="116">
        <v>0</v>
      </c>
      <c r="W192" s="116">
        <v>0</v>
      </c>
      <c r="X192" s="116">
        <v>0</v>
      </c>
      <c r="Y192" s="116">
        <v>0</v>
      </c>
      <c r="Z192" s="116">
        <v>0</v>
      </c>
      <c r="AA192" s="116">
        <v>0</v>
      </c>
      <c r="AB192" s="116">
        <v>0</v>
      </c>
      <c r="AC192" s="116">
        <v>0</v>
      </c>
      <c r="AD192" s="116">
        <v>0</v>
      </c>
      <c r="AE192" s="116">
        <v>0</v>
      </c>
      <c r="AF192" s="116">
        <v>0</v>
      </c>
      <c r="AG192" s="116">
        <v>0</v>
      </c>
      <c r="AH192" s="116">
        <v>0</v>
      </c>
      <c r="AI192" s="116">
        <v>0</v>
      </c>
      <c r="AJ192" s="116">
        <v>0</v>
      </c>
      <c r="AK192" s="116">
        <v>0</v>
      </c>
      <c r="AL192" s="116">
        <v>0</v>
      </c>
      <c r="AM192" s="116">
        <v>0</v>
      </c>
      <c r="AN192" s="116">
        <v>0</v>
      </c>
      <c r="AO192" s="116">
        <v>0</v>
      </c>
      <c r="AP192" s="116">
        <v>0</v>
      </c>
      <c r="AQ192" s="116">
        <v>0</v>
      </c>
      <c r="AR192" s="116">
        <v>0</v>
      </c>
      <c r="AS192" s="116">
        <v>0</v>
      </c>
      <c r="AT192" s="116">
        <v>0</v>
      </c>
      <c r="AU192" s="116">
        <v>0</v>
      </c>
      <c r="AV192" s="116">
        <v>0</v>
      </c>
      <c r="AW192" s="116">
        <v>0</v>
      </c>
      <c r="AX192" s="116">
        <v>0</v>
      </c>
      <c r="AY192" s="116">
        <v>0</v>
      </c>
    </row>
    <row r="193" spans="1:51" x14ac:dyDescent="0.2">
      <c r="A193" s="119"/>
      <c r="B193" s="137">
        <v>5</v>
      </c>
      <c r="C193" s="116"/>
      <c r="D193" s="116">
        <v>0</v>
      </c>
      <c r="E193" s="116">
        <v>0</v>
      </c>
      <c r="F193" s="116">
        <v>0</v>
      </c>
      <c r="G193" s="116">
        <v>0</v>
      </c>
      <c r="H193" s="116">
        <v>0</v>
      </c>
      <c r="I193" s="116">
        <v>0</v>
      </c>
      <c r="J193" s="116">
        <v>0</v>
      </c>
      <c r="K193" s="116">
        <v>0</v>
      </c>
      <c r="L193" s="116">
        <v>0</v>
      </c>
      <c r="M193" s="116">
        <v>0</v>
      </c>
      <c r="N193" s="116">
        <v>0</v>
      </c>
      <c r="O193" s="116">
        <v>0</v>
      </c>
      <c r="P193" s="116">
        <v>0</v>
      </c>
      <c r="Q193" s="116">
        <v>0</v>
      </c>
      <c r="R193" s="116">
        <v>0</v>
      </c>
      <c r="S193" s="116">
        <v>0</v>
      </c>
      <c r="T193" s="116">
        <v>0</v>
      </c>
      <c r="U193" s="116">
        <v>0</v>
      </c>
      <c r="V193" s="116">
        <v>0</v>
      </c>
      <c r="W193" s="116">
        <v>0</v>
      </c>
      <c r="X193" s="116">
        <v>0</v>
      </c>
      <c r="Y193" s="116">
        <v>0</v>
      </c>
      <c r="Z193" s="116">
        <v>0</v>
      </c>
      <c r="AA193" s="116">
        <v>0</v>
      </c>
      <c r="AB193" s="116">
        <v>0</v>
      </c>
      <c r="AC193" s="116">
        <v>0</v>
      </c>
      <c r="AD193" s="116">
        <v>0</v>
      </c>
      <c r="AE193" s="116">
        <v>0</v>
      </c>
      <c r="AF193" s="116">
        <v>0</v>
      </c>
      <c r="AG193" s="116">
        <v>0</v>
      </c>
      <c r="AH193" s="116">
        <v>0</v>
      </c>
      <c r="AI193" s="116">
        <v>0</v>
      </c>
      <c r="AJ193" s="116">
        <v>0</v>
      </c>
      <c r="AK193" s="116">
        <v>0</v>
      </c>
      <c r="AL193" s="116">
        <v>0</v>
      </c>
      <c r="AM193" s="116">
        <v>0</v>
      </c>
      <c r="AN193" s="116">
        <v>0</v>
      </c>
      <c r="AO193" s="116">
        <v>0</v>
      </c>
      <c r="AP193" s="116">
        <v>0</v>
      </c>
      <c r="AQ193" s="116">
        <v>0</v>
      </c>
      <c r="AR193" s="116">
        <v>0</v>
      </c>
      <c r="AS193" s="116">
        <v>0</v>
      </c>
      <c r="AT193" s="116">
        <v>0</v>
      </c>
      <c r="AU193" s="116">
        <v>0</v>
      </c>
      <c r="AV193" s="116">
        <v>0</v>
      </c>
      <c r="AW193" s="116">
        <v>0</v>
      </c>
      <c r="AX193" s="116">
        <v>0</v>
      </c>
      <c r="AY193" s="116">
        <v>0</v>
      </c>
    </row>
    <row r="194" spans="1:51" x14ac:dyDescent="0.2">
      <c r="A194" s="119"/>
      <c r="B194" s="137">
        <v>6</v>
      </c>
      <c r="C194" s="116"/>
      <c r="D194" s="116">
        <v>0</v>
      </c>
      <c r="E194" s="116">
        <v>0</v>
      </c>
      <c r="F194" s="116">
        <v>0</v>
      </c>
      <c r="G194" s="116">
        <v>0</v>
      </c>
      <c r="H194" s="116">
        <v>0</v>
      </c>
      <c r="I194" s="116">
        <v>0</v>
      </c>
      <c r="J194" s="116">
        <v>0</v>
      </c>
      <c r="K194" s="116">
        <v>0</v>
      </c>
      <c r="L194" s="116">
        <v>0</v>
      </c>
      <c r="M194" s="116">
        <v>0</v>
      </c>
      <c r="N194" s="116">
        <v>0</v>
      </c>
      <c r="O194" s="116">
        <v>0</v>
      </c>
      <c r="P194" s="116">
        <v>0</v>
      </c>
      <c r="Q194" s="116">
        <v>0</v>
      </c>
      <c r="R194" s="116">
        <v>0</v>
      </c>
      <c r="S194" s="116">
        <v>0</v>
      </c>
      <c r="T194" s="116">
        <v>0</v>
      </c>
      <c r="U194" s="116">
        <v>0</v>
      </c>
      <c r="V194" s="116">
        <v>0</v>
      </c>
      <c r="W194" s="116">
        <v>0</v>
      </c>
      <c r="X194" s="116">
        <v>0</v>
      </c>
      <c r="Y194" s="116">
        <v>0</v>
      </c>
      <c r="Z194" s="116">
        <v>0</v>
      </c>
      <c r="AA194" s="116">
        <v>0</v>
      </c>
      <c r="AB194" s="116">
        <v>0</v>
      </c>
      <c r="AC194" s="116">
        <v>0</v>
      </c>
      <c r="AD194" s="116">
        <v>0</v>
      </c>
      <c r="AE194" s="116">
        <v>0</v>
      </c>
      <c r="AF194" s="116">
        <v>0</v>
      </c>
      <c r="AG194" s="116">
        <v>0</v>
      </c>
      <c r="AH194" s="116">
        <v>0</v>
      </c>
      <c r="AI194" s="116">
        <v>0</v>
      </c>
      <c r="AJ194" s="116">
        <v>0</v>
      </c>
      <c r="AK194" s="116">
        <v>0</v>
      </c>
      <c r="AL194" s="116">
        <v>0</v>
      </c>
      <c r="AM194" s="116">
        <v>0</v>
      </c>
      <c r="AN194" s="116">
        <v>0</v>
      </c>
      <c r="AO194" s="116">
        <v>0</v>
      </c>
      <c r="AP194" s="116">
        <v>0</v>
      </c>
      <c r="AQ194" s="116">
        <v>0</v>
      </c>
      <c r="AR194" s="116">
        <v>0</v>
      </c>
      <c r="AS194" s="116">
        <v>0</v>
      </c>
      <c r="AT194" s="116">
        <v>0</v>
      </c>
      <c r="AU194" s="116">
        <v>0</v>
      </c>
      <c r="AV194" s="116">
        <v>0</v>
      </c>
      <c r="AW194" s="116">
        <v>0</v>
      </c>
      <c r="AX194" s="116">
        <v>0</v>
      </c>
      <c r="AY194" s="116">
        <v>0</v>
      </c>
    </row>
    <row r="195" spans="1:51" x14ac:dyDescent="0.2">
      <c r="A195" s="119"/>
      <c r="B195" s="140">
        <v>7</v>
      </c>
      <c r="C195" s="116"/>
      <c r="D195" s="116">
        <v>0</v>
      </c>
      <c r="E195" s="116">
        <v>0</v>
      </c>
      <c r="F195" s="116">
        <v>0</v>
      </c>
      <c r="G195" s="116">
        <v>0</v>
      </c>
      <c r="H195" s="116">
        <v>0</v>
      </c>
      <c r="I195" s="116">
        <v>0</v>
      </c>
      <c r="J195" s="116">
        <v>0</v>
      </c>
      <c r="K195" s="116">
        <v>0</v>
      </c>
      <c r="L195" s="116">
        <v>0</v>
      </c>
      <c r="M195" s="116">
        <v>0</v>
      </c>
      <c r="N195" s="116">
        <v>0</v>
      </c>
      <c r="O195" s="116">
        <v>0</v>
      </c>
      <c r="P195" s="116">
        <v>0</v>
      </c>
      <c r="Q195" s="116">
        <v>0</v>
      </c>
      <c r="R195" s="116">
        <v>0</v>
      </c>
      <c r="S195" s="116">
        <v>0</v>
      </c>
      <c r="T195" s="116">
        <v>0</v>
      </c>
      <c r="U195" s="116">
        <v>0</v>
      </c>
      <c r="V195" s="116">
        <v>0</v>
      </c>
      <c r="W195" s="116">
        <v>0</v>
      </c>
      <c r="X195" s="116">
        <v>0</v>
      </c>
      <c r="Y195" s="116">
        <v>0</v>
      </c>
      <c r="Z195" s="116">
        <v>0</v>
      </c>
      <c r="AA195" s="116">
        <v>0</v>
      </c>
      <c r="AB195" s="116">
        <v>0</v>
      </c>
      <c r="AC195" s="116">
        <v>0</v>
      </c>
      <c r="AD195" s="116">
        <v>0</v>
      </c>
      <c r="AE195" s="116">
        <v>0</v>
      </c>
      <c r="AF195" s="116">
        <v>0</v>
      </c>
      <c r="AG195" s="116">
        <v>0</v>
      </c>
      <c r="AH195" s="116">
        <v>0</v>
      </c>
      <c r="AI195" s="116">
        <v>0</v>
      </c>
      <c r="AJ195" s="116">
        <v>0</v>
      </c>
      <c r="AK195" s="116">
        <v>0</v>
      </c>
      <c r="AL195" s="116">
        <v>0</v>
      </c>
      <c r="AM195" s="116">
        <v>0</v>
      </c>
      <c r="AN195" s="116">
        <v>0</v>
      </c>
      <c r="AO195" s="116">
        <v>0</v>
      </c>
      <c r="AP195" s="116">
        <v>0</v>
      </c>
      <c r="AQ195" s="116">
        <v>0</v>
      </c>
      <c r="AR195" s="116">
        <v>0</v>
      </c>
      <c r="AS195" s="116">
        <v>0</v>
      </c>
      <c r="AT195" s="116">
        <v>0</v>
      </c>
      <c r="AU195" s="116">
        <v>0</v>
      </c>
      <c r="AV195" s="116">
        <v>0</v>
      </c>
      <c r="AW195" s="116">
        <v>0</v>
      </c>
      <c r="AX195" s="116">
        <v>0</v>
      </c>
      <c r="AY195" s="116">
        <v>0</v>
      </c>
    </row>
    <row r="196" spans="1:51" x14ac:dyDescent="0.2">
      <c r="A196" s="138"/>
      <c r="B196" s="139">
        <v>8</v>
      </c>
      <c r="C196" s="124"/>
      <c r="D196" s="124">
        <v>0</v>
      </c>
      <c r="E196" s="124">
        <v>0</v>
      </c>
      <c r="F196" s="124">
        <v>0</v>
      </c>
      <c r="G196" s="124">
        <v>0</v>
      </c>
      <c r="H196" s="124">
        <v>0</v>
      </c>
      <c r="I196" s="124">
        <v>0</v>
      </c>
      <c r="J196" s="124">
        <v>0</v>
      </c>
      <c r="K196" s="124">
        <v>0</v>
      </c>
      <c r="L196" s="124">
        <v>0</v>
      </c>
      <c r="M196" s="124">
        <v>0</v>
      </c>
      <c r="N196" s="124">
        <v>0</v>
      </c>
      <c r="O196" s="124">
        <v>0</v>
      </c>
      <c r="P196" s="124">
        <v>0</v>
      </c>
      <c r="Q196" s="124">
        <v>0</v>
      </c>
      <c r="R196" s="124">
        <v>0</v>
      </c>
      <c r="S196" s="124">
        <v>0</v>
      </c>
      <c r="T196" s="124">
        <v>0</v>
      </c>
      <c r="U196" s="124">
        <v>0</v>
      </c>
      <c r="V196" s="124">
        <v>0</v>
      </c>
      <c r="W196" s="124">
        <v>0</v>
      </c>
      <c r="X196" s="124">
        <v>0</v>
      </c>
      <c r="Y196" s="124">
        <v>0</v>
      </c>
      <c r="Z196" s="124">
        <v>0</v>
      </c>
      <c r="AA196" s="124">
        <v>0</v>
      </c>
      <c r="AB196" s="124">
        <v>0</v>
      </c>
      <c r="AC196" s="124">
        <v>0</v>
      </c>
      <c r="AD196" s="124">
        <v>0</v>
      </c>
      <c r="AE196" s="124">
        <v>0</v>
      </c>
      <c r="AF196" s="124">
        <v>0</v>
      </c>
      <c r="AG196" s="124">
        <v>0</v>
      </c>
      <c r="AH196" s="124">
        <v>0</v>
      </c>
      <c r="AI196" s="124">
        <v>0</v>
      </c>
      <c r="AJ196" s="124">
        <v>0</v>
      </c>
      <c r="AK196" s="124">
        <v>0</v>
      </c>
      <c r="AL196" s="124">
        <v>0</v>
      </c>
      <c r="AM196" s="124">
        <v>0</v>
      </c>
      <c r="AN196" s="124">
        <v>0</v>
      </c>
      <c r="AO196" s="124">
        <v>0</v>
      </c>
      <c r="AP196" s="124">
        <v>0</v>
      </c>
      <c r="AQ196" s="124">
        <v>0</v>
      </c>
      <c r="AR196" s="124">
        <v>0</v>
      </c>
      <c r="AS196" s="124">
        <v>0</v>
      </c>
      <c r="AT196" s="124">
        <v>0</v>
      </c>
      <c r="AU196" s="124">
        <v>0</v>
      </c>
      <c r="AV196" s="124">
        <v>0</v>
      </c>
      <c r="AW196" s="124">
        <v>0</v>
      </c>
      <c r="AX196" s="124">
        <v>0</v>
      </c>
      <c r="AY196" s="124">
        <v>0</v>
      </c>
    </row>
    <row r="197" spans="1:51" x14ac:dyDescent="0.2">
      <c r="A197" s="141" t="s">
        <v>134</v>
      </c>
      <c r="B197" s="129">
        <v>1</v>
      </c>
      <c r="C197" s="116"/>
      <c r="D197" s="116">
        <v>0</v>
      </c>
      <c r="E197" s="116">
        <v>18.923661086461951</v>
      </c>
      <c r="F197" s="116">
        <v>35.787667076173719</v>
      </c>
      <c r="G197" s="116">
        <v>64.998174599740437</v>
      </c>
      <c r="H197" s="116">
        <v>34.482239874470032</v>
      </c>
      <c r="I197" s="116">
        <v>97.135619468834946</v>
      </c>
      <c r="J197" s="116">
        <v>95.642779877180601</v>
      </c>
      <c r="K197" s="116">
        <v>93.711350931721995</v>
      </c>
      <c r="L197" s="116">
        <v>84.539458259875914</v>
      </c>
      <c r="M197" s="116">
        <v>0</v>
      </c>
      <c r="N197" s="116">
        <v>0</v>
      </c>
      <c r="O197" s="116">
        <v>0</v>
      </c>
      <c r="P197" s="116">
        <v>0</v>
      </c>
      <c r="Q197" s="116">
        <v>0.15337693126831281</v>
      </c>
      <c r="R197" s="116">
        <v>0.31651403197925715</v>
      </c>
      <c r="S197" s="116">
        <v>0.2510079356927658</v>
      </c>
      <c r="T197" s="116">
        <v>0.28087475876897422</v>
      </c>
      <c r="U197" s="116">
        <v>100.96925094469562</v>
      </c>
      <c r="V197" s="116">
        <v>108.08467969527437</v>
      </c>
      <c r="W197" s="116">
        <v>115.60785725279567</v>
      </c>
      <c r="X197" s="116">
        <v>110.24603923187099</v>
      </c>
      <c r="Y197" s="116">
        <v>76.489484961103486</v>
      </c>
      <c r="Z197" s="116">
        <v>66.162223944965035</v>
      </c>
      <c r="AA197" s="116">
        <v>56.57844440248379</v>
      </c>
      <c r="AB197" s="116">
        <v>65.594285945158504</v>
      </c>
      <c r="AC197" s="116">
        <v>92.839316269402303</v>
      </c>
      <c r="AD197" s="116">
        <v>89.458482381769556</v>
      </c>
      <c r="AE197" s="116">
        <v>61.769564988748748</v>
      </c>
      <c r="AF197" s="116">
        <v>58.918762731567206</v>
      </c>
      <c r="AG197" s="116">
        <v>0</v>
      </c>
      <c r="AH197" s="116">
        <v>0</v>
      </c>
      <c r="AI197" s="116">
        <v>0</v>
      </c>
      <c r="AJ197" s="116">
        <v>0</v>
      </c>
      <c r="AK197" s="116">
        <v>0</v>
      </c>
      <c r="AL197" s="116">
        <v>0</v>
      </c>
      <c r="AM197" s="116">
        <v>0</v>
      </c>
      <c r="AN197" s="116">
        <v>0</v>
      </c>
      <c r="AO197" s="116">
        <v>0</v>
      </c>
      <c r="AP197" s="116">
        <v>0</v>
      </c>
      <c r="AQ197" s="116">
        <v>0</v>
      </c>
      <c r="AR197" s="116">
        <v>0</v>
      </c>
      <c r="AS197" s="116">
        <v>2.928675999359474</v>
      </c>
      <c r="AT197" s="116">
        <v>3.0436471495948427</v>
      </c>
      <c r="AU197" s="116">
        <v>3.2317486712915979</v>
      </c>
      <c r="AV197" s="116">
        <v>3.3403568088369364</v>
      </c>
      <c r="AW197" s="116">
        <v>114</v>
      </c>
      <c r="AX197" s="116">
        <v>67.728262853686644</v>
      </c>
      <c r="AY197" s="116">
        <v>85.285885438953173</v>
      </c>
    </row>
    <row r="198" spans="1:51" x14ac:dyDescent="0.2">
      <c r="A198" s="119"/>
      <c r="B198" s="129">
        <v>2</v>
      </c>
      <c r="C198" s="116"/>
      <c r="D198" s="116">
        <v>0</v>
      </c>
      <c r="E198" s="116">
        <v>0</v>
      </c>
      <c r="F198" s="116">
        <v>0</v>
      </c>
      <c r="G198" s="116">
        <v>0</v>
      </c>
      <c r="H198" s="116">
        <v>0</v>
      </c>
      <c r="I198" s="116">
        <v>0</v>
      </c>
      <c r="J198" s="116">
        <v>0</v>
      </c>
      <c r="K198" s="116">
        <v>0</v>
      </c>
      <c r="L198" s="116">
        <v>0</v>
      </c>
      <c r="M198" s="116">
        <v>0</v>
      </c>
      <c r="N198" s="116">
        <v>0</v>
      </c>
      <c r="O198" s="116">
        <v>0</v>
      </c>
      <c r="P198" s="116">
        <v>0</v>
      </c>
      <c r="Q198" s="116">
        <v>0</v>
      </c>
      <c r="R198" s="116">
        <v>0</v>
      </c>
      <c r="S198" s="116">
        <v>0</v>
      </c>
      <c r="T198" s="116">
        <v>0</v>
      </c>
      <c r="U198" s="116">
        <v>0</v>
      </c>
      <c r="V198" s="116">
        <v>0</v>
      </c>
      <c r="W198" s="116">
        <v>0</v>
      </c>
      <c r="X198" s="116">
        <v>0</v>
      </c>
      <c r="Y198" s="116">
        <v>10.137490751517333</v>
      </c>
      <c r="Z198" s="116">
        <v>0</v>
      </c>
      <c r="AA198" s="116">
        <v>0</v>
      </c>
      <c r="AB198" s="116">
        <v>0</v>
      </c>
      <c r="AC198" s="116">
        <v>0</v>
      </c>
      <c r="AD198" s="116">
        <v>0</v>
      </c>
      <c r="AE198" s="116">
        <v>0</v>
      </c>
      <c r="AF198" s="116">
        <v>0</v>
      </c>
      <c r="AG198" s="116">
        <v>0</v>
      </c>
      <c r="AH198" s="116">
        <v>0</v>
      </c>
      <c r="AI198" s="116">
        <v>0</v>
      </c>
      <c r="AJ198" s="116">
        <v>0</v>
      </c>
      <c r="AK198" s="116">
        <v>0</v>
      </c>
      <c r="AL198" s="116">
        <v>0</v>
      </c>
      <c r="AM198" s="116">
        <v>0</v>
      </c>
      <c r="AN198" s="116">
        <v>0</v>
      </c>
      <c r="AO198" s="116">
        <v>0</v>
      </c>
      <c r="AP198" s="116">
        <v>0</v>
      </c>
      <c r="AQ198" s="116">
        <v>0</v>
      </c>
      <c r="AR198" s="116">
        <v>0</v>
      </c>
      <c r="AS198" s="116">
        <v>0</v>
      </c>
      <c r="AT198" s="116">
        <v>0</v>
      </c>
      <c r="AU198" s="116">
        <v>0</v>
      </c>
      <c r="AV198" s="116">
        <v>0</v>
      </c>
      <c r="AW198" s="116">
        <v>0</v>
      </c>
      <c r="AX198" s="116">
        <v>31.941350734552913</v>
      </c>
      <c r="AY198" s="116">
        <v>62.405413804499389</v>
      </c>
    </row>
    <row r="199" spans="1:51" x14ac:dyDescent="0.2">
      <c r="A199" s="119"/>
      <c r="B199" s="129">
        <v>3</v>
      </c>
      <c r="C199" s="116"/>
      <c r="D199" s="116">
        <v>0</v>
      </c>
      <c r="E199" s="116">
        <v>0</v>
      </c>
      <c r="F199" s="116">
        <v>0</v>
      </c>
      <c r="G199" s="116">
        <v>0</v>
      </c>
      <c r="H199" s="116">
        <v>0</v>
      </c>
      <c r="I199" s="116">
        <v>0</v>
      </c>
      <c r="J199" s="116">
        <v>0</v>
      </c>
      <c r="K199" s="116">
        <v>0</v>
      </c>
      <c r="L199" s="116">
        <v>0</v>
      </c>
      <c r="M199" s="116">
        <v>0</v>
      </c>
      <c r="N199" s="116">
        <v>0</v>
      </c>
      <c r="O199" s="116">
        <v>0</v>
      </c>
      <c r="P199" s="116">
        <v>0</v>
      </c>
      <c r="Q199" s="116">
        <v>0</v>
      </c>
      <c r="R199" s="116">
        <v>0</v>
      </c>
      <c r="S199" s="116">
        <v>0</v>
      </c>
      <c r="T199" s="116">
        <v>0</v>
      </c>
      <c r="U199" s="116">
        <v>0</v>
      </c>
      <c r="V199" s="116">
        <v>0</v>
      </c>
      <c r="W199" s="116">
        <v>0</v>
      </c>
      <c r="X199" s="116">
        <v>0</v>
      </c>
      <c r="Y199" s="116">
        <v>0</v>
      </c>
      <c r="Z199" s="116">
        <v>0</v>
      </c>
      <c r="AA199" s="116">
        <v>0</v>
      </c>
      <c r="AB199" s="116">
        <v>0</v>
      </c>
      <c r="AC199" s="116">
        <v>0</v>
      </c>
      <c r="AD199" s="116">
        <v>0</v>
      </c>
      <c r="AE199" s="116">
        <v>0</v>
      </c>
      <c r="AF199" s="116">
        <v>0</v>
      </c>
      <c r="AG199" s="116">
        <v>0</v>
      </c>
      <c r="AH199" s="116">
        <v>0</v>
      </c>
      <c r="AI199" s="116">
        <v>0</v>
      </c>
      <c r="AJ199" s="116">
        <v>0</v>
      </c>
      <c r="AK199" s="116">
        <v>0</v>
      </c>
      <c r="AL199" s="116">
        <v>0</v>
      </c>
      <c r="AM199" s="116">
        <v>0</v>
      </c>
      <c r="AN199" s="116">
        <v>0</v>
      </c>
      <c r="AO199" s="116">
        <v>0</v>
      </c>
      <c r="AP199" s="116">
        <v>0</v>
      </c>
      <c r="AQ199" s="116">
        <v>0</v>
      </c>
      <c r="AR199" s="116">
        <v>0</v>
      </c>
      <c r="AS199" s="116">
        <v>0</v>
      </c>
      <c r="AT199" s="116">
        <v>0</v>
      </c>
      <c r="AU199" s="116">
        <v>0</v>
      </c>
      <c r="AV199" s="116">
        <v>0</v>
      </c>
      <c r="AW199" s="116">
        <v>0</v>
      </c>
      <c r="AX199" s="116">
        <v>0</v>
      </c>
      <c r="AY199" s="116">
        <v>0</v>
      </c>
    </row>
    <row r="200" spans="1:51" x14ac:dyDescent="0.2">
      <c r="A200" s="119"/>
      <c r="B200" s="130">
        <v>4</v>
      </c>
      <c r="C200" s="116"/>
      <c r="D200" s="116">
        <v>0</v>
      </c>
      <c r="E200" s="116">
        <v>0</v>
      </c>
      <c r="F200" s="116">
        <v>0</v>
      </c>
      <c r="G200" s="116">
        <v>0</v>
      </c>
      <c r="H200" s="116">
        <v>0</v>
      </c>
      <c r="I200" s="116">
        <v>0</v>
      </c>
      <c r="J200" s="116">
        <v>0</v>
      </c>
      <c r="K200" s="116">
        <v>0</v>
      </c>
      <c r="L200" s="116">
        <v>0</v>
      </c>
      <c r="M200" s="116">
        <v>0</v>
      </c>
      <c r="N200" s="116">
        <v>0</v>
      </c>
      <c r="O200" s="116">
        <v>0</v>
      </c>
      <c r="P200" s="116">
        <v>0</v>
      </c>
      <c r="Q200" s="116">
        <v>0</v>
      </c>
      <c r="R200" s="116">
        <v>0</v>
      </c>
      <c r="S200" s="116">
        <v>0</v>
      </c>
      <c r="T200" s="116">
        <v>0</v>
      </c>
      <c r="U200" s="116">
        <v>0</v>
      </c>
      <c r="V200" s="116">
        <v>0</v>
      </c>
      <c r="W200" s="116">
        <v>0</v>
      </c>
      <c r="X200" s="116">
        <v>0</v>
      </c>
      <c r="Y200" s="116">
        <v>0</v>
      </c>
      <c r="Z200" s="116">
        <v>0</v>
      </c>
      <c r="AA200" s="116">
        <v>0</v>
      </c>
      <c r="AB200" s="116">
        <v>0</v>
      </c>
      <c r="AC200" s="116">
        <v>0</v>
      </c>
      <c r="AD200" s="116">
        <v>0</v>
      </c>
      <c r="AE200" s="116">
        <v>0</v>
      </c>
      <c r="AF200" s="116">
        <v>0</v>
      </c>
      <c r="AG200" s="116">
        <v>0</v>
      </c>
      <c r="AH200" s="116">
        <v>0</v>
      </c>
      <c r="AI200" s="116">
        <v>0</v>
      </c>
      <c r="AJ200" s="116">
        <v>0</v>
      </c>
      <c r="AK200" s="116">
        <v>0</v>
      </c>
      <c r="AL200" s="116">
        <v>0</v>
      </c>
      <c r="AM200" s="116">
        <v>0</v>
      </c>
      <c r="AN200" s="116">
        <v>0</v>
      </c>
      <c r="AO200" s="116">
        <v>0</v>
      </c>
      <c r="AP200" s="116">
        <v>0</v>
      </c>
      <c r="AQ200" s="116">
        <v>0</v>
      </c>
      <c r="AR200" s="116">
        <v>0</v>
      </c>
      <c r="AS200" s="116">
        <v>0</v>
      </c>
      <c r="AT200" s="116">
        <v>0</v>
      </c>
      <c r="AU200" s="116">
        <v>0</v>
      </c>
      <c r="AV200" s="116">
        <v>0</v>
      </c>
      <c r="AW200" s="116">
        <v>0</v>
      </c>
      <c r="AX200" s="116">
        <v>0</v>
      </c>
      <c r="AY200" s="116">
        <v>0</v>
      </c>
    </row>
    <row r="201" spans="1:51" x14ac:dyDescent="0.2">
      <c r="A201" s="119"/>
      <c r="B201" s="130">
        <v>5</v>
      </c>
      <c r="C201" s="116"/>
      <c r="D201" s="116">
        <v>0</v>
      </c>
      <c r="E201" s="116">
        <v>0</v>
      </c>
      <c r="F201" s="116">
        <v>0</v>
      </c>
      <c r="G201" s="116">
        <v>0</v>
      </c>
      <c r="H201" s="116">
        <v>0</v>
      </c>
      <c r="I201" s="116">
        <v>0</v>
      </c>
      <c r="J201" s="116">
        <v>0</v>
      </c>
      <c r="K201" s="116">
        <v>0</v>
      </c>
      <c r="L201" s="116">
        <v>0</v>
      </c>
      <c r="M201" s="116">
        <v>0</v>
      </c>
      <c r="N201" s="116">
        <v>0</v>
      </c>
      <c r="O201" s="116">
        <v>0</v>
      </c>
      <c r="P201" s="116">
        <v>0</v>
      </c>
      <c r="Q201" s="116">
        <v>0</v>
      </c>
      <c r="R201" s="116">
        <v>0</v>
      </c>
      <c r="S201" s="116">
        <v>0</v>
      </c>
      <c r="T201" s="116">
        <v>0</v>
      </c>
      <c r="U201" s="116">
        <v>0</v>
      </c>
      <c r="V201" s="116">
        <v>0</v>
      </c>
      <c r="W201" s="116">
        <v>0</v>
      </c>
      <c r="X201" s="116">
        <v>0</v>
      </c>
      <c r="Y201" s="116">
        <v>0</v>
      </c>
      <c r="Z201" s="116">
        <v>0</v>
      </c>
      <c r="AA201" s="116">
        <v>0</v>
      </c>
      <c r="AB201" s="116">
        <v>0</v>
      </c>
      <c r="AC201" s="116">
        <v>0</v>
      </c>
      <c r="AD201" s="116">
        <v>0</v>
      </c>
      <c r="AE201" s="116">
        <v>0</v>
      </c>
      <c r="AF201" s="116">
        <v>0</v>
      </c>
      <c r="AG201" s="116">
        <v>0</v>
      </c>
      <c r="AH201" s="116">
        <v>0</v>
      </c>
      <c r="AI201" s="116">
        <v>0</v>
      </c>
      <c r="AJ201" s="116">
        <v>0</v>
      </c>
      <c r="AK201" s="116">
        <v>0</v>
      </c>
      <c r="AL201" s="116">
        <v>0</v>
      </c>
      <c r="AM201" s="116">
        <v>0</v>
      </c>
      <c r="AN201" s="116">
        <v>0</v>
      </c>
      <c r="AO201" s="116">
        <v>0</v>
      </c>
      <c r="AP201" s="116">
        <v>0</v>
      </c>
      <c r="AQ201" s="116">
        <v>0</v>
      </c>
      <c r="AR201" s="116">
        <v>0</v>
      </c>
      <c r="AS201" s="116">
        <v>0</v>
      </c>
      <c r="AT201" s="116">
        <v>0</v>
      </c>
      <c r="AU201" s="116">
        <v>0</v>
      </c>
      <c r="AV201" s="116">
        <v>0</v>
      </c>
      <c r="AW201" s="116">
        <v>0</v>
      </c>
      <c r="AX201" s="116">
        <v>0</v>
      </c>
      <c r="AY201" s="116">
        <v>0</v>
      </c>
    </row>
    <row r="202" spans="1:51" x14ac:dyDescent="0.2">
      <c r="A202" s="119"/>
      <c r="B202" s="130">
        <v>6</v>
      </c>
      <c r="C202" s="116"/>
      <c r="D202" s="116">
        <v>0</v>
      </c>
      <c r="E202" s="116">
        <v>0</v>
      </c>
      <c r="F202" s="116">
        <v>0</v>
      </c>
      <c r="G202" s="116">
        <v>0</v>
      </c>
      <c r="H202" s="116">
        <v>0</v>
      </c>
      <c r="I202" s="116">
        <v>0</v>
      </c>
      <c r="J202" s="116">
        <v>0</v>
      </c>
      <c r="K202" s="116">
        <v>0</v>
      </c>
      <c r="L202" s="116">
        <v>0</v>
      </c>
      <c r="M202" s="116">
        <v>0</v>
      </c>
      <c r="N202" s="116">
        <v>0</v>
      </c>
      <c r="O202" s="116">
        <v>0</v>
      </c>
      <c r="P202" s="116">
        <v>0</v>
      </c>
      <c r="Q202" s="116">
        <v>0</v>
      </c>
      <c r="R202" s="116">
        <v>0</v>
      </c>
      <c r="S202" s="116">
        <v>0</v>
      </c>
      <c r="T202" s="116">
        <v>0</v>
      </c>
      <c r="U202" s="116">
        <v>0</v>
      </c>
      <c r="V202" s="116">
        <v>0</v>
      </c>
      <c r="W202" s="116">
        <v>0</v>
      </c>
      <c r="X202" s="116">
        <v>0</v>
      </c>
      <c r="Y202" s="116">
        <v>0</v>
      </c>
      <c r="Z202" s="116">
        <v>0</v>
      </c>
      <c r="AA202" s="116">
        <v>0</v>
      </c>
      <c r="AB202" s="116">
        <v>0</v>
      </c>
      <c r="AC202" s="116">
        <v>0</v>
      </c>
      <c r="AD202" s="116">
        <v>0</v>
      </c>
      <c r="AE202" s="116">
        <v>0</v>
      </c>
      <c r="AF202" s="116">
        <v>0</v>
      </c>
      <c r="AG202" s="116">
        <v>0</v>
      </c>
      <c r="AH202" s="116">
        <v>0</v>
      </c>
      <c r="AI202" s="116">
        <v>0</v>
      </c>
      <c r="AJ202" s="116">
        <v>0</v>
      </c>
      <c r="AK202" s="116">
        <v>0</v>
      </c>
      <c r="AL202" s="116">
        <v>0</v>
      </c>
      <c r="AM202" s="116">
        <v>0</v>
      </c>
      <c r="AN202" s="116">
        <v>0</v>
      </c>
      <c r="AO202" s="116">
        <v>0</v>
      </c>
      <c r="AP202" s="116">
        <v>0</v>
      </c>
      <c r="AQ202" s="116">
        <v>0</v>
      </c>
      <c r="AR202" s="116">
        <v>0</v>
      </c>
      <c r="AS202" s="116">
        <v>0</v>
      </c>
      <c r="AT202" s="116">
        <v>0</v>
      </c>
      <c r="AU202" s="116">
        <v>0</v>
      </c>
      <c r="AV202" s="116">
        <v>0</v>
      </c>
      <c r="AW202" s="116">
        <v>0</v>
      </c>
      <c r="AX202" s="116">
        <v>0</v>
      </c>
      <c r="AY202" s="116">
        <v>0</v>
      </c>
    </row>
    <row r="203" spans="1:51" x14ac:dyDescent="0.2">
      <c r="A203" s="119"/>
      <c r="B203" s="137">
        <v>7</v>
      </c>
      <c r="C203" s="116"/>
      <c r="D203" s="116">
        <v>0</v>
      </c>
      <c r="E203" s="116">
        <v>0</v>
      </c>
      <c r="F203" s="116">
        <v>0</v>
      </c>
      <c r="G203" s="116">
        <v>0</v>
      </c>
      <c r="H203" s="116">
        <v>0</v>
      </c>
      <c r="I203" s="116">
        <v>0</v>
      </c>
      <c r="J203" s="116">
        <v>0</v>
      </c>
      <c r="K203" s="116">
        <v>0</v>
      </c>
      <c r="L203" s="116">
        <v>0</v>
      </c>
      <c r="M203" s="116">
        <v>0</v>
      </c>
      <c r="N203" s="116">
        <v>0</v>
      </c>
      <c r="O203" s="116">
        <v>0</v>
      </c>
      <c r="P203" s="116">
        <v>0</v>
      </c>
      <c r="Q203" s="116">
        <v>0</v>
      </c>
      <c r="R203" s="116">
        <v>0</v>
      </c>
      <c r="S203" s="116">
        <v>0</v>
      </c>
      <c r="T203" s="116">
        <v>0</v>
      </c>
      <c r="U203" s="116">
        <v>0</v>
      </c>
      <c r="V203" s="116">
        <v>0</v>
      </c>
      <c r="W203" s="116">
        <v>0</v>
      </c>
      <c r="X203" s="116">
        <v>0</v>
      </c>
      <c r="Y203" s="116">
        <v>0</v>
      </c>
      <c r="Z203" s="116">
        <v>0</v>
      </c>
      <c r="AA203" s="116">
        <v>0</v>
      </c>
      <c r="AB203" s="116">
        <v>0</v>
      </c>
      <c r="AC203" s="116">
        <v>0</v>
      </c>
      <c r="AD203" s="116">
        <v>0</v>
      </c>
      <c r="AE203" s="116">
        <v>0</v>
      </c>
      <c r="AF203" s="116">
        <v>0</v>
      </c>
      <c r="AG203" s="116">
        <v>0</v>
      </c>
      <c r="AH203" s="116">
        <v>0</v>
      </c>
      <c r="AI203" s="116">
        <v>0</v>
      </c>
      <c r="AJ203" s="116">
        <v>0</v>
      </c>
      <c r="AK203" s="116">
        <v>0</v>
      </c>
      <c r="AL203" s="116">
        <v>0</v>
      </c>
      <c r="AM203" s="116">
        <v>0</v>
      </c>
      <c r="AN203" s="116">
        <v>0</v>
      </c>
      <c r="AO203" s="116">
        <v>0</v>
      </c>
      <c r="AP203" s="116">
        <v>0</v>
      </c>
      <c r="AQ203" s="116">
        <v>0</v>
      </c>
      <c r="AR203" s="116">
        <v>0</v>
      </c>
      <c r="AS203" s="116">
        <v>0</v>
      </c>
      <c r="AT203" s="116">
        <v>0</v>
      </c>
      <c r="AU203" s="116">
        <v>0</v>
      </c>
      <c r="AV203" s="116">
        <v>0</v>
      </c>
      <c r="AW203" s="116">
        <v>0</v>
      </c>
      <c r="AX203" s="116">
        <v>0</v>
      </c>
      <c r="AY203" s="116">
        <v>0</v>
      </c>
    </row>
    <row r="204" spans="1:51" x14ac:dyDescent="0.2">
      <c r="A204" s="119"/>
      <c r="B204" s="137">
        <v>8</v>
      </c>
      <c r="C204" s="116"/>
      <c r="D204" s="116">
        <v>0</v>
      </c>
      <c r="E204" s="116">
        <v>0</v>
      </c>
      <c r="F204" s="116">
        <v>0</v>
      </c>
      <c r="G204" s="116">
        <v>0</v>
      </c>
      <c r="H204" s="116">
        <v>0</v>
      </c>
      <c r="I204" s="116">
        <v>0</v>
      </c>
      <c r="J204" s="116">
        <v>0</v>
      </c>
      <c r="K204" s="116">
        <v>0</v>
      </c>
      <c r="L204" s="116">
        <v>0</v>
      </c>
      <c r="M204" s="116">
        <v>0</v>
      </c>
      <c r="N204" s="116">
        <v>0</v>
      </c>
      <c r="O204" s="116">
        <v>0</v>
      </c>
      <c r="P204" s="116">
        <v>0</v>
      </c>
      <c r="Q204" s="116">
        <v>0</v>
      </c>
      <c r="R204" s="116">
        <v>0</v>
      </c>
      <c r="S204" s="116">
        <v>0</v>
      </c>
      <c r="T204" s="116">
        <v>0</v>
      </c>
      <c r="U204" s="116">
        <v>0</v>
      </c>
      <c r="V204" s="116">
        <v>0</v>
      </c>
      <c r="W204" s="116">
        <v>0</v>
      </c>
      <c r="X204" s="116">
        <v>0</v>
      </c>
      <c r="Y204" s="116">
        <v>0</v>
      </c>
      <c r="Z204" s="116">
        <v>0</v>
      </c>
      <c r="AA204" s="116">
        <v>0</v>
      </c>
      <c r="AB204" s="116">
        <v>0</v>
      </c>
      <c r="AC204" s="116">
        <v>0</v>
      </c>
      <c r="AD204" s="116">
        <v>0</v>
      </c>
      <c r="AE204" s="116">
        <v>0</v>
      </c>
      <c r="AF204" s="116">
        <v>0</v>
      </c>
      <c r="AG204" s="116">
        <v>0</v>
      </c>
      <c r="AH204" s="116">
        <v>0</v>
      </c>
      <c r="AI204" s="116">
        <v>0</v>
      </c>
      <c r="AJ204" s="116">
        <v>0</v>
      </c>
      <c r="AK204" s="116">
        <v>0</v>
      </c>
      <c r="AL204" s="116">
        <v>0</v>
      </c>
      <c r="AM204" s="116">
        <v>0</v>
      </c>
      <c r="AN204" s="116">
        <v>0</v>
      </c>
      <c r="AO204" s="116">
        <v>0</v>
      </c>
      <c r="AP204" s="116">
        <v>0</v>
      </c>
      <c r="AQ204" s="116">
        <v>0</v>
      </c>
      <c r="AR204" s="116">
        <v>0</v>
      </c>
      <c r="AS204" s="116">
        <v>0</v>
      </c>
      <c r="AT204" s="116">
        <v>0</v>
      </c>
      <c r="AU204" s="116">
        <v>0</v>
      </c>
      <c r="AV204" s="116">
        <v>0</v>
      </c>
      <c r="AW204" s="116">
        <v>0</v>
      </c>
      <c r="AX204" s="116">
        <v>0</v>
      </c>
      <c r="AY204" s="116">
        <v>0</v>
      </c>
    </row>
    <row r="205" spans="1:51" x14ac:dyDescent="0.2">
      <c r="A205" s="119"/>
      <c r="B205" s="137">
        <v>9</v>
      </c>
      <c r="C205" s="116"/>
      <c r="D205" s="116">
        <v>0</v>
      </c>
      <c r="E205" s="116">
        <v>0</v>
      </c>
      <c r="F205" s="116">
        <v>0</v>
      </c>
      <c r="G205" s="116">
        <v>0</v>
      </c>
      <c r="H205" s="116">
        <v>0</v>
      </c>
      <c r="I205" s="116">
        <v>0</v>
      </c>
      <c r="J205" s="116">
        <v>0</v>
      </c>
      <c r="K205" s="116">
        <v>0</v>
      </c>
      <c r="L205" s="116">
        <v>0</v>
      </c>
      <c r="M205" s="116">
        <v>0</v>
      </c>
      <c r="N205" s="116">
        <v>0</v>
      </c>
      <c r="O205" s="116">
        <v>0</v>
      </c>
      <c r="P205" s="116">
        <v>0</v>
      </c>
      <c r="Q205" s="116">
        <v>0</v>
      </c>
      <c r="R205" s="116">
        <v>0</v>
      </c>
      <c r="S205" s="116">
        <v>0</v>
      </c>
      <c r="T205" s="116">
        <v>0</v>
      </c>
      <c r="U205" s="116">
        <v>0</v>
      </c>
      <c r="V205" s="116">
        <v>0</v>
      </c>
      <c r="W205" s="116">
        <v>0</v>
      </c>
      <c r="X205" s="116">
        <v>0</v>
      </c>
      <c r="Y205" s="116">
        <v>0</v>
      </c>
      <c r="Z205" s="116">
        <v>0</v>
      </c>
      <c r="AA205" s="116">
        <v>0</v>
      </c>
      <c r="AB205" s="116">
        <v>0</v>
      </c>
      <c r="AC205" s="116">
        <v>0</v>
      </c>
      <c r="AD205" s="116">
        <v>0</v>
      </c>
      <c r="AE205" s="116">
        <v>0</v>
      </c>
      <c r="AF205" s="116">
        <v>0</v>
      </c>
      <c r="AG205" s="116">
        <v>0</v>
      </c>
      <c r="AH205" s="116">
        <v>0</v>
      </c>
      <c r="AI205" s="116">
        <v>0</v>
      </c>
      <c r="AJ205" s="116">
        <v>0</v>
      </c>
      <c r="AK205" s="116">
        <v>0</v>
      </c>
      <c r="AL205" s="116">
        <v>0</v>
      </c>
      <c r="AM205" s="116">
        <v>0</v>
      </c>
      <c r="AN205" s="116">
        <v>0</v>
      </c>
      <c r="AO205" s="116">
        <v>0</v>
      </c>
      <c r="AP205" s="116">
        <v>0</v>
      </c>
      <c r="AQ205" s="116">
        <v>0</v>
      </c>
      <c r="AR205" s="116">
        <v>0</v>
      </c>
      <c r="AS205" s="116">
        <v>0</v>
      </c>
      <c r="AT205" s="116">
        <v>0</v>
      </c>
      <c r="AU205" s="116">
        <v>0</v>
      </c>
      <c r="AV205" s="116">
        <v>0</v>
      </c>
      <c r="AW205" s="116">
        <v>0</v>
      </c>
      <c r="AX205" s="116">
        <v>0</v>
      </c>
      <c r="AY205" s="116">
        <v>0</v>
      </c>
    </row>
    <row r="206" spans="1:51" x14ac:dyDescent="0.2">
      <c r="A206" s="119"/>
      <c r="B206" s="140">
        <v>10</v>
      </c>
      <c r="C206" s="116"/>
      <c r="D206" s="116">
        <v>0</v>
      </c>
      <c r="E206" s="116">
        <v>0</v>
      </c>
      <c r="F206" s="116">
        <v>0</v>
      </c>
      <c r="G206" s="116">
        <v>0</v>
      </c>
      <c r="H206" s="116">
        <v>0</v>
      </c>
      <c r="I206" s="116">
        <v>0</v>
      </c>
      <c r="J206" s="116">
        <v>0</v>
      </c>
      <c r="K206" s="116">
        <v>0</v>
      </c>
      <c r="L206" s="116">
        <v>0</v>
      </c>
      <c r="M206" s="116">
        <v>0</v>
      </c>
      <c r="N206" s="116">
        <v>0</v>
      </c>
      <c r="O206" s="116">
        <v>0</v>
      </c>
      <c r="P206" s="116">
        <v>0</v>
      </c>
      <c r="Q206" s="116">
        <v>0</v>
      </c>
      <c r="R206" s="116">
        <v>0</v>
      </c>
      <c r="S206" s="116">
        <v>0</v>
      </c>
      <c r="T206" s="116">
        <v>0</v>
      </c>
      <c r="U206" s="116">
        <v>0</v>
      </c>
      <c r="V206" s="116">
        <v>0</v>
      </c>
      <c r="W206" s="116">
        <v>0</v>
      </c>
      <c r="X206" s="116">
        <v>0</v>
      </c>
      <c r="Y206" s="116">
        <v>0</v>
      </c>
      <c r="Z206" s="116">
        <v>0</v>
      </c>
      <c r="AA206" s="116">
        <v>0</v>
      </c>
      <c r="AB206" s="116">
        <v>0</v>
      </c>
      <c r="AC206" s="116">
        <v>0</v>
      </c>
      <c r="AD206" s="116">
        <v>0</v>
      </c>
      <c r="AE206" s="116">
        <v>0</v>
      </c>
      <c r="AF206" s="116">
        <v>0</v>
      </c>
      <c r="AG206" s="116">
        <v>0</v>
      </c>
      <c r="AH206" s="116">
        <v>0</v>
      </c>
      <c r="AI206" s="116">
        <v>0</v>
      </c>
      <c r="AJ206" s="116">
        <v>0</v>
      </c>
      <c r="AK206" s="116">
        <v>0</v>
      </c>
      <c r="AL206" s="116">
        <v>0</v>
      </c>
      <c r="AM206" s="116">
        <v>0</v>
      </c>
      <c r="AN206" s="116">
        <v>0</v>
      </c>
      <c r="AO206" s="116">
        <v>0</v>
      </c>
      <c r="AP206" s="116">
        <v>0</v>
      </c>
      <c r="AQ206" s="116">
        <v>0</v>
      </c>
      <c r="AR206" s="116">
        <v>0</v>
      </c>
      <c r="AS206" s="116">
        <v>0</v>
      </c>
      <c r="AT206" s="116">
        <v>0</v>
      </c>
      <c r="AU206" s="116">
        <v>0</v>
      </c>
      <c r="AV206" s="116">
        <v>0</v>
      </c>
      <c r="AW206" s="116">
        <v>0</v>
      </c>
      <c r="AX206" s="116">
        <v>0</v>
      </c>
      <c r="AY206" s="116">
        <v>0</v>
      </c>
    </row>
    <row r="207" spans="1:51" x14ac:dyDescent="0.2">
      <c r="A207" s="119"/>
      <c r="B207" s="140">
        <v>11</v>
      </c>
      <c r="C207" s="116"/>
      <c r="D207" s="116">
        <v>0</v>
      </c>
      <c r="E207" s="116">
        <v>0</v>
      </c>
      <c r="F207" s="116">
        <v>0</v>
      </c>
      <c r="G207" s="116">
        <v>0</v>
      </c>
      <c r="H207" s="116">
        <v>0</v>
      </c>
      <c r="I207" s="116">
        <v>0</v>
      </c>
      <c r="J207" s="116">
        <v>0</v>
      </c>
      <c r="K207" s="116">
        <v>0</v>
      </c>
      <c r="L207" s="116">
        <v>0</v>
      </c>
      <c r="M207" s="116">
        <v>0</v>
      </c>
      <c r="N207" s="116">
        <v>0</v>
      </c>
      <c r="O207" s="116">
        <v>0</v>
      </c>
      <c r="P207" s="116">
        <v>0</v>
      </c>
      <c r="Q207" s="116">
        <v>0</v>
      </c>
      <c r="R207" s="116">
        <v>0</v>
      </c>
      <c r="S207" s="116">
        <v>0</v>
      </c>
      <c r="T207" s="116">
        <v>0</v>
      </c>
      <c r="U207" s="116">
        <v>0</v>
      </c>
      <c r="V207" s="116">
        <v>0</v>
      </c>
      <c r="W207" s="116">
        <v>0</v>
      </c>
      <c r="X207" s="116">
        <v>0</v>
      </c>
      <c r="Y207" s="116">
        <v>0</v>
      </c>
      <c r="Z207" s="116">
        <v>0</v>
      </c>
      <c r="AA207" s="116">
        <v>0</v>
      </c>
      <c r="AB207" s="116">
        <v>0</v>
      </c>
      <c r="AC207" s="116">
        <v>0</v>
      </c>
      <c r="AD207" s="116">
        <v>0</v>
      </c>
      <c r="AE207" s="116">
        <v>0</v>
      </c>
      <c r="AF207" s="116">
        <v>0</v>
      </c>
      <c r="AG207" s="116">
        <v>0</v>
      </c>
      <c r="AH207" s="116">
        <v>0</v>
      </c>
      <c r="AI207" s="116">
        <v>0</v>
      </c>
      <c r="AJ207" s="116">
        <v>0</v>
      </c>
      <c r="AK207" s="116">
        <v>0</v>
      </c>
      <c r="AL207" s="116">
        <v>0</v>
      </c>
      <c r="AM207" s="116">
        <v>0</v>
      </c>
      <c r="AN207" s="116">
        <v>0</v>
      </c>
      <c r="AO207" s="116">
        <v>0</v>
      </c>
      <c r="AP207" s="116">
        <v>0</v>
      </c>
      <c r="AQ207" s="116">
        <v>0</v>
      </c>
      <c r="AR207" s="116">
        <v>0</v>
      </c>
      <c r="AS207" s="116">
        <v>0</v>
      </c>
      <c r="AT207" s="116">
        <v>0</v>
      </c>
      <c r="AU207" s="116">
        <v>0</v>
      </c>
      <c r="AV207" s="116">
        <v>0</v>
      </c>
      <c r="AW207" s="116">
        <v>0</v>
      </c>
      <c r="AX207" s="116">
        <v>0</v>
      </c>
      <c r="AY207" s="116">
        <v>0</v>
      </c>
    </row>
    <row r="208" spans="1:51" x14ac:dyDescent="0.2">
      <c r="A208" s="119"/>
      <c r="B208" s="140">
        <v>12</v>
      </c>
      <c r="C208" s="116"/>
      <c r="D208" s="116">
        <v>0</v>
      </c>
      <c r="E208" s="116">
        <v>0</v>
      </c>
      <c r="F208" s="116">
        <v>0</v>
      </c>
      <c r="G208" s="116">
        <v>0</v>
      </c>
      <c r="H208" s="116">
        <v>0</v>
      </c>
      <c r="I208" s="116">
        <v>0</v>
      </c>
      <c r="J208" s="116">
        <v>0</v>
      </c>
      <c r="K208" s="116">
        <v>0</v>
      </c>
      <c r="L208" s="116">
        <v>0</v>
      </c>
      <c r="M208" s="116">
        <v>0</v>
      </c>
      <c r="N208" s="116">
        <v>0</v>
      </c>
      <c r="O208" s="116">
        <v>0</v>
      </c>
      <c r="P208" s="116">
        <v>0</v>
      </c>
      <c r="Q208" s="116">
        <v>0</v>
      </c>
      <c r="R208" s="116">
        <v>0</v>
      </c>
      <c r="S208" s="116">
        <v>0</v>
      </c>
      <c r="T208" s="116">
        <v>0</v>
      </c>
      <c r="U208" s="116">
        <v>0</v>
      </c>
      <c r="V208" s="116">
        <v>0</v>
      </c>
      <c r="W208" s="116">
        <v>0</v>
      </c>
      <c r="X208" s="116">
        <v>0</v>
      </c>
      <c r="Y208" s="116">
        <v>0</v>
      </c>
      <c r="Z208" s="116">
        <v>0</v>
      </c>
      <c r="AA208" s="116">
        <v>0</v>
      </c>
      <c r="AB208" s="116">
        <v>0</v>
      </c>
      <c r="AC208" s="116">
        <v>0</v>
      </c>
      <c r="AD208" s="116">
        <v>0</v>
      </c>
      <c r="AE208" s="116">
        <v>0</v>
      </c>
      <c r="AF208" s="116">
        <v>0</v>
      </c>
      <c r="AG208" s="116">
        <v>0</v>
      </c>
      <c r="AH208" s="116">
        <v>0</v>
      </c>
      <c r="AI208" s="116">
        <v>0</v>
      </c>
      <c r="AJ208" s="116">
        <v>0</v>
      </c>
      <c r="AK208" s="116">
        <v>0</v>
      </c>
      <c r="AL208" s="116">
        <v>0</v>
      </c>
      <c r="AM208" s="116">
        <v>0</v>
      </c>
      <c r="AN208" s="116">
        <v>0</v>
      </c>
      <c r="AO208" s="116">
        <v>0</v>
      </c>
      <c r="AP208" s="116">
        <v>0</v>
      </c>
      <c r="AQ208" s="116">
        <v>0</v>
      </c>
      <c r="AR208" s="116">
        <v>0</v>
      </c>
      <c r="AS208" s="116">
        <v>0</v>
      </c>
      <c r="AT208" s="116">
        <v>0</v>
      </c>
      <c r="AU208" s="116">
        <v>0</v>
      </c>
      <c r="AV208" s="116">
        <v>0</v>
      </c>
      <c r="AW208" s="116">
        <v>0</v>
      </c>
      <c r="AX208" s="116">
        <v>0</v>
      </c>
      <c r="AY208" s="116">
        <v>0</v>
      </c>
    </row>
    <row r="209" spans="1:51" x14ac:dyDescent="0.2">
      <c r="A209" s="136" t="s">
        <v>123</v>
      </c>
      <c r="B209" s="133">
        <v>1</v>
      </c>
      <c r="C209" s="134"/>
      <c r="D209" s="134">
        <v>50.847952004494267</v>
      </c>
      <c r="E209" s="134">
        <v>96.161602637448496</v>
      </c>
      <c r="F209" s="134">
        <v>117.28581022691759</v>
      </c>
      <c r="G209" s="134">
        <v>50.847952004494267</v>
      </c>
      <c r="H209" s="134">
        <v>0</v>
      </c>
      <c r="I209" s="134">
        <v>0</v>
      </c>
      <c r="J209" s="134">
        <v>35.408994279702441</v>
      </c>
      <c r="K209" s="134">
        <v>33.831910596815192</v>
      </c>
      <c r="L209" s="134">
        <v>39.771497884400588</v>
      </c>
      <c r="M209" s="134">
        <v>133.8453933219912</v>
      </c>
      <c r="N209" s="134">
        <v>63.948768537987007</v>
      </c>
      <c r="O209" s="134">
        <v>52.821378940092416</v>
      </c>
      <c r="P209" s="134">
        <v>0</v>
      </c>
      <c r="Q209" s="134">
        <v>0</v>
      </c>
      <c r="R209" s="134">
        <v>0</v>
      </c>
      <c r="S209" s="134">
        <v>0</v>
      </c>
      <c r="T209" s="134">
        <v>0</v>
      </c>
      <c r="U209" s="134">
        <v>0</v>
      </c>
      <c r="V209" s="134">
        <v>0</v>
      </c>
      <c r="W209" s="134">
        <v>0</v>
      </c>
      <c r="X209" s="134">
        <v>0</v>
      </c>
      <c r="Y209" s="134">
        <v>0</v>
      </c>
      <c r="Z209" s="134">
        <v>0</v>
      </c>
      <c r="AA209" s="134">
        <v>0</v>
      </c>
      <c r="AB209" s="134">
        <v>0</v>
      </c>
      <c r="AC209" s="134">
        <v>0</v>
      </c>
      <c r="AD209" s="134">
        <v>0</v>
      </c>
      <c r="AE209" s="134">
        <v>0</v>
      </c>
      <c r="AF209" s="134">
        <v>0</v>
      </c>
      <c r="AG209" s="134">
        <v>0</v>
      </c>
      <c r="AH209" s="134">
        <v>0</v>
      </c>
      <c r="AI209" s="134">
        <v>0</v>
      </c>
      <c r="AJ209" s="134">
        <v>0</v>
      </c>
      <c r="AK209" s="134">
        <v>0</v>
      </c>
      <c r="AL209" s="134">
        <v>0</v>
      </c>
      <c r="AM209" s="134">
        <v>0</v>
      </c>
      <c r="AN209" s="134">
        <v>0</v>
      </c>
      <c r="AO209" s="134">
        <v>0</v>
      </c>
      <c r="AP209" s="134">
        <v>0</v>
      </c>
      <c r="AQ209" s="134">
        <v>0</v>
      </c>
      <c r="AR209" s="134">
        <v>0</v>
      </c>
      <c r="AS209" s="134">
        <v>0</v>
      </c>
      <c r="AT209" s="134">
        <v>0</v>
      </c>
      <c r="AU209" s="134">
        <v>0</v>
      </c>
      <c r="AV209" s="134">
        <v>0</v>
      </c>
      <c r="AW209" s="134">
        <v>0</v>
      </c>
      <c r="AX209" s="134">
        <v>0</v>
      </c>
      <c r="AY209" s="134">
        <v>0</v>
      </c>
    </row>
    <row r="210" spans="1:51" x14ac:dyDescent="0.2">
      <c r="A210" s="119"/>
      <c r="B210" s="129">
        <v>2</v>
      </c>
      <c r="C210" s="116"/>
      <c r="D210" s="120">
        <v>0</v>
      </c>
      <c r="E210" s="120">
        <v>0</v>
      </c>
      <c r="F210" s="120">
        <v>0</v>
      </c>
      <c r="G210" s="120">
        <v>41.805962591284661</v>
      </c>
      <c r="H210" s="120">
        <v>118.4251103982777</v>
      </c>
      <c r="I210" s="120">
        <v>115.69204981555404</v>
      </c>
      <c r="J210" s="120">
        <v>116.12659123332266</v>
      </c>
      <c r="K210" s="120">
        <v>89.778296151728512</v>
      </c>
      <c r="L210" s="120">
        <v>122.22850211559941</v>
      </c>
      <c r="M210" s="120">
        <v>28.248213784609064</v>
      </c>
      <c r="N210" s="120">
        <v>104.05123146201299</v>
      </c>
      <c r="O210" s="120">
        <v>173.94785624601718</v>
      </c>
      <c r="P210" s="120">
        <v>139</v>
      </c>
      <c r="Q210" s="120">
        <v>116.84878481634948</v>
      </c>
      <c r="R210" s="120">
        <v>69.340608626892219</v>
      </c>
      <c r="S210" s="120">
        <v>37.382831827740318</v>
      </c>
      <c r="T210" s="120">
        <v>0</v>
      </c>
      <c r="U210" s="120">
        <v>0</v>
      </c>
      <c r="V210" s="120">
        <v>0</v>
      </c>
      <c r="W210" s="120">
        <v>0</v>
      </c>
      <c r="X210" s="120">
        <v>0</v>
      </c>
      <c r="Y210" s="120">
        <v>0</v>
      </c>
      <c r="Z210" s="120">
        <v>0</v>
      </c>
      <c r="AA210" s="120">
        <v>0</v>
      </c>
      <c r="AB210" s="120">
        <v>0</v>
      </c>
      <c r="AC210" s="120">
        <v>0</v>
      </c>
      <c r="AD210" s="120">
        <v>0</v>
      </c>
      <c r="AE210" s="120">
        <v>0.99995573325915643</v>
      </c>
      <c r="AF210" s="120">
        <v>36.033161526627225</v>
      </c>
      <c r="AG210" s="120">
        <v>0</v>
      </c>
      <c r="AH210" s="120">
        <v>0</v>
      </c>
      <c r="AI210" s="120">
        <v>0</v>
      </c>
      <c r="AJ210" s="120">
        <v>0</v>
      </c>
      <c r="AK210" s="120">
        <v>0</v>
      </c>
      <c r="AL210" s="120">
        <v>0</v>
      </c>
      <c r="AM210" s="120">
        <v>0</v>
      </c>
      <c r="AN210" s="120">
        <v>0</v>
      </c>
      <c r="AO210" s="120">
        <v>0</v>
      </c>
      <c r="AP210" s="120">
        <v>0</v>
      </c>
      <c r="AQ210" s="120">
        <v>0</v>
      </c>
      <c r="AR210" s="120">
        <v>0</v>
      </c>
      <c r="AS210" s="120">
        <v>0</v>
      </c>
      <c r="AT210" s="120">
        <v>0</v>
      </c>
      <c r="AU210" s="120">
        <v>0</v>
      </c>
      <c r="AV210" s="120">
        <v>0</v>
      </c>
      <c r="AW210" s="120">
        <v>0</v>
      </c>
      <c r="AX210" s="120">
        <v>0</v>
      </c>
      <c r="AY210" s="120">
        <v>0</v>
      </c>
    </row>
    <row r="211" spans="1:51" x14ac:dyDescent="0.2">
      <c r="A211" s="119"/>
      <c r="B211" s="129">
        <v>3</v>
      </c>
      <c r="C211" s="116"/>
      <c r="D211" s="120">
        <v>0</v>
      </c>
      <c r="E211" s="120">
        <v>0</v>
      </c>
      <c r="F211" s="120">
        <v>0</v>
      </c>
      <c r="G211" s="120">
        <v>0</v>
      </c>
      <c r="H211" s="120">
        <v>0</v>
      </c>
      <c r="I211" s="120">
        <v>5.9398968075777647</v>
      </c>
      <c r="J211" s="120">
        <v>0.32334794403084433</v>
      </c>
      <c r="K211" s="120">
        <v>0</v>
      </c>
      <c r="L211" s="120">
        <v>0</v>
      </c>
      <c r="M211" s="120">
        <v>0</v>
      </c>
      <c r="N211" s="120">
        <v>0</v>
      </c>
      <c r="O211" s="120">
        <v>0</v>
      </c>
      <c r="P211" s="120">
        <v>0</v>
      </c>
      <c r="Q211" s="120">
        <v>45.930002506442555</v>
      </c>
      <c r="R211" s="120">
        <v>111.67380778553525</v>
      </c>
      <c r="S211" s="120">
        <v>159.04545556968114</v>
      </c>
      <c r="T211" s="120">
        <v>72.654789112253951</v>
      </c>
      <c r="U211" s="120">
        <v>0</v>
      </c>
      <c r="V211" s="120">
        <v>0</v>
      </c>
      <c r="W211" s="120">
        <v>0</v>
      </c>
      <c r="X211" s="120">
        <v>0</v>
      </c>
      <c r="Y211" s="120">
        <v>0</v>
      </c>
      <c r="Z211" s="120">
        <v>0</v>
      </c>
      <c r="AA211" s="120">
        <v>0</v>
      </c>
      <c r="AB211" s="120">
        <v>0</v>
      </c>
      <c r="AC211" s="120">
        <v>0</v>
      </c>
      <c r="AD211" s="120">
        <v>83.897309150613296</v>
      </c>
      <c r="AE211" s="120">
        <v>142.78818092214314</v>
      </c>
      <c r="AF211" s="120">
        <v>31.966838473372775</v>
      </c>
      <c r="AG211" s="120">
        <v>74</v>
      </c>
      <c r="AH211" s="120">
        <v>5.4869592801605904</v>
      </c>
      <c r="AI211" s="120">
        <v>0</v>
      </c>
      <c r="AJ211" s="120">
        <v>0</v>
      </c>
      <c r="AK211" s="120">
        <v>0</v>
      </c>
      <c r="AL211" s="120">
        <v>0</v>
      </c>
      <c r="AM211" s="120">
        <v>0</v>
      </c>
      <c r="AN211" s="120">
        <v>0</v>
      </c>
      <c r="AO211" s="120">
        <v>0</v>
      </c>
      <c r="AP211" s="120">
        <v>0</v>
      </c>
      <c r="AQ211" s="120">
        <v>0</v>
      </c>
      <c r="AR211" s="120">
        <v>0</v>
      </c>
      <c r="AS211" s="120">
        <v>0</v>
      </c>
      <c r="AT211" s="120">
        <v>0</v>
      </c>
      <c r="AU211" s="120">
        <v>0</v>
      </c>
      <c r="AV211" s="120">
        <v>0</v>
      </c>
      <c r="AW211" s="120">
        <v>0</v>
      </c>
      <c r="AX211" s="120">
        <v>0</v>
      </c>
      <c r="AY211" s="120">
        <v>0</v>
      </c>
    </row>
    <row r="212" spans="1:51" x14ac:dyDescent="0.2">
      <c r="A212" s="119"/>
      <c r="B212" s="129">
        <v>4</v>
      </c>
      <c r="C212" s="116"/>
      <c r="D212" s="120">
        <v>0</v>
      </c>
      <c r="E212" s="120">
        <v>0</v>
      </c>
      <c r="F212" s="120">
        <v>0</v>
      </c>
      <c r="G212" s="120">
        <v>0</v>
      </c>
      <c r="H212" s="120">
        <v>0</v>
      </c>
      <c r="I212" s="120">
        <v>0</v>
      </c>
      <c r="J212" s="120">
        <v>0</v>
      </c>
      <c r="K212" s="120">
        <v>0</v>
      </c>
      <c r="L212" s="120">
        <v>0</v>
      </c>
      <c r="M212" s="120">
        <v>0</v>
      </c>
      <c r="N212" s="120">
        <v>0</v>
      </c>
      <c r="O212" s="120">
        <v>0</v>
      </c>
      <c r="P212" s="120">
        <v>0</v>
      </c>
      <c r="Q212" s="120">
        <v>0</v>
      </c>
      <c r="R212" s="120">
        <v>0</v>
      </c>
      <c r="S212" s="120">
        <v>0</v>
      </c>
      <c r="T212" s="120">
        <v>0</v>
      </c>
      <c r="U212" s="120">
        <v>62.960586948231317</v>
      </c>
      <c r="V212" s="120">
        <v>63.219816923327677</v>
      </c>
      <c r="W212" s="120">
        <v>6.5638970353420234</v>
      </c>
      <c r="X212" s="120">
        <v>0</v>
      </c>
      <c r="Y212" s="120">
        <v>0</v>
      </c>
      <c r="Z212" s="120">
        <v>0</v>
      </c>
      <c r="AA212" s="120">
        <v>0</v>
      </c>
      <c r="AB212" s="120">
        <v>0</v>
      </c>
      <c r="AC212" s="120">
        <v>62.461901481144523</v>
      </c>
      <c r="AD212" s="120">
        <v>22.100066059203332</v>
      </c>
      <c r="AE212" s="120">
        <v>51.548708528805406</v>
      </c>
      <c r="AF212" s="120">
        <v>0</v>
      </c>
      <c r="AG212" s="120">
        <v>0</v>
      </c>
      <c r="AH212" s="120">
        <v>76.326815854252231</v>
      </c>
      <c r="AI212" s="120">
        <v>77</v>
      </c>
      <c r="AJ212" s="120">
        <v>0</v>
      </c>
      <c r="AK212" s="120">
        <v>0</v>
      </c>
      <c r="AL212" s="120">
        <v>0</v>
      </c>
      <c r="AM212" s="120">
        <v>0</v>
      </c>
      <c r="AN212" s="120">
        <v>0</v>
      </c>
      <c r="AO212" s="120">
        <v>0</v>
      </c>
      <c r="AP212" s="120">
        <v>0</v>
      </c>
      <c r="AQ212" s="120">
        <v>0</v>
      </c>
      <c r="AR212" s="120">
        <v>0</v>
      </c>
      <c r="AS212" s="120">
        <v>0</v>
      </c>
      <c r="AT212" s="120">
        <v>0</v>
      </c>
      <c r="AU212" s="120">
        <v>0</v>
      </c>
      <c r="AV212" s="120">
        <v>0</v>
      </c>
      <c r="AW212" s="120">
        <v>0</v>
      </c>
      <c r="AX212" s="120">
        <v>0</v>
      </c>
      <c r="AY212" s="120">
        <v>0</v>
      </c>
    </row>
    <row r="213" spans="1:51" x14ac:dyDescent="0.2">
      <c r="A213" s="119"/>
      <c r="B213" s="129">
        <v>5</v>
      </c>
      <c r="C213" s="116"/>
      <c r="D213" s="120">
        <v>0</v>
      </c>
      <c r="E213" s="120">
        <v>0</v>
      </c>
      <c r="F213" s="120">
        <v>0</v>
      </c>
      <c r="G213" s="120">
        <v>0</v>
      </c>
      <c r="H213" s="120">
        <v>0</v>
      </c>
      <c r="I213" s="120">
        <v>0</v>
      </c>
      <c r="J213" s="120">
        <v>0</v>
      </c>
      <c r="K213" s="120">
        <v>0</v>
      </c>
      <c r="L213" s="120">
        <v>0</v>
      </c>
      <c r="M213" s="120">
        <v>0</v>
      </c>
      <c r="N213" s="120">
        <v>0</v>
      </c>
      <c r="O213" s="120">
        <v>0</v>
      </c>
      <c r="P213" s="120">
        <v>0</v>
      </c>
      <c r="Q213" s="120">
        <v>0</v>
      </c>
      <c r="R213" s="120">
        <v>0</v>
      </c>
      <c r="S213" s="120">
        <v>0</v>
      </c>
      <c r="T213" s="120">
        <v>0</v>
      </c>
      <c r="U213" s="120">
        <v>0</v>
      </c>
      <c r="V213" s="120">
        <v>9.5939582110851465</v>
      </c>
      <c r="W213" s="120">
        <v>61.682142196528972</v>
      </c>
      <c r="X213" s="120">
        <v>65.246039231870995</v>
      </c>
      <c r="Y213" s="120">
        <v>42.858033696020996</v>
      </c>
      <c r="Z213" s="120">
        <v>0.96943051778600164</v>
      </c>
      <c r="AA213" s="120">
        <v>0</v>
      </c>
      <c r="AB213" s="120">
        <v>13.65059634664054</v>
      </c>
      <c r="AC213" s="120">
        <v>20.533915759698747</v>
      </c>
      <c r="AD213" s="120">
        <v>68.002624790183376</v>
      </c>
      <c r="AE213" s="120">
        <v>0</v>
      </c>
      <c r="AF213" s="120">
        <v>0</v>
      </c>
      <c r="AG213" s="120">
        <v>0</v>
      </c>
      <c r="AH213" s="120">
        <v>0</v>
      </c>
      <c r="AI213" s="120">
        <v>0</v>
      </c>
      <c r="AJ213" s="120">
        <v>69.17814701583896</v>
      </c>
      <c r="AK213" s="120">
        <v>36.133609197262444</v>
      </c>
      <c r="AL213" s="120">
        <v>0</v>
      </c>
      <c r="AM213" s="120">
        <v>0</v>
      </c>
      <c r="AN213" s="120">
        <v>0</v>
      </c>
      <c r="AO213" s="120">
        <v>0</v>
      </c>
      <c r="AP213" s="120">
        <v>0</v>
      </c>
      <c r="AQ213" s="120">
        <v>0</v>
      </c>
      <c r="AR213" s="120">
        <v>0</v>
      </c>
      <c r="AS213" s="120">
        <v>0</v>
      </c>
      <c r="AT213" s="120">
        <v>0</v>
      </c>
      <c r="AU213" s="120">
        <v>0</v>
      </c>
      <c r="AV213" s="120">
        <v>0</v>
      </c>
      <c r="AW213" s="120">
        <v>0</v>
      </c>
      <c r="AX213" s="120">
        <v>0</v>
      </c>
      <c r="AY213" s="120">
        <v>0</v>
      </c>
    </row>
    <row r="214" spans="1:51" x14ac:dyDescent="0.2">
      <c r="A214" s="119"/>
      <c r="B214" s="129">
        <v>6</v>
      </c>
      <c r="C214" s="116"/>
      <c r="D214" s="120">
        <v>0</v>
      </c>
      <c r="E214" s="120">
        <v>0</v>
      </c>
      <c r="F214" s="120">
        <v>0</v>
      </c>
      <c r="G214" s="120">
        <v>0</v>
      </c>
      <c r="H214" s="120">
        <v>0</v>
      </c>
      <c r="I214" s="120">
        <v>0</v>
      </c>
      <c r="J214" s="120">
        <v>0</v>
      </c>
      <c r="K214" s="120">
        <v>0</v>
      </c>
      <c r="L214" s="120">
        <v>0</v>
      </c>
      <c r="M214" s="120">
        <v>0</v>
      </c>
      <c r="N214" s="120">
        <v>0</v>
      </c>
      <c r="O214" s="120">
        <v>0</v>
      </c>
      <c r="P214" s="120">
        <v>0</v>
      </c>
      <c r="Q214" s="120">
        <v>0</v>
      </c>
      <c r="R214" s="120">
        <v>0</v>
      </c>
      <c r="S214" s="120">
        <v>0</v>
      </c>
      <c r="T214" s="120">
        <v>0</v>
      </c>
      <c r="U214" s="120">
        <v>0</v>
      </c>
      <c r="V214" s="120">
        <v>0</v>
      </c>
      <c r="W214" s="120">
        <v>0</v>
      </c>
      <c r="X214" s="120">
        <v>0</v>
      </c>
      <c r="Y214" s="120">
        <v>25.141966303979004</v>
      </c>
      <c r="Z214" s="120">
        <v>57.030569482213998</v>
      </c>
      <c r="AA214" s="120">
        <v>70.813775134412822</v>
      </c>
      <c r="AB214" s="120">
        <v>106.56563206520588</v>
      </c>
      <c r="AC214" s="120">
        <v>92.662777690152907</v>
      </c>
      <c r="AD214" s="120">
        <v>0</v>
      </c>
      <c r="AE214" s="120">
        <v>0</v>
      </c>
      <c r="AF214" s="120">
        <v>0</v>
      </c>
      <c r="AG214" s="120">
        <v>0</v>
      </c>
      <c r="AH214" s="120">
        <v>0</v>
      </c>
      <c r="AI214" s="120">
        <v>0</v>
      </c>
      <c r="AJ214" s="120">
        <v>0</v>
      </c>
      <c r="AK214" s="120">
        <v>61.724319023279804</v>
      </c>
      <c r="AL214" s="120">
        <v>93.111133700561837</v>
      </c>
      <c r="AM214" s="120">
        <v>0</v>
      </c>
      <c r="AN214" s="120">
        <v>0</v>
      </c>
      <c r="AO214" s="120">
        <v>0</v>
      </c>
      <c r="AP214" s="120">
        <v>0</v>
      </c>
      <c r="AQ214" s="120">
        <v>0</v>
      </c>
      <c r="AR214" s="120">
        <v>0</v>
      </c>
      <c r="AS214" s="120">
        <v>0</v>
      </c>
      <c r="AT214" s="120">
        <v>0</v>
      </c>
      <c r="AU214" s="120">
        <v>0</v>
      </c>
      <c r="AV214" s="120">
        <v>0</v>
      </c>
      <c r="AW214" s="120">
        <v>0</v>
      </c>
      <c r="AX214" s="120">
        <v>0</v>
      </c>
      <c r="AY214" s="120">
        <v>0</v>
      </c>
    </row>
    <row r="215" spans="1:51" x14ac:dyDescent="0.2">
      <c r="A215" s="119"/>
      <c r="B215" s="129">
        <v>7</v>
      </c>
      <c r="C215" s="116"/>
      <c r="D215" s="120">
        <v>0</v>
      </c>
      <c r="E215" s="120">
        <v>0</v>
      </c>
      <c r="F215" s="120">
        <v>0</v>
      </c>
      <c r="G215" s="120">
        <v>0</v>
      </c>
      <c r="H215" s="120">
        <v>0</v>
      </c>
      <c r="I215" s="120">
        <v>0</v>
      </c>
      <c r="J215" s="120">
        <v>0</v>
      </c>
      <c r="K215" s="120">
        <v>0</v>
      </c>
      <c r="L215" s="120">
        <v>0</v>
      </c>
      <c r="M215" s="120">
        <v>0</v>
      </c>
      <c r="N215" s="120">
        <v>0</v>
      </c>
      <c r="O215" s="120">
        <v>0</v>
      </c>
      <c r="P215" s="120">
        <v>0</v>
      </c>
      <c r="Q215" s="120">
        <v>0</v>
      </c>
      <c r="R215" s="120">
        <v>0</v>
      </c>
      <c r="S215" s="120">
        <v>0</v>
      </c>
      <c r="T215" s="120">
        <v>0</v>
      </c>
      <c r="U215" s="120">
        <v>0</v>
      </c>
      <c r="V215" s="120">
        <v>0</v>
      </c>
      <c r="W215" s="120">
        <v>0</v>
      </c>
      <c r="X215" s="120">
        <v>0</v>
      </c>
      <c r="Y215" s="120">
        <v>0</v>
      </c>
      <c r="Z215" s="120">
        <v>0</v>
      </c>
      <c r="AA215" s="120">
        <v>0</v>
      </c>
      <c r="AB215" s="120">
        <v>26.965359286470051</v>
      </c>
      <c r="AC215" s="120">
        <v>0</v>
      </c>
      <c r="AD215" s="120">
        <v>0</v>
      </c>
      <c r="AE215" s="120">
        <v>0</v>
      </c>
      <c r="AF215" s="120">
        <v>0</v>
      </c>
      <c r="AG215" s="120">
        <v>0</v>
      </c>
      <c r="AH215" s="120">
        <v>0</v>
      </c>
      <c r="AI215" s="120">
        <v>0</v>
      </c>
      <c r="AJ215" s="120">
        <v>0</v>
      </c>
      <c r="AK215" s="120">
        <v>0</v>
      </c>
      <c r="AL215" s="120">
        <v>0</v>
      </c>
      <c r="AM215" s="120">
        <v>83.791511364844737</v>
      </c>
      <c r="AN215" s="120">
        <v>193.64682894338966</v>
      </c>
      <c r="AO215" s="120">
        <v>170.42592432833425</v>
      </c>
      <c r="AP215" s="120">
        <v>90.036499009054893</v>
      </c>
      <c r="AQ215" s="120">
        <v>36.149742915303534</v>
      </c>
      <c r="AR215" s="120">
        <v>0</v>
      </c>
      <c r="AS215" s="120">
        <v>0</v>
      </c>
      <c r="AT215" s="120">
        <v>0</v>
      </c>
      <c r="AU215" s="120">
        <v>0</v>
      </c>
      <c r="AV215" s="120">
        <v>0</v>
      </c>
      <c r="AW215" s="120">
        <v>0</v>
      </c>
      <c r="AX215" s="120">
        <v>0</v>
      </c>
      <c r="AY215" s="120">
        <v>0</v>
      </c>
    </row>
    <row r="216" spans="1:51" x14ac:dyDescent="0.2">
      <c r="A216" s="119"/>
      <c r="B216" s="129">
        <v>8</v>
      </c>
      <c r="C216" s="116"/>
      <c r="D216" s="120">
        <v>0</v>
      </c>
      <c r="E216" s="120">
        <v>0</v>
      </c>
      <c r="F216" s="120">
        <v>0</v>
      </c>
      <c r="G216" s="120">
        <v>0</v>
      </c>
      <c r="H216" s="120">
        <v>0</v>
      </c>
      <c r="I216" s="120">
        <v>0</v>
      </c>
      <c r="J216" s="120">
        <v>0</v>
      </c>
      <c r="K216" s="120">
        <v>0</v>
      </c>
      <c r="L216" s="120">
        <v>0</v>
      </c>
      <c r="M216" s="120">
        <v>0</v>
      </c>
      <c r="N216" s="120">
        <v>0</v>
      </c>
      <c r="O216" s="120">
        <v>0</v>
      </c>
      <c r="P216" s="120">
        <v>0</v>
      </c>
      <c r="Q216" s="120">
        <v>0</v>
      </c>
      <c r="R216" s="120">
        <v>0</v>
      </c>
      <c r="S216" s="120">
        <v>0</v>
      </c>
      <c r="T216" s="120">
        <v>0</v>
      </c>
      <c r="U216" s="120">
        <v>0</v>
      </c>
      <c r="V216" s="120">
        <v>0</v>
      </c>
      <c r="W216" s="120">
        <v>0</v>
      </c>
      <c r="X216" s="120">
        <v>0</v>
      </c>
      <c r="Y216" s="120">
        <v>0</v>
      </c>
      <c r="Z216" s="120">
        <v>0</v>
      </c>
      <c r="AA216" s="120">
        <v>0</v>
      </c>
      <c r="AB216" s="120">
        <v>0</v>
      </c>
      <c r="AC216" s="120">
        <v>0</v>
      </c>
      <c r="AD216" s="120">
        <v>0</v>
      </c>
      <c r="AE216" s="120">
        <v>0</v>
      </c>
      <c r="AF216" s="120">
        <v>0</v>
      </c>
      <c r="AG216" s="120">
        <v>0</v>
      </c>
      <c r="AH216" s="120">
        <v>0</v>
      </c>
      <c r="AI216" s="120">
        <v>0</v>
      </c>
      <c r="AJ216" s="120">
        <v>0</v>
      </c>
      <c r="AK216" s="120">
        <v>0</v>
      </c>
      <c r="AL216" s="120">
        <v>0</v>
      </c>
      <c r="AM216" s="120">
        <v>0</v>
      </c>
      <c r="AN216" s="120">
        <v>0.35317105661033565</v>
      </c>
      <c r="AO216" s="120">
        <v>19.74259637588969</v>
      </c>
      <c r="AP216" s="120">
        <v>42.963500990945107</v>
      </c>
      <c r="AQ216" s="120">
        <v>124.85025708469647</v>
      </c>
      <c r="AR216" s="120">
        <v>149.50574246630336</v>
      </c>
      <c r="AS216" s="120">
        <v>86.845854311040682</v>
      </c>
      <c r="AT216" s="120">
        <v>25.304671002641015</v>
      </c>
      <c r="AU216" s="120">
        <v>83.795615155727234</v>
      </c>
      <c r="AV216" s="120">
        <v>0</v>
      </c>
      <c r="AW216" s="120">
        <v>0</v>
      </c>
      <c r="AX216" s="120">
        <v>0</v>
      </c>
      <c r="AY216" s="120">
        <v>0</v>
      </c>
    </row>
    <row r="217" spans="1:51" x14ac:dyDescent="0.2">
      <c r="A217" s="119"/>
      <c r="B217" s="129">
        <v>9</v>
      </c>
      <c r="C217" s="116"/>
      <c r="D217" s="120">
        <v>0</v>
      </c>
      <c r="E217" s="120">
        <v>0</v>
      </c>
      <c r="F217" s="120">
        <v>0</v>
      </c>
      <c r="G217" s="120">
        <v>0</v>
      </c>
      <c r="H217" s="120">
        <v>0</v>
      </c>
      <c r="I217" s="120">
        <v>0</v>
      </c>
      <c r="J217" s="120">
        <v>0</v>
      </c>
      <c r="K217" s="120">
        <v>0</v>
      </c>
      <c r="L217" s="120">
        <v>0</v>
      </c>
      <c r="M217" s="120">
        <v>0</v>
      </c>
      <c r="N217" s="120">
        <v>0</v>
      </c>
      <c r="O217" s="120">
        <v>0</v>
      </c>
      <c r="P217" s="120">
        <v>0</v>
      </c>
      <c r="Q217" s="120">
        <v>0</v>
      </c>
      <c r="R217" s="120">
        <v>0</v>
      </c>
      <c r="S217" s="120">
        <v>0</v>
      </c>
      <c r="T217" s="120">
        <v>0</v>
      </c>
      <c r="U217" s="120">
        <v>0</v>
      </c>
      <c r="V217" s="120">
        <v>0</v>
      </c>
      <c r="W217" s="120">
        <v>0</v>
      </c>
      <c r="X217" s="120">
        <v>0</v>
      </c>
      <c r="Y217" s="120">
        <v>0</v>
      </c>
      <c r="Z217" s="120">
        <v>0</v>
      </c>
      <c r="AA217" s="120">
        <v>0</v>
      </c>
      <c r="AB217" s="120">
        <v>0</v>
      </c>
      <c r="AC217" s="120">
        <v>0</v>
      </c>
      <c r="AD217" s="120">
        <v>0</v>
      </c>
      <c r="AE217" s="120">
        <v>0</v>
      </c>
      <c r="AF217" s="120">
        <v>0</v>
      </c>
      <c r="AG217" s="120">
        <v>0</v>
      </c>
      <c r="AH217" s="120">
        <v>0</v>
      </c>
      <c r="AI217" s="120">
        <v>0</v>
      </c>
      <c r="AJ217" s="120">
        <v>0</v>
      </c>
      <c r="AK217" s="120">
        <v>0</v>
      </c>
      <c r="AL217" s="120">
        <v>0</v>
      </c>
      <c r="AM217" s="120">
        <v>0</v>
      </c>
      <c r="AN217" s="120">
        <v>0</v>
      </c>
      <c r="AO217" s="120">
        <v>0</v>
      </c>
      <c r="AP217" s="120">
        <v>0</v>
      </c>
      <c r="AQ217" s="120">
        <v>0</v>
      </c>
      <c r="AR217" s="120">
        <v>0</v>
      </c>
      <c r="AS217" s="120">
        <v>28.781655202226997</v>
      </c>
      <c r="AT217" s="120">
        <v>126.83571207028893</v>
      </c>
      <c r="AU217" s="120">
        <v>19.371285665072413</v>
      </c>
      <c r="AV217" s="120">
        <v>63.192306388886401</v>
      </c>
      <c r="AW217" s="120">
        <v>30.570854261200942</v>
      </c>
      <c r="AX217" s="120">
        <v>0</v>
      </c>
      <c r="AY217" s="120">
        <v>0</v>
      </c>
    </row>
    <row r="218" spans="1:51" x14ac:dyDescent="0.2">
      <c r="A218" s="119"/>
      <c r="B218" s="129">
        <v>10</v>
      </c>
      <c r="C218" s="116"/>
      <c r="D218" s="120">
        <v>0</v>
      </c>
      <c r="E218" s="120">
        <v>0</v>
      </c>
      <c r="F218" s="120">
        <v>0</v>
      </c>
      <c r="G218" s="120">
        <v>0</v>
      </c>
      <c r="H218" s="120">
        <v>0</v>
      </c>
      <c r="I218" s="120">
        <v>0</v>
      </c>
      <c r="J218" s="120">
        <v>0</v>
      </c>
      <c r="K218" s="120">
        <v>0</v>
      </c>
      <c r="L218" s="120">
        <v>0</v>
      </c>
      <c r="M218" s="120">
        <v>0</v>
      </c>
      <c r="N218" s="120">
        <v>0</v>
      </c>
      <c r="O218" s="120">
        <v>0</v>
      </c>
      <c r="P218" s="120">
        <v>0</v>
      </c>
      <c r="Q218" s="120">
        <v>0</v>
      </c>
      <c r="R218" s="120">
        <v>0</v>
      </c>
      <c r="S218" s="120">
        <v>0</v>
      </c>
      <c r="T218" s="120">
        <v>0</v>
      </c>
      <c r="U218" s="120">
        <v>0</v>
      </c>
      <c r="V218" s="120">
        <v>0</v>
      </c>
      <c r="W218" s="120">
        <v>0</v>
      </c>
      <c r="X218" s="120">
        <v>0</v>
      </c>
      <c r="Y218" s="120">
        <v>0</v>
      </c>
      <c r="Z218" s="120">
        <v>0</v>
      </c>
      <c r="AA218" s="120">
        <v>0</v>
      </c>
      <c r="AB218" s="120">
        <v>0</v>
      </c>
      <c r="AC218" s="120">
        <v>0</v>
      </c>
      <c r="AD218" s="120">
        <v>0</v>
      </c>
      <c r="AE218" s="120">
        <v>0</v>
      </c>
      <c r="AF218" s="120">
        <v>0</v>
      </c>
      <c r="AG218" s="120">
        <v>0</v>
      </c>
      <c r="AH218" s="120">
        <v>0</v>
      </c>
      <c r="AI218" s="120">
        <v>0</v>
      </c>
      <c r="AJ218" s="120">
        <v>0</v>
      </c>
      <c r="AK218" s="120">
        <v>0</v>
      </c>
      <c r="AL218" s="120">
        <v>0</v>
      </c>
      <c r="AM218" s="120">
        <v>0</v>
      </c>
      <c r="AN218" s="120">
        <v>0</v>
      </c>
      <c r="AO218" s="120">
        <v>0</v>
      </c>
      <c r="AP218" s="120">
        <v>0</v>
      </c>
      <c r="AQ218" s="120">
        <v>0</v>
      </c>
      <c r="AR218" s="120">
        <v>0</v>
      </c>
      <c r="AS218" s="120">
        <v>0</v>
      </c>
      <c r="AT218" s="120">
        <v>0</v>
      </c>
      <c r="AU218" s="120">
        <v>0</v>
      </c>
      <c r="AV218" s="120">
        <v>0</v>
      </c>
      <c r="AW218" s="120">
        <v>53.429145738799058</v>
      </c>
      <c r="AX218" s="120">
        <v>69.669613588239557</v>
      </c>
      <c r="AY218" s="120">
        <v>15.747658127468263</v>
      </c>
    </row>
    <row r="219" spans="1:51" x14ac:dyDescent="0.2">
      <c r="A219" s="119"/>
      <c r="B219" s="129">
        <v>11</v>
      </c>
      <c r="C219" s="116"/>
      <c r="D219" s="120">
        <v>0</v>
      </c>
      <c r="E219" s="120">
        <v>0</v>
      </c>
      <c r="F219" s="120">
        <v>0</v>
      </c>
      <c r="G219" s="120">
        <v>0</v>
      </c>
      <c r="H219" s="120">
        <v>0</v>
      </c>
      <c r="I219" s="120">
        <v>0</v>
      </c>
      <c r="J219" s="120">
        <v>0</v>
      </c>
      <c r="K219" s="120">
        <v>0</v>
      </c>
      <c r="L219" s="120">
        <v>0</v>
      </c>
      <c r="M219" s="120">
        <v>0</v>
      </c>
      <c r="N219" s="120">
        <v>0</v>
      </c>
      <c r="O219" s="120">
        <v>0</v>
      </c>
      <c r="P219" s="120">
        <v>0</v>
      </c>
      <c r="Q219" s="120">
        <v>0</v>
      </c>
      <c r="R219" s="120">
        <v>0</v>
      </c>
      <c r="S219" s="120">
        <v>0</v>
      </c>
      <c r="T219" s="120">
        <v>0</v>
      </c>
      <c r="U219" s="120">
        <v>0</v>
      </c>
      <c r="V219" s="120">
        <v>0</v>
      </c>
      <c r="W219" s="120">
        <v>0</v>
      </c>
      <c r="X219" s="120">
        <v>0</v>
      </c>
      <c r="Y219" s="120">
        <v>0</v>
      </c>
      <c r="Z219" s="120">
        <v>0</v>
      </c>
      <c r="AA219" s="120">
        <v>0</v>
      </c>
      <c r="AB219" s="120">
        <v>0</v>
      </c>
      <c r="AC219" s="120">
        <v>0</v>
      </c>
      <c r="AD219" s="120">
        <v>0</v>
      </c>
      <c r="AE219" s="120">
        <v>0</v>
      </c>
      <c r="AF219" s="120">
        <v>0</v>
      </c>
      <c r="AG219" s="120">
        <v>0</v>
      </c>
      <c r="AH219" s="120">
        <v>0</v>
      </c>
      <c r="AI219" s="120">
        <v>0</v>
      </c>
      <c r="AJ219" s="120">
        <v>0</v>
      </c>
      <c r="AK219" s="120">
        <v>0</v>
      </c>
      <c r="AL219" s="120">
        <v>0</v>
      </c>
      <c r="AM219" s="120">
        <v>0</v>
      </c>
      <c r="AN219" s="120">
        <v>0</v>
      </c>
      <c r="AO219" s="120">
        <v>0</v>
      </c>
      <c r="AP219" s="120">
        <v>0</v>
      </c>
      <c r="AQ219" s="120">
        <v>0</v>
      </c>
      <c r="AR219" s="120">
        <v>0</v>
      </c>
      <c r="AS219" s="120">
        <v>0</v>
      </c>
      <c r="AT219" s="120">
        <v>0</v>
      </c>
      <c r="AU219" s="120">
        <v>0</v>
      </c>
      <c r="AV219" s="120">
        <v>0</v>
      </c>
      <c r="AW219" s="120">
        <v>0</v>
      </c>
      <c r="AX219" s="120">
        <v>0</v>
      </c>
      <c r="AY219" s="120">
        <v>60.943641115984299</v>
      </c>
    </row>
    <row r="220" spans="1:51" x14ac:dyDescent="0.2">
      <c r="A220" s="119"/>
      <c r="B220" s="129">
        <v>12</v>
      </c>
      <c r="C220" s="116"/>
      <c r="D220" s="120">
        <v>0</v>
      </c>
      <c r="E220" s="120">
        <v>0</v>
      </c>
      <c r="F220" s="120">
        <v>0</v>
      </c>
      <c r="G220" s="120">
        <v>0</v>
      </c>
      <c r="H220" s="120">
        <v>0</v>
      </c>
      <c r="I220" s="120">
        <v>0</v>
      </c>
      <c r="J220" s="120">
        <v>0</v>
      </c>
      <c r="K220" s="120">
        <v>0</v>
      </c>
      <c r="L220" s="120">
        <v>0</v>
      </c>
      <c r="M220" s="120">
        <v>0</v>
      </c>
      <c r="N220" s="120">
        <v>0</v>
      </c>
      <c r="O220" s="120">
        <v>0</v>
      </c>
      <c r="P220" s="120">
        <v>0</v>
      </c>
      <c r="Q220" s="120">
        <v>0</v>
      </c>
      <c r="R220" s="120">
        <v>0</v>
      </c>
      <c r="S220" s="120">
        <v>0</v>
      </c>
      <c r="T220" s="120">
        <v>0</v>
      </c>
      <c r="U220" s="120">
        <v>0</v>
      </c>
      <c r="V220" s="120">
        <v>0</v>
      </c>
      <c r="W220" s="120">
        <v>0</v>
      </c>
      <c r="X220" s="120">
        <v>0</v>
      </c>
      <c r="Y220" s="120">
        <v>0</v>
      </c>
      <c r="Z220" s="120">
        <v>0</v>
      </c>
      <c r="AA220" s="120">
        <v>0</v>
      </c>
      <c r="AB220" s="120">
        <v>0</v>
      </c>
      <c r="AC220" s="120">
        <v>0</v>
      </c>
      <c r="AD220" s="120">
        <v>0</v>
      </c>
      <c r="AE220" s="120">
        <v>0</v>
      </c>
      <c r="AF220" s="120">
        <v>0</v>
      </c>
      <c r="AG220" s="120">
        <v>0</v>
      </c>
      <c r="AH220" s="120">
        <v>0</v>
      </c>
      <c r="AI220" s="120">
        <v>0</v>
      </c>
      <c r="AJ220" s="120">
        <v>0</v>
      </c>
      <c r="AK220" s="120">
        <v>0</v>
      </c>
      <c r="AL220" s="120">
        <v>0</v>
      </c>
      <c r="AM220" s="120">
        <v>0</v>
      </c>
      <c r="AN220" s="120">
        <v>0</v>
      </c>
      <c r="AO220" s="120">
        <v>0</v>
      </c>
      <c r="AP220" s="120">
        <v>0</v>
      </c>
      <c r="AQ220" s="120">
        <v>0</v>
      </c>
      <c r="AR220" s="120">
        <v>0</v>
      </c>
      <c r="AS220" s="120">
        <v>0</v>
      </c>
      <c r="AT220" s="120">
        <v>0</v>
      </c>
      <c r="AU220" s="120">
        <v>0</v>
      </c>
      <c r="AV220" s="120">
        <v>0</v>
      </c>
      <c r="AW220" s="120">
        <v>0</v>
      </c>
      <c r="AX220" s="120">
        <v>0</v>
      </c>
      <c r="AY220" s="120">
        <v>0</v>
      </c>
    </row>
    <row r="221" spans="1:51" x14ac:dyDescent="0.2">
      <c r="A221" s="119"/>
      <c r="B221" s="130">
        <v>13</v>
      </c>
      <c r="C221" s="116"/>
      <c r="D221" s="120">
        <v>0</v>
      </c>
      <c r="E221" s="120">
        <v>0</v>
      </c>
      <c r="F221" s="120">
        <v>0</v>
      </c>
      <c r="G221" s="120">
        <v>0</v>
      </c>
      <c r="H221" s="120">
        <v>0</v>
      </c>
      <c r="I221" s="120">
        <v>0</v>
      </c>
      <c r="J221" s="120">
        <v>0</v>
      </c>
      <c r="K221" s="120">
        <v>0</v>
      </c>
      <c r="L221" s="120">
        <v>0</v>
      </c>
      <c r="M221" s="120">
        <v>0</v>
      </c>
      <c r="N221" s="120">
        <v>0</v>
      </c>
      <c r="O221" s="120">
        <v>0</v>
      </c>
      <c r="P221" s="120">
        <v>0</v>
      </c>
      <c r="Q221" s="120">
        <v>0</v>
      </c>
      <c r="R221" s="120">
        <v>0</v>
      </c>
      <c r="S221" s="120">
        <v>0</v>
      </c>
      <c r="T221" s="120">
        <v>0</v>
      </c>
      <c r="U221" s="120">
        <v>0</v>
      </c>
      <c r="V221" s="120">
        <v>0</v>
      </c>
      <c r="W221" s="120">
        <v>0</v>
      </c>
      <c r="X221" s="120">
        <v>0</v>
      </c>
      <c r="Y221" s="120">
        <v>0</v>
      </c>
      <c r="Z221" s="120">
        <v>0</v>
      </c>
      <c r="AA221" s="120">
        <v>0</v>
      </c>
      <c r="AB221" s="120">
        <v>0</v>
      </c>
      <c r="AC221" s="120">
        <v>0</v>
      </c>
      <c r="AD221" s="120">
        <v>0</v>
      </c>
      <c r="AE221" s="120">
        <v>0</v>
      </c>
      <c r="AF221" s="120">
        <v>0</v>
      </c>
      <c r="AG221" s="120">
        <v>0</v>
      </c>
      <c r="AH221" s="120">
        <v>0</v>
      </c>
      <c r="AI221" s="120">
        <v>0</v>
      </c>
      <c r="AJ221" s="120">
        <v>0</v>
      </c>
      <c r="AK221" s="120">
        <v>0</v>
      </c>
      <c r="AL221" s="120">
        <v>0</v>
      </c>
      <c r="AM221" s="120">
        <v>0</v>
      </c>
      <c r="AN221" s="120">
        <v>0</v>
      </c>
      <c r="AO221" s="120">
        <v>0</v>
      </c>
      <c r="AP221" s="120">
        <v>0</v>
      </c>
      <c r="AQ221" s="120">
        <v>0</v>
      </c>
      <c r="AR221" s="120">
        <v>0</v>
      </c>
      <c r="AS221" s="120">
        <v>0</v>
      </c>
      <c r="AT221" s="120">
        <v>0</v>
      </c>
      <c r="AU221" s="120">
        <v>0</v>
      </c>
      <c r="AV221" s="120">
        <v>0</v>
      </c>
      <c r="AW221" s="120">
        <v>0</v>
      </c>
      <c r="AX221" s="120">
        <v>0</v>
      </c>
      <c r="AY221" s="120">
        <v>0</v>
      </c>
    </row>
    <row r="222" spans="1:51" x14ac:dyDescent="0.2">
      <c r="A222" s="119"/>
      <c r="B222" s="130">
        <v>14</v>
      </c>
      <c r="C222" s="116"/>
      <c r="D222" s="120">
        <v>0</v>
      </c>
      <c r="E222" s="120">
        <v>0</v>
      </c>
      <c r="F222" s="120">
        <v>0</v>
      </c>
      <c r="G222" s="120">
        <v>0</v>
      </c>
      <c r="H222" s="120">
        <v>0</v>
      </c>
      <c r="I222" s="120">
        <v>0</v>
      </c>
      <c r="J222" s="120">
        <v>0</v>
      </c>
      <c r="K222" s="120">
        <v>0</v>
      </c>
      <c r="L222" s="120">
        <v>0</v>
      </c>
      <c r="M222" s="120">
        <v>0</v>
      </c>
      <c r="N222" s="120">
        <v>0</v>
      </c>
      <c r="O222" s="120">
        <v>0</v>
      </c>
      <c r="P222" s="120">
        <v>0</v>
      </c>
      <c r="Q222" s="120">
        <v>0</v>
      </c>
      <c r="R222" s="120">
        <v>0</v>
      </c>
      <c r="S222" s="120">
        <v>0</v>
      </c>
      <c r="T222" s="120">
        <v>0</v>
      </c>
      <c r="U222" s="120">
        <v>0</v>
      </c>
      <c r="V222" s="120">
        <v>0</v>
      </c>
      <c r="W222" s="120">
        <v>0</v>
      </c>
      <c r="X222" s="120">
        <v>0</v>
      </c>
      <c r="Y222" s="120">
        <v>0</v>
      </c>
      <c r="Z222" s="120">
        <v>0</v>
      </c>
      <c r="AA222" s="120">
        <v>0</v>
      </c>
      <c r="AB222" s="120">
        <v>0</v>
      </c>
      <c r="AC222" s="120">
        <v>0</v>
      </c>
      <c r="AD222" s="120">
        <v>0</v>
      </c>
      <c r="AE222" s="120">
        <v>0</v>
      </c>
      <c r="AF222" s="120">
        <v>0</v>
      </c>
      <c r="AG222" s="120">
        <v>0</v>
      </c>
      <c r="AH222" s="120">
        <v>0</v>
      </c>
      <c r="AI222" s="120">
        <v>0</v>
      </c>
      <c r="AJ222" s="120">
        <v>0</v>
      </c>
      <c r="AK222" s="120">
        <v>0</v>
      </c>
      <c r="AL222" s="120">
        <v>0</v>
      </c>
      <c r="AM222" s="120">
        <v>0</v>
      </c>
      <c r="AN222" s="120">
        <v>0</v>
      </c>
      <c r="AO222" s="120">
        <v>0</v>
      </c>
      <c r="AP222" s="120">
        <v>0</v>
      </c>
      <c r="AQ222" s="120">
        <v>0</v>
      </c>
      <c r="AR222" s="120">
        <v>0</v>
      </c>
      <c r="AS222" s="120">
        <v>0</v>
      </c>
      <c r="AT222" s="120">
        <v>0</v>
      </c>
      <c r="AU222" s="120">
        <v>0</v>
      </c>
      <c r="AV222" s="120">
        <v>0</v>
      </c>
      <c r="AW222" s="120">
        <v>0</v>
      </c>
      <c r="AX222" s="120">
        <v>0</v>
      </c>
      <c r="AY222" s="120">
        <v>0</v>
      </c>
    </row>
    <row r="223" spans="1:51" x14ac:dyDescent="0.2">
      <c r="A223" s="119"/>
      <c r="B223" s="130">
        <v>15</v>
      </c>
      <c r="C223" s="116"/>
      <c r="D223" s="120">
        <v>0</v>
      </c>
      <c r="E223" s="120">
        <v>0</v>
      </c>
      <c r="F223" s="120">
        <v>0</v>
      </c>
      <c r="G223" s="120">
        <v>0</v>
      </c>
      <c r="H223" s="120">
        <v>0</v>
      </c>
      <c r="I223" s="120">
        <v>0</v>
      </c>
      <c r="J223" s="120">
        <v>0</v>
      </c>
      <c r="K223" s="120">
        <v>0</v>
      </c>
      <c r="L223" s="120">
        <v>0</v>
      </c>
      <c r="M223" s="120">
        <v>0</v>
      </c>
      <c r="N223" s="120">
        <v>0</v>
      </c>
      <c r="O223" s="120">
        <v>0</v>
      </c>
      <c r="P223" s="120">
        <v>0</v>
      </c>
      <c r="Q223" s="120">
        <v>0</v>
      </c>
      <c r="R223" s="120">
        <v>0</v>
      </c>
      <c r="S223" s="120">
        <v>0</v>
      </c>
      <c r="T223" s="120">
        <v>0</v>
      </c>
      <c r="U223" s="120">
        <v>0</v>
      </c>
      <c r="V223" s="120">
        <v>0</v>
      </c>
      <c r="W223" s="120">
        <v>0</v>
      </c>
      <c r="X223" s="120">
        <v>0</v>
      </c>
      <c r="Y223" s="120">
        <v>0</v>
      </c>
      <c r="Z223" s="120">
        <v>0</v>
      </c>
      <c r="AA223" s="120">
        <v>0</v>
      </c>
      <c r="AB223" s="120">
        <v>0</v>
      </c>
      <c r="AC223" s="120">
        <v>0</v>
      </c>
      <c r="AD223" s="120">
        <v>0</v>
      </c>
      <c r="AE223" s="120">
        <v>0</v>
      </c>
      <c r="AF223" s="120">
        <v>0</v>
      </c>
      <c r="AG223" s="120">
        <v>0</v>
      </c>
      <c r="AH223" s="120">
        <v>0</v>
      </c>
      <c r="AI223" s="120">
        <v>0</v>
      </c>
      <c r="AJ223" s="120">
        <v>0</v>
      </c>
      <c r="AK223" s="120">
        <v>0</v>
      </c>
      <c r="AL223" s="120">
        <v>0</v>
      </c>
      <c r="AM223" s="120">
        <v>0</v>
      </c>
      <c r="AN223" s="120">
        <v>0</v>
      </c>
      <c r="AO223" s="120">
        <v>0</v>
      </c>
      <c r="AP223" s="120">
        <v>0</v>
      </c>
      <c r="AQ223" s="120">
        <v>0</v>
      </c>
      <c r="AR223" s="120">
        <v>0</v>
      </c>
      <c r="AS223" s="120">
        <v>0</v>
      </c>
      <c r="AT223" s="120">
        <v>0</v>
      </c>
      <c r="AU223" s="120">
        <v>0</v>
      </c>
      <c r="AV223" s="120">
        <v>0</v>
      </c>
      <c r="AW223" s="120">
        <v>0</v>
      </c>
      <c r="AX223" s="120">
        <v>0</v>
      </c>
      <c r="AY223" s="120">
        <v>0</v>
      </c>
    </row>
    <row r="224" spans="1:51" x14ac:dyDescent="0.2">
      <c r="A224" s="119"/>
      <c r="B224" s="130">
        <v>16</v>
      </c>
      <c r="C224" s="116"/>
      <c r="D224" s="120">
        <v>0</v>
      </c>
      <c r="E224" s="120">
        <v>0</v>
      </c>
      <c r="F224" s="120">
        <v>0</v>
      </c>
      <c r="G224" s="120">
        <v>0</v>
      </c>
      <c r="H224" s="120">
        <v>0</v>
      </c>
      <c r="I224" s="120">
        <v>0</v>
      </c>
      <c r="J224" s="120">
        <v>0</v>
      </c>
      <c r="K224" s="120">
        <v>0</v>
      </c>
      <c r="L224" s="120">
        <v>0</v>
      </c>
      <c r="M224" s="120">
        <v>0</v>
      </c>
      <c r="N224" s="120">
        <v>0</v>
      </c>
      <c r="O224" s="120">
        <v>0</v>
      </c>
      <c r="P224" s="120">
        <v>0</v>
      </c>
      <c r="Q224" s="120">
        <v>0</v>
      </c>
      <c r="R224" s="120">
        <v>0</v>
      </c>
      <c r="S224" s="120">
        <v>0</v>
      </c>
      <c r="T224" s="120">
        <v>0</v>
      </c>
      <c r="U224" s="120">
        <v>0</v>
      </c>
      <c r="V224" s="120">
        <v>0</v>
      </c>
      <c r="W224" s="120">
        <v>0</v>
      </c>
      <c r="X224" s="120">
        <v>0</v>
      </c>
      <c r="Y224" s="120">
        <v>0</v>
      </c>
      <c r="Z224" s="120">
        <v>0</v>
      </c>
      <c r="AA224" s="120">
        <v>0</v>
      </c>
      <c r="AB224" s="120">
        <v>0</v>
      </c>
      <c r="AC224" s="120">
        <v>0</v>
      </c>
      <c r="AD224" s="120">
        <v>0</v>
      </c>
      <c r="AE224" s="120">
        <v>0</v>
      </c>
      <c r="AF224" s="120">
        <v>0</v>
      </c>
      <c r="AG224" s="120">
        <v>0</v>
      </c>
      <c r="AH224" s="120">
        <v>0</v>
      </c>
      <c r="AI224" s="120">
        <v>0</v>
      </c>
      <c r="AJ224" s="120">
        <v>0</v>
      </c>
      <c r="AK224" s="120">
        <v>0</v>
      </c>
      <c r="AL224" s="120">
        <v>0</v>
      </c>
      <c r="AM224" s="120">
        <v>0</v>
      </c>
      <c r="AN224" s="120">
        <v>0</v>
      </c>
      <c r="AO224" s="120">
        <v>0</v>
      </c>
      <c r="AP224" s="120">
        <v>0</v>
      </c>
      <c r="AQ224" s="120">
        <v>0</v>
      </c>
      <c r="AR224" s="120">
        <v>0</v>
      </c>
      <c r="AS224" s="120">
        <v>0</v>
      </c>
      <c r="AT224" s="120">
        <v>0</v>
      </c>
      <c r="AU224" s="120">
        <v>0</v>
      </c>
      <c r="AV224" s="120">
        <v>0</v>
      </c>
      <c r="AW224" s="120">
        <v>0</v>
      </c>
      <c r="AX224" s="120">
        <v>0</v>
      </c>
      <c r="AY224" s="120">
        <v>0</v>
      </c>
    </row>
    <row r="225" spans="1:51" x14ac:dyDescent="0.2">
      <c r="A225" s="119"/>
      <c r="B225" s="130">
        <v>17</v>
      </c>
      <c r="C225" s="116"/>
      <c r="D225" s="120">
        <v>0</v>
      </c>
      <c r="E225" s="120">
        <v>0</v>
      </c>
      <c r="F225" s="120">
        <v>0</v>
      </c>
      <c r="G225" s="120">
        <v>0</v>
      </c>
      <c r="H225" s="120">
        <v>0</v>
      </c>
      <c r="I225" s="120">
        <v>0</v>
      </c>
      <c r="J225" s="120">
        <v>0</v>
      </c>
      <c r="K225" s="120">
        <v>0</v>
      </c>
      <c r="L225" s="120">
        <v>0</v>
      </c>
      <c r="M225" s="120">
        <v>0</v>
      </c>
      <c r="N225" s="120">
        <v>0</v>
      </c>
      <c r="O225" s="120">
        <v>0</v>
      </c>
      <c r="P225" s="120">
        <v>0</v>
      </c>
      <c r="Q225" s="120">
        <v>0</v>
      </c>
      <c r="R225" s="120">
        <v>0</v>
      </c>
      <c r="S225" s="120">
        <v>0</v>
      </c>
      <c r="T225" s="120">
        <v>0</v>
      </c>
      <c r="U225" s="120">
        <v>0</v>
      </c>
      <c r="V225" s="120">
        <v>0</v>
      </c>
      <c r="W225" s="120">
        <v>0</v>
      </c>
      <c r="X225" s="120">
        <v>0</v>
      </c>
      <c r="Y225" s="120">
        <v>0</v>
      </c>
      <c r="Z225" s="120">
        <v>0</v>
      </c>
      <c r="AA225" s="120">
        <v>0</v>
      </c>
      <c r="AB225" s="120">
        <v>0</v>
      </c>
      <c r="AC225" s="120">
        <v>0</v>
      </c>
      <c r="AD225" s="120">
        <v>0</v>
      </c>
      <c r="AE225" s="120">
        <v>0</v>
      </c>
      <c r="AF225" s="120">
        <v>0</v>
      </c>
      <c r="AG225" s="120">
        <v>0</v>
      </c>
      <c r="AH225" s="120">
        <v>0</v>
      </c>
      <c r="AI225" s="120">
        <v>0</v>
      </c>
      <c r="AJ225" s="120">
        <v>0</v>
      </c>
      <c r="AK225" s="120">
        <v>0</v>
      </c>
      <c r="AL225" s="120">
        <v>0</v>
      </c>
      <c r="AM225" s="120">
        <v>0</v>
      </c>
      <c r="AN225" s="120">
        <v>0</v>
      </c>
      <c r="AO225" s="120">
        <v>0</v>
      </c>
      <c r="AP225" s="120">
        <v>0</v>
      </c>
      <c r="AQ225" s="120">
        <v>0</v>
      </c>
      <c r="AR225" s="120">
        <v>0</v>
      </c>
      <c r="AS225" s="120">
        <v>0</v>
      </c>
      <c r="AT225" s="120">
        <v>0</v>
      </c>
      <c r="AU225" s="120">
        <v>0</v>
      </c>
      <c r="AV225" s="120">
        <v>0</v>
      </c>
      <c r="AW225" s="120">
        <v>0</v>
      </c>
      <c r="AX225" s="120">
        <v>0</v>
      </c>
      <c r="AY225" s="120">
        <v>0</v>
      </c>
    </row>
    <row r="226" spans="1:51" x14ac:dyDescent="0.2">
      <c r="A226" s="119"/>
      <c r="B226" s="130">
        <v>18</v>
      </c>
      <c r="C226" s="116"/>
      <c r="D226" s="120">
        <v>0</v>
      </c>
      <c r="E226" s="120">
        <v>0</v>
      </c>
      <c r="F226" s="120">
        <v>0</v>
      </c>
      <c r="G226" s="120">
        <v>0</v>
      </c>
      <c r="H226" s="120">
        <v>0</v>
      </c>
      <c r="I226" s="120">
        <v>0</v>
      </c>
      <c r="J226" s="120">
        <v>0</v>
      </c>
      <c r="K226" s="120">
        <v>0</v>
      </c>
      <c r="L226" s="120">
        <v>0</v>
      </c>
      <c r="M226" s="120">
        <v>0</v>
      </c>
      <c r="N226" s="120">
        <v>0</v>
      </c>
      <c r="O226" s="120">
        <v>0</v>
      </c>
      <c r="P226" s="120">
        <v>0</v>
      </c>
      <c r="Q226" s="120">
        <v>0</v>
      </c>
      <c r="R226" s="120">
        <v>0</v>
      </c>
      <c r="S226" s="120">
        <v>0</v>
      </c>
      <c r="T226" s="120">
        <v>0</v>
      </c>
      <c r="U226" s="120">
        <v>0</v>
      </c>
      <c r="V226" s="120">
        <v>0</v>
      </c>
      <c r="W226" s="120">
        <v>0</v>
      </c>
      <c r="X226" s="120">
        <v>0</v>
      </c>
      <c r="Y226" s="120">
        <v>0</v>
      </c>
      <c r="Z226" s="120">
        <v>0</v>
      </c>
      <c r="AA226" s="120">
        <v>0</v>
      </c>
      <c r="AB226" s="120">
        <v>0</v>
      </c>
      <c r="AC226" s="120">
        <v>0</v>
      </c>
      <c r="AD226" s="120">
        <v>0</v>
      </c>
      <c r="AE226" s="120">
        <v>0</v>
      </c>
      <c r="AF226" s="120">
        <v>0</v>
      </c>
      <c r="AG226" s="120">
        <v>0</v>
      </c>
      <c r="AH226" s="120">
        <v>0</v>
      </c>
      <c r="AI226" s="120">
        <v>0</v>
      </c>
      <c r="AJ226" s="120">
        <v>0</v>
      </c>
      <c r="AK226" s="120">
        <v>0</v>
      </c>
      <c r="AL226" s="120">
        <v>0</v>
      </c>
      <c r="AM226" s="120">
        <v>0</v>
      </c>
      <c r="AN226" s="120">
        <v>0</v>
      </c>
      <c r="AO226" s="120">
        <v>0</v>
      </c>
      <c r="AP226" s="120">
        <v>0</v>
      </c>
      <c r="AQ226" s="120">
        <v>0</v>
      </c>
      <c r="AR226" s="120">
        <v>0</v>
      </c>
      <c r="AS226" s="120">
        <v>0</v>
      </c>
      <c r="AT226" s="120">
        <v>0</v>
      </c>
      <c r="AU226" s="120">
        <v>0</v>
      </c>
      <c r="AV226" s="120">
        <v>0</v>
      </c>
      <c r="AW226" s="120">
        <v>0</v>
      </c>
      <c r="AX226" s="120">
        <v>0</v>
      </c>
      <c r="AY226" s="120">
        <v>0</v>
      </c>
    </row>
    <row r="227" spans="1:51" x14ac:dyDescent="0.2">
      <c r="A227" s="119"/>
      <c r="B227" s="130">
        <v>19</v>
      </c>
      <c r="C227" s="116"/>
      <c r="D227" s="120">
        <v>0</v>
      </c>
      <c r="E227" s="120">
        <v>0</v>
      </c>
      <c r="F227" s="120">
        <v>0</v>
      </c>
      <c r="G227" s="120">
        <v>0</v>
      </c>
      <c r="H227" s="120">
        <v>0</v>
      </c>
      <c r="I227" s="120">
        <v>0</v>
      </c>
      <c r="J227" s="120">
        <v>0</v>
      </c>
      <c r="K227" s="120">
        <v>0</v>
      </c>
      <c r="L227" s="120">
        <v>0</v>
      </c>
      <c r="M227" s="120">
        <v>0</v>
      </c>
      <c r="N227" s="120">
        <v>0</v>
      </c>
      <c r="O227" s="120">
        <v>0</v>
      </c>
      <c r="P227" s="120">
        <v>0</v>
      </c>
      <c r="Q227" s="120">
        <v>0</v>
      </c>
      <c r="R227" s="120">
        <v>0</v>
      </c>
      <c r="S227" s="120">
        <v>0</v>
      </c>
      <c r="T227" s="120">
        <v>0</v>
      </c>
      <c r="U227" s="120">
        <v>0</v>
      </c>
      <c r="V227" s="120">
        <v>0</v>
      </c>
      <c r="W227" s="120">
        <v>0</v>
      </c>
      <c r="X227" s="120">
        <v>0</v>
      </c>
      <c r="Y227" s="120">
        <v>0</v>
      </c>
      <c r="Z227" s="120">
        <v>0</v>
      </c>
      <c r="AA227" s="120">
        <v>0</v>
      </c>
      <c r="AB227" s="120">
        <v>0</v>
      </c>
      <c r="AC227" s="120">
        <v>0</v>
      </c>
      <c r="AD227" s="120">
        <v>0</v>
      </c>
      <c r="AE227" s="120">
        <v>0</v>
      </c>
      <c r="AF227" s="120">
        <v>0</v>
      </c>
      <c r="AG227" s="120">
        <v>0</v>
      </c>
      <c r="AH227" s="120">
        <v>0</v>
      </c>
      <c r="AI227" s="120">
        <v>0</v>
      </c>
      <c r="AJ227" s="120">
        <v>0</v>
      </c>
      <c r="AK227" s="120">
        <v>0</v>
      </c>
      <c r="AL227" s="120">
        <v>0</v>
      </c>
      <c r="AM227" s="120">
        <v>0</v>
      </c>
      <c r="AN227" s="120">
        <v>0</v>
      </c>
      <c r="AO227" s="120">
        <v>0</v>
      </c>
      <c r="AP227" s="120">
        <v>0</v>
      </c>
      <c r="AQ227" s="120">
        <v>0</v>
      </c>
      <c r="AR227" s="120">
        <v>0</v>
      </c>
      <c r="AS227" s="120">
        <v>0</v>
      </c>
      <c r="AT227" s="120">
        <v>0</v>
      </c>
      <c r="AU227" s="120">
        <v>0</v>
      </c>
      <c r="AV227" s="120">
        <v>0</v>
      </c>
      <c r="AW227" s="120">
        <v>0</v>
      </c>
      <c r="AX227" s="120">
        <v>0</v>
      </c>
      <c r="AY227" s="120">
        <v>0</v>
      </c>
    </row>
    <row r="228" spans="1:51" x14ac:dyDescent="0.2">
      <c r="A228" s="119"/>
      <c r="B228" s="130">
        <v>20</v>
      </c>
      <c r="C228" s="116"/>
      <c r="D228" s="120">
        <v>0</v>
      </c>
      <c r="E228" s="120">
        <v>0</v>
      </c>
      <c r="F228" s="120">
        <v>0</v>
      </c>
      <c r="G228" s="120">
        <v>0</v>
      </c>
      <c r="H228" s="120">
        <v>0</v>
      </c>
      <c r="I228" s="120">
        <v>0</v>
      </c>
      <c r="J228" s="120">
        <v>0</v>
      </c>
      <c r="K228" s="120">
        <v>0</v>
      </c>
      <c r="L228" s="120">
        <v>0</v>
      </c>
      <c r="M228" s="120">
        <v>0</v>
      </c>
      <c r="N228" s="120">
        <v>0</v>
      </c>
      <c r="O228" s="120">
        <v>0</v>
      </c>
      <c r="P228" s="120">
        <v>0</v>
      </c>
      <c r="Q228" s="120">
        <v>0</v>
      </c>
      <c r="R228" s="120">
        <v>0</v>
      </c>
      <c r="S228" s="120">
        <v>0</v>
      </c>
      <c r="T228" s="120">
        <v>0</v>
      </c>
      <c r="U228" s="120">
        <v>0</v>
      </c>
      <c r="V228" s="120">
        <v>0</v>
      </c>
      <c r="W228" s="120">
        <v>0</v>
      </c>
      <c r="X228" s="120">
        <v>0</v>
      </c>
      <c r="Y228" s="120">
        <v>0</v>
      </c>
      <c r="Z228" s="120">
        <v>0</v>
      </c>
      <c r="AA228" s="120">
        <v>0</v>
      </c>
      <c r="AB228" s="120">
        <v>0</v>
      </c>
      <c r="AC228" s="120">
        <v>0</v>
      </c>
      <c r="AD228" s="120">
        <v>0</v>
      </c>
      <c r="AE228" s="120">
        <v>0</v>
      </c>
      <c r="AF228" s="120">
        <v>0</v>
      </c>
      <c r="AG228" s="120">
        <v>0</v>
      </c>
      <c r="AH228" s="120">
        <v>0</v>
      </c>
      <c r="AI228" s="120">
        <v>0</v>
      </c>
      <c r="AJ228" s="120">
        <v>0</v>
      </c>
      <c r="AK228" s="120">
        <v>0</v>
      </c>
      <c r="AL228" s="120">
        <v>0</v>
      </c>
      <c r="AM228" s="120">
        <v>0</v>
      </c>
      <c r="AN228" s="120">
        <v>0</v>
      </c>
      <c r="AO228" s="120">
        <v>0</v>
      </c>
      <c r="AP228" s="120">
        <v>0</v>
      </c>
      <c r="AQ228" s="120">
        <v>0</v>
      </c>
      <c r="AR228" s="120">
        <v>0</v>
      </c>
      <c r="AS228" s="120">
        <v>0</v>
      </c>
      <c r="AT228" s="120">
        <v>0</v>
      </c>
      <c r="AU228" s="120">
        <v>0</v>
      </c>
      <c r="AV228" s="120">
        <v>0</v>
      </c>
      <c r="AW228" s="120">
        <v>0</v>
      </c>
      <c r="AX228" s="120">
        <v>0</v>
      </c>
      <c r="AY228" s="120">
        <v>0</v>
      </c>
    </row>
    <row r="229" spans="1:51" x14ac:dyDescent="0.2">
      <c r="A229" s="119"/>
      <c r="B229" s="130">
        <v>21</v>
      </c>
      <c r="C229" s="116"/>
      <c r="D229" s="120">
        <v>0</v>
      </c>
      <c r="E229" s="120">
        <v>0</v>
      </c>
      <c r="F229" s="120">
        <v>0</v>
      </c>
      <c r="G229" s="120">
        <v>0</v>
      </c>
      <c r="H229" s="120">
        <v>0</v>
      </c>
      <c r="I229" s="120">
        <v>0</v>
      </c>
      <c r="J229" s="120">
        <v>0</v>
      </c>
      <c r="K229" s="120">
        <v>0</v>
      </c>
      <c r="L229" s="120">
        <v>0</v>
      </c>
      <c r="M229" s="120">
        <v>0</v>
      </c>
      <c r="N229" s="120">
        <v>0</v>
      </c>
      <c r="O229" s="120">
        <v>0</v>
      </c>
      <c r="P229" s="120">
        <v>0</v>
      </c>
      <c r="Q229" s="120">
        <v>0</v>
      </c>
      <c r="R229" s="120">
        <v>0</v>
      </c>
      <c r="S229" s="120">
        <v>0</v>
      </c>
      <c r="T229" s="120">
        <v>0</v>
      </c>
      <c r="U229" s="120">
        <v>0</v>
      </c>
      <c r="V229" s="120">
        <v>0</v>
      </c>
      <c r="W229" s="120">
        <v>0</v>
      </c>
      <c r="X229" s="120">
        <v>0</v>
      </c>
      <c r="Y229" s="120">
        <v>0</v>
      </c>
      <c r="Z229" s="120">
        <v>0</v>
      </c>
      <c r="AA229" s="120">
        <v>0</v>
      </c>
      <c r="AB229" s="120">
        <v>0</v>
      </c>
      <c r="AC229" s="120">
        <v>0</v>
      </c>
      <c r="AD229" s="120">
        <v>0</v>
      </c>
      <c r="AE229" s="120">
        <v>0</v>
      </c>
      <c r="AF229" s="120">
        <v>0</v>
      </c>
      <c r="AG229" s="120">
        <v>0</v>
      </c>
      <c r="AH229" s="120">
        <v>0</v>
      </c>
      <c r="AI229" s="120">
        <v>0</v>
      </c>
      <c r="AJ229" s="120">
        <v>0</v>
      </c>
      <c r="AK229" s="120">
        <v>0</v>
      </c>
      <c r="AL229" s="120">
        <v>0</v>
      </c>
      <c r="AM229" s="120">
        <v>0</v>
      </c>
      <c r="AN229" s="120">
        <v>0</v>
      </c>
      <c r="AO229" s="120">
        <v>0</v>
      </c>
      <c r="AP229" s="120">
        <v>0</v>
      </c>
      <c r="AQ229" s="120">
        <v>0</v>
      </c>
      <c r="AR229" s="120">
        <v>0</v>
      </c>
      <c r="AS229" s="120">
        <v>0</v>
      </c>
      <c r="AT229" s="120">
        <v>0</v>
      </c>
      <c r="AU229" s="120">
        <v>0</v>
      </c>
      <c r="AV229" s="120">
        <v>0</v>
      </c>
      <c r="AW229" s="120">
        <v>0</v>
      </c>
      <c r="AX229" s="120">
        <v>0</v>
      </c>
      <c r="AY229" s="120">
        <v>0</v>
      </c>
    </row>
    <row r="230" spans="1:51" x14ac:dyDescent="0.2">
      <c r="A230" s="119"/>
      <c r="B230" s="130">
        <v>22</v>
      </c>
      <c r="C230" s="116"/>
      <c r="D230" s="120">
        <v>0</v>
      </c>
      <c r="E230" s="120">
        <v>0</v>
      </c>
      <c r="F230" s="120">
        <v>0</v>
      </c>
      <c r="G230" s="120">
        <v>0</v>
      </c>
      <c r="H230" s="120">
        <v>0</v>
      </c>
      <c r="I230" s="120">
        <v>0</v>
      </c>
      <c r="J230" s="120">
        <v>0</v>
      </c>
      <c r="K230" s="120">
        <v>0</v>
      </c>
      <c r="L230" s="120">
        <v>0</v>
      </c>
      <c r="M230" s="120">
        <v>0</v>
      </c>
      <c r="N230" s="120">
        <v>0</v>
      </c>
      <c r="O230" s="120">
        <v>0</v>
      </c>
      <c r="P230" s="120">
        <v>0</v>
      </c>
      <c r="Q230" s="120">
        <v>0</v>
      </c>
      <c r="R230" s="120">
        <v>0</v>
      </c>
      <c r="S230" s="120">
        <v>0</v>
      </c>
      <c r="T230" s="120">
        <v>0</v>
      </c>
      <c r="U230" s="120">
        <v>0</v>
      </c>
      <c r="V230" s="120">
        <v>0</v>
      </c>
      <c r="W230" s="120">
        <v>0</v>
      </c>
      <c r="X230" s="120">
        <v>0</v>
      </c>
      <c r="Y230" s="120">
        <v>0</v>
      </c>
      <c r="Z230" s="120">
        <v>0</v>
      </c>
      <c r="AA230" s="120">
        <v>0</v>
      </c>
      <c r="AB230" s="120">
        <v>0</v>
      </c>
      <c r="AC230" s="120">
        <v>0</v>
      </c>
      <c r="AD230" s="120">
        <v>0</v>
      </c>
      <c r="AE230" s="120">
        <v>0</v>
      </c>
      <c r="AF230" s="120">
        <v>0</v>
      </c>
      <c r="AG230" s="120">
        <v>0</v>
      </c>
      <c r="AH230" s="120">
        <v>0</v>
      </c>
      <c r="AI230" s="120">
        <v>0</v>
      </c>
      <c r="AJ230" s="120">
        <v>0</v>
      </c>
      <c r="AK230" s="120">
        <v>0</v>
      </c>
      <c r="AL230" s="120">
        <v>0</v>
      </c>
      <c r="AM230" s="120">
        <v>0</v>
      </c>
      <c r="AN230" s="120">
        <v>0</v>
      </c>
      <c r="AO230" s="120">
        <v>0</v>
      </c>
      <c r="AP230" s="120">
        <v>0</v>
      </c>
      <c r="AQ230" s="120">
        <v>0</v>
      </c>
      <c r="AR230" s="120">
        <v>0</v>
      </c>
      <c r="AS230" s="120">
        <v>0</v>
      </c>
      <c r="AT230" s="120">
        <v>0</v>
      </c>
      <c r="AU230" s="120">
        <v>0</v>
      </c>
      <c r="AV230" s="120">
        <v>0</v>
      </c>
      <c r="AW230" s="120">
        <v>0</v>
      </c>
      <c r="AX230" s="120">
        <v>0</v>
      </c>
      <c r="AY230" s="120">
        <v>0</v>
      </c>
    </row>
    <row r="231" spans="1:51" x14ac:dyDescent="0.2">
      <c r="A231" s="119"/>
      <c r="B231" s="130">
        <v>23</v>
      </c>
      <c r="C231" s="116"/>
      <c r="D231" s="120">
        <v>0</v>
      </c>
      <c r="E231" s="120">
        <v>0</v>
      </c>
      <c r="F231" s="120">
        <v>0</v>
      </c>
      <c r="G231" s="120">
        <v>0</v>
      </c>
      <c r="H231" s="120">
        <v>0</v>
      </c>
      <c r="I231" s="120">
        <v>0</v>
      </c>
      <c r="J231" s="120">
        <v>0</v>
      </c>
      <c r="K231" s="120">
        <v>0</v>
      </c>
      <c r="L231" s="120">
        <v>0</v>
      </c>
      <c r="M231" s="120">
        <v>0</v>
      </c>
      <c r="N231" s="120">
        <v>0</v>
      </c>
      <c r="O231" s="120">
        <v>0</v>
      </c>
      <c r="P231" s="120">
        <v>0</v>
      </c>
      <c r="Q231" s="120">
        <v>0</v>
      </c>
      <c r="R231" s="120">
        <v>0</v>
      </c>
      <c r="S231" s="120">
        <v>0</v>
      </c>
      <c r="T231" s="120">
        <v>0</v>
      </c>
      <c r="U231" s="120">
        <v>0</v>
      </c>
      <c r="V231" s="120">
        <v>0</v>
      </c>
      <c r="W231" s="120">
        <v>0</v>
      </c>
      <c r="X231" s="120">
        <v>0</v>
      </c>
      <c r="Y231" s="120">
        <v>0</v>
      </c>
      <c r="Z231" s="120">
        <v>0</v>
      </c>
      <c r="AA231" s="120">
        <v>0</v>
      </c>
      <c r="AB231" s="120">
        <v>0</v>
      </c>
      <c r="AC231" s="120">
        <v>0</v>
      </c>
      <c r="AD231" s="120">
        <v>0</v>
      </c>
      <c r="AE231" s="120">
        <v>0</v>
      </c>
      <c r="AF231" s="120">
        <v>0</v>
      </c>
      <c r="AG231" s="120">
        <v>0</v>
      </c>
      <c r="AH231" s="120">
        <v>0</v>
      </c>
      <c r="AI231" s="120">
        <v>0</v>
      </c>
      <c r="AJ231" s="120">
        <v>0</v>
      </c>
      <c r="AK231" s="120">
        <v>0</v>
      </c>
      <c r="AL231" s="120">
        <v>0</v>
      </c>
      <c r="AM231" s="120">
        <v>0</v>
      </c>
      <c r="AN231" s="120">
        <v>0</v>
      </c>
      <c r="AO231" s="120">
        <v>0</v>
      </c>
      <c r="AP231" s="120">
        <v>0</v>
      </c>
      <c r="AQ231" s="120">
        <v>0</v>
      </c>
      <c r="AR231" s="120">
        <v>0</v>
      </c>
      <c r="AS231" s="120">
        <v>0</v>
      </c>
      <c r="AT231" s="120">
        <v>0</v>
      </c>
      <c r="AU231" s="120">
        <v>0</v>
      </c>
      <c r="AV231" s="120">
        <v>0</v>
      </c>
      <c r="AW231" s="120">
        <v>0</v>
      </c>
      <c r="AX231" s="120">
        <v>0</v>
      </c>
      <c r="AY231" s="120">
        <v>0</v>
      </c>
    </row>
    <row r="232" spans="1:51" x14ac:dyDescent="0.2">
      <c r="A232" s="119"/>
      <c r="B232" s="130">
        <v>24</v>
      </c>
      <c r="C232" s="116"/>
      <c r="D232" s="120">
        <v>0</v>
      </c>
      <c r="E232" s="120">
        <v>0</v>
      </c>
      <c r="F232" s="120">
        <v>0</v>
      </c>
      <c r="G232" s="120">
        <v>0</v>
      </c>
      <c r="H232" s="120">
        <v>0</v>
      </c>
      <c r="I232" s="120">
        <v>0</v>
      </c>
      <c r="J232" s="120">
        <v>0</v>
      </c>
      <c r="K232" s="120">
        <v>0</v>
      </c>
      <c r="L232" s="120">
        <v>0</v>
      </c>
      <c r="M232" s="120">
        <v>0</v>
      </c>
      <c r="N232" s="120">
        <v>0</v>
      </c>
      <c r="O232" s="120">
        <v>0</v>
      </c>
      <c r="P232" s="120">
        <v>0</v>
      </c>
      <c r="Q232" s="120">
        <v>0</v>
      </c>
      <c r="R232" s="120">
        <v>0</v>
      </c>
      <c r="S232" s="120">
        <v>0</v>
      </c>
      <c r="T232" s="120">
        <v>0</v>
      </c>
      <c r="U232" s="120">
        <v>0</v>
      </c>
      <c r="V232" s="120">
        <v>0</v>
      </c>
      <c r="W232" s="120">
        <v>0</v>
      </c>
      <c r="X232" s="120">
        <v>0</v>
      </c>
      <c r="Y232" s="120">
        <v>0</v>
      </c>
      <c r="Z232" s="120">
        <v>0</v>
      </c>
      <c r="AA232" s="120">
        <v>0</v>
      </c>
      <c r="AB232" s="120">
        <v>0</v>
      </c>
      <c r="AC232" s="120">
        <v>0</v>
      </c>
      <c r="AD232" s="120">
        <v>0</v>
      </c>
      <c r="AE232" s="120">
        <v>0</v>
      </c>
      <c r="AF232" s="120">
        <v>0</v>
      </c>
      <c r="AG232" s="120">
        <v>0</v>
      </c>
      <c r="AH232" s="120">
        <v>0</v>
      </c>
      <c r="AI232" s="120">
        <v>0</v>
      </c>
      <c r="AJ232" s="120">
        <v>0</v>
      </c>
      <c r="AK232" s="120">
        <v>0</v>
      </c>
      <c r="AL232" s="120">
        <v>0</v>
      </c>
      <c r="AM232" s="120">
        <v>0</v>
      </c>
      <c r="AN232" s="120">
        <v>0</v>
      </c>
      <c r="AO232" s="120">
        <v>0</v>
      </c>
      <c r="AP232" s="120">
        <v>0</v>
      </c>
      <c r="AQ232" s="120">
        <v>0</v>
      </c>
      <c r="AR232" s="120">
        <v>0</v>
      </c>
      <c r="AS232" s="120">
        <v>0</v>
      </c>
      <c r="AT232" s="120">
        <v>0</v>
      </c>
      <c r="AU232" s="120">
        <v>0</v>
      </c>
      <c r="AV232" s="120">
        <v>0</v>
      </c>
      <c r="AW232" s="120">
        <v>0</v>
      </c>
      <c r="AX232" s="120">
        <v>0</v>
      </c>
      <c r="AY232" s="120">
        <v>0</v>
      </c>
    </row>
    <row r="233" spans="1:51" x14ac:dyDescent="0.2">
      <c r="A233" s="119"/>
      <c r="B233" s="137">
        <v>25</v>
      </c>
      <c r="C233" s="116"/>
      <c r="D233" s="120">
        <v>0</v>
      </c>
      <c r="E233" s="120">
        <v>0</v>
      </c>
      <c r="F233" s="120">
        <v>0</v>
      </c>
      <c r="G233" s="120">
        <v>0</v>
      </c>
      <c r="H233" s="120">
        <v>0</v>
      </c>
      <c r="I233" s="120">
        <v>0</v>
      </c>
      <c r="J233" s="120">
        <v>0</v>
      </c>
      <c r="K233" s="120">
        <v>0</v>
      </c>
      <c r="L233" s="120">
        <v>0</v>
      </c>
      <c r="M233" s="120">
        <v>0</v>
      </c>
      <c r="N233" s="120">
        <v>0</v>
      </c>
      <c r="O233" s="120">
        <v>0</v>
      </c>
      <c r="P233" s="120">
        <v>0</v>
      </c>
      <c r="Q233" s="120">
        <v>0</v>
      </c>
      <c r="R233" s="120">
        <v>0</v>
      </c>
      <c r="S233" s="120">
        <v>0</v>
      </c>
      <c r="T233" s="120">
        <v>0</v>
      </c>
      <c r="U233" s="120">
        <v>0</v>
      </c>
      <c r="V233" s="120">
        <v>0</v>
      </c>
      <c r="W233" s="120">
        <v>0</v>
      </c>
      <c r="X233" s="120">
        <v>0</v>
      </c>
      <c r="Y233" s="120">
        <v>0</v>
      </c>
      <c r="Z233" s="120">
        <v>0</v>
      </c>
      <c r="AA233" s="120">
        <v>0</v>
      </c>
      <c r="AB233" s="120">
        <v>0</v>
      </c>
      <c r="AC233" s="120">
        <v>0</v>
      </c>
      <c r="AD233" s="120">
        <v>0</v>
      </c>
      <c r="AE233" s="120">
        <v>0</v>
      </c>
      <c r="AF233" s="120">
        <v>0</v>
      </c>
      <c r="AG233" s="120">
        <v>0</v>
      </c>
      <c r="AH233" s="120">
        <v>0</v>
      </c>
      <c r="AI233" s="120">
        <v>0</v>
      </c>
      <c r="AJ233" s="120">
        <v>0</v>
      </c>
      <c r="AK233" s="120">
        <v>0</v>
      </c>
      <c r="AL233" s="120">
        <v>0</v>
      </c>
      <c r="AM233" s="120">
        <v>0</v>
      </c>
      <c r="AN233" s="120">
        <v>0</v>
      </c>
      <c r="AO233" s="120">
        <v>0</v>
      </c>
      <c r="AP233" s="120">
        <v>0</v>
      </c>
      <c r="AQ233" s="120">
        <v>0</v>
      </c>
      <c r="AR233" s="120">
        <v>0</v>
      </c>
      <c r="AS233" s="120">
        <v>0</v>
      </c>
      <c r="AT233" s="120">
        <v>0</v>
      </c>
      <c r="AU233" s="120">
        <v>0</v>
      </c>
      <c r="AV233" s="120">
        <v>0</v>
      </c>
      <c r="AW233" s="120">
        <v>0</v>
      </c>
      <c r="AX233" s="120">
        <v>0</v>
      </c>
      <c r="AY233" s="120">
        <v>0</v>
      </c>
    </row>
    <row r="234" spans="1:51" x14ac:dyDescent="0.2">
      <c r="A234" s="119"/>
      <c r="B234" s="137">
        <v>26</v>
      </c>
      <c r="C234" s="116"/>
      <c r="D234" s="120">
        <v>0</v>
      </c>
      <c r="E234" s="120">
        <v>0</v>
      </c>
      <c r="F234" s="120">
        <v>0</v>
      </c>
      <c r="G234" s="120">
        <v>0</v>
      </c>
      <c r="H234" s="120">
        <v>0</v>
      </c>
      <c r="I234" s="120">
        <v>0</v>
      </c>
      <c r="J234" s="120">
        <v>0</v>
      </c>
      <c r="K234" s="120">
        <v>0</v>
      </c>
      <c r="L234" s="120">
        <v>0</v>
      </c>
      <c r="M234" s="120">
        <v>0</v>
      </c>
      <c r="N234" s="120">
        <v>0</v>
      </c>
      <c r="O234" s="120">
        <v>0</v>
      </c>
      <c r="P234" s="120">
        <v>0</v>
      </c>
      <c r="Q234" s="120">
        <v>0</v>
      </c>
      <c r="R234" s="120">
        <v>0</v>
      </c>
      <c r="S234" s="120">
        <v>0</v>
      </c>
      <c r="T234" s="120">
        <v>0</v>
      </c>
      <c r="U234" s="120">
        <v>0</v>
      </c>
      <c r="V234" s="120">
        <v>0</v>
      </c>
      <c r="W234" s="120">
        <v>0</v>
      </c>
      <c r="X234" s="120">
        <v>0</v>
      </c>
      <c r="Y234" s="120">
        <v>0</v>
      </c>
      <c r="Z234" s="120">
        <v>0</v>
      </c>
      <c r="AA234" s="120">
        <v>0</v>
      </c>
      <c r="AB234" s="120">
        <v>0</v>
      </c>
      <c r="AC234" s="120">
        <v>0</v>
      </c>
      <c r="AD234" s="120">
        <v>0</v>
      </c>
      <c r="AE234" s="120">
        <v>0</v>
      </c>
      <c r="AF234" s="120">
        <v>0</v>
      </c>
      <c r="AG234" s="120">
        <v>0</v>
      </c>
      <c r="AH234" s="120">
        <v>0</v>
      </c>
      <c r="AI234" s="120">
        <v>0</v>
      </c>
      <c r="AJ234" s="120">
        <v>0</v>
      </c>
      <c r="AK234" s="120">
        <v>0</v>
      </c>
      <c r="AL234" s="120">
        <v>0</v>
      </c>
      <c r="AM234" s="120">
        <v>0</v>
      </c>
      <c r="AN234" s="120">
        <v>0</v>
      </c>
      <c r="AO234" s="120">
        <v>0</v>
      </c>
      <c r="AP234" s="120">
        <v>0</v>
      </c>
      <c r="AQ234" s="120">
        <v>0</v>
      </c>
      <c r="AR234" s="120">
        <v>0</v>
      </c>
      <c r="AS234" s="120">
        <v>0</v>
      </c>
      <c r="AT234" s="120">
        <v>0</v>
      </c>
      <c r="AU234" s="120">
        <v>0</v>
      </c>
      <c r="AV234" s="120">
        <v>0</v>
      </c>
      <c r="AW234" s="120">
        <v>0</v>
      </c>
      <c r="AX234" s="120">
        <v>0</v>
      </c>
      <c r="AY234" s="120">
        <v>0</v>
      </c>
    </row>
    <row r="235" spans="1:51" x14ac:dyDescent="0.2">
      <c r="A235" s="119"/>
      <c r="B235" s="137">
        <v>27</v>
      </c>
      <c r="C235" s="116"/>
      <c r="D235" s="120">
        <v>0</v>
      </c>
      <c r="E235" s="120">
        <v>0</v>
      </c>
      <c r="F235" s="120">
        <v>0</v>
      </c>
      <c r="G235" s="120">
        <v>0</v>
      </c>
      <c r="H235" s="120">
        <v>0</v>
      </c>
      <c r="I235" s="120">
        <v>0</v>
      </c>
      <c r="J235" s="120">
        <v>0</v>
      </c>
      <c r="K235" s="120">
        <v>0</v>
      </c>
      <c r="L235" s="120">
        <v>0</v>
      </c>
      <c r="M235" s="120">
        <v>0</v>
      </c>
      <c r="N235" s="120">
        <v>0</v>
      </c>
      <c r="O235" s="120">
        <v>0</v>
      </c>
      <c r="P235" s="120">
        <v>0</v>
      </c>
      <c r="Q235" s="120">
        <v>0</v>
      </c>
      <c r="R235" s="120">
        <v>0</v>
      </c>
      <c r="S235" s="120">
        <v>0</v>
      </c>
      <c r="T235" s="120">
        <v>0</v>
      </c>
      <c r="U235" s="120">
        <v>0</v>
      </c>
      <c r="V235" s="120">
        <v>0</v>
      </c>
      <c r="W235" s="120">
        <v>0</v>
      </c>
      <c r="X235" s="120">
        <v>0</v>
      </c>
      <c r="Y235" s="120">
        <v>0</v>
      </c>
      <c r="Z235" s="120">
        <v>0</v>
      </c>
      <c r="AA235" s="120">
        <v>0</v>
      </c>
      <c r="AB235" s="120">
        <v>0</v>
      </c>
      <c r="AC235" s="120">
        <v>0</v>
      </c>
      <c r="AD235" s="120">
        <v>0</v>
      </c>
      <c r="AE235" s="120">
        <v>0</v>
      </c>
      <c r="AF235" s="120">
        <v>0</v>
      </c>
      <c r="AG235" s="120">
        <v>0</v>
      </c>
      <c r="AH235" s="120">
        <v>0</v>
      </c>
      <c r="AI235" s="120">
        <v>0</v>
      </c>
      <c r="AJ235" s="120">
        <v>0</v>
      </c>
      <c r="AK235" s="120">
        <v>0</v>
      </c>
      <c r="AL235" s="120">
        <v>0</v>
      </c>
      <c r="AM235" s="120">
        <v>0</v>
      </c>
      <c r="AN235" s="120">
        <v>0</v>
      </c>
      <c r="AO235" s="120">
        <v>0</v>
      </c>
      <c r="AP235" s="120">
        <v>0</v>
      </c>
      <c r="AQ235" s="120">
        <v>0</v>
      </c>
      <c r="AR235" s="120">
        <v>0</v>
      </c>
      <c r="AS235" s="120">
        <v>0</v>
      </c>
      <c r="AT235" s="120">
        <v>0</v>
      </c>
      <c r="AU235" s="120">
        <v>0</v>
      </c>
      <c r="AV235" s="120">
        <v>0</v>
      </c>
      <c r="AW235" s="120">
        <v>0</v>
      </c>
      <c r="AX235" s="120">
        <v>0</v>
      </c>
      <c r="AY235" s="120">
        <v>0</v>
      </c>
    </row>
    <row r="236" spans="1:51" x14ac:dyDescent="0.2">
      <c r="A236" s="119"/>
      <c r="B236" s="137">
        <v>28</v>
      </c>
      <c r="C236" s="116"/>
      <c r="D236" s="120">
        <v>0</v>
      </c>
      <c r="E236" s="120">
        <v>0</v>
      </c>
      <c r="F236" s="120">
        <v>0</v>
      </c>
      <c r="G236" s="120">
        <v>0</v>
      </c>
      <c r="H236" s="120">
        <v>0</v>
      </c>
      <c r="I236" s="120">
        <v>0</v>
      </c>
      <c r="J236" s="120">
        <v>0</v>
      </c>
      <c r="K236" s="120">
        <v>0</v>
      </c>
      <c r="L236" s="120">
        <v>0</v>
      </c>
      <c r="M236" s="120">
        <v>0</v>
      </c>
      <c r="N236" s="120">
        <v>0</v>
      </c>
      <c r="O236" s="120">
        <v>0</v>
      </c>
      <c r="P236" s="120">
        <v>0</v>
      </c>
      <c r="Q236" s="120">
        <v>0</v>
      </c>
      <c r="R236" s="120">
        <v>0</v>
      </c>
      <c r="S236" s="120">
        <v>0</v>
      </c>
      <c r="T236" s="120">
        <v>0</v>
      </c>
      <c r="U236" s="120">
        <v>0</v>
      </c>
      <c r="V236" s="120">
        <v>0</v>
      </c>
      <c r="W236" s="120">
        <v>0</v>
      </c>
      <c r="X236" s="120">
        <v>0</v>
      </c>
      <c r="Y236" s="120">
        <v>0</v>
      </c>
      <c r="Z236" s="120">
        <v>0</v>
      </c>
      <c r="AA236" s="120">
        <v>0</v>
      </c>
      <c r="AB236" s="120">
        <v>0</v>
      </c>
      <c r="AC236" s="120">
        <v>0</v>
      </c>
      <c r="AD236" s="120">
        <v>0</v>
      </c>
      <c r="AE236" s="120">
        <v>0</v>
      </c>
      <c r="AF236" s="120">
        <v>0</v>
      </c>
      <c r="AG236" s="120">
        <v>0</v>
      </c>
      <c r="AH236" s="120">
        <v>0</v>
      </c>
      <c r="AI236" s="120">
        <v>0</v>
      </c>
      <c r="AJ236" s="120">
        <v>0</v>
      </c>
      <c r="AK236" s="120">
        <v>0</v>
      </c>
      <c r="AL236" s="120">
        <v>0</v>
      </c>
      <c r="AM236" s="120">
        <v>0</v>
      </c>
      <c r="AN236" s="120">
        <v>0</v>
      </c>
      <c r="AO236" s="120">
        <v>0</v>
      </c>
      <c r="AP236" s="120">
        <v>0</v>
      </c>
      <c r="AQ236" s="120">
        <v>0</v>
      </c>
      <c r="AR236" s="120">
        <v>0</v>
      </c>
      <c r="AS236" s="120">
        <v>0</v>
      </c>
      <c r="AT236" s="120">
        <v>0</v>
      </c>
      <c r="AU236" s="120">
        <v>0</v>
      </c>
      <c r="AV236" s="120">
        <v>0</v>
      </c>
      <c r="AW236" s="120">
        <v>0</v>
      </c>
      <c r="AX236" s="120">
        <v>0</v>
      </c>
      <c r="AY236" s="120">
        <v>0</v>
      </c>
    </row>
    <row r="237" spans="1:51" x14ac:dyDescent="0.2">
      <c r="A237" s="119"/>
      <c r="B237" s="137">
        <v>29</v>
      </c>
      <c r="C237" s="116"/>
      <c r="D237" s="120">
        <v>0</v>
      </c>
      <c r="E237" s="120">
        <v>0</v>
      </c>
      <c r="F237" s="120">
        <v>0</v>
      </c>
      <c r="G237" s="120">
        <v>0</v>
      </c>
      <c r="H237" s="120">
        <v>0</v>
      </c>
      <c r="I237" s="120">
        <v>0</v>
      </c>
      <c r="J237" s="120">
        <v>0</v>
      </c>
      <c r="K237" s="120">
        <v>0</v>
      </c>
      <c r="L237" s="120">
        <v>0</v>
      </c>
      <c r="M237" s="120">
        <v>0</v>
      </c>
      <c r="N237" s="120">
        <v>0</v>
      </c>
      <c r="O237" s="120">
        <v>0</v>
      </c>
      <c r="P237" s="120">
        <v>0</v>
      </c>
      <c r="Q237" s="120">
        <v>0</v>
      </c>
      <c r="R237" s="120">
        <v>0</v>
      </c>
      <c r="S237" s="120">
        <v>0</v>
      </c>
      <c r="T237" s="120">
        <v>0</v>
      </c>
      <c r="U237" s="120">
        <v>0</v>
      </c>
      <c r="V237" s="120">
        <v>0</v>
      </c>
      <c r="W237" s="120">
        <v>0</v>
      </c>
      <c r="X237" s="120">
        <v>0</v>
      </c>
      <c r="Y237" s="120">
        <v>0</v>
      </c>
      <c r="Z237" s="120">
        <v>0</v>
      </c>
      <c r="AA237" s="120">
        <v>0</v>
      </c>
      <c r="AB237" s="120">
        <v>0</v>
      </c>
      <c r="AC237" s="120">
        <v>0</v>
      </c>
      <c r="AD237" s="120">
        <v>0</v>
      </c>
      <c r="AE237" s="120">
        <v>0</v>
      </c>
      <c r="AF237" s="120">
        <v>0</v>
      </c>
      <c r="AG237" s="120">
        <v>0</v>
      </c>
      <c r="AH237" s="120">
        <v>0</v>
      </c>
      <c r="AI237" s="120">
        <v>0</v>
      </c>
      <c r="AJ237" s="120">
        <v>0</v>
      </c>
      <c r="AK237" s="120">
        <v>0</v>
      </c>
      <c r="AL237" s="120">
        <v>0</v>
      </c>
      <c r="AM237" s="120">
        <v>0</v>
      </c>
      <c r="AN237" s="120">
        <v>0</v>
      </c>
      <c r="AO237" s="120">
        <v>0</v>
      </c>
      <c r="AP237" s="120">
        <v>0</v>
      </c>
      <c r="AQ237" s="120">
        <v>0</v>
      </c>
      <c r="AR237" s="120">
        <v>0</v>
      </c>
      <c r="AS237" s="120">
        <v>0</v>
      </c>
      <c r="AT237" s="120">
        <v>0</v>
      </c>
      <c r="AU237" s="120">
        <v>0</v>
      </c>
      <c r="AV237" s="120">
        <v>0</v>
      </c>
      <c r="AW237" s="120">
        <v>0</v>
      </c>
      <c r="AX237" s="120">
        <v>0</v>
      </c>
      <c r="AY237" s="120">
        <v>0</v>
      </c>
    </row>
    <row r="238" spans="1:51" x14ac:dyDescent="0.2">
      <c r="A238" s="119"/>
      <c r="B238" s="137">
        <v>30</v>
      </c>
      <c r="C238" s="116"/>
      <c r="D238" s="120">
        <v>0</v>
      </c>
      <c r="E238" s="120">
        <v>0</v>
      </c>
      <c r="F238" s="120">
        <v>0</v>
      </c>
      <c r="G238" s="120">
        <v>0</v>
      </c>
      <c r="H238" s="120">
        <v>0</v>
      </c>
      <c r="I238" s="120">
        <v>0</v>
      </c>
      <c r="J238" s="120">
        <v>0</v>
      </c>
      <c r="K238" s="120">
        <v>0</v>
      </c>
      <c r="L238" s="120">
        <v>0</v>
      </c>
      <c r="M238" s="120">
        <v>0</v>
      </c>
      <c r="N238" s="120">
        <v>0</v>
      </c>
      <c r="O238" s="120">
        <v>0</v>
      </c>
      <c r="P238" s="120">
        <v>0</v>
      </c>
      <c r="Q238" s="120">
        <v>0</v>
      </c>
      <c r="R238" s="120">
        <v>0</v>
      </c>
      <c r="S238" s="120">
        <v>0</v>
      </c>
      <c r="T238" s="120">
        <v>0</v>
      </c>
      <c r="U238" s="120">
        <v>0</v>
      </c>
      <c r="V238" s="120">
        <v>0</v>
      </c>
      <c r="W238" s="120">
        <v>0</v>
      </c>
      <c r="X238" s="120">
        <v>0</v>
      </c>
      <c r="Y238" s="120">
        <v>0</v>
      </c>
      <c r="Z238" s="120">
        <v>0</v>
      </c>
      <c r="AA238" s="120">
        <v>0</v>
      </c>
      <c r="AB238" s="120">
        <v>0</v>
      </c>
      <c r="AC238" s="120">
        <v>0</v>
      </c>
      <c r="AD238" s="120">
        <v>0</v>
      </c>
      <c r="AE238" s="120">
        <v>0</v>
      </c>
      <c r="AF238" s="120">
        <v>0</v>
      </c>
      <c r="AG238" s="120">
        <v>0</v>
      </c>
      <c r="AH238" s="120">
        <v>0</v>
      </c>
      <c r="AI238" s="120">
        <v>0</v>
      </c>
      <c r="AJ238" s="120">
        <v>0</v>
      </c>
      <c r="AK238" s="120">
        <v>0</v>
      </c>
      <c r="AL238" s="120">
        <v>0</v>
      </c>
      <c r="AM238" s="120">
        <v>0</v>
      </c>
      <c r="AN238" s="120">
        <v>0</v>
      </c>
      <c r="AO238" s="120">
        <v>0</v>
      </c>
      <c r="AP238" s="120">
        <v>0</v>
      </c>
      <c r="AQ238" s="120">
        <v>0</v>
      </c>
      <c r="AR238" s="120">
        <v>0</v>
      </c>
      <c r="AS238" s="120">
        <v>0</v>
      </c>
      <c r="AT238" s="120">
        <v>0</v>
      </c>
      <c r="AU238" s="120">
        <v>0</v>
      </c>
      <c r="AV238" s="120">
        <v>0</v>
      </c>
      <c r="AW238" s="120">
        <v>0</v>
      </c>
      <c r="AX238" s="120">
        <v>0</v>
      </c>
      <c r="AY238" s="120">
        <v>0</v>
      </c>
    </row>
    <row r="239" spans="1:51" x14ac:dyDescent="0.2">
      <c r="A239" s="119"/>
      <c r="B239" s="137">
        <v>31</v>
      </c>
      <c r="C239" s="116"/>
      <c r="D239" s="120">
        <v>0</v>
      </c>
      <c r="E239" s="120">
        <v>0</v>
      </c>
      <c r="F239" s="120">
        <v>0</v>
      </c>
      <c r="G239" s="120">
        <v>0</v>
      </c>
      <c r="H239" s="120">
        <v>0</v>
      </c>
      <c r="I239" s="120">
        <v>0</v>
      </c>
      <c r="J239" s="120">
        <v>0</v>
      </c>
      <c r="K239" s="120">
        <v>0</v>
      </c>
      <c r="L239" s="120">
        <v>0</v>
      </c>
      <c r="M239" s="120">
        <v>0</v>
      </c>
      <c r="N239" s="120">
        <v>0</v>
      </c>
      <c r="O239" s="120">
        <v>0</v>
      </c>
      <c r="P239" s="120">
        <v>0</v>
      </c>
      <c r="Q239" s="120">
        <v>0</v>
      </c>
      <c r="R239" s="120">
        <v>0</v>
      </c>
      <c r="S239" s="120">
        <v>0</v>
      </c>
      <c r="T239" s="120">
        <v>0</v>
      </c>
      <c r="U239" s="120">
        <v>0</v>
      </c>
      <c r="V239" s="120">
        <v>0</v>
      </c>
      <c r="W239" s="120">
        <v>0</v>
      </c>
      <c r="X239" s="120">
        <v>0</v>
      </c>
      <c r="Y239" s="120">
        <v>0</v>
      </c>
      <c r="Z239" s="120">
        <v>0</v>
      </c>
      <c r="AA239" s="120">
        <v>0</v>
      </c>
      <c r="AB239" s="120">
        <v>0</v>
      </c>
      <c r="AC239" s="120">
        <v>0</v>
      </c>
      <c r="AD239" s="120">
        <v>0</v>
      </c>
      <c r="AE239" s="120">
        <v>0</v>
      </c>
      <c r="AF239" s="120">
        <v>0</v>
      </c>
      <c r="AG239" s="120">
        <v>0</v>
      </c>
      <c r="AH239" s="120">
        <v>0</v>
      </c>
      <c r="AI239" s="120">
        <v>0</v>
      </c>
      <c r="AJ239" s="120">
        <v>0</v>
      </c>
      <c r="AK239" s="120">
        <v>0</v>
      </c>
      <c r="AL239" s="120">
        <v>0</v>
      </c>
      <c r="AM239" s="120">
        <v>0</v>
      </c>
      <c r="AN239" s="120">
        <v>0</v>
      </c>
      <c r="AO239" s="120">
        <v>0</v>
      </c>
      <c r="AP239" s="120">
        <v>0</v>
      </c>
      <c r="AQ239" s="120">
        <v>0</v>
      </c>
      <c r="AR239" s="120">
        <v>0</v>
      </c>
      <c r="AS239" s="120">
        <v>0</v>
      </c>
      <c r="AT239" s="120">
        <v>0</v>
      </c>
      <c r="AU239" s="120">
        <v>0</v>
      </c>
      <c r="AV239" s="120">
        <v>0</v>
      </c>
      <c r="AW239" s="120">
        <v>0</v>
      </c>
      <c r="AX239" s="120">
        <v>0</v>
      </c>
      <c r="AY239" s="120">
        <v>0</v>
      </c>
    </row>
    <row r="240" spans="1:51" x14ac:dyDescent="0.2">
      <c r="A240" s="119"/>
      <c r="B240" s="137">
        <v>32</v>
      </c>
      <c r="C240" s="116"/>
      <c r="D240" s="120">
        <v>0</v>
      </c>
      <c r="E240" s="120">
        <v>0</v>
      </c>
      <c r="F240" s="120">
        <v>0</v>
      </c>
      <c r="G240" s="120">
        <v>0</v>
      </c>
      <c r="H240" s="120">
        <v>0</v>
      </c>
      <c r="I240" s="120">
        <v>0</v>
      </c>
      <c r="J240" s="120">
        <v>0</v>
      </c>
      <c r="K240" s="120">
        <v>0</v>
      </c>
      <c r="L240" s="120">
        <v>0</v>
      </c>
      <c r="M240" s="120">
        <v>0</v>
      </c>
      <c r="N240" s="120">
        <v>0</v>
      </c>
      <c r="O240" s="120">
        <v>0</v>
      </c>
      <c r="P240" s="120">
        <v>0</v>
      </c>
      <c r="Q240" s="120">
        <v>0</v>
      </c>
      <c r="R240" s="120">
        <v>0</v>
      </c>
      <c r="S240" s="120">
        <v>0</v>
      </c>
      <c r="T240" s="120">
        <v>0</v>
      </c>
      <c r="U240" s="120">
        <v>0</v>
      </c>
      <c r="V240" s="120">
        <v>0</v>
      </c>
      <c r="W240" s="120">
        <v>0</v>
      </c>
      <c r="X240" s="120">
        <v>0</v>
      </c>
      <c r="Y240" s="120">
        <v>0</v>
      </c>
      <c r="Z240" s="120">
        <v>0</v>
      </c>
      <c r="AA240" s="120">
        <v>0</v>
      </c>
      <c r="AB240" s="120">
        <v>0</v>
      </c>
      <c r="AC240" s="120">
        <v>0</v>
      </c>
      <c r="AD240" s="120">
        <v>0</v>
      </c>
      <c r="AE240" s="120">
        <v>0</v>
      </c>
      <c r="AF240" s="120">
        <v>0</v>
      </c>
      <c r="AG240" s="120">
        <v>0</v>
      </c>
      <c r="AH240" s="120">
        <v>0</v>
      </c>
      <c r="AI240" s="120">
        <v>0</v>
      </c>
      <c r="AJ240" s="120">
        <v>0</v>
      </c>
      <c r="AK240" s="120">
        <v>0</v>
      </c>
      <c r="AL240" s="120">
        <v>0</v>
      </c>
      <c r="AM240" s="120">
        <v>0</v>
      </c>
      <c r="AN240" s="120">
        <v>0</v>
      </c>
      <c r="AO240" s="120">
        <v>0</v>
      </c>
      <c r="AP240" s="120">
        <v>0</v>
      </c>
      <c r="AQ240" s="120">
        <v>0</v>
      </c>
      <c r="AR240" s="120">
        <v>0</v>
      </c>
      <c r="AS240" s="120">
        <v>0</v>
      </c>
      <c r="AT240" s="120">
        <v>0</v>
      </c>
      <c r="AU240" s="120">
        <v>0</v>
      </c>
      <c r="AV240" s="120">
        <v>0</v>
      </c>
      <c r="AW240" s="120">
        <v>0</v>
      </c>
      <c r="AX240" s="120">
        <v>0</v>
      </c>
      <c r="AY240" s="120">
        <v>0</v>
      </c>
    </row>
    <row r="241" spans="1:51" x14ac:dyDescent="0.2">
      <c r="A241" s="119"/>
      <c r="B241" s="137">
        <v>33</v>
      </c>
      <c r="C241" s="116"/>
      <c r="D241" s="120">
        <v>0</v>
      </c>
      <c r="E241" s="120">
        <v>0</v>
      </c>
      <c r="F241" s="120">
        <v>0</v>
      </c>
      <c r="G241" s="120">
        <v>0</v>
      </c>
      <c r="H241" s="120">
        <v>0</v>
      </c>
      <c r="I241" s="120">
        <v>0</v>
      </c>
      <c r="J241" s="120">
        <v>0</v>
      </c>
      <c r="K241" s="120">
        <v>0</v>
      </c>
      <c r="L241" s="120">
        <v>0</v>
      </c>
      <c r="M241" s="120">
        <v>0</v>
      </c>
      <c r="N241" s="120">
        <v>0</v>
      </c>
      <c r="O241" s="120">
        <v>0</v>
      </c>
      <c r="P241" s="120">
        <v>0</v>
      </c>
      <c r="Q241" s="120">
        <v>0</v>
      </c>
      <c r="R241" s="120">
        <v>0</v>
      </c>
      <c r="S241" s="120">
        <v>0</v>
      </c>
      <c r="T241" s="120">
        <v>0</v>
      </c>
      <c r="U241" s="120">
        <v>0</v>
      </c>
      <c r="V241" s="120">
        <v>0</v>
      </c>
      <c r="W241" s="120">
        <v>0</v>
      </c>
      <c r="X241" s="120">
        <v>0</v>
      </c>
      <c r="Y241" s="120">
        <v>0</v>
      </c>
      <c r="Z241" s="120">
        <v>0</v>
      </c>
      <c r="AA241" s="120">
        <v>0</v>
      </c>
      <c r="AB241" s="120">
        <v>0</v>
      </c>
      <c r="AC241" s="120">
        <v>0</v>
      </c>
      <c r="AD241" s="120">
        <v>0</v>
      </c>
      <c r="AE241" s="120">
        <v>0</v>
      </c>
      <c r="AF241" s="120">
        <v>0</v>
      </c>
      <c r="AG241" s="120">
        <v>0</v>
      </c>
      <c r="AH241" s="120">
        <v>0</v>
      </c>
      <c r="AI241" s="120">
        <v>0</v>
      </c>
      <c r="AJ241" s="120">
        <v>0</v>
      </c>
      <c r="AK241" s="120">
        <v>0</v>
      </c>
      <c r="AL241" s="120">
        <v>0</v>
      </c>
      <c r="AM241" s="120">
        <v>0</v>
      </c>
      <c r="AN241" s="120">
        <v>0</v>
      </c>
      <c r="AO241" s="120">
        <v>0</v>
      </c>
      <c r="AP241" s="120">
        <v>0</v>
      </c>
      <c r="AQ241" s="120">
        <v>0</v>
      </c>
      <c r="AR241" s="120">
        <v>0</v>
      </c>
      <c r="AS241" s="120">
        <v>0</v>
      </c>
      <c r="AT241" s="120">
        <v>0</v>
      </c>
      <c r="AU241" s="120">
        <v>0</v>
      </c>
      <c r="AV241" s="120">
        <v>0</v>
      </c>
      <c r="AW241" s="120">
        <v>0</v>
      </c>
      <c r="AX241" s="120">
        <v>0</v>
      </c>
      <c r="AY241" s="120">
        <v>0</v>
      </c>
    </row>
    <row r="242" spans="1:51" x14ac:dyDescent="0.2">
      <c r="A242" s="119"/>
      <c r="B242" s="137">
        <v>34</v>
      </c>
      <c r="C242" s="116"/>
      <c r="D242" s="120">
        <v>0</v>
      </c>
      <c r="E242" s="120">
        <v>0</v>
      </c>
      <c r="F242" s="120">
        <v>0</v>
      </c>
      <c r="G242" s="120">
        <v>0</v>
      </c>
      <c r="H242" s="120">
        <v>0</v>
      </c>
      <c r="I242" s="120">
        <v>0</v>
      </c>
      <c r="J242" s="120">
        <v>0</v>
      </c>
      <c r="K242" s="120">
        <v>0</v>
      </c>
      <c r="L242" s="120">
        <v>0</v>
      </c>
      <c r="M242" s="120">
        <v>0</v>
      </c>
      <c r="N242" s="120">
        <v>0</v>
      </c>
      <c r="O242" s="120">
        <v>0</v>
      </c>
      <c r="P242" s="120">
        <v>0</v>
      </c>
      <c r="Q242" s="120">
        <v>0</v>
      </c>
      <c r="R242" s="120">
        <v>0</v>
      </c>
      <c r="S242" s="120">
        <v>0</v>
      </c>
      <c r="T242" s="120">
        <v>0</v>
      </c>
      <c r="U242" s="120">
        <v>0</v>
      </c>
      <c r="V242" s="120">
        <v>0</v>
      </c>
      <c r="W242" s="120">
        <v>0</v>
      </c>
      <c r="X242" s="120">
        <v>0</v>
      </c>
      <c r="Y242" s="120">
        <v>0</v>
      </c>
      <c r="Z242" s="120">
        <v>0</v>
      </c>
      <c r="AA242" s="120">
        <v>0</v>
      </c>
      <c r="AB242" s="120">
        <v>0</v>
      </c>
      <c r="AC242" s="120">
        <v>0</v>
      </c>
      <c r="AD242" s="120">
        <v>0</v>
      </c>
      <c r="AE242" s="120">
        <v>0</v>
      </c>
      <c r="AF242" s="120">
        <v>0</v>
      </c>
      <c r="AG242" s="120">
        <v>0</v>
      </c>
      <c r="AH242" s="120">
        <v>0</v>
      </c>
      <c r="AI242" s="120">
        <v>0</v>
      </c>
      <c r="AJ242" s="120">
        <v>0</v>
      </c>
      <c r="AK242" s="120">
        <v>0</v>
      </c>
      <c r="AL242" s="120">
        <v>0</v>
      </c>
      <c r="AM242" s="120">
        <v>0</v>
      </c>
      <c r="AN242" s="120">
        <v>0</v>
      </c>
      <c r="AO242" s="120">
        <v>0</v>
      </c>
      <c r="AP242" s="120">
        <v>0</v>
      </c>
      <c r="AQ242" s="120">
        <v>0</v>
      </c>
      <c r="AR242" s="120">
        <v>0</v>
      </c>
      <c r="AS242" s="120">
        <v>0</v>
      </c>
      <c r="AT242" s="120">
        <v>0</v>
      </c>
      <c r="AU242" s="120">
        <v>0</v>
      </c>
      <c r="AV242" s="120">
        <v>0</v>
      </c>
      <c r="AW242" s="120">
        <v>0</v>
      </c>
      <c r="AX242" s="120">
        <v>0</v>
      </c>
      <c r="AY242" s="120">
        <v>0</v>
      </c>
    </row>
    <row r="243" spans="1:51" x14ac:dyDescent="0.2">
      <c r="A243" s="119"/>
      <c r="B243" s="137">
        <v>35</v>
      </c>
      <c r="C243" s="116"/>
      <c r="D243" s="120">
        <v>0</v>
      </c>
      <c r="E243" s="120">
        <v>0</v>
      </c>
      <c r="F243" s="120">
        <v>0</v>
      </c>
      <c r="G243" s="120">
        <v>0</v>
      </c>
      <c r="H243" s="120">
        <v>0</v>
      </c>
      <c r="I243" s="120">
        <v>0</v>
      </c>
      <c r="J243" s="120">
        <v>0</v>
      </c>
      <c r="K243" s="120">
        <v>0</v>
      </c>
      <c r="L243" s="120">
        <v>0</v>
      </c>
      <c r="M243" s="120">
        <v>0</v>
      </c>
      <c r="N243" s="120">
        <v>0</v>
      </c>
      <c r="O243" s="120">
        <v>0</v>
      </c>
      <c r="P243" s="120">
        <v>0</v>
      </c>
      <c r="Q243" s="120">
        <v>0</v>
      </c>
      <c r="R243" s="120">
        <v>0</v>
      </c>
      <c r="S243" s="120">
        <v>0</v>
      </c>
      <c r="T243" s="120">
        <v>0</v>
      </c>
      <c r="U243" s="120">
        <v>0</v>
      </c>
      <c r="V243" s="120">
        <v>0</v>
      </c>
      <c r="W243" s="120">
        <v>0</v>
      </c>
      <c r="X243" s="120">
        <v>0</v>
      </c>
      <c r="Y243" s="120">
        <v>0</v>
      </c>
      <c r="Z243" s="120">
        <v>0</v>
      </c>
      <c r="AA243" s="120">
        <v>0</v>
      </c>
      <c r="AB243" s="120">
        <v>0</v>
      </c>
      <c r="AC243" s="120">
        <v>0</v>
      </c>
      <c r="AD243" s="120">
        <v>0</v>
      </c>
      <c r="AE243" s="120">
        <v>0</v>
      </c>
      <c r="AF243" s="120">
        <v>0</v>
      </c>
      <c r="AG243" s="120">
        <v>0</v>
      </c>
      <c r="AH243" s="120">
        <v>0</v>
      </c>
      <c r="AI243" s="120">
        <v>0</v>
      </c>
      <c r="AJ243" s="120">
        <v>0</v>
      </c>
      <c r="AK243" s="120">
        <v>0</v>
      </c>
      <c r="AL243" s="120">
        <v>0</v>
      </c>
      <c r="AM243" s="120">
        <v>0</v>
      </c>
      <c r="AN243" s="120">
        <v>0</v>
      </c>
      <c r="AO243" s="120">
        <v>0</v>
      </c>
      <c r="AP243" s="120">
        <v>0</v>
      </c>
      <c r="AQ243" s="120">
        <v>0</v>
      </c>
      <c r="AR243" s="120">
        <v>0</v>
      </c>
      <c r="AS243" s="120">
        <v>0</v>
      </c>
      <c r="AT243" s="120">
        <v>0</v>
      </c>
      <c r="AU243" s="120">
        <v>0</v>
      </c>
      <c r="AV243" s="120">
        <v>0</v>
      </c>
      <c r="AW243" s="120">
        <v>0</v>
      </c>
      <c r="AX243" s="120">
        <v>0</v>
      </c>
      <c r="AY243" s="120">
        <v>0</v>
      </c>
    </row>
    <row r="244" spans="1:51" x14ac:dyDescent="0.2">
      <c r="A244" s="119"/>
      <c r="B244" s="137">
        <v>36</v>
      </c>
      <c r="C244" s="116"/>
      <c r="D244" s="120">
        <v>0</v>
      </c>
      <c r="E244" s="120">
        <v>0</v>
      </c>
      <c r="F244" s="120">
        <v>0</v>
      </c>
      <c r="G244" s="120">
        <v>0</v>
      </c>
      <c r="H244" s="120">
        <v>0</v>
      </c>
      <c r="I244" s="120">
        <v>0</v>
      </c>
      <c r="J244" s="120">
        <v>0</v>
      </c>
      <c r="K244" s="120">
        <v>0</v>
      </c>
      <c r="L244" s="120">
        <v>0</v>
      </c>
      <c r="M244" s="120">
        <v>0</v>
      </c>
      <c r="N244" s="120">
        <v>0</v>
      </c>
      <c r="O244" s="120">
        <v>0</v>
      </c>
      <c r="P244" s="120">
        <v>0</v>
      </c>
      <c r="Q244" s="120">
        <v>0</v>
      </c>
      <c r="R244" s="120">
        <v>0</v>
      </c>
      <c r="S244" s="120">
        <v>0</v>
      </c>
      <c r="T244" s="120">
        <v>0</v>
      </c>
      <c r="U244" s="120">
        <v>0</v>
      </c>
      <c r="V244" s="120">
        <v>0</v>
      </c>
      <c r="W244" s="120">
        <v>0</v>
      </c>
      <c r="X244" s="120">
        <v>0</v>
      </c>
      <c r="Y244" s="120">
        <v>0</v>
      </c>
      <c r="Z244" s="120">
        <v>0</v>
      </c>
      <c r="AA244" s="120">
        <v>0</v>
      </c>
      <c r="AB244" s="120">
        <v>0</v>
      </c>
      <c r="AC244" s="120">
        <v>0</v>
      </c>
      <c r="AD244" s="120">
        <v>0</v>
      </c>
      <c r="AE244" s="120">
        <v>0</v>
      </c>
      <c r="AF244" s="120">
        <v>0</v>
      </c>
      <c r="AG244" s="120">
        <v>0</v>
      </c>
      <c r="AH244" s="120">
        <v>0</v>
      </c>
      <c r="AI244" s="120">
        <v>0</v>
      </c>
      <c r="AJ244" s="120">
        <v>0</v>
      </c>
      <c r="AK244" s="120">
        <v>0</v>
      </c>
      <c r="AL244" s="120">
        <v>0</v>
      </c>
      <c r="AM244" s="120">
        <v>0</v>
      </c>
      <c r="AN244" s="120">
        <v>0</v>
      </c>
      <c r="AO244" s="120">
        <v>0</v>
      </c>
      <c r="AP244" s="120">
        <v>0</v>
      </c>
      <c r="AQ244" s="120">
        <v>0</v>
      </c>
      <c r="AR244" s="120">
        <v>0</v>
      </c>
      <c r="AS244" s="120">
        <v>0</v>
      </c>
      <c r="AT244" s="120">
        <v>0</v>
      </c>
      <c r="AU244" s="120">
        <v>0</v>
      </c>
      <c r="AV244" s="120">
        <v>0</v>
      </c>
      <c r="AW244" s="120">
        <v>0</v>
      </c>
      <c r="AX244" s="120">
        <v>0</v>
      </c>
      <c r="AY244" s="120">
        <v>0</v>
      </c>
    </row>
    <row r="245" spans="1:51" x14ac:dyDescent="0.2">
      <c r="A245" s="119"/>
      <c r="B245" s="140">
        <v>37</v>
      </c>
      <c r="C245" s="116"/>
      <c r="D245" s="120">
        <v>0</v>
      </c>
      <c r="E245" s="120">
        <v>0</v>
      </c>
      <c r="F245" s="120">
        <v>0</v>
      </c>
      <c r="G245" s="120">
        <v>0</v>
      </c>
      <c r="H245" s="120">
        <v>0</v>
      </c>
      <c r="I245" s="120">
        <v>0</v>
      </c>
      <c r="J245" s="120">
        <v>0</v>
      </c>
      <c r="K245" s="120">
        <v>0</v>
      </c>
      <c r="L245" s="120">
        <v>0</v>
      </c>
      <c r="M245" s="120">
        <v>0</v>
      </c>
      <c r="N245" s="120">
        <v>0</v>
      </c>
      <c r="O245" s="120">
        <v>0</v>
      </c>
      <c r="P245" s="120">
        <v>0</v>
      </c>
      <c r="Q245" s="120">
        <v>0</v>
      </c>
      <c r="R245" s="120">
        <v>0</v>
      </c>
      <c r="S245" s="120">
        <v>0</v>
      </c>
      <c r="T245" s="120">
        <v>0</v>
      </c>
      <c r="U245" s="120">
        <v>0</v>
      </c>
      <c r="V245" s="120">
        <v>0</v>
      </c>
      <c r="W245" s="120">
        <v>0</v>
      </c>
      <c r="X245" s="120">
        <v>0</v>
      </c>
      <c r="Y245" s="120">
        <v>0</v>
      </c>
      <c r="Z245" s="120">
        <v>0</v>
      </c>
      <c r="AA245" s="120">
        <v>0</v>
      </c>
      <c r="AB245" s="120">
        <v>0</v>
      </c>
      <c r="AC245" s="120">
        <v>0</v>
      </c>
      <c r="AD245" s="120">
        <v>0</v>
      </c>
      <c r="AE245" s="120">
        <v>0</v>
      </c>
      <c r="AF245" s="120">
        <v>0</v>
      </c>
      <c r="AG245" s="120">
        <v>0</v>
      </c>
      <c r="AH245" s="120">
        <v>0</v>
      </c>
      <c r="AI245" s="120">
        <v>0</v>
      </c>
      <c r="AJ245" s="120">
        <v>0</v>
      </c>
      <c r="AK245" s="120">
        <v>0</v>
      </c>
      <c r="AL245" s="120">
        <v>0</v>
      </c>
      <c r="AM245" s="120">
        <v>0</v>
      </c>
      <c r="AN245" s="120">
        <v>0</v>
      </c>
      <c r="AO245" s="120">
        <v>0</v>
      </c>
      <c r="AP245" s="120">
        <v>0</v>
      </c>
      <c r="AQ245" s="120">
        <v>0</v>
      </c>
      <c r="AR245" s="120">
        <v>0</v>
      </c>
      <c r="AS245" s="120">
        <v>0</v>
      </c>
      <c r="AT245" s="120">
        <v>0</v>
      </c>
      <c r="AU245" s="120">
        <v>0</v>
      </c>
      <c r="AV245" s="120">
        <v>0</v>
      </c>
      <c r="AW245" s="120">
        <v>0</v>
      </c>
      <c r="AX245" s="120">
        <v>0</v>
      </c>
      <c r="AY245" s="120">
        <v>0</v>
      </c>
    </row>
    <row r="246" spans="1:51" x14ac:dyDescent="0.2">
      <c r="A246" s="119"/>
      <c r="B246" s="140">
        <v>38</v>
      </c>
      <c r="C246" s="116"/>
      <c r="D246" s="120">
        <v>0</v>
      </c>
      <c r="E246" s="120">
        <v>0</v>
      </c>
      <c r="F246" s="120">
        <v>0</v>
      </c>
      <c r="G246" s="120">
        <v>0</v>
      </c>
      <c r="H246" s="120">
        <v>0</v>
      </c>
      <c r="I246" s="120">
        <v>0</v>
      </c>
      <c r="J246" s="120">
        <v>0</v>
      </c>
      <c r="K246" s="120">
        <v>0</v>
      </c>
      <c r="L246" s="120">
        <v>0</v>
      </c>
      <c r="M246" s="120">
        <v>0</v>
      </c>
      <c r="N246" s="120">
        <v>0</v>
      </c>
      <c r="O246" s="120">
        <v>0</v>
      </c>
      <c r="P246" s="120">
        <v>0</v>
      </c>
      <c r="Q246" s="120">
        <v>0</v>
      </c>
      <c r="R246" s="120">
        <v>0</v>
      </c>
      <c r="S246" s="120">
        <v>0</v>
      </c>
      <c r="T246" s="120">
        <v>0</v>
      </c>
      <c r="U246" s="120">
        <v>0</v>
      </c>
      <c r="V246" s="120">
        <v>0</v>
      </c>
      <c r="W246" s="120">
        <v>0</v>
      </c>
      <c r="X246" s="120">
        <v>0</v>
      </c>
      <c r="Y246" s="120">
        <v>0</v>
      </c>
      <c r="Z246" s="120">
        <v>0</v>
      </c>
      <c r="AA246" s="120">
        <v>0</v>
      </c>
      <c r="AB246" s="120">
        <v>0</v>
      </c>
      <c r="AC246" s="120">
        <v>0</v>
      </c>
      <c r="AD246" s="120">
        <v>0</v>
      </c>
      <c r="AE246" s="120">
        <v>0</v>
      </c>
      <c r="AF246" s="120">
        <v>0</v>
      </c>
      <c r="AG246" s="120">
        <v>0</v>
      </c>
      <c r="AH246" s="120">
        <v>0</v>
      </c>
      <c r="AI246" s="120">
        <v>0</v>
      </c>
      <c r="AJ246" s="120">
        <v>0</v>
      </c>
      <c r="AK246" s="120">
        <v>0</v>
      </c>
      <c r="AL246" s="120">
        <v>0</v>
      </c>
      <c r="AM246" s="120">
        <v>0</v>
      </c>
      <c r="AN246" s="120">
        <v>0</v>
      </c>
      <c r="AO246" s="120">
        <v>0</v>
      </c>
      <c r="AP246" s="120">
        <v>0</v>
      </c>
      <c r="AQ246" s="120">
        <v>0</v>
      </c>
      <c r="AR246" s="120">
        <v>0</v>
      </c>
      <c r="AS246" s="120">
        <v>0</v>
      </c>
      <c r="AT246" s="120">
        <v>0</v>
      </c>
      <c r="AU246" s="120">
        <v>0</v>
      </c>
      <c r="AV246" s="120">
        <v>0</v>
      </c>
      <c r="AW246" s="120">
        <v>0</v>
      </c>
      <c r="AX246" s="120">
        <v>0</v>
      </c>
      <c r="AY246" s="120">
        <v>0</v>
      </c>
    </row>
    <row r="247" spans="1:51" x14ac:dyDescent="0.2">
      <c r="A247" s="119"/>
      <c r="B247" s="140">
        <v>39</v>
      </c>
      <c r="C247" s="116"/>
      <c r="D247" s="120">
        <v>0</v>
      </c>
      <c r="E247" s="120">
        <v>0</v>
      </c>
      <c r="F247" s="120">
        <v>0</v>
      </c>
      <c r="G247" s="120">
        <v>0</v>
      </c>
      <c r="H247" s="120">
        <v>0</v>
      </c>
      <c r="I247" s="120">
        <v>0</v>
      </c>
      <c r="J247" s="120">
        <v>0</v>
      </c>
      <c r="K247" s="120">
        <v>0</v>
      </c>
      <c r="L247" s="120">
        <v>0</v>
      </c>
      <c r="M247" s="120">
        <v>0</v>
      </c>
      <c r="N247" s="120">
        <v>0</v>
      </c>
      <c r="O247" s="120">
        <v>0</v>
      </c>
      <c r="P247" s="120">
        <v>0</v>
      </c>
      <c r="Q247" s="120">
        <v>0</v>
      </c>
      <c r="R247" s="120">
        <v>0</v>
      </c>
      <c r="S247" s="120">
        <v>0</v>
      </c>
      <c r="T247" s="120">
        <v>0</v>
      </c>
      <c r="U247" s="120">
        <v>0</v>
      </c>
      <c r="V247" s="120">
        <v>0</v>
      </c>
      <c r="W247" s="120">
        <v>0</v>
      </c>
      <c r="X247" s="120">
        <v>0</v>
      </c>
      <c r="Y247" s="120">
        <v>0</v>
      </c>
      <c r="Z247" s="120">
        <v>0</v>
      </c>
      <c r="AA247" s="120">
        <v>0</v>
      </c>
      <c r="AB247" s="120">
        <v>0</v>
      </c>
      <c r="AC247" s="120">
        <v>0</v>
      </c>
      <c r="AD247" s="120">
        <v>0</v>
      </c>
      <c r="AE247" s="120">
        <v>0</v>
      </c>
      <c r="AF247" s="120">
        <v>0</v>
      </c>
      <c r="AG247" s="120">
        <v>0</v>
      </c>
      <c r="AH247" s="120">
        <v>0</v>
      </c>
      <c r="AI247" s="120">
        <v>0</v>
      </c>
      <c r="AJ247" s="120">
        <v>0</v>
      </c>
      <c r="AK247" s="120">
        <v>0</v>
      </c>
      <c r="AL247" s="120">
        <v>0</v>
      </c>
      <c r="AM247" s="120">
        <v>0</v>
      </c>
      <c r="AN247" s="120">
        <v>0</v>
      </c>
      <c r="AO247" s="120">
        <v>0</v>
      </c>
      <c r="AP247" s="120">
        <v>0</v>
      </c>
      <c r="AQ247" s="120">
        <v>0</v>
      </c>
      <c r="AR247" s="120">
        <v>0</v>
      </c>
      <c r="AS247" s="120">
        <v>0</v>
      </c>
      <c r="AT247" s="120">
        <v>0</v>
      </c>
      <c r="AU247" s="120">
        <v>0</v>
      </c>
      <c r="AV247" s="120">
        <v>0</v>
      </c>
      <c r="AW247" s="120">
        <v>0</v>
      </c>
      <c r="AX247" s="120">
        <v>0</v>
      </c>
      <c r="AY247" s="120">
        <v>0</v>
      </c>
    </row>
    <row r="248" spans="1:51" x14ac:dyDescent="0.2">
      <c r="A248" s="119"/>
      <c r="B248" s="140">
        <v>40</v>
      </c>
      <c r="C248" s="116"/>
      <c r="D248" s="120">
        <v>0</v>
      </c>
      <c r="E248" s="120">
        <v>0</v>
      </c>
      <c r="F248" s="120">
        <v>0</v>
      </c>
      <c r="G248" s="120">
        <v>0</v>
      </c>
      <c r="H248" s="120">
        <v>0</v>
      </c>
      <c r="I248" s="120">
        <v>0</v>
      </c>
      <c r="J248" s="120">
        <v>0</v>
      </c>
      <c r="K248" s="120">
        <v>0</v>
      </c>
      <c r="L248" s="120">
        <v>0</v>
      </c>
      <c r="M248" s="120">
        <v>0</v>
      </c>
      <c r="N248" s="120">
        <v>0</v>
      </c>
      <c r="O248" s="120">
        <v>0</v>
      </c>
      <c r="P248" s="120">
        <v>0</v>
      </c>
      <c r="Q248" s="120">
        <v>0</v>
      </c>
      <c r="R248" s="120">
        <v>0</v>
      </c>
      <c r="S248" s="120">
        <v>0</v>
      </c>
      <c r="T248" s="120">
        <v>0</v>
      </c>
      <c r="U248" s="120">
        <v>0</v>
      </c>
      <c r="V248" s="120">
        <v>0</v>
      </c>
      <c r="W248" s="120">
        <v>0</v>
      </c>
      <c r="X248" s="120">
        <v>0</v>
      </c>
      <c r="Y248" s="120">
        <v>0</v>
      </c>
      <c r="Z248" s="120">
        <v>0</v>
      </c>
      <c r="AA248" s="120">
        <v>0</v>
      </c>
      <c r="AB248" s="120">
        <v>0</v>
      </c>
      <c r="AC248" s="120">
        <v>0</v>
      </c>
      <c r="AD248" s="120">
        <v>0</v>
      </c>
      <c r="AE248" s="120">
        <v>0</v>
      </c>
      <c r="AF248" s="120">
        <v>0</v>
      </c>
      <c r="AG248" s="120">
        <v>0</v>
      </c>
      <c r="AH248" s="120">
        <v>0</v>
      </c>
      <c r="AI248" s="120">
        <v>0</v>
      </c>
      <c r="AJ248" s="120">
        <v>0</v>
      </c>
      <c r="AK248" s="120">
        <v>0</v>
      </c>
      <c r="AL248" s="120">
        <v>0</v>
      </c>
      <c r="AM248" s="120">
        <v>0</v>
      </c>
      <c r="AN248" s="120">
        <v>0</v>
      </c>
      <c r="AO248" s="120">
        <v>0</v>
      </c>
      <c r="AP248" s="120">
        <v>0</v>
      </c>
      <c r="AQ248" s="120">
        <v>0</v>
      </c>
      <c r="AR248" s="120">
        <v>0</v>
      </c>
      <c r="AS248" s="120">
        <v>0</v>
      </c>
      <c r="AT248" s="120">
        <v>0</v>
      </c>
      <c r="AU248" s="120">
        <v>0</v>
      </c>
      <c r="AV248" s="120">
        <v>0</v>
      </c>
      <c r="AW248" s="120">
        <v>0</v>
      </c>
      <c r="AX248" s="120">
        <v>0</v>
      </c>
      <c r="AY248" s="120">
        <v>0</v>
      </c>
    </row>
    <row r="249" spans="1:51" x14ac:dyDescent="0.2">
      <c r="A249" s="119"/>
      <c r="B249" s="140">
        <v>41</v>
      </c>
      <c r="C249" s="116"/>
      <c r="D249" s="120">
        <v>0</v>
      </c>
      <c r="E249" s="120">
        <v>0</v>
      </c>
      <c r="F249" s="120">
        <v>0</v>
      </c>
      <c r="G249" s="120">
        <v>0</v>
      </c>
      <c r="H249" s="120">
        <v>0</v>
      </c>
      <c r="I249" s="120">
        <v>0</v>
      </c>
      <c r="J249" s="120">
        <v>0</v>
      </c>
      <c r="K249" s="120">
        <v>0</v>
      </c>
      <c r="L249" s="120">
        <v>0</v>
      </c>
      <c r="M249" s="120">
        <v>0</v>
      </c>
      <c r="N249" s="120">
        <v>0</v>
      </c>
      <c r="O249" s="120">
        <v>0</v>
      </c>
      <c r="P249" s="120">
        <v>0</v>
      </c>
      <c r="Q249" s="120">
        <v>0</v>
      </c>
      <c r="R249" s="120">
        <v>0</v>
      </c>
      <c r="S249" s="120">
        <v>0</v>
      </c>
      <c r="T249" s="120">
        <v>0</v>
      </c>
      <c r="U249" s="120">
        <v>0</v>
      </c>
      <c r="V249" s="120">
        <v>0</v>
      </c>
      <c r="W249" s="120">
        <v>0</v>
      </c>
      <c r="X249" s="120">
        <v>0</v>
      </c>
      <c r="Y249" s="120">
        <v>0</v>
      </c>
      <c r="Z249" s="120">
        <v>0</v>
      </c>
      <c r="AA249" s="120">
        <v>0</v>
      </c>
      <c r="AB249" s="120">
        <v>0</v>
      </c>
      <c r="AC249" s="120">
        <v>0</v>
      </c>
      <c r="AD249" s="120">
        <v>0</v>
      </c>
      <c r="AE249" s="120">
        <v>0</v>
      </c>
      <c r="AF249" s="120">
        <v>0</v>
      </c>
      <c r="AG249" s="120">
        <v>0</v>
      </c>
      <c r="AH249" s="120">
        <v>0</v>
      </c>
      <c r="AI249" s="120">
        <v>0</v>
      </c>
      <c r="AJ249" s="120">
        <v>0</v>
      </c>
      <c r="AK249" s="120">
        <v>0</v>
      </c>
      <c r="AL249" s="120">
        <v>0</v>
      </c>
      <c r="AM249" s="120">
        <v>0</v>
      </c>
      <c r="AN249" s="120">
        <v>0</v>
      </c>
      <c r="AO249" s="120">
        <v>0</v>
      </c>
      <c r="AP249" s="120">
        <v>0</v>
      </c>
      <c r="AQ249" s="120">
        <v>0</v>
      </c>
      <c r="AR249" s="120">
        <v>0</v>
      </c>
      <c r="AS249" s="120">
        <v>0</v>
      </c>
      <c r="AT249" s="120">
        <v>0</v>
      </c>
      <c r="AU249" s="120">
        <v>0</v>
      </c>
      <c r="AV249" s="120">
        <v>0</v>
      </c>
      <c r="AW249" s="120">
        <v>0</v>
      </c>
      <c r="AX249" s="120">
        <v>0</v>
      </c>
      <c r="AY249" s="120">
        <v>0</v>
      </c>
    </row>
    <row r="250" spans="1:51" x14ac:dyDescent="0.2">
      <c r="A250" s="119"/>
      <c r="B250" s="140">
        <v>42</v>
      </c>
      <c r="C250" s="116"/>
      <c r="D250" s="120">
        <v>0</v>
      </c>
      <c r="E250" s="120">
        <v>0</v>
      </c>
      <c r="F250" s="120">
        <v>0</v>
      </c>
      <c r="G250" s="120">
        <v>0</v>
      </c>
      <c r="H250" s="120">
        <v>0</v>
      </c>
      <c r="I250" s="120">
        <v>0</v>
      </c>
      <c r="J250" s="120">
        <v>0</v>
      </c>
      <c r="K250" s="120">
        <v>0</v>
      </c>
      <c r="L250" s="120">
        <v>0</v>
      </c>
      <c r="M250" s="120">
        <v>0</v>
      </c>
      <c r="N250" s="120">
        <v>0</v>
      </c>
      <c r="O250" s="120">
        <v>0</v>
      </c>
      <c r="P250" s="120">
        <v>0</v>
      </c>
      <c r="Q250" s="120">
        <v>0</v>
      </c>
      <c r="R250" s="120">
        <v>0</v>
      </c>
      <c r="S250" s="120">
        <v>0</v>
      </c>
      <c r="T250" s="120">
        <v>0</v>
      </c>
      <c r="U250" s="120">
        <v>0</v>
      </c>
      <c r="V250" s="120">
        <v>0</v>
      </c>
      <c r="W250" s="120">
        <v>0</v>
      </c>
      <c r="X250" s="120">
        <v>0</v>
      </c>
      <c r="Y250" s="120">
        <v>0</v>
      </c>
      <c r="Z250" s="120">
        <v>0</v>
      </c>
      <c r="AA250" s="120">
        <v>0</v>
      </c>
      <c r="AB250" s="120">
        <v>0</v>
      </c>
      <c r="AC250" s="120">
        <v>0</v>
      </c>
      <c r="AD250" s="120">
        <v>0</v>
      </c>
      <c r="AE250" s="120">
        <v>0</v>
      </c>
      <c r="AF250" s="120">
        <v>0</v>
      </c>
      <c r="AG250" s="120">
        <v>0</v>
      </c>
      <c r="AH250" s="120">
        <v>0</v>
      </c>
      <c r="AI250" s="120">
        <v>0</v>
      </c>
      <c r="AJ250" s="120">
        <v>0</v>
      </c>
      <c r="AK250" s="120">
        <v>0</v>
      </c>
      <c r="AL250" s="120">
        <v>0</v>
      </c>
      <c r="AM250" s="120">
        <v>0</v>
      </c>
      <c r="AN250" s="120">
        <v>0</v>
      </c>
      <c r="AO250" s="120">
        <v>0</v>
      </c>
      <c r="AP250" s="120">
        <v>0</v>
      </c>
      <c r="AQ250" s="120">
        <v>0</v>
      </c>
      <c r="AR250" s="120">
        <v>0</v>
      </c>
      <c r="AS250" s="120">
        <v>0</v>
      </c>
      <c r="AT250" s="120">
        <v>0</v>
      </c>
      <c r="AU250" s="120">
        <v>0</v>
      </c>
      <c r="AV250" s="120">
        <v>0</v>
      </c>
      <c r="AW250" s="120">
        <v>0</v>
      </c>
      <c r="AX250" s="120">
        <v>0</v>
      </c>
      <c r="AY250" s="120">
        <v>0</v>
      </c>
    </row>
    <row r="251" spans="1:51" x14ac:dyDescent="0.2">
      <c r="A251" s="119"/>
      <c r="B251" s="140">
        <v>43</v>
      </c>
      <c r="C251" s="116"/>
      <c r="D251" s="120">
        <v>0</v>
      </c>
      <c r="E251" s="120">
        <v>0</v>
      </c>
      <c r="F251" s="120">
        <v>0</v>
      </c>
      <c r="G251" s="120">
        <v>0</v>
      </c>
      <c r="H251" s="120">
        <v>0</v>
      </c>
      <c r="I251" s="120">
        <v>0</v>
      </c>
      <c r="J251" s="120">
        <v>0</v>
      </c>
      <c r="K251" s="120">
        <v>0</v>
      </c>
      <c r="L251" s="120">
        <v>0</v>
      </c>
      <c r="M251" s="120">
        <v>0</v>
      </c>
      <c r="N251" s="120">
        <v>0</v>
      </c>
      <c r="O251" s="120">
        <v>0</v>
      </c>
      <c r="P251" s="120">
        <v>0</v>
      </c>
      <c r="Q251" s="120">
        <v>0</v>
      </c>
      <c r="R251" s="120">
        <v>0</v>
      </c>
      <c r="S251" s="120">
        <v>0</v>
      </c>
      <c r="T251" s="120">
        <v>0</v>
      </c>
      <c r="U251" s="120">
        <v>0</v>
      </c>
      <c r="V251" s="120">
        <v>0</v>
      </c>
      <c r="W251" s="120">
        <v>0</v>
      </c>
      <c r="X251" s="120">
        <v>0</v>
      </c>
      <c r="Y251" s="120">
        <v>0</v>
      </c>
      <c r="Z251" s="120">
        <v>0</v>
      </c>
      <c r="AA251" s="120">
        <v>0</v>
      </c>
      <c r="AB251" s="120">
        <v>0</v>
      </c>
      <c r="AC251" s="120">
        <v>0</v>
      </c>
      <c r="AD251" s="120">
        <v>0</v>
      </c>
      <c r="AE251" s="120">
        <v>0</v>
      </c>
      <c r="AF251" s="120">
        <v>0</v>
      </c>
      <c r="AG251" s="120">
        <v>0</v>
      </c>
      <c r="AH251" s="120">
        <v>0</v>
      </c>
      <c r="AI251" s="120">
        <v>0</v>
      </c>
      <c r="AJ251" s="120">
        <v>0</v>
      </c>
      <c r="AK251" s="120">
        <v>0</v>
      </c>
      <c r="AL251" s="120">
        <v>0</v>
      </c>
      <c r="AM251" s="120">
        <v>0</v>
      </c>
      <c r="AN251" s="120">
        <v>0</v>
      </c>
      <c r="AO251" s="120">
        <v>0</v>
      </c>
      <c r="AP251" s="120">
        <v>0</v>
      </c>
      <c r="AQ251" s="120">
        <v>0</v>
      </c>
      <c r="AR251" s="120">
        <v>0</v>
      </c>
      <c r="AS251" s="120">
        <v>0</v>
      </c>
      <c r="AT251" s="120">
        <v>0</v>
      </c>
      <c r="AU251" s="120">
        <v>0</v>
      </c>
      <c r="AV251" s="120">
        <v>0</v>
      </c>
      <c r="AW251" s="120">
        <v>0</v>
      </c>
      <c r="AX251" s="120">
        <v>0</v>
      </c>
      <c r="AY251" s="120">
        <v>0</v>
      </c>
    </row>
    <row r="252" spans="1:51" x14ac:dyDescent="0.2">
      <c r="A252" s="119"/>
      <c r="B252" s="140">
        <v>44</v>
      </c>
      <c r="C252" s="116"/>
      <c r="D252" s="120">
        <v>0</v>
      </c>
      <c r="E252" s="120">
        <v>0</v>
      </c>
      <c r="F252" s="120">
        <v>0</v>
      </c>
      <c r="G252" s="120">
        <v>0</v>
      </c>
      <c r="H252" s="120">
        <v>0</v>
      </c>
      <c r="I252" s="120">
        <v>0</v>
      </c>
      <c r="J252" s="120">
        <v>0</v>
      </c>
      <c r="K252" s="120">
        <v>0</v>
      </c>
      <c r="L252" s="120">
        <v>0</v>
      </c>
      <c r="M252" s="120">
        <v>0</v>
      </c>
      <c r="N252" s="120">
        <v>0</v>
      </c>
      <c r="O252" s="120">
        <v>0</v>
      </c>
      <c r="P252" s="120">
        <v>0</v>
      </c>
      <c r="Q252" s="120">
        <v>0</v>
      </c>
      <c r="R252" s="120">
        <v>0</v>
      </c>
      <c r="S252" s="120">
        <v>0</v>
      </c>
      <c r="T252" s="120">
        <v>0</v>
      </c>
      <c r="U252" s="120">
        <v>0</v>
      </c>
      <c r="V252" s="120">
        <v>0</v>
      </c>
      <c r="W252" s="120">
        <v>0</v>
      </c>
      <c r="X252" s="120">
        <v>0</v>
      </c>
      <c r="Y252" s="120">
        <v>0</v>
      </c>
      <c r="Z252" s="120">
        <v>0</v>
      </c>
      <c r="AA252" s="120">
        <v>0</v>
      </c>
      <c r="AB252" s="120">
        <v>0</v>
      </c>
      <c r="AC252" s="120">
        <v>0</v>
      </c>
      <c r="AD252" s="120">
        <v>0</v>
      </c>
      <c r="AE252" s="120">
        <v>0</v>
      </c>
      <c r="AF252" s="120">
        <v>0</v>
      </c>
      <c r="AG252" s="120">
        <v>0</v>
      </c>
      <c r="AH252" s="120">
        <v>0</v>
      </c>
      <c r="AI252" s="120">
        <v>0</v>
      </c>
      <c r="AJ252" s="120">
        <v>0</v>
      </c>
      <c r="AK252" s="120">
        <v>0</v>
      </c>
      <c r="AL252" s="120">
        <v>0</v>
      </c>
      <c r="AM252" s="120">
        <v>0</v>
      </c>
      <c r="AN252" s="120">
        <v>0</v>
      </c>
      <c r="AO252" s="120">
        <v>0</v>
      </c>
      <c r="AP252" s="120">
        <v>0</v>
      </c>
      <c r="AQ252" s="120">
        <v>0</v>
      </c>
      <c r="AR252" s="120">
        <v>0</v>
      </c>
      <c r="AS252" s="120">
        <v>0</v>
      </c>
      <c r="AT252" s="120">
        <v>0</v>
      </c>
      <c r="AU252" s="120">
        <v>0</v>
      </c>
      <c r="AV252" s="120">
        <v>0</v>
      </c>
      <c r="AW252" s="120">
        <v>0</v>
      </c>
      <c r="AX252" s="120">
        <v>0</v>
      </c>
      <c r="AY252" s="120">
        <v>0</v>
      </c>
    </row>
    <row r="253" spans="1:51" x14ac:dyDescent="0.2">
      <c r="A253" s="119"/>
      <c r="B253" s="140">
        <v>45</v>
      </c>
      <c r="C253" s="116"/>
      <c r="D253" s="120">
        <v>0</v>
      </c>
      <c r="E253" s="120">
        <v>0</v>
      </c>
      <c r="F253" s="120">
        <v>0</v>
      </c>
      <c r="G253" s="120">
        <v>0</v>
      </c>
      <c r="H253" s="120">
        <v>0</v>
      </c>
      <c r="I253" s="120">
        <v>0</v>
      </c>
      <c r="J253" s="120">
        <v>0</v>
      </c>
      <c r="K253" s="120">
        <v>0</v>
      </c>
      <c r="L253" s="120">
        <v>0</v>
      </c>
      <c r="M253" s="120">
        <v>0</v>
      </c>
      <c r="N253" s="120">
        <v>0</v>
      </c>
      <c r="O253" s="120">
        <v>0</v>
      </c>
      <c r="P253" s="120">
        <v>0</v>
      </c>
      <c r="Q253" s="120">
        <v>0</v>
      </c>
      <c r="R253" s="120">
        <v>0</v>
      </c>
      <c r="S253" s="120">
        <v>0</v>
      </c>
      <c r="T253" s="120">
        <v>0</v>
      </c>
      <c r="U253" s="120">
        <v>0</v>
      </c>
      <c r="V253" s="120">
        <v>0</v>
      </c>
      <c r="W253" s="120">
        <v>0</v>
      </c>
      <c r="X253" s="120">
        <v>0</v>
      </c>
      <c r="Y253" s="120">
        <v>0</v>
      </c>
      <c r="Z253" s="120">
        <v>0</v>
      </c>
      <c r="AA253" s="120">
        <v>0</v>
      </c>
      <c r="AB253" s="120">
        <v>0</v>
      </c>
      <c r="AC253" s="120">
        <v>0</v>
      </c>
      <c r="AD253" s="120">
        <v>0</v>
      </c>
      <c r="AE253" s="120">
        <v>0</v>
      </c>
      <c r="AF253" s="120">
        <v>0</v>
      </c>
      <c r="AG253" s="120">
        <v>0</v>
      </c>
      <c r="AH253" s="120">
        <v>0</v>
      </c>
      <c r="AI253" s="120">
        <v>0</v>
      </c>
      <c r="AJ253" s="120">
        <v>0</v>
      </c>
      <c r="AK253" s="120">
        <v>0</v>
      </c>
      <c r="AL253" s="120">
        <v>0</v>
      </c>
      <c r="AM253" s="120">
        <v>0</v>
      </c>
      <c r="AN253" s="120">
        <v>0</v>
      </c>
      <c r="AO253" s="120">
        <v>0</v>
      </c>
      <c r="AP253" s="120">
        <v>0</v>
      </c>
      <c r="AQ253" s="120">
        <v>0</v>
      </c>
      <c r="AR253" s="120">
        <v>0</v>
      </c>
      <c r="AS253" s="120">
        <v>0</v>
      </c>
      <c r="AT253" s="120">
        <v>0</v>
      </c>
      <c r="AU253" s="120">
        <v>0</v>
      </c>
      <c r="AV253" s="120">
        <v>0</v>
      </c>
      <c r="AW253" s="120">
        <v>0</v>
      </c>
      <c r="AX253" s="120">
        <v>0</v>
      </c>
      <c r="AY253" s="120">
        <v>0</v>
      </c>
    </row>
    <row r="254" spans="1:51" x14ac:dyDescent="0.2">
      <c r="A254" s="119"/>
      <c r="B254" s="140">
        <v>46</v>
      </c>
      <c r="C254" s="116"/>
      <c r="D254" s="120">
        <v>0</v>
      </c>
      <c r="E254" s="120">
        <v>0</v>
      </c>
      <c r="F254" s="120">
        <v>0</v>
      </c>
      <c r="G254" s="120">
        <v>0</v>
      </c>
      <c r="H254" s="120">
        <v>0</v>
      </c>
      <c r="I254" s="120">
        <v>0</v>
      </c>
      <c r="J254" s="120">
        <v>0</v>
      </c>
      <c r="K254" s="120">
        <v>0</v>
      </c>
      <c r="L254" s="120">
        <v>0</v>
      </c>
      <c r="M254" s="120">
        <v>0</v>
      </c>
      <c r="N254" s="120">
        <v>0</v>
      </c>
      <c r="O254" s="120">
        <v>0</v>
      </c>
      <c r="P254" s="120">
        <v>0</v>
      </c>
      <c r="Q254" s="120">
        <v>0</v>
      </c>
      <c r="R254" s="120">
        <v>0</v>
      </c>
      <c r="S254" s="120">
        <v>0</v>
      </c>
      <c r="T254" s="120">
        <v>0</v>
      </c>
      <c r="U254" s="120">
        <v>0</v>
      </c>
      <c r="V254" s="120">
        <v>0</v>
      </c>
      <c r="W254" s="120">
        <v>0</v>
      </c>
      <c r="X254" s="120">
        <v>0</v>
      </c>
      <c r="Y254" s="120">
        <v>0</v>
      </c>
      <c r="Z254" s="120">
        <v>0</v>
      </c>
      <c r="AA254" s="120">
        <v>0</v>
      </c>
      <c r="AB254" s="120">
        <v>0</v>
      </c>
      <c r="AC254" s="120">
        <v>0</v>
      </c>
      <c r="AD254" s="120">
        <v>0</v>
      </c>
      <c r="AE254" s="120">
        <v>0</v>
      </c>
      <c r="AF254" s="120">
        <v>0</v>
      </c>
      <c r="AG254" s="120">
        <v>0</v>
      </c>
      <c r="AH254" s="120">
        <v>0</v>
      </c>
      <c r="AI254" s="120">
        <v>0</v>
      </c>
      <c r="AJ254" s="120">
        <v>0</v>
      </c>
      <c r="AK254" s="120">
        <v>0</v>
      </c>
      <c r="AL254" s="120">
        <v>0</v>
      </c>
      <c r="AM254" s="120">
        <v>0</v>
      </c>
      <c r="AN254" s="120">
        <v>0</v>
      </c>
      <c r="AO254" s="120">
        <v>0</v>
      </c>
      <c r="AP254" s="120">
        <v>0</v>
      </c>
      <c r="AQ254" s="120">
        <v>0</v>
      </c>
      <c r="AR254" s="120">
        <v>0</v>
      </c>
      <c r="AS254" s="120">
        <v>0</v>
      </c>
      <c r="AT254" s="120">
        <v>0</v>
      </c>
      <c r="AU254" s="120">
        <v>0</v>
      </c>
      <c r="AV254" s="120">
        <v>0</v>
      </c>
      <c r="AW254" s="120">
        <v>0</v>
      </c>
      <c r="AX254" s="120">
        <v>0</v>
      </c>
      <c r="AY254" s="120">
        <v>0</v>
      </c>
    </row>
    <row r="255" spans="1:51" x14ac:dyDescent="0.2">
      <c r="A255" s="119"/>
      <c r="B255" s="140">
        <v>47</v>
      </c>
      <c r="C255" s="116"/>
      <c r="D255" s="120">
        <v>0</v>
      </c>
      <c r="E255" s="120">
        <v>0</v>
      </c>
      <c r="F255" s="120">
        <v>0</v>
      </c>
      <c r="G255" s="120">
        <v>0</v>
      </c>
      <c r="H255" s="120">
        <v>0</v>
      </c>
      <c r="I255" s="120">
        <v>0</v>
      </c>
      <c r="J255" s="120">
        <v>0</v>
      </c>
      <c r="K255" s="120">
        <v>0</v>
      </c>
      <c r="L255" s="120">
        <v>0</v>
      </c>
      <c r="M255" s="120">
        <v>0</v>
      </c>
      <c r="N255" s="120">
        <v>0</v>
      </c>
      <c r="O255" s="120">
        <v>0</v>
      </c>
      <c r="P255" s="120">
        <v>0</v>
      </c>
      <c r="Q255" s="120">
        <v>0</v>
      </c>
      <c r="R255" s="120">
        <v>0</v>
      </c>
      <c r="S255" s="120">
        <v>0</v>
      </c>
      <c r="T255" s="120">
        <v>0</v>
      </c>
      <c r="U255" s="120">
        <v>0</v>
      </c>
      <c r="V255" s="120">
        <v>0</v>
      </c>
      <c r="W255" s="120">
        <v>0</v>
      </c>
      <c r="X255" s="120">
        <v>0</v>
      </c>
      <c r="Y255" s="120">
        <v>0</v>
      </c>
      <c r="Z255" s="120">
        <v>0</v>
      </c>
      <c r="AA255" s="120">
        <v>0</v>
      </c>
      <c r="AB255" s="120">
        <v>0</v>
      </c>
      <c r="AC255" s="120">
        <v>0</v>
      </c>
      <c r="AD255" s="120">
        <v>0</v>
      </c>
      <c r="AE255" s="120">
        <v>0</v>
      </c>
      <c r="AF255" s="120">
        <v>0</v>
      </c>
      <c r="AG255" s="120">
        <v>0</v>
      </c>
      <c r="AH255" s="120">
        <v>0</v>
      </c>
      <c r="AI255" s="120">
        <v>0</v>
      </c>
      <c r="AJ255" s="120">
        <v>0</v>
      </c>
      <c r="AK255" s="120">
        <v>0</v>
      </c>
      <c r="AL255" s="120">
        <v>0</v>
      </c>
      <c r="AM255" s="120">
        <v>0</v>
      </c>
      <c r="AN255" s="120">
        <v>0</v>
      </c>
      <c r="AO255" s="120">
        <v>0</v>
      </c>
      <c r="AP255" s="120">
        <v>0</v>
      </c>
      <c r="AQ255" s="120">
        <v>0</v>
      </c>
      <c r="AR255" s="120">
        <v>0</v>
      </c>
      <c r="AS255" s="120">
        <v>0</v>
      </c>
      <c r="AT255" s="120">
        <v>0</v>
      </c>
      <c r="AU255" s="120">
        <v>0</v>
      </c>
      <c r="AV255" s="120">
        <v>0</v>
      </c>
      <c r="AW255" s="120">
        <v>0</v>
      </c>
      <c r="AX255" s="120">
        <v>0</v>
      </c>
      <c r="AY255" s="120">
        <v>0</v>
      </c>
    </row>
    <row r="256" spans="1:51" x14ac:dyDescent="0.2">
      <c r="A256" s="138"/>
      <c r="B256" s="139">
        <v>48</v>
      </c>
      <c r="C256" s="124"/>
      <c r="D256" s="135">
        <v>0</v>
      </c>
      <c r="E256" s="135">
        <v>0</v>
      </c>
      <c r="F256" s="135">
        <v>0</v>
      </c>
      <c r="G256" s="135">
        <v>0</v>
      </c>
      <c r="H256" s="135">
        <v>0</v>
      </c>
      <c r="I256" s="135">
        <v>0</v>
      </c>
      <c r="J256" s="135">
        <v>0</v>
      </c>
      <c r="K256" s="135">
        <v>0</v>
      </c>
      <c r="L256" s="135">
        <v>0</v>
      </c>
      <c r="M256" s="135">
        <v>0</v>
      </c>
      <c r="N256" s="135">
        <v>0</v>
      </c>
      <c r="O256" s="135">
        <v>0</v>
      </c>
      <c r="P256" s="135">
        <v>0</v>
      </c>
      <c r="Q256" s="135">
        <v>0</v>
      </c>
      <c r="R256" s="135">
        <v>0</v>
      </c>
      <c r="S256" s="135">
        <v>0</v>
      </c>
      <c r="T256" s="135">
        <v>0</v>
      </c>
      <c r="U256" s="135">
        <v>0</v>
      </c>
      <c r="V256" s="135">
        <v>0</v>
      </c>
      <c r="W256" s="135">
        <v>0</v>
      </c>
      <c r="X256" s="135">
        <v>0</v>
      </c>
      <c r="Y256" s="135">
        <v>0</v>
      </c>
      <c r="Z256" s="135">
        <v>0</v>
      </c>
      <c r="AA256" s="135">
        <v>0</v>
      </c>
      <c r="AB256" s="135">
        <v>0</v>
      </c>
      <c r="AC256" s="135">
        <v>0</v>
      </c>
      <c r="AD256" s="135">
        <v>0</v>
      </c>
      <c r="AE256" s="135">
        <v>0</v>
      </c>
      <c r="AF256" s="135">
        <v>0</v>
      </c>
      <c r="AG256" s="135">
        <v>0</v>
      </c>
      <c r="AH256" s="135">
        <v>0</v>
      </c>
      <c r="AI256" s="135">
        <v>0</v>
      </c>
      <c r="AJ256" s="135">
        <v>0</v>
      </c>
      <c r="AK256" s="135">
        <v>0</v>
      </c>
      <c r="AL256" s="135">
        <v>0</v>
      </c>
      <c r="AM256" s="135">
        <v>0</v>
      </c>
      <c r="AN256" s="135">
        <v>0</v>
      </c>
      <c r="AO256" s="135">
        <v>0</v>
      </c>
      <c r="AP256" s="135">
        <v>0</v>
      </c>
      <c r="AQ256" s="135">
        <v>0</v>
      </c>
      <c r="AR256" s="135">
        <v>0</v>
      </c>
      <c r="AS256" s="135">
        <v>0</v>
      </c>
      <c r="AT256" s="135">
        <v>0</v>
      </c>
      <c r="AU256" s="135">
        <v>0</v>
      </c>
      <c r="AV256" s="135">
        <v>0</v>
      </c>
      <c r="AW256" s="135">
        <v>0</v>
      </c>
      <c r="AX256" s="135">
        <v>0</v>
      </c>
      <c r="AY256" s="135">
        <v>0</v>
      </c>
    </row>
    <row r="258" spans="1:52" x14ac:dyDescent="0.2">
      <c r="A258" s="112" t="s">
        <v>303</v>
      </c>
    </row>
    <row r="259" spans="1:52" x14ac:dyDescent="0.2">
      <c r="A259" s="147" t="s">
        <v>124</v>
      </c>
      <c r="B259" s="148">
        <v>650</v>
      </c>
      <c r="C259" s="134" t="s">
        <v>295</v>
      </c>
      <c r="D259" s="134">
        <f>E$14*$B$259</f>
        <v>12300.379706200269</v>
      </c>
      <c r="E259" s="134">
        <f t="shared" ref="E259:AX259" si="5">F$14*$B$259</f>
        <v>23261.983599512918</v>
      </c>
      <c r="F259" s="134">
        <f t="shared" si="5"/>
        <v>42248.813489831286</v>
      </c>
      <c r="G259" s="134">
        <f t="shared" si="5"/>
        <v>22413.455918405522</v>
      </c>
      <c r="H259" s="134">
        <f t="shared" si="5"/>
        <v>63138.152654742713</v>
      </c>
      <c r="I259" s="134">
        <f t="shared" si="5"/>
        <v>62167.806920167393</v>
      </c>
      <c r="J259" s="134">
        <f t="shared" si="5"/>
        <v>60912.378105619297</v>
      </c>
      <c r="K259" s="134">
        <f t="shared" si="5"/>
        <v>54950.647868919346</v>
      </c>
      <c r="L259" s="134">
        <f t="shared" si="5"/>
        <v>0</v>
      </c>
      <c r="M259" s="134">
        <f t="shared" si="5"/>
        <v>0</v>
      </c>
      <c r="N259" s="134">
        <f t="shared" si="5"/>
        <v>0</v>
      </c>
      <c r="O259" s="134">
        <f t="shared" si="5"/>
        <v>0</v>
      </c>
      <c r="P259" s="134">
        <f t="shared" si="5"/>
        <v>99.695005324403326</v>
      </c>
      <c r="Q259" s="134">
        <f t="shared" si="5"/>
        <v>205.73412078651714</v>
      </c>
      <c r="R259" s="134">
        <f t="shared" si="5"/>
        <v>163.15515820029776</v>
      </c>
      <c r="S259" s="134">
        <f t="shared" si="5"/>
        <v>182.56859319983323</v>
      </c>
      <c r="T259" s="134">
        <f t="shared" si="5"/>
        <v>65630.013114052155</v>
      </c>
      <c r="U259" s="134">
        <f t="shared" si="5"/>
        <v>70255.041801928339</v>
      </c>
      <c r="V259" s="134">
        <f t="shared" si="5"/>
        <v>75145.107214317191</v>
      </c>
      <c r="W259" s="134">
        <f t="shared" si="5"/>
        <v>78249.29448920241</v>
      </c>
      <c r="X259" s="134">
        <f t="shared" si="5"/>
        <v>49718.165224717268</v>
      </c>
      <c r="Y259" s="134">
        <f t="shared" si="5"/>
        <v>43005.445564227273</v>
      </c>
      <c r="Z259" s="134">
        <f t="shared" si="5"/>
        <v>36775.98886161446</v>
      </c>
      <c r="AA259" s="134">
        <f t="shared" si="5"/>
        <v>42636.285864353027</v>
      </c>
      <c r="AB259" s="134">
        <f t="shared" si="5"/>
        <v>60345.555575111495</v>
      </c>
      <c r="AC259" s="134">
        <f t="shared" si="5"/>
        <v>58148.013548150215</v>
      </c>
      <c r="AD259" s="134">
        <f t="shared" si="5"/>
        <v>40150.217242686689</v>
      </c>
      <c r="AE259" s="134">
        <f t="shared" si="5"/>
        <v>38297.195775518681</v>
      </c>
      <c r="AF259" s="134">
        <f t="shared" si="5"/>
        <v>0</v>
      </c>
      <c r="AG259" s="134">
        <f t="shared" si="5"/>
        <v>0</v>
      </c>
      <c r="AH259" s="134">
        <f t="shared" si="5"/>
        <v>0</v>
      </c>
      <c r="AI259" s="134">
        <f t="shared" si="5"/>
        <v>0</v>
      </c>
      <c r="AJ259" s="134">
        <f t="shared" si="5"/>
        <v>0</v>
      </c>
      <c r="AK259" s="134">
        <f t="shared" si="5"/>
        <v>0</v>
      </c>
      <c r="AL259" s="134">
        <f t="shared" si="5"/>
        <v>0</v>
      </c>
      <c r="AM259" s="134">
        <f t="shared" si="5"/>
        <v>0</v>
      </c>
      <c r="AN259" s="134">
        <f t="shared" si="5"/>
        <v>0</v>
      </c>
      <c r="AO259" s="134">
        <f t="shared" si="5"/>
        <v>0</v>
      </c>
      <c r="AP259" s="134">
        <f t="shared" si="5"/>
        <v>0</v>
      </c>
      <c r="AQ259" s="134">
        <f t="shared" si="5"/>
        <v>0</v>
      </c>
      <c r="AR259" s="134">
        <f t="shared" si="5"/>
        <v>1903.6393995836581</v>
      </c>
      <c r="AS259" s="134">
        <f t="shared" si="5"/>
        <v>1978.3706472366478</v>
      </c>
      <c r="AT259" s="134">
        <f t="shared" si="5"/>
        <v>2100.6366363395387</v>
      </c>
      <c r="AU259" s="134">
        <f t="shared" si="5"/>
        <v>2171.2319257440085</v>
      </c>
      <c r="AV259" s="134">
        <f t="shared" si="5"/>
        <v>94861.8779774594</v>
      </c>
      <c r="AW259" s="134">
        <f t="shared" si="5"/>
        <v>84586.889827820924</v>
      </c>
      <c r="AX259" s="134">
        <f t="shared" si="5"/>
        <v>83864.251766776229</v>
      </c>
      <c r="AY259" s="134">
        <f>AZ$14*$B$259</f>
        <v>84036.273340340791</v>
      </c>
      <c r="AZ259" s="149">
        <f>SUM($D259:$AY259)</f>
        <v>1355904.2669380903</v>
      </c>
    </row>
    <row r="260" spans="1:52" x14ac:dyDescent="0.2">
      <c r="A260" s="150" t="s">
        <v>304</v>
      </c>
      <c r="B260" s="124">
        <v>60</v>
      </c>
      <c r="C260" s="135" t="s">
        <v>295</v>
      </c>
      <c r="D260" s="135">
        <f>(D$175-D$176+D$177-D$178+D$179-D$180+D$181-D$182)*$B$260</f>
        <v>3431.0020439641307</v>
      </c>
      <c r="E260" s="135">
        <f t="shared" ref="E260:AY260" si="6">(E$175-E$176+E$177-E$178+E$179-E$180+E$181-E$182)*$B$260</f>
        <v>8122.0040879282624</v>
      </c>
      <c r="F260" s="135">
        <f t="shared" si="6"/>
        <v>11634.878614649959</v>
      </c>
      <c r="G260" s="135">
        <f t="shared" si="6"/>
        <v>8324.0081758565248</v>
      </c>
      <c r="H260" s="135">
        <f t="shared" si="6"/>
        <v>88486.58409220785</v>
      </c>
      <c r="I260" s="135">
        <f t="shared" si="6"/>
        <v>151213.70542366753</v>
      </c>
      <c r="J260" s="135">
        <f t="shared" si="6"/>
        <v>209423.09328181925</v>
      </c>
      <c r="K260" s="135">
        <f t="shared" si="6"/>
        <v>279957.71830279252</v>
      </c>
      <c r="L260" s="135">
        <f t="shared" si="6"/>
        <v>271941.01501325954</v>
      </c>
      <c r="M260" s="135">
        <f t="shared" si="6"/>
        <v>192047.30190837369</v>
      </c>
      <c r="N260" s="135">
        <f t="shared" si="6"/>
        <v>103030.59861884074</v>
      </c>
      <c r="O260" s="135">
        <f t="shared" si="6"/>
        <v>30332.970791940534</v>
      </c>
      <c r="P260" s="135">
        <f t="shared" si="6"/>
        <v>27378.930540373</v>
      </c>
      <c r="Q260" s="135">
        <f t="shared" si="6"/>
        <v>43613.604397194627</v>
      </c>
      <c r="R260" s="135">
        <f t="shared" si="6"/>
        <v>32852.841300615975</v>
      </c>
      <c r="S260" s="135">
        <f t="shared" si="6"/>
        <v>36638.068722452779</v>
      </c>
      <c r="T260" s="135">
        <f t="shared" si="6"/>
        <v>297360.86600409891</v>
      </c>
      <c r="U260" s="135">
        <f t="shared" si="6"/>
        <v>294386.70939122897</v>
      </c>
      <c r="V260" s="135">
        <f t="shared" si="6"/>
        <v>293097.20172157203</v>
      </c>
      <c r="W260" s="135">
        <f t="shared" si="6"/>
        <v>289573.33485843771</v>
      </c>
      <c r="X260" s="135">
        <f t="shared" si="6"/>
        <v>295228.68664103036</v>
      </c>
      <c r="Y260" s="135">
        <f t="shared" si="6"/>
        <v>297852.64802054485</v>
      </c>
      <c r="Z260" s="135">
        <f t="shared" si="6"/>
        <v>302235.55989915313</v>
      </c>
      <c r="AA260" s="135">
        <f t="shared" si="6"/>
        <v>226065.1680307448</v>
      </c>
      <c r="AB260" s="135">
        <f t="shared" si="6"/>
        <v>228578.1250323093</v>
      </c>
      <c r="AC260" s="135">
        <f t="shared" si="6"/>
        <v>233005.31163317096</v>
      </c>
      <c r="AD260" s="135">
        <f t="shared" si="6"/>
        <v>229420.734186574</v>
      </c>
      <c r="AE260" s="135">
        <f t="shared" si="6"/>
        <v>232459.60895125516</v>
      </c>
      <c r="AF260" s="135">
        <f t="shared" si="6"/>
        <v>191175.06938034372</v>
      </c>
      <c r="AG260" s="135">
        <f t="shared" si="6"/>
        <v>142870.52980943234</v>
      </c>
      <c r="AH260" s="135">
        <f t="shared" si="6"/>
        <v>108189.77851735585</v>
      </c>
      <c r="AI260" s="135">
        <f t="shared" si="6"/>
        <v>92180.34196758036</v>
      </c>
      <c r="AJ260" s="135">
        <f t="shared" si="6"/>
        <v>118448.27536808702</v>
      </c>
      <c r="AK260" s="135">
        <f t="shared" si="6"/>
        <v>158470.00504047956</v>
      </c>
      <c r="AL260" s="135">
        <f t="shared" si="6"/>
        <v>194996.54238407096</v>
      </c>
      <c r="AM260" s="135">
        <f t="shared" si="6"/>
        <v>236522.25706780536</v>
      </c>
      <c r="AN260" s="135">
        <f t="shared" si="6"/>
        <v>201508.1430205213</v>
      </c>
      <c r="AO260" s="135">
        <f t="shared" si="6"/>
        <v>181543.27639527767</v>
      </c>
      <c r="AP260" s="135">
        <f t="shared" si="6"/>
        <v>141023.29143848814</v>
      </c>
      <c r="AQ260" s="135">
        <f t="shared" si="6"/>
        <v>100743.30648169862</v>
      </c>
      <c r="AR260" s="135">
        <f t="shared" si="6"/>
        <v>116180.47960454602</v>
      </c>
      <c r="AS260" s="135">
        <f t="shared" si="6"/>
        <v>119130.83364866178</v>
      </c>
      <c r="AT260" s="135">
        <f t="shared" si="6"/>
        <v>121443.90769561011</v>
      </c>
      <c r="AU260" s="135">
        <f t="shared" si="6"/>
        <v>124948.87418943358</v>
      </c>
      <c r="AV260" s="135">
        <f t="shared" si="6"/>
        <v>128343.64529681139</v>
      </c>
      <c r="AW260" s="135">
        <f t="shared" si="6"/>
        <v>117162.28148927786</v>
      </c>
      <c r="AX260" s="135">
        <f t="shared" si="6"/>
        <v>121031.42344526203</v>
      </c>
      <c r="AY260" s="135">
        <f t="shared" si="6"/>
        <v>119655.37915634896</v>
      </c>
      <c r="AZ260" s="151">
        <f>SUM($D260:$AY260)</f>
        <v>7553259.9210831504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10"/>
  </cols>
  <sheetData>
    <row r="2" spans="1:99" x14ac:dyDescent="0.2">
      <c r="B2" s="112" t="s">
        <v>274</v>
      </c>
    </row>
    <row r="3" spans="1:99" x14ac:dyDescent="0.2">
      <c r="B3" s="113" t="s">
        <v>285</v>
      </c>
    </row>
    <row r="4" spans="1:99" x14ac:dyDescent="0.2">
      <c r="A4" s="111"/>
      <c r="B4" s="111"/>
      <c r="C4" s="109" t="s">
        <v>276</v>
      </c>
      <c r="D4" s="109" t="s">
        <v>92</v>
      </c>
      <c r="E4" s="111"/>
      <c r="F4" s="111"/>
      <c r="G4" s="111"/>
      <c r="H4" s="111"/>
      <c r="I4" s="111"/>
      <c r="J4" s="111"/>
      <c r="K4" s="111"/>
      <c r="L4" s="109" t="s">
        <v>93</v>
      </c>
      <c r="M4" s="111"/>
      <c r="N4" s="111"/>
      <c r="O4" s="111"/>
      <c r="P4" s="111"/>
      <c r="Q4" s="111"/>
      <c r="R4" s="111"/>
      <c r="S4" s="111"/>
      <c r="T4" s="109" t="s">
        <v>94</v>
      </c>
      <c r="U4" s="111"/>
      <c r="V4" s="111"/>
      <c r="W4" s="111"/>
      <c r="X4" s="111"/>
      <c r="Y4" s="111"/>
      <c r="Z4" s="111"/>
      <c r="AA4" s="111"/>
      <c r="AB4" s="109" t="s">
        <v>95</v>
      </c>
      <c r="AC4" s="111"/>
      <c r="AD4" s="111"/>
      <c r="AE4" s="111"/>
      <c r="AF4" s="111"/>
      <c r="AG4" s="111"/>
      <c r="AH4" s="111"/>
      <c r="AI4" s="111"/>
      <c r="AJ4" s="109" t="s">
        <v>96</v>
      </c>
      <c r="AK4" s="111"/>
      <c r="AL4" s="111"/>
      <c r="AM4" s="111"/>
      <c r="AN4" s="111"/>
      <c r="AO4" s="111"/>
      <c r="AP4" s="111"/>
      <c r="AQ4" s="111"/>
      <c r="AR4" s="109" t="s">
        <v>97</v>
      </c>
      <c r="AS4" s="111"/>
      <c r="AT4" s="111"/>
      <c r="AU4" s="111"/>
      <c r="AV4" s="111"/>
      <c r="AW4" s="111"/>
      <c r="AX4" s="111"/>
      <c r="AY4" s="111"/>
      <c r="AZ4" s="109" t="s">
        <v>98</v>
      </c>
      <c r="BA4" s="111"/>
      <c r="BB4" s="111"/>
      <c r="BC4" s="111"/>
      <c r="BD4" s="111"/>
      <c r="BE4" s="111"/>
      <c r="BF4" s="111"/>
      <c r="BG4" s="111"/>
      <c r="BH4" s="109" t="s">
        <v>99</v>
      </c>
      <c r="BI4" s="111"/>
      <c r="BJ4" s="111"/>
      <c r="BK4" s="111"/>
      <c r="BL4" s="111"/>
      <c r="BM4" s="111"/>
      <c r="BN4" s="111"/>
      <c r="BO4" s="111"/>
      <c r="BP4" s="109" t="s">
        <v>100</v>
      </c>
      <c r="BQ4" s="111"/>
      <c r="BR4" s="111"/>
      <c r="BS4" s="111"/>
      <c r="BT4" s="111"/>
      <c r="BU4" s="111"/>
      <c r="BV4" s="111"/>
      <c r="BW4" s="111"/>
      <c r="BX4" s="109" t="s">
        <v>101</v>
      </c>
      <c r="BY4" s="111"/>
      <c r="BZ4" s="111"/>
      <c r="CA4" s="111"/>
      <c r="CB4" s="111"/>
      <c r="CC4" s="111"/>
      <c r="CD4" s="111"/>
      <c r="CE4" s="111"/>
      <c r="CF4" s="109" t="s">
        <v>102</v>
      </c>
      <c r="CG4" s="111"/>
      <c r="CH4" s="111"/>
      <c r="CI4" s="111"/>
      <c r="CJ4" s="111"/>
      <c r="CK4" s="111"/>
      <c r="CL4" s="111"/>
      <c r="CM4" s="111"/>
      <c r="CN4" s="109" t="s">
        <v>103</v>
      </c>
      <c r="CO4" s="111"/>
      <c r="CP4" s="111"/>
      <c r="CQ4" s="111"/>
      <c r="CR4" s="111"/>
      <c r="CS4" s="111"/>
      <c r="CT4" s="111"/>
      <c r="CU4" s="111"/>
    </row>
    <row r="5" spans="1:99" x14ac:dyDescent="0.2">
      <c r="B5" s="109" t="s">
        <v>169</v>
      </c>
      <c r="C5" s="109" t="s">
        <v>277</v>
      </c>
      <c r="D5" s="109">
        <v>1</v>
      </c>
      <c r="E5" s="109"/>
      <c r="F5" s="109">
        <v>2</v>
      </c>
      <c r="G5" s="109"/>
      <c r="H5" s="109">
        <v>3</v>
      </c>
      <c r="I5" s="109"/>
      <c r="J5" s="109">
        <v>4</v>
      </c>
      <c r="K5" s="109"/>
      <c r="L5" s="109">
        <v>1</v>
      </c>
      <c r="M5" s="109"/>
      <c r="N5" s="109">
        <v>2</v>
      </c>
      <c r="O5" s="109"/>
      <c r="P5" s="109">
        <v>3</v>
      </c>
      <c r="Q5" s="109"/>
      <c r="R5" s="109">
        <v>4</v>
      </c>
      <c r="S5" s="109"/>
      <c r="T5" s="109">
        <v>1</v>
      </c>
      <c r="U5" s="109"/>
      <c r="V5" s="109">
        <v>2</v>
      </c>
      <c r="W5" s="109"/>
      <c r="X5" s="109">
        <v>3</v>
      </c>
      <c r="Y5" s="109"/>
      <c r="Z5" s="109">
        <v>4</v>
      </c>
      <c r="AA5" s="109"/>
      <c r="AB5" s="109">
        <v>1</v>
      </c>
      <c r="AC5" s="109"/>
      <c r="AD5" s="109">
        <v>2</v>
      </c>
      <c r="AE5" s="109"/>
      <c r="AF5" s="109">
        <v>3</v>
      </c>
      <c r="AG5" s="109"/>
      <c r="AH5" s="109">
        <v>4</v>
      </c>
      <c r="AI5" s="109"/>
      <c r="AJ5" s="109">
        <v>1</v>
      </c>
      <c r="AK5" s="109"/>
      <c r="AL5" s="109">
        <v>2</v>
      </c>
      <c r="AM5" s="109"/>
      <c r="AN5" s="109">
        <v>3</v>
      </c>
      <c r="AO5" s="109"/>
      <c r="AP5" s="109">
        <v>4</v>
      </c>
      <c r="AQ5" s="109"/>
      <c r="AR5" s="109">
        <v>1</v>
      </c>
      <c r="AS5" s="109"/>
      <c r="AT5" s="109">
        <v>2</v>
      </c>
      <c r="AU5" s="109"/>
      <c r="AV5" s="109">
        <v>3</v>
      </c>
      <c r="AW5" s="109"/>
      <c r="AX5" s="109">
        <v>4</v>
      </c>
      <c r="AY5" s="109"/>
      <c r="AZ5" s="109">
        <v>1</v>
      </c>
      <c r="BA5" s="109"/>
      <c r="BB5" s="109">
        <v>2</v>
      </c>
      <c r="BC5" s="109"/>
      <c r="BD5" s="109">
        <v>3</v>
      </c>
      <c r="BE5" s="109"/>
      <c r="BF5" s="109">
        <v>4</v>
      </c>
      <c r="BG5" s="109"/>
      <c r="BH5" s="109">
        <v>1</v>
      </c>
      <c r="BI5" s="109"/>
      <c r="BJ5" s="109">
        <v>2</v>
      </c>
      <c r="BK5" s="109"/>
      <c r="BL5" s="109">
        <v>3</v>
      </c>
      <c r="BM5" s="109"/>
      <c r="BN5" s="109">
        <v>4</v>
      </c>
      <c r="BO5" s="109"/>
      <c r="BP5" s="109">
        <v>1</v>
      </c>
      <c r="BQ5" s="109"/>
      <c r="BR5" s="109">
        <v>2</v>
      </c>
      <c r="BS5" s="109"/>
      <c r="BT5" s="109">
        <v>3</v>
      </c>
      <c r="BU5" s="109"/>
      <c r="BV5" s="109">
        <v>4</v>
      </c>
      <c r="BW5" s="109"/>
      <c r="BX5" s="109">
        <v>1</v>
      </c>
      <c r="BY5" s="109"/>
      <c r="BZ5" s="109">
        <v>2</v>
      </c>
      <c r="CA5" s="109"/>
      <c r="CB5" s="109">
        <v>3</v>
      </c>
      <c r="CC5" s="109"/>
      <c r="CD5" s="109">
        <v>4</v>
      </c>
      <c r="CE5" s="109"/>
      <c r="CF5" s="109">
        <v>1</v>
      </c>
      <c r="CG5" s="109"/>
      <c r="CH5" s="109">
        <v>2</v>
      </c>
      <c r="CI5" s="109"/>
      <c r="CJ5" s="109">
        <v>3</v>
      </c>
      <c r="CK5" s="109"/>
      <c r="CL5" s="109">
        <v>4</v>
      </c>
      <c r="CM5" s="109"/>
      <c r="CN5" s="109">
        <v>1</v>
      </c>
      <c r="CO5" s="109"/>
      <c r="CP5" s="109">
        <v>2</v>
      </c>
      <c r="CQ5" s="109"/>
      <c r="CR5" s="109">
        <v>3</v>
      </c>
      <c r="CS5" s="109"/>
      <c r="CT5" s="109">
        <v>4</v>
      </c>
      <c r="CU5" s="109"/>
    </row>
    <row r="6" spans="1:99" x14ac:dyDescent="0.2">
      <c r="B6" s="109" t="s">
        <v>126</v>
      </c>
      <c r="C6" s="109" t="s">
        <v>174</v>
      </c>
      <c r="D6" s="110">
        <v>20</v>
      </c>
      <c r="E6" s="110">
        <v>13656</v>
      </c>
      <c r="F6" s="110">
        <v>25</v>
      </c>
      <c r="G6" s="110">
        <v>17070</v>
      </c>
      <c r="H6" s="110">
        <v>18</v>
      </c>
      <c r="I6" s="110">
        <v>12290.4</v>
      </c>
      <c r="J6" s="110">
        <v>25</v>
      </c>
      <c r="K6" s="110">
        <v>17070</v>
      </c>
      <c r="L6" s="110">
        <v>18</v>
      </c>
      <c r="M6" s="110">
        <v>12290.4</v>
      </c>
      <c r="N6" s="110">
        <v>23</v>
      </c>
      <c r="O6" s="110">
        <v>15704.4</v>
      </c>
      <c r="P6" s="110">
        <v>14</v>
      </c>
      <c r="Q6" s="110">
        <v>9559.1999999999989</v>
      </c>
      <c r="R6" s="110">
        <v>25</v>
      </c>
      <c r="S6" s="110">
        <v>17070</v>
      </c>
      <c r="T6" s="110">
        <v>24</v>
      </c>
      <c r="U6" s="110">
        <v>16387.199999999997</v>
      </c>
      <c r="V6" s="110">
        <v>34</v>
      </c>
      <c r="W6" s="110">
        <v>23215.199999999997</v>
      </c>
      <c r="X6" s="110">
        <v>28</v>
      </c>
      <c r="Y6" s="110">
        <v>19118.399999999998</v>
      </c>
      <c r="Z6" s="110">
        <v>28</v>
      </c>
      <c r="AA6" s="110">
        <v>19118.399999999998</v>
      </c>
      <c r="AB6" s="110">
        <v>2</v>
      </c>
      <c r="AC6" s="110">
        <v>1365.6</v>
      </c>
      <c r="AD6" s="110">
        <v>3</v>
      </c>
      <c r="AE6" s="110">
        <v>2048.3999999999996</v>
      </c>
      <c r="AF6" s="110">
        <v>2</v>
      </c>
      <c r="AG6" s="110">
        <v>1365.6</v>
      </c>
      <c r="AH6" s="110">
        <v>2</v>
      </c>
      <c r="AI6" s="110">
        <v>1365.6</v>
      </c>
      <c r="AJ6" s="110">
        <v>21</v>
      </c>
      <c r="AK6" s="110">
        <v>14338.8</v>
      </c>
      <c r="AL6" s="110">
        <v>21</v>
      </c>
      <c r="AM6" s="110">
        <v>14338.8</v>
      </c>
      <c r="AN6" s="110">
        <v>28</v>
      </c>
      <c r="AO6" s="110">
        <v>19118.399999999998</v>
      </c>
      <c r="AP6" s="110">
        <v>19</v>
      </c>
      <c r="AQ6" s="110">
        <v>12973.199999999999</v>
      </c>
      <c r="AR6" s="110">
        <v>29</v>
      </c>
      <c r="AS6" s="110">
        <v>19801.199999999997</v>
      </c>
      <c r="AT6" s="110">
        <v>35</v>
      </c>
      <c r="AU6" s="110">
        <v>23898</v>
      </c>
      <c r="AV6" s="110">
        <v>38</v>
      </c>
      <c r="AW6" s="110">
        <v>25946.399999999998</v>
      </c>
      <c r="AX6" s="110">
        <v>34</v>
      </c>
      <c r="AY6" s="110">
        <v>23215.199999999997</v>
      </c>
      <c r="AZ6" s="110">
        <v>18</v>
      </c>
      <c r="BA6" s="110">
        <v>12290.4</v>
      </c>
      <c r="BB6" s="110">
        <v>17</v>
      </c>
      <c r="BC6" s="110">
        <v>11607.599999999999</v>
      </c>
      <c r="BD6" s="110">
        <v>15</v>
      </c>
      <c r="BE6" s="110">
        <v>10242</v>
      </c>
      <c r="BF6" s="110">
        <v>19</v>
      </c>
      <c r="BG6" s="110">
        <v>12973.199999999999</v>
      </c>
      <c r="BH6" s="110">
        <v>37</v>
      </c>
      <c r="BI6" s="110">
        <v>25263.599999999999</v>
      </c>
      <c r="BJ6" s="110">
        <v>45</v>
      </c>
      <c r="BK6" s="110">
        <v>30725.999999999996</v>
      </c>
      <c r="BL6" s="110">
        <v>33</v>
      </c>
      <c r="BM6" s="110">
        <v>22532.399999999998</v>
      </c>
      <c r="BN6" s="110">
        <v>38</v>
      </c>
      <c r="BO6" s="110">
        <v>25946.399999999998</v>
      </c>
      <c r="BP6" s="110">
        <v>49</v>
      </c>
      <c r="BQ6" s="110">
        <v>33457.199999999997</v>
      </c>
      <c r="BR6" s="110">
        <v>60</v>
      </c>
      <c r="BS6" s="110">
        <v>40968</v>
      </c>
      <c r="BT6" s="110">
        <v>47</v>
      </c>
      <c r="BU6" s="110">
        <v>32091.599999999999</v>
      </c>
      <c r="BV6" s="110">
        <v>29</v>
      </c>
      <c r="BW6" s="110">
        <v>19801.199999999997</v>
      </c>
      <c r="BX6" s="110">
        <v>20</v>
      </c>
      <c r="BY6" s="110">
        <v>13656</v>
      </c>
      <c r="BZ6" s="110">
        <v>21</v>
      </c>
      <c r="CA6" s="110">
        <v>14338.8</v>
      </c>
      <c r="CB6" s="110">
        <v>22</v>
      </c>
      <c r="CC6" s="110">
        <v>15021.599999999999</v>
      </c>
      <c r="CD6" s="110">
        <v>32</v>
      </c>
      <c r="CE6" s="110">
        <v>21849.599999999999</v>
      </c>
      <c r="CF6" s="110">
        <v>13</v>
      </c>
      <c r="CG6" s="110">
        <v>8876.4</v>
      </c>
      <c r="CH6" s="110">
        <v>10</v>
      </c>
      <c r="CI6" s="110">
        <v>6828</v>
      </c>
      <c r="CJ6" s="110">
        <v>9</v>
      </c>
      <c r="CK6" s="110">
        <v>6145.2</v>
      </c>
      <c r="CL6" s="110">
        <v>8</v>
      </c>
      <c r="CM6" s="110">
        <v>5462.4</v>
      </c>
      <c r="CN6" s="110">
        <v>18</v>
      </c>
      <c r="CO6" s="110">
        <v>12290.4</v>
      </c>
      <c r="CP6" s="110">
        <v>16</v>
      </c>
      <c r="CQ6" s="110">
        <v>10924.8</v>
      </c>
      <c r="CR6" s="110">
        <v>20</v>
      </c>
      <c r="CS6" s="110">
        <v>13656</v>
      </c>
      <c r="CT6" s="110">
        <v>24</v>
      </c>
      <c r="CU6" s="110">
        <v>16387.199999999997</v>
      </c>
    </row>
    <row r="7" spans="1:99" x14ac:dyDescent="0.2">
      <c r="C7" s="109" t="s">
        <v>175</v>
      </c>
      <c r="D7" s="110">
        <v>17</v>
      </c>
      <c r="E7" s="110">
        <v>14667.599999999999</v>
      </c>
      <c r="F7" s="110">
        <v>25</v>
      </c>
      <c r="G7" s="110">
        <v>21570</v>
      </c>
      <c r="H7" s="110">
        <v>15</v>
      </c>
      <c r="I7" s="110">
        <v>12942</v>
      </c>
      <c r="J7" s="110">
        <v>25</v>
      </c>
      <c r="K7" s="110">
        <v>21570</v>
      </c>
      <c r="L7" s="110">
        <v>18</v>
      </c>
      <c r="M7" s="110">
        <v>15530.4</v>
      </c>
      <c r="N7" s="110">
        <v>22</v>
      </c>
      <c r="O7" s="110">
        <v>18981.599999999999</v>
      </c>
      <c r="P7" s="110">
        <v>13</v>
      </c>
      <c r="Q7" s="110">
        <v>11216.4</v>
      </c>
      <c r="R7" s="110">
        <v>28</v>
      </c>
      <c r="S7" s="110">
        <v>24158.399999999998</v>
      </c>
      <c r="T7" s="110">
        <v>24</v>
      </c>
      <c r="U7" s="110">
        <v>20707.199999999997</v>
      </c>
      <c r="V7" s="110">
        <v>31</v>
      </c>
      <c r="W7" s="110">
        <v>26746.799999999999</v>
      </c>
      <c r="X7" s="110">
        <v>30</v>
      </c>
      <c r="Y7" s="110">
        <v>25884</v>
      </c>
      <c r="Z7" s="110">
        <v>27</v>
      </c>
      <c r="AA7" s="110">
        <v>23295.599999999999</v>
      </c>
      <c r="AB7" s="110">
        <v>2</v>
      </c>
      <c r="AC7" s="110">
        <v>1725.6</v>
      </c>
      <c r="AD7" s="110">
        <v>3</v>
      </c>
      <c r="AE7" s="110">
        <v>2588.3999999999996</v>
      </c>
      <c r="AF7" s="110">
        <v>2</v>
      </c>
      <c r="AG7" s="110">
        <v>1725.6</v>
      </c>
      <c r="AH7" s="110">
        <v>2</v>
      </c>
      <c r="AI7" s="110">
        <v>1725.6</v>
      </c>
      <c r="AJ7" s="110">
        <v>23</v>
      </c>
      <c r="AK7" s="110">
        <v>19844.399999999998</v>
      </c>
      <c r="AL7" s="110">
        <v>22</v>
      </c>
      <c r="AM7" s="110">
        <v>18981.599999999999</v>
      </c>
      <c r="AN7" s="110">
        <v>28</v>
      </c>
      <c r="AO7" s="110">
        <v>24158.399999999998</v>
      </c>
      <c r="AP7" s="110">
        <v>19</v>
      </c>
      <c r="AQ7" s="110">
        <v>16393.2</v>
      </c>
      <c r="AR7" s="110">
        <v>31</v>
      </c>
      <c r="AS7" s="110">
        <v>26746.799999999999</v>
      </c>
      <c r="AT7" s="110">
        <v>35</v>
      </c>
      <c r="AU7" s="110">
        <v>30198</v>
      </c>
      <c r="AV7" s="110">
        <v>38</v>
      </c>
      <c r="AW7" s="110">
        <v>32786.400000000001</v>
      </c>
      <c r="AX7" s="110">
        <v>32</v>
      </c>
      <c r="AY7" s="110">
        <v>27609.599999999999</v>
      </c>
      <c r="AZ7" s="110">
        <v>17</v>
      </c>
      <c r="BA7" s="110">
        <v>14667.599999999999</v>
      </c>
      <c r="BB7" s="110">
        <v>16</v>
      </c>
      <c r="BC7" s="110">
        <v>13804.8</v>
      </c>
      <c r="BD7" s="110">
        <v>15</v>
      </c>
      <c r="BE7" s="110">
        <v>12942</v>
      </c>
      <c r="BF7" s="110">
        <v>18</v>
      </c>
      <c r="BG7" s="110">
        <v>15530.4</v>
      </c>
      <c r="BH7" s="110">
        <v>35</v>
      </c>
      <c r="BI7" s="110">
        <v>30198</v>
      </c>
      <c r="BJ7" s="110">
        <v>47</v>
      </c>
      <c r="BK7" s="110">
        <v>40551.599999999999</v>
      </c>
      <c r="BL7" s="110">
        <v>31</v>
      </c>
      <c r="BM7" s="110">
        <v>26746.799999999999</v>
      </c>
      <c r="BN7" s="110">
        <v>32</v>
      </c>
      <c r="BO7" s="110">
        <v>27609.599999999999</v>
      </c>
      <c r="BP7" s="110">
        <v>43</v>
      </c>
      <c r="BQ7" s="110">
        <v>37100.400000000001</v>
      </c>
      <c r="BR7" s="110">
        <v>50</v>
      </c>
      <c r="BS7" s="110">
        <v>43140</v>
      </c>
      <c r="BT7" s="110">
        <v>44</v>
      </c>
      <c r="BU7" s="110">
        <v>37963.199999999997</v>
      </c>
      <c r="BV7" s="110">
        <v>29</v>
      </c>
      <c r="BW7" s="110">
        <v>25021.199999999997</v>
      </c>
      <c r="BX7" s="110">
        <v>18</v>
      </c>
      <c r="BY7" s="110">
        <v>15530.4</v>
      </c>
      <c r="BZ7" s="110">
        <v>18</v>
      </c>
      <c r="CA7" s="110">
        <v>15530.4</v>
      </c>
      <c r="CB7" s="110">
        <v>19</v>
      </c>
      <c r="CC7" s="110">
        <v>16393.2</v>
      </c>
      <c r="CD7" s="110">
        <v>29</v>
      </c>
      <c r="CE7" s="110">
        <v>25021.199999999997</v>
      </c>
      <c r="CF7" s="110">
        <v>13</v>
      </c>
      <c r="CG7" s="110">
        <v>11216.4</v>
      </c>
      <c r="CH7" s="110">
        <v>10</v>
      </c>
      <c r="CI7" s="110">
        <v>8628</v>
      </c>
      <c r="CJ7" s="110">
        <v>8</v>
      </c>
      <c r="CK7" s="110">
        <v>6902.4</v>
      </c>
      <c r="CL7" s="110">
        <v>10</v>
      </c>
      <c r="CM7" s="110">
        <v>8628</v>
      </c>
      <c r="CN7" s="110">
        <v>17</v>
      </c>
      <c r="CO7" s="110">
        <v>14667.599999999999</v>
      </c>
      <c r="CP7" s="110">
        <v>15</v>
      </c>
      <c r="CQ7" s="110">
        <v>12942</v>
      </c>
      <c r="CR7" s="110">
        <v>20</v>
      </c>
      <c r="CS7" s="110">
        <v>17256</v>
      </c>
      <c r="CT7" s="110">
        <v>22</v>
      </c>
      <c r="CU7" s="110">
        <v>18981.599999999999</v>
      </c>
    </row>
    <row r="8" spans="1:99" x14ac:dyDescent="0.2">
      <c r="C8" s="109" t="s">
        <v>176</v>
      </c>
      <c r="D8" s="110">
        <v>20</v>
      </c>
      <c r="E8" s="110">
        <v>6551.9999999999991</v>
      </c>
      <c r="F8" s="110">
        <v>24</v>
      </c>
      <c r="G8" s="110">
        <v>7862.4</v>
      </c>
      <c r="H8" s="110">
        <v>18</v>
      </c>
      <c r="I8" s="110">
        <v>5896.7999999999993</v>
      </c>
      <c r="J8" s="110">
        <v>26</v>
      </c>
      <c r="K8" s="110">
        <v>8517.5999999999985</v>
      </c>
      <c r="L8" s="110">
        <v>19</v>
      </c>
      <c r="M8" s="110">
        <v>6224.4</v>
      </c>
      <c r="N8" s="110">
        <v>22</v>
      </c>
      <c r="O8" s="110">
        <v>7207.1999999999989</v>
      </c>
      <c r="P8" s="110">
        <v>15</v>
      </c>
      <c r="Q8" s="110">
        <v>4913.9999999999991</v>
      </c>
      <c r="R8" s="110">
        <v>27</v>
      </c>
      <c r="S8" s="110">
        <v>8845.1999999999989</v>
      </c>
      <c r="T8" s="110">
        <v>30</v>
      </c>
      <c r="U8" s="110">
        <v>9827.9999999999982</v>
      </c>
      <c r="V8" s="110">
        <v>38</v>
      </c>
      <c r="W8" s="110">
        <v>12448.8</v>
      </c>
      <c r="X8" s="110">
        <v>29</v>
      </c>
      <c r="Y8" s="110">
        <v>9500.4</v>
      </c>
      <c r="Z8" s="110">
        <v>29</v>
      </c>
      <c r="AA8" s="110">
        <v>9500.4</v>
      </c>
      <c r="AB8" s="110">
        <v>2</v>
      </c>
      <c r="AC8" s="110">
        <v>655.19999999999993</v>
      </c>
      <c r="AD8" s="110">
        <v>2</v>
      </c>
      <c r="AE8" s="110">
        <v>655.19999999999993</v>
      </c>
      <c r="AF8" s="110">
        <v>2</v>
      </c>
      <c r="AG8" s="110">
        <v>655.19999999999993</v>
      </c>
      <c r="AH8" s="110">
        <v>2</v>
      </c>
      <c r="AI8" s="110">
        <v>655.19999999999993</v>
      </c>
      <c r="AJ8" s="110">
        <v>24</v>
      </c>
      <c r="AK8" s="110">
        <v>7862.4</v>
      </c>
      <c r="AL8" s="110">
        <v>25</v>
      </c>
      <c r="AM8" s="110">
        <v>8189.9999999999991</v>
      </c>
      <c r="AN8" s="110">
        <v>32</v>
      </c>
      <c r="AO8" s="110">
        <v>10483.199999999999</v>
      </c>
      <c r="AP8" s="110">
        <v>20</v>
      </c>
      <c r="AQ8" s="110">
        <v>6551.9999999999991</v>
      </c>
      <c r="AR8" s="110">
        <v>32</v>
      </c>
      <c r="AS8" s="110">
        <v>10483.199999999999</v>
      </c>
      <c r="AT8" s="110">
        <v>35</v>
      </c>
      <c r="AU8" s="110">
        <v>11465.999999999998</v>
      </c>
      <c r="AV8" s="110">
        <v>41</v>
      </c>
      <c r="AW8" s="110">
        <v>13431.599999999999</v>
      </c>
      <c r="AX8" s="110">
        <v>35</v>
      </c>
      <c r="AY8" s="110">
        <v>11465.999999999998</v>
      </c>
      <c r="AZ8" s="110">
        <v>17</v>
      </c>
      <c r="BA8" s="110">
        <v>5569.2</v>
      </c>
      <c r="BB8" s="110">
        <v>19</v>
      </c>
      <c r="BC8" s="110">
        <v>6224.4</v>
      </c>
      <c r="BD8" s="110">
        <v>15</v>
      </c>
      <c r="BE8" s="110">
        <v>4913.9999999999991</v>
      </c>
      <c r="BF8" s="110">
        <v>20</v>
      </c>
      <c r="BG8" s="110">
        <v>6551.9999999999991</v>
      </c>
      <c r="BH8" s="110">
        <v>44</v>
      </c>
      <c r="BI8" s="110">
        <v>14414.399999999998</v>
      </c>
      <c r="BJ8" s="110">
        <v>51</v>
      </c>
      <c r="BK8" s="110">
        <v>16707.599999999999</v>
      </c>
      <c r="BL8" s="110">
        <v>38</v>
      </c>
      <c r="BM8" s="110">
        <v>12448.8</v>
      </c>
      <c r="BN8" s="110">
        <v>42</v>
      </c>
      <c r="BO8" s="110">
        <v>13759.199999999999</v>
      </c>
      <c r="BP8" s="110">
        <v>52</v>
      </c>
      <c r="BQ8" s="110">
        <v>17035.199999999997</v>
      </c>
      <c r="BR8" s="110">
        <v>55</v>
      </c>
      <c r="BS8" s="110">
        <v>18017.999999999996</v>
      </c>
      <c r="BT8" s="110">
        <v>54</v>
      </c>
      <c r="BU8" s="110">
        <v>17690.399999999998</v>
      </c>
      <c r="BV8" s="110">
        <v>33</v>
      </c>
      <c r="BW8" s="110">
        <v>10810.8</v>
      </c>
      <c r="BX8" s="110">
        <v>18</v>
      </c>
      <c r="BY8" s="110">
        <v>5896.7999999999993</v>
      </c>
      <c r="BZ8" s="110">
        <v>21</v>
      </c>
      <c r="CA8" s="110">
        <v>6879.5999999999995</v>
      </c>
      <c r="CB8" s="110">
        <v>25</v>
      </c>
      <c r="CC8" s="110">
        <v>8189.9999999999991</v>
      </c>
      <c r="CD8" s="110">
        <v>33</v>
      </c>
      <c r="CE8" s="110">
        <v>10810.8</v>
      </c>
      <c r="CF8" s="110">
        <v>13</v>
      </c>
      <c r="CG8" s="110">
        <v>4258.7999999999993</v>
      </c>
      <c r="CH8" s="110">
        <v>12</v>
      </c>
      <c r="CI8" s="110">
        <v>3931.2</v>
      </c>
      <c r="CJ8" s="110">
        <v>9</v>
      </c>
      <c r="CK8" s="110">
        <v>2948.3999999999996</v>
      </c>
      <c r="CL8" s="110">
        <v>10</v>
      </c>
      <c r="CM8" s="110">
        <v>3275.9999999999995</v>
      </c>
      <c r="CN8" s="110">
        <v>19</v>
      </c>
      <c r="CO8" s="110">
        <v>6224.4</v>
      </c>
      <c r="CP8" s="110">
        <v>18</v>
      </c>
      <c r="CQ8" s="110">
        <v>5896.7999999999993</v>
      </c>
      <c r="CR8" s="110">
        <v>21</v>
      </c>
      <c r="CS8" s="110">
        <v>6879.5999999999995</v>
      </c>
      <c r="CT8" s="110">
        <v>25</v>
      </c>
      <c r="CU8" s="110">
        <v>8189.9999999999991</v>
      </c>
    </row>
    <row r="9" spans="1:99" x14ac:dyDescent="0.2">
      <c r="C9" s="109" t="s">
        <v>177</v>
      </c>
      <c r="D9" s="110">
        <v>21</v>
      </c>
      <c r="E9" s="110">
        <v>16858.8</v>
      </c>
      <c r="F9" s="110">
        <v>23</v>
      </c>
      <c r="G9" s="110">
        <v>18464.399999999998</v>
      </c>
      <c r="H9" s="110">
        <v>15</v>
      </c>
      <c r="I9" s="110">
        <v>12042</v>
      </c>
      <c r="J9" s="110">
        <v>27</v>
      </c>
      <c r="K9" s="110">
        <v>21675.599999999999</v>
      </c>
      <c r="L9" s="110">
        <v>15</v>
      </c>
      <c r="M9" s="110">
        <v>12042</v>
      </c>
      <c r="N9" s="110">
        <v>22</v>
      </c>
      <c r="O9" s="110">
        <v>17661.599999999999</v>
      </c>
      <c r="P9" s="110">
        <v>12</v>
      </c>
      <c r="Q9" s="110">
        <v>9633.5999999999985</v>
      </c>
      <c r="R9" s="110">
        <v>26</v>
      </c>
      <c r="S9" s="110">
        <v>20872.8</v>
      </c>
      <c r="T9" s="110">
        <v>26</v>
      </c>
      <c r="U9" s="110">
        <v>20872.8</v>
      </c>
      <c r="V9" s="110">
        <v>34</v>
      </c>
      <c r="W9" s="110">
        <v>27295.199999999997</v>
      </c>
      <c r="X9" s="110">
        <v>29</v>
      </c>
      <c r="Y9" s="110">
        <v>23281.199999999997</v>
      </c>
      <c r="Z9" s="110">
        <v>27</v>
      </c>
      <c r="AA9" s="110">
        <v>21675.599999999999</v>
      </c>
      <c r="AB9" s="110">
        <v>2</v>
      </c>
      <c r="AC9" s="110">
        <v>1605.6</v>
      </c>
      <c r="AD9" s="110">
        <v>3</v>
      </c>
      <c r="AE9" s="110">
        <v>2408.3999999999996</v>
      </c>
      <c r="AF9" s="110">
        <v>2</v>
      </c>
      <c r="AG9" s="110">
        <v>1605.6</v>
      </c>
      <c r="AH9" s="110">
        <v>2</v>
      </c>
      <c r="AI9" s="110">
        <v>1605.6</v>
      </c>
      <c r="AJ9" s="110">
        <v>22</v>
      </c>
      <c r="AK9" s="110">
        <v>17661.599999999999</v>
      </c>
      <c r="AL9" s="110">
        <v>24</v>
      </c>
      <c r="AM9" s="110">
        <v>19267.199999999997</v>
      </c>
      <c r="AN9" s="110">
        <v>29</v>
      </c>
      <c r="AO9" s="110">
        <v>23281.199999999997</v>
      </c>
      <c r="AP9" s="110">
        <v>17</v>
      </c>
      <c r="AQ9" s="110">
        <v>13647.599999999999</v>
      </c>
      <c r="AR9" s="110">
        <v>31</v>
      </c>
      <c r="AS9" s="110">
        <v>24886.799999999999</v>
      </c>
      <c r="AT9" s="110">
        <v>37</v>
      </c>
      <c r="AU9" s="110">
        <v>29703.599999999999</v>
      </c>
      <c r="AV9" s="110">
        <v>34</v>
      </c>
      <c r="AW9" s="110">
        <v>27295.199999999997</v>
      </c>
      <c r="AX9" s="110">
        <v>35</v>
      </c>
      <c r="AY9" s="110">
        <v>28098</v>
      </c>
      <c r="AZ9" s="110">
        <v>16</v>
      </c>
      <c r="BA9" s="110">
        <v>12844.8</v>
      </c>
      <c r="BB9" s="110">
        <v>16</v>
      </c>
      <c r="BC9" s="110">
        <v>12844.8</v>
      </c>
      <c r="BD9" s="110">
        <v>15</v>
      </c>
      <c r="BE9" s="110">
        <v>12042</v>
      </c>
      <c r="BF9" s="110">
        <v>20</v>
      </c>
      <c r="BG9" s="110">
        <v>16056</v>
      </c>
      <c r="BH9" s="110">
        <v>35</v>
      </c>
      <c r="BI9" s="110">
        <v>28098</v>
      </c>
      <c r="BJ9" s="110">
        <v>46</v>
      </c>
      <c r="BK9" s="110">
        <v>36928.799999999996</v>
      </c>
      <c r="BL9" s="110">
        <v>29</v>
      </c>
      <c r="BM9" s="110">
        <v>23281.199999999997</v>
      </c>
      <c r="BN9" s="110">
        <v>33</v>
      </c>
      <c r="BO9" s="110">
        <v>26492.399999999998</v>
      </c>
      <c r="BP9" s="110">
        <v>44</v>
      </c>
      <c r="BQ9" s="110">
        <v>35323.199999999997</v>
      </c>
      <c r="BR9" s="110">
        <v>54</v>
      </c>
      <c r="BS9" s="110">
        <v>43351.199999999997</v>
      </c>
      <c r="BT9" s="110">
        <v>45</v>
      </c>
      <c r="BU9" s="110">
        <v>36126</v>
      </c>
      <c r="BV9" s="110">
        <v>27</v>
      </c>
      <c r="BW9" s="110">
        <v>21675.599999999999</v>
      </c>
      <c r="BX9" s="110">
        <v>19</v>
      </c>
      <c r="BY9" s="110">
        <v>15253.199999999999</v>
      </c>
      <c r="BZ9" s="110">
        <v>19</v>
      </c>
      <c r="CA9" s="110">
        <v>15253.199999999999</v>
      </c>
      <c r="CB9" s="110">
        <v>19</v>
      </c>
      <c r="CC9" s="110">
        <v>15253.199999999999</v>
      </c>
      <c r="CD9" s="110">
        <v>29</v>
      </c>
      <c r="CE9" s="110">
        <v>23281.199999999997</v>
      </c>
      <c r="CF9" s="110">
        <v>13</v>
      </c>
      <c r="CG9" s="110">
        <v>10436.4</v>
      </c>
      <c r="CH9" s="110">
        <v>10</v>
      </c>
      <c r="CI9" s="110">
        <v>8028</v>
      </c>
      <c r="CJ9" s="110">
        <v>9</v>
      </c>
      <c r="CK9" s="110">
        <v>7225.2</v>
      </c>
      <c r="CL9" s="110">
        <v>9</v>
      </c>
      <c r="CM9" s="110">
        <v>7225.2</v>
      </c>
      <c r="CN9" s="110">
        <v>17</v>
      </c>
      <c r="CO9" s="110">
        <v>13647.599999999999</v>
      </c>
      <c r="CP9" s="110">
        <v>17</v>
      </c>
      <c r="CQ9" s="110">
        <v>13647.599999999999</v>
      </c>
      <c r="CR9" s="110">
        <v>21</v>
      </c>
      <c r="CS9" s="110">
        <v>16858.8</v>
      </c>
      <c r="CT9" s="110">
        <v>24</v>
      </c>
      <c r="CU9" s="110">
        <v>19267.199999999997</v>
      </c>
    </row>
    <row r="10" spans="1:99" x14ac:dyDescent="0.2">
      <c r="C10" s="109" t="s">
        <v>178</v>
      </c>
      <c r="D10" s="110">
        <v>22</v>
      </c>
      <c r="E10" s="110">
        <v>12249.599999999999</v>
      </c>
      <c r="F10" s="110">
        <v>25</v>
      </c>
      <c r="G10" s="110">
        <v>13919.999999999998</v>
      </c>
      <c r="H10" s="110">
        <v>18</v>
      </c>
      <c r="I10" s="110">
        <v>10022.4</v>
      </c>
      <c r="J10" s="110">
        <v>25</v>
      </c>
      <c r="K10" s="110">
        <v>13919.999999999998</v>
      </c>
      <c r="L10" s="110">
        <v>17</v>
      </c>
      <c r="M10" s="110">
        <v>9465.5999999999985</v>
      </c>
      <c r="N10" s="110">
        <v>22</v>
      </c>
      <c r="O10" s="110">
        <v>12249.599999999999</v>
      </c>
      <c r="P10" s="110">
        <v>13</v>
      </c>
      <c r="Q10" s="110">
        <v>7238.4</v>
      </c>
      <c r="R10" s="110">
        <v>28</v>
      </c>
      <c r="S10" s="110">
        <v>15590.399999999998</v>
      </c>
      <c r="T10" s="110">
        <v>28</v>
      </c>
      <c r="U10" s="110">
        <v>15590.399999999998</v>
      </c>
      <c r="V10" s="110">
        <v>32</v>
      </c>
      <c r="W10" s="110">
        <v>17817.599999999999</v>
      </c>
      <c r="X10" s="110">
        <v>26</v>
      </c>
      <c r="Y10" s="110">
        <v>14476.8</v>
      </c>
      <c r="Z10" s="110">
        <v>26</v>
      </c>
      <c r="AA10" s="110">
        <v>14476.8</v>
      </c>
      <c r="AB10" s="110">
        <v>2</v>
      </c>
      <c r="AC10" s="110">
        <v>1113.5999999999999</v>
      </c>
      <c r="AD10" s="110">
        <v>2</v>
      </c>
      <c r="AE10" s="110">
        <v>1113.5999999999999</v>
      </c>
      <c r="AF10" s="110">
        <v>2</v>
      </c>
      <c r="AG10" s="110">
        <v>1113.5999999999999</v>
      </c>
      <c r="AH10" s="110">
        <v>2</v>
      </c>
      <c r="AI10" s="110">
        <v>1113.5999999999999</v>
      </c>
      <c r="AJ10" s="110">
        <v>22</v>
      </c>
      <c r="AK10" s="110">
        <v>12249.599999999999</v>
      </c>
      <c r="AL10" s="110">
        <v>23</v>
      </c>
      <c r="AM10" s="110">
        <v>12806.4</v>
      </c>
      <c r="AN10" s="110">
        <v>28</v>
      </c>
      <c r="AO10" s="110">
        <v>15590.399999999998</v>
      </c>
      <c r="AP10" s="110">
        <v>17</v>
      </c>
      <c r="AQ10" s="110">
        <v>9465.5999999999985</v>
      </c>
      <c r="AR10" s="110">
        <v>31</v>
      </c>
      <c r="AS10" s="110">
        <v>17260.8</v>
      </c>
      <c r="AT10" s="110">
        <v>38</v>
      </c>
      <c r="AU10" s="110">
        <v>21158.399999999998</v>
      </c>
      <c r="AV10" s="110">
        <v>39</v>
      </c>
      <c r="AW10" s="110">
        <v>21715.199999999997</v>
      </c>
      <c r="AX10" s="110">
        <v>38</v>
      </c>
      <c r="AY10" s="110">
        <v>21158.399999999998</v>
      </c>
      <c r="AZ10" s="110">
        <v>19</v>
      </c>
      <c r="BA10" s="110">
        <v>10579.199999999999</v>
      </c>
      <c r="BB10" s="110">
        <v>16</v>
      </c>
      <c r="BC10" s="110">
        <v>8908.7999999999993</v>
      </c>
      <c r="BD10" s="110">
        <v>15</v>
      </c>
      <c r="BE10" s="110">
        <v>8352</v>
      </c>
      <c r="BF10" s="110">
        <v>23</v>
      </c>
      <c r="BG10" s="110">
        <v>12806.4</v>
      </c>
      <c r="BH10" s="110">
        <v>36</v>
      </c>
      <c r="BI10" s="110">
        <v>20044.8</v>
      </c>
      <c r="BJ10" s="110">
        <v>42</v>
      </c>
      <c r="BK10" s="110">
        <v>23385.599999999999</v>
      </c>
      <c r="BL10" s="110">
        <v>30</v>
      </c>
      <c r="BM10" s="110">
        <v>16704</v>
      </c>
      <c r="BN10" s="110">
        <v>40</v>
      </c>
      <c r="BO10" s="110">
        <v>22272</v>
      </c>
      <c r="BP10" s="110">
        <v>47</v>
      </c>
      <c r="BQ10" s="110">
        <v>26169.599999999999</v>
      </c>
      <c r="BR10" s="110">
        <v>58</v>
      </c>
      <c r="BS10" s="110">
        <v>32294.399999999998</v>
      </c>
      <c r="BT10" s="110">
        <v>53</v>
      </c>
      <c r="BU10" s="110">
        <v>29510.399999999998</v>
      </c>
      <c r="BV10" s="110">
        <v>30</v>
      </c>
      <c r="BW10" s="110">
        <v>16704</v>
      </c>
      <c r="BX10" s="110">
        <v>19</v>
      </c>
      <c r="BY10" s="110">
        <v>10579.199999999999</v>
      </c>
      <c r="BZ10" s="110">
        <v>21</v>
      </c>
      <c r="CA10" s="110">
        <v>11692.8</v>
      </c>
      <c r="CB10" s="110">
        <v>23</v>
      </c>
      <c r="CC10" s="110">
        <v>12806.4</v>
      </c>
      <c r="CD10" s="110">
        <v>31</v>
      </c>
      <c r="CE10" s="110">
        <v>17260.8</v>
      </c>
      <c r="CF10" s="110">
        <v>14</v>
      </c>
      <c r="CG10" s="110">
        <v>7795.1999999999989</v>
      </c>
      <c r="CH10" s="110">
        <v>11</v>
      </c>
      <c r="CI10" s="110">
        <v>6124.7999999999993</v>
      </c>
      <c r="CJ10" s="110">
        <v>9</v>
      </c>
      <c r="CK10" s="110">
        <v>5011.2</v>
      </c>
      <c r="CL10" s="110">
        <v>9</v>
      </c>
      <c r="CM10" s="110">
        <v>5011.2</v>
      </c>
      <c r="CN10" s="110">
        <v>17</v>
      </c>
      <c r="CO10" s="110">
        <v>9465.5999999999985</v>
      </c>
      <c r="CP10" s="110">
        <v>19</v>
      </c>
      <c r="CQ10" s="110">
        <v>10579.199999999999</v>
      </c>
      <c r="CR10" s="110">
        <v>22</v>
      </c>
      <c r="CS10" s="110">
        <v>12249.599999999999</v>
      </c>
      <c r="CT10" s="110">
        <v>22</v>
      </c>
      <c r="CU10" s="110">
        <v>12249.599999999999</v>
      </c>
    </row>
    <row r="11" spans="1:99" x14ac:dyDescent="0.2">
      <c r="C11" s="109" t="s">
        <v>179</v>
      </c>
      <c r="D11" s="110">
        <v>20</v>
      </c>
      <c r="E11" s="110">
        <v>11976</v>
      </c>
      <c r="F11" s="110">
        <v>23</v>
      </c>
      <c r="G11" s="110">
        <v>13772.4</v>
      </c>
      <c r="H11" s="110">
        <v>19</v>
      </c>
      <c r="I11" s="110">
        <v>11377.199999999999</v>
      </c>
      <c r="J11" s="110">
        <v>24</v>
      </c>
      <c r="K11" s="110">
        <v>14371.199999999999</v>
      </c>
      <c r="L11" s="110">
        <v>17</v>
      </c>
      <c r="M11" s="110">
        <v>10179.599999999999</v>
      </c>
      <c r="N11" s="110">
        <v>24</v>
      </c>
      <c r="O11" s="110">
        <v>14371.199999999999</v>
      </c>
      <c r="P11" s="110">
        <v>13</v>
      </c>
      <c r="Q11" s="110">
        <v>7784.4</v>
      </c>
      <c r="R11" s="110">
        <v>24</v>
      </c>
      <c r="S11" s="110">
        <v>14371.199999999999</v>
      </c>
      <c r="T11" s="110">
        <v>26</v>
      </c>
      <c r="U11" s="110">
        <v>15568.8</v>
      </c>
      <c r="V11" s="110">
        <v>34</v>
      </c>
      <c r="W11" s="110">
        <v>20359.199999999997</v>
      </c>
      <c r="X11" s="110">
        <v>27</v>
      </c>
      <c r="Y11" s="110">
        <v>16167.599999999999</v>
      </c>
      <c r="Z11" s="110">
        <v>27</v>
      </c>
      <c r="AA11" s="110">
        <v>16167.599999999999</v>
      </c>
      <c r="AB11" s="110">
        <v>2</v>
      </c>
      <c r="AC11" s="110">
        <v>1197.5999999999999</v>
      </c>
      <c r="AD11" s="110">
        <v>3</v>
      </c>
      <c r="AE11" s="110">
        <v>1796.3999999999999</v>
      </c>
      <c r="AF11" s="110">
        <v>2</v>
      </c>
      <c r="AG11" s="110">
        <v>1197.5999999999999</v>
      </c>
      <c r="AH11" s="110">
        <v>2</v>
      </c>
      <c r="AI11" s="110">
        <v>1197.5999999999999</v>
      </c>
      <c r="AJ11" s="110">
        <v>21</v>
      </c>
      <c r="AK11" s="110">
        <v>12574.8</v>
      </c>
      <c r="AL11" s="110">
        <v>22</v>
      </c>
      <c r="AM11" s="110">
        <v>13173.599999999999</v>
      </c>
      <c r="AN11" s="110">
        <v>26</v>
      </c>
      <c r="AO11" s="110">
        <v>15568.8</v>
      </c>
      <c r="AP11" s="110">
        <v>17</v>
      </c>
      <c r="AQ11" s="110">
        <v>10179.599999999999</v>
      </c>
      <c r="AR11" s="110">
        <v>32</v>
      </c>
      <c r="AS11" s="110">
        <v>19161.599999999999</v>
      </c>
      <c r="AT11" s="110">
        <v>38</v>
      </c>
      <c r="AU11" s="110">
        <v>22754.399999999998</v>
      </c>
      <c r="AV11" s="110">
        <v>38</v>
      </c>
      <c r="AW11" s="110">
        <v>22754.399999999998</v>
      </c>
      <c r="AX11" s="110">
        <v>38</v>
      </c>
      <c r="AY11" s="110">
        <v>22754.399999999998</v>
      </c>
      <c r="AZ11" s="110">
        <v>18</v>
      </c>
      <c r="BA11" s="110">
        <v>10778.4</v>
      </c>
      <c r="BB11" s="110">
        <v>17</v>
      </c>
      <c r="BC11" s="110">
        <v>10179.599999999999</v>
      </c>
      <c r="BD11" s="110">
        <v>15</v>
      </c>
      <c r="BE11" s="110">
        <v>8982</v>
      </c>
      <c r="BF11" s="110">
        <v>21</v>
      </c>
      <c r="BG11" s="110">
        <v>12574.8</v>
      </c>
      <c r="BH11" s="110">
        <v>40</v>
      </c>
      <c r="BI11" s="110">
        <v>23952</v>
      </c>
      <c r="BJ11" s="110">
        <v>45</v>
      </c>
      <c r="BK11" s="110">
        <v>26945.999999999996</v>
      </c>
      <c r="BL11" s="110">
        <v>31</v>
      </c>
      <c r="BM11" s="110">
        <v>18562.8</v>
      </c>
      <c r="BN11" s="110">
        <v>36</v>
      </c>
      <c r="BO11" s="110">
        <v>21556.799999999999</v>
      </c>
      <c r="BP11" s="110">
        <v>47</v>
      </c>
      <c r="BQ11" s="110">
        <v>28143.599999999999</v>
      </c>
      <c r="BR11" s="110">
        <v>58</v>
      </c>
      <c r="BS11" s="110">
        <v>34730.399999999994</v>
      </c>
      <c r="BT11" s="110">
        <v>52</v>
      </c>
      <c r="BU11" s="110">
        <v>31137.599999999999</v>
      </c>
      <c r="BV11" s="110">
        <v>30</v>
      </c>
      <c r="BW11" s="110">
        <v>17964</v>
      </c>
      <c r="BX11" s="110">
        <v>18</v>
      </c>
      <c r="BY11" s="110">
        <v>10778.4</v>
      </c>
      <c r="BZ11" s="110">
        <v>20</v>
      </c>
      <c r="CA11" s="110">
        <v>11976</v>
      </c>
      <c r="CB11" s="110">
        <v>22</v>
      </c>
      <c r="CC11" s="110">
        <v>13173.599999999999</v>
      </c>
      <c r="CD11" s="110">
        <v>35</v>
      </c>
      <c r="CE11" s="110">
        <v>20958</v>
      </c>
      <c r="CF11" s="110">
        <v>14</v>
      </c>
      <c r="CG11" s="110">
        <v>8383.1999999999989</v>
      </c>
      <c r="CH11" s="110">
        <v>10</v>
      </c>
      <c r="CI11" s="110">
        <v>5988</v>
      </c>
      <c r="CJ11" s="110">
        <v>8</v>
      </c>
      <c r="CK11" s="110">
        <v>4790.3999999999996</v>
      </c>
      <c r="CL11" s="110">
        <v>10</v>
      </c>
      <c r="CM11" s="110">
        <v>5988</v>
      </c>
      <c r="CN11" s="110">
        <v>16</v>
      </c>
      <c r="CO11" s="110">
        <v>9580.7999999999993</v>
      </c>
      <c r="CP11" s="110">
        <v>16</v>
      </c>
      <c r="CQ11" s="110">
        <v>9580.7999999999993</v>
      </c>
      <c r="CR11" s="110">
        <v>20</v>
      </c>
      <c r="CS11" s="110">
        <v>11976</v>
      </c>
      <c r="CT11" s="110">
        <v>25</v>
      </c>
      <c r="CU11" s="110">
        <v>14969.999999999998</v>
      </c>
    </row>
    <row r="12" spans="1:99" x14ac:dyDescent="0.2">
      <c r="C12" s="109" t="s">
        <v>180</v>
      </c>
      <c r="D12" s="110">
        <v>21</v>
      </c>
      <c r="E12" s="110">
        <v>12700.8</v>
      </c>
      <c r="F12" s="110">
        <v>23</v>
      </c>
      <c r="G12" s="110">
        <v>13910.4</v>
      </c>
      <c r="H12" s="110">
        <v>16</v>
      </c>
      <c r="I12" s="110">
        <v>9676.7999999999993</v>
      </c>
      <c r="J12" s="110">
        <v>25</v>
      </c>
      <c r="K12" s="110">
        <v>15119.999999999998</v>
      </c>
      <c r="L12" s="110">
        <v>17</v>
      </c>
      <c r="M12" s="110">
        <v>10281.599999999999</v>
      </c>
      <c r="N12" s="110">
        <v>25</v>
      </c>
      <c r="O12" s="110">
        <v>15119.999999999998</v>
      </c>
      <c r="P12" s="110">
        <v>14</v>
      </c>
      <c r="Q12" s="110">
        <v>8467.1999999999989</v>
      </c>
      <c r="R12" s="110">
        <v>24</v>
      </c>
      <c r="S12" s="110">
        <v>14515.199999999999</v>
      </c>
      <c r="T12" s="110">
        <v>30</v>
      </c>
      <c r="U12" s="110">
        <v>18144</v>
      </c>
      <c r="V12" s="110">
        <v>38</v>
      </c>
      <c r="W12" s="110">
        <v>22982.399999999998</v>
      </c>
      <c r="X12" s="110">
        <v>31</v>
      </c>
      <c r="Y12" s="110">
        <v>18748.8</v>
      </c>
      <c r="Z12" s="110">
        <v>26</v>
      </c>
      <c r="AA12" s="110">
        <v>15724.8</v>
      </c>
      <c r="AB12" s="110">
        <v>2</v>
      </c>
      <c r="AC12" s="110">
        <v>1209.5999999999999</v>
      </c>
      <c r="AD12" s="110">
        <v>2</v>
      </c>
      <c r="AE12" s="110">
        <v>1209.5999999999999</v>
      </c>
      <c r="AF12" s="110">
        <v>2</v>
      </c>
      <c r="AG12" s="110">
        <v>1209.5999999999999</v>
      </c>
      <c r="AH12" s="110">
        <v>2</v>
      </c>
      <c r="AI12" s="110">
        <v>1209.5999999999999</v>
      </c>
      <c r="AJ12" s="110">
        <v>22</v>
      </c>
      <c r="AK12" s="110">
        <v>13305.599999999999</v>
      </c>
      <c r="AL12" s="110">
        <v>24</v>
      </c>
      <c r="AM12" s="110">
        <v>14515.199999999999</v>
      </c>
      <c r="AN12" s="110">
        <v>31</v>
      </c>
      <c r="AO12" s="110">
        <v>18748.8</v>
      </c>
      <c r="AP12" s="110">
        <v>20</v>
      </c>
      <c r="AQ12" s="110">
        <v>12096</v>
      </c>
      <c r="AR12" s="110">
        <v>29</v>
      </c>
      <c r="AS12" s="110">
        <v>17539.199999999997</v>
      </c>
      <c r="AT12" s="110">
        <v>39</v>
      </c>
      <c r="AU12" s="110">
        <v>23587.199999999997</v>
      </c>
      <c r="AV12" s="110">
        <v>40</v>
      </c>
      <c r="AW12" s="110">
        <v>24192</v>
      </c>
      <c r="AX12" s="110">
        <v>36</v>
      </c>
      <c r="AY12" s="110">
        <v>21772.799999999999</v>
      </c>
      <c r="AZ12" s="110">
        <v>18</v>
      </c>
      <c r="BA12" s="110">
        <v>10886.4</v>
      </c>
      <c r="BB12" s="110">
        <v>17</v>
      </c>
      <c r="BC12" s="110">
        <v>10281.599999999999</v>
      </c>
      <c r="BD12" s="110">
        <v>16</v>
      </c>
      <c r="BE12" s="110">
        <v>9676.7999999999993</v>
      </c>
      <c r="BF12" s="110">
        <v>19</v>
      </c>
      <c r="BG12" s="110">
        <v>11491.199999999999</v>
      </c>
      <c r="BH12" s="110">
        <v>41</v>
      </c>
      <c r="BI12" s="110">
        <v>24796.799999999999</v>
      </c>
      <c r="BJ12" s="110">
        <v>41</v>
      </c>
      <c r="BK12" s="110">
        <v>24796.799999999999</v>
      </c>
      <c r="BL12" s="110">
        <v>31</v>
      </c>
      <c r="BM12" s="110">
        <v>18748.8</v>
      </c>
      <c r="BN12" s="110">
        <v>40</v>
      </c>
      <c r="BO12" s="110">
        <v>24192</v>
      </c>
      <c r="BP12" s="110">
        <v>50</v>
      </c>
      <c r="BQ12" s="110">
        <v>30239.999999999996</v>
      </c>
      <c r="BR12" s="110">
        <v>53</v>
      </c>
      <c r="BS12" s="110">
        <v>32054.399999999998</v>
      </c>
      <c r="BT12" s="110">
        <v>45</v>
      </c>
      <c r="BU12" s="110">
        <v>27215.999999999996</v>
      </c>
      <c r="BV12" s="110">
        <v>27</v>
      </c>
      <c r="BW12" s="110">
        <v>16329.599999999999</v>
      </c>
      <c r="BX12" s="110">
        <v>20</v>
      </c>
      <c r="BY12" s="110">
        <v>12096</v>
      </c>
      <c r="BZ12" s="110">
        <v>21</v>
      </c>
      <c r="CA12" s="110">
        <v>12700.8</v>
      </c>
      <c r="CB12" s="110">
        <v>23</v>
      </c>
      <c r="CC12" s="110">
        <v>13910.4</v>
      </c>
      <c r="CD12" s="110">
        <v>36</v>
      </c>
      <c r="CE12" s="110">
        <v>21772.799999999999</v>
      </c>
      <c r="CF12" s="110">
        <v>13</v>
      </c>
      <c r="CG12" s="110">
        <v>7862.4</v>
      </c>
      <c r="CH12" s="110">
        <v>11</v>
      </c>
      <c r="CI12" s="110">
        <v>6652.7999999999993</v>
      </c>
      <c r="CJ12" s="110">
        <v>9</v>
      </c>
      <c r="CK12" s="110">
        <v>5443.2</v>
      </c>
      <c r="CL12" s="110">
        <v>9</v>
      </c>
      <c r="CM12" s="110">
        <v>5443.2</v>
      </c>
      <c r="CN12" s="110">
        <v>18</v>
      </c>
      <c r="CO12" s="110">
        <v>10886.4</v>
      </c>
      <c r="CP12" s="110">
        <v>16</v>
      </c>
      <c r="CQ12" s="110">
        <v>9676.7999999999993</v>
      </c>
      <c r="CR12" s="110">
        <v>21</v>
      </c>
      <c r="CS12" s="110">
        <v>12700.8</v>
      </c>
      <c r="CT12" s="110">
        <v>27</v>
      </c>
      <c r="CU12" s="110">
        <v>16329.599999999999</v>
      </c>
    </row>
    <row r="13" spans="1:99" x14ac:dyDescent="0.2">
      <c r="C13" s="109" t="s">
        <v>181</v>
      </c>
      <c r="D13" s="110">
        <v>21</v>
      </c>
      <c r="E13" s="110">
        <v>3502.7999999999997</v>
      </c>
      <c r="F13" s="110">
        <v>25</v>
      </c>
      <c r="G13" s="110">
        <v>4170</v>
      </c>
      <c r="H13" s="110">
        <v>17</v>
      </c>
      <c r="I13" s="110">
        <v>2835.6</v>
      </c>
      <c r="J13" s="110">
        <v>30</v>
      </c>
      <c r="K13" s="110">
        <v>5003.9999999999991</v>
      </c>
      <c r="L13" s="110">
        <v>17</v>
      </c>
      <c r="M13" s="110">
        <v>2835.6</v>
      </c>
      <c r="N13" s="110">
        <v>26</v>
      </c>
      <c r="O13" s="110">
        <v>4336.7999999999993</v>
      </c>
      <c r="P13" s="110">
        <v>16</v>
      </c>
      <c r="Q13" s="110">
        <v>2668.7999999999997</v>
      </c>
      <c r="R13" s="110">
        <v>28</v>
      </c>
      <c r="S13" s="110">
        <v>4670.3999999999996</v>
      </c>
      <c r="T13" s="110">
        <v>29</v>
      </c>
      <c r="U13" s="110">
        <v>4837.2</v>
      </c>
      <c r="V13" s="110">
        <v>40</v>
      </c>
      <c r="W13" s="110">
        <v>6671.9999999999991</v>
      </c>
      <c r="X13" s="110">
        <v>31</v>
      </c>
      <c r="Y13" s="110">
        <v>5170.7999999999993</v>
      </c>
      <c r="Z13" s="110">
        <v>30</v>
      </c>
      <c r="AA13" s="110">
        <v>5003.9999999999991</v>
      </c>
      <c r="AB13" s="110">
        <v>2</v>
      </c>
      <c r="AC13" s="110">
        <v>333.59999999999997</v>
      </c>
      <c r="AD13" s="110">
        <v>3</v>
      </c>
      <c r="AE13" s="110">
        <v>500.4</v>
      </c>
      <c r="AF13" s="110">
        <v>2</v>
      </c>
      <c r="AG13" s="110">
        <v>333.59999999999997</v>
      </c>
      <c r="AH13" s="110">
        <v>2</v>
      </c>
      <c r="AI13" s="110">
        <v>333.59999999999997</v>
      </c>
      <c r="AJ13" s="110">
        <v>26</v>
      </c>
      <c r="AK13" s="110">
        <v>4336.7999999999993</v>
      </c>
      <c r="AL13" s="110">
        <v>27</v>
      </c>
      <c r="AM13" s="110">
        <v>4503.5999999999995</v>
      </c>
      <c r="AN13" s="110">
        <v>30</v>
      </c>
      <c r="AO13" s="110">
        <v>5003.9999999999991</v>
      </c>
      <c r="AP13" s="110">
        <v>21</v>
      </c>
      <c r="AQ13" s="110">
        <v>3502.7999999999997</v>
      </c>
      <c r="AR13" s="110">
        <v>35</v>
      </c>
      <c r="AS13" s="110">
        <v>5837.9999999999991</v>
      </c>
      <c r="AT13" s="110">
        <v>36</v>
      </c>
      <c r="AU13" s="110">
        <v>6004.7999999999993</v>
      </c>
      <c r="AV13" s="110">
        <v>40</v>
      </c>
      <c r="AW13" s="110">
        <v>6671.9999999999991</v>
      </c>
      <c r="AX13" s="110">
        <v>41</v>
      </c>
      <c r="AY13" s="110">
        <v>6838.7999999999993</v>
      </c>
      <c r="AZ13" s="110">
        <v>21</v>
      </c>
      <c r="BA13" s="110">
        <v>3502.7999999999997</v>
      </c>
      <c r="BB13" s="110">
        <v>19</v>
      </c>
      <c r="BC13" s="110">
        <v>3169.2</v>
      </c>
      <c r="BD13" s="110">
        <v>17</v>
      </c>
      <c r="BE13" s="110">
        <v>2835.6</v>
      </c>
      <c r="BF13" s="110">
        <v>23</v>
      </c>
      <c r="BG13" s="110">
        <v>3836.3999999999996</v>
      </c>
      <c r="BH13" s="110">
        <v>41</v>
      </c>
      <c r="BI13" s="110">
        <v>6838.7999999999993</v>
      </c>
      <c r="BJ13" s="110">
        <v>50</v>
      </c>
      <c r="BK13" s="110">
        <v>8340</v>
      </c>
      <c r="BL13" s="110">
        <v>34</v>
      </c>
      <c r="BM13" s="110">
        <v>5671.2</v>
      </c>
      <c r="BN13" s="110">
        <v>40</v>
      </c>
      <c r="BO13" s="110">
        <v>6671.9999999999991</v>
      </c>
      <c r="BP13" s="110">
        <v>57</v>
      </c>
      <c r="BQ13" s="110">
        <v>9507.5999999999985</v>
      </c>
      <c r="BR13" s="110">
        <v>63</v>
      </c>
      <c r="BS13" s="110">
        <v>10508.4</v>
      </c>
      <c r="BT13" s="110">
        <v>57</v>
      </c>
      <c r="BU13" s="110">
        <v>9507.5999999999985</v>
      </c>
      <c r="BV13" s="110">
        <v>35</v>
      </c>
      <c r="BW13" s="110">
        <v>5837.9999999999991</v>
      </c>
      <c r="BX13" s="110">
        <v>22</v>
      </c>
      <c r="BY13" s="110">
        <v>3669.5999999999995</v>
      </c>
      <c r="BZ13" s="110">
        <v>19</v>
      </c>
      <c r="CA13" s="110">
        <v>3169.2</v>
      </c>
      <c r="CB13" s="110">
        <v>26</v>
      </c>
      <c r="CC13" s="110">
        <v>4336.7999999999993</v>
      </c>
      <c r="CD13" s="110">
        <v>32</v>
      </c>
      <c r="CE13" s="110">
        <v>5337.5999999999995</v>
      </c>
      <c r="CF13" s="110">
        <v>14</v>
      </c>
      <c r="CG13" s="110">
        <v>2335.1999999999998</v>
      </c>
      <c r="CH13" s="110">
        <v>11</v>
      </c>
      <c r="CI13" s="110">
        <v>1834.7999999999997</v>
      </c>
      <c r="CJ13" s="110">
        <v>8</v>
      </c>
      <c r="CK13" s="110">
        <v>1334.3999999999999</v>
      </c>
      <c r="CL13" s="110">
        <v>10</v>
      </c>
      <c r="CM13" s="110">
        <v>1667.9999999999998</v>
      </c>
      <c r="CN13" s="110">
        <v>18</v>
      </c>
      <c r="CO13" s="110">
        <v>3002.3999999999996</v>
      </c>
      <c r="CP13" s="110">
        <v>16</v>
      </c>
      <c r="CQ13" s="110">
        <v>2668.7999999999997</v>
      </c>
      <c r="CR13" s="110">
        <v>23</v>
      </c>
      <c r="CS13" s="110">
        <v>3836.3999999999996</v>
      </c>
      <c r="CT13" s="110">
        <v>25</v>
      </c>
      <c r="CU13" s="110">
        <v>4170</v>
      </c>
    </row>
    <row r="14" spans="1:99" x14ac:dyDescent="0.2">
      <c r="C14" s="109" t="s">
        <v>182</v>
      </c>
      <c r="D14" s="110">
        <v>22</v>
      </c>
      <c r="E14" s="110">
        <v>10982.4</v>
      </c>
      <c r="F14" s="110">
        <v>24</v>
      </c>
      <c r="G14" s="110">
        <v>11980.8</v>
      </c>
      <c r="H14" s="110">
        <v>18</v>
      </c>
      <c r="I14" s="110">
        <v>8985.6</v>
      </c>
      <c r="J14" s="110">
        <v>27</v>
      </c>
      <c r="K14" s="110">
        <v>13478.4</v>
      </c>
      <c r="L14" s="110">
        <v>19</v>
      </c>
      <c r="M14" s="110">
        <v>9484.7999999999993</v>
      </c>
      <c r="N14" s="110">
        <v>21</v>
      </c>
      <c r="O14" s="110">
        <v>10483.199999999999</v>
      </c>
      <c r="P14" s="110">
        <v>14</v>
      </c>
      <c r="Q14" s="110">
        <v>6988.8</v>
      </c>
      <c r="R14" s="110">
        <v>25</v>
      </c>
      <c r="S14" s="110">
        <v>12480</v>
      </c>
      <c r="T14" s="110">
        <v>28</v>
      </c>
      <c r="U14" s="110">
        <v>13977.6</v>
      </c>
      <c r="V14" s="110">
        <v>39</v>
      </c>
      <c r="W14" s="110">
        <v>19468.8</v>
      </c>
      <c r="X14" s="110">
        <v>30</v>
      </c>
      <c r="Y14" s="110">
        <v>14976</v>
      </c>
      <c r="Z14" s="110">
        <v>27</v>
      </c>
      <c r="AA14" s="110">
        <v>13478.4</v>
      </c>
      <c r="AB14" s="110">
        <v>2</v>
      </c>
      <c r="AC14" s="110">
        <v>998.4</v>
      </c>
      <c r="AD14" s="110">
        <v>3</v>
      </c>
      <c r="AE14" s="110">
        <v>1497.6</v>
      </c>
      <c r="AF14" s="110">
        <v>2</v>
      </c>
      <c r="AG14" s="110">
        <v>998.4</v>
      </c>
      <c r="AH14" s="110">
        <v>2</v>
      </c>
      <c r="AI14" s="110">
        <v>998.4</v>
      </c>
      <c r="AJ14" s="110">
        <v>22</v>
      </c>
      <c r="AK14" s="110">
        <v>10982.4</v>
      </c>
      <c r="AL14" s="110">
        <v>23</v>
      </c>
      <c r="AM14" s="110">
        <v>11481.6</v>
      </c>
      <c r="AN14" s="110">
        <v>30</v>
      </c>
      <c r="AO14" s="110">
        <v>14976</v>
      </c>
      <c r="AP14" s="110">
        <v>21</v>
      </c>
      <c r="AQ14" s="110">
        <v>10483.199999999999</v>
      </c>
      <c r="AR14" s="110">
        <v>32</v>
      </c>
      <c r="AS14" s="110">
        <v>15974.4</v>
      </c>
      <c r="AT14" s="110">
        <v>38</v>
      </c>
      <c r="AU14" s="110">
        <v>18969.599999999999</v>
      </c>
      <c r="AV14" s="110">
        <v>35</v>
      </c>
      <c r="AW14" s="110">
        <v>17472</v>
      </c>
      <c r="AX14" s="110">
        <v>36</v>
      </c>
      <c r="AY14" s="110">
        <v>17971.2</v>
      </c>
      <c r="AZ14" s="110">
        <v>17</v>
      </c>
      <c r="BA14" s="110">
        <v>8486.4</v>
      </c>
      <c r="BB14" s="110">
        <v>16</v>
      </c>
      <c r="BC14" s="110">
        <v>7987.2</v>
      </c>
      <c r="BD14" s="110">
        <v>15</v>
      </c>
      <c r="BE14" s="110">
        <v>7488</v>
      </c>
      <c r="BF14" s="110">
        <v>22</v>
      </c>
      <c r="BG14" s="110">
        <v>10982.4</v>
      </c>
      <c r="BH14" s="110">
        <v>37</v>
      </c>
      <c r="BI14" s="110">
        <v>18470.399999999998</v>
      </c>
      <c r="BJ14" s="110">
        <v>46</v>
      </c>
      <c r="BK14" s="110">
        <v>22963.200000000001</v>
      </c>
      <c r="BL14" s="110">
        <v>36</v>
      </c>
      <c r="BM14" s="110">
        <v>17971.2</v>
      </c>
      <c r="BN14" s="110">
        <v>34</v>
      </c>
      <c r="BO14" s="110">
        <v>16972.8</v>
      </c>
      <c r="BP14" s="110">
        <v>47</v>
      </c>
      <c r="BQ14" s="110">
        <v>23462.399999999998</v>
      </c>
      <c r="BR14" s="110">
        <v>62</v>
      </c>
      <c r="BS14" s="110">
        <v>30950.399999999998</v>
      </c>
      <c r="BT14" s="110">
        <v>44</v>
      </c>
      <c r="BU14" s="110">
        <v>21964.799999999999</v>
      </c>
      <c r="BV14" s="110">
        <v>32</v>
      </c>
      <c r="BW14" s="110">
        <v>15974.4</v>
      </c>
      <c r="BX14" s="110">
        <v>20</v>
      </c>
      <c r="BY14" s="110">
        <v>9984</v>
      </c>
      <c r="BZ14" s="110">
        <v>21</v>
      </c>
      <c r="CA14" s="110">
        <v>10483.199999999999</v>
      </c>
      <c r="CB14" s="110">
        <v>24</v>
      </c>
      <c r="CC14" s="110">
        <v>11980.8</v>
      </c>
      <c r="CD14" s="110">
        <v>31</v>
      </c>
      <c r="CE14" s="110">
        <v>15475.199999999999</v>
      </c>
      <c r="CF14" s="110">
        <v>14</v>
      </c>
      <c r="CG14" s="110">
        <v>6988.8</v>
      </c>
      <c r="CH14" s="110">
        <v>12</v>
      </c>
      <c r="CI14" s="110">
        <v>5990.4</v>
      </c>
      <c r="CJ14" s="110">
        <v>9</v>
      </c>
      <c r="CK14" s="110">
        <v>4492.8</v>
      </c>
      <c r="CL14" s="110">
        <v>10</v>
      </c>
      <c r="CM14" s="110">
        <v>4992</v>
      </c>
      <c r="CN14" s="110">
        <v>19</v>
      </c>
      <c r="CO14" s="110">
        <v>9484.7999999999993</v>
      </c>
      <c r="CP14" s="110">
        <v>18</v>
      </c>
      <c r="CQ14" s="110">
        <v>8985.6</v>
      </c>
      <c r="CR14" s="110">
        <v>24</v>
      </c>
      <c r="CS14" s="110">
        <v>11980.8</v>
      </c>
      <c r="CT14" s="110">
        <v>25</v>
      </c>
      <c r="CU14" s="110">
        <v>12480</v>
      </c>
    </row>
    <row r="15" spans="1:99" x14ac:dyDescent="0.2">
      <c r="C15" s="109" t="s">
        <v>183</v>
      </c>
      <c r="D15" s="110">
        <v>20</v>
      </c>
      <c r="E15" s="110">
        <v>16488</v>
      </c>
      <c r="F15" s="110">
        <v>21</v>
      </c>
      <c r="G15" s="110">
        <v>17312.399999999998</v>
      </c>
      <c r="H15" s="110">
        <v>18</v>
      </c>
      <c r="I15" s="110">
        <v>14839.199999999999</v>
      </c>
      <c r="J15" s="110">
        <v>24</v>
      </c>
      <c r="K15" s="110">
        <v>19785.599999999999</v>
      </c>
      <c r="L15" s="110">
        <v>16</v>
      </c>
      <c r="M15" s="110">
        <v>13190.4</v>
      </c>
      <c r="N15" s="110">
        <v>22</v>
      </c>
      <c r="O15" s="110">
        <v>18136.8</v>
      </c>
      <c r="P15" s="110">
        <v>12</v>
      </c>
      <c r="Q15" s="110">
        <v>9892.7999999999993</v>
      </c>
      <c r="R15" s="110">
        <v>27</v>
      </c>
      <c r="S15" s="110">
        <v>22258.799999999999</v>
      </c>
      <c r="T15" s="110">
        <v>24</v>
      </c>
      <c r="U15" s="110">
        <v>19785.599999999999</v>
      </c>
      <c r="V15" s="110">
        <v>32</v>
      </c>
      <c r="W15" s="110">
        <v>26380.799999999999</v>
      </c>
      <c r="X15" s="110">
        <v>29</v>
      </c>
      <c r="Y15" s="110">
        <v>23907.599999999999</v>
      </c>
      <c r="Z15" s="110">
        <v>29</v>
      </c>
      <c r="AA15" s="110">
        <v>23907.599999999999</v>
      </c>
      <c r="AB15" s="110">
        <v>2</v>
      </c>
      <c r="AC15" s="110">
        <v>1648.8</v>
      </c>
      <c r="AD15" s="110">
        <v>2</v>
      </c>
      <c r="AE15" s="110">
        <v>1648.8</v>
      </c>
      <c r="AF15" s="110">
        <v>2</v>
      </c>
      <c r="AG15" s="110">
        <v>1648.8</v>
      </c>
      <c r="AH15" s="110">
        <v>2</v>
      </c>
      <c r="AI15" s="110">
        <v>1648.8</v>
      </c>
      <c r="AJ15" s="110">
        <v>23</v>
      </c>
      <c r="AK15" s="110">
        <v>18961.2</v>
      </c>
      <c r="AL15" s="110">
        <v>24</v>
      </c>
      <c r="AM15" s="110">
        <v>19785.599999999999</v>
      </c>
      <c r="AN15" s="110">
        <v>29</v>
      </c>
      <c r="AO15" s="110">
        <v>23907.599999999999</v>
      </c>
      <c r="AP15" s="110">
        <v>17</v>
      </c>
      <c r="AQ15" s="110">
        <v>14014.8</v>
      </c>
      <c r="AR15" s="110">
        <v>32</v>
      </c>
      <c r="AS15" s="110">
        <v>26380.799999999999</v>
      </c>
      <c r="AT15" s="110">
        <v>34</v>
      </c>
      <c r="AU15" s="110">
        <v>28029.599999999999</v>
      </c>
      <c r="AV15" s="110">
        <v>33</v>
      </c>
      <c r="AW15" s="110">
        <v>27205.200000000001</v>
      </c>
      <c r="AX15" s="110">
        <v>35</v>
      </c>
      <c r="AY15" s="110">
        <v>28854</v>
      </c>
      <c r="AZ15" s="110">
        <v>17</v>
      </c>
      <c r="BA15" s="110">
        <v>14014.8</v>
      </c>
      <c r="BB15" s="110">
        <v>15</v>
      </c>
      <c r="BC15" s="110">
        <v>12366</v>
      </c>
      <c r="BD15" s="110">
        <v>16</v>
      </c>
      <c r="BE15" s="110">
        <v>13190.4</v>
      </c>
      <c r="BF15" s="110">
        <v>18</v>
      </c>
      <c r="BG15" s="110">
        <v>14839.199999999999</v>
      </c>
      <c r="BH15" s="110">
        <v>33</v>
      </c>
      <c r="BI15" s="110">
        <v>27205.200000000001</v>
      </c>
      <c r="BJ15" s="110">
        <v>42</v>
      </c>
      <c r="BK15" s="110">
        <v>34624.799999999996</v>
      </c>
      <c r="BL15" s="110">
        <v>32</v>
      </c>
      <c r="BM15" s="110">
        <v>26380.799999999999</v>
      </c>
      <c r="BN15" s="110">
        <v>38</v>
      </c>
      <c r="BO15" s="110">
        <v>31327.200000000001</v>
      </c>
      <c r="BP15" s="110">
        <v>52</v>
      </c>
      <c r="BQ15" s="110">
        <v>42868.799999999996</v>
      </c>
      <c r="BR15" s="110">
        <v>49</v>
      </c>
      <c r="BS15" s="110">
        <v>40395.599999999999</v>
      </c>
      <c r="BT15" s="110">
        <v>46</v>
      </c>
      <c r="BU15" s="110">
        <v>37922.400000000001</v>
      </c>
      <c r="BV15" s="110">
        <v>28</v>
      </c>
      <c r="BW15" s="110">
        <v>23083.200000000001</v>
      </c>
      <c r="BX15" s="110">
        <v>18</v>
      </c>
      <c r="BY15" s="110">
        <v>14839.199999999999</v>
      </c>
      <c r="BZ15" s="110">
        <v>21</v>
      </c>
      <c r="CA15" s="110">
        <v>17312.399999999998</v>
      </c>
      <c r="CB15" s="110">
        <v>22</v>
      </c>
      <c r="CC15" s="110">
        <v>18136.8</v>
      </c>
      <c r="CD15" s="110">
        <v>34</v>
      </c>
      <c r="CE15" s="110">
        <v>28029.599999999999</v>
      </c>
      <c r="CF15" s="110">
        <v>13</v>
      </c>
      <c r="CG15" s="110">
        <v>10717.199999999999</v>
      </c>
      <c r="CH15" s="110">
        <v>10</v>
      </c>
      <c r="CI15" s="110">
        <v>8244</v>
      </c>
      <c r="CJ15" s="110">
        <v>8</v>
      </c>
      <c r="CK15" s="110">
        <v>6595.2</v>
      </c>
      <c r="CL15" s="110">
        <v>10</v>
      </c>
      <c r="CM15" s="110">
        <v>8244</v>
      </c>
      <c r="CN15" s="110">
        <v>15</v>
      </c>
      <c r="CO15" s="110">
        <v>12366</v>
      </c>
      <c r="CP15" s="110">
        <v>16</v>
      </c>
      <c r="CQ15" s="110">
        <v>13190.4</v>
      </c>
      <c r="CR15" s="110">
        <v>22</v>
      </c>
      <c r="CS15" s="110">
        <v>18136.8</v>
      </c>
      <c r="CT15" s="110">
        <v>22</v>
      </c>
      <c r="CU15" s="110">
        <v>18136.8</v>
      </c>
    </row>
    <row r="16" spans="1:99" x14ac:dyDescent="0.2">
      <c r="C16" s="109" t="s">
        <v>184</v>
      </c>
      <c r="D16" s="110">
        <v>20</v>
      </c>
      <c r="E16" s="110">
        <v>10175.999999999998</v>
      </c>
      <c r="F16" s="110">
        <v>23</v>
      </c>
      <c r="G16" s="110">
        <v>11702.399999999998</v>
      </c>
      <c r="H16" s="110">
        <v>16</v>
      </c>
      <c r="I16" s="110">
        <v>8140.7999999999984</v>
      </c>
      <c r="J16" s="110">
        <v>28</v>
      </c>
      <c r="K16" s="110">
        <v>14246.399999999998</v>
      </c>
      <c r="L16" s="110">
        <v>16</v>
      </c>
      <c r="M16" s="110">
        <v>8140.7999999999984</v>
      </c>
      <c r="N16" s="110">
        <v>23</v>
      </c>
      <c r="O16" s="110">
        <v>11702.399999999998</v>
      </c>
      <c r="P16" s="110">
        <v>15</v>
      </c>
      <c r="Q16" s="110">
        <v>7631.9999999999982</v>
      </c>
      <c r="R16" s="110">
        <v>29</v>
      </c>
      <c r="S16" s="110">
        <v>14755.199999999997</v>
      </c>
      <c r="T16" s="110">
        <v>28</v>
      </c>
      <c r="U16" s="110">
        <v>14246.399999999998</v>
      </c>
      <c r="V16" s="110">
        <v>33</v>
      </c>
      <c r="W16" s="110">
        <v>16790.399999999998</v>
      </c>
      <c r="X16" s="110">
        <v>28</v>
      </c>
      <c r="Y16" s="110">
        <v>14246.399999999998</v>
      </c>
      <c r="Z16" s="110">
        <v>29</v>
      </c>
      <c r="AA16" s="110">
        <v>14755.199999999997</v>
      </c>
      <c r="AB16" s="110">
        <v>2</v>
      </c>
      <c r="AC16" s="110">
        <v>1017.5999999999998</v>
      </c>
      <c r="AD16" s="110">
        <v>3</v>
      </c>
      <c r="AE16" s="110">
        <v>1526.3999999999996</v>
      </c>
      <c r="AF16" s="110">
        <v>2</v>
      </c>
      <c r="AG16" s="110">
        <v>1017.5999999999998</v>
      </c>
      <c r="AH16" s="110">
        <v>2</v>
      </c>
      <c r="AI16" s="110">
        <v>1017.5999999999998</v>
      </c>
      <c r="AJ16" s="110">
        <v>22</v>
      </c>
      <c r="AK16" s="110">
        <v>11193.599999999999</v>
      </c>
      <c r="AL16" s="110">
        <v>22</v>
      </c>
      <c r="AM16" s="110">
        <v>11193.599999999999</v>
      </c>
      <c r="AN16" s="110">
        <v>31</v>
      </c>
      <c r="AO16" s="110">
        <v>15772.799999999997</v>
      </c>
      <c r="AP16" s="110">
        <v>19</v>
      </c>
      <c r="AQ16" s="110">
        <v>9667.1999999999989</v>
      </c>
      <c r="AR16" s="110">
        <v>30</v>
      </c>
      <c r="AS16" s="110">
        <v>15263.999999999996</v>
      </c>
      <c r="AT16" s="110">
        <v>37</v>
      </c>
      <c r="AU16" s="110">
        <v>18825.599999999995</v>
      </c>
      <c r="AV16" s="110">
        <v>35</v>
      </c>
      <c r="AW16" s="110">
        <v>17807.999999999996</v>
      </c>
      <c r="AX16" s="110">
        <v>38</v>
      </c>
      <c r="AY16" s="110">
        <v>19334.399999999998</v>
      </c>
      <c r="AZ16" s="110">
        <v>17</v>
      </c>
      <c r="BA16" s="110">
        <v>8649.5999999999985</v>
      </c>
      <c r="BB16" s="110">
        <v>17</v>
      </c>
      <c r="BC16" s="110">
        <v>8649.5999999999985</v>
      </c>
      <c r="BD16" s="110">
        <v>15</v>
      </c>
      <c r="BE16" s="110">
        <v>7631.9999999999982</v>
      </c>
      <c r="BF16" s="110">
        <v>22</v>
      </c>
      <c r="BG16" s="110">
        <v>11193.599999999999</v>
      </c>
      <c r="BH16" s="110">
        <v>41</v>
      </c>
      <c r="BI16" s="110">
        <v>20860.799999999996</v>
      </c>
      <c r="BJ16" s="110">
        <v>43</v>
      </c>
      <c r="BK16" s="110">
        <v>21878.399999999994</v>
      </c>
      <c r="BL16" s="110">
        <v>33</v>
      </c>
      <c r="BM16" s="110">
        <v>16790.399999999998</v>
      </c>
      <c r="BN16" s="110">
        <v>34</v>
      </c>
      <c r="BO16" s="110">
        <v>17299.199999999997</v>
      </c>
      <c r="BP16" s="110">
        <v>46</v>
      </c>
      <c r="BQ16" s="110">
        <v>23404.799999999996</v>
      </c>
      <c r="BR16" s="110">
        <v>60</v>
      </c>
      <c r="BS16" s="110">
        <v>30527.999999999993</v>
      </c>
      <c r="BT16" s="110">
        <v>53</v>
      </c>
      <c r="BU16" s="110">
        <v>26966.399999999994</v>
      </c>
      <c r="BV16" s="110">
        <v>32</v>
      </c>
      <c r="BW16" s="110">
        <v>16281.599999999997</v>
      </c>
      <c r="BX16" s="110">
        <v>20</v>
      </c>
      <c r="BY16" s="110">
        <v>10175.999999999998</v>
      </c>
      <c r="BZ16" s="110">
        <v>20</v>
      </c>
      <c r="CA16" s="110">
        <v>10175.999999999998</v>
      </c>
      <c r="CB16" s="110">
        <v>22</v>
      </c>
      <c r="CC16" s="110">
        <v>11193.599999999999</v>
      </c>
      <c r="CD16" s="110">
        <v>33</v>
      </c>
      <c r="CE16" s="110">
        <v>16790.399999999998</v>
      </c>
      <c r="CF16" s="110">
        <v>13</v>
      </c>
      <c r="CG16" s="110">
        <v>6614.3999999999987</v>
      </c>
      <c r="CH16" s="110">
        <v>10</v>
      </c>
      <c r="CI16" s="110">
        <v>5087.9999999999991</v>
      </c>
      <c r="CJ16" s="110">
        <v>9</v>
      </c>
      <c r="CK16" s="110">
        <v>4579.1999999999989</v>
      </c>
      <c r="CL16" s="110">
        <v>10</v>
      </c>
      <c r="CM16" s="110">
        <v>5087.9999999999991</v>
      </c>
      <c r="CN16" s="110">
        <v>18</v>
      </c>
      <c r="CO16" s="110">
        <v>9158.3999999999978</v>
      </c>
      <c r="CP16" s="110">
        <v>16</v>
      </c>
      <c r="CQ16" s="110">
        <v>8140.7999999999984</v>
      </c>
      <c r="CR16" s="110">
        <v>22</v>
      </c>
      <c r="CS16" s="110">
        <v>11193.599999999999</v>
      </c>
      <c r="CT16" s="110">
        <v>23</v>
      </c>
      <c r="CU16" s="110">
        <v>11702.399999999998</v>
      </c>
    </row>
    <row r="17" spans="2:99" x14ac:dyDescent="0.2">
      <c r="C17" s="109" t="s">
        <v>185</v>
      </c>
      <c r="D17" s="110">
        <v>19</v>
      </c>
      <c r="E17" s="110">
        <v>9439.1999999999989</v>
      </c>
      <c r="F17" s="110">
        <v>22</v>
      </c>
      <c r="G17" s="110">
        <v>10929.599999999999</v>
      </c>
      <c r="H17" s="110">
        <v>17</v>
      </c>
      <c r="I17" s="110">
        <v>8445.5999999999985</v>
      </c>
      <c r="J17" s="110">
        <v>27</v>
      </c>
      <c r="K17" s="110">
        <v>13413.599999999999</v>
      </c>
      <c r="L17" s="110">
        <v>19</v>
      </c>
      <c r="M17" s="110">
        <v>9439.1999999999989</v>
      </c>
      <c r="N17" s="110">
        <v>25</v>
      </c>
      <c r="O17" s="110">
        <v>12419.999999999998</v>
      </c>
      <c r="P17" s="110">
        <v>14</v>
      </c>
      <c r="Q17" s="110">
        <v>6955.1999999999989</v>
      </c>
      <c r="R17" s="110">
        <v>24</v>
      </c>
      <c r="S17" s="110">
        <v>11923.199999999999</v>
      </c>
      <c r="T17" s="110">
        <v>27</v>
      </c>
      <c r="U17" s="110">
        <v>13413.599999999999</v>
      </c>
      <c r="V17" s="110">
        <v>34</v>
      </c>
      <c r="W17" s="110">
        <v>16891.199999999997</v>
      </c>
      <c r="X17" s="110">
        <v>31</v>
      </c>
      <c r="Y17" s="110">
        <v>15400.8</v>
      </c>
      <c r="Z17" s="110">
        <v>31</v>
      </c>
      <c r="AA17" s="110">
        <v>15400.8</v>
      </c>
      <c r="AB17" s="110">
        <v>2</v>
      </c>
      <c r="AC17" s="110">
        <v>993.59999999999991</v>
      </c>
      <c r="AD17" s="110">
        <v>2</v>
      </c>
      <c r="AE17" s="110">
        <v>993.59999999999991</v>
      </c>
      <c r="AF17" s="110">
        <v>2</v>
      </c>
      <c r="AG17" s="110">
        <v>993.59999999999991</v>
      </c>
      <c r="AH17" s="110">
        <v>2</v>
      </c>
      <c r="AI17" s="110">
        <v>993.59999999999991</v>
      </c>
      <c r="AJ17" s="110">
        <v>23</v>
      </c>
      <c r="AK17" s="110">
        <v>11426.4</v>
      </c>
      <c r="AL17" s="110">
        <v>25</v>
      </c>
      <c r="AM17" s="110">
        <v>12419.999999999998</v>
      </c>
      <c r="AN17" s="110">
        <v>28</v>
      </c>
      <c r="AO17" s="110">
        <v>13910.399999999998</v>
      </c>
      <c r="AP17" s="110">
        <v>19</v>
      </c>
      <c r="AQ17" s="110">
        <v>9439.1999999999989</v>
      </c>
      <c r="AR17" s="110">
        <v>29</v>
      </c>
      <c r="AS17" s="110">
        <v>14407.199999999999</v>
      </c>
      <c r="AT17" s="110">
        <v>35</v>
      </c>
      <c r="AU17" s="110">
        <v>17388</v>
      </c>
      <c r="AV17" s="110">
        <v>42</v>
      </c>
      <c r="AW17" s="110">
        <v>20865.599999999999</v>
      </c>
      <c r="AX17" s="110">
        <v>38</v>
      </c>
      <c r="AY17" s="110">
        <v>18878.399999999998</v>
      </c>
      <c r="AZ17" s="110">
        <v>17</v>
      </c>
      <c r="BA17" s="110">
        <v>8445.5999999999985</v>
      </c>
      <c r="BB17" s="110">
        <v>16</v>
      </c>
      <c r="BC17" s="110">
        <v>7948.7999999999993</v>
      </c>
      <c r="BD17" s="110">
        <v>15</v>
      </c>
      <c r="BE17" s="110">
        <v>7451.9999999999991</v>
      </c>
      <c r="BF17" s="110">
        <v>19</v>
      </c>
      <c r="BG17" s="110">
        <v>9439.1999999999989</v>
      </c>
      <c r="BH17" s="110">
        <v>36</v>
      </c>
      <c r="BI17" s="110">
        <v>17884.8</v>
      </c>
      <c r="BJ17" s="110">
        <v>45</v>
      </c>
      <c r="BK17" s="110">
        <v>22355.999999999996</v>
      </c>
      <c r="BL17" s="110">
        <v>35</v>
      </c>
      <c r="BM17" s="110">
        <v>17388</v>
      </c>
      <c r="BN17" s="110">
        <v>39</v>
      </c>
      <c r="BO17" s="110">
        <v>19375.199999999997</v>
      </c>
      <c r="BP17" s="110">
        <v>54</v>
      </c>
      <c r="BQ17" s="110">
        <v>26827.199999999997</v>
      </c>
      <c r="BR17" s="110">
        <v>56</v>
      </c>
      <c r="BS17" s="110">
        <v>27820.799999999996</v>
      </c>
      <c r="BT17" s="110">
        <v>45</v>
      </c>
      <c r="BU17" s="110">
        <v>22355.999999999996</v>
      </c>
      <c r="BV17" s="110">
        <v>32</v>
      </c>
      <c r="BW17" s="110">
        <v>15897.599999999999</v>
      </c>
      <c r="BX17" s="110">
        <v>20</v>
      </c>
      <c r="BY17" s="110">
        <v>9936</v>
      </c>
      <c r="BZ17" s="110">
        <v>19</v>
      </c>
      <c r="CA17" s="110">
        <v>9439.1999999999989</v>
      </c>
      <c r="CB17" s="110">
        <v>22</v>
      </c>
      <c r="CC17" s="110">
        <v>10929.599999999999</v>
      </c>
      <c r="CD17" s="110">
        <v>30</v>
      </c>
      <c r="CE17" s="110">
        <v>14903.999999999998</v>
      </c>
      <c r="CF17" s="110">
        <v>14</v>
      </c>
      <c r="CG17" s="110">
        <v>6955.1999999999989</v>
      </c>
      <c r="CH17" s="110">
        <v>10</v>
      </c>
      <c r="CI17" s="110">
        <v>4968</v>
      </c>
      <c r="CJ17" s="110">
        <v>10</v>
      </c>
      <c r="CK17" s="110">
        <v>4968</v>
      </c>
      <c r="CL17" s="110">
        <v>9</v>
      </c>
      <c r="CM17" s="110">
        <v>4471.2</v>
      </c>
      <c r="CN17" s="110">
        <v>18</v>
      </c>
      <c r="CO17" s="110">
        <v>8942.4</v>
      </c>
      <c r="CP17" s="110">
        <v>16</v>
      </c>
      <c r="CQ17" s="110">
        <v>7948.7999999999993</v>
      </c>
      <c r="CR17" s="110">
        <v>23</v>
      </c>
      <c r="CS17" s="110">
        <v>11426.4</v>
      </c>
      <c r="CT17" s="110">
        <v>24</v>
      </c>
      <c r="CU17" s="110">
        <v>11923.199999999999</v>
      </c>
    </row>
    <row r="18" spans="2:99" x14ac:dyDescent="0.2">
      <c r="C18" s="109" t="s">
        <v>186</v>
      </c>
      <c r="D18" s="110">
        <v>21</v>
      </c>
      <c r="E18" s="110">
        <v>15346.8</v>
      </c>
      <c r="F18" s="110">
        <v>23</v>
      </c>
      <c r="G18" s="110">
        <v>16808.399999999998</v>
      </c>
      <c r="H18" s="110">
        <v>16</v>
      </c>
      <c r="I18" s="110">
        <v>11692.8</v>
      </c>
      <c r="J18" s="110">
        <v>26</v>
      </c>
      <c r="K18" s="110">
        <v>19000.8</v>
      </c>
      <c r="L18" s="110">
        <v>16</v>
      </c>
      <c r="M18" s="110">
        <v>11692.8</v>
      </c>
      <c r="N18" s="110">
        <v>24</v>
      </c>
      <c r="O18" s="110">
        <v>17539.199999999997</v>
      </c>
      <c r="P18" s="110">
        <v>12</v>
      </c>
      <c r="Q18" s="110">
        <v>8769.5999999999985</v>
      </c>
      <c r="R18" s="110">
        <v>25</v>
      </c>
      <c r="S18" s="110">
        <v>18270</v>
      </c>
      <c r="T18" s="110">
        <v>27</v>
      </c>
      <c r="U18" s="110">
        <v>19731.599999999999</v>
      </c>
      <c r="V18" s="110">
        <v>33</v>
      </c>
      <c r="W18" s="110">
        <v>24116.399999999998</v>
      </c>
      <c r="X18" s="110">
        <v>27</v>
      </c>
      <c r="Y18" s="110">
        <v>19731.599999999999</v>
      </c>
      <c r="Z18" s="110">
        <v>29</v>
      </c>
      <c r="AA18" s="110">
        <v>21193.199999999997</v>
      </c>
      <c r="AB18" s="110">
        <v>2</v>
      </c>
      <c r="AC18" s="110">
        <v>1461.6</v>
      </c>
      <c r="AD18" s="110">
        <v>2</v>
      </c>
      <c r="AE18" s="110">
        <v>1461.6</v>
      </c>
      <c r="AF18" s="110">
        <v>2</v>
      </c>
      <c r="AG18" s="110">
        <v>1461.6</v>
      </c>
      <c r="AH18" s="110">
        <v>2</v>
      </c>
      <c r="AI18" s="110">
        <v>1461.6</v>
      </c>
      <c r="AJ18" s="110">
        <v>22</v>
      </c>
      <c r="AK18" s="110">
        <v>16077.599999999999</v>
      </c>
      <c r="AL18" s="110">
        <v>22</v>
      </c>
      <c r="AM18" s="110">
        <v>16077.599999999999</v>
      </c>
      <c r="AN18" s="110">
        <v>28</v>
      </c>
      <c r="AO18" s="110">
        <v>20462.399999999998</v>
      </c>
      <c r="AP18" s="110">
        <v>18</v>
      </c>
      <c r="AQ18" s="110">
        <v>13154.4</v>
      </c>
      <c r="AR18" s="110">
        <v>30</v>
      </c>
      <c r="AS18" s="110">
        <v>21924</v>
      </c>
      <c r="AT18" s="110">
        <v>36</v>
      </c>
      <c r="AU18" s="110">
        <v>26308.799999999999</v>
      </c>
      <c r="AV18" s="110">
        <v>40</v>
      </c>
      <c r="AW18" s="110">
        <v>29232</v>
      </c>
      <c r="AX18" s="110">
        <v>37</v>
      </c>
      <c r="AY18" s="110">
        <v>27039.599999999999</v>
      </c>
      <c r="AZ18" s="110">
        <v>16</v>
      </c>
      <c r="BA18" s="110">
        <v>11692.8</v>
      </c>
      <c r="BB18" s="110">
        <v>16</v>
      </c>
      <c r="BC18" s="110">
        <v>11692.8</v>
      </c>
      <c r="BD18" s="110">
        <v>15</v>
      </c>
      <c r="BE18" s="110">
        <v>10962</v>
      </c>
      <c r="BF18" s="110">
        <v>18</v>
      </c>
      <c r="BG18" s="110">
        <v>13154.4</v>
      </c>
      <c r="BH18" s="110">
        <v>34</v>
      </c>
      <c r="BI18" s="110">
        <v>24847.199999999997</v>
      </c>
      <c r="BJ18" s="110">
        <v>44</v>
      </c>
      <c r="BK18" s="110">
        <v>32155.199999999997</v>
      </c>
      <c r="BL18" s="110">
        <v>31</v>
      </c>
      <c r="BM18" s="110">
        <v>22654.799999999999</v>
      </c>
      <c r="BN18" s="110">
        <v>34</v>
      </c>
      <c r="BO18" s="110">
        <v>24847.199999999997</v>
      </c>
      <c r="BP18" s="110">
        <v>47</v>
      </c>
      <c r="BQ18" s="110">
        <v>34347.599999999999</v>
      </c>
      <c r="BR18" s="110">
        <v>51</v>
      </c>
      <c r="BS18" s="110">
        <v>37270.799999999996</v>
      </c>
      <c r="BT18" s="110">
        <v>47</v>
      </c>
      <c r="BU18" s="110">
        <v>34347.599999999999</v>
      </c>
      <c r="BV18" s="110">
        <v>29</v>
      </c>
      <c r="BW18" s="110">
        <v>21193.199999999997</v>
      </c>
      <c r="BX18" s="110">
        <v>18</v>
      </c>
      <c r="BY18" s="110">
        <v>13154.4</v>
      </c>
      <c r="BZ18" s="110">
        <v>18</v>
      </c>
      <c r="CA18" s="110">
        <v>13154.4</v>
      </c>
      <c r="CB18" s="110">
        <v>20</v>
      </c>
      <c r="CC18" s="110">
        <v>14616</v>
      </c>
      <c r="CD18" s="110">
        <v>30</v>
      </c>
      <c r="CE18" s="110">
        <v>21924</v>
      </c>
      <c r="CF18" s="110">
        <v>13</v>
      </c>
      <c r="CG18" s="110">
        <v>9500.4</v>
      </c>
      <c r="CH18" s="110">
        <v>11</v>
      </c>
      <c r="CI18" s="110">
        <v>8038.7999999999993</v>
      </c>
      <c r="CJ18" s="110">
        <v>9</v>
      </c>
      <c r="CK18" s="110">
        <v>6577.2</v>
      </c>
      <c r="CL18" s="110">
        <v>9</v>
      </c>
      <c r="CM18" s="110">
        <v>6577.2</v>
      </c>
      <c r="CN18" s="110">
        <v>16</v>
      </c>
      <c r="CO18" s="110">
        <v>11692.8</v>
      </c>
      <c r="CP18" s="110">
        <v>17</v>
      </c>
      <c r="CQ18" s="110">
        <v>12423.599999999999</v>
      </c>
      <c r="CR18" s="110">
        <v>20</v>
      </c>
      <c r="CS18" s="110">
        <v>14616</v>
      </c>
      <c r="CT18" s="110">
        <v>25</v>
      </c>
      <c r="CU18" s="110">
        <v>18270</v>
      </c>
    </row>
    <row r="19" spans="2:99" x14ac:dyDescent="0.2">
      <c r="C19" s="109" t="s">
        <v>187</v>
      </c>
      <c r="D19" s="110">
        <v>21</v>
      </c>
      <c r="E19" s="110">
        <v>8114.4</v>
      </c>
      <c r="F19" s="110">
        <v>26</v>
      </c>
      <c r="G19" s="110">
        <v>10046.4</v>
      </c>
      <c r="H19" s="110">
        <v>18</v>
      </c>
      <c r="I19" s="110">
        <v>6955.2</v>
      </c>
      <c r="J19" s="110">
        <v>29</v>
      </c>
      <c r="K19" s="110">
        <v>11205.599999999999</v>
      </c>
      <c r="L19" s="110">
        <v>17</v>
      </c>
      <c r="M19" s="110">
        <v>6568.7999999999993</v>
      </c>
      <c r="N19" s="110">
        <v>24</v>
      </c>
      <c r="O19" s="110">
        <v>9273.5999999999985</v>
      </c>
      <c r="P19" s="110">
        <v>14</v>
      </c>
      <c r="Q19" s="110">
        <v>5409.5999999999995</v>
      </c>
      <c r="R19" s="110">
        <v>27</v>
      </c>
      <c r="S19" s="110">
        <v>10432.799999999999</v>
      </c>
      <c r="T19" s="110">
        <v>28</v>
      </c>
      <c r="U19" s="110">
        <v>10819.199999999999</v>
      </c>
      <c r="V19" s="110">
        <v>33</v>
      </c>
      <c r="W19" s="110">
        <v>12751.199999999999</v>
      </c>
      <c r="X19" s="110">
        <v>30</v>
      </c>
      <c r="Y19" s="110">
        <v>11592</v>
      </c>
      <c r="Z19" s="110">
        <v>32</v>
      </c>
      <c r="AA19" s="110">
        <v>12364.8</v>
      </c>
      <c r="AB19" s="110">
        <v>2</v>
      </c>
      <c r="AC19" s="110">
        <v>772.8</v>
      </c>
      <c r="AD19" s="110">
        <v>3</v>
      </c>
      <c r="AE19" s="110">
        <v>1159.1999999999998</v>
      </c>
      <c r="AF19" s="110">
        <v>2</v>
      </c>
      <c r="AG19" s="110">
        <v>772.8</v>
      </c>
      <c r="AH19" s="110">
        <v>2</v>
      </c>
      <c r="AI19" s="110">
        <v>772.8</v>
      </c>
      <c r="AJ19" s="110">
        <v>24</v>
      </c>
      <c r="AK19" s="110">
        <v>9273.5999999999985</v>
      </c>
      <c r="AL19" s="110">
        <v>22</v>
      </c>
      <c r="AM19" s="110">
        <v>8500.7999999999993</v>
      </c>
      <c r="AN19" s="110">
        <v>31</v>
      </c>
      <c r="AO19" s="110">
        <v>11978.4</v>
      </c>
      <c r="AP19" s="110">
        <v>20</v>
      </c>
      <c r="AQ19" s="110">
        <v>7728</v>
      </c>
      <c r="AR19" s="110">
        <v>34</v>
      </c>
      <c r="AS19" s="110">
        <v>13137.599999999999</v>
      </c>
      <c r="AT19" s="110">
        <v>36</v>
      </c>
      <c r="AU19" s="110">
        <v>13910.4</v>
      </c>
      <c r="AV19" s="110">
        <v>40</v>
      </c>
      <c r="AW19" s="110">
        <v>15456</v>
      </c>
      <c r="AX19" s="110">
        <v>36</v>
      </c>
      <c r="AY19" s="110">
        <v>13910.4</v>
      </c>
      <c r="AZ19" s="110">
        <v>19</v>
      </c>
      <c r="BA19" s="110">
        <v>7341.5999999999995</v>
      </c>
      <c r="BB19" s="110">
        <v>18</v>
      </c>
      <c r="BC19" s="110">
        <v>6955.2</v>
      </c>
      <c r="BD19" s="110">
        <v>17</v>
      </c>
      <c r="BE19" s="110">
        <v>6568.7999999999993</v>
      </c>
      <c r="BF19" s="110">
        <v>22</v>
      </c>
      <c r="BG19" s="110">
        <v>8500.7999999999993</v>
      </c>
      <c r="BH19" s="110">
        <v>42</v>
      </c>
      <c r="BI19" s="110">
        <v>16228.8</v>
      </c>
      <c r="BJ19" s="110">
        <v>50</v>
      </c>
      <c r="BK19" s="110">
        <v>19320</v>
      </c>
      <c r="BL19" s="110">
        <v>38</v>
      </c>
      <c r="BM19" s="110">
        <v>14683.199999999999</v>
      </c>
      <c r="BN19" s="110">
        <v>36</v>
      </c>
      <c r="BO19" s="110">
        <v>13910.4</v>
      </c>
      <c r="BP19" s="110">
        <v>50</v>
      </c>
      <c r="BQ19" s="110">
        <v>19320</v>
      </c>
      <c r="BR19" s="110">
        <v>56</v>
      </c>
      <c r="BS19" s="110">
        <v>21638.399999999998</v>
      </c>
      <c r="BT19" s="110">
        <v>51</v>
      </c>
      <c r="BU19" s="110">
        <v>19706.399999999998</v>
      </c>
      <c r="BV19" s="110">
        <v>32</v>
      </c>
      <c r="BW19" s="110">
        <v>12364.8</v>
      </c>
      <c r="BX19" s="110">
        <v>20</v>
      </c>
      <c r="BY19" s="110">
        <v>7728</v>
      </c>
      <c r="BZ19" s="110">
        <v>19</v>
      </c>
      <c r="CA19" s="110">
        <v>7341.5999999999995</v>
      </c>
      <c r="CB19" s="110">
        <v>23</v>
      </c>
      <c r="CC19" s="110">
        <v>8887.1999999999989</v>
      </c>
      <c r="CD19" s="110">
        <v>32</v>
      </c>
      <c r="CE19" s="110">
        <v>12364.8</v>
      </c>
      <c r="CF19" s="110">
        <v>14</v>
      </c>
      <c r="CG19" s="110">
        <v>5409.5999999999995</v>
      </c>
      <c r="CH19" s="110">
        <v>10</v>
      </c>
      <c r="CI19" s="110">
        <v>3864</v>
      </c>
      <c r="CJ19" s="110">
        <v>8</v>
      </c>
      <c r="CK19" s="110">
        <v>3091.2</v>
      </c>
      <c r="CL19" s="110">
        <v>9</v>
      </c>
      <c r="CM19" s="110">
        <v>3477.6</v>
      </c>
      <c r="CN19" s="110">
        <v>19</v>
      </c>
      <c r="CO19" s="110">
        <v>7341.5999999999995</v>
      </c>
      <c r="CP19" s="110">
        <v>19</v>
      </c>
      <c r="CQ19" s="110">
        <v>7341.5999999999995</v>
      </c>
      <c r="CR19" s="110">
        <v>21</v>
      </c>
      <c r="CS19" s="110">
        <v>8114.4</v>
      </c>
      <c r="CT19" s="110">
        <v>24</v>
      </c>
      <c r="CU19" s="110">
        <v>9273.5999999999985</v>
      </c>
    </row>
    <row r="20" spans="2:99" x14ac:dyDescent="0.2">
      <c r="B20" s="109" t="s">
        <v>127</v>
      </c>
      <c r="C20" s="109" t="s">
        <v>188</v>
      </c>
      <c r="D20" s="110">
        <v>13</v>
      </c>
      <c r="E20" s="110">
        <v>1248</v>
      </c>
      <c r="F20" s="110">
        <v>18</v>
      </c>
      <c r="G20" s="110">
        <v>1728</v>
      </c>
      <c r="H20" s="110">
        <v>19</v>
      </c>
      <c r="I20" s="110">
        <v>1824</v>
      </c>
      <c r="J20" s="110">
        <v>17</v>
      </c>
      <c r="K20" s="110">
        <v>1632</v>
      </c>
      <c r="L20" s="110">
        <v>23</v>
      </c>
      <c r="M20" s="110">
        <v>2208</v>
      </c>
      <c r="N20" s="110">
        <v>23</v>
      </c>
      <c r="O20" s="110">
        <v>2208</v>
      </c>
      <c r="P20" s="110">
        <v>28</v>
      </c>
      <c r="Q20" s="110">
        <v>2688</v>
      </c>
      <c r="R20" s="110">
        <v>29</v>
      </c>
      <c r="S20" s="110">
        <v>2784</v>
      </c>
      <c r="T20" s="110">
        <v>5</v>
      </c>
      <c r="U20" s="110">
        <v>480</v>
      </c>
      <c r="V20" s="110">
        <v>4</v>
      </c>
      <c r="W20" s="110">
        <v>384</v>
      </c>
      <c r="X20" s="110">
        <v>4</v>
      </c>
      <c r="Y20" s="110">
        <v>384</v>
      </c>
      <c r="Z20" s="110">
        <v>4</v>
      </c>
      <c r="AA20" s="110">
        <v>384</v>
      </c>
      <c r="AB20" s="110">
        <v>29</v>
      </c>
      <c r="AC20" s="110">
        <v>2784</v>
      </c>
      <c r="AD20" s="110">
        <v>30</v>
      </c>
      <c r="AE20" s="110">
        <v>2880</v>
      </c>
      <c r="AF20" s="110">
        <v>30</v>
      </c>
      <c r="AG20" s="110">
        <v>2880</v>
      </c>
      <c r="AH20" s="110">
        <v>30</v>
      </c>
      <c r="AI20" s="110">
        <v>2880</v>
      </c>
      <c r="AJ20" s="110">
        <v>36</v>
      </c>
      <c r="AK20" s="110">
        <v>3456</v>
      </c>
      <c r="AL20" s="110">
        <v>41</v>
      </c>
      <c r="AM20" s="110">
        <v>3936</v>
      </c>
      <c r="AN20" s="110">
        <v>25</v>
      </c>
      <c r="AO20" s="110">
        <v>2400</v>
      </c>
      <c r="AP20" s="110">
        <v>31</v>
      </c>
      <c r="AQ20" s="110">
        <v>2976</v>
      </c>
      <c r="AR20" s="110">
        <v>42</v>
      </c>
      <c r="AS20" s="110">
        <v>4032</v>
      </c>
      <c r="AT20" s="110">
        <v>32</v>
      </c>
      <c r="AU20" s="110">
        <v>3072</v>
      </c>
      <c r="AV20" s="110">
        <v>43</v>
      </c>
      <c r="AW20" s="110">
        <v>4128</v>
      </c>
      <c r="AX20" s="110">
        <v>27</v>
      </c>
      <c r="AY20" s="110">
        <v>2592</v>
      </c>
      <c r="AZ20" s="110">
        <v>20</v>
      </c>
      <c r="BA20" s="110">
        <v>1920</v>
      </c>
      <c r="BB20" s="110">
        <v>18</v>
      </c>
      <c r="BC20" s="110">
        <v>1728</v>
      </c>
      <c r="BD20" s="110">
        <v>26</v>
      </c>
      <c r="BE20" s="110">
        <v>2496</v>
      </c>
      <c r="BF20" s="110">
        <v>21</v>
      </c>
      <c r="BG20" s="110">
        <v>2016</v>
      </c>
      <c r="BH20" s="110">
        <v>21</v>
      </c>
      <c r="BI20" s="110">
        <v>2016</v>
      </c>
      <c r="BJ20" s="110">
        <v>31</v>
      </c>
      <c r="BK20" s="110">
        <v>2976</v>
      </c>
      <c r="BL20" s="110">
        <v>33</v>
      </c>
      <c r="BM20" s="110">
        <v>3168</v>
      </c>
      <c r="BN20" s="110">
        <v>23</v>
      </c>
      <c r="BO20" s="110">
        <v>2208</v>
      </c>
      <c r="BP20" s="110">
        <v>38</v>
      </c>
      <c r="BQ20" s="110">
        <v>3648</v>
      </c>
      <c r="BR20" s="110">
        <v>26</v>
      </c>
      <c r="BS20" s="110">
        <v>2496</v>
      </c>
      <c r="BT20" s="110">
        <v>26</v>
      </c>
      <c r="BU20" s="110">
        <v>2496</v>
      </c>
      <c r="BV20" s="110">
        <v>28</v>
      </c>
      <c r="BW20" s="110">
        <v>2688</v>
      </c>
      <c r="BX20" s="110">
        <v>2</v>
      </c>
      <c r="BY20" s="110">
        <v>192</v>
      </c>
      <c r="BZ20" s="110">
        <v>3</v>
      </c>
      <c r="CA20" s="110">
        <v>288</v>
      </c>
      <c r="CB20" s="110">
        <v>3</v>
      </c>
      <c r="CC20" s="110">
        <v>288</v>
      </c>
      <c r="CD20" s="110">
        <v>3</v>
      </c>
      <c r="CE20" s="110">
        <v>288</v>
      </c>
      <c r="CF20" s="110">
        <v>2</v>
      </c>
      <c r="CG20" s="110">
        <v>192</v>
      </c>
      <c r="CH20" s="110">
        <v>3</v>
      </c>
      <c r="CI20" s="110">
        <v>288</v>
      </c>
      <c r="CJ20" s="110">
        <v>3</v>
      </c>
      <c r="CK20" s="110">
        <v>288</v>
      </c>
      <c r="CL20" s="110">
        <v>2</v>
      </c>
      <c r="CM20" s="110">
        <v>192</v>
      </c>
      <c r="CN20" s="110">
        <v>22</v>
      </c>
      <c r="CO20" s="110">
        <v>2112</v>
      </c>
      <c r="CP20" s="110">
        <v>23</v>
      </c>
      <c r="CQ20" s="110">
        <v>2208</v>
      </c>
      <c r="CR20" s="110">
        <v>35</v>
      </c>
      <c r="CS20" s="110">
        <v>3360</v>
      </c>
      <c r="CT20" s="110">
        <v>32</v>
      </c>
      <c r="CU20" s="110">
        <v>3072</v>
      </c>
    </row>
    <row r="21" spans="2:99" x14ac:dyDescent="0.2">
      <c r="C21" s="109" t="s">
        <v>189</v>
      </c>
      <c r="D21" s="110">
        <v>14</v>
      </c>
      <c r="E21" s="110">
        <v>3393.5999999999995</v>
      </c>
      <c r="F21" s="110">
        <v>16</v>
      </c>
      <c r="G21" s="110">
        <v>3878.3999999999996</v>
      </c>
      <c r="H21" s="110">
        <v>18</v>
      </c>
      <c r="I21" s="110">
        <v>4363.2</v>
      </c>
      <c r="J21" s="110">
        <v>19</v>
      </c>
      <c r="K21" s="110">
        <v>4605.5999999999995</v>
      </c>
      <c r="L21" s="110">
        <v>24</v>
      </c>
      <c r="M21" s="110">
        <v>5817.5999999999995</v>
      </c>
      <c r="N21" s="110">
        <v>20</v>
      </c>
      <c r="O21" s="110">
        <v>4848</v>
      </c>
      <c r="P21" s="110">
        <v>26</v>
      </c>
      <c r="Q21" s="110">
        <v>6302.4</v>
      </c>
      <c r="R21" s="110">
        <v>27</v>
      </c>
      <c r="S21" s="110">
        <v>6544.7999999999993</v>
      </c>
      <c r="T21" s="110">
        <v>4</v>
      </c>
      <c r="U21" s="110">
        <v>969.59999999999991</v>
      </c>
      <c r="V21" s="110">
        <v>4</v>
      </c>
      <c r="W21" s="110">
        <v>969.59999999999991</v>
      </c>
      <c r="X21" s="110">
        <v>4</v>
      </c>
      <c r="Y21" s="110">
        <v>969.59999999999991</v>
      </c>
      <c r="Z21" s="110">
        <v>4</v>
      </c>
      <c r="AA21" s="110">
        <v>969.59999999999991</v>
      </c>
      <c r="AB21" s="110">
        <v>28</v>
      </c>
      <c r="AC21" s="110">
        <v>6787.1999999999989</v>
      </c>
      <c r="AD21" s="110">
        <v>28</v>
      </c>
      <c r="AE21" s="110">
        <v>6787.1999999999989</v>
      </c>
      <c r="AF21" s="110">
        <v>30</v>
      </c>
      <c r="AG21" s="110">
        <v>7271.9999999999991</v>
      </c>
      <c r="AH21" s="110">
        <v>31</v>
      </c>
      <c r="AI21" s="110">
        <v>7514.4</v>
      </c>
      <c r="AJ21" s="110">
        <v>31</v>
      </c>
      <c r="AK21" s="110">
        <v>7514.4</v>
      </c>
      <c r="AL21" s="110">
        <v>39</v>
      </c>
      <c r="AM21" s="110">
        <v>9453.5999999999985</v>
      </c>
      <c r="AN21" s="110">
        <v>27</v>
      </c>
      <c r="AO21" s="110">
        <v>6544.7999999999993</v>
      </c>
      <c r="AP21" s="110">
        <v>32</v>
      </c>
      <c r="AQ21" s="110">
        <v>7756.7999999999993</v>
      </c>
      <c r="AR21" s="110">
        <v>43</v>
      </c>
      <c r="AS21" s="110">
        <v>10423.199999999999</v>
      </c>
      <c r="AT21" s="110">
        <v>32</v>
      </c>
      <c r="AU21" s="110">
        <v>7756.7999999999993</v>
      </c>
      <c r="AV21" s="110">
        <v>44</v>
      </c>
      <c r="AW21" s="110">
        <v>10665.599999999999</v>
      </c>
      <c r="AX21" s="110">
        <v>27</v>
      </c>
      <c r="AY21" s="110">
        <v>6544.7999999999993</v>
      </c>
      <c r="AZ21" s="110">
        <v>21</v>
      </c>
      <c r="BA21" s="110">
        <v>5090.3999999999996</v>
      </c>
      <c r="BB21" s="110">
        <v>17</v>
      </c>
      <c r="BC21" s="110">
        <v>4120.7999999999993</v>
      </c>
      <c r="BD21" s="110">
        <v>24</v>
      </c>
      <c r="BE21" s="110">
        <v>5817.5999999999995</v>
      </c>
      <c r="BF21" s="110">
        <v>20</v>
      </c>
      <c r="BG21" s="110">
        <v>4848</v>
      </c>
      <c r="BH21" s="110">
        <v>24</v>
      </c>
      <c r="BI21" s="110">
        <v>5817.5999999999995</v>
      </c>
      <c r="BJ21" s="110">
        <v>34</v>
      </c>
      <c r="BK21" s="110">
        <v>8241.5999999999985</v>
      </c>
      <c r="BL21" s="110">
        <v>34</v>
      </c>
      <c r="BM21" s="110">
        <v>8241.5999999999985</v>
      </c>
      <c r="BN21" s="110">
        <v>21</v>
      </c>
      <c r="BO21" s="110">
        <v>5090.3999999999996</v>
      </c>
      <c r="BP21" s="110">
        <v>40</v>
      </c>
      <c r="BQ21" s="110">
        <v>9696</v>
      </c>
      <c r="BR21" s="110">
        <v>24</v>
      </c>
      <c r="BS21" s="110">
        <v>5817.5999999999995</v>
      </c>
      <c r="BT21" s="110">
        <v>28</v>
      </c>
      <c r="BU21" s="110">
        <v>6787.1999999999989</v>
      </c>
      <c r="BV21" s="110">
        <v>32</v>
      </c>
      <c r="BW21" s="110">
        <v>7756.7999999999993</v>
      </c>
      <c r="BX21" s="110">
        <v>2</v>
      </c>
      <c r="BY21" s="110">
        <v>484.79999999999995</v>
      </c>
      <c r="BZ21" s="110">
        <v>3</v>
      </c>
      <c r="CA21" s="110">
        <v>727.19999999999993</v>
      </c>
      <c r="CB21" s="110">
        <v>3</v>
      </c>
      <c r="CC21" s="110">
        <v>727.19999999999993</v>
      </c>
      <c r="CD21" s="110">
        <v>3</v>
      </c>
      <c r="CE21" s="110">
        <v>727.19999999999993</v>
      </c>
      <c r="CF21" s="110">
        <v>2</v>
      </c>
      <c r="CG21" s="110">
        <v>484.79999999999995</v>
      </c>
      <c r="CH21" s="110">
        <v>3</v>
      </c>
      <c r="CI21" s="110">
        <v>727.19999999999993</v>
      </c>
      <c r="CJ21" s="110">
        <v>3</v>
      </c>
      <c r="CK21" s="110">
        <v>727.19999999999993</v>
      </c>
      <c r="CL21" s="110">
        <v>2</v>
      </c>
      <c r="CM21" s="110">
        <v>484.79999999999995</v>
      </c>
      <c r="CN21" s="110">
        <v>25</v>
      </c>
      <c r="CO21" s="110">
        <v>6059.9999999999991</v>
      </c>
      <c r="CP21" s="110">
        <v>25</v>
      </c>
      <c r="CQ21" s="110">
        <v>6059.9999999999991</v>
      </c>
      <c r="CR21" s="110">
        <v>32</v>
      </c>
      <c r="CS21" s="110">
        <v>7756.7999999999993</v>
      </c>
      <c r="CT21" s="110">
        <v>35</v>
      </c>
      <c r="CU21" s="110">
        <v>8484</v>
      </c>
    </row>
    <row r="22" spans="2:99" x14ac:dyDescent="0.2">
      <c r="C22" s="109" t="s">
        <v>190</v>
      </c>
      <c r="D22" s="110">
        <v>14</v>
      </c>
      <c r="E22" s="110">
        <v>873.6</v>
      </c>
      <c r="F22" s="110">
        <v>15</v>
      </c>
      <c r="G22" s="110">
        <v>936</v>
      </c>
      <c r="H22" s="110">
        <v>19</v>
      </c>
      <c r="I22" s="110">
        <v>1185.5999999999999</v>
      </c>
      <c r="J22" s="110">
        <v>19</v>
      </c>
      <c r="K22" s="110">
        <v>1185.5999999999999</v>
      </c>
      <c r="L22" s="110">
        <v>21</v>
      </c>
      <c r="M22" s="110">
        <v>1310.3999999999999</v>
      </c>
      <c r="N22" s="110">
        <v>21</v>
      </c>
      <c r="O22" s="110">
        <v>1310.3999999999999</v>
      </c>
      <c r="P22" s="110">
        <v>25</v>
      </c>
      <c r="Q22" s="110">
        <v>1560</v>
      </c>
      <c r="R22" s="110">
        <v>26</v>
      </c>
      <c r="S22" s="110">
        <v>1622.3999999999999</v>
      </c>
      <c r="T22" s="110">
        <v>4</v>
      </c>
      <c r="U22" s="110">
        <v>249.6</v>
      </c>
      <c r="V22" s="110">
        <v>4</v>
      </c>
      <c r="W22" s="110">
        <v>249.6</v>
      </c>
      <c r="X22" s="110">
        <v>4</v>
      </c>
      <c r="Y22" s="110">
        <v>249.6</v>
      </c>
      <c r="Z22" s="110">
        <v>4</v>
      </c>
      <c r="AA22" s="110">
        <v>249.6</v>
      </c>
      <c r="AB22" s="110">
        <v>32</v>
      </c>
      <c r="AC22" s="110">
        <v>1996.8</v>
      </c>
      <c r="AD22" s="110">
        <v>30</v>
      </c>
      <c r="AE22" s="110">
        <v>1872</v>
      </c>
      <c r="AF22" s="110">
        <v>31</v>
      </c>
      <c r="AG22" s="110">
        <v>1934.3999999999999</v>
      </c>
      <c r="AH22" s="110">
        <v>29</v>
      </c>
      <c r="AI22" s="110">
        <v>1809.6</v>
      </c>
      <c r="AJ22" s="110">
        <v>34</v>
      </c>
      <c r="AK22" s="110">
        <v>2121.6</v>
      </c>
      <c r="AL22" s="110">
        <v>37</v>
      </c>
      <c r="AM22" s="110">
        <v>2308.7999999999997</v>
      </c>
      <c r="AN22" s="110">
        <v>29</v>
      </c>
      <c r="AO22" s="110">
        <v>1809.6</v>
      </c>
      <c r="AP22" s="110">
        <v>33</v>
      </c>
      <c r="AQ22" s="110">
        <v>2059.1999999999998</v>
      </c>
      <c r="AR22" s="110">
        <v>40</v>
      </c>
      <c r="AS22" s="110">
        <v>2496</v>
      </c>
      <c r="AT22" s="110">
        <v>31</v>
      </c>
      <c r="AU22" s="110">
        <v>1934.3999999999999</v>
      </c>
      <c r="AV22" s="110">
        <v>41</v>
      </c>
      <c r="AW22" s="110">
        <v>2558.4</v>
      </c>
      <c r="AX22" s="110">
        <v>30</v>
      </c>
      <c r="AY22" s="110">
        <v>1872</v>
      </c>
      <c r="AZ22" s="110">
        <v>20</v>
      </c>
      <c r="BA22" s="110">
        <v>1248</v>
      </c>
      <c r="BB22" s="110">
        <v>19</v>
      </c>
      <c r="BC22" s="110">
        <v>1185.5999999999999</v>
      </c>
      <c r="BD22" s="110">
        <v>24</v>
      </c>
      <c r="BE22" s="110">
        <v>1497.6</v>
      </c>
      <c r="BF22" s="110">
        <v>23</v>
      </c>
      <c r="BG22" s="110">
        <v>1435.2</v>
      </c>
      <c r="BH22" s="110">
        <v>22</v>
      </c>
      <c r="BI22" s="110">
        <v>1372.8</v>
      </c>
      <c r="BJ22" s="110">
        <v>37</v>
      </c>
      <c r="BK22" s="110">
        <v>2308.7999999999997</v>
      </c>
      <c r="BL22" s="110">
        <v>33</v>
      </c>
      <c r="BM22" s="110">
        <v>2059.1999999999998</v>
      </c>
      <c r="BN22" s="110">
        <v>23</v>
      </c>
      <c r="BO22" s="110">
        <v>1435.2</v>
      </c>
      <c r="BP22" s="110">
        <v>41</v>
      </c>
      <c r="BQ22" s="110">
        <v>2558.4</v>
      </c>
      <c r="BR22" s="110">
        <v>25</v>
      </c>
      <c r="BS22" s="110">
        <v>1560</v>
      </c>
      <c r="BT22" s="110">
        <v>30</v>
      </c>
      <c r="BU22" s="110">
        <v>1872</v>
      </c>
      <c r="BV22" s="110">
        <v>28</v>
      </c>
      <c r="BW22" s="110">
        <v>1747.2</v>
      </c>
      <c r="BX22" s="110">
        <v>2</v>
      </c>
      <c r="BY22" s="110">
        <v>124.8</v>
      </c>
      <c r="BZ22" s="110">
        <v>2</v>
      </c>
      <c r="CA22" s="110">
        <v>124.8</v>
      </c>
      <c r="CB22" s="110">
        <v>3</v>
      </c>
      <c r="CC22" s="110">
        <v>187.2</v>
      </c>
      <c r="CD22" s="110">
        <v>3</v>
      </c>
      <c r="CE22" s="110">
        <v>187.2</v>
      </c>
      <c r="CF22" s="110">
        <v>2</v>
      </c>
      <c r="CG22" s="110">
        <v>124.8</v>
      </c>
      <c r="CH22" s="110">
        <v>3</v>
      </c>
      <c r="CI22" s="110">
        <v>187.2</v>
      </c>
      <c r="CJ22" s="110">
        <v>3</v>
      </c>
      <c r="CK22" s="110">
        <v>187.2</v>
      </c>
      <c r="CL22" s="110">
        <v>2</v>
      </c>
      <c r="CM22" s="110">
        <v>124.8</v>
      </c>
      <c r="CN22" s="110">
        <v>27</v>
      </c>
      <c r="CO22" s="110">
        <v>1684.8</v>
      </c>
      <c r="CP22" s="110">
        <v>24</v>
      </c>
      <c r="CQ22" s="110">
        <v>1497.6</v>
      </c>
      <c r="CR22" s="110">
        <v>31</v>
      </c>
      <c r="CS22" s="110">
        <v>1934.3999999999999</v>
      </c>
      <c r="CT22" s="110">
        <v>36</v>
      </c>
      <c r="CU22" s="110">
        <v>2246.4</v>
      </c>
    </row>
    <row r="23" spans="2:99" x14ac:dyDescent="0.2">
      <c r="C23" s="109" t="s">
        <v>191</v>
      </c>
      <c r="D23" s="110">
        <v>13</v>
      </c>
      <c r="E23" s="110">
        <v>3634.7999999999997</v>
      </c>
      <c r="F23" s="110">
        <v>15</v>
      </c>
      <c r="G23" s="110">
        <v>4193.9999999999991</v>
      </c>
      <c r="H23" s="110">
        <v>16</v>
      </c>
      <c r="I23" s="110">
        <v>4473.5999999999995</v>
      </c>
      <c r="J23" s="110">
        <v>16</v>
      </c>
      <c r="K23" s="110">
        <v>4473.5999999999995</v>
      </c>
      <c r="L23" s="110">
        <v>24</v>
      </c>
      <c r="M23" s="110">
        <v>6710.4</v>
      </c>
      <c r="N23" s="110">
        <v>22</v>
      </c>
      <c r="O23" s="110">
        <v>6151.1999999999989</v>
      </c>
      <c r="P23" s="110">
        <v>26</v>
      </c>
      <c r="Q23" s="110">
        <v>7269.5999999999995</v>
      </c>
      <c r="R23" s="110">
        <v>28</v>
      </c>
      <c r="S23" s="110">
        <v>7828.7999999999993</v>
      </c>
      <c r="T23" s="110">
        <v>4</v>
      </c>
      <c r="U23" s="110">
        <v>1118.3999999999999</v>
      </c>
      <c r="V23" s="110">
        <v>4</v>
      </c>
      <c r="W23" s="110">
        <v>1118.3999999999999</v>
      </c>
      <c r="X23" s="110">
        <v>4</v>
      </c>
      <c r="Y23" s="110">
        <v>1118.3999999999999</v>
      </c>
      <c r="Z23" s="110">
        <v>4</v>
      </c>
      <c r="AA23" s="110">
        <v>1118.3999999999999</v>
      </c>
      <c r="AB23" s="110">
        <v>30</v>
      </c>
      <c r="AC23" s="110">
        <v>8387.9999999999982</v>
      </c>
      <c r="AD23" s="110">
        <v>29</v>
      </c>
      <c r="AE23" s="110">
        <v>8108.3999999999987</v>
      </c>
      <c r="AF23" s="110">
        <v>30</v>
      </c>
      <c r="AG23" s="110">
        <v>8387.9999999999982</v>
      </c>
      <c r="AH23" s="110">
        <v>31</v>
      </c>
      <c r="AI23" s="110">
        <v>8667.5999999999985</v>
      </c>
      <c r="AJ23" s="110">
        <v>30</v>
      </c>
      <c r="AK23" s="110">
        <v>8387.9999999999982</v>
      </c>
      <c r="AL23" s="110">
        <v>39</v>
      </c>
      <c r="AM23" s="110">
        <v>10904.399999999998</v>
      </c>
      <c r="AN23" s="110">
        <v>23</v>
      </c>
      <c r="AO23" s="110">
        <v>6430.7999999999993</v>
      </c>
      <c r="AP23" s="110">
        <v>29</v>
      </c>
      <c r="AQ23" s="110">
        <v>8108.3999999999987</v>
      </c>
      <c r="AR23" s="110">
        <v>42</v>
      </c>
      <c r="AS23" s="110">
        <v>11743.199999999999</v>
      </c>
      <c r="AT23" s="110">
        <v>28</v>
      </c>
      <c r="AU23" s="110">
        <v>7828.7999999999993</v>
      </c>
      <c r="AV23" s="110">
        <v>40</v>
      </c>
      <c r="AW23" s="110">
        <v>11183.999999999998</v>
      </c>
      <c r="AX23" s="110">
        <v>28</v>
      </c>
      <c r="AY23" s="110">
        <v>7828.7999999999993</v>
      </c>
      <c r="AZ23" s="110">
        <v>22</v>
      </c>
      <c r="BA23" s="110">
        <v>6151.1999999999989</v>
      </c>
      <c r="BB23" s="110">
        <v>16</v>
      </c>
      <c r="BC23" s="110">
        <v>4473.5999999999995</v>
      </c>
      <c r="BD23" s="110">
        <v>22</v>
      </c>
      <c r="BE23" s="110">
        <v>6151.1999999999989</v>
      </c>
      <c r="BF23" s="110">
        <v>21</v>
      </c>
      <c r="BG23" s="110">
        <v>5871.5999999999995</v>
      </c>
      <c r="BH23" s="110">
        <v>20</v>
      </c>
      <c r="BI23" s="110">
        <v>5591.9999999999991</v>
      </c>
      <c r="BJ23" s="110">
        <v>36</v>
      </c>
      <c r="BK23" s="110">
        <v>10065.599999999999</v>
      </c>
      <c r="BL23" s="110">
        <v>33</v>
      </c>
      <c r="BM23" s="110">
        <v>9226.7999999999993</v>
      </c>
      <c r="BN23" s="110">
        <v>22</v>
      </c>
      <c r="BO23" s="110">
        <v>6151.1999999999989</v>
      </c>
      <c r="BP23" s="110">
        <v>36</v>
      </c>
      <c r="BQ23" s="110">
        <v>10065.599999999999</v>
      </c>
      <c r="BR23" s="110">
        <v>23</v>
      </c>
      <c r="BS23" s="110">
        <v>6430.7999999999993</v>
      </c>
      <c r="BT23" s="110">
        <v>27</v>
      </c>
      <c r="BU23" s="110">
        <v>7549.1999999999989</v>
      </c>
      <c r="BV23" s="110">
        <v>31</v>
      </c>
      <c r="BW23" s="110">
        <v>8667.5999999999985</v>
      </c>
      <c r="BX23" s="110">
        <v>2</v>
      </c>
      <c r="BY23" s="110">
        <v>559.19999999999993</v>
      </c>
      <c r="BZ23" s="110">
        <v>3</v>
      </c>
      <c r="CA23" s="110">
        <v>838.8</v>
      </c>
      <c r="CB23" s="110">
        <v>3</v>
      </c>
      <c r="CC23" s="110">
        <v>838.8</v>
      </c>
      <c r="CD23" s="110">
        <v>3</v>
      </c>
      <c r="CE23" s="110">
        <v>838.8</v>
      </c>
      <c r="CF23" s="110">
        <v>3</v>
      </c>
      <c r="CG23" s="110">
        <v>838.8</v>
      </c>
      <c r="CH23" s="110">
        <v>3</v>
      </c>
      <c r="CI23" s="110">
        <v>838.8</v>
      </c>
      <c r="CJ23" s="110">
        <v>3</v>
      </c>
      <c r="CK23" s="110">
        <v>838.8</v>
      </c>
      <c r="CL23" s="110">
        <v>3</v>
      </c>
      <c r="CM23" s="110">
        <v>838.8</v>
      </c>
      <c r="CN23" s="110">
        <v>25</v>
      </c>
      <c r="CO23" s="110">
        <v>6989.9999999999991</v>
      </c>
      <c r="CP23" s="110">
        <v>26</v>
      </c>
      <c r="CQ23" s="110">
        <v>7269.5999999999995</v>
      </c>
      <c r="CR23" s="110">
        <v>31</v>
      </c>
      <c r="CS23" s="110">
        <v>8667.5999999999985</v>
      </c>
      <c r="CT23" s="110">
        <v>34</v>
      </c>
      <c r="CU23" s="110">
        <v>9506.4</v>
      </c>
    </row>
    <row r="24" spans="2:99" x14ac:dyDescent="0.2">
      <c r="C24" s="109" t="s">
        <v>192</v>
      </c>
      <c r="D24" s="110">
        <v>13</v>
      </c>
      <c r="E24" s="110">
        <v>3962.4</v>
      </c>
      <c r="F24" s="110">
        <v>18</v>
      </c>
      <c r="G24" s="110">
        <v>5486.4000000000005</v>
      </c>
      <c r="H24" s="110">
        <v>17</v>
      </c>
      <c r="I24" s="110">
        <v>5181.6000000000004</v>
      </c>
      <c r="J24" s="110">
        <v>17</v>
      </c>
      <c r="K24" s="110">
        <v>5181.6000000000004</v>
      </c>
      <c r="L24" s="110">
        <v>22</v>
      </c>
      <c r="M24" s="110">
        <v>6705.6</v>
      </c>
      <c r="N24" s="110">
        <v>21</v>
      </c>
      <c r="O24" s="110">
        <v>6400.8</v>
      </c>
      <c r="P24" s="110">
        <v>24</v>
      </c>
      <c r="Q24" s="110">
        <v>7315.2000000000007</v>
      </c>
      <c r="R24" s="110">
        <v>28</v>
      </c>
      <c r="S24" s="110">
        <v>8534.4</v>
      </c>
      <c r="T24" s="110">
        <v>4</v>
      </c>
      <c r="U24" s="110">
        <v>1219.2</v>
      </c>
      <c r="V24" s="110">
        <v>4</v>
      </c>
      <c r="W24" s="110">
        <v>1219.2</v>
      </c>
      <c r="X24" s="110">
        <v>4</v>
      </c>
      <c r="Y24" s="110">
        <v>1219.2</v>
      </c>
      <c r="Z24" s="110">
        <v>4</v>
      </c>
      <c r="AA24" s="110">
        <v>1219.2</v>
      </c>
      <c r="AB24" s="110">
        <v>30</v>
      </c>
      <c r="AC24" s="110">
        <v>9144</v>
      </c>
      <c r="AD24" s="110">
        <v>29</v>
      </c>
      <c r="AE24" s="110">
        <v>8839.2000000000007</v>
      </c>
      <c r="AF24" s="110">
        <v>30</v>
      </c>
      <c r="AG24" s="110">
        <v>9144</v>
      </c>
      <c r="AH24" s="110">
        <v>29</v>
      </c>
      <c r="AI24" s="110">
        <v>8839.2000000000007</v>
      </c>
      <c r="AJ24" s="110">
        <v>31</v>
      </c>
      <c r="AK24" s="110">
        <v>9448.8000000000011</v>
      </c>
      <c r="AL24" s="110">
        <v>37</v>
      </c>
      <c r="AM24" s="110">
        <v>11277.6</v>
      </c>
      <c r="AN24" s="110">
        <v>23</v>
      </c>
      <c r="AO24" s="110">
        <v>7010.4000000000005</v>
      </c>
      <c r="AP24" s="110">
        <v>30</v>
      </c>
      <c r="AQ24" s="110">
        <v>9144</v>
      </c>
      <c r="AR24" s="110">
        <v>40</v>
      </c>
      <c r="AS24" s="110">
        <v>12192</v>
      </c>
      <c r="AT24" s="110">
        <v>32</v>
      </c>
      <c r="AU24" s="110">
        <v>9753.6</v>
      </c>
      <c r="AV24" s="110">
        <v>44</v>
      </c>
      <c r="AW24" s="110">
        <v>13411.2</v>
      </c>
      <c r="AX24" s="110">
        <v>30</v>
      </c>
      <c r="AY24" s="110">
        <v>9144</v>
      </c>
      <c r="AZ24" s="110">
        <v>22</v>
      </c>
      <c r="BA24" s="110">
        <v>6705.6</v>
      </c>
      <c r="BB24" s="110">
        <v>15</v>
      </c>
      <c r="BC24" s="110">
        <v>4572</v>
      </c>
      <c r="BD24" s="110">
        <v>22</v>
      </c>
      <c r="BE24" s="110">
        <v>6705.6</v>
      </c>
      <c r="BF24" s="110">
        <v>20</v>
      </c>
      <c r="BG24" s="110">
        <v>6096</v>
      </c>
      <c r="BH24" s="110">
        <v>20</v>
      </c>
      <c r="BI24" s="110">
        <v>6096</v>
      </c>
      <c r="BJ24" s="110">
        <v>36</v>
      </c>
      <c r="BK24" s="110">
        <v>10972.800000000001</v>
      </c>
      <c r="BL24" s="110">
        <v>33</v>
      </c>
      <c r="BM24" s="110">
        <v>10058.4</v>
      </c>
      <c r="BN24" s="110">
        <v>23</v>
      </c>
      <c r="BO24" s="110">
        <v>7010.4000000000005</v>
      </c>
      <c r="BP24" s="110">
        <v>43</v>
      </c>
      <c r="BQ24" s="110">
        <v>13106.4</v>
      </c>
      <c r="BR24" s="110">
        <v>24</v>
      </c>
      <c r="BS24" s="110">
        <v>7315.2000000000007</v>
      </c>
      <c r="BT24" s="110">
        <v>25</v>
      </c>
      <c r="BU24" s="110">
        <v>7620</v>
      </c>
      <c r="BV24" s="110">
        <v>28</v>
      </c>
      <c r="BW24" s="110">
        <v>8534.4</v>
      </c>
      <c r="BX24" s="110">
        <v>2</v>
      </c>
      <c r="BY24" s="110">
        <v>609.6</v>
      </c>
      <c r="BZ24" s="110">
        <v>2</v>
      </c>
      <c r="CA24" s="110">
        <v>609.6</v>
      </c>
      <c r="CB24" s="110">
        <v>3</v>
      </c>
      <c r="CC24" s="110">
        <v>914.40000000000009</v>
      </c>
      <c r="CD24" s="110">
        <v>3</v>
      </c>
      <c r="CE24" s="110">
        <v>914.40000000000009</v>
      </c>
      <c r="CF24" s="110">
        <v>2</v>
      </c>
      <c r="CG24" s="110">
        <v>609.6</v>
      </c>
      <c r="CH24" s="110">
        <v>3</v>
      </c>
      <c r="CI24" s="110">
        <v>914.40000000000009</v>
      </c>
      <c r="CJ24" s="110">
        <v>3</v>
      </c>
      <c r="CK24" s="110">
        <v>914.40000000000009</v>
      </c>
      <c r="CL24" s="110">
        <v>2</v>
      </c>
      <c r="CM24" s="110">
        <v>609.6</v>
      </c>
      <c r="CN24" s="110">
        <v>22</v>
      </c>
      <c r="CO24" s="110">
        <v>6705.6</v>
      </c>
      <c r="CP24" s="110">
        <v>25</v>
      </c>
      <c r="CQ24" s="110">
        <v>7620</v>
      </c>
      <c r="CR24" s="110">
        <v>29</v>
      </c>
      <c r="CS24" s="110">
        <v>8839.2000000000007</v>
      </c>
      <c r="CT24" s="110">
        <v>32</v>
      </c>
      <c r="CU24" s="110">
        <v>9753.6</v>
      </c>
    </row>
    <row r="25" spans="2:99" x14ac:dyDescent="0.2">
      <c r="C25" s="109" t="s">
        <v>193</v>
      </c>
      <c r="D25" s="110">
        <v>13</v>
      </c>
      <c r="E25" s="110">
        <v>4227.5999999999995</v>
      </c>
      <c r="F25" s="110">
        <v>17</v>
      </c>
      <c r="G25" s="110">
        <v>5528.4</v>
      </c>
      <c r="H25" s="110">
        <v>18</v>
      </c>
      <c r="I25" s="110">
        <v>5853.5999999999995</v>
      </c>
      <c r="J25" s="110">
        <v>18</v>
      </c>
      <c r="K25" s="110">
        <v>5853.5999999999995</v>
      </c>
      <c r="L25" s="110">
        <v>23</v>
      </c>
      <c r="M25" s="110">
        <v>7479.5999999999995</v>
      </c>
      <c r="N25" s="110">
        <v>21</v>
      </c>
      <c r="O25" s="110">
        <v>6829.2</v>
      </c>
      <c r="P25" s="110">
        <v>25</v>
      </c>
      <c r="Q25" s="110">
        <v>8130</v>
      </c>
      <c r="R25" s="110">
        <v>27</v>
      </c>
      <c r="S25" s="110">
        <v>8780.4</v>
      </c>
      <c r="T25" s="110">
        <v>5</v>
      </c>
      <c r="U25" s="110">
        <v>1626</v>
      </c>
      <c r="V25" s="110">
        <v>4</v>
      </c>
      <c r="W25" s="110">
        <v>1300.8</v>
      </c>
      <c r="X25" s="110">
        <v>4</v>
      </c>
      <c r="Y25" s="110">
        <v>1300.8</v>
      </c>
      <c r="Z25" s="110">
        <v>4</v>
      </c>
      <c r="AA25" s="110">
        <v>1300.8</v>
      </c>
      <c r="AB25" s="110">
        <v>27</v>
      </c>
      <c r="AC25" s="110">
        <v>8780.4</v>
      </c>
      <c r="AD25" s="110">
        <v>26</v>
      </c>
      <c r="AE25" s="110">
        <v>8455.1999999999989</v>
      </c>
      <c r="AF25" s="110">
        <v>28</v>
      </c>
      <c r="AG25" s="110">
        <v>9105.6</v>
      </c>
      <c r="AH25" s="110">
        <v>27</v>
      </c>
      <c r="AI25" s="110">
        <v>8780.4</v>
      </c>
      <c r="AJ25" s="110">
        <v>33</v>
      </c>
      <c r="AK25" s="110">
        <v>10731.6</v>
      </c>
      <c r="AL25" s="110">
        <v>42</v>
      </c>
      <c r="AM25" s="110">
        <v>13658.4</v>
      </c>
      <c r="AN25" s="110">
        <v>27</v>
      </c>
      <c r="AO25" s="110">
        <v>8780.4</v>
      </c>
      <c r="AP25" s="110">
        <v>34</v>
      </c>
      <c r="AQ25" s="110">
        <v>11056.8</v>
      </c>
      <c r="AR25" s="110">
        <v>44</v>
      </c>
      <c r="AS25" s="110">
        <v>14308.8</v>
      </c>
      <c r="AT25" s="110">
        <v>28</v>
      </c>
      <c r="AU25" s="110">
        <v>9105.6</v>
      </c>
      <c r="AV25" s="110">
        <v>38</v>
      </c>
      <c r="AW25" s="110">
        <v>12357.6</v>
      </c>
      <c r="AX25" s="110">
        <v>31</v>
      </c>
      <c r="AY25" s="110">
        <v>10081.199999999999</v>
      </c>
      <c r="AZ25" s="110">
        <v>21</v>
      </c>
      <c r="BA25" s="110">
        <v>6829.2</v>
      </c>
      <c r="BB25" s="110">
        <v>17</v>
      </c>
      <c r="BC25" s="110">
        <v>5528.4</v>
      </c>
      <c r="BD25" s="110">
        <v>24</v>
      </c>
      <c r="BE25" s="110">
        <v>7804.7999999999993</v>
      </c>
      <c r="BF25" s="110">
        <v>20</v>
      </c>
      <c r="BG25" s="110">
        <v>6504</v>
      </c>
      <c r="BH25" s="110">
        <v>22</v>
      </c>
      <c r="BI25" s="110">
        <v>7154.4</v>
      </c>
      <c r="BJ25" s="110">
        <v>35</v>
      </c>
      <c r="BK25" s="110">
        <v>11382</v>
      </c>
      <c r="BL25" s="110">
        <v>31</v>
      </c>
      <c r="BM25" s="110">
        <v>10081.199999999999</v>
      </c>
      <c r="BN25" s="110">
        <v>20</v>
      </c>
      <c r="BO25" s="110">
        <v>6504</v>
      </c>
      <c r="BP25" s="110">
        <v>41</v>
      </c>
      <c r="BQ25" s="110">
        <v>13333.199999999999</v>
      </c>
      <c r="BR25" s="110">
        <v>24</v>
      </c>
      <c r="BS25" s="110">
        <v>7804.7999999999993</v>
      </c>
      <c r="BT25" s="110">
        <v>25</v>
      </c>
      <c r="BU25" s="110">
        <v>8130</v>
      </c>
      <c r="BV25" s="110">
        <v>27</v>
      </c>
      <c r="BW25" s="110">
        <v>8780.4</v>
      </c>
      <c r="BX25" s="110">
        <v>2</v>
      </c>
      <c r="BY25" s="110">
        <v>650.4</v>
      </c>
      <c r="BZ25" s="110">
        <v>2</v>
      </c>
      <c r="CA25" s="110">
        <v>650.4</v>
      </c>
      <c r="CB25" s="110">
        <v>3</v>
      </c>
      <c r="CC25" s="110">
        <v>975.59999999999991</v>
      </c>
      <c r="CD25" s="110">
        <v>3</v>
      </c>
      <c r="CE25" s="110">
        <v>975.59999999999991</v>
      </c>
      <c r="CF25" s="110">
        <v>2</v>
      </c>
      <c r="CG25" s="110">
        <v>650.4</v>
      </c>
      <c r="CH25" s="110">
        <v>3</v>
      </c>
      <c r="CI25" s="110">
        <v>975.59999999999991</v>
      </c>
      <c r="CJ25" s="110">
        <v>3</v>
      </c>
      <c r="CK25" s="110">
        <v>975.59999999999991</v>
      </c>
      <c r="CL25" s="110">
        <v>2</v>
      </c>
      <c r="CM25" s="110">
        <v>650.4</v>
      </c>
      <c r="CN25" s="110">
        <v>24</v>
      </c>
      <c r="CO25" s="110">
        <v>7804.7999999999993</v>
      </c>
      <c r="CP25" s="110">
        <v>23</v>
      </c>
      <c r="CQ25" s="110">
        <v>7479.5999999999995</v>
      </c>
      <c r="CR25" s="110">
        <v>35</v>
      </c>
      <c r="CS25" s="110">
        <v>11382</v>
      </c>
      <c r="CT25" s="110">
        <v>31</v>
      </c>
      <c r="CU25" s="110">
        <v>10081.199999999999</v>
      </c>
    </row>
    <row r="26" spans="2:99" x14ac:dyDescent="0.2">
      <c r="C26" s="109" t="s">
        <v>194</v>
      </c>
      <c r="D26" s="110">
        <v>14</v>
      </c>
      <c r="E26" s="110">
        <v>4015.2000000000003</v>
      </c>
      <c r="F26" s="110">
        <v>17</v>
      </c>
      <c r="G26" s="110">
        <v>4875.6000000000004</v>
      </c>
      <c r="H26" s="110">
        <v>18</v>
      </c>
      <c r="I26" s="110">
        <v>5162.4000000000005</v>
      </c>
      <c r="J26" s="110">
        <v>16</v>
      </c>
      <c r="K26" s="110">
        <v>4588.8</v>
      </c>
      <c r="L26" s="110">
        <v>21</v>
      </c>
      <c r="M26" s="110">
        <v>6022.8</v>
      </c>
      <c r="N26" s="110">
        <v>18</v>
      </c>
      <c r="O26" s="110">
        <v>5162.4000000000005</v>
      </c>
      <c r="P26" s="110">
        <v>25</v>
      </c>
      <c r="Q26" s="110">
        <v>7170</v>
      </c>
      <c r="R26" s="110">
        <v>27</v>
      </c>
      <c r="S26" s="110">
        <v>7743.6</v>
      </c>
      <c r="T26" s="110">
        <v>4</v>
      </c>
      <c r="U26" s="110">
        <v>1147.2</v>
      </c>
      <c r="V26" s="110">
        <v>4</v>
      </c>
      <c r="W26" s="110">
        <v>1147.2</v>
      </c>
      <c r="X26" s="110">
        <v>4</v>
      </c>
      <c r="Y26" s="110">
        <v>1147.2</v>
      </c>
      <c r="Z26" s="110">
        <v>4</v>
      </c>
      <c r="AA26" s="110">
        <v>1147.2</v>
      </c>
      <c r="AB26" s="110">
        <v>32</v>
      </c>
      <c r="AC26" s="110">
        <v>9177.6</v>
      </c>
      <c r="AD26" s="110">
        <v>25</v>
      </c>
      <c r="AE26" s="110">
        <v>7170</v>
      </c>
      <c r="AF26" s="110">
        <v>30</v>
      </c>
      <c r="AG26" s="110">
        <v>8604</v>
      </c>
      <c r="AH26" s="110">
        <v>26</v>
      </c>
      <c r="AI26" s="110">
        <v>7456.8</v>
      </c>
      <c r="AJ26" s="110">
        <v>29</v>
      </c>
      <c r="AK26" s="110">
        <v>8317.2000000000007</v>
      </c>
      <c r="AL26" s="110">
        <v>42</v>
      </c>
      <c r="AM26" s="110">
        <v>12045.6</v>
      </c>
      <c r="AN26" s="110">
        <v>27</v>
      </c>
      <c r="AO26" s="110">
        <v>7743.6</v>
      </c>
      <c r="AP26" s="110">
        <v>30</v>
      </c>
      <c r="AQ26" s="110">
        <v>8604</v>
      </c>
      <c r="AR26" s="110">
        <v>45</v>
      </c>
      <c r="AS26" s="110">
        <v>12906</v>
      </c>
      <c r="AT26" s="110">
        <v>30</v>
      </c>
      <c r="AU26" s="110">
        <v>8604</v>
      </c>
      <c r="AV26" s="110">
        <v>44</v>
      </c>
      <c r="AW26" s="110">
        <v>12619.2</v>
      </c>
      <c r="AX26" s="110">
        <v>30</v>
      </c>
      <c r="AY26" s="110">
        <v>8604</v>
      </c>
      <c r="AZ26" s="110">
        <v>21</v>
      </c>
      <c r="BA26" s="110">
        <v>6022.8</v>
      </c>
      <c r="BB26" s="110">
        <v>18</v>
      </c>
      <c r="BC26" s="110">
        <v>5162.4000000000005</v>
      </c>
      <c r="BD26" s="110">
        <v>23</v>
      </c>
      <c r="BE26" s="110">
        <v>6596.4000000000005</v>
      </c>
      <c r="BF26" s="110">
        <v>24</v>
      </c>
      <c r="BG26" s="110">
        <v>6883.2000000000007</v>
      </c>
      <c r="BH26" s="110">
        <v>21</v>
      </c>
      <c r="BI26" s="110">
        <v>6022.8</v>
      </c>
      <c r="BJ26" s="110">
        <v>34</v>
      </c>
      <c r="BK26" s="110">
        <v>9751.2000000000007</v>
      </c>
      <c r="BL26" s="110">
        <v>36</v>
      </c>
      <c r="BM26" s="110">
        <v>10324.800000000001</v>
      </c>
      <c r="BN26" s="110">
        <v>21</v>
      </c>
      <c r="BO26" s="110">
        <v>6022.8</v>
      </c>
      <c r="BP26" s="110">
        <v>36</v>
      </c>
      <c r="BQ26" s="110">
        <v>10324.800000000001</v>
      </c>
      <c r="BR26" s="110">
        <v>24</v>
      </c>
      <c r="BS26" s="110">
        <v>6883.2000000000007</v>
      </c>
      <c r="BT26" s="110">
        <v>24</v>
      </c>
      <c r="BU26" s="110">
        <v>6883.2000000000007</v>
      </c>
      <c r="BV26" s="110">
        <v>28</v>
      </c>
      <c r="BW26" s="110">
        <v>8030.4000000000005</v>
      </c>
      <c r="BX26" s="110">
        <v>2</v>
      </c>
      <c r="BY26" s="110">
        <v>573.6</v>
      </c>
      <c r="BZ26" s="110">
        <v>2</v>
      </c>
      <c r="CA26" s="110">
        <v>573.6</v>
      </c>
      <c r="CB26" s="110">
        <v>3</v>
      </c>
      <c r="CC26" s="110">
        <v>860.40000000000009</v>
      </c>
      <c r="CD26" s="110">
        <v>3</v>
      </c>
      <c r="CE26" s="110">
        <v>860.40000000000009</v>
      </c>
      <c r="CF26" s="110">
        <v>2</v>
      </c>
      <c r="CG26" s="110">
        <v>573.6</v>
      </c>
      <c r="CH26" s="110">
        <v>3</v>
      </c>
      <c r="CI26" s="110">
        <v>860.40000000000009</v>
      </c>
      <c r="CJ26" s="110">
        <v>3</v>
      </c>
      <c r="CK26" s="110">
        <v>860.40000000000009</v>
      </c>
      <c r="CL26" s="110">
        <v>2</v>
      </c>
      <c r="CM26" s="110">
        <v>573.6</v>
      </c>
      <c r="CN26" s="110">
        <v>23</v>
      </c>
      <c r="CO26" s="110">
        <v>6596.4000000000005</v>
      </c>
      <c r="CP26" s="110">
        <v>24</v>
      </c>
      <c r="CQ26" s="110">
        <v>6883.2000000000007</v>
      </c>
      <c r="CR26" s="110">
        <v>35</v>
      </c>
      <c r="CS26" s="110">
        <v>10038</v>
      </c>
      <c r="CT26" s="110">
        <v>33</v>
      </c>
      <c r="CU26" s="110">
        <v>9464.4</v>
      </c>
    </row>
    <row r="27" spans="2:99" x14ac:dyDescent="0.2">
      <c r="C27" s="109" t="s">
        <v>195</v>
      </c>
      <c r="D27" s="110">
        <v>13</v>
      </c>
      <c r="E27" s="110">
        <v>4102.7999999999993</v>
      </c>
      <c r="F27" s="110">
        <v>15</v>
      </c>
      <c r="G27" s="110">
        <v>4733.9999999999991</v>
      </c>
      <c r="H27" s="110">
        <v>16</v>
      </c>
      <c r="I27" s="110">
        <v>5049.5999999999995</v>
      </c>
      <c r="J27" s="110">
        <v>17</v>
      </c>
      <c r="K27" s="110">
        <v>5365.2</v>
      </c>
      <c r="L27" s="110">
        <v>21</v>
      </c>
      <c r="M27" s="110">
        <v>6627.5999999999995</v>
      </c>
      <c r="N27" s="110">
        <v>22</v>
      </c>
      <c r="O27" s="110">
        <v>6943.1999999999989</v>
      </c>
      <c r="P27" s="110">
        <v>24</v>
      </c>
      <c r="Q27" s="110">
        <v>7574.4</v>
      </c>
      <c r="R27" s="110">
        <v>30</v>
      </c>
      <c r="S27" s="110">
        <v>9467.9999999999982</v>
      </c>
      <c r="T27" s="110">
        <v>5</v>
      </c>
      <c r="U27" s="110">
        <v>1577.9999999999998</v>
      </c>
      <c r="V27" s="110">
        <v>4</v>
      </c>
      <c r="W27" s="110">
        <v>1262.3999999999999</v>
      </c>
      <c r="X27" s="110">
        <v>4</v>
      </c>
      <c r="Y27" s="110">
        <v>1262.3999999999999</v>
      </c>
      <c r="Z27" s="110">
        <v>4</v>
      </c>
      <c r="AA27" s="110">
        <v>1262.3999999999999</v>
      </c>
      <c r="AB27" s="110">
        <v>30</v>
      </c>
      <c r="AC27" s="110">
        <v>9467.9999999999982</v>
      </c>
      <c r="AD27" s="110">
        <v>30</v>
      </c>
      <c r="AE27" s="110">
        <v>9467.9999999999982</v>
      </c>
      <c r="AF27" s="110">
        <v>28</v>
      </c>
      <c r="AG27" s="110">
        <v>8836.7999999999993</v>
      </c>
      <c r="AH27" s="110">
        <v>30</v>
      </c>
      <c r="AI27" s="110">
        <v>9467.9999999999982</v>
      </c>
      <c r="AJ27" s="110">
        <v>33</v>
      </c>
      <c r="AK27" s="110">
        <v>10414.799999999999</v>
      </c>
      <c r="AL27" s="110">
        <v>42</v>
      </c>
      <c r="AM27" s="110">
        <v>13255.199999999999</v>
      </c>
      <c r="AN27" s="110">
        <v>27</v>
      </c>
      <c r="AO27" s="110">
        <v>8521.1999999999989</v>
      </c>
      <c r="AP27" s="110">
        <v>32</v>
      </c>
      <c r="AQ27" s="110">
        <v>10099.199999999999</v>
      </c>
      <c r="AR27" s="110">
        <v>40</v>
      </c>
      <c r="AS27" s="110">
        <v>12623.999999999998</v>
      </c>
      <c r="AT27" s="110">
        <v>27</v>
      </c>
      <c r="AU27" s="110">
        <v>8521.1999999999989</v>
      </c>
      <c r="AV27" s="110">
        <v>37</v>
      </c>
      <c r="AW27" s="110">
        <v>11677.199999999999</v>
      </c>
      <c r="AX27" s="110">
        <v>28</v>
      </c>
      <c r="AY27" s="110">
        <v>8836.7999999999993</v>
      </c>
      <c r="AZ27" s="110">
        <v>23</v>
      </c>
      <c r="BA27" s="110">
        <v>7258.7999999999993</v>
      </c>
      <c r="BB27" s="110">
        <v>16</v>
      </c>
      <c r="BC27" s="110">
        <v>5049.5999999999995</v>
      </c>
      <c r="BD27" s="110">
        <v>24</v>
      </c>
      <c r="BE27" s="110">
        <v>7574.4</v>
      </c>
      <c r="BF27" s="110">
        <v>22</v>
      </c>
      <c r="BG27" s="110">
        <v>6943.1999999999989</v>
      </c>
      <c r="BH27" s="110">
        <v>22</v>
      </c>
      <c r="BI27" s="110">
        <v>6943.1999999999989</v>
      </c>
      <c r="BJ27" s="110">
        <v>34</v>
      </c>
      <c r="BK27" s="110">
        <v>10730.4</v>
      </c>
      <c r="BL27" s="110">
        <v>33</v>
      </c>
      <c r="BM27" s="110">
        <v>10414.799999999999</v>
      </c>
      <c r="BN27" s="110">
        <v>22</v>
      </c>
      <c r="BO27" s="110">
        <v>6943.1999999999989</v>
      </c>
      <c r="BP27" s="110">
        <v>42</v>
      </c>
      <c r="BQ27" s="110">
        <v>13255.199999999999</v>
      </c>
      <c r="BR27" s="110">
        <v>22</v>
      </c>
      <c r="BS27" s="110">
        <v>6943.1999999999989</v>
      </c>
      <c r="BT27" s="110">
        <v>27</v>
      </c>
      <c r="BU27" s="110">
        <v>8521.1999999999989</v>
      </c>
      <c r="BV27" s="110">
        <v>31</v>
      </c>
      <c r="BW27" s="110">
        <v>9783.5999999999985</v>
      </c>
      <c r="BX27" s="110">
        <v>2</v>
      </c>
      <c r="BY27" s="110">
        <v>631.19999999999993</v>
      </c>
      <c r="BZ27" s="110">
        <v>2</v>
      </c>
      <c r="CA27" s="110">
        <v>631.19999999999993</v>
      </c>
      <c r="CB27" s="110">
        <v>3</v>
      </c>
      <c r="CC27" s="110">
        <v>946.8</v>
      </c>
      <c r="CD27" s="110">
        <v>3</v>
      </c>
      <c r="CE27" s="110">
        <v>946.8</v>
      </c>
      <c r="CF27" s="110">
        <v>2</v>
      </c>
      <c r="CG27" s="110">
        <v>631.19999999999993</v>
      </c>
      <c r="CH27" s="110">
        <v>3</v>
      </c>
      <c r="CI27" s="110">
        <v>946.8</v>
      </c>
      <c r="CJ27" s="110">
        <v>3</v>
      </c>
      <c r="CK27" s="110">
        <v>946.8</v>
      </c>
      <c r="CL27" s="110">
        <v>2</v>
      </c>
      <c r="CM27" s="110">
        <v>631.19999999999993</v>
      </c>
      <c r="CN27" s="110">
        <v>23</v>
      </c>
      <c r="CO27" s="110">
        <v>7258.7999999999993</v>
      </c>
      <c r="CP27" s="110">
        <v>25</v>
      </c>
      <c r="CQ27" s="110">
        <v>7889.9999999999991</v>
      </c>
      <c r="CR27" s="110">
        <v>35</v>
      </c>
      <c r="CS27" s="110">
        <v>11045.999999999998</v>
      </c>
      <c r="CT27" s="110">
        <v>31</v>
      </c>
      <c r="CU27" s="110">
        <v>9783.5999999999985</v>
      </c>
    </row>
    <row r="28" spans="2:99" x14ac:dyDescent="0.2">
      <c r="C28" s="109" t="s">
        <v>196</v>
      </c>
      <c r="D28" s="110">
        <v>12</v>
      </c>
      <c r="E28" s="110">
        <v>7084.7999999999993</v>
      </c>
      <c r="F28" s="110">
        <v>16</v>
      </c>
      <c r="G28" s="110">
        <v>9446.4</v>
      </c>
      <c r="H28" s="110">
        <v>17</v>
      </c>
      <c r="I28" s="110">
        <v>10036.799999999999</v>
      </c>
      <c r="J28" s="110">
        <v>18</v>
      </c>
      <c r="K28" s="110">
        <v>10627.199999999999</v>
      </c>
      <c r="L28" s="110">
        <v>22</v>
      </c>
      <c r="M28" s="110">
        <v>12988.8</v>
      </c>
      <c r="N28" s="110">
        <v>21</v>
      </c>
      <c r="O28" s="110">
        <v>12398.4</v>
      </c>
      <c r="P28" s="110">
        <v>28</v>
      </c>
      <c r="Q28" s="110">
        <v>16531.2</v>
      </c>
      <c r="R28" s="110">
        <v>29</v>
      </c>
      <c r="S28" s="110">
        <v>17121.599999999999</v>
      </c>
      <c r="T28" s="110">
        <v>4</v>
      </c>
      <c r="U28" s="110">
        <v>2361.6</v>
      </c>
      <c r="V28" s="110">
        <v>4</v>
      </c>
      <c r="W28" s="110">
        <v>2361.6</v>
      </c>
      <c r="X28" s="110">
        <v>4</v>
      </c>
      <c r="Y28" s="110">
        <v>2361.6</v>
      </c>
      <c r="Z28" s="110">
        <v>4</v>
      </c>
      <c r="AA28" s="110">
        <v>2361.6</v>
      </c>
      <c r="AB28" s="110">
        <v>28</v>
      </c>
      <c r="AC28" s="110">
        <v>16531.2</v>
      </c>
      <c r="AD28" s="110">
        <v>27</v>
      </c>
      <c r="AE28" s="110">
        <v>15940.8</v>
      </c>
      <c r="AF28" s="110">
        <v>27</v>
      </c>
      <c r="AG28" s="110">
        <v>15940.8</v>
      </c>
      <c r="AH28" s="110">
        <v>25</v>
      </c>
      <c r="AI28" s="110">
        <v>14760</v>
      </c>
      <c r="AJ28" s="110">
        <v>29</v>
      </c>
      <c r="AK28" s="110">
        <v>17121.599999999999</v>
      </c>
      <c r="AL28" s="110">
        <v>41</v>
      </c>
      <c r="AM28" s="110">
        <v>24206.399999999998</v>
      </c>
      <c r="AN28" s="110">
        <v>26</v>
      </c>
      <c r="AO28" s="110">
        <v>15350.4</v>
      </c>
      <c r="AP28" s="110">
        <v>28</v>
      </c>
      <c r="AQ28" s="110">
        <v>16531.2</v>
      </c>
      <c r="AR28" s="110">
        <v>41</v>
      </c>
      <c r="AS28" s="110">
        <v>24206.399999999998</v>
      </c>
      <c r="AT28" s="110">
        <v>30</v>
      </c>
      <c r="AU28" s="110">
        <v>17712</v>
      </c>
      <c r="AV28" s="110">
        <v>35</v>
      </c>
      <c r="AW28" s="110">
        <v>20664</v>
      </c>
      <c r="AX28" s="110">
        <v>27</v>
      </c>
      <c r="AY28" s="110">
        <v>15940.8</v>
      </c>
      <c r="AZ28" s="110">
        <v>21</v>
      </c>
      <c r="BA28" s="110">
        <v>12398.4</v>
      </c>
      <c r="BB28" s="110">
        <v>18</v>
      </c>
      <c r="BC28" s="110">
        <v>10627.199999999999</v>
      </c>
      <c r="BD28" s="110">
        <v>25</v>
      </c>
      <c r="BE28" s="110">
        <v>14760</v>
      </c>
      <c r="BF28" s="110">
        <v>21</v>
      </c>
      <c r="BG28" s="110">
        <v>12398.4</v>
      </c>
      <c r="BH28" s="110">
        <v>19</v>
      </c>
      <c r="BI28" s="110">
        <v>11217.6</v>
      </c>
      <c r="BJ28" s="110">
        <v>34</v>
      </c>
      <c r="BK28" s="110">
        <v>20073.599999999999</v>
      </c>
      <c r="BL28" s="110">
        <v>29</v>
      </c>
      <c r="BM28" s="110">
        <v>17121.599999999999</v>
      </c>
      <c r="BN28" s="110">
        <v>23</v>
      </c>
      <c r="BO28" s="110">
        <v>13579.199999999999</v>
      </c>
      <c r="BP28" s="110">
        <v>41</v>
      </c>
      <c r="BQ28" s="110">
        <v>24206.399999999998</v>
      </c>
      <c r="BR28" s="110">
        <v>20</v>
      </c>
      <c r="BS28" s="110">
        <v>11808</v>
      </c>
      <c r="BT28" s="110">
        <v>25</v>
      </c>
      <c r="BU28" s="110">
        <v>14760</v>
      </c>
      <c r="BV28" s="110">
        <v>28</v>
      </c>
      <c r="BW28" s="110">
        <v>16531.2</v>
      </c>
      <c r="BX28" s="110">
        <v>1</v>
      </c>
      <c r="BY28" s="110">
        <v>590.4</v>
      </c>
      <c r="BZ28" s="110">
        <v>3</v>
      </c>
      <c r="CA28" s="110">
        <v>1771.1999999999998</v>
      </c>
      <c r="CB28" s="110">
        <v>3</v>
      </c>
      <c r="CC28" s="110">
        <v>1771.1999999999998</v>
      </c>
      <c r="CD28" s="110">
        <v>3</v>
      </c>
      <c r="CE28" s="110">
        <v>1771.1999999999998</v>
      </c>
      <c r="CF28" s="110">
        <v>2</v>
      </c>
      <c r="CG28" s="110">
        <v>1180.8</v>
      </c>
      <c r="CH28" s="110">
        <v>3</v>
      </c>
      <c r="CI28" s="110">
        <v>1771.1999999999998</v>
      </c>
      <c r="CJ28" s="110">
        <v>3</v>
      </c>
      <c r="CK28" s="110">
        <v>1771.1999999999998</v>
      </c>
      <c r="CL28" s="110">
        <v>2</v>
      </c>
      <c r="CM28" s="110">
        <v>1180.8</v>
      </c>
      <c r="CN28" s="110">
        <v>25</v>
      </c>
      <c r="CO28" s="110">
        <v>14760</v>
      </c>
      <c r="CP28" s="110">
        <v>23</v>
      </c>
      <c r="CQ28" s="110">
        <v>13579.199999999999</v>
      </c>
      <c r="CR28" s="110">
        <v>30</v>
      </c>
      <c r="CS28" s="110">
        <v>17712</v>
      </c>
      <c r="CT28" s="110">
        <v>32</v>
      </c>
      <c r="CU28" s="110">
        <v>18892.8</v>
      </c>
    </row>
    <row r="29" spans="2:99" x14ac:dyDescent="0.2">
      <c r="C29" s="109" t="s">
        <v>197</v>
      </c>
      <c r="D29" s="110">
        <v>13</v>
      </c>
      <c r="E29" s="110">
        <v>3057.6</v>
      </c>
      <c r="F29" s="110">
        <v>17</v>
      </c>
      <c r="G29" s="110">
        <v>3998.3999999999996</v>
      </c>
      <c r="H29" s="110">
        <v>19</v>
      </c>
      <c r="I29" s="110">
        <v>4468.8</v>
      </c>
      <c r="J29" s="110">
        <v>18</v>
      </c>
      <c r="K29" s="110">
        <v>4233.5999999999995</v>
      </c>
      <c r="L29" s="110">
        <v>25</v>
      </c>
      <c r="M29" s="110">
        <v>5880</v>
      </c>
      <c r="N29" s="110">
        <v>22</v>
      </c>
      <c r="O29" s="110">
        <v>5174.3999999999996</v>
      </c>
      <c r="P29" s="110">
        <v>26</v>
      </c>
      <c r="Q29" s="110">
        <v>6115.2</v>
      </c>
      <c r="R29" s="110">
        <v>28</v>
      </c>
      <c r="S29" s="110">
        <v>6585.5999999999995</v>
      </c>
      <c r="T29" s="110">
        <v>4</v>
      </c>
      <c r="U29" s="110">
        <v>940.8</v>
      </c>
      <c r="V29" s="110">
        <v>4</v>
      </c>
      <c r="W29" s="110">
        <v>940.8</v>
      </c>
      <c r="X29" s="110">
        <v>4</v>
      </c>
      <c r="Y29" s="110">
        <v>940.8</v>
      </c>
      <c r="Z29" s="110">
        <v>4</v>
      </c>
      <c r="AA29" s="110">
        <v>940.8</v>
      </c>
      <c r="AB29" s="110">
        <v>28</v>
      </c>
      <c r="AC29" s="110">
        <v>6585.5999999999995</v>
      </c>
      <c r="AD29" s="110">
        <v>29</v>
      </c>
      <c r="AE29" s="110">
        <v>6820.7999999999993</v>
      </c>
      <c r="AF29" s="110">
        <v>27</v>
      </c>
      <c r="AG29" s="110">
        <v>6350.4</v>
      </c>
      <c r="AH29" s="110">
        <v>28</v>
      </c>
      <c r="AI29" s="110">
        <v>6585.5999999999995</v>
      </c>
      <c r="AJ29" s="110">
        <v>34</v>
      </c>
      <c r="AK29" s="110">
        <v>7996.7999999999993</v>
      </c>
      <c r="AL29" s="110">
        <v>40</v>
      </c>
      <c r="AM29" s="110">
        <v>9408</v>
      </c>
      <c r="AN29" s="110">
        <v>26</v>
      </c>
      <c r="AO29" s="110">
        <v>6115.2</v>
      </c>
      <c r="AP29" s="110">
        <v>31</v>
      </c>
      <c r="AQ29" s="110">
        <v>7291.2</v>
      </c>
      <c r="AR29" s="110">
        <v>38</v>
      </c>
      <c r="AS29" s="110">
        <v>8937.6</v>
      </c>
      <c r="AT29" s="110">
        <v>31</v>
      </c>
      <c r="AU29" s="110">
        <v>7291.2</v>
      </c>
      <c r="AV29" s="110">
        <v>39</v>
      </c>
      <c r="AW29" s="110">
        <v>9172.7999999999993</v>
      </c>
      <c r="AX29" s="110">
        <v>29</v>
      </c>
      <c r="AY29" s="110">
        <v>6820.7999999999993</v>
      </c>
      <c r="AZ29" s="110">
        <v>21</v>
      </c>
      <c r="BA29" s="110">
        <v>4939.2</v>
      </c>
      <c r="BB29" s="110">
        <v>15</v>
      </c>
      <c r="BC29" s="110">
        <v>3528</v>
      </c>
      <c r="BD29" s="110">
        <v>23</v>
      </c>
      <c r="BE29" s="110">
        <v>5409.5999999999995</v>
      </c>
      <c r="BF29" s="110">
        <v>20</v>
      </c>
      <c r="BG29" s="110">
        <v>4704</v>
      </c>
      <c r="BH29" s="110">
        <v>23</v>
      </c>
      <c r="BI29" s="110">
        <v>5409.5999999999995</v>
      </c>
      <c r="BJ29" s="110">
        <v>32</v>
      </c>
      <c r="BK29" s="110">
        <v>7526.4</v>
      </c>
      <c r="BL29" s="110">
        <v>36</v>
      </c>
      <c r="BM29" s="110">
        <v>8467.1999999999989</v>
      </c>
      <c r="BN29" s="110">
        <v>21</v>
      </c>
      <c r="BO29" s="110">
        <v>4939.2</v>
      </c>
      <c r="BP29" s="110">
        <v>39</v>
      </c>
      <c r="BQ29" s="110">
        <v>9172.7999999999993</v>
      </c>
      <c r="BR29" s="110">
        <v>25</v>
      </c>
      <c r="BS29" s="110">
        <v>5880</v>
      </c>
      <c r="BT29" s="110">
        <v>28</v>
      </c>
      <c r="BU29" s="110">
        <v>6585.5999999999995</v>
      </c>
      <c r="BV29" s="110">
        <v>32</v>
      </c>
      <c r="BW29" s="110">
        <v>7526.4</v>
      </c>
      <c r="BX29" s="110">
        <v>2</v>
      </c>
      <c r="BY29" s="110">
        <v>470.4</v>
      </c>
      <c r="BZ29" s="110">
        <v>3</v>
      </c>
      <c r="CA29" s="110">
        <v>705.59999999999991</v>
      </c>
      <c r="CB29" s="110">
        <v>3</v>
      </c>
      <c r="CC29" s="110">
        <v>705.59999999999991</v>
      </c>
      <c r="CD29" s="110">
        <v>3</v>
      </c>
      <c r="CE29" s="110">
        <v>705.59999999999991</v>
      </c>
      <c r="CF29" s="110">
        <v>2</v>
      </c>
      <c r="CG29" s="110">
        <v>470.4</v>
      </c>
      <c r="CH29" s="110">
        <v>3</v>
      </c>
      <c r="CI29" s="110">
        <v>705.59999999999991</v>
      </c>
      <c r="CJ29" s="110">
        <v>3</v>
      </c>
      <c r="CK29" s="110">
        <v>705.59999999999991</v>
      </c>
      <c r="CL29" s="110">
        <v>2</v>
      </c>
      <c r="CM29" s="110">
        <v>470.4</v>
      </c>
      <c r="CN29" s="110">
        <v>26</v>
      </c>
      <c r="CO29" s="110">
        <v>6115.2</v>
      </c>
      <c r="CP29" s="110">
        <v>25</v>
      </c>
      <c r="CQ29" s="110">
        <v>5880</v>
      </c>
      <c r="CR29" s="110">
        <v>30</v>
      </c>
      <c r="CS29" s="110">
        <v>7056</v>
      </c>
      <c r="CT29" s="110">
        <v>32</v>
      </c>
      <c r="CU29" s="110">
        <v>7526.4</v>
      </c>
    </row>
    <row r="30" spans="2:99" x14ac:dyDescent="0.2">
      <c r="C30" s="109" t="s">
        <v>198</v>
      </c>
      <c r="D30" s="110">
        <v>11</v>
      </c>
      <c r="E30" s="110">
        <v>2547.6</v>
      </c>
      <c r="F30" s="110">
        <v>17</v>
      </c>
      <c r="G30" s="110">
        <v>3937.2</v>
      </c>
      <c r="H30" s="110">
        <v>16</v>
      </c>
      <c r="I30" s="110">
        <v>3705.6</v>
      </c>
      <c r="J30" s="110">
        <v>18</v>
      </c>
      <c r="K30" s="110">
        <v>4168.8</v>
      </c>
      <c r="L30" s="110">
        <v>24</v>
      </c>
      <c r="M30" s="110">
        <v>5558.4</v>
      </c>
      <c r="N30" s="110">
        <v>21</v>
      </c>
      <c r="O30" s="110">
        <v>4863.5999999999995</v>
      </c>
      <c r="P30" s="110">
        <v>29</v>
      </c>
      <c r="Q30" s="110">
        <v>6716.4</v>
      </c>
      <c r="R30" s="110">
        <v>28</v>
      </c>
      <c r="S30" s="110">
        <v>6484.8</v>
      </c>
      <c r="T30" s="110">
        <v>4</v>
      </c>
      <c r="U30" s="110">
        <v>926.4</v>
      </c>
      <c r="V30" s="110">
        <v>4</v>
      </c>
      <c r="W30" s="110">
        <v>926.4</v>
      </c>
      <c r="X30" s="110">
        <v>4</v>
      </c>
      <c r="Y30" s="110">
        <v>926.4</v>
      </c>
      <c r="Z30" s="110">
        <v>4</v>
      </c>
      <c r="AA30" s="110">
        <v>926.4</v>
      </c>
      <c r="AB30" s="110">
        <v>30</v>
      </c>
      <c r="AC30" s="110">
        <v>6948</v>
      </c>
      <c r="AD30" s="110">
        <v>30</v>
      </c>
      <c r="AE30" s="110">
        <v>6948</v>
      </c>
      <c r="AF30" s="110">
        <v>26</v>
      </c>
      <c r="AG30" s="110">
        <v>6021.5999999999995</v>
      </c>
      <c r="AH30" s="110">
        <v>30</v>
      </c>
      <c r="AI30" s="110">
        <v>6948</v>
      </c>
      <c r="AJ30" s="110">
        <v>33</v>
      </c>
      <c r="AK30" s="110">
        <v>7642.8</v>
      </c>
      <c r="AL30" s="110">
        <v>36</v>
      </c>
      <c r="AM30" s="110">
        <v>8337.6</v>
      </c>
      <c r="AN30" s="110">
        <v>26</v>
      </c>
      <c r="AO30" s="110">
        <v>6021.5999999999995</v>
      </c>
      <c r="AP30" s="110">
        <v>31</v>
      </c>
      <c r="AQ30" s="110">
        <v>7179.5999999999995</v>
      </c>
      <c r="AR30" s="110">
        <v>39</v>
      </c>
      <c r="AS30" s="110">
        <v>9032.4</v>
      </c>
      <c r="AT30" s="110">
        <v>27</v>
      </c>
      <c r="AU30" s="110">
        <v>6253.2</v>
      </c>
      <c r="AV30" s="110">
        <v>40</v>
      </c>
      <c r="AW30" s="110">
        <v>9264</v>
      </c>
      <c r="AX30" s="110">
        <v>30</v>
      </c>
      <c r="AY30" s="110">
        <v>6948</v>
      </c>
      <c r="AZ30" s="110">
        <v>21</v>
      </c>
      <c r="BA30" s="110">
        <v>4863.5999999999995</v>
      </c>
      <c r="BB30" s="110">
        <v>18</v>
      </c>
      <c r="BC30" s="110">
        <v>4168.8</v>
      </c>
      <c r="BD30" s="110">
        <v>25</v>
      </c>
      <c r="BE30" s="110">
        <v>5790</v>
      </c>
      <c r="BF30" s="110">
        <v>21</v>
      </c>
      <c r="BG30" s="110">
        <v>4863.5999999999995</v>
      </c>
      <c r="BH30" s="110">
        <v>23</v>
      </c>
      <c r="BI30" s="110">
        <v>5326.8</v>
      </c>
      <c r="BJ30" s="110">
        <v>32</v>
      </c>
      <c r="BK30" s="110">
        <v>7411.2</v>
      </c>
      <c r="BL30" s="110">
        <v>35</v>
      </c>
      <c r="BM30" s="110">
        <v>8106</v>
      </c>
      <c r="BN30" s="110">
        <v>21</v>
      </c>
      <c r="BO30" s="110">
        <v>4863.5999999999995</v>
      </c>
      <c r="BP30" s="110">
        <v>44</v>
      </c>
      <c r="BQ30" s="110">
        <v>10190.4</v>
      </c>
      <c r="BR30" s="110">
        <v>23</v>
      </c>
      <c r="BS30" s="110">
        <v>5326.8</v>
      </c>
      <c r="BT30" s="110">
        <v>27</v>
      </c>
      <c r="BU30" s="110">
        <v>6253.2</v>
      </c>
      <c r="BV30" s="110">
        <v>28</v>
      </c>
      <c r="BW30" s="110">
        <v>6484.8</v>
      </c>
      <c r="BX30" s="110">
        <v>2</v>
      </c>
      <c r="BY30" s="110">
        <v>463.2</v>
      </c>
      <c r="BZ30" s="110">
        <v>3</v>
      </c>
      <c r="CA30" s="110">
        <v>694.8</v>
      </c>
      <c r="CB30" s="110">
        <v>3</v>
      </c>
      <c r="CC30" s="110">
        <v>694.8</v>
      </c>
      <c r="CD30" s="110">
        <v>3</v>
      </c>
      <c r="CE30" s="110">
        <v>694.8</v>
      </c>
      <c r="CF30" s="110">
        <v>2</v>
      </c>
      <c r="CG30" s="110">
        <v>463.2</v>
      </c>
      <c r="CH30" s="110">
        <v>3</v>
      </c>
      <c r="CI30" s="110">
        <v>694.8</v>
      </c>
      <c r="CJ30" s="110">
        <v>3</v>
      </c>
      <c r="CK30" s="110">
        <v>694.8</v>
      </c>
      <c r="CL30" s="110">
        <v>2</v>
      </c>
      <c r="CM30" s="110">
        <v>463.2</v>
      </c>
      <c r="CN30" s="110">
        <v>23</v>
      </c>
      <c r="CO30" s="110">
        <v>5326.8</v>
      </c>
      <c r="CP30" s="110">
        <v>25</v>
      </c>
      <c r="CQ30" s="110">
        <v>5790</v>
      </c>
      <c r="CR30" s="110">
        <v>35</v>
      </c>
      <c r="CS30" s="110">
        <v>8106</v>
      </c>
      <c r="CT30" s="110">
        <v>33</v>
      </c>
      <c r="CU30" s="110">
        <v>7642.8</v>
      </c>
    </row>
    <row r="31" spans="2:99" x14ac:dyDescent="0.2">
      <c r="C31" s="109" t="s">
        <v>199</v>
      </c>
      <c r="D31" s="110">
        <v>13</v>
      </c>
      <c r="E31" s="110">
        <v>2308.7999999999997</v>
      </c>
      <c r="F31" s="110">
        <v>17</v>
      </c>
      <c r="G31" s="110">
        <v>3019.2</v>
      </c>
      <c r="H31" s="110">
        <v>19</v>
      </c>
      <c r="I31" s="110">
        <v>3374.4</v>
      </c>
      <c r="J31" s="110">
        <v>19</v>
      </c>
      <c r="K31" s="110">
        <v>3374.4</v>
      </c>
      <c r="L31" s="110">
        <v>21</v>
      </c>
      <c r="M31" s="110">
        <v>3729.6</v>
      </c>
      <c r="N31" s="110">
        <v>21</v>
      </c>
      <c r="O31" s="110">
        <v>3729.6</v>
      </c>
      <c r="P31" s="110">
        <v>25</v>
      </c>
      <c r="Q31" s="110">
        <v>4440</v>
      </c>
      <c r="R31" s="110">
        <v>29</v>
      </c>
      <c r="S31" s="110">
        <v>5150.3999999999996</v>
      </c>
      <c r="T31" s="110">
        <v>4</v>
      </c>
      <c r="U31" s="110">
        <v>710.4</v>
      </c>
      <c r="V31" s="110">
        <v>4</v>
      </c>
      <c r="W31" s="110">
        <v>710.4</v>
      </c>
      <c r="X31" s="110">
        <v>4</v>
      </c>
      <c r="Y31" s="110">
        <v>710.4</v>
      </c>
      <c r="Z31" s="110">
        <v>4</v>
      </c>
      <c r="AA31" s="110">
        <v>710.4</v>
      </c>
      <c r="AB31" s="110">
        <v>27</v>
      </c>
      <c r="AC31" s="110">
        <v>4795.2</v>
      </c>
      <c r="AD31" s="110">
        <v>25</v>
      </c>
      <c r="AE31" s="110">
        <v>4440</v>
      </c>
      <c r="AF31" s="110">
        <v>26</v>
      </c>
      <c r="AG31" s="110">
        <v>4617.5999999999995</v>
      </c>
      <c r="AH31" s="110">
        <v>27</v>
      </c>
      <c r="AI31" s="110">
        <v>4795.2</v>
      </c>
      <c r="AJ31" s="110">
        <v>33</v>
      </c>
      <c r="AK31" s="110">
        <v>5860.8</v>
      </c>
      <c r="AL31" s="110">
        <v>41</v>
      </c>
      <c r="AM31" s="110">
        <v>7281.5999999999995</v>
      </c>
      <c r="AN31" s="110">
        <v>24</v>
      </c>
      <c r="AO31" s="110">
        <v>4262.3999999999996</v>
      </c>
      <c r="AP31" s="110">
        <v>34</v>
      </c>
      <c r="AQ31" s="110">
        <v>6038.4</v>
      </c>
      <c r="AR31" s="110">
        <v>38</v>
      </c>
      <c r="AS31" s="110">
        <v>6748.8</v>
      </c>
      <c r="AT31" s="110">
        <v>31</v>
      </c>
      <c r="AU31" s="110">
        <v>5505.5999999999995</v>
      </c>
      <c r="AV31" s="110">
        <v>45</v>
      </c>
      <c r="AW31" s="110">
        <v>7992</v>
      </c>
      <c r="AX31" s="110">
        <v>26</v>
      </c>
      <c r="AY31" s="110">
        <v>4617.5999999999995</v>
      </c>
      <c r="AZ31" s="110">
        <v>20</v>
      </c>
      <c r="BA31" s="110">
        <v>3552</v>
      </c>
      <c r="BB31" s="110">
        <v>17</v>
      </c>
      <c r="BC31" s="110">
        <v>3019.2</v>
      </c>
      <c r="BD31" s="110">
        <v>26</v>
      </c>
      <c r="BE31" s="110">
        <v>4617.5999999999995</v>
      </c>
      <c r="BF31" s="110">
        <v>22</v>
      </c>
      <c r="BG31" s="110">
        <v>3907.2</v>
      </c>
      <c r="BH31" s="110">
        <v>20</v>
      </c>
      <c r="BI31" s="110">
        <v>3552</v>
      </c>
      <c r="BJ31" s="110">
        <v>37</v>
      </c>
      <c r="BK31" s="110">
        <v>6571.2</v>
      </c>
      <c r="BL31" s="110">
        <v>37</v>
      </c>
      <c r="BM31" s="110">
        <v>6571.2</v>
      </c>
      <c r="BN31" s="110">
        <v>22</v>
      </c>
      <c r="BO31" s="110">
        <v>3907.2</v>
      </c>
      <c r="BP31" s="110">
        <v>41</v>
      </c>
      <c r="BQ31" s="110">
        <v>7281.5999999999995</v>
      </c>
      <c r="BR31" s="110">
        <v>24</v>
      </c>
      <c r="BS31" s="110">
        <v>4262.3999999999996</v>
      </c>
      <c r="BT31" s="110">
        <v>27</v>
      </c>
      <c r="BU31" s="110">
        <v>4795.2</v>
      </c>
      <c r="BV31" s="110">
        <v>32</v>
      </c>
      <c r="BW31" s="110">
        <v>5683.2</v>
      </c>
      <c r="BX31" s="110">
        <v>2</v>
      </c>
      <c r="BY31" s="110">
        <v>355.2</v>
      </c>
      <c r="BZ31" s="110">
        <v>2</v>
      </c>
      <c r="CA31" s="110">
        <v>355.2</v>
      </c>
      <c r="CB31" s="110">
        <v>3</v>
      </c>
      <c r="CC31" s="110">
        <v>532.79999999999995</v>
      </c>
      <c r="CD31" s="110">
        <v>3</v>
      </c>
      <c r="CE31" s="110">
        <v>532.79999999999995</v>
      </c>
      <c r="CF31" s="110">
        <v>3</v>
      </c>
      <c r="CG31" s="110">
        <v>532.79999999999995</v>
      </c>
      <c r="CH31" s="110">
        <v>3</v>
      </c>
      <c r="CI31" s="110">
        <v>532.79999999999995</v>
      </c>
      <c r="CJ31" s="110">
        <v>3</v>
      </c>
      <c r="CK31" s="110">
        <v>532.79999999999995</v>
      </c>
      <c r="CL31" s="110">
        <v>2</v>
      </c>
      <c r="CM31" s="110">
        <v>355.2</v>
      </c>
      <c r="CN31" s="110">
        <v>23</v>
      </c>
      <c r="CO31" s="110">
        <v>4084.7999999999997</v>
      </c>
      <c r="CP31" s="110">
        <v>23</v>
      </c>
      <c r="CQ31" s="110">
        <v>4084.7999999999997</v>
      </c>
      <c r="CR31" s="110">
        <v>34</v>
      </c>
      <c r="CS31" s="110">
        <v>6038.4</v>
      </c>
      <c r="CT31" s="110">
        <v>30</v>
      </c>
      <c r="CU31" s="110">
        <v>5328</v>
      </c>
    </row>
    <row r="32" spans="2:99" x14ac:dyDescent="0.2">
      <c r="C32" s="109" t="s">
        <v>200</v>
      </c>
      <c r="D32" s="110">
        <v>13</v>
      </c>
      <c r="E32" s="110">
        <v>6692.4</v>
      </c>
      <c r="F32" s="110">
        <v>15</v>
      </c>
      <c r="G32" s="110">
        <v>7721.9999999999991</v>
      </c>
      <c r="H32" s="110">
        <v>17</v>
      </c>
      <c r="I32" s="110">
        <v>8751.5999999999985</v>
      </c>
      <c r="J32" s="110">
        <v>15</v>
      </c>
      <c r="K32" s="110">
        <v>7721.9999999999991</v>
      </c>
      <c r="L32" s="110">
        <v>22</v>
      </c>
      <c r="M32" s="110">
        <v>11325.599999999999</v>
      </c>
      <c r="N32" s="110">
        <v>20</v>
      </c>
      <c r="O32" s="110">
        <v>10296</v>
      </c>
      <c r="P32" s="110">
        <v>28</v>
      </c>
      <c r="Q32" s="110">
        <v>14414.399999999998</v>
      </c>
      <c r="R32" s="110">
        <v>24</v>
      </c>
      <c r="S32" s="110">
        <v>12355.199999999999</v>
      </c>
      <c r="T32" s="110">
        <v>4</v>
      </c>
      <c r="U32" s="110">
        <v>2059.1999999999998</v>
      </c>
      <c r="V32" s="110">
        <v>4</v>
      </c>
      <c r="W32" s="110">
        <v>2059.1999999999998</v>
      </c>
      <c r="X32" s="110">
        <v>4</v>
      </c>
      <c r="Y32" s="110">
        <v>2059.1999999999998</v>
      </c>
      <c r="Z32" s="110">
        <v>4</v>
      </c>
      <c r="AA32" s="110">
        <v>2059.1999999999998</v>
      </c>
      <c r="AB32" s="110">
        <v>26</v>
      </c>
      <c r="AC32" s="110">
        <v>13384.8</v>
      </c>
      <c r="AD32" s="110">
        <v>25</v>
      </c>
      <c r="AE32" s="110">
        <v>12869.999999999998</v>
      </c>
      <c r="AF32" s="110">
        <v>27</v>
      </c>
      <c r="AG32" s="110">
        <v>13899.599999999999</v>
      </c>
      <c r="AH32" s="110">
        <v>27</v>
      </c>
      <c r="AI32" s="110">
        <v>13899.599999999999</v>
      </c>
      <c r="AJ32" s="110">
        <v>28</v>
      </c>
      <c r="AK32" s="110">
        <v>14414.399999999998</v>
      </c>
      <c r="AL32" s="110">
        <v>41</v>
      </c>
      <c r="AM32" s="110">
        <v>21106.799999999999</v>
      </c>
      <c r="AN32" s="110">
        <v>24</v>
      </c>
      <c r="AO32" s="110">
        <v>12355.199999999999</v>
      </c>
      <c r="AP32" s="110">
        <v>32</v>
      </c>
      <c r="AQ32" s="110">
        <v>16473.599999999999</v>
      </c>
      <c r="AR32" s="110">
        <v>44</v>
      </c>
      <c r="AS32" s="110">
        <v>22651.199999999997</v>
      </c>
      <c r="AT32" s="110">
        <v>27</v>
      </c>
      <c r="AU32" s="110">
        <v>13899.599999999999</v>
      </c>
      <c r="AV32" s="110">
        <v>38</v>
      </c>
      <c r="AW32" s="110">
        <v>19562.399999999998</v>
      </c>
      <c r="AX32" s="110">
        <v>26</v>
      </c>
      <c r="AY32" s="110">
        <v>13384.8</v>
      </c>
      <c r="AZ32" s="110">
        <v>21</v>
      </c>
      <c r="BA32" s="110">
        <v>10810.8</v>
      </c>
      <c r="BB32" s="110">
        <v>15</v>
      </c>
      <c r="BC32" s="110">
        <v>7721.9999999999991</v>
      </c>
      <c r="BD32" s="110">
        <v>23</v>
      </c>
      <c r="BE32" s="110">
        <v>11840.4</v>
      </c>
      <c r="BF32" s="110">
        <v>19</v>
      </c>
      <c r="BG32" s="110">
        <v>9781.1999999999989</v>
      </c>
      <c r="BH32" s="110">
        <v>20</v>
      </c>
      <c r="BI32" s="110">
        <v>10296</v>
      </c>
      <c r="BJ32" s="110">
        <v>31</v>
      </c>
      <c r="BK32" s="110">
        <v>15958.8</v>
      </c>
      <c r="BL32" s="110">
        <v>35</v>
      </c>
      <c r="BM32" s="110">
        <v>18018</v>
      </c>
      <c r="BN32" s="110">
        <v>19</v>
      </c>
      <c r="BO32" s="110">
        <v>9781.1999999999989</v>
      </c>
      <c r="BP32" s="110">
        <v>35</v>
      </c>
      <c r="BQ32" s="110">
        <v>18018</v>
      </c>
      <c r="BR32" s="110">
        <v>20</v>
      </c>
      <c r="BS32" s="110">
        <v>10296</v>
      </c>
      <c r="BT32" s="110">
        <v>27</v>
      </c>
      <c r="BU32" s="110">
        <v>13899.599999999999</v>
      </c>
      <c r="BV32" s="110">
        <v>30</v>
      </c>
      <c r="BW32" s="110">
        <v>15443.999999999998</v>
      </c>
      <c r="BX32" s="110">
        <v>2</v>
      </c>
      <c r="BY32" s="110">
        <v>1029.5999999999999</v>
      </c>
      <c r="BZ32" s="110">
        <v>3</v>
      </c>
      <c r="CA32" s="110">
        <v>1544.3999999999999</v>
      </c>
      <c r="CB32" s="110">
        <v>3</v>
      </c>
      <c r="CC32" s="110">
        <v>1544.3999999999999</v>
      </c>
      <c r="CD32" s="110">
        <v>3</v>
      </c>
      <c r="CE32" s="110">
        <v>1544.3999999999999</v>
      </c>
      <c r="CF32" s="110">
        <v>2</v>
      </c>
      <c r="CG32" s="110">
        <v>1029.5999999999999</v>
      </c>
      <c r="CH32" s="110">
        <v>3</v>
      </c>
      <c r="CI32" s="110">
        <v>1544.3999999999999</v>
      </c>
      <c r="CJ32" s="110">
        <v>3</v>
      </c>
      <c r="CK32" s="110">
        <v>1544.3999999999999</v>
      </c>
      <c r="CL32" s="110">
        <v>2</v>
      </c>
      <c r="CM32" s="110">
        <v>1029.5999999999999</v>
      </c>
      <c r="CN32" s="110">
        <v>24</v>
      </c>
      <c r="CO32" s="110">
        <v>12355.199999999999</v>
      </c>
      <c r="CP32" s="110">
        <v>24</v>
      </c>
      <c r="CQ32" s="110">
        <v>12355.199999999999</v>
      </c>
      <c r="CR32" s="110">
        <v>33</v>
      </c>
      <c r="CS32" s="110">
        <v>16988.399999999998</v>
      </c>
      <c r="CT32" s="110">
        <v>33</v>
      </c>
      <c r="CU32" s="110">
        <v>16988.399999999998</v>
      </c>
    </row>
    <row r="33" spans="2:99" x14ac:dyDescent="0.2">
      <c r="C33" s="109" t="s">
        <v>201</v>
      </c>
      <c r="D33" s="110">
        <v>14</v>
      </c>
      <c r="E33" s="110">
        <v>4687.2</v>
      </c>
      <c r="F33" s="110">
        <v>15</v>
      </c>
      <c r="G33" s="110">
        <v>5022</v>
      </c>
      <c r="H33" s="110">
        <v>18</v>
      </c>
      <c r="I33" s="110">
        <v>6026.4000000000005</v>
      </c>
      <c r="J33" s="110">
        <v>17</v>
      </c>
      <c r="K33" s="110">
        <v>5691.6</v>
      </c>
      <c r="L33" s="110">
        <v>23</v>
      </c>
      <c r="M33" s="110">
        <v>7700.4000000000005</v>
      </c>
      <c r="N33" s="110">
        <v>19</v>
      </c>
      <c r="O33" s="110">
        <v>6361.2</v>
      </c>
      <c r="P33" s="110">
        <v>27</v>
      </c>
      <c r="Q33" s="110">
        <v>9039.6</v>
      </c>
      <c r="R33" s="110">
        <v>28</v>
      </c>
      <c r="S33" s="110">
        <v>9374.4</v>
      </c>
      <c r="T33" s="110">
        <v>5</v>
      </c>
      <c r="U33" s="110">
        <v>1674</v>
      </c>
      <c r="V33" s="110">
        <v>4</v>
      </c>
      <c r="W33" s="110">
        <v>1339.2</v>
      </c>
      <c r="X33" s="110">
        <v>4</v>
      </c>
      <c r="Y33" s="110">
        <v>1339.2</v>
      </c>
      <c r="Z33" s="110">
        <v>4</v>
      </c>
      <c r="AA33" s="110">
        <v>1339.2</v>
      </c>
      <c r="AB33" s="110">
        <v>30</v>
      </c>
      <c r="AC33" s="110">
        <v>10044</v>
      </c>
      <c r="AD33" s="110">
        <v>29</v>
      </c>
      <c r="AE33" s="110">
        <v>9709.2000000000007</v>
      </c>
      <c r="AF33" s="110">
        <v>30</v>
      </c>
      <c r="AG33" s="110">
        <v>10044</v>
      </c>
      <c r="AH33" s="110">
        <v>29</v>
      </c>
      <c r="AI33" s="110">
        <v>9709.2000000000007</v>
      </c>
      <c r="AJ33" s="110">
        <v>34</v>
      </c>
      <c r="AK33" s="110">
        <v>11383.2</v>
      </c>
      <c r="AL33" s="110">
        <v>36</v>
      </c>
      <c r="AM33" s="110">
        <v>12052.800000000001</v>
      </c>
      <c r="AN33" s="110">
        <v>25</v>
      </c>
      <c r="AO33" s="110">
        <v>8370</v>
      </c>
      <c r="AP33" s="110">
        <v>34</v>
      </c>
      <c r="AQ33" s="110">
        <v>11383.2</v>
      </c>
      <c r="AR33" s="110">
        <v>43</v>
      </c>
      <c r="AS33" s="110">
        <v>14396.4</v>
      </c>
      <c r="AT33" s="110">
        <v>28</v>
      </c>
      <c r="AU33" s="110">
        <v>9374.4</v>
      </c>
      <c r="AV33" s="110">
        <v>44</v>
      </c>
      <c r="AW33" s="110">
        <v>14731.2</v>
      </c>
      <c r="AX33" s="110">
        <v>29</v>
      </c>
      <c r="AY33" s="110">
        <v>9709.2000000000007</v>
      </c>
      <c r="AZ33" s="110">
        <v>21</v>
      </c>
      <c r="BA33" s="110">
        <v>7030.8</v>
      </c>
      <c r="BB33" s="110">
        <v>17</v>
      </c>
      <c r="BC33" s="110">
        <v>5691.6</v>
      </c>
      <c r="BD33" s="110">
        <v>22</v>
      </c>
      <c r="BE33" s="110">
        <v>7365.6</v>
      </c>
      <c r="BF33" s="110">
        <v>20</v>
      </c>
      <c r="BG33" s="110">
        <v>6696</v>
      </c>
      <c r="BH33" s="110">
        <v>20</v>
      </c>
      <c r="BI33" s="110">
        <v>6696</v>
      </c>
      <c r="BJ33" s="110">
        <v>32</v>
      </c>
      <c r="BK33" s="110">
        <v>10713.6</v>
      </c>
      <c r="BL33" s="110">
        <v>31</v>
      </c>
      <c r="BM33" s="110">
        <v>10378.800000000001</v>
      </c>
      <c r="BN33" s="110">
        <v>23</v>
      </c>
      <c r="BO33" s="110">
        <v>7700.4000000000005</v>
      </c>
      <c r="BP33" s="110">
        <v>38</v>
      </c>
      <c r="BQ33" s="110">
        <v>12722.4</v>
      </c>
      <c r="BR33" s="110">
        <v>22</v>
      </c>
      <c r="BS33" s="110">
        <v>7365.6</v>
      </c>
      <c r="BT33" s="110">
        <v>24</v>
      </c>
      <c r="BU33" s="110">
        <v>8035.2000000000007</v>
      </c>
      <c r="BV33" s="110">
        <v>29</v>
      </c>
      <c r="BW33" s="110">
        <v>9709.2000000000007</v>
      </c>
      <c r="BX33" s="110">
        <v>2</v>
      </c>
      <c r="BY33" s="110">
        <v>669.6</v>
      </c>
      <c r="BZ33" s="110">
        <v>2</v>
      </c>
      <c r="CA33" s="110">
        <v>669.6</v>
      </c>
      <c r="CB33" s="110">
        <v>3</v>
      </c>
      <c r="CC33" s="110">
        <v>1004.4000000000001</v>
      </c>
      <c r="CD33" s="110">
        <v>3</v>
      </c>
      <c r="CE33" s="110">
        <v>1004.4000000000001</v>
      </c>
      <c r="CF33" s="110">
        <v>3</v>
      </c>
      <c r="CG33" s="110">
        <v>1004.4000000000001</v>
      </c>
      <c r="CH33" s="110">
        <v>3</v>
      </c>
      <c r="CI33" s="110">
        <v>1004.4000000000001</v>
      </c>
      <c r="CJ33" s="110">
        <v>3</v>
      </c>
      <c r="CK33" s="110">
        <v>1004.4000000000001</v>
      </c>
      <c r="CL33" s="110">
        <v>3</v>
      </c>
      <c r="CM33" s="110">
        <v>1004.4000000000001</v>
      </c>
      <c r="CN33" s="110">
        <v>24</v>
      </c>
      <c r="CO33" s="110">
        <v>8035.2000000000007</v>
      </c>
      <c r="CP33" s="110">
        <v>24</v>
      </c>
      <c r="CQ33" s="110">
        <v>8035.2000000000007</v>
      </c>
      <c r="CR33" s="110">
        <v>31</v>
      </c>
      <c r="CS33" s="110">
        <v>10378.800000000001</v>
      </c>
      <c r="CT33" s="110">
        <v>35</v>
      </c>
      <c r="CU33" s="110">
        <v>11718</v>
      </c>
    </row>
    <row r="34" spans="2:99" x14ac:dyDescent="0.2">
      <c r="C34" s="109" t="s">
        <v>202</v>
      </c>
      <c r="D34" s="110">
        <v>13</v>
      </c>
      <c r="E34" s="110">
        <v>4945.2</v>
      </c>
      <c r="F34" s="110">
        <v>16</v>
      </c>
      <c r="G34" s="110">
        <v>6086.4</v>
      </c>
      <c r="H34" s="110">
        <v>18</v>
      </c>
      <c r="I34" s="110">
        <v>6847.2</v>
      </c>
      <c r="J34" s="110">
        <v>19</v>
      </c>
      <c r="K34" s="110">
        <v>7227.5999999999995</v>
      </c>
      <c r="L34" s="110">
        <v>21</v>
      </c>
      <c r="M34" s="110">
        <v>7988.4</v>
      </c>
      <c r="N34" s="110">
        <v>21</v>
      </c>
      <c r="O34" s="110">
        <v>7988.4</v>
      </c>
      <c r="P34" s="110">
        <v>29</v>
      </c>
      <c r="Q34" s="110">
        <v>11031.599999999999</v>
      </c>
      <c r="R34" s="110">
        <v>27</v>
      </c>
      <c r="S34" s="110">
        <v>10270.799999999999</v>
      </c>
      <c r="T34" s="110">
        <v>4</v>
      </c>
      <c r="U34" s="110">
        <v>1521.6</v>
      </c>
      <c r="V34" s="110">
        <v>4</v>
      </c>
      <c r="W34" s="110">
        <v>1521.6</v>
      </c>
      <c r="X34" s="110">
        <v>4</v>
      </c>
      <c r="Y34" s="110">
        <v>1521.6</v>
      </c>
      <c r="Z34" s="110">
        <v>4</v>
      </c>
      <c r="AA34" s="110">
        <v>1521.6</v>
      </c>
      <c r="AB34" s="110">
        <v>27</v>
      </c>
      <c r="AC34" s="110">
        <v>10270.799999999999</v>
      </c>
      <c r="AD34" s="110">
        <v>27</v>
      </c>
      <c r="AE34" s="110">
        <v>10270.799999999999</v>
      </c>
      <c r="AF34" s="110">
        <v>26</v>
      </c>
      <c r="AG34" s="110">
        <v>9890.4</v>
      </c>
      <c r="AH34" s="110">
        <v>26</v>
      </c>
      <c r="AI34" s="110">
        <v>9890.4</v>
      </c>
      <c r="AJ34" s="110">
        <v>28</v>
      </c>
      <c r="AK34" s="110">
        <v>10651.199999999999</v>
      </c>
      <c r="AL34" s="110">
        <v>37</v>
      </c>
      <c r="AM34" s="110">
        <v>14074.8</v>
      </c>
      <c r="AN34" s="110">
        <v>27</v>
      </c>
      <c r="AO34" s="110">
        <v>10270.799999999999</v>
      </c>
      <c r="AP34" s="110">
        <v>32</v>
      </c>
      <c r="AQ34" s="110">
        <v>12172.8</v>
      </c>
      <c r="AR34" s="110">
        <v>44</v>
      </c>
      <c r="AS34" s="110">
        <v>16737.599999999999</v>
      </c>
      <c r="AT34" s="110">
        <v>31</v>
      </c>
      <c r="AU34" s="110">
        <v>11792.4</v>
      </c>
      <c r="AV34" s="110">
        <v>36</v>
      </c>
      <c r="AW34" s="110">
        <v>13694.4</v>
      </c>
      <c r="AX34" s="110">
        <v>30</v>
      </c>
      <c r="AY34" s="110">
        <v>11412</v>
      </c>
      <c r="AZ34" s="110">
        <v>21</v>
      </c>
      <c r="BA34" s="110">
        <v>7988.4</v>
      </c>
      <c r="BB34" s="110">
        <v>17</v>
      </c>
      <c r="BC34" s="110">
        <v>6466.7999999999993</v>
      </c>
      <c r="BD34" s="110">
        <v>22</v>
      </c>
      <c r="BE34" s="110">
        <v>8368.7999999999993</v>
      </c>
      <c r="BF34" s="110">
        <v>21</v>
      </c>
      <c r="BG34" s="110">
        <v>7988.4</v>
      </c>
      <c r="BH34" s="110">
        <v>23</v>
      </c>
      <c r="BI34" s="110">
        <v>8749.1999999999989</v>
      </c>
      <c r="BJ34" s="110">
        <v>35</v>
      </c>
      <c r="BK34" s="110">
        <v>13314</v>
      </c>
      <c r="BL34" s="110">
        <v>32</v>
      </c>
      <c r="BM34" s="110">
        <v>12172.8</v>
      </c>
      <c r="BN34" s="110">
        <v>20</v>
      </c>
      <c r="BO34" s="110">
        <v>7608</v>
      </c>
      <c r="BP34" s="110">
        <v>41</v>
      </c>
      <c r="BQ34" s="110">
        <v>15596.4</v>
      </c>
      <c r="BR34" s="110">
        <v>23</v>
      </c>
      <c r="BS34" s="110">
        <v>8749.1999999999989</v>
      </c>
      <c r="BT34" s="110">
        <v>28</v>
      </c>
      <c r="BU34" s="110">
        <v>10651.199999999999</v>
      </c>
      <c r="BV34" s="110">
        <v>27</v>
      </c>
      <c r="BW34" s="110">
        <v>10270.799999999999</v>
      </c>
      <c r="BX34" s="110">
        <v>2</v>
      </c>
      <c r="BY34" s="110">
        <v>760.8</v>
      </c>
      <c r="BZ34" s="110">
        <v>2</v>
      </c>
      <c r="CA34" s="110">
        <v>760.8</v>
      </c>
      <c r="CB34" s="110">
        <v>3</v>
      </c>
      <c r="CC34" s="110">
        <v>1141.1999999999998</v>
      </c>
      <c r="CD34" s="110">
        <v>3</v>
      </c>
      <c r="CE34" s="110">
        <v>1141.1999999999998</v>
      </c>
      <c r="CF34" s="110">
        <v>3</v>
      </c>
      <c r="CG34" s="110">
        <v>1141.1999999999998</v>
      </c>
      <c r="CH34" s="110">
        <v>3</v>
      </c>
      <c r="CI34" s="110">
        <v>1141.1999999999998</v>
      </c>
      <c r="CJ34" s="110">
        <v>3</v>
      </c>
      <c r="CK34" s="110">
        <v>1141.1999999999998</v>
      </c>
      <c r="CL34" s="110">
        <v>2</v>
      </c>
      <c r="CM34" s="110">
        <v>760.8</v>
      </c>
      <c r="CN34" s="110">
        <v>24</v>
      </c>
      <c r="CO34" s="110">
        <v>9129.5999999999985</v>
      </c>
      <c r="CP34" s="110">
        <v>24</v>
      </c>
      <c r="CQ34" s="110">
        <v>9129.5999999999985</v>
      </c>
      <c r="CR34" s="110">
        <v>34</v>
      </c>
      <c r="CS34" s="110">
        <v>12933.599999999999</v>
      </c>
      <c r="CT34" s="110">
        <v>30</v>
      </c>
      <c r="CU34" s="110">
        <v>11412</v>
      </c>
    </row>
    <row r="35" spans="2:99" x14ac:dyDescent="0.2">
      <c r="C35" s="109" t="s">
        <v>203</v>
      </c>
      <c r="D35" s="110">
        <v>13</v>
      </c>
      <c r="E35" s="110">
        <v>5335.2</v>
      </c>
      <c r="F35" s="110">
        <v>18</v>
      </c>
      <c r="G35" s="110">
        <v>7387.2</v>
      </c>
      <c r="H35" s="110">
        <v>19</v>
      </c>
      <c r="I35" s="110">
        <v>7797.5999999999995</v>
      </c>
      <c r="J35" s="110">
        <v>17</v>
      </c>
      <c r="K35" s="110">
        <v>6976.7999999999993</v>
      </c>
      <c r="L35" s="110">
        <v>24</v>
      </c>
      <c r="M35" s="110">
        <v>9849.5999999999985</v>
      </c>
      <c r="N35" s="110">
        <v>20</v>
      </c>
      <c r="O35" s="110">
        <v>8208</v>
      </c>
      <c r="P35" s="110">
        <v>29</v>
      </c>
      <c r="Q35" s="110">
        <v>11901.599999999999</v>
      </c>
      <c r="R35" s="110">
        <v>26</v>
      </c>
      <c r="S35" s="110">
        <v>10670.4</v>
      </c>
      <c r="T35" s="110">
        <v>4</v>
      </c>
      <c r="U35" s="110">
        <v>1641.6</v>
      </c>
      <c r="V35" s="110">
        <v>4</v>
      </c>
      <c r="W35" s="110">
        <v>1641.6</v>
      </c>
      <c r="X35" s="110">
        <v>4</v>
      </c>
      <c r="Y35" s="110">
        <v>1641.6</v>
      </c>
      <c r="Z35" s="110">
        <v>4</v>
      </c>
      <c r="AA35" s="110">
        <v>1641.6</v>
      </c>
      <c r="AB35" s="110">
        <v>29</v>
      </c>
      <c r="AC35" s="110">
        <v>11901.599999999999</v>
      </c>
      <c r="AD35" s="110">
        <v>26</v>
      </c>
      <c r="AE35" s="110">
        <v>10670.4</v>
      </c>
      <c r="AF35" s="110">
        <v>28</v>
      </c>
      <c r="AG35" s="110">
        <v>11491.199999999999</v>
      </c>
      <c r="AH35" s="110">
        <v>27</v>
      </c>
      <c r="AI35" s="110">
        <v>11080.8</v>
      </c>
      <c r="AJ35" s="110">
        <v>31</v>
      </c>
      <c r="AK35" s="110">
        <v>12722.4</v>
      </c>
      <c r="AL35" s="110">
        <v>42</v>
      </c>
      <c r="AM35" s="110">
        <v>17236.8</v>
      </c>
      <c r="AN35" s="110">
        <v>23</v>
      </c>
      <c r="AO35" s="110">
        <v>9439.1999999999989</v>
      </c>
      <c r="AP35" s="110">
        <v>32</v>
      </c>
      <c r="AQ35" s="110">
        <v>13132.8</v>
      </c>
      <c r="AR35" s="110">
        <v>38</v>
      </c>
      <c r="AS35" s="110">
        <v>15595.199999999999</v>
      </c>
      <c r="AT35" s="110">
        <v>30</v>
      </c>
      <c r="AU35" s="110">
        <v>12312</v>
      </c>
      <c r="AV35" s="110">
        <v>38</v>
      </c>
      <c r="AW35" s="110">
        <v>15595.199999999999</v>
      </c>
      <c r="AX35" s="110">
        <v>30</v>
      </c>
      <c r="AY35" s="110">
        <v>12312</v>
      </c>
      <c r="AZ35" s="110">
        <v>21</v>
      </c>
      <c r="BA35" s="110">
        <v>8618.4</v>
      </c>
      <c r="BB35" s="110">
        <v>17</v>
      </c>
      <c r="BC35" s="110">
        <v>6976.7999999999993</v>
      </c>
      <c r="BD35" s="110">
        <v>21</v>
      </c>
      <c r="BE35" s="110">
        <v>8618.4</v>
      </c>
      <c r="BF35" s="110">
        <v>21</v>
      </c>
      <c r="BG35" s="110">
        <v>8618.4</v>
      </c>
      <c r="BH35" s="110">
        <v>19</v>
      </c>
      <c r="BI35" s="110">
        <v>7797.5999999999995</v>
      </c>
      <c r="BJ35" s="110">
        <v>31</v>
      </c>
      <c r="BK35" s="110">
        <v>12722.4</v>
      </c>
      <c r="BL35" s="110">
        <v>33</v>
      </c>
      <c r="BM35" s="110">
        <v>13543.199999999999</v>
      </c>
      <c r="BN35" s="110">
        <v>22</v>
      </c>
      <c r="BO35" s="110">
        <v>9028.7999999999993</v>
      </c>
      <c r="BP35" s="110">
        <v>40</v>
      </c>
      <c r="BQ35" s="110">
        <v>16416</v>
      </c>
      <c r="BR35" s="110">
        <v>21</v>
      </c>
      <c r="BS35" s="110">
        <v>8618.4</v>
      </c>
      <c r="BT35" s="110">
        <v>28</v>
      </c>
      <c r="BU35" s="110">
        <v>11491.199999999999</v>
      </c>
      <c r="BV35" s="110">
        <v>28</v>
      </c>
      <c r="BW35" s="110">
        <v>11491.199999999999</v>
      </c>
      <c r="BX35" s="110">
        <v>2</v>
      </c>
      <c r="BY35" s="110">
        <v>820.8</v>
      </c>
      <c r="BZ35" s="110">
        <v>3</v>
      </c>
      <c r="CA35" s="110">
        <v>1231.1999999999998</v>
      </c>
      <c r="CB35" s="110">
        <v>3</v>
      </c>
      <c r="CC35" s="110">
        <v>1231.1999999999998</v>
      </c>
      <c r="CD35" s="110">
        <v>3</v>
      </c>
      <c r="CE35" s="110">
        <v>1231.1999999999998</v>
      </c>
      <c r="CF35" s="110">
        <v>3</v>
      </c>
      <c r="CG35" s="110">
        <v>1231.1999999999998</v>
      </c>
      <c r="CH35" s="110">
        <v>3</v>
      </c>
      <c r="CI35" s="110">
        <v>1231.1999999999998</v>
      </c>
      <c r="CJ35" s="110">
        <v>3</v>
      </c>
      <c r="CK35" s="110">
        <v>1231.1999999999998</v>
      </c>
      <c r="CL35" s="110">
        <v>2</v>
      </c>
      <c r="CM35" s="110">
        <v>820.8</v>
      </c>
      <c r="CN35" s="110">
        <v>24</v>
      </c>
      <c r="CO35" s="110">
        <v>9849.5999999999985</v>
      </c>
      <c r="CP35" s="110">
        <v>24</v>
      </c>
      <c r="CQ35" s="110">
        <v>9849.5999999999985</v>
      </c>
      <c r="CR35" s="110">
        <v>29</v>
      </c>
      <c r="CS35" s="110">
        <v>11901.599999999999</v>
      </c>
      <c r="CT35" s="110">
        <v>34</v>
      </c>
      <c r="CU35" s="110">
        <v>13953.599999999999</v>
      </c>
    </row>
    <row r="36" spans="2:99" x14ac:dyDescent="0.2">
      <c r="C36" s="109" t="s">
        <v>204</v>
      </c>
      <c r="D36" s="110">
        <v>12</v>
      </c>
      <c r="E36" s="110">
        <v>6724.7999999999993</v>
      </c>
      <c r="F36" s="110">
        <v>16</v>
      </c>
      <c r="G36" s="110">
        <v>8966.4</v>
      </c>
      <c r="H36" s="110">
        <v>16</v>
      </c>
      <c r="I36" s="110">
        <v>8966.4</v>
      </c>
      <c r="J36" s="110">
        <v>17</v>
      </c>
      <c r="K36" s="110">
        <v>9526.7999999999993</v>
      </c>
      <c r="L36" s="110">
        <v>21</v>
      </c>
      <c r="M36" s="110">
        <v>11768.4</v>
      </c>
      <c r="N36" s="110">
        <v>20</v>
      </c>
      <c r="O36" s="110">
        <v>11208</v>
      </c>
      <c r="P36" s="110">
        <v>26</v>
      </c>
      <c r="Q36" s="110">
        <v>14570.4</v>
      </c>
      <c r="R36" s="110">
        <v>25</v>
      </c>
      <c r="S36" s="110">
        <v>14010</v>
      </c>
      <c r="T36" s="110">
        <v>4</v>
      </c>
      <c r="U36" s="110">
        <v>2241.6</v>
      </c>
      <c r="V36" s="110">
        <v>4</v>
      </c>
      <c r="W36" s="110">
        <v>2241.6</v>
      </c>
      <c r="X36" s="110">
        <v>4</v>
      </c>
      <c r="Y36" s="110">
        <v>2241.6</v>
      </c>
      <c r="Z36" s="110">
        <v>4</v>
      </c>
      <c r="AA36" s="110">
        <v>2241.6</v>
      </c>
      <c r="AB36" s="110">
        <v>27</v>
      </c>
      <c r="AC36" s="110">
        <v>15130.8</v>
      </c>
      <c r="AD36" s="110">
        <v>27</v>
      </c>
      <c r="AE36" s="110">
        <v>15130.8</v>
      </c>
      <c r="AF36" s="110">
        <v>27</v>
      </c>
      <c r="AG36" s="110">
        <v>15130.8</v>
      </c>
      <c r="AH36" s="110">
        <v>25</v>
      </c>
      <c r="AI36" s="110">
        <v>14010</v>
      </c>
      <c r="AJ36" s="110">
        <v>33</v>
      </c>
      <c r="AK36" s="110">
        <v>18493.2</v>
      </c>
      <c r="AL36" s="110">
        <v>40</v>
      </c>
      <c r="AM36" s="110">
        <v>22416</v>
      </c>
      <c r="AN36" s="110">
        <v>24</v>
      </c>
      <c r="AO36" s="110">
        <v>13449.599999999999</v>
      </c>
      <c r="AP36" s="110">
        <v>32</v>
      </c>
      <c r="AQ36" s="110">
        <v>17932.8</v>
      </c>
      <c r="AR36" s="110">
        <v>42</v>
      </c>
      <c r="AS36" s="110">
        <v>23536.799999999999</v>
      </c>
      <c r="AT36" s="110">
        <v>29</v>
      </c>
      <c r="AU36" s="110">
        <v>16251.599999999999</v>
      </c>
      <c r="AV36" s="110">
        <v>37</v>
      </c>
      <c r="AW36" s="110">
        <v>20734.8</v>
      </c>
      <c r="AX36" s="110">
        <v>28</v>
      </c>
      <c r="AY36" s="110">
        <v>15691.199999999999</v>
      </c>
      <c r="AZ36" s="110">
        <v>20</v>
      </c>
      <c r="BA36" s="110">
        <v>11208</v>
      </c>
      <c r="BB36" s="110">
        <v>15</v>
      </c>
      <c r="BC36" s="110">
        <v>8406</v>
      </c>
      <c r="BD36" s="110">
        <v>24</v>
      </c>
      <c r="BE36" s="110">
        <v>13449.599999999999</v>
      </c>
      <c r="BF36" s="110">
        <v>21</v>
      </c>
      <c r="BG36" s="110">
        <v>11768.4</v>
      </c>
      <c r="BH36" s="110">
        <v>21</v>
      </c>
      <c r="BI36" s="110">
        <v>11768.4</v>
      </c>
      <c r="BJ36" s="110">
        <v>31</v>
      </c>
      <c r="BK36" s="110">
        <v>17372.399999999998</v>
      </c>
      <c r="BL36" s="110">
        <v>34</v>
      </c>
      <c r="BM36" s="110">
        <v>19053.599999999999</v>
      </c>
      <c r="BN36" s="110">
        <v>19</v>
      </c>
      <c r="BO36" s="110">
        <v>10647.6</v>
      </c>
      <c r="BP36" s="110">
        <v>37</v>
      </c>
      <c r="BQ36" s="110">
        <v>20734.8</v>
      </c>
      <c r="BR36" s="110">
        <v>21</v>
      </c>
      <c r="BS36" s="110">
        <v>11768.4</v>
      </c>
      <c r="BT36" s="110">
        <v>23</v>
      </c>
      <c r="BU36" s="110">
        <v>12889.199999999999</v>
      </c>
      <c r="BV36" s="110">
        <v>30</v>
      </c>
      <c r="BW36" s="110">
        <v>16812</v>
      </c>
      <c r="BX36" s="110">
        <v>2</v>
      </c>
      <c r="BY36" s="110">
        <v>1120.8</v>
      </c>
      <c r="BZ36" s="110">
        <v>2</v>
      </c>
      <c r="CA36" s="110">
        <v>1120.8</v>
      </c>
      <c r="CB36" s="110">
        <v>3</v>
      </c>
      <c r="CC36" s="110">
        <v>1681.1999999999998</v>
      </c>
      <c r="CD36" s="110">
        <v>3</v>
      </c>
      <c r="CE36" s="110">
        <v>1681.1999999999998</v>
      </c>
      <c r="CF36" s="110">
        <v>3</v>
      </c>
      <c r="CG36" s="110">
        <v>1681.1999999999998</v>
      </c>
      <c r="CH36" s="110">
        <v>3</v>
      </c>
      <c r="CI36" s="110">
        <v>1681.1999999999998</v>
      </c>
      <c r="CJ36" s="110">
        <v>3</v>
      </c>
      <c r="CK36" s="110">
        <v>1681.1999999999998</v>
      </c>
      <c r="CL36" s="110">
        <v>2</v>
      </c>
      <c r="CM36" s="110">
        <v>1120.8</v>
      </c>
      <c r="CN36" s="110">
        <v>21</v>
      </c>
      <c r="CO36" s="110">
        <v>11768.4</v>
      </c>
      <c r="CP36" s="110">
        <v>23</v>
      </c>
      <c r="CQ36" s="110">
        <v>12889.199999999999</v>
      </c>
      <c r="CR36" s="110">
        <v>28</v>
      </c>
      <c r="CS36" s="110">
        <v>15691.199999999999</v>
      </c>
      <c r="CT36" s="110">
        <v>33</v>
      </c>
      <c r="CU36" s="110">
        <v>18493.2</v>
      </c>
    </row>
    <row r="37" spans="2:99" x14ac:dyDescent="0.2">
      <c r="B37" s="109" t="s">
        <v>128</v>
      </c>
      <c r="C37" s="109" t="s">
        <v>205</v>
      </c>
      <c r="D37" s="110">
        <v>17</v>
      </c>
      <c r="E37" s="110">
        <v>11077.2</v>
      </c>
      <c r="F37" s="110">
        <v>10</v>
      </c>
      <c r="G37" s="110">
        <v>6516</v>
      </c>
      <c r="H37" s="110">
        <v>12</v>
      </c>
      <c r="I37" s="110">
        <v>7819.2000000000007</v>
      </c>
      <c r="J37" s="110">
        <v>10</v>
      </c>
      <c r="K37" s="110">
        <v>6516</v>
      </c>
      <c r="L37" s="110">
        <v>15</v>
      </c>
      <c r="M37" s="110">
        <v>9774</v>
      </c>
      <c r="N37" s="110">
        <v>8</v>
      </c>
      <c r="O37" s="110">
        <v>5212.8</v>
      </c>
      <c r="P37" s="110">
        <v>13</v>
      </c>
      <c r="Q37" s="110">
        <v>8470.8000000000011</v>
      </c>
      <c r="R37" s="110">
        <v>14</v>
      </c>
      <c r="S37" s="110">
        <v>9122.4</v>
      </c>
      <c r="T37" s="110">
        <v>11</v>
      </c>
      <c r="U37" s="110">
        <v>7167.6</v>
      </c>
      <c r="V37" s="110">
        <v>12</v>
      </c>
      <c r="W37" s="110">
        <v>7819.2000000000007</v>
      </c>
      <c r="X37" s="110">
        <v>11</v>
      </c>
      <c r="Y37" s="110">
        <v>7167.6</v>
      </c>
      <c r="Z37" s="110">
        <v>14</v>
      </c>
      <c r="AA37" s="110">
        <v>9122.4</v>
      </c>
      <c r="AB37" s="110">
        <v>26</v>
      </c>
      <c r="AC37" s="110">
        <v>16941.600000000002</v>
      </c>
      <c r="AD37" s="110">
        <v>40</v>
      </c>
      <c r="AE37" s="110">
        <v>26064</v>
      </c>
      <c r="AF37" s="110">
        <v>29</v>
      </c>
      <c r="AG37" s="110">
        <v>18896.400000000001</v>
      </c>
      <c r="AH37" s="110">
        <v>28</v>
      </c>
      <c r="AI37" s="110">
        <v>18244.8</v>
      </c>
      <c r="AJ37" s="110">
        <v>24</v>
      </c>
      <c r="AK37" s="110">
        <v>15638.400000000001</v>
      </c>
      <c r="AL37" s="110">
        <v>21</v>
      </c>
      <c r="AM37" s="110">
        <v>13683.6</v>
      </c>
      <c r="AN37" s="110">
        <v>17</v>
      </c>
      <c r="AO37" s="110">
        <v>11077.2</v>
      </c>
      <c r="AP37" s="110">
        <v>17</v>
      </c>
      <c r="AQ37" s="110">
        <v>11077.2</v>
      </c>
      <c r="AR37" s="110">
        <v>49</v>
      </c>
      <c r="AS37" s="110">
        <v>31928.400000000001</v>
      </c>
      <c r="AT37" s="110">
        <v>39</v>
      </c>
      <c r="AU37" s="110">
        <v>25412.400000000001</v>
      </c>
      <c r="AV37" s="110">
        <v>54</v>
      </c>
      <c r="AW37" s="110">
        <v>35186.400000000001</v>
      </c>
      <c r="AX37" s="110">
        <v>30</v>
      </c>
      <c r="AY37" s="110">
        <v>19548</v>
      </c>
      <c r="AZ37" s="110">
        <v>25</v>
      </c>
      <c r="BA37" s="110">
        <v>16290</v>
      </c>
      <c r="BB37" s="110">
        <v>28</v>
      </c>
      <c r="BC37" s="110">
        <v>18244.8</v>
      </c>
      <c r="BD37" s="110">
        <v>20</v>
      </c>
      <c r="BE37" s="110">
        <v>13032</v>
      </c>
      <c r="BF37" s="110">
        <v>24</v>
      </c>
      <c r="BG37" s="110">
        <v>15638.400000000001</v>
      </c>
      <c r="BH37" s="110">
        <v>31</v>
      </c>
      <c r="BI37" s="110">
        <v>20199.600000000002</v>
      </c>
      <c r="BJ37" s="110">
        <v>34</v>
      </c>
      <c r="BK37" s="110">
        <v>22154.400000000001</v>
      </c>
      <c r="BL37" s="110">
        <v>43</v>
      </c>
      <c r="BM37" s="110">
        <v>28018.799999999999</v>
      </c>
      <c r="BN37" s="110">
        <v>33</v>
      </c>
      <c r="BO37" s="110">
        <v>21502.799999999999</v>
      </c>
      <c r="BP37" s="110">
        <v>21</v>
      </c>
      <c r="BQ37" s="110">
        <v>13683.6</v>
      </c>
      <c r="BR37" s="110">
        <v>23</v>
      </c>
      <c r="BS37" s="110">
        <v>14986.800000000001</v>
      </c>
      <c r="BT37" s="110">
        <v>34</v>
      </c>
      <c r="BU37" s="110">
        <v>22154.400000000001</v>
      </c>
      <c r="BV37" s="110">
        <v>19</v>
      </c>
      <c r="BW37" s="110">
        <v>12380.4</v>
      </c>
      <c r="BX37" s="110">
        <v>11</v>
      </c>
      <c r="BY37" s="110">
        <v>7167.6</v>
      </c>
      <c r="BZ37" s="110">
        <v>10</v>
      </c>
      <c r="CA37" s="110">
        <v>6516</v>
      </c>
      <c r="CB37" s="110">
        <v>14</v>
      </c>
      <c r="CC37" s="110">
        <v>9122.4</v>
      </c>
      <c r="CD37" s="110">
        <v>16</v>
      </c>
      <c r="CE37" s="110">
        <v>10425.6</v>
      </c>
      <c r="CF37" s="110">
        <v>3</v>
      </c>
      <c r="CG37" s="110">
        <v>1954.8000000000002</v>
      </c>
      <c r="CH37" s="110">
        <v>3</v>
      </c>
      <c r="CI37" s="110">
        <v>1954.8000000000002</v>
      </c>
      <c r="CJ37" s="110">
        <v>3</v>
      </c>
      <c r="CK37" s="110">
        <v>1954.8000000000002</v>
      </c>
      <c r="CL37" s="110">
        <v>2</v>
      </c>
      <c r="CM37" s="110">
        <v>1303.2</v>
      </c>
      <c r="CN37" s="110">
        <v>3</v>
      </c>
      <c r="CO37" s="110">
        <v>1954.8000000000002</v>
      </c>
      <c r="CP37" s="110">
        <v>3</v>
      </c>
      <c r="CQ37" s="110">
        <v>1954.8000000000002</v>
      </c>
      <c r="CR37" s="110">
        <v>3</v>
      </c>
      <c r="CS37" s="110">
        <v>1954.8000000000002</v>
      </c>
      <c r="CT37" s="110">
        <v>4</v>
      </c>
      <c r="CU37" s="110">
        <v>2606.4</v>
      </c>
    </row>
    <row r="38" spans="2:99" x14ac:dyDescent="0.2">
      <c r="C38" s="109" t="s">
        <v>206</v>
      </c>
      <c r="D38" s="110">
        <v>16</v>
      </c>
      <c r="E38" s="110">
        <v>16512</v>
      </c>
      <c r="F38" s="110">
        <v>9</v>
      </c>
      <c r="G38" s="110">
        <v>9288</v>
      </c>
      <c r="H38" s="110">
        <v>13</v>
      </c>
      <c r="I38" s="110">
        <v>13416</v>
      </c>
      <c r="J38" s="110">
        <v>8</v>
      </c>
      <c r="K38" s="110">
        <v>8256</v>
      </c>
      <c r="L38" s="110">
        <v>13</v>
      </c>
      <c r="M38" s="110">
        <v>13416</v>
      </c>
      <c r="N38" s="110">
        <v>7</v>
      </c>
      <c r="O38" s="110">
        <v>7224</v>
      </c>
      <c r="P38" s="110">
        <v>12</v>
      </c>
      <c r="Q38" s="110">
        <v>12384</v>
      </c>
      <c r="R38" s="110">
        <v>14</v>
      </c>
      <c r="S38" s="110">
        <v>14448</v>
      </c>
      <c r="T38" s="110">
        <v>13</v>
      </c>
      <c r="U38" s="110">
        <v>13416</v>
      </c>
      <c r="V38" s="110">
        <v>12</v>
      </c>
      <c r="W38" s="110">
        <v>12384</v>
      </c>
      <c r="X38" s="110">
        <v>11</v>
      </c>
      <c r="Y38" s="110">
        <v>11352</v>
      </c>
      <c r="Z38" s="110">
        <v>13</v>
      </c>
      <c r="AA38" s="110">
        <v>13416</v>
      </c>
      <c r="AB38" s="110">
        <v>28</v>
      </c>
      <c r="AC38" s="110">
        <v>28896</v>
      </c>
      <c r="AD38" s="110">
        <v>42</v>
      </c>
      <c r="AE38" s="110">
        <v>43344</v>
      </c>
      <c r="AF38" s="110">
        <v>30</v>
      </c>
      <c r="AG38" s="110">
        <v>30960</v>
      </c>
      <c r="AH38" s="110">
        <v>24</v>
      </c>
      <c r="AI38" s="110">
        <v>24768</v>
      </c>
      <c r="AJ38" s="110">
        <v>27</v>
      </c>
      <c r="AK38" s="110">
        <v>27864</v>
      </c>
      <c r="AL38" s="110">
        <v>22</v>
      </c>
      <c r="AM38" s="110">
        <v>22704</v>
      </c>
      <c r="AN38" s="110">
        <v>15</v>
      </c>
      <c r="AO38" s="110">
        <v>15480</v>
      </c>
      <c r="AP38" s="110">
        <v>14</v>
      </c>
      <c r="AQ38" s="110">
        <v>14448</v>
      </c>
      <c r="AR38" s="110">
        <v>43</v>
      </c>
      <c r="AS38" s="110">
        <v>44376</v>
      </c>
      <c r="AT38" s="110">
        <v>37</v>
      </c>
      <c r="AU38" s="110">
        <v>38184</v>
      </c>
      <c r="AV38" s="110">
        <v>47</v>
      </c>
      <c r="AW38" s="110">
        <v>48504</v>
      </c>
      <c r="AX38" s="110">
        <v>29</v>
      </c>
      <c r="AY38" s="110">
        <v>29928</v>
      </c>
      <c r="AZ38" s="110">
        <v>22</v>
      </c>
      <c r="BA38" s="110">
        <v>22704</v>
      </c>
      <c r="BB38" s="110">
        <v>31</v>
      </c>
      <c r="BC38" s="110">
        <v>31992</v>
      </c>
      <c r="BD38" s="110">
        <v>19</v>
      </c>
      <c r="BE38" s="110">
        <v>19608</v>
      </c>
      <c r="BF38" s="110">
        <v>24</v>
      </c>
      <c r="BG38" s="110">
        <v>24768</v>
      </c>
      <c r="BH38" s="110">
        <v>30</v>
      </c>
      <c r="BI38" s="110">
        <v>30960</v>
      </c>
      <c r="BJ38" s="110">
        <v>30</v>
      </c>
      <c r="BK38" s="110">
        <v>30960</v>
      </c>
      <c r="BL38" s="110">
        <v>37</v>
      </c>
      <c r="BM38" s="110">
        <v>38184</v>
      </c>
      <c r="BN38" s="110">
        <v>32</v>
      </c>
      <c r="BO38" s="110">
        <v>33024</v>
      </c>
      <c r="BP38" s="110">
        <v>21</v>
      </c>
      <c r="BQ38" s="110">
        <v>21672</v>
      </c>
      <c r="BR38" s="110">
        <v>23</v>
      </c>
      <c r="BS38" s="110">
        <v>23736</v>
      </c>
      <c r="BT38" s="110">
        <v>33</v>
      </c>
      <c r="BU38" s="110">
        <v>34056</v>
      </c>
      <c r="BV38" s="110">
        <v>18</v>
      </c>
      <c r="BW38" s="110">
        <v>18576</v>
      </c>
      <c r="BX38" s="110">
        <v>10</v>
      </c>
      <c r="BY38" s="110">
        <v>10320</v>
      </c>
      <c r="BZ38" s="110">
        <v>8</v>
      </c>
      <c r="CA38" s="110">
        <v>8256</v>
      </c>
      <c r="CB38" s="110">
        <v>14</v>
      </c>
      <c r="CC38" s="110">
        <v>14448</v>
      </c>
      <c r="CD38" s="110">
        <v>14</v>
      </c>
      <c r="CE38" s="110">
        <v>14448</v>
      </c>
      <c r="CF38" s="110">
        <v>3</v>
      </c>
      <c r="CG38" s="110">
        <v>3096</v>
      </c>
      <c r="CH38" s="110">
        <v>4</v>
      </c>
      <c r="CI38" s="110">
        <v>4128</v>
      </c>
      <c r="CJ38" s="110">
        <v>3</v>
      </c>
      <c r="CK38" s="110">
        <v>3096</v>
      </c>
      <c r="CL38" s="110">
        <v>2</v>
      </c>
      <c r="CM38" s="110">
        <v>2064</v>
      </c>
      <c r="CN38" s="110">
        <v>2</v>
      </c>
      <c r="CO38" s="110">
        <v>2064</v>
      </c>
      <c r="CP38" s="110">
        <v>3</v>
      </c>
      <c r="CQ38" s="110">
        <v>3096</v>
      </c>
      <c r="CR38" s="110">
        <v>3</v>
      </c>
      <c r="CS38" s="110">
        <v>3096</v>
      </c>
      <c r="CT38" s="110">
        <v>4</v>
      </c>
      <c r="CU38" s="110">
        <v>4128</v>
      </c>
    </row>
    <row r="39" spans="2:99" x14ac:dyDescent="0.2">
      <c r="C39" s="109" t="s">
        <v>207</v>
      </c>
      <c r="D39" s="110">
        <v>16</v>
      </c>
      <c r="E39" s="110">
        <v>19392</v>
      </c>
      <c r="F39" s="110">
        <v>8</v>
      </c>
      <c r="G39" s="110">
        <v>9696</v>
      </c>
      <c r="H39" s="110">
        <v>13</v>
      </c>
      <c r="I39" s="110">
        <v>15756</v>
      </c>
      <c r="J39" s="110">
        <v>8</v>
      </c>
      <c r="K39" s="110">
        <v>9696</v>
      </c>
      <c r="L39" s="110">
        <v>13</v>
      </c>
      <c r="M39" s="110">
        <v>15756</v>
      </c>
      <c r="N39" s="110">
        <v>7</v>
      </c>
      <c r="O39" s="110">
        <v>8484</v>
      </c>
      <c r="P39" s="110">
        <v>12</v>
      </c>
      <c r="Q39" s="110">
        <v>14544</v>
      </c>
      <c r="R39" s="110">
        <v>14</v>
      </c>
      <c r="S39" s="110">
        <v>16968</v>
      </c>
      <c r="T39" s="110">
        <v>12</v>
      </c>
      <c r="U39" s="110">
        <v>14544</v>
      </c>
      <c r="V39" s="110">
        <v>10</v>
      </c>
      <c r="W39" s="110">
        <v>12120</v>
      </c>
      <c r="X39" s="110">
        <v>11</v>
      </c>
      <c r="Y39" s="110">
        <v>13332</v>
      </c>
      <c r="Z39" s="110">
        <v>13</v>
      </c>
      <c r="AA39" s="110">
        <v>15756</v>
      </c>
      <c r="AB39" s="110">
        <v>24</v>
      </c>
      <c r="AC39" s="110">
        <v>29088</v>
      </c>
      <c r="AD39" s="110">
        <v>37</v>
      </c>
      <c r="AE39" s="110">
        <v>44844</v>
      </c>
      <c r="AF39" s="110">
        <v>29</v>
      </c>
      <c r="AG39" s="110">
        <v>35148</v>
      </c>
      <c r="AH39" s="110">
        <v>26</v>
      </c>
      <c r="AI39" s="110">
        <v>31512</v>
      </c>
      <c r="AJ39" s="110">
        <v>24</v>
      </c>
      <c r="AK39" s="110">
        <v>29088</v>
      </c>
      <c r="AL39" s="110">
        <v>20</v>
      </c>
      <c r="AM39" s="110">
        <v>24240</v>
      </c>
      <c r="AN39" s="110">
        <v>16</v>
      </c>
      <c r="AO39" s="110">
        <v>19392</v>
      </c>
      <c r="AP39" s="110">
        <v>14</v>
      </c>
      <c r="AQ39" s="110">
        <v>16968</v>
      </c>
      <c r="AR39" s="110">
        <v>43</v>
      </c>
      <c r="AS39" s="110">
        <v>52116</v>
      </c>
      <c r="AT39" s="110">
        <v>41</v>
      </c>
      <c r="AU39" s="110">
        <v>49692</v>
      </c>
      <c r="AV39" s="110">
        <v>43</v>
      </c>
      <c r="AW39" s="110">
        <v>52116</v>
      </c>
      <c r="AX39" s="110">
        <v>32</v>
      </c>
      <c r="AY39" s="110">
        <v>38784</v>
      </c>
      <c r="AZ39" s="110">
        <v>24</v>
      </c>
      <c r="BA39" s="110">
        <v>29088</v>
      </c>
      <c r="BB39" s="110">
        <v>28</v>
      </c>
      <c r="BC39" s="110">
        <v>33936</v>
      </c>
      <c r="BD39" s="110">
        <v>19</v>
      </c>
      <c r="BE39" s="110">
        <v>23028</v>
      </c>
      <c r="BF39" s="110">
        <v>23</v>
      </c>
      <c r="BG39" s="110">
        <v>27876</v>
      </c>
      <c r="BH39" s="110">
        <v>30</v>
      </c>
      <c r="BI39" s="110">
        <v>36360</v>
      </c>
      <c r="BJ39" s="110">
        <v>29</v>
      </c>
      <c r="BK39" s="110">
        <v>35148</v>
      </c>
      <c r="BL39" s="110">
        <v>40</v>
      </c>
      <c r="BM39" s="110">
        <v>48480</v>
      </c>
      <c r="BN39" s="110">
        <v>29</v>
      </c>
      <c r="BO39" s="110">
        <v>35148</v>
      </c>
      <c r="BP39" s="110">
        <v>22</v>
      </c>
      <c r="BQ39" s="110">
        <v>26664</v>
      </c>
      <c r="BR39" s="110">
        <v>19</v>
      </c>
      <c r="BS39" s="110">
        <v>23028</v>
      </c>
      <c r="BT39" s="110">
        <v>32</v>
      </c>
      <c r="BU39" s="110">
        <v>38784</v>
      </c>
      <c r="BV39" s="110">
        <v>18</v>
      </c>
      <c r="BW39" s="110">
        <v>21816</v>
      </c>
      <c r="BX39" s="110">
        <v>10</v>
      </c>
      <c r="BY39" s="110">
        <v>12120</v>
      </c>
      <c r="BZ39" s="110">
        <v>9</v>
      </c>
      <c r="CA39" s="110">
        <v>10908</v>
      </c>
      <c r="CB39" s="110">
        <v>13</v>
      </c>
      <c r="CC39" s="110">
        <v>15756</v>
      </c>
      <c r="CD39" s="110">
        <v>14</v>
      </c>
      <c r="CE39" s="110">
        <v>16968</v>
      </c>
      <c r="CF39" s="110">
        <v>3</v>
      </c>
      <c r="CG39" s="110">
        <v>3636</v>
      </c>
      <c r="CH39" s="110">
        <v>3</v>
      </c>
      <c r="CI39" s="110">
        <v>3636</v>
      </c>
      <c r="CJ39" s="110">
        <v>3</v>
      </c>
      <c r="CK39" s="110">
        <v>3636</v>
      </c>
      <c r="CL39" s="110">
        <v>2</v>
      </c>
      <c r="CM39" s="110">
        <v>2424</v>
      </c>
      <c r="CN39" s="110">
        <v>2</v>
      </c>
      <c r="CO39" s="110">
        <v>2424</v>
      </c>
      <c r="CP39" s="110">
        <v>3</v>
      </c>
      <c r="CQ39" s="110">
        <v>3636</v>
      </c>
      <c r="CR39" s="110">
        <v>3</v>
      </c>
      <c r="CS39" s="110">
        <v>3636</v>
      </c>
      <c r="CT39" s="110">
        <v>4</v>
      </c>
      <c r="CU39" s="110">
        <v>4848</v>
      </c>
    </row>
    <row r="40" spans="2:99" x14ac:dyDescent="0.2">
      <c r="C40" s="109" t="s">
        <v>208</v>
      </c>
      <c r="D40" s="110">
        <v>17</v>
      </c>
      <c r="E40" s="110">
        <v>8792.4</v>
      </c>
      <c r="F40" s="110">
        <v>10</v>
      </c>
      <c r="G40" s="110">
        <v>5171.9999999999991</v>
      </c>
      <c r="H40" s="110">
        <v>14</v>
      </c>
      <c r="I40" s="110">
        <v>7240.7999999999993</v>
      </c>
      <c r="J40" s="110">
        <v>8</v>
      </c>
      <c r="K40" s="110">
        <v>4137.5999999999995</v>
      </c>
      <c r="L40" s="110">
        <v>15</v>
      </c>
      <c r="M40" s="110">
        <v>7757.9999999999991</v>
      </c>
      <c r="N40" s="110">
        <v>7</v>
      </c>
      <c r="O40" s="110">
        <v>3620.3999999999996</v>
      </c>
      <c r="P40" s="110">
        <v>12</v>
      </c>
      <c r="Q40" s="110">
        <v>6206.4</v>
      </c>
      <c r="R40" s="110">
        <v>14</v>
      </c>
      <c r="S40" s="110">
        <v>7240.7999999999993</v>
      </c>
      <c r="T40" s="110">
        <v>13</v>
      </c>
      <c r="U40" s="110">
        <v>6723.5999999999995</v>
      </c>
      <c r="V40" s="110">
        <v>12</v>
      </c>
      <c r="W40" s="110">
        <v>6206.4</v>
      </c>
      <c r="X40" s="110">
        <v>13</v>
      </c>
      <c r="Y40" s="110">
        <v>6723.5999999999995</v>
      </c>
      <c r="Z40" s="110">
        <v>13</v>
      </c>
      <c r="AA40" s="110">
        <v>6723.5999999999995</v>
      </c>
      <c r="AB40" s="110">
        <v>28</v>
      </c>
      <c r="AC40" s="110">
        <v>14481.599999999999</v>
      </c>
      <c r="AD40" s="110">
        <v>41</v>
      </c>
      <c r="AE40" s="110">
        <v>21205.199999999997</v>
      </c>
      <c r="AF40" s="110">
        <v>29</v>
      </c>
      <c r="AG40" s="110">
        <v>14998.799999999997</v>
      </c>
      <c r="AH40" s="110">
        <v>26</v>
      </c>
      <c r="AI40" s="110">
        <v>13447.199999999999</v>
      </c>
      <c r="AJ40" s="110">
        <v>24</v>
      </c>
      <c r="AK40" s="110">
        <v>12412.8</v>
      </c>
      <c r="AL40" s="110">
        <v>21</v>
      </c>
      <c r="AM40" s="110">
        <v>10861.199999999999</v>
      </c>
      <c r="AN40" s="110">
        <v>18</v>
      </c>
      <c r="AO40" s="110">
        <v>9309.5999999999985</v>
      </c>
      <c r="AP40" s="110">
        <v>18</v>
      </c>
      <c r="AQ40" s="110">
        <v>9309.5999999999985</v>
      </c>
      <c r="AR40" s="110">
        <v>44</v>
      </c>
      <c r="AS40" s="110">
        <v>22756.799999999996</v>
      </c>
      <c r="AT40" s="110">
        <v>41</v>
      </c>
      <c r="AU40" s="110">
        <v>21205.199999999997</v>
      </c>
      <c r="AV40" s="110">
        <v>51</v>
      </c>
      <c r="AW40" s="110">
        <v>26377.199999999997</v>
      </c>
      <c r="AX40" s="110">
        <v>31</v>
      </c>
      <c r="AY40" s="110">
        <v>16033.199999999997</v>
      </c>
      <c r="AZ40" s="110">
        <v>24</v>
      </c>
      <c r="BA40" s="110">
        <v>12412.8</v>
      </c>
      <c r="BB40" s="110">
        <v>32</v>
      </c>
      <c r="BC40" s="110">
        <v>16550.399999999998</v>
      </c>
      <c r="BD40" s="110">
        <v>23</v>
      </c>
      <c r="BE40" s="110">
        <v>11895.599999999999</v>
      </c>
      <c r="BF40" s="110">
        <v>27</v>
      </c>
      <c r="BG40" s="110">
        <v>13964.399999999998</v>
      </c>
      <c r="BH40" s="110">
        <v>29</v>
      </c>
      <c r="BI40" s="110">
        <v>14998.799999999997</v>
      </c>
      <c r="BJ40" s="110">
        <v>34</v>
      </c>
      <c r="BK40" s="110">
        <v>17584.8</v>
      </c>
      <c r="BL40" s="110">
        <v>44</v>
      </c>
      <c r="BM40" s="110">
        <v>22756.799999999996</v>
      </c>
      <c r="BN40" s="110">
        <v>34</v>
      </c>
      <c r="BO40" s="110">
        <v>17584.8</v>
      </c>
      <c r="BP40" s="110">
        <v>21</v>
      </c>
      <c r="BQ40" s="110">
        <v>10861.199999999999</v>
      </c>
      <c r="BR40" s="110">
        <v>22</v>
      </c>
      <c r="BS40" s="110">
        <v>11378.399999999998</v>
      </c>
      <c r="BT40" s="110">
        <v>36</v>
      </c>
      <c r="BU40" s="110">
        <v>18619.199999999997</v>
      </c>
      <c r="BV40" s="110">
        <v>18</v>
      </c>
      <c r="BW40" s="110">
        <v>9309.5999999999985</v>
      </c>
      <c r="BX40" s="110">
        <v>10</v>
      </c>
      <c r="BY40" s="110">
        <v>5171.9999999999991</v>
      </c>
      <c r="BZ40" s="110">
        <v>9</v>
      </c>
      <c r="CA40" s="110">
        <v>4654.7999999999993</v>
      </c>
      <c r="CB40" s="110">
        <v>15</v>
      </c>
      <c r="CC40" s="110">
        <v>7757.9999999999991</v>
      </c>
      <c r="CD40" s="110">
        <v>16</v>
      </c>
      <c r="CE40" s="110">
        <v>8275.1999999999989</v>
      </c>
      <c r="CF40" s="110">
        <v>3</v>
      </c>
      <c r="CG40" s="110">
        <v>1551.6</v>
      </c>
      <c r="CH40" s="110">
        <v>4</v>
      </c>
      <c r="CI40" s="110">
        <v>2068.7999999999997</v>
      </c>
      <c r="CJ40" s="110">
        <v>3</v>
      </c>
      <c r="CK40" s="110">
        <v>1551.6</v>
      </c>
      <c r="CL40" s="110">
        <v>3</v>
      </c>
      <c r="CM40" s="110">
        <v>1551.6</v>
      </c>
      <c r="CN40" s="110">
        <v>2</v>
      </c>
      <c r="CO40" s="110">
        <v>1034.3999999999999</v>
      </c>
      <c r="CP40" s="110">
        <v>3</v>
      </c>
      <c r="CQ40" s="110">
        <v>1551.6</v>
      </c>
      <c r="CR40" s="110">
        <v>3</v>
      </c>
      <c r="CS40" s="110">
        <v>1551.6</v>
      </c>
      <c r="CT40" s="110">
        <v>4</v>
      </c>
      <c r="CU40" s="110">
        <v>2068.7999999999997</v>
      </c>
    </row>
    <row r="41" spans="2:99" x14ac:dyDescent="0.2">
      <c r="C41" s="109" t="s">
        <v>209</v>
      </c>
      <c r="D41" s="110">
        <v>17</v>
      </c>
      <c r="E41" s="110">
        <v>7731.6</v>
      </c>
      <c r="F41" s="110">
        <v>8</v>
      </c>
      <c r="G41" s="110">
        <v>3638.4</v>
      </c>
      <c r="H41" s="110">
        <v>13</v>
      </c>
      <c r="I41" s="110">
        <v>5912.4000000000005</v>
      </c>
      <c r="J41" s="110">
        <v>9</v>
      </c>
      <c r="K41" s="110">
        <v>4093.2000000000003</v>
      </c>
      <c r="L41" s="110">
        <v>14</v>
      </c>
      <c r="M41" s="110">
        <v>6367.2</v>
      </c>
      <c r="N41" s="110">
        <v>8</v>
      </c>
      <c r="O41" s="110">
        <v>3638.4</v>
      </c>
      <c r="P41" s="110">
        <v>12</v>
      </c>
      <c r="Q41" s="110">
        <v>5457.6</v>
      </c>
      <c r="R41" s="110">
        <v>15</v>
      </c>
      <c r="S41" s="110">
        <v>6822</v>
      </c>
      <c r="T41" s="110">
        <v>12</v>
      </c>
      <c r="U41" s="110">
        <v>5457.6</v>
      </c>
      <c r="V41" s="110">
        <v>12</v>
      </c>
      <c r="W41" s="110">
        <v>5457.6</v>
      </c>
      <c r="X41" s="110">
        <v>13</v>
      </c>
      <c r="Y41" s="110">
        <v>5912.4000000000005</v>
      </c>
      <c r="Z41" s="110">
        <v>14</v>
      </c>
      <c r="AA41" s="110">
        <v>6367.2</v>
      </c>
      <c r="AB41" s="110">
        <v>28</v>
      </c>
      <c r="AC41" s="110">
        <v>12734.4</v>
      </c>
      <c r="AD41" s="110">
        <v>43</v>
      </c>
      <c r="AE41" s="110">
        <v>19556.400000000001</v>
      </c>
      <c r="AF41" s="110">
        <v>30</v>
      </c>
      <c r="AG41" s="110">
        <v>13644</v>
      </c>
      <c r="AH41" s="110">
        <v>29</v>
      </c>
      <c r="AI41" s="110">
        <v>13189.2</v>
      </c>
      <c r="AJ41" s="110">
        <v>27</v>
      </c>
      <c r="AK41" s="110">
        <v>12279.6</v>
      </c>
      <c r="AL41" s="110">
        <v>23</v>
      </c>
      <c r="AM41" s="110">
        <v>10460.4</v>
      </c>
      <c r="AN41" s="110">
        <v>16</v>
      </c>
      <c r="AO41" s="110">
        <v>7276.8</v>
      </c>
      <c r="AP41" s="110">
        <v>15</v>
      </c>
      <c r="AQ41" s="110">
        <v>6822</v>
      </c>
      <c r="AR41" s="110">
        <v>44</v>
      </c>
      <c r="AS41" s="110">
        <v>20011.2</v>
      </c>
      <c r="AT41" s="110">
        <v>43</v>
      </c>
      <c r="AU41" s="110">
        <v>19556.400000000001</v>
      </c>
      <c r="AV41" s="110">
        <v>49</v>
      </c>
      <c r="AW41" s="110">
        <v>22285.200000000001</v>
      </c>
      <c r="AX41" s="110">
        <v>30</v>
      </c>
      <c r="AY41" s="110">
        <v>13644</v>
      </c>
      <c r="AZ41" s="110">
        <v>26</v>
      </c>
      <c r="BA41" s="110">
        <v>11824.800000000001</v>
      </c>
      <c r="BB41" s="110">
        <v>34</v>
      </c>
      <c r="BC41" s="110">
        <v>15463.2</v>
      </c>
      <c r="BD41" s="110">
        <v>22</v>
      </c>
      <c r="BE41" s="110">
        <v>10005.6</v>
      </c>
      <c r="BF41" s="110">
        <v>27</v>
      </c>
      <c r="BG41" s="110">
        <v>12279.6</v>
      </c>
      <c r="BH41" s="110">
        <v>28</v>
      </c>
      <c r="BI41" s="110">
        <v>12734.4</v>
      </c>
      <c r="BJ41" s="110">
        <v>33</v>
      </c>
      <c r="BK41" s="110">
        <v>15008.4</v>
      </c>
      <c r="BL41" s="110">
        <v>44</v>
      </c>
      <c r="BM41" s="110">
        <v>20011.2</v>
      </c>
      <c r="BN41" s="110">
        <v>32</v>
      </c>
      <c r="BO41" s="110">
        <v>14553.6</v>
      </c>
      <c r="BP41" s="110">
        <v>23</v>
      </c>
      <c r="BQ41" s="110">
        <v>10460.4</v>
      </c>
      <c r="BR41" s="110">
        <v>25</v>
      </c>
      <c r="BS41" s="110">
        <v>11370</v>
      </c>
      <c r="BT41" s="110">
        <v>32</v>
      </c>
      <c r="BU41" s="110">
        <v>14553.6</v>
      </c>
      <c r="BV41" s="110">
        <v>19</v>
      </c>
      <c r="BW41" s="110">
        <v>8641.2000000000007</v>
      </c>
      <c r="BX41" s="110">
        <v>10</v>
      </c>
      <c r="BY41" s="110">
        <v>4548</v>
      </c>
      <c r="BZ41" s="110">
        <v>10</v>
      </c>
      <c r="CA41" s="110">
        <v>4548</v>
      </c>
      <c r="CB41" s="110">
        <v>15</v>
      </c>
      <c r="CC41" s="110">
        <v>6822</v>
      </c>
      <c r="CD41" s="110">
        <v>16</v>
      </c>
      <c r="CE41" s="110">
        <v>7276.8</v>
      </c>
      <c r="CF41" s="110">
        <v>3</v>
      </c>
      <c r="CG41" s="110">
        <v>1364.4</v>
      </c>
      <c r="CH41" s="110">
        <v>3</v>
      </c>
      <c r="CI41" s="110">
        <v>1364.4</v>
      </c>
      <c r="CJ41" s="110">
        <v>3</v>
      </c>
      <c r="CK41" s="110">
        <v>1364.4</v>
      </c>
      <c r="CL41" s="110">
        <v>2</v>
      </c>
      <c r="CM41" s="110">
        <v>909.6</v>
      </c>
      <c r="CN41" s="110">
        <v>3</v>
      </c>
      <c r="CO41" s="110">
        <v>1364.4</v>
      </c>
      <c r="CP41" s="110">
        <v>3</v>
      </c>
      <c r="CQ41" s="110">
        <v>1364.4</v>
      </c>
      <c r="CR41" s="110">
        <v>3</v>
      </c>
      <c r="CS41" s="110">
        <v>1364.4</v>
      </c>
      <c r="CT41" s="110">
        <v>4</v>
      </c>
      <c r="CU41" s="110">
        <v>1819.2</v>
      </c>
    </row>
    <row r="42" spans="2:99" x14ac:dyDescent="0.2">
      <c r="C42" s="109" t="s">
        <v>210</v>
      </c>
      <c r="D42" s="110">
        <v>16</v>
      </c>
      <c r="E42" s="110">
        <v>11136</v>
      </c>
      <c r="F42" s="110">
        <v>10</v>
      </c>
      <c r="G42" s="110">
        <v>6960</v>
      </c>
      <c r="H42" s="110">
        <v>12</v>
      </c>
      <c r="I42" s="110">
        <v>8352</v>
      </c>
      <c r="J42" s="110">
        <v>9</v>
      </c>
      <c r="K42" s="110">
        <v>6264</v>
      </c>
      <c r="L42" s="110">
        <v>15</v>
      </c>
      <c r="M42" s="110">
        <v>10440</v>
      </c>
      <c r="N42" s="110">
        <v>8</v>
      </c>
      <c r="O42" s="110">
        <v>5568</v>
      </c>
      <c r="P42" s="110">
        <v>11</v>
      </c>
      <c r="Q42" s="110">
        <v>7656</v>
      </c>
      <c r="R42" s="110">
        <v>15</v>
      </c>
      <c r="S42" s="110">
        <v>10440</v>
      </c>
      <c r="T42" s="110">
        <v>13</v>
      </c>
      <c r="U42" s="110">
        <v>9048</v>
      </c>
      <c r="V42" s="110">
        <v>12</v>
      </c>
      <c r="W42" s="110">
        <v>8352</v>
      </c>
      <c r="X42" s="110">
        <v>12</v>
      </c>
      <c r="Y42" s="110">
        <v>8352</v>
      </c>
      <c r="Z42" s="110">
        <v>14</v>
      </c>
      <c r="AA42" s="110">
        <v>9744</v>
      </c>
      <c r="AB42" s="110">
        <v>29</v>
      </c>
      <c r="AC42" s="110">
        <v>20184</v>
      </c>
      <c r="AD42" s="110">
        <v>44</v>
      </c>
      <c r="AE42" s="110">
        <v>30624</v>
      </c>
      <c r="AF42" s="110">
        <v>31</v>
      </c>
      <c r="AG42" s="110">
        <v>21576</v>
      </c>
      <c r="AH42" s="110">
        <v>24</v>
      </c>
      <c r="AI42" s="110">
        <v>16704</v>
      </c>
      <c r="AJ42" s="110">
        <v>28</v>
      </c>
      <c r="AK42" s="110">
        <v>19488</v>
      </c>
      <c r="AL42" s="110">
        <v>24</v>
      </c>
      <c r="AM42" s="110">
        <v>16704</v>
      </c>
      <c r="AN42" s="110">
        <v>16</v>
      </c>
      <c r="AO42" s="110">
        <v>11136</v>
      </c>
      <c r="AP42" s="110">
        <v>16</v>
      </c>
      <c r="AQ42" s="110">
        <v>11136</v>
      </c>
      <c r="AR42" s="110">
        <v>43</v>
      </c>
      <c r="AS42" s="110">
        <v>29928</v>
      </c>
      <c r="AT42" s="110">
        <v>44</v>
      </c>
      <c r="AU42" s="110">
        <v>30624</v>
      </c>
      <c r="AV42" s="110">
        <v>50</v>
      </c>
      <c r="AW42" s="110">
        <v>34800</v>
      </c>
      <c r="AX42" s="110">
        <v>35</v>
      </c>
      <c r="AY42" s="110">
        <v>24360</v>
      </c>
      <c r="AZ42" s="110">
        <v>23</v>
      </c>
      <c r="BA42" s="110">
        <v>16008</v>
      </c>
      <c r="BB42" s="110">
        <v>31</v>
      </c>
      <c r="BC42" s="110">
        <v>21576</v>
      </c>
      <c r="BD42" s="110">
        <v>20</v>
      </c>
      <c r="BE42" s="110">
        <v>13920</v>
      </c>
      <c r="BF42" s="110">
        <v>24</v>
      </c>
      <c r="BG42" s="110">
        <v>16704</v>
      </c>
      <c r="BH42" s="110">
        <v>28</v>
      </c>
      <c r="BI42" s="110">
        <v>19488</v>
      </c>
      <c r="BJ42" s="110">
        <v>34</v>
      </c>
      <c r="BK42" s="110">
        <v>23664</v>
      </c>
      <c r="BL42" s="110">
        <v>37</v>
      </c>
      <c r="BM42" s="110">
        <v>25752</v>
      </c>
      <c r="BN42" s="110">
        <v>33</v>
      </c>
      <c r="BO42" s="110">
        <v>22968</v>
      </c>
      <c r="BP42" s="110">
        <v>21</v>
      </c>
      <c r="BQ42" s="110">
        <v>14616</v>
      </c>
      <c r="BR42" s="110">
        <v>21</v>
      </c>
      <c r="BS42" s="110">
        <v>14616</v>
      </c>
      <c r="BT42" s="110">
        <v>33</v>
      </c>
      <c r="BU42" s="110">
        <v>22968</v>
      </c>
      <c r="BV42" s="110">
        <v>20</v>
      </c>
      <c r="BW42" s="110">
        <v>13920</v>
      </c>
      <c r="BX42" s="110">
        <v>10</v>
      </c>
      <c r="BY42" s="110">
        <v>6960</v>
      </c>
      <c r="BZ42" s="110">
        <v>9</v>
      </c>
      <c r="CA42" s="110">
        <v>6264</v>
      </c>
      <c r="CB42" s="110">
        <v>14</v>
      </c>
      <c r="CC42" s="110">
        <v>9744</v>
      </c>
      <c r="CD42" s="110">
        <v>17</v>
      </c>
      <c r="CE42" s="110">
        <v>11832</v>
      </c>
      <c r="CF42" s="110">
        <v>3</v>
      </c>
      <c r="CG42" s="110">
        <v>2088</v>
      </c>
      <c r="CH42" s="110">
        <v>4</v>
      </c>
      <c r="CI42" s="110">
        <v>2784</v>
      </c>
      <c r="CJ42" s="110">
        <v>3</v>
      </c>
      <c r="CK42" s="110">
        <v>2088</v>
      </c>
      <c r="CL42" s="110">
        <v>2</v>
      </c>
      <c r="CM42" s="110">
        <v>1392</v>
      </c>
      <c r="CN42" s="110">
        <v>3</v>
      </c>
      <c r="CO42" s="110">
        <v>2088</v>
      </c>
      <c r="CP42" s="110">
        <v>3</v>
      </c>
      <c r="CQ42" s="110">
        <v>2088</v>
      </c>
      <c r="CR42" s="110">
        <v>3</v>
      </c>
      <c r="CS42" s="110">
        <v>2088</v>
      </c>
      <c r="CT42" s="110">
        <v>4</v>
      </c>
      <c r="CU42" s="110">
        <v>2784</v>
      </c>
    </row>
    <row r="43" spans="2:99" x14ac:dyDescent="0.2">
      <c r="C43" s="109" t="s">
        <v>211</v>
      </c>
      <c r="D43" s="110">
        <v>17</v>
      </c>
      <c r="E43" s="110">
        <v>13851.599999999999</v>
      </c>
      <c r="F43" s="110">
        <v>8</v>
      </c>
      <c r="G43" s="110">
        <v>6518.4</v>
      </c>
      <c r="H43" s="110">
        <v>14</v>
      </c>
      <c r="I43" s="110">
        <v>11407.199999999999</v>
      </c>
      <c r="J43" s="110">
        <v>9</v>
      </c>
      <c r="K43" s="110">
        <v>7333.2</v>
      </c>
      <c r="L43" s="110">
        <v>13</v>
      </c>
      <c r="M43" s="110">
        <v>10592.4</v>
      </c>
      <c r="N43" s="110">
        <v>7</v>
      </c>
      <c r="O43" s="110">
        <v>5703.5999999999995</v>
      </c>
      <c r="P43" s="110">
        <v>13</v>
      </c>
      <c r="Q43" s="110">
        <v>10592.4</v>
      </c>
      <c r="R43" s="110">
        <v>15</v>
      </c>
      <c r="S43" s="110">
        <v>12222</v>
      </c>
      <c r="T43" s="110">
        <v>12</v>
      </c>
      <c r="U43" s="110">
        <v>9777.5999999999985</v>
      </c>
      <c r="V43" s="110">
        <v>12</v>
      </c>
      <c r="W43" s="110">
        <v>9777.5999999999985</v>
      </c>
      <c r="X43" s="110">
        <v>12</v>
      </c>
      <c r="Y43" s="110">
        <v>9777.5999999999985</v>
      </c>
      <c r="Z43" s="110">
        <v>12</v>
      </c>
      <c r="AA43" s="110">
        <v>9777.5999999999985</v>
      </c>
      <c r="AB43" s="110">
        <v>29</v>
      </c>
      <c r="AC43" s="110">
        <v>23629.199999999997</v>
      </c>
      <c r="AD43" s="110">
        <v>42</v>
      </c>
      <c r="AE43" s="110">
        <v>34221.599999999999</v>
      </c>
      <c r="AF43" s="110">
        <v>29</v>
      </c>
      <c r="AG43" s="110">
        <v>23629.199999999997</v>
      </c>
      <c r="AH43" s="110">
        <v>24</v>
      </c>
      <c r="AI43" s="110">
        <v>19555.199999999997</v>
      </c>
      <c r="AJ43" s="110">
        <v>25</v>
      </c>
      <c r="AK43" s="110">
        <v>20370</v>
      </c>
      <c r="AL43" s="110">
        <v>20</v>
      </c>
      <c r="AM43" s="110">
        <v>16296</v>
      </c>
      <c r="AN43" s="110">
        <v>14</v>
      </c>
      <c r="AO43" s="110">
        <v>11407.199999999999</v>
      </c>
      <c r="AP43" s="110">
        <v>15</v>
      </c>
      <c r="AQ43" s="110">
        <v>12222</v>
      </c>
      <c r="AR43" s="110">
        <v>47</v>
      </c>
      <c r="AS43" s="110">
        <v>38295.599999999999</v>
      </c>
      <c r="AT43" s="110">
        <v>38</v>
      </c>
      <c r="AU43" s="110">
        <v>30962.399999999998</v>
      </c>
      <c r="AV43" s="110">
        <v>48</v>
      </c>
      <c r="AW43" s="110">
        <v>39110.399999999994</v>
      </c>
      <c r="AX43" s="110">
        <v>31</v>
      </c>
      <c r="AY43" s="110">
        <v>25258.799999999999</v>
      </c>
      <c r="AZ43" s="110">
        <v>23</v>
      </c>
      <c r="BA43" s="110">
        <v>18740.399999999998</v>
      </c>
      <c r="BB43" s="110">
        <v>27</v>
      </c>
      <c r="BC43" s="110">
        <v>21999.599999999999</v>
      </c>
      <c r="BD43" s="110">
        <v>21</v>
      </c>
      <c r="BE43" s="110">
        <v>17110.8</v>
      </c>
      <c r="BF43" s="110">
        <v>26</v>
      </c>
      <c r="BG43" s="110">
        <v>21184.799999999999</v>
      </c>
      <c r="BH43" s="110">
        <v>32</v>
      </c>
      <c r="BI43" s="110">
        <v>26073.599999999999</v>
      </c>
      <c r="BJ43" s="110">
        <v>32</v>
      </c>
      <c r="BK43" s="110">
        <v>26073.599999999999</v>
      </c>
      <c r="BL43" s="110">
        <v>39</v>
      </c>
      <c r="BM43" s="110">
        <v>31777.199999999997</v>
      </c>
      <c r="BN43" s="110">
        <v>30</v>
      </c>
      <c r="BO43" s="110">
        <v>24444</v>
      </c>
      <c r="BP43" s="110">
        <v>22</v>
      </c>
      <c r="BQ43" s="110">
        <v>17925.599999999999</v>
      </c>
      <c r="BR43" s="110">
        <v>23</v>
      </c>
      <c r="BS43" s="110">
        <v>18740.399999999998</v>
      </c>
      <c r="BT43" s="110">
        <v>35</v>
      </c>
      <c r="BU43" s="110">
        <v>28518</v>
      </c>
      <c r="BV43" s="110">
        <v>21</v>
      </c>
      <c r="BW43" s="110">
        <v>17110.8</v>
      </c>
      <c r="BX43" s="110">
        <v>10</v>
      </c>
      <c r="BY43" s="110">
        <v>8148</v>
      </c>
      <c r="BZ43" s="110">
        <v>9</v>
      </c>
      <c r="CA43" s="110">
        <v>7333.2</v>
      </c>
      <c r="CB43" s="110">
        <v>15</v>
      </c>
      <c r="CC43" s="110">
        <v>12222</v>
      </c>
      <c r="CD43" s="110">
        <v>14</v>
      </c>
      <c r="CE43" s="110">
        <v>11407.199999999999</v>
      </c>
      <c r="CF43" s="110">
        <v>3</v>
      </c>
      <c r="CG43" s="110">
        <v>2444.3999999999996</v>
      </c>
      <c r="CH43" s="110">
        <v>3</v>
      </c>
      <c r="CI43" s="110">
        <v>2444.3999999999996</v>
      </c>
      <c r="CJ43" s="110">
        <v>3</v>
      </c>
      <c r="CK43" s="110">
        <v>2444.3999999999996</v>
      </c>
      <c r="CL43" s="110">
        <v>2</v>
      </c>
      <c r="CM43" s="110">
        <v>1629.6</v>
      </c>
      <c r="CN43" s="110">
        <v>3</v>
      </c>
      <c r="CO43" s="110">
        <v>2444.3999999999996</v>
      </c>
      <c r="CP43" s="110">
        <v>3</v>
      </c>
      <c r="CQ43" s="110">
        <v>2444.3999999999996</v>
      </c>
      <c r="CR43" s="110">
        <v>3</v>
      </c>
      <c r="CS43" s="110">
        <v>2444.3999999999996</v>
      </c>
      <c r="CT43" s="110">
        <v>4</v>
      </c>
      <c r="CU43" s="110">
        <v>3259.2</v>
      </c>
    </row>
    <row r="44" spans="2:99" x14ac:dyDescent="0.2">
      <c r="C44" s="109" t="s">
        <v>212</v>
      </c>
      <c r="D44" s="110">
        <v>16</v>
      </c>
      <c r="E44" s="110">
        <v>13497.6</v>
      </c>
      <c r="F44" s="110">
        <v>9</v>
      </c>
      <c r="G44" s="110">
        <v>7592.4000000000005</v>
      </c>
      <c r="H44" s="110">
        <v>12</v>
      </c>
      <c r="I44" s="110">
        <v>10123.200000000001</v>
      </c>
      <c r="J44" s="110">
        <v>9</v>
      </c>
      <c r="K44" s="110">
        <v>7592.4000000000005</v>
      </c>
      <c r="L44" s="110">
        <v>13</v>
      </c>
      <c r="M44" s="110">
        <v>10966.800000000001</v>
      </c>
      <c r="N44" s="110">
        <v>7</v>
      </c>
      <c r="O44" s="110">
        <v>5905.2</v>
      </c>
      <c r="P44" s="110">
        <v>12</v>
      </c>
      <c r="Q44" s="110">
        <v>10123.200000000001</v>
      </c>
      <c r="R44" s="110">
        <v>15</v>
      </c>
      <c r="S44" s="110">
        <v>12654</v>
      </c>
      <c r="T44" s="110">
        <v>11</v>
      </c>
      <c r="U44" s="110">
        <v>9279.6</v>
      </c>
      <c r="V44" s="110">
        <v>12</v>
      </c>
      <c r="W44" s="110">
        <v>10123.200000000001</v>
      </c>
      <c r="X44" s="110">
        <v>11</v>
      </c>
      <c r="Y44" s="110">
        <v>9279.6</v>
      </c>
      <c r="Z44" s="110">
        <v>14</v>
      </c>
      <c r="AA44" s="110">
        <v>11810.4</v>
      </c>
      <c r="AB44" s="110">
        <v>30</v>
      </c>
      <c r="AC44" s="110">
        <v>25308</v>
      </c>
      <c r="AD44" s="110">
        <v>38</v>
      </c>
      <c r="AE44" s="110">
        <v>32056.799999999999</v>
      </c>
      <c r="AF44" s="110">
        <v>28</v>
      </c>
      <c r="AG44" s="110">
        <v>23620.799999999999</v>
      </c>
      <c r="AH44" s="110">
        <v>27</v>
      </c>
      <c r="AI44" s="110">
        <v>22777.200000000001</v>
      </c>
      <c r="AJ44" s="110">
        <v>26</v>
      </c>
      <c r="AK44" s="110">
        <v>21933.600000000002</v>
      </c>
      <c r="AL44" s="110">
        <v>23</v>
      </c>
      <c r="AM44" s="110">
        <v>19402.8</v>
      </c>
      <c r="AN44" s="110">
        <v>16</v>
      </c>
      <c r="AO44" s="110">
        <v>13497.6</v>
      </c>
      <c r="AP44" s="110">
        <v>16</v>
      </c>
      <c r="AQ44" s="110">
        <v>13497.6</v>
      </c>
      <c r="AR44" s="110">
        <v>46</v>
      </c>
      <c r="AS44" s="110">
        <v>38805.599999999999</v>
      </c>
      <c r="AT44" s="110">
        <v>42</v>
      </c>
      <c r="AU44" s="110">
        <v>35431.200000000004</v>
      </c>
      <c r="AV44" s="110">
        <v>47</v>
      </c>
      <c r="AW44" s="110">
        <v>39649.200000000004</v>
      </c>
      <c r="AX44" s="110">
        <v>29</v>
      </c>
      <c r="AY44" s="110">
        <v>24464.400000000001</v>
      </c>
      <c r="AZ44" s="110">
        <v>22</v>
      </c>
      <c r="BA44" s="110">
        <v>18559.2</v>
      </c>
      <c r="BB44" s="110">
        <v>29</v>
      </c>
      <c r="BC44" s="110">
        <v>24464.400000000001</v>
      </c>
      <c r="BD44" s="110">
        <v>23</v>
      </c>
      <c r="BE44" s="110">
        <v>19402.8</v>
      </c>
      <c r="BF44" s="110">
        <v>23</v>
      </c>
      <c r="BG44" s="110">
        <v>19402.8</v>
      </c>
      <c r="BH44" s="110">
        <v>27</v>
      </c>
      <c r="BI44" s="110">
        <v>22777.200000000001</v>
      </c>
      <c r="BJ44" s="110">
        <v>29</v>
      </c>
      <c r="BK44" s="110">
        <v>24464.400000000001</v>
      </c>
      <c r="BL44" s="110">
        <v>37</v>
      </c>
      <c r="BM44" s="110">
        <v>31213.200000000001</v>
      </c>
      <c r="BN44" s="110">
        <v>34</v>
      </c>
      <c r="BO44" s="110">
        <v>28682.400000000001</v>
      </c>
      <c r="BP44" s="110">
        <v>23</v>
      </c>
      <c r="BQ44" s="110">
        <v>19402.8</v>
      </c>
      <c r="BR44" s="110">
        <v>20</v>
      </c>
      <c r="BS44" s="110">
        <v>16872</v>
      </c>
      <c r="BT44" s="110">
        <v>33</v>
      </c>
      <c r="BU44" s="110">
        <v>27838.799999999999</v>
      </c>
      <c r="BV44" s="110">
        <v>18</v>
      </c>
      <c r="BW44" s="110">
        <v>15184.800000000001</v>
      </c>
      <c r="BX44" s="110">
        <v>10</v>
      </c>
      <c r="BY44" s="110">
        <v>8436</v>
      </c>
      <c r="BZ44" s="110">
        <v>10</v>
      </c>
      <c r="CA44" s="110">
        <v>8436</v>
      </c>
      <c r="CB44" s="110">
        <v>13</v>
      </c>
      <c r="CC44" s="110">
        <v>10966.800000000001</v>
      </c>
      <c r="CD44" s="110">
        <v>14</v>
      </c>
      <c r="CE44" s="110">
        <v>11810.4</v>
      </c>
      <c r="CF44" s="110">
        <v>3</v>
      </c>
      <c r="CG44" s="110">
        <v>2530.8000000000002</v>
      </c>
      <c r="CH44" s="110">
        <v>3</v>
      </c>
      <c r="CI44" s="110">
        <v>2530.8000000000002</v>
      </c>
      <c r="CJ44" s="110">
        <v>3</v>
      </c>
      <c r="CK44" s="110">
        <v>2530.8000000000002</v>
      </c>
      <c r="CL44" s="110">
        <v>2</v>
      </c>
      <c r="CM44" s="110">
        <v>1687.2</v>
      </c>
      <c r="CN44" s="110">
        <v>3</v>
      </c>
      <c r="CO44" s="110">
        <v>2530.8000000000002</v>
      </c>
      <c r="CP44" s="110">
        <v>3</v>
      </c>
      <c r="CQ44" s="110">
        <v>2530.8000000000002</v>
      </c>
      <c r="CR44" s="110">
        <v>3</v>
      </c>
      <c r="CS44" s="110">
        <v>2530.8000000000002</v>
      </c>
      <c r="CT44" s="110">
        <v>4</v>
      </c>
      <c r="CU44" s="110">
        <v>3374.4</v>
      </c>
    </row>
    <row r="45" spans="2:99" x14ac:dyDescent="0.2">
      <c r="C45" s="109" t="s">
        <v>213</v>
      </c>
      <c r="D45" s="110">
        <v>14</v>
      </c>
      <c r="E45" s="110">
        <v>14565.599999999999</v>
      </c>
      <c r="F45" s="110">
        <v>8</v>
      </c>
      <c r="G45" s="110">
        <v>8323.1999999999989</v>
      </c>
      <c r="H45" s="110">
        <v>14</v>
      </c>
      <c r="I45" s="110">
        <v>14565.599999999999</v>
      </c>
      <c r="J45" s="110">
        <v>9</v>
      </c>
      <c r="K45" s="110">
        <v>9363.5999999999985</v>
      </c>
      <c r="L45" s="110">
        <v>14</v>
      </c>
      <c r="M45" s="110">
        <v>14565.599999999999</v>
      </c>
      <c r="N45" s="110">
        <v>7</v>
      </c>
      <c r="O45" s="110">
        <v>7282.7999999999993</v>
      </c>
      <c r="P45" s="110">
        <v>11</v>
      </c>
      <c r="Q45" s="110">
        <v>11444.399999999998</v>
      </c>
      <c r="R45" s="110">
        <v>15</v>
      </c>
      <c r="S45" s="110">
        <v>15605.999999999998</v>
      </c>
      <c r="T45" s="110">
        <v>12</v>
      </c>
      <c r="U45" s="110">
        <v>12484.8</v>
      </c>
      <c r="V45" s="110">
        <v>11</v>
      </c>
      <c r="W45" s="110">
        <v>11444.399999999998</v>
      </c>
      <c r="X45" s="110">
        <v>11</v>
      </c>
      <c r="Y45" s="110">
        <v>11444.399999999998</v>
      </c>
      <c r="Z45" s="110">
        <v>13</v>
      </c>
      <c r="AA45" s="110">
        <v>13525.199999999999</v>
      </c>
      <c r="AB45" s="110">
        <v>24</v>
      </c>
      <c r="AC45" s="110">
        <v>24969.599999999999</v>
      </c>
      <c r="AD45" s="110">
        <v>37</v>
      </c>
      <c r="AE45" s="110">
        <v>38494.799999999996</v>
      </c>
      <c r="AF45" s="110">
        <v>30</v>
      </c>
      <c r="AG45" s="110">
        <v>31211.999999999996</v>
      </c>
      <c r="AH45" s="110">
        <v>22</v>
      </c>
      <c r="AI45" s="110">
        <v>22888.799999999996</v>
      </c>
      <c r="AJ45" s="110">
        <v>23</v>
      </c>
      <c r="AK45" s="110">
        <v>23929.199999999997</v>
      </c>
      <c r="AL45" s="110">
        <v>20</v>
      </c>
      <c r="AM45" s="110">
        <v>20807.999999999996</v>
      </c>
      <c r="AN45" s="110">
        <v>15</v>
      </c>
      <c r="AO45" s="110">
        <v>15605.999999999998</v>
      </c>
      <c r="AP45" s="110">
        <v>16</v>
      </c>
      <c r="AQ45" s="110">
        <v>16646.399999999998</v>
      </c>
      <c r="AR45" s="110">
        <v>45</v>
      </c>
      <c r="AS45" s="110">
        <v>46817.999999999993</v>
      </c>
      <c r="AT45" s="110">
        <v>37</v>
      </c>
      <c r="AU45" s="110">
        <v>38494.799999999996</v>
      </c>
      <c r="AV45" s="110">
        <v>46</v>
      </c>
      <c r="AW45" s="110">
        <v>47858.399999999994</v>
      </c>
      <c r="AX45" s="110">
        <v>31</v>
      </c>
      <c r="AY45" s="110">
        <v>32252.399999999994</v>
      </c>
      <c r="AZ45" s="110">
        <v>24</v>
      </c>
      <c r="BA45" s="110">
        <v>24969.599999999999</v>
      </c>
      <c r="BB45" s="110">
        <v>30</v>
      </c>
      <c r="BC45" s="110">
        <v>31211.999999999996</v>
      </c>
      <c r="BD45" s="110">
        <v>19</v>
      </c>
      <c r="BE45" s="110">
        <v>19767.599999999999</v>
      </c>
      <c r="BF45" s="110">
        <v>23</v>
      </c>
      <c r="BG45" s="110">
        <v>23929.199999999997</v>
      </c>
      <c r="BH45" s="110">
        <v>29</v>
      </c>
      <c r="BI45" s="110">
        <v>30171.599999999995</v>
      </c>
      <c r="BJ45" s="110">
        <v>27</v>
      </c>
      <c r="BK45" s="110">
        <v>28090.799999999996</v>
      </c>
      <c r="BL45" s="110">
        <v>40</v>
      </c>
      <c r="BM45" s="110">
        <v>41615.999999999993</v>
      </c>
      <c r="BN45" s="110">
        <v>30</v>
      </c>
      <c r="BO45" s="110">
        <v>31211.999999999996</v>
      </c>
      <c r="BP45" s="110">
        <v>22</v>
      </c>
      <c r="BQ45" s="110">
        <v>22888.799999999996</v>
      </c>
      <c r="BR45" s="110">
        <v>20</v>
      </c>
      <c r="BS45" s="110">
        <v>20807.999999999996</v>
      </c>
      <c r="BT45" s="110">
        <v>34</v>
      </c>
      <c r="BU45" s="110">
        <v>35373.599999999999</v>
      </c>
      <c r="BV45" s="110">
        <v>17</v>
      </c>
      <c r="BW45" s="110">
        <v>17686.8</v>
      </c>
      <c r="BX45" s="110">
        <v>9</v>
      </c>
      <c r="BY45" s="110">
        <v>9363.5999999999985</v>
      </c>
      <c r="BZ45" s="110">
        <v>8</v>
      </c>
      <c r="CA45" s="110">
        <v>8323.1999999999989</v>
      </c>
      <c r="CB45" s="110">
        <v>14</v>
      </c>
      <c r="CC45" s="110">
        <v>14565.599999999999</v>
      </c>
      <c r="CD45" s="110">
        <v>16</v>
      </c>
      <c r="CE45" s="110">
        <v>16646.399999999998</v>
      </c>
      <c r="CF45" s="110">
        <v>3</v>
      </c>
      <c r="CG45" s="110">
        <v>3121.2</v>
      </c>
      <c r="CH45" s="110">
        <v>3</v>
      </c>
      <c r="CI45" s="110">
        <v>3121.2</v>
      </c>
      <c r="CJ45" s="110">
        <v>3</v>
      </c>
      <c r="CK45" s="110">
        <v>3121.2</v>
      </c>
      <c r="CL45" s="110">
        <v>2</v>
      </c>
      <c r="CM45" s="110">
        <v>2080.7999999999997</v>
      </c>
      <c r="CN45" s="110">
        <v>3</v>
      </c>
      <c r="CO45" s="110">
        <v>3121.2</v>
      </c>
      <c r="CP45" s="110">
        <v>3</v>
      </c>
      <c r="CQ45" s="110">
        <v>3121.2</v>
      </c>
      <c r="CR45" s="110">
        <v>3</v>
      </c>
      <c r="CS45" s="110">
        <v>3121.2</v>
      </c>
      <c r="CT45" s="110">
        <v>4</v>
      </c>
      <c r="CU45" s="110">
        <v>4161.5999999999995</v>
      </c>
    </row>
    <row r="46" spans="2:99" x14ac:dyDescent="0.2">
      <c r="C46" s="109" t="s">
        <v>214</v>
      </c>
      <c r="D46" s="110">
        <v>15</v>
      </c>
      <c r="E46" s="110">
        <v>15263.999999999996</v>
      </c>
      <c r="F46" s="110">
        <v>9</v>
      </c>
      <c r="G46" s="110">
        <v>9158.3999999999978</v>
      </c>
      <c r="H46" s="110">
        <v>11</v>
      </c>
      <c r="I46" s="110">
        <v>11193.599999999999</v>
      </c>
      <c r="J46" s="110">
        <v>8</v>
      </c>
      <c r="K46" s="110">
        <v>8140.7999999999984</v>
      </c>
      <c r="L46" s="110">
        <v>15</v>
      </c>
      <c r="M46" s="110">
        <v>15263.999999999996</v>
      </c>
      <c r="N46" s="110">
        <v>7</v>
      </c>
      <c r="O46" s="110">
        <v>7123.1999999999989</v>
      </c>
      <c r="P46" s="110">
        <v>11</v>
      </c>
      <c r="Q46" s="110">
        <v>11193.599999999999</v>
      </c>
      <c r="R46" s="110">
        <v>15</v>
      </c>
      <c r="S46" s="110">
        <v>15263.999999999996</v>
      </c>
      <c r="T46" s="110">
        <v>12</v>
      </c>
      <c r="U46" s="110">
        <v>12211.199999999997</v>
      </c>
      <c r="V46" s="110">
        <v>11</v>
      </c>
      <c r="W46" s="110">
        <v>11193.599999999999</v>
      </c>
      <c r="X46" s="110">
        <v>11</v>
      </c>
      <c r="Y46" s="110">
        <v>11193.599999999999</v>
      </c>
      <c r="Z46" s="110">
        <v>12</v>
      </c>
      <c r="AA46" s="110">
        <v>12211.199999999997</v>
      </c>
      <c r="AB46" s="110">
        <v>25</v>
      </c>
      <c r="AC46" s="110">
        <v>25439.999999999996</v>
      </c>
      <c r="AD46" s="110">
        <v>36</v>
      </c>
      <c r="AE46" s="110">
        <v>36633.599999999991</v>
      </c>
      <c r="AF46" s="110">
        <v>27</v>
      </c>
      <c r="AG46" s="110">
        <v>27475.199999999993</v>
      </c>
      <c r="AH46" s="110">
        <v>22</v>
      </c>
      <c r="AI46" s="110">
        <v>22387.199999999997</v>
      </c>
      <c r="AJ46" s="110">
        <v>24</v>
      </c>
      <c r="AK46" s="110">
        <v>24422.399999999994</v>
      </c>
      <c r="AL46" s="110">
        <v>23</v>
      </c>
      <c r="AM46" s="110">
        <v>23404.799999999996</v>
      </c>
      <c r="AN46" s="110">
        <v>14</v>
      </c>
      <c r="AO46" s="110">
        <v>14246.399999999998</v>
      </c>
      <c r="AP46" s="110">
        <v>16</v>
      </c>
      <c r="AQ46" s="110">
        <v>16281.599999999997</v>
      </c>
      <c r="AR46" s="110">
        <v>45</v>
      </c>
      <c r="AS46" s="110">
        <v>45791.999999999993</v>
      </c>
      <c r="AT46" s="110">
        <v>41</v>
      </c>
      <c r="AU46" s="110">
        <v>41721.599999999991</v>
      </c>
      <c r="AV46" s="110">
        <v>44</v>
      </c>
      <c r="AW46" s="110">
        <v>44774.399999999994</v>
      </c>
      <c r="AX46" s="110">
        <v>29</v>
      </c>
      <c r="AY46" s="110">
        <v>29510.399999999994</v>
      </c>
      <c r="AZ46" s="110">
        <v>22</v>
      </c>
      <c r="BA46" s="110">
        <v>22387.199999999997</v>
      </c>
      <c r="BB46" s="110">
        <v>32</v>
      </c>
      <c r="BC46" s="110">
        <v>32563.199999999993</v>
      </c>
      <c r="BD46" s="110">
        <v>19</v>
      </c>
      <c r="BE46" s="110">
        <v>19334.399999999998</v>
      </c>
      <c r="BF46" s="110">
        <v>26</v>
      </c>
      <c r="BG46" s="110">
        <v>26457.599999999995</v>
      </c>
      <c r="BH46" s="110">
        <v>29</v>
      </c>
      <c r="BI46" s="110">
        <v>29510.399999999994</v>
      </c>
      <c r="BJ46" s="110">
        <v>33</v>
      </c>
      <c r="BK46" s="110">
        <v>33580.799999999996</v>
      </c>
      <c r="BL46" s="110">
        <v>38</v>
      </c>
      <c r="BM46" s="110">
        <v>38668.799999999996</v>
      </c>
      <c r="BN46" s="110">
        <v>29</v>
      </c>
      <c r="BO46" s="110">
        <v>29510.399999999994</v>
      </c>
      <c r="BP46" s="110">
        <v>20</v>
      </c>
      <c r="BQ46" s="110">
        <v>20351.999999999996</v>
      </c>
      <c r="BR46" s="110">
        <v>22</v>
      </c>
      <c r="BS46" s="110">
        <v>22387.199999999997</v>
      </c>
      <c r="BT46" s="110">
        <v>31</v>
      </c>
      <c r="BU46" s="110">
        <v>31545.599999999995</v>
      </c>
      <c r="BV46" s="110">
        <v>18</v>
      </c>
      <c r="BW46" s="110">
        <v>18316.799999999996</v>
      </c>
      <c r="BX46" s="110">
        <v>10</v>
      </c>
      <c r="BY46" s="110">
        <v>10175.999999999998</v>
      </c>
      <c r="BZ46" s="110">
        <v>9</v>
      </c>
      <c r="CA46" s="110">
        <v>9158.3999999999978</v>
      </c>
      <c r="CB46" s="110">
        <v>14</v>
      </c>
      <c r="CC46" s="110">
        <v>14246.399999999998</v>
      </c>
      <c r="CD46" s="110">
        <v>15</v>
      </c>
      <c r="CE46" s="110">
        <v>15263.999999999996</v>
      </c>
      <c r="CF46" s="110">
        <v>3</v>
      </c>
      <c r="CG46" s="110">
        <v>3052.7999999999993</v>
      </c>
      <c r="CH46" s="110">
        <v>3</v>
      </c>
      <c r="CI46" s="110">
        <v>3052.7999999999993</v>
      </c>
      <c r="CJ46" s="110">
        <v>3</v>
      </c>
      <c r="CK46" s="110">
        <v>3052.7999999999993</v>
      </c>
      <c r="CL46" s="110">
        <v>2</v>
      </c>
      <c r="CM46" s="110">
        <v>2035.1999999999996</v>
      </c>
      <c r="CN46" s="110">
        <v>2</v>
      </c>
      <c r="CO46" s="110">
        <v>2035.1999999999996</v>
      </c>
      <c r="CP46" s="110">
        <v>3</v>
      </c>
      <c r="CQ46" s="110">
        <v>3052.7999999999993</v>
      </c>
      <c r="CR46" s="110">
        <v>3</v>
      </c>
      <c r="CS46" s="110">
        <v>3052.7999999999993</v>
      </c>
      <c r="CT46" s="110">
        <v>4</v>
      </c>
      <c r="CU46" s="110">
        <v>4070.3999999999992</v>
      </c>
    </row>
    <row r="47" spans="2:99" x14ac:dyDescent="0.2">
      <c r="C47" s="109" t="s">
        <v>215</v>
      </c>
      <c r="D47" s="110">
        <v>14</v>
      </c>
      <c r="E47" s="110">
        <v>18446.399999999998</v>
      </c>
      <c r="F47" s="110">
        <v>9</v>
      </c>
      <c r="G47" s="110">
        <v>11858.4</v>
      </c>
      <c r="H47" s="110">
        <v>11</v>
      </c>
      <c r="I47" s="110">
        <v>14493.599999999999</v>
      </c>
      <c r="J47" s="110">
        <v>9</v>
      </c>
      <c r="K47" s="110">
        <v>11858.4</v>
      </c>
      <c r="L47" s="110">
        <v>14</v>
      </c>
      <c r="M47" s="110">
        <v>18446.399999999998</v>
      </c>
      <c r="N47" s="110">
        <v>7</v>
      </c>
      <c r="O47" s="110">
        <v>9223.1999999999989</v>
      </c>
      <c r="P47" s="110">
        <v>12</v>
      </c>
      <c r="Q47" s="110">
        <v>15811.199999999999</v>
      </c>
      <c r="R47" s="110">
        <v>15</v>
      </c>
      <c r="S47" s="110">
        <v>19764</v>
      </c>
      <c r="T47" s="110">
        <v>11</v>
      </c>
      <c r="U47" s="110">
        <v>14493.599999999999</v>
      </c>
      <c r="V47" s="110">
        <v>12</v>
      </c>
      <c r="W47" s="110">
        <v>15811.199999999999</v>
      </c>
      <c r="X47" s="110">
        <v>12</v>
      </c>
      <c r="Y47" s="110">
        <v>15811.199999999999</v>
      </c>
      <c r="Z47" s="110">
        <v>13</v>
      </c>
      <c r="AA47" s="110">
        <v>17128.8</v>
      </c>
      <c r="AB47" s="110">
        <v>25</v>
      </c>
      <c r="AC47" s="110">
        <v>32940</v>
      </c>
      <c r="AD47" s="110">
        <v>38</v>
      </c>
      <c r="AE47" s="110">
        <v>50068.799999999996</v>
      </c>
      <c r="AF47" s="110">
        <v>28</v>
      </c>
      <c r="AG47" s="110">
        <v>36892.799999999996</v>
      </c>
      <c r="AH47" s="110">
        <v>26</v>
      </c>
      <c r="AI47" s="110">
        <v>34257.599999999999</v>
      </c>
      <c r="AJ47" s="110">
        <v>24</v>
      </c>
      <c r="AK47" s="110">
        <v>31622.399999999998</v>
      </c>
      <c r="AL47" s="110">
        <v>22</v>
      </c>
      <c r="AM47" s="110">
        <v>28987.199999999997</v>
      </c>
      <c r="AN47" s="110">
        <v>15</v>
      </c>
      <c r="AO47" s="110">
        <v>19764</v>
      </c>
      <c r="AP47" s="110">
        <v>15</v>
      </c>
      <c r="AQ47" s="110">
        <v>19764</v>
      </c>
      <c r="AR47" s="110">
        <v>39</v>
      </c>
      <c r="AS47" s="110">
        <v>51386.399999999994</v>
      </c>
      <c r="AT47" s="110">
        <v>33</v>
      </c>
      <c r="AU47" s="110">
        <v>43480.799999999996</v>
      </c>
      <c r="AV47" s="110">
        <v>40</v>
      </c>
      <c r="AW47" s="110">
        <v>52704</v>
      </c>
      <c r="AX47" s="110">
        <v>29</v>
      </c>
      <c r="AY47" s="110">
        <v>38210.399999999994</v>
      </c>
      <c r="AZ47" s="110">
        <v>23</v>
      </c>
      <c r="BA47" s="110">
        <v>30304.799999999999</v>
      </c>
      <c r="BB47" s="110">
        <v>30</v>
      </c>
      <c r="BC47" s="110">
        <v>39528</v>
      </c>
      <c r="BD47" s="110">
        <v>20</v>
      </c>
      <c r="BE47" s="110">
        <v>26352</v>
      </c>
      <c r="BF47" s="110">
        <v>25</v>
      </c>
      <c r="BG47" s="110">
        <v>32940</v>
      </c>
      <c r="BH47" s="110">
        <v>26</v>
      </c>
      <c r="BI47" s="110">
        <v>34257.599999999999</v>
      </c>
      <c r="BJ47" s="110">
        <v>29</v>
      </c>
      <c r="BK47" s="110">
        <v>38210.399999999994</v>
      </c>
      <c r="BL47" s="110">
        <v>36</v>
      </c>
      <c r="BM47" s="110">
        <v>47433.599999999999</v>
      </c>
      <c r="BN47" s="110">
        <v>31</v>
      </c>
      <c r="BO47" s="110">
        <v>40845.599999999999</v>
      </c>
      <c r="BP47" s="110">
        <v>18</v>
      </c>
      <c r="BQ47" s="110">
        <v>23716.799999999999</v>
      </c>
      <c r="BR47" s="110">
        <v>19</v>
      </c>
      <c r="BS47" s="110">
        <v>25034.399999999998</v>
      </c>
      <c r="BT47" s="110">
        <v>28</v>
      </c>
      <c r="BU47" s="110">
        <v>36892.799999999996</v>
      </c>
      <c r="BV47" s="110">
        <v>17</v>
      </c>
      <c r="BW47" s="110">
        <v>22399.199999999997</v>
      </c>
      <c r="BX47" s="110">
        <v>8</v>
      </c>
      <c r="BY47" s="110">
        <v>10540.8</v>
      </c>
      <c r="BZ47" s="110">
        <v>8</v>
      </c>
      <c r="CA47" s="110">
        <v>10540.8</v>
      </c>
      <c r="CB47" s="110">
        <v>13</v>
      </c>
      <c r="CC47" s="110">
        <v>17128.8</v>
      </c>
      <c r="CD47" s="110">
        <v>15</v>
      </c>
      <c r="CE47" s="110">
        <v>19764</v>
      </c>
      <c r="CF47" s="110">
        <v>3</v>
      </c>
      <c r="CG47" s="110">
        <v>3952.7999999999997</v>
      </c>
      <c r="CH47" s="110">
        <v>3</v>
      </c>
      <c r="CI47" s="110">
        <v>3952.7999999999997</v>
      </c>
      <c r="CJ47" s="110">
        <v>3</v>
      </c>
      <c r="CK47" s="110">
        <v>3952.7999999999997</v>
      </c>
      <c r="CL47" s="110">
        <v>2</v>
      </c>
      <c r="CM47" s="110">
        <v>2635.2</v>
      </c>
      <c r="CN47" s="110">
        <v>3</v>
      </c>
      <c r="CO47" s="110">
        <v>3952.7999999999997</v>
      </c>
      <c r="CP47" s="110">
        <v>3</v>
      </c>
      <c r="CQ47" s="110">
        <v>3952.7999999999997</v>
      </c>
      <c r="CR47" s="110">
        <v>3</v>
      </c>
      <c r="CS47" s="110">
        <v>3952.7999999999997</v>
      </c>
      <c r="CT47" s="110">
        <v>4</v>
      </c>
      <c r="CU47" s="110">
        <v>5270.4</v>
      </c>
    </row>
    <row r="48" spans="2:99" x14ac:dyDescent="0.2">
      <c r="C48" s="109" t="s">
        <v>216</v>
      </c>
      <c r="D48" s="110">
        <v>17</v>
      </c>
      <c r="E48" s="110">
        <v>11179.2</v>
      </c>
      <c r="F48" s="110">
        <v>8</v>
      </c>
      <c r="G48" s="110">
        <v>5260.8</v>
      </c>
      <c r="H48" s="110">
        <v>13</v>
      </c>
      <c r="I48" s="110">
        <v>8548.8000000000011</v>
      </c>
      <c r="J48" s="110">
        <v>9</v>
      </c>
      <c r="K48" s="110">
        <v>5918.4000000000005</v>
      </c>
      <c r="L48" s="110">
        <v>14</v>
      </c>
      <c r="M48" s="110">
        <v>9206.4</v>
      </c>
      <c r="N48" s="110">
        <v>8</v>
      </c>
      <c r="O48" s="110">
        <v>5260.8</v>
      </c>
      <c r="P48" s="110">
        <v>13</v>
      </c>
      <c r="Q48" s="110">
        <v>8548.8000000000011</v>
      </c>
      <c r="R48" s="110">
        <v>15</v>
      </c>
      <c r="S48" s="110">
        <v>9864</v>
      </c>
      <c r="T48" s="110">
        <v>12</v>
      </c>
      <c r="U48" s="110">
        <v>7891.2000000000007</v>
      </c>
      <c r="V48" s="110">
        <v>13</v>
      </c>
      <c r="W48" s="110">
        <v>8548.8000000000011</v>
      </c>
      <c r="X48" s="110">
        <v>11</v>
      </c>
      <c r="Y48" s="110">
        <v>7233.6</v>
      </c>
      <c r="Z48" s="110">
        <v>12</v>
      </c>
      <c r="AA48" s="110">
        <v>7891.2000000000007</v>
      </c>
      <c r="AB48" s="110">
        <v>31</v>
      </c>
      <c r="AC48" s="110">
        <v>20385.600000000002</v>
      </c>
      <c r="AD48" s="110">
        <v>38</v>
      </c>
      <c r="AE48" s="110">
        <v>24988.799999999999</v>
      </c>
      <c r="AF48" s="110">
        <v>28</v>
      </c>
      <c r="AG48" s="110">
        <v>18412.8</v>
      </c>
      <c r="AH48" s="110">
        <v>26</v>
      </c>
      <c r="AI48" s="110">
        <v>17097.600000000002</v>
      </c>
      <c r="AJ48" s="110">
        <v>26</v>
      </c>
      <c r="AK48" s="110">
        <v>17097.600000000002</v>
      </c>
      <c r="AL48" s="110">
        <v>24</v>
      </c>
      <c r="AM48" s="110">
        <v>15782.400000000001</v>
      </c>
      <c r="AN48" s="110">
        <v>15</v>
      </c>
      <c r="AO48" s="110">
        <v>9864</v>
      </c>
      <c r="AP48" s="110">
        <v>17</v>
      </c>
      <c r="AQ48" s="110">
        <v>11179.2</v>
      </c>
      <c r="AR48" s="110">
        <v>46</v>
      </c>
      <c r="AS48" s="110">
        <v>30249.600000000002</v>
      </c>
      <c r="AT48" s="110">
        <v>37</v>
      </c>
      <c r="AU48" s="110">
        <v>24331.200000000001</v>
      </c>
      <c r="AV48" s="110">
        <v>51</v>
      </c>
      <c r="AW48" s="110">
        <v>33537.599999999999</v>
      </c>
      <c r="AX48" s="110">
        <v>31</v>
      </c>
      <c r="AY48" s="110">
        <v>20385.600000000002</v>
      </c>
      <c r="AZ48" s="110">
        <v>23</v>
      </c>
      <c r="BA48" s="110">
        <v>15124.800000000001</v>
      </c>
      <c r="BB48" s="110">
        <v>31</v>
      </c>
      <c r="BC48" s="110">
        <v>20385.600000000002</v>
      </c>
      <c r="BD48" s="110">
        <v>21</v>
      </c>
      <c r="BE48" s="110">
        <v>13809.6</v>
      </c>
      <c r="BF48" s="110">
        <v>26</v>
      </c>
      <c r="BG48" s="110">
        <v>17097.600000000002</v>
      </c>
      <c r="BH48" s="110">
        <v>29</v>
      </c>
      <c r="BI48" s="110">
        <v>19070.400000000001</v>
      </c>
      <c r="BJ48" s="110">
        <v>29</v>
      </c>
      <c r="BK48" s="110">
        <v>19070.400000000001</v>
      </c>
      <c r="BL48" s="110">
        <v>41</v>
      </c>
      <c r="BM48" s="110">
        <v>26961.600000000002</v>
      </c>
      <c r="BN48" s="110">
        <v>35</v>
      </c>
      <c r="BO48" s="110">
        <v>23016</v>
      </c>
      <c r="BP48" s="110">
        <v>21</v>
      </c>
      <c r="BQ48" s="110">
        <v>13809.6</v>
      </c>
      <c r="BR48" s="110">
        <v>23</v>
      </c>
      <c r="BS48" s="110">
        <v>15124.800000000001</v>
      </c>
      <c r="BT48" s="110">
        <v>36</v>
      </c>
      <c r="BU48" s="110">
        <v>23673.600000000002</v>
      </c>
      <c r="BV48" s="110">
        <v>18</v>
      </c>
      <c r="BW48" s="110">
        <v>11836.800000000001</v>
      </c>
      <c r="BX48" s="110">
        <v>9</v>
      </c>
      <c r="BY48" s="110">
        <v>5918.4000000000005</v>
      </c>
      <c r="BZ48" s="110">
        <v>9</v>
      </c>
      <c r="CA48" s="110">
        <v>5918.4000000000005</v>
      </c>
      <c r="CB48" s="110">
        <v>16</v>
      </c>
      <c r="CC48" s="110">
        <v>10521.6</v>
      </c>
      <c r="CD48" s="110">
        <v>15</v>
      </c>
      <c r="CE48" s="110">
        <v>9864</v>
      </c>
      <c r="CF48" s="110">
        <v>3</v>
      </c>
      <c r="CG48" s="110">
        <v>1972.8000000000002</v>
      </c>
      <c r="CH48" s="110">
        <v>4</v>
      </c>
      <c r="CI48" s="110">
        <v>2630.4</v>
      </c>
      <c r="CJ48" s="110">
        <v>3</v>
      </c>
      <c r="CK48" s="110">
        <v>1972.8000000000002</v>
      </c>
      <c r="CL48" s="110">
        <v>3</v>
      </c>
      <c r="CM48" s="110">
        <v>1972.8000000000002</v>
      </c>
      <c r="CN48" s="110">
        <v>3</v>
      </c>
      <c r="CO48" s="110">
        <v>1972.8000000000002</v>
      </c>
      <c r="CP48" s="110">
        <v>3</v>
      </c>
      <c r="CQ48" s="110">
        <v>1972.8000000000002</v>
      </c>
      <c r="CR48" s="110">
        <v>3</v>
      </c>
      <c r="CS48" s="110">
        <v>1972.8000000000002</v>
      </c>
      <c r="CT48" s="110">
        <v>4</v>
      </c>
      <c r="CU48" s="110">
        <v>2630.4</v>
      </c>
    </row>
    <row r="49" spans="2:99" x14ac:dyDescent="0.2">
      <c r="B49" s="109" t="s">
        <v>129</v>
      </c>
      <c r="C49" s="109" t="s">
        <v>217</v>
      </c>
      <c r="D49" s="110">
        <v>14</v>
      </c>
      <c r="E49" s="110">
        <v>4720.8</v>
      </c>
      <c r="F49" s="110">
        <v>10</v>
      </c>
      <c r="G49" s="110">
        <v>3372</v>
      </c>
      <c r="H49" s="110">
        <v>12</v>
      </c>
      <c r="I49" s="110">
        <v>4046.3999999999996</v>
      </c>
      <c r="J49" s="110">
        <v>14</v>
      </c>
      <c r="K49" s="110">
        <v>4720.8</v>
      </c>
      <c r="L49" s="110">
        <v>10</v>
      </c>
      <c r="M49" s="110">
        <v>3372</v>
      </c>
      <c r="N49" s="110">
        <v>10</v>
      </c>
      <c r="O49" s="110">
        <v>3372</v>
      </c>
      <c r="P49" s="110">
        <v>14</v>
      </c>
      <c r="Q49" s="110">
        <v>4720.8</v>
      </c>
      <c r="R49" s="110">
        <v>8</v>
      </c>
      <c r="S49" s="110">
        <v>2697.6</v>
      </c>
      <c r="T49" s="110">
        <v>3</v>
      </c>
      <c r="U49" s="110">
        <v>1011.5999999999999</v>
      </c>
      <c r="V49" s="110">
        <v>3</v>
      </c>
      <c r="W49" s="110">
        <v>1011.5999999999999</v>
      </c>
      <c r="X49" s="110">
        <v>3</v>
      </c>
      <c r="Y49" s="110">
        <v>1011.5999999999999</v>
      </c>
      <c r="Z49" s="110">
        <v>3</v>
      </c>
      <c r="AA49" s="110">
        <v>1011.5999999999999</v>
      </c>
      <c r="AB49" s="110">
        <v>23</v>
      </c>
      <c r="AC49" s="110">
        <v>7755.5999999999995</v>
      </c>
      <c r="AD49" s="110">
        <v>30</v>
      </c>
      <c r="AE49" s="110">
        <v>10116</v>
      </c>
      <c r="AF49" s="110">
        <v>31</v>
      </c>
      <c r="AG49" s="110">
        <v>10453.199999999999</v>
      </c>
      <c r="AH49" s="110">
        <v>33</v>
      </c>
      <c r="AI49" s="110">
        <v>11127.6</v>
      </c>
      <c r="AJ49" s="110">
        <v>47</v>
      </c>
      <c r="AK49" s="110">
        <v>15848.4</v>
      </c>
      <c r="AL49" s="110">
        <v>41</v>
      </c>
      <c r="AM49" s="110">
        <v>13825.199999999999</v>
      </c>
      <c r="AN49" s="110">
        <v>47</v>
      </c>
      <c r="AO49" s="110">
        <v>15848.4</v>
      </c>
      <c r="AP49" s="110">
        <v>44</v>
      </c>
      <c r="AQ49" s="110">
        <v>14836.8</v>
      </c>
      <c r="AR49" s="110">
        <v>14</v>
      </c>
      <c r="AS49" s="110">
        <v>4720.8</v>
      </c>
      <c r="AT49" s="110">
        <v>23</v>
      </c>
      <c r="AU49" s="110">
        <v>7755.5999999999995</v>
      </c>
      <c r="AV49" s="110">
        <v>16</v>
      </c>
      <c r="AW49" s="110">
        <v>5395.2</v>
      </c>
      <c r="AX49" s="110">
        <v>15</v>
      </c>
      <c r="AY49" s="110">
        <v>5058</v>
      </c>
      <c r="AZ49" s="110">
        <v>11</v>
      </c>
      <c r="BA49" s="110">
        <v>3709.2</v>
      </c>
      <c r="BB49" s="110">
        <v>12</v>
      </c>
      <c r="BC49" s="110">
        <v>4046.3999999999996</v>
      </c>
      <c r="BD49" s="110">
        <v>8</v>
      </c>
      <c r="BE49" s="110">
        <v>2697.6</v>
      </c>
      <c r="BF49" s="110">
        <v>13</v>
      </c>
      <c r="BG49" s="110">
        <v>4383.5999999999995</v>
      </c>
      <c r="BH49" s="110">
        <v>9</v>
      </c>
      <c r="BI49" s="110">
        <v>3034.7999999999997</v>
      </c>
      <c r="BJ49" s="110">
        <v>13</v>
      </c>
      <c r="BK49" s="110">
        <v>4383.5999999999995</v>
      </c>
      <c r="BL49" s="110">
        <v>9</v>
      </c>
      <c r="BM49" s="110">
        <v>3034.7999999999997</v>
      </c>
      <c r="BN49" s="110">
        <v>17</v>
      </c>
      <c r="BO49" s="110">
        <v>5732.4</v>
      </c>
      <c r="BP49" s="110">
        <v>34</v>
      </c>
      <c r="BQ49" s="110">
        <v>11464.8</v>
      </c>
      <c r="BR49" s="110">
        <v>24</v>
      </c>
      <c r="BS49" s="110">
        <v>8092.7999999999993</v>
      </c>
      <c r="BT49" s="110">
        <v>29</v>
      </c>
      <c r="BU49" s="110">
        <v>9778.7999999999993</v>
      </c>
      <c r="BV49" s="110">
        <v>18</v>
      </c>
      <c r="BW49" s="110">
        <v>6069.5999999999995</v>
      </c>
      <c r="BX49" s="110">
        <v>10</v>
      </c>
      <c r="BY49" s="110">
        <v>3372</v>
      </c>
      <c r="BZ49" s="110">
        <v>7</v>
      </c>
      <c r="CA49" s="110">
        <v>2360.4</v>
      </c>
      <c r="CB49" s="110">
        <v>10</v>
      </c>
      <c r="CC49" s="110">
        <v>3372</v>
      </c>
      <c r="CD49" s="110">
        <v>8</v>
      </c>
      <c r="CE49" s="110">
        <v>2697.6</v>
      </c>
      <c r="CF49" s="110">
        <v>3</v>
      </c>
      <c r="CG49" s="110">
        <v>1011.5999999999999</v>
      </c>
      <c r="CH49" s="110">
        <v>2</v>
      </c>
      <c r="CI49" s="110">
        <v>674.4</v>
      </c>
      <c r="CJ49" s="110">
        <v>3</v>
      </c>
      <c r="CK49" s="110">
        <v>1011.5999999999999</v>
      </c>
      <c r="CL49" s="110">
        <v>2</v>
      </c>
      <c r="CM49" s="110">
        <v>674.4</v>
      </c>
      <c r="CN49" s="110">
        <v>25</v>
      </c>
      <c r="CO49" s="110">
        <v>8430</v>
      </c>
      <c r="CP49" s="110">
        <v>21</v>
      </c>
      <c r="CQ49" s="110">
        <v>7081.2</v>
      </c>
      <c r="CR49" s="110">
        <v>17</v>
      </c>
      <c r="CS49" s="110">
        <v>5732.4</v>
      </c>
      <c r="CT49" s="110">
        <v>18</v>
      </c>
      <c r="CU49" s="110">
        <v>6069.5999999999995</v>
      </c>
    </row>
    <row r="50" spans="2:99" x14ac:dyDescent="0.2">
      <c r="C50" s="109" t="s">
        <v>218</v>
      </c>
      <c r="D50" s="110">
        <v>14</v>
      </c>
      <c r="E50" s="110">
        <v>5409.5999999999995</v>
      </c>
      <c r="F50" s="110">
        <v>9</v>
      </c>
      <c r="G50" s="110">
        <v>3477.6</v>
      </c>
      <c r="H50" s="110">
        <v>12</v>
      </c>
      <c r="I50" s="110">
        <v>4636.7999999999993</v>
      </c>
      <c r="J50" s="110">
        <v>13</v>
      </c>
      <c r="K50" s="110">
        <v>5023.2</v>
      </c>
      <c r="L50" s="110">
        <v>10</v>
      </c>
      <c r="M50" s="110">
        <v>3864</v>
      </c>
      <c r="N50" s="110">
        <v>9</v>
      </c>
      <c r="O50" s="110">
        <v>3477.6</v>
      </c>
      <c r="P50" s="110">
        <v>12</v>
      </c>
      <c r="Q50" s="110">
        <v>4636.7999999999993</v>
      </c>
      <c r="R50" s="110">
        <v>8</v>
      </c>
      <c r="S50" s="110">
        <v>3091.2</v>
      </c>
      <c r="T50" s="110">
        <v>3</v>
      </c>
      <c r="U50" s="110">
        <v>1159.1999999999998</v>
      </c>
      <c r="V50" s="110">
        <v>3</v>
      </c>
      <c r="W50" s="110">
        <v>1159.1999999999998</v>
      </c>
      <c r="X50" s="110">
        <v>2</v>
      </c>
      <c r="Y50" s="110">
        <v>772.8</v>
      </c>
      <c r="Z50" s="110">
        <v>4</v>
      </c>
      <c r="AA50" s="110">
        <v>1545.6</v>
      </c>
      <c r="AB50" s="110">
        <v>23</v>
      </c>
      <c r="AC50" s="110">
        <v>8887.1999999999989</v>
      </c>
      <c r="AD50" s="110">
        <v>26</v>
      </c>
      <c r="AE50" s="110">
        <v>10046.4</v>
      </c>
      <c r="AF50" s="110">
        <v>31</v>
      </c>
      <c r="AG50" s="110">
        <v>11978.4</v>
      </c>
      <c r="AH50" s="110">
        <v>32</v>
      </c>
      <c r="AI50" s="110">
        <v>12364.8</v>
      </c>
      <c r="AJ50" s="110">
        <v>49</v>
      </c>
      <c r="AK50" s="110">
        <v>18933.599999999999</v>
      </c>
      <c r="AL50" s="110">
        <v>42</v>
      </c>
      <c r="AM50" s="110">
        <v>16228.8</v>
      </c>
      <c r="AN50" s="110">
        <v>46</v>
      </c>
      <c r="AO50" s="110">
        <v>17774.399999999998</v>
      </c>
      <c r="AP50" s="110">
        <v>44</v>
      </c>
      <c r="AQ50" s="110">
        <v>17001.599999999999</v>
      </c>
      <c r="AR50" s="110">
        <v>14</v>
      </c>
      <c r="AS50" s="110">
        <v>5409.5999999999995</v>
      </c>
      <c r="AT50" s="110">
        <v>23</v>
      </c>
      <c r="AU50" s="110">
        <v>8887.1999999999989</v>
      </c>
      <c r="AV50" s="110">
        <v>18</v>
      </c>
      <c r="AW50" s="110">
        <v>6955.2</v>
      </c>
      <c r="AX50" s="110">
        <v>15</v>
      </c>
      <c r="AY50" s="110">
        <v>5796</v>
      </c>
      <c r="AZ50" s="110">
        <v>10</v>
      </c>
      <c r="BA50" s="110">
        <v>3864</v>
      </c>
      <c r="BB50" s="110">
        <v>13</v>
      </c>
      <c r="BC50" s="110">
        <v>5023.2</v>
      </c>
      <c r="BD50" s="110">
        <v>10</v>
      </c>
      <c r="BE50" s="110">
        <v>3864</v>
      </c>
      <c r="BF50" s="110">
        <v>14</v>
      </c>
      <c r="BG50" s="110">
        <v>5409.5999999999995</v>
      </c>
      <c r="BH50" s="110">
        <v>10</v>
      </c>
      <c r="BI50" s="110">
        <v>3864</v>
      </c>
      <c r="BJ50" s="110">
        <v>12</v>
      </c>
      <c r="BK50" s="110">
        <v>4636.7999999999993</v>
      </c>
      <c r="BL50" s="110">
        <v>10</v>
      </c>
      <c r="BM50" s="110">
        <v>3864</v>
      </c>
      <c r="BN50" s="110">
        <v>16</v>
      </c>
      <c r="BO50" s="110">
        <v>6182.4</v>
      </c>
      <c r="BP50" s="110">
        <v>33</v>
      </c>
      <c r="BQ50" s="110">
        <v>12751.199999999999</v>
      </c>
      <c r="BR50" s="110">
        <v>23</v>
      </c>
      <c r="BS50" s="110">
        <v>8887.1999999999989</v>
      </c>
      <c r="BT50" s="110">
        <v>28</v>
      </c>
      <c r="BU50" s="110">
        <v>10819.199999999999</v>
      </c>
      <c r="BV50" s="110">
        <v>20</v>
      </c>
      <c r="BW50" s="110">
        <v>7728</v>
      </c>
      <c r="BX50" s="110">
        <v>10</v>
      </c>
      <c r="BY50" s="110">
        <v>3864</v>
      </c>
      <c r="BZ50" s="110">
        <v>6</v>
      </c>
      <c r="CA50" s="110">
        <v>2318.3999999999996</v>
      </c>
      <c r="CB50" s="110">
        <v>9</v>
      </c>
      <c r="CC50" s="110">
        <v>3477.6</v>
      </c>
      <c r="CD50" s="110">
        <v>8</v>
      </c>
      <c r="CE50" s="110">
        <v>3091.2</v>
      </c>
      <c r="CF50" s="110">
        <v>3</v>
      </c>
      <c r="CG50" s="110">
        <v>1159.1999999999998</v>
      </c>
      <c r="CH50" s="110">
        <v>2</v>
      </c>
      <c r="CI50" s="110">
        <v>772.8</v>
      </c>
      <c r="CJ50" s="110">
        <v>2</v>
      </c>
      <c r="CK50" s="110">
        <v>772.8</v>
      </c>
      <c r="CL50" s="110">
        <v>2</v>
      </c>
      <c r="CM50" s="110">
        <v>772.8</v>
      </c>
      <c r="CN50" s="110">
        <v>27</v>
      </c>
      <c r="CO50" s="110">
        <v>10432.799999999999</v>
      </c>
      <c r="CP50" s="110">
        <v>22</v>
      </c>
      <c r="CQ50" s="110">
        <v>8500.7999999999993</v>
      </c>
      <c r="CR50" s="110">
        <v>15</v>
      </c>
      <c r="CS50" s="110">
        <v>5796</v>
      </c>
      <c r="CT50" s="110">
        <v>18</v>
      </c>
      <c r="CU50" s="110">
        <v>6955.2</v>
      </c>
    </row>
    <row r="51" spans="2:99" x14ac:dyDescent="0.2">
      <c r="C51" s="109" t="s">
        <v>219</v>
      </c>
      <c r="D51" s="110">
        <v>14</v>
      </c>
      <c r="E51" s="110">
        <v>9844.7999999999993</v>
      </c>
      <c r="F51" s="110">
        <v>9</v>
      </c>
      <c r="G51" s="110">
        <v>6328.7999999999993</v>
      </c>
      <c r="H51" s="110">
        <v>12</v>
      </c>
      <c r="I51" s="110">
        <v>8438.4</v>
      </c>
      <c r="J51" s="110">
        <v>13</v>
      </c>
      <c r="K51" s="110">
        <v>9141.5999999999985</v>
      </c>
      <c r="L51" s="110">
        <v>9</v>
      </c>
      <c r="M51" s="110">
        <v>6328.7999999999993</v>
      </c>
      <c r="N51" s="110">
        <v>10</v>
      </c>
      <c r="O51" s="110">
        <v>7031.9999999999991</v>
      </c>
      <c r="P51" s="110">
        <v>14</v>
      </c>
      <c r="Q51" s="110">
        <v>9844.7999999999993</v>
      </c>
      <c r="R51" s="110">
        <v>7</v>
      </c>
      <c r="S51" s="110">
        <v>4922.3999999999996</v>
      </c>
      <c r="T51" s="110">
        <v>3</v>
      </c>
      <c r="U51" s="110">
        <v>2109.6</v>
      </c>
      <c r="V51" s="110">
        <v>3</v>
      </c>
      <c r="W51" s="110">
        <v>2109.6</v>
      </c>
      <c r="X51" s="110">
        <v>2</v>
      </c>
      <c r="Y51" s="110">
        <v>1406.3999999999999</v>
      </c>
      <c r="Z51" s="110">
        <v>3</v>
      </c>
      <c r="AA51" s="110">
        <v>2109.6</v>
      </c>
      <c r="AB51" s="110">
        <v>21</v>
      </c>
      <c r="AC51" s="110">
        <v>14767.199999999999</v>
      </c>
      <c r="AD51" s="110">
        <v>29</v>
      </c>
      <c r="AE51" s="110">
        <v>20392.8</v>
      </c>
      <c r="AF51" s="110">
        <v>30</v>
      </c>
      <c r="AG51" s="110">
        <v>21095.999999999996</v>
      </c>
      <c r="AH51" s="110">
        <v>28</v>
      </c>
      <c r="AI51" s="110">
        <v>19689.599999999999</v>
      </c>
      <c r="AJ51" s="110">
        <v>47</v>
      </c>
      <c r="AK51" s="110">
        <v>33050.399999999994</v>
      </c>
      <c r="AL51" s="110">
        <v>38</v>
      </c>
      <c r="AM51" s="110">
        <v>26721.599999999999</v>
      </c>
      <c r="AN51" s="110">
        <v>49</v>
      </c>
      <c r="AO51" s="110">
        <v>34456.799999999996</v>
      </c>
      <c r="AP51" s="110">
        <v>40</v>
      </c>
      <c r="AQ51" s="110">
        <v>28127.999999999996</v>
      </c>
      <c r="AR51" s="110">
        <v>13</v>
      </c>
      <c r="AS51" s="110">
        <v>9141.5999999999985</v>
      </c>
      <c r="AT51" s="110">
        <v>22</v>
      </c>
      <c r="AU51" s="110">
        <v>15470.399999999998</v>
      </c>
      <c r="AV51" s="110">
        <v>16</v>
      </c>
      <c r="AW51" s="110">
        <v>11251.199999999999</v>
      </c>
      <c r="AX51" s="110">
        <v>14</v>
      </c>
      <c r="AY51" s="110">
        <v>9844.7999999999993</v>
      </c>
      <c r="AZ51" s="110">
        <v>10</v>
      </c>
      <c r="BA51" s="110">
        <v>7031.9999999999991</v>
      </c>
      <c r="BB51" s="110">
        <v>14</v>
      </c>
      <c r="BC51" s="110">
        <v>9844.7999999999993</v>
      </c>
      <c r="BD51" s="110">
        <v>9</v>
      </c>
      <c r="BE51" s="110">
        <v>6328.7999999999993</v>
      </c>
      <c r="BF51" s="110">
        <v>15</v>
      </c>
      <c r="BG51" s="110">
        <v>10547.999999999998</v>
      </c>
      <c r="BH51" s="110">
        <v>10</v>
      </c>
      <c r="BI51" s="110">
        <v>7031.9999999999991</v>
      </c>
      <c r="BJ51" s="110">
        <v>10</v>
      </c>
      <c r="BK51" s="110">
        <v>7031.9999999999991</v>
      </c>
      <c r="BL51" s="110">
        <v>9</v>
      </c>
      <c r="BM51" s="110">
        <v>6328.7999999999993</v>
      </c>
      <c r="BN51" s="110">
        <v>17</v>
      </c>
      <c r="BO51" s="110">
        <v>11954.4</v>
      </c>
      <c r="BP51" s="110">
        <v>30</v>
      </c>
      <c r="BQ51" s="110">
        <v>21095.999999999996</v>
      </c>
      <c r="BR51" s="110">
        <v>22</v>
      </c>
      <c r="BS51" s="110">
        <v>15470.399999999998</v>
      </c>
      <c r="BT51" s="110">
        <v>26</v>
      </c>
      <c r="BU51" s="110">
        <v>18283.199999999997</v>
      </c>
      <c r="BV51" s="110">
        <v>18</v>
      </c>
      <c r="BW51" s="110">
        <v>12657.599999999999</v>
      </c>
      <c r="BX51" s="110">
        <v>9</v>
      </c>
      <c r="BY51" s="110">
        <v>6328.7999999999993</v>
      </c>
      <c r="BZ51" s="110">
        <v>7</v>
      </c>
      <c r="CA51" s="110">
        <v>4922.3999999999996</v>
      </c>
      <c r="CB51" s="110">
        <v>9</v>
      </c>
      <c r="CC51" s="110">
        <v>6328.7999999999993</v>
      </c>
      <c r="CD51" s="110">
        <v>8</v>
      </c>
      <c r="CE51" s="110">
        <v>5625.5999999999995</v>
      </c>
      <c r="CF51" s="110">
        <v>3</v>
      </c>
      <c r="CG51" s="110">
        <v>2109.6</v>
      </c>
      <c r="CH51" s="110">
        <v>2</v>
      </c>
      <c r="CI51" s="110">
        <v>1406.3999999999999</v>
      </c>
      <c r="CJ51" s="110">
        <v>3</v>
      </c>
      <c r="CK51" s="110">
        <v>2109.6</v>
      </c>
      <c r="CL51" s="110">
        <v>2</v>
      </c>
      <c r="CM51" s="110">
        <v>1406.3999999999999</v>
      </c>
      <c r="CN51" s="110">
        <v>26</v>
      </c>
      <c r="CO51" s="110">
        <v>18283.199999999997</v>
      </c>
      <c r="CP51" s="110">
        <v>20</v>
      </c>
      <c r="CQ51" s="110">
        <v>14063.999999999998</v>
      </c>
      <c r="CR51" s="110">
        <v>16</v>
      </c>
      <c r="CS51" s="110">
        <v>11251.199999999999</v>
      </c>
      <c r="CT51" s="110">
        <v>15</v>
      </c>
      <c r="CU51" s="110">
        <v>10547.999999999998</v>
      </c>
    </row>
    <row r="52" spans="2:99" x14ac:dyDescent="0.2">
      <c r="C52" s="109" t="s">
        <v>220</v>
      </c>
      <c r="D52" s="110">
        <v>14</v>
      </c>
      <c r="E52" s="110">
        <v>8652</v>
      </c>
      <c r="F52" s="110">
        <v>9</v>
      </c>
      <c r="G52" s="110">
        <v>5562</v>
      </c>
      <c r="H52" s="110">
        <v>13</v>
      </c>
      <c r="I52" s="110">
        <v>8034</v>
      </c>
      <c r="J52" s="110">
        <v>12</v>
      </c>
      <c r="K52" s="110">
        <v>7416</v>
      </c>
      <c r="L52" s="110">
        <v>9</v>
      </c>
      <c r="M52" s="110">
        <v>5562</v>
      </c>
      <c r="N52" s="110">
        <v>9</v>
      </c>
      <c r="O52" s="110">
        <v>5562</v>
      </c>
      <c r="P52" s="110">
        <v>13</v>
      </c>
      <c r="Q52" s="110">
        <v>8034</v>
      </c>
      <c r="R52" s="110">
        <v>8</v>
      </c>
      <c r="S52" s="110">
        <v>4944</v>
      </c>
      <c r="T52" s="110">
        <v>3</v>
      </c>
      <c r="U52" s="110">
        <v>1854</v>
      </c>
      <c r="V52" s="110">
        <v>3</v>
      </c>
      <c r="W52" s="110">
        <v>1854</v>
      </c>
      <c r="X52" s="110">
        <v>2</v>
      </c>
      <c r="Y52" s="110">
        <v>1236</v>
      </c>
      <c r="Z52" s="110">
        <v>3</v>
      </c>
      <c r="AA52" s="110">
        <v>1854</v>
      </c>
      <c r="AB52" s="110">
        <v>23</v>
      </c>
      <c r="AC52" s="110">
        <v>14214</v>
      </c>
      <c r="AD52" s="110">
        <v>26</v>
      </c>
      <c r="AE52" s="110">
        <v>16068</v>
      </c>
      <c r="AF52" s="110">
        <v>30</v>
      </c>
      <c r="AG52" s="110">
        <v>18540</v>
      </c>
      <c r="AH52" s="110">
        <v>33</v>
      </c>
      <c r="AI52" s="110">
        <v>20394</v>
      </c>
      <c r="AJ52" s="110">
        <v>41</v>
      </c>
      <c r="AK52" s="110">
        <v>25338</v>
      </c>
      <c r="AL52" s="110">
        <v>35</v>
      </c>
      <c r="AM52" s="110">
        <v>21630</v>
      </c>
      <c r="AN52" s="110">
        <v>50</v>
      </c>
      <c r="AO52" s="110">
        <v>30900</v>
      </c>
      <c r="AP52" s="110">
        <v>44</v>
      </c>
      <c r="AQ52" s="110">
        <v>27192</v>
      </c>
      <c r="AR52" s="110">
        <v>13</v>
      </c>
      <c r="AS52" s="110">
        <v>8034</v>
      </c>
      <c r="AT52" s="110">
        <v>22</v>
      </c>
      <c r="AU52" s="110">
        <v>13596</v>
      </c>
      <c r="AV52" s="110">
        <v>17</v>
      </c>
      <c r="AW52" s="110">
        <v>10506</v>
      </c>
      <c r="AX52" s="110">
        <v>17</v>
      </c>
      <c r="AY52" s="110">
        <v>10506</v>
      </c>
      <c r="AZ52" s="110">
        <v>9</v>
      </c>
      <c r="BA52" s="110">
        <v>5562</v>
      </c>
      <c r="BB52" s="110">
        <v>13</v>
      </c>
      <c r="BC52" s="110">
        <v>8034</v>
      </c>
      <c r="BD52" s="110">
        <v>9</v>
      </c>
      <c r="BE52" s="110">
        <v>5562</v>
      </c>
      <c r="BF52" s="110">
        <v>12</v>
      </c>
      <c r="BG52" s="110">
        <v>7416</v>
      </c>
      <c r="BH52" s="110">
        <v>11</v>
      </c>
      <c r="BI52" s="110">
        <v>6798</v>
      </c>
      <c r="BJ52" s="110">
        <v>12</v>
      </c>
      <c r="BK52" s="110">
        <v>7416</v>
      </c>
      <c r="BL52" s="110">
        <v>9</v>
      </c>
      <c r="BM52" s="110">
        <v>5562</v>
      </c>
      <c r="BN52" s="110">
        <v>16</v>
      </c>
      <c r="BO52" s="110">
        <v>9888</v>
      </c>
      <c r="BP52" s="110">
        <v>33</v>
      </c>
      <c r="BQ52" s="110">
        <v>20394</v>
      </c>
      <c r="BR52" s="110">
        <v>22</v>
      </c>
      <c r="BS52" s="110">
        <v>13596</v>
      </c>
      <c r="BT52" s="110">
        <v>29</v>
      </c>
      <c r="BU52" s="110">
        <v>17922</v>
      </c>
      <c r="BV52" s="110">
        <v>17</v>
      </c>
      <c r="BW52" s="110">
        <v>10506</v>
      </c>
      <c r="BX52" s="110">
        <v>10</v>
      </c>
      <c r="BY52" s="110">
        <v>6180</v>
      </c>
      <c r="BZ52" s="110">
        <v>7</v>
      </c>
      <c r="CA52" s="110">
        <v>4326</v>
      </c>
      <c r="CB52" s="110">
        <v>10</v>
      </c>
      <c r="CC52" s="110">
        <v>6180</v>
      </c>
      <c r="CD52" s="110">
        <v>8</v>
      </c>
      <c r="CE52" s="110">
        <v>4944</v>
      </c>
      <c r="CF52" s="110">
        <v>3</v>
      </c>
      <c r="CG52" s="110">
        <v>1854</v>
      </c>
      <c r="CH52" s="110">
        <v>2</v>
      </c>
      <c r="CI52" s="110">
        <v>1236</v>
      </c>
      <c r="CJ52" s="110">
        <v>3</v>
      </c>
      <c r="CK52" s="110">
        <v>1854</v>
      </c>
      <c r="CL52" s="110">
        <v>2</v>
      </c>
      <c r="CM52" s="110">
        <v>1236</v>
      </c>
      <c r="CN52" s="110">
        <v>25</v>
      </c>
      <c r="CO52" s="110">
        <v>15450</v>
      </c>
      <c r="CP52" s="110">
        <v>21</v>
      </c>
      <c r="CQ52" s="110">
        <v>12978</v>
      </c>
      <c r="CR52" s="110">
        <v>15</v>
      </c>
      <c r="CS52" s="110">
        <v>9270</v>
      </c>
      <c r="CT52" s="110">
        <v>19</v>
      </c>
      <c r="CU52" s="110">
        <v>11742</v>
      </c>
    </row>
    <row r="53" spans="2:99" x14ac:dyDescent="0.2">
      <c r="C53" s="109" t="s">
        <v>221</v>
      </c>
      <c r="D53" s="110">
        <v>13</v>
      </c>
      <c r="E53" s="110">
        <v>6442.7999999999993</v>
      </c>
      <c r="F53" s="110">
        <v>9</v>
      </c>
      <c r="G53" s="110">
        <v>4460.3999999999996</v>
      </c>
      <c r="H53" s="110">
        <v>12</v>
      </c>
      <c r="I53" s="110">
        <v>5947.2</v>
      </c>
      <c r="J53" s="110">
        <v>13</v>
      </c>
      <c r="K53" s="110">
        <v>6442.7999999999993</v>
      </c>
      <c r="L53" s="110">
        <v>10</v>
      </c>
      <c r="M53" s="110">
        <v>4956</v>
      </c>
      <c r="N53" s="110">
        <v>9</v>
      </c>
      <c r="O53" s="110">
        <v>4460.3999999999996</v>
      </c>
      <c r="P53" s="110">
        <v>13</v>
      </c>
      <c r="Q53" s="110">
        <v>6442.7999999999993</v>
      </c>
      <c r="R53" s="110">
        <v>8</v>
      </c>
      <c r="S53" s="110">
        <v>3964.7999999999997</v>
      </c>
      <c r="T53" s="110">
        <v>3</v>
      </c>
      <c r="U53" s="110">
        <v>1486.8</v>
      </c>
      <c r="V53" s="110">
        <v>3</v>
      </c>
      <c r="W53" s="110">
        <v>1486.8</v>
      </c>
      <c r="X53" s="110">
        <v>2</v>
      </c>
      <c r="Y53" s="110">
        <v>991.19999999999993</v>
      </c>
      <c r="Z53" s="110">
        <v>3</v>
      </c>
      <c r="AA53" s="110">
        <v>1486.8</v>
      </c>
      <c r="AB53" s="110">
        <v>22</v>
      </c>
      <c r="AC53" s="110">
        <v>10903.199999999999</v>
      </c>
      <c r="AD53" s="110">
        <v>27</v>
      </c>
      <c r="AE53" s="110">
        <v>13381.199999999999</v>
      </c>
      <c r="AF53" s="110">
        <v>29</v>
      </c>
      <c r="AG53" s="110">
        <v>14372.4</v>
      </c>
      <c r="AH53" s="110">
        <v>32</v>
      </c>
      <c r="AI53" s="110">
        <v>15859.199999999999</v>
      </c>
      <c r="AJ53" s="110">
        <v>45</v>
      </c>
      <c r="AK53" s="110">
        <v>22302</v>
      </c>
      <c r="AL53" s="110">
        <v>37</v>
      </c>
      <c r="AM53" s="110">
        <v>18337.199999999997</v>
      </c>
      <c r="AN53" s="110">
        <v>42</v>
      </c>
      <c r="AO53" s="110">
        <v>20815.199999999997</v>
      </c>
      <c r="AP53" s="110">
        <v>41</v>
      </c>
      <c r="AQ53" s="110">
        <v>20319.599999999999</v>
      </c>
      <c r="AR53" s="110">
        <v>13</v>
      </c>
      <c r="AS53" s="110">
        <v>6442.7999999999993</v>
      </c>
      <c r="AT53" s="110">
        <v>24</v>
      </c>
      <c r="AU53" s="110">
        <v>11894.4</v>
      </c>
      <c r="AV53" s="110">
        <v>17</v>
      </c>
      <c r="AW53" s="110">
        <v>8425.1999999999989</v>
      </c>
      <c r="AX53" s="110">
        <v>18</v>
      </c>
      <c r="AY53" s="110">
        <v>8920.7999999999993</v>
      </c>
      <c r="AZ53" s="110">
        <v>9</v>
      </c>
      <c r="BA53" s="110">
        <v>4460.3999999999996</v>
      </c>
      <c r="BB53" s="110">
        <v>14</v>
      </c>
      <c r="BC53" s="110">
        <v>6938.4</v>
      </c>
      <c r="BD53" s="110">
        <v>9</v>
      </c>
      <c r="BE53" s="110">
        <v>4460.3999999999996</v>
      </c>
      <c r="BF53" s="110">
        <v>14</v>
      </c>
      <c r="BG53" s="110">
        <v>6938.4</v>
      </c>
      <c r="BH53" s="110">
        <v>11</v>
      </c>
      <c r="BI53" s="110">
        <v>5451.5999999999995</v>
      </c>
      <c r="BJ53" s="110">
        <v>11</v>
      </c>
      <c r="BK53" s="110">
        <v>5451.5999999999995</v>
      </c>
      <c r="BL53" s="110">
        <v>9</v>
      </c>
      <c r="BM53" s="110">
        <v>4460.3999999999996</v>
      </c>
      <c r="BN53" s="110">
        <v>17</v>
      </c>
      <c r="BO53" s="110">
        <v>8425.1999999999989</v>
      </c>
      <c r="BP53" s="110">
        <v>32</v>
      </c>
      <c r="BQ53" s="110">
        <v>15859.199999999999</v>
      </c>
      <c r="BR53" s="110">
        <v>24</v>
      </c>
      <c r="BS53" s="110">
        <v>11894.4</v>
      </c>
      <c r="BT53" s="110">
        <v>31</v>
      </c>
      <c r="BU53" s="110">
        <v>15363.599999999999</v>
      </c>
      <c r="BV53" s="110">
        <v>20</v>
      </c>
      <c r="BW53" s="110">
        <v>9912</v>
      </c>
      <c r="BX53" s="110">
        <v>9</v>
      </c>
      <c r="BY53" s="110">
        <v>4460.3999999999996</v>
      </c>
      <c r="BZ53" s="110">
        <v>7</v>
      </c>
      <c r="CA53" s="110">
        <v>3469.2</v>
      </c>
      <c r="CB53" s="110">
        <v>8</v>
      </c>
      <c r="CC53" s="110">
        <v>3964.7999999999997</v>
      </c>
      <c r="CD53" s="110">
        <v>9</v>
      </c>
      <c r="CE53" s="110">
        <v>4460.3999999999996</v>
      </c>
      <c r="CF53" s="110">
        <v>3</v>
      </c>
      <c r="CG53" s="110">
        <v>1486.8</v>
      </c>
      <c r="CH53" s="110">
        <v>2</v>
      </c>
      <c r="CI53" s="110">
        <v>991.19999999999993</v>
      </c>
      <c r="CJ53" s="110">
        <v>3</v>
      </c>
      <c r="CK53" s="110">
        <v>1486.8</v>
      </c>
      <c r="CL53" s="110">
        <v>2</v>
      </c>
      <c r="CM53" s="110">
        <v>991.19999999999993</v>
      </c>
      <c r="CN53" s="110">
        <v>25</v>
      </c>
      <c r="CO53" s="110">
        <v>12390</v>
      </c>
      <c r="CP53" s="110">
        <v>23</v>
      </c>
      <c r="CQ53" s="110">
        <v>11398.8</v>
      </c>
      <c r="CR53" s="110">
        <v>14</v>
      </c>
      <c r="CS53" s="110">
        <v>6938.4</v>
      </c>
      <c r="CT53" s="110">
        <v>17</v>
      </c>
      <c r="CU53" s="110">
        <v>8425.1999999999989</v>
      </c>
    </row>
    <row r="54" spans="2:99" x14ac:dyDescent="0.2">
      <c r="C54" s="109" t="s">
        <v>222</v>
      </c>
      <c r="D54" s="110">
        <v>12</v>
      </c>
      <c r="E54" s="110">
        <v>4896</v>
      </c>
      <c r="F54" s="110">
        <v>10</v>
      </c>
      <c r="G54" s="110">
        <v>4080</v>
      </c>
      <c r="H54" s="110">
        <v>13</v>
      </c>
      <c r="I54" s="110">
        <v>5304</v>
      </c>
      <c r="J54" s="110">
        <v>14</v>
      </c>
      <c r="K54" s="110">
        <v>5712</v>
      </c>
      <c r="L54" s="110">
        <v>11</v>
      </c>
      <c r="M54" s="110">
        <v>4488</v>
      </c>
      <c r="N54" s="110">
        <v>9</v>
      </c>
      <c r="O54" s="110">
        <v>3672</v>
      </c>
      <c r="P54" s="110">
        <v>12</v>
      </c>
      <c r="Q54" s="110">
        <v>4896</v>
      </c>
      <c r="R54" s="110">
        <v>8</v>
      </c>
      <c r="S54" s="110">
        <v>3264</v>
      </c>
      <c r="T54" s="110">
        <v>3</v>
      </c>
      <c r="U54" s="110">
        <v>1224</v>
      </c>
      <c r="V54" s="110">
        <v>3</v>
      </c>
      <c r="W54" s="110">
        <v>1224</v>
      </c>
      <c r="X54" s="110">
        <v>2</v>
      </c>
      <c r="Y54" s="110">
        <v>816</v>
      </c>
      <c r="Z54" s="110">
        <v>4</v>
      </c>
      <c r="AA54" s="110">
        <v>1632</v>
      </c>
      <c r="AB54" s="110">
        <v>24</v>
      </c>
      <c r="AC54" s="110">
        <v>9792</v>
      </c>
      <c r="AD54" s="110">
        <v>26</v>
      </c>
      <c r="AE54" s="110">
        <v>10608</v>
      </c>
      <c r="AF54" s="110">
        <v>32</v>
      </c>
      <c r="AG54" s="110">
        <v>13056</v>
      </c>
      <c r="AH54" s="110">
        <v>33</v>
      </c>
      <c r="AI54" s="110">
        <v>13464</v>
      </c>
      <c r="AJ54" s="110">
        <v>43</v>
      </c>
      <c r="AK54" s="110">
        <v>17544</v>
      </c>
      <c r="AL54" s="110">
        <v>41</v>
      </c>
      <c r="AM54" s="110">
        <v>16728</v>
      </c>
      <c r="AN54" s="110">
        <v>45</v>
      </c>
      <c r="AO54" s="110">
        <v>18360</v>
      </c>
      <c r="AP54" s="110">
        <v>40</v>
      </c>
      <c r="AQ54" s="110">
        <v>16320</v>
      </c>
      <c r="AR54" s="110">
        <v>14</v>
      </c>
      <c r="AS54" s="110">
        <v>5712</v>
      </c>
      <c r="AT54" s="110">
        <v>21</v>
      </c>
      <c r="AU54" s="110">
        <v>8568</v>
      </c>
      <c r="AV54" s="110">
        <v>17</v>
      </c>
      <c r="AW54" s="110">
        <v>6936</v>
      </c>
      <c r="AX54" s="110">
        <v>16</v>
      </c>
      <c r="AY54" s="110">
        <v>6528</v>
      </c>
      <c r="AZ54" s="110">
        <v>11</v>
      </c>
      <c r="BA54" s="110">
        <v>4488</v>
      </c>
      <c r="BB54" s="110">
        <v>12</v>
      </c>
      <c r="BC54" s="110">
        <v>4896</v>
      </c>
      <c r="BD54" s="110">
        <v>10</v>
      </c>
      <c r="BE54" s="110">
        <v>4080</v>
      </c>
      <c r="BF54" s="110">
        <v>15</v>
      </c>
      <c r="BG54" s="110">
        <v>6120</v>
      </c>
      <c r="BH54" s="110">
        <v>10</v>
      </c>
      <c r="BI54" s="110">
        <v>4080</v>
      </c>
      <c r="BJ54" s="110">
        <v>12</v>
      </c>
      <c r="BK54" s="110">
        <v>4896</v>
      </c>
      <c r="BL54" s="110">
        <v>10</v>
      </c>
      <c r="BM54" s="110">
        <v>4080</v>
      </c>
      <c r="BN54" s="110">
        <v>17</v>
      </c>
      <c r="BO54" s="110">
        <v>6936</v>
      </c>
      <c r="BP54" s="110">
        <v>35</v>
      </c>
      <c r="BQ54" s="110">
        <v>14280</v>
      </c>
      <c r="BR54" s="110">
        <v>23</v>
      </c>
      <c r="BS54" s="110">
        <v>9384</v>
      </c>
      <c r="BT54" s="110">
        <v>29</v>
      </c>
      <c r="BU54" s="110">
        <v>11832</v>
      </c>
      <c r="BV54" s="110">
        <v>17</v>
      </c>
      <c r="BW54" s="110">
        <v>6936</v>
      </c>
      <c r="BX54" s="110">
        <v>9</v>
      </c>
      <c r="BY54" s="110">
        <v>3672</v>
      </c>
      <c r="BZ54" s="110">
        <v>7</v>
      </c>
      <c r="CA54" s="110">
        <v>2856</v>
      </c>
      <c r="CB54" s="110">
        <v>10</v>
      </c>
      <c r="CC54" s="110">
        <v>4080</v>
      </c>
      <c r="CD54" s="110">
        <v>9</v>
      </c>
      <c r="CE54" s="110">
        <v>3672</v>
      </c>
      <c r="CF54" s="110">
        <v>3</v>
      </c>
      <c r="CG54" s="110">
        <v>1224</v>
      </c>
      <c r="CH54" s="110">
        <v>2</v>
      </c>
      <c r="CI54" s="110">
        <v>816</v>
      </c>
      <c r="CJ54" s="110">
        <v>2</v>
      </c>
      <c r="CK54" s="110">
        <v>816</v>
      </c>
      <c r="CL54" s="110">
        <v>2</v>
      </c>
      <c r="CM54" s="110">
        <v>816</v>
      </c>
      <c r="CN54" s="110">
        <v>24</v>
      </c>
      <c r="CO54" s="110">
        <v>9792</v>
      </c>
      <c r="CP54" s="110">
        <v>23</v>
      </c>
      <c r="CQ54" s="110">
        <v>9384</v>
      </c>
      <c r="CR54" s="110">
        <v>17</v>
      </c>
      <c r="CS54" s="110">
        <v>6936</v>
      </c>
      <c r="CT54" s="110">
        <v>16</v>
      </c>
      <c r="CU54" s="110">
        <v>6528</v>
      </c>
    </row>
    <row r="55" spans="2:99" x14ac:dyDescent="0.2">
      <c r="C55" s="109" t="s">
        <v>223</v>
      </c>
      <c r="D55" s="110">
        <v>13</v>
      </c>
      <c r="E55" s="110">
        <v>10467.599999999999</v>
      </c>
      <c r="F55" s="110">
        <v>8</v>
      </c>
      <c r="G55" s="110">
        <v>6441.5999999999995</v>
      </c>
      <c r="H55" s="110">
        <v>11</v>
      </c>
      <c r="I55" s="110">
        <v>8857.1999999999989</v>
      </c>
      <c r="J55" s="110">
        <v>13</v>
      </c>
      <c r="K55" s="110">
        <v>10467.599999999999</v>
      </c>
      <c r="L55" s="110">
        <v>9</v>
      </c>
      <c r="M55" s="110">
        <v>7246.7999999999993</v>
      </c>
      <c r="N55" s="110">
        <v>9</v>
      </c>
      <c r="O55" s="110">
        <v>7246.7999999999993</v>
      </c>
      <c r="P55" s="110">
        <v>11</v>
      </c>
      <c r="Q55" s="110">
        <v>8857.1999999999989</v>
      </c>
      <c r="R55" s="110">
        <v>7</v>
      </c>
      <c r="S55" s="110">
        <v>5636.4</v>
      </c>
      <c r="T55" s="110">
        <v>3</v>
      </c>
      <c r="U55" s="110">
        <v>2415.6</v>
      </c>
      <c r="V55" s="110">
        <v>3</v>
      </c>
      <c r="W55" s="110">
        <v>2415.6</v>
      </c>
      <c r="X55" s="110">
        <v>2</v>
      </c>
      <c r="Y55" s="110">
        <v>1610.3999999999999</v>
      </c>
      <c r="Z55" s="110">
        <v>3</v>
      </c>
      <c r="AA55" s="110">
        <v>2415.6</v>
      </c>
      <c r="AB55" s="110">
        <v>22</v>
      </c>
      <c r="AC55" s="110">
        <v>17714.399999999998</v>
      </c>
      <c r="AD55" s="110">
        <v>24</v>
      </c>
      <c r="AE55" s="110">
        <v>19324.8</v>
      </c>
      <c r="AF55" s="110">
        <v>30</v>
      </c>
      <c r="AG55" s="110">
        <v>24155.999999999996</v>
      </c>
      <c r="AH55" s="110">
        <v>31</v>
      </c>
      <c r="AI55" s="110">
        <v>24961.199999999997</v>
      </c>
      <c r="AJ55" s="110">
        <v>45</v>
      </c>
      <c r="AK55" s="110">
        <v>36234</v>
      </c>
      <c r="AL55" s="110">
        <v>33</v>
      </c>
      <c r="AM55" s="110">
        <v>26571.599999999999</v>
      </c>
      <c r="AN55" s="110">
        <v>43</v>
      </c>
      <c r="AO55" s="110">
        <v>34623.599999999999</v>
      </c>
      <c r="AP55" s="110">
        <v>41</v>
      </c>
      <c r="AQ55" s="110">
        <v>33013.199999999997</v>
      </c>
      <c r="AR55" s="110">
        <v>14</v>
      </c>
      <c r="AS55" s="110">
        <v>11272.8</v>
      </c>
      <c r="AT55" s="110">
        <v>23</v>
      </c>
      <c r="AU55" s="110">
        <v>18519.599999999999</v>
      </c>
      <c r="AV55" s="110">
        <v>16</v>
      </c>
      <c r="AW55" s="110">
        <v>12883.199999999999</v>
      </c>
      <c r="AX55" s="110">
        <v>17</v>
      </c>
      <c r="AY55" s="110">
        <v>13688.4</v>
      </c>
      <c r="AZ55" s="110">
        <v>10</v>
      </c>
      <c r="BA55" s="110">
        <v>8051.9999999999991</v>
      </c>
      <c r="BB55" s="110">
        <v>13</v>
      </c>
      <c r="BC55" s="110">
        <v>10467.599999999999</v>
      </c>
      <c r="BD55" s="110">
        <v>9</v>
      </c>
      <c r="BE55" s="110">
        <v>7246.7999999999993</v>
      </c>
      <c r="BF55" s="110">
        <v>13</v>
      </c>
      <c r="BG55" s="110">
        <v>10467.599999999999</v>
      </c>
      <c r="BH55" s="110">
        <v>9</v>
      </c>
      <c r="BI55" s="110">
        <v>7246.7999999999993</v>
      </c>
      <c r="BJ55" s="110">
        <v>13</v>
      </c>
      <c r="BK55" s="110">
        <v>10467.599999999999</v>
      </c>
      <c r="BL55" s="110">
        <v>8</v>
      </c>
      <c r="BM55" s="110">
        <v>6441.5999999999995</v>
      </c>
      <c r="BN55" s="110">
        <v>16</v>
      </c>
      <c r="BO55" s="110">
        <v>12883.199999999999</v>
      </c>
      <c r="BP55" s="110">
        <v>30</v>
      </c>
      <c r="BQ55" s="110">
        <v>24155.999999999996</v>
      </c>
      <c r="BR55" s="110">
        <v>25</v>
      </c>
      <c r="BS55" s="110">
        <v>20130</v>
      </c>
      <c r="BT55" s="110">
        <v>28</v>
      </c>
      <c r="BU55" s="110">
        <v>22545.599999999999</v>
      </c>
      <c r="BV55" s="110">
        <v>16</v>
      </c>
      <c r="BW55" s="110">
        <v>12883.199999999999</v>
      </c>
      <c r="BX55" s="110">
        <v>9</v>
      </c>
      <c r="BY55" s="110">
        <v>7246.7999999999993</v>
      </c>
      <c r="BZ55" s="110">
        <v>7</v>
      </c>
      <c r="CA55" s="110">
        <v>5636.4</v>
      </c>
      <c r="CB55" s="110">
        <v>9</v>
      </c>
      <c r="CC55" s="110">
        <v>7246.7999999999993</v>
      </c>
      <c r="CD55" s="110">
        <v>8</v>
      </c>
      <c r="CE55" s="110">
        <v>6441.5999999999995</v>
      </c>
      <c r="CF55" s="110">
        <v>3</v>
      </c>
      <c r="CG55" s="110">
        <v>2415.6</v>
      </c>
      <c r="CH55" s="110">
        <v>2</v>
      </c>
      <c r="CI55" s="110">
        <v>1610.3999999999999</v>
      </c>
      <c r="CJ55" s="110">
        <v>3</v>
      </c>
      <c r="CK55" s="110">
        <v>2415.6</v>
      </c>
      <c r="CL55" s="110">
        <v>2</v>
      </c>
      <c r="CM55" s="110">
        <v>1610.3999999999999</v>
      </c>
      <c r="CN55" s="110">
        <v>25</v>
      </c>
      <c r="CO55" s="110">
        <v>20130</v>
      </c>
      <c r="CP55" s="110">
        <v>18</v>
      </c>
      <c r="CQ55" s="110">
        <v>14493.599999999999</v>
      </c>
      <c r="CR55" s="110">
        <v>16</v>
      </c>
      <c r="CS55" s="110">
        <v>12883.199999999999</v>
      </c>
      <c r="CT55" s="110">
        <v>17</v>
      </c>
      <c r="CU55" s="110">
        <v>13688.4</v>
      </c>
    </row>
    <row r="56" spans="2:99" x14ac:dyDescent="0.2">
      <c r="C56" s="109" t="s">
        <v>224</v>
      </c>
      <c r="D56" s="110">
        <v>13</v>
      </c>
      <c r="E56" s="110">
        <v>10920</v>
      </c>
      <c r="F56" s="110">
        <v>8</v>
      </c>
      <c r="G56" s="110">
        <v>6720</v>
      </c>
      <c r="H56" s="110">
        <v>11</v>
      </c>
      <c r="I56" s="110">
        <v>9240</v>
      </c>
      <c r="J56" s="110">
        <v>13</v>
      </c>
      <c r="K56" s="110">
        <v>10920</v>
      </c>
      <c r="L56" s="110">
        <v>8</v>
      </c>
      <c r="M56" s="110">
        <v>6720</v>
      </c>
      <c r="N56" s="110">
        <v>9</v>
      </c>
      <c r="O56" s="110">
        <v>7560</v>
      </c>
      <c r="P56" s="110">
        <v>14</v>
      </c>
      <c r="Q56" s="110">
        <v>11760</v>
      </c>
      <c r="R56" s="110">
        <v>7</v>
      </c>
      <c r="S56" s="110">
        <v>5880</v>
      </c>
      <c r="T56" s="110">
        <v>3</v>
      </c>
      <c r="U56" s="110">
        <v>2520</v>
      </c>
      <c r="V56" s="110">
        <v>3</v>
      </c>
      <c r="W56" s="110">
        <v>2520</v>
      </c>
      <c r="X56" s="110">
        <v>2</v>
      </c>
      <c r="Y56" s="110">
        <v>1680</v>
      </c>
      <c r="Z56" s="110">
        <v>3</v>
      </c>
      <c r="AA56" s="110">
        <v>2520</v>
      </c>
      <c r="AB56" s="110">
        <v>24</v>
      </c>
      <c r="AC56" s="110">
        <v>20160</v>
      </c>
      <c r="AD56" s="110">
        <v>24</v>
      </c>
      <c r="AE56" s="110">
        <v>20160</v>
      </c>
      <c r="AF56" s="110">
        <v>28</v>
      </c>
      <c r="AG56" s="110">
        <v>23520</v>
      </c>
      <c r="AH56" s="110">
        <v>32</v>
      </c>
      <c r="AI56" s="110">
        <v>26880</v>
      </c>
      <c r="AJ56" s="110">
        <v>41</v>
      </c>
      <c r="AK56" s="110">
        <v>34440</v>
      </c>
      <c r="AL56" s="110">
        <v>37</v>
      </c>
      <c r="AM56" s="110">
        <v>31080</v>
      </c>
      <c r="AN56" s="110">
        <v>44</v>
      </c>
      <c r="AO56" s="110">
        <v>36960</v>
      </c>
      <c r="AP56" s="110">
        <v>35</v>
      </c>
      <c r="AQ56" s="110">
        <v>29400</v>
      </c>
      <c r="AR56" s="110">
        <v>14</v>
      </c>
      <c r="AS56" s="110">
        <v>11760</v>
      </c>
      <c r="AT56" s="110">
        <v>21</v>
      </c>
      <c r="AU56" s="110">
        <v>17640</v>
      </c>
      <c r="AV56" s="110">
        <v>15</v>
      </c>
      <c r="AW56" s="110">
        <v>12600</v>
      </c>
      <c r="AX56" s="110">
        <v>16</v>
      </c>
      <c r="AY56" s="110">
        <v>13440</v>
      </c>
      <c r="AZ56" s="110">
        <v>9</v>
      </c>
      <c r="BA56" s="110">
        <v>7560</v>
      </c>
      <c r="BB56" s="110">
        <v>11</v>
      </c>
      <c r="BC56" s="110">
        <v>9240</v>
      </c>
      <c r="BD56" s="110">
        <v>9</v>
      </c>
      <c r="BE56" s="110">
        <v>7560</v>
      </c>
      <c r="BF56" s="110">
        <v>13</v>
      </c>
      <c r="BG56" s="110">
        <v>10920</v>
      </c>
      <c r="BH56" s="110">
        <v>9</v>
      </c>
      <c r="BI56" s="110">
        <v>7560</v>
      </c>
      <c r="BJ56" s="110">
        <v>12</v>
      </c>
      <c r="BK56" s="110">
        <v>10080</v>
      </c>
      <c r="BL56" s="110">
        <v>10</v>
      </c>
      <c r="BM56" s="110">
        <v>8400</v>
      </c>
      <c r="BN56" s="110">
        <v>18</v>
      </c>
      <c r="BO56" s="110">
        <v>15120</v>
      </c>
      <c r="BP56" s="110">
        <v>29</v>
      </c>
      <c r="BQ56" s="110">
        <v>24360</v>
      </c>
      <c r="BR56" s="110">
        <v>25</v>
      </c>
      <c r="BS56" s="110">
        <v>21000</v>
      </c>
      <c r="BT56" s="110">
        <v>28</v>
      </c>
      <c r="BU56" s="110">
        <v>23520</v>
      </c>
      <c r="BV56" s="110">
        <v>18</v>
      </c>
      <c r="BW56" s="110">
        <v>15120</v>
      </c>
      <c r="BX56" s="110">
        <v>8</v>
      </c>
      <c r="BY56" s="110">
        <v>6720</v>
      </c>
      <c r="BZ56" s="110">
        <v>6</v>
      </c>
      <c r="CA56" s="110">
        <v>5040</v>
      </c>
      <c r="CB56" s="110">
        <v>10</v>
      </c>
      <c r="CC56" s="110">
        <v>8400</v>
      </c>
      <c r="CD56" s="110">
        <v>9</v>
      </c>
      <c r="CE56" s="110">
        <v>7560</v>
      </c>
      <c r="CF56" s="110">
        <v>3</v>
      </c>
      <c r="CG56" s="110">
        <v>2520</v>
      </c>
      <c r="CH56" s="110">
        <v>2</v>
      </c>
      <c r="CI56" s="110">
        <v>1680</v>
      </c>
      <c r="CJ56" s="110">
        <v>2</v>
      </c>
      <c r="CK56" s="110">
        <v>1680</v>
      </c>
      <c r="CL56" s="110">
        <v>2</v>
      </c>
      <c r="CM56" s="110">
        <v>1680</v>
      </c>
      <c r="CN56" s="110">
        <v>22</v>
      </c>
      <c r="CO56" s="110">
        <v>18480</v>
      </c>
      <c r="CP56" s="110">
        <v>19</v>
      </c>
      <c r="CQ56" s="110">
        <v>15960</v>
      </c>
      <c r="CR56" s="110">
        <v>14</v>
      </c>
      <c r="CS56" s="110">
        <v>11760</v>
      </c>
      <c r="CT56" s="110">
        <v>16</v>
      </c>
      <c r="CU56" s="110">
        <v>13440</v>
      </c>
    </row>
    <row r="57" spans="2:99" x14ac:dyDescent="0.2">
      <c r="C57" s="109" t="s">
        <v>225</v>
      </c>
      <c r="D57" s="110">
        <v>11</v>
      </c>
      <c r="E57" s="110">
        <v>13886.399999999998</v>
      </c>
      <c r="F57" s="110">
        <v>9</v>
      </c>
      <c r="G57" s="110">
        <v>11361.599999999999</v>
      </c>
      <c r="H57" s="110">
        <v>11</v>
      </c>
      <c r="I57" s="110">
        <v>13886.399999999998</v>
      </c>
      <c r="J57" s="110">
        <v>12</v>
      </c>
      <c r="K57" s="110">
        <v>15148.8</v>
      </c>
      <c r="L57" s="110">
        <v>9</v>
      </c>
      <c r="M57" s="110">
        <v>11361.599999999999</v>
      </c>
      <c r="N57" s="110">
        <v>8</v>
      </c>
      <c r="O57" s="110">
        <v>10099.199999999999</v>
      </c>
      <c r="P57" s="110">
        <v>12</v>
      </c>
      <c r="Q57" s="110">
        <v>15148.8</v>
      </c>
      <c r="R57" s="110">
        <v>6</v>
      </c>
      <c r="S57" s="110">
        <v>7574.4</v>
      </c>
      <c r="T57" s="110">
        <v>3</v>
      </c>
      <c r="U57" s="110">
        <v>3787.2</v>
      </c>
      <c r="V57" s="110">
        <v>3</v>
      </c>
      <c r="W57" s="110">
        <v>3787.2</v>
      </c>
      <c r="X57" s="110">
        <v>2</v>
      </c>
      <c r="Y57" s="110">
        <v>2524.7999999999997</v>
      </c>
      <c r="Z57" s="110">
        <v>3</v>
      </c>
      <c r="AA57" s="110">
        <v>3787.2</v>
      </c>
      <c r="AB57" s="110">
        <v>21</v>
      </c>
      <c r="AC57" s="110">
        <v>26510.399999999998</v>
      </c>
      <c r="AD57" s="110">
        <v>24</v>
      </c>
      <c r="AE57" s="110">
        <v>30297.599999999999</v>
      </c>
      <c r="AF57" s="110">
        <v>25</v>
      </c>
      <c r="AG57" s="110">
        <v>31559.999999999996</v>
      </c>
      <c r="AH57" s="110">
        <v>27</v>
      </c>
      <c r="AI57" s="110">
        <v>34084.799999999996</v>
      </c>
      <c r="AJ57" s="110">
        <v>37</v>
      </c>
      <c r="AK57" s="110">
        <v>46708.799999999996</v>
      </c>
      <c r="AL57" s="110">
        <v>33</v>
      </c>
      <c r="AM57" s="110">
        <v>41659.199999999997</v>
      </c>
      <c r="AN57" s="110">
        <v>37</v>
      </c>
      <c r="AO57" s="110">
        <v>46708.799999999996</v>
      </c>
      <c r="AP57" s="110">
        <v>37</v>
      </c>
      <c r="AQ57" s="110">
        <v>46708.799999999996</v>
      </c>
      <c r="AR57" s="110">
        <v>11</v>
      </c>
      <c r="AS57" s="110">
        <v>13886.399999999998</v>
      </c>
      <c r="AT57" s="110">
        <v>18</v>
      </c>
      <c r="AU57" s="110">
        <v>22723.199999999997</v>
      </c>
      <c r="AV57" s="110">
        <v>16</v>
      </c>
      <c r="AW57" s="110">
        <v>20198.399999999998</v>
      </c>
      <c r="AX57" s="110">
        <v>13</v>
      </c>
      <c r="AY57" s="110">
        <v>16411.199999999997</v>
      </c>
      <c r="AZ57" s="110">
        <v>9</v>
      </c>
      <c r="BA57" s="110">
        <v>11361.599999999999</v>
      </c>
      <c r="BB57" s="110">
        <v>11</v>
      </c>
      <c r="BC57" s="110">
        <v>13886.399999999998</v>
      </c>
      <c r="BD57" s="110">
        <v>8</v>
      </c>
      <c r="BE57" s="110">
        <v>10099.199999999999</v>
      </c>
      <c r="BF57" s="110">
        <v>12</v>
      </c>
      <c r="BG57" s="110">
        <v>15148.8</v>
      </c>
      <c r="BH57" s="110">
        <v>10</v>
      </c>
      <c r="BI57" s="110">
        <v>12623.999999999998</v>
      </c>
      <c r="BJ57" s="110">
        <v>11</v>
      </c>
      <c r="BK57" s="110">
        <v>13886.399999999998</v>
      </c>
      <c r="BL57" s="110">
        <v>9</v>
      </c>
      <c r="BM57" s="110">
        <v>11361.599999999999</v>
      </c>
      <c r="BN57" s="110">
        <v>17</v>
      </c>
      <c r="BO57" s="110">
        <v>21460.799999999999</v>
      </c>
      <c r="BP57" s="110">
        <v>31</v>
      </c>
      <c r="BQ57" s="110">
        <v>39134.399999999994</v>
      </c>
      <c r="BR57" s="110">
        <v>21</v>
      </c>
      <c r="BS57" s="110">
        <v>26510.399999999998</v>
      </c>
      <c r="BT57" s="110">
        <v>27</v>
      </c>
      <c r="BU57" s="110">
        <v>34084.799999999996</v>
      </c>
      <c r="BV57" s="110">
        <v>18</v>
      </c>
      <c r="BW57" s="110">
        <v>22723.199999999997</v>
      </c>
      <c r="BX57" s="110">
        <v>8</v>
      </c>
      <c r="BY57" s="110">
        <v>10099.199999999999</v>
      </c>
      <c r="BZ57" s="110">
        <v>6</v>
      </c>
      <c r="CA57" s="110">
        <v>7574.4</v>
      </c>
      <c r="CB57" s="110">
        <v>8</v>
      </c>
      <c r="CC57" s="110">
        <v>10099.199999999999</v>
      </c>
      <c r="CD57" s="110">
        <v>9</v>
      </c>
      <c r="CE57" s="110">
        <v>11361.599999999999</v>
      </c>
      <c r="CF57" s="110">
        <v>3</v>
      </c>
      <c r="CG57" s="110">
        <v>3787.2</v>
      </c>
      <c r="CH57" s="110">
        <v>2</v>
      </c>
      <c r="CI57" s="110">
        <v>2524.7999999999997</v>
      </c>
      <c r="CJ57" s="110">
        <v>2</v>
      </c>
      <c r="CK57" s="110">
        <v>2524.7999999999997</v>
      </c>
      <c r="CL57" s="110">
        <v>2</v>
      </c>
      <c r="CM57" s="110">
        <v>2524.7999999999997</v>
      </c>
      <c r="CN57" s="110">
        <v>24</v>
      </c>
      <c r="CO57" s="110">
        <v>30297.599999999999</v>
      </c>
      <c r="CP57" s="110">
        <v>18</v>
      </c>
      <c r="CQ57" s="110">
        <v>22723.199999999997</v>
      </c>
      <c r="CR57" s="110">
        <v>13</v>
      </c>
      <c r="CS57" s="110">
        <v>16411.199999999997</v>
      </c>
      <c r="CT57" s="110">
        <v>17</v>
      </c>
      <c r="CU57" s="110">
        <v>21460.799999999999</v>
      </c>
    </row>
    <row r="58" spans="2:99" x14ac:dyDescent="0.2">
      <c r="C58" s="109" t="s">
        <v>226</v>
      </c>
      <c r="D58" s="110">
        <v>12</v>
      </c>
      <c r="E58" s="110">
        <v>8438.4</v>
      </c>
      <c r="F58" s="110">
        <v>10</v>
      </c>
      <c r="G58" s="110">
        <v>7031.9999999999991</v>
      </c>
      <c r="H58" s="110">
        <v>11</v>
      </c>
      <c r="I58" s="110">
        <v>7735.1999999999989</v>
      </c>
      <c r="J58" s="110">
        <v>14</v>
      </c>
      <c r="K58" s="110">
        <v>9844.7999999999993</v>
      </c>
      <c r="L58" s="110">
        <v>10</v>
      </c>
      <c r="M58" s="110">
        <v>7031.9999999999991</v>
      </c>
      <c r="N58" s="110">
        <v>9</v>
      </c>
      <c r="O58" s="110">
        <v>6328.7999999999993</v>
      </c>
      <c r="P58" s="110">
        <v>12</v>
      </c>
      <c r="Q58" s="110">
        <v>8438.4</v>
      </c>
      <c r="R58" s="110">
        <v>8</v>
      </c>
      <c r="S58" s="110">
        <v>5625.5999999999995</v>
      </c>
      <c r="T58" s="110">
        <v>3</v>
      </c>
      <c r="U58" s="110">
        <v>2109.6</v>
      </c>
      <c r="V58" s="110">
        <v>3</v>
      </c>
      <c r="W58" s="110">
        <v>2109.6</v>
      </c>
      <c r="X58" s="110">
        <v>2</v>
      </c>
      <c r="Y58" s="110">
        <v>1406.3999999999999</v>
      </c>
      <c r="Z58" s="110">
        <v>3</v>
      </c>
      <c r="AA58" s="110">
        <v>2109.6</v>
      </c>
      <c r="AB58" s="110">
        <v>21</v>
      </c>
      <c r="AC58" s="110">
        <v>14767.199999999999</v>
      </c>
      <c r="AD58" s="110">
        <v>28</v>
      </c>
      <c r="AE58" s="110">
        <v>19689.599999999999</v>
      </c>
      <c r="AF58" s="110">
        <v>28</v>
      </c>
      <c r="AG58" s="110">
        <v>19689.599999999999</v>
      </c>
      <c r="AH58" s="110">
        <v>31</v>
      </c>
      <c r="AI58" s="110">
        <v>21799.199999999997</v>
      </c>
      <c r="AJ58" s="110">
        <v>47</v>
      </c>
      <c r="AK58" s="110">
        <v>33050.399999999994</v>
      </c>
      <c r="AL58" s="110">
        <v>37</v>
      </c>
      <c r="AM58" s="110">
        <v>26018.399999999998</v>
      </c>
      <c r="AN58" s="110">
        <v>47</v>
      </c>
      <c r="AO58" s="110">
        <v>33050.399999999994</v>
      </c>
      <c r="AP58" s="110">
        <v>41</v>
      </c>
      <c r="AQ58" s="110">
        <v>28831.199999999997</v>
      </c>
      <c r="AR58" s="110">
        <v>12</v>
      </c>
      <c r="AS58" s="110">
        <v>8438.4</v>
      </c>
      <c r="AT58" s="110">
        <v>20</v>
      </c>
      <c r="AU58" s="110">
        <v>14063.999999999998</v>
      </c>
      <c r="AV58" s="110">
        <v>17</v>
      </c>
      <c r="AW58" s="110">
        <v>11954.4</v>
      </c>
      <c r="AX58" s="110">
        <v>15</v>
      </c>
      <c r="AY58" s="110">
        <v>10547.999999999998</v>
      </c>
      <c r="AZ58" s="110">
        <v>9</v>
      </c>
      <c r="BA58" s="110">
        <v>6328.7999999999993</v>
      </c>
      <c r="BB58" s="110">
        <v>12</v>
      </c>
      <c r="BC58" s="110">
        <v>8438.4</v>
      </c>
      <c r="BD58" s="110">
        <v>10</v>
      </c>
      <c r="BE58" s="110">
        <v>7031.9999999999991</v>
      </c>
      <c r="BF58" s="110">
        <v>13</v>
      </c>
      <c r="BG58" s="110">
        <v>9141.5999999999985</v>
      </c>
      <c r="BH58" s="110">
        <v>10</v>
      </c>
      <c r="BI58" s="110">
        <v>7031.9999999999991</v>
      </c>
      <c r="BJ58" s="110">
        <v>11</v>
      </c>
      <c r="BK58" s="110">
        <v>7735.1999999999989</v>
      </c>
      <c r="BL58" s="110">
        <v>9</v>
      </c>
      <c r="BM58" s="110">
        <v>6328.7999999999993</v>
      </c>
      <c r="BN58" s="110">
        <v>18</v>
      </c>
      <c r="BO58" s="110">
        <v>12657.599999999999</v>
      </c>
      <c r="BP58" s="110">
        <v>31</v>
      </c>
      <c r="BQ58" s="110">
        <v>21799.199999999997</v>
      </c>
      <c r="BR58" s="110">
        <v>22</v>
      </c>
      <c r="BS58" s="110">
        <v>15470.399999999998</v>
      </c>
      <c r="BT58" s="110">
        <v>27</v>
      </c>
      <c r="BU58" s="110">
        <v>18986.399999999998</v>
      </c>
      <c r="BV58" s="110">
        <v>17</v>
      </c>
      <c r="BW58" s="110">
        <v>11954.4</v>
      </c>
      <c r="BX58" s="110">
        <v>10</v>
      </c>
      <c r="BY58" s="110">
        <v>7031.9999999999991</v>
      </c>
      <c r="BZ58" s="110">
        <v>6</v>
      </c>
      <c r="CA58" s="110">
        <v>4219.2</v>
      </c>
      <c r="CB58" s="110">
        <v>9</v>
      </c>
      <c r="CC58" s="110">
        <v>6328.7999999999993</v>
      </c>
      <c r="CD58" s="110">
        <v>9</v>
      </c>
      <c r="CE58" s="110">
        <v>6328.7999999999993</v>
      </c>
      <c r="CF58" s="110">
        <v>3</v>
      </c>
      <c r="CG58" s="110">
        <v>2109.6</v>
      </c>
      <c r="CH58" s="110">
        <v>2</v>
      </c>
      <c r="CI58" s="110">
        <v>1406.3999999999999</v>
      </c>
      <c r="CJ58" s="110">
        <v>3</v>
      </c>
      <c r="CK58" s="110">
        <v>2109.6</v>
      </c>
      <c r="CL58" s="110">
        <v>2</v>
      </c>
      <c r="CM58" s="110">
        <v>1406.3999999999999</v>
      </c>
      <c r="CN58" s="110">
        <v>22</v>
      </c>
      <c r="CO58" s="110">
        <v>15470.399999999998</v>
      </c>
      <c r="CP58" s="110">
        <v>19</v>
      </c>
      <c r="CQ58" s="110">
        <v>13360.8</v>
      </c>
      <c r="CR58" s="110">
        <v>14</v>
      </c>
      <c r="CS58" s="110">
        <v>9844.7999999999993</v>
      </c>
      <c r="CT58" s="110">
        <v>17</v>
      </c>
      <c r="CU58" s="110">
        <v>11954.4</v>
      </c>
    </row>
    <row r="59" spans="2:99" x14ac:dyDescent="0.2">
      <c r="C59" s="109" t="s">
        <v>227</v>
      </c>
      <c r="D59" s="110">
        <v>12</v>
      </c>
      <c r="E59" s="110">
        <v>5270.4</v>
      </c>
      <c r="F59" s="110">
        <v>9</v>
      </c>
      <c r="G59" s="110">
        <v>3952.7999999999997</v>
      </c>
      <c r="H59" s="110">
        <v>12</v>
      </c>
      <c r="I59" s="110">
        <v>5270.4</v>
      </c>
      <c r="J59" s="110">
        <v>14</v>
      </c>
      <c r="K59" s="110">
        <v>6148.8</v>
      </c>
      <c r="L59" s="110">
        <v>9</v>
      </c>
      <c r="M59" s="110">
        <v>3952.7999999999997</v>
      </c>
      <c r="N59" s="110">
        <v>10</v>
      </c>
      <c r="O59" s="110">
        <v>4392</v>
      </c>
      <c r="P59" s="110">
        <v>13</v>
      </c>
      <c r="Q59" s="110">
        <v>5709.5999999999995</v>
      </c>
      <c r="R59" s="110">
        <v>8</v>
      </c>
      <c r="S59" s="110">
        <v>3513.6</v>
      </c>
      <c r="T59" s="110">
        <v>3</v>
      </c>
      <c r="U59" s="110">
        <v>1317.6</v>
      </c>
      <c r="V59" s="110">
        <v>3</v>
      </c>
      <c r="W59" s="110">
        <v>1317.6</v>
      </c>
      <c r="X59" s="110">
        <v>2</v>
      </c>
      <c r="Y59" s="110">
        <v>878.4</v>
      </c>
      <c r="Z59" s="110">
        <v>3</v>
      </c>
      <c r="AA59" s="110">
        <v>1317.6</v>
      </c>
      <c r="AB59" s="110">
        <v>22</v>
      </c>
      <c r="AC59" s="110">
        <v>9662.4</v>
      </c>
      <c r="AD59" s="110">
        <v>28</v>
      </c>
      <c r="AE59" s="110">
        <v>12297.6</v>
      </c>
      <c r="AF59" s="110">
        <v>33</v>
      </c>
      <c r="AG59" s="110">
        <v>14493.6</v>
      </c>
      <c r="AH59" s="110">
        <v>33</v>
      </c>
      <c r="AI59" s="110">
        <v>14493.6</v>
      </c>
      <c r="AJ59" s="110">
        <v>41</v>
      </c>
      <c r="AK59" s="110">
        <v>18007.2</v>
      </c>
      <c r="AL59" s="110">
        <v>36</v>
      </c>
      <c r="AM59" s="110">
        <v>15811.199999999999</v>
      </c>
      <c r="AN59" s="110">
        <v>50</v>
      </c>
      <c r="AO59" s="110">
        <v>21960</v>
      </c>
      <c r="AP59" s="110">
        <v>43</v>
      </c>
      <c r="AQ59" s="110">
        <v>18885.599999999999</v>
      </c>
      <c r="AR59" s="110">
        <v>14</v>
      </c>
      <c r="AS59" s="110">
        <v>6148.8</v>
      </c>
      <c r="AT59" s="110">
        <v>20</v>
      </c>
      <c r="AU59" s="110">
        <v>8784</v>
      </c>
      <c r="AV59" s="110">
        <v>16</v>
      </c>
      <c r="AW59" s="110">
        <v>7027.2</v>
      </c>
      <c r="AX59" s="110">
        <v>16</v>
      </c>
      <c r="AY59" s="110">
        <v>7027.2</v>
      </c>
      <c r="AZ59" s="110">
        <v>10</v>
      </c>
      <c r="BA59" s="110">
        <v>4392</v>
      </c>
      <c r="BB59" s="110">
        <v>14</v>
      </c>
      <c r="BC59" s="110">
        <v>6148.8</v>
      </c>
      <c r="BD59" s="110">
        <v>9</v>
      </c>
      <c r="BE59" s="110">
        <v>3952.7999999999997</v>
      </c>
      <c r="BF59" s="110">
        <v>15</v>
      </c>
      <c r="BG59" s="110">
        <v>6588</v>
      </c>
      <c r="BH59" s="110">
        <v>11</v>
      </c>
      <c r="BI59" s="110">
        <v>4831.2</v>
      </c>
      <c r="BJ59" s="110">
        <v>12</v>
      </c>
      <c r="BK59" s="110">
        <v>5270.4</v>
      </c>
      <c r="BL59" s="110">
        <v>9</v>
      </c>
      <c r="BM59" s="110">
        <v>3952.7999999999997</v>
      </c>
      <c r="BN59" s="110">
        <v>16</v>
      </c>
      <c r="BO59" s="110">
        <v>7027.2</v>
      </c>
      <c r="BP59" s="110">
        <v>30</v>
      </c>
      <c r="BQ59" s="110">
        <v>13176</v>
      </c>
      <c r="BR59" s="110">
        <v>25</v>
      </c>
      <c r="BS59" s="110">
        <v>10980</v>
      </c>
      <c r="BT59" s="110">
        <v>32</v>
      </c>
      <c r="BU59" s="110">
        <v>14054.4</v>
      </c>
      <c r="BV59" s="110">
        <v>20</v>
      </c>
      <c r="BW59" s="110">
        <v>8784</v>
      </c>
      <c r="BX59" s="110">
        <v>10</v>
      </c>
      <c r="BY59" s="110">
        <v>4392</v>
      </c>
      <c r="BZ59" s="110">
        <v>7</v>
      </c>
      <c r="CA59" s="110">
        <v>3074.4</v>
      </c>
      <c r="CB59" s="110">
        <v>9</v>
      </c>
      <c r="CC59" s="110">
        <v>3952.7999999999997</v>
      </c>
      <c r="CD59" s="110">
        <v>9</v>
      </c>
      <c r="CE59" s="110">
        <v>3952.7999999999997</v>
      </c>
      <c r="CF59" s="110">
        <v>3</v>
      </c>
      <c r="CG59" s="110">
        <v>1317.6</v>
      </c>
      <c r="CH59" s="110">
        <v>2</v>
      </c>
      <c r="CI59" s="110">
        <v>878.4</v>
      </c>
      <c r="CJ59" s="110">
        <v>3</v>
      </c>
      <c r="CK59" s="110">
        <v>1317.6</v>
      </c>
      <c r="CL59" s="110">
        <v>2</v>
      </c>
      <c r="CM59" s="110">
        <v>878.4</v>
      </c>
      <c r="CN59" s="110">
        <v>25</v>
      </c>
      <c r="CO59" s="110">
        <v>10980</v>
      </c>
      <c r="CP59" s="110">
        <v>22</v>
      </c>
      <c r="CQ59" s="110">
        <v>9662.4</v>
      </c>
      <c r="CR59" s="110">
        <v>15</v>
      </c>
      <c r="CS59" s="110">
        <v>6588</v>
      </c>
      <c r="CT59" s="110">
        <v>16</v>
      </c>
      <c r="CU59" s="110">
        <v>7027.2</v>
      </c>
    </row>
    <row r="60" spans="2:99" x14ac:dyDescent="0.2">
      <c r="C60" s="109" t="s">
        <v>228</v>
      </c>
      <c r="D60" s="110">
        <v>12</v>
      </c>
      <c r="E60" s="110">
        <v>8481.5999999999985</v>
      </c>
      <c r="F60" s="110">
        <v>9</v>
      </c>
      <c r="G60" s="110">
        <v>6361.2</v>
      </c>
      <c r="H60" s="110">
        <v>12</v>
      </c>
      <c r="I60" s="110">
        <v>8481.5999999999985</v>
      </c>
      <c r="J60" s="110">
        <v>14</v>
      </c>
      <c r="K60" s="110">
        <v>9895.1999999999989</v>
      </c>
      <c r="L60" s="110">
        <v>10</v>
      </c>
      <c r="M60" s="110">
        <v>7068</v>
      </c>
      <c r="N60" s="110">
        <v>9</v>
      </c>
      <c r="O60" s="110">
        <v>6361.2</v>
      </c>
      <c r="P60" s="110">
        <v>11</v>
      </c>
      <c r="Q60" s="110">
        <v>7774.7999999999993</v>
      </c>
      <c r="R60" s="110">
        <v>8</v>
      </c>
      <c r="S60" s="110">
        <v>5654.4</v>
      </c>
      <c r="T60" s="110">
        <v>3</v>
      </c>
      <c r="U60" s="110">
        <v>2120.3999999999996</v>
      </c>
      <c r="V60" s="110">
        <v>3</v>
      </c>
      <c r="W60" s="110">
        <v>2120.3999999999996</v>
      </c>
      <c r="X60" s="110">
        <v>2</v>
      </c>
      <c r="Y60" s="110">
        <v>1413.6</v>
      </c>
      <c r="Z60" s="110">
        <v>4</v>
      </c>
      <c r="AA60" s="110">
        <v>2827.2</v>
      </c>
      <c r="AB60" s="110">
        <v>20</v>
      </c>
      <c r="AC60" s="110">
        <v>14136</v>
      </c>
      <c r="AD60" s="110">
        <v>24</v>
      </c>
      <c r="AE60" s="110">
        <v>16963.199999999997</v>
      </c>
      <c r="AF60" s="110">
        <v>28</v>
      </c>
      <c r="AG60" s="110">
        <v>19790.399999999998</v>
      </c>
      <c r="AH60" s="110">
        <v>28</v>
      </c>
      <c r="AI60" s="110">
        <v>19790.399999999998</v>
      </c>
      <c r="AJ60" s="110">
        <v>40</v>
      </c>
      <c r="AK60" s="110">
        <v>28272</v>
      </c>
      <c r="AL60" s="110">
        <v>40</v>
      </c>
      <c r="AM60" s="110">
        <v>28272</v>
      </c>
      <c r="AN60" s="110">
        <v>45</v>
      </c>
      <c r="AO60" s="110">
        <v>31805.999999999996</v>
      </c>
      <c r="AP60" s="110">
        <v>40</v>
      </c>
      <c r="AQ60" s="110">
        <v>28272</v>
      </c>
      <c r="AR60" s="110">
        <v>13</v>
      </c>
      <c r="AS60" s="110">
        <v>9188.4</v>
      </c>
      <c r="AT60" s="110">
        <v>20</v>
      </c>
      <c r="AU60" s="110">
        <v>14136</v>
      </c>
      <c r="AV60" s="110">
        <v>15</v>
      </c>
      <c r="AW60" s="110">
        <v>10602</v>
      </c>
      <c r="AX60" s="110">
        <v>16</v>
      </c>
      <c r="AY60" s="110">
        <v>11308.8</v>
      </c>
      <c r="AZ60" s="110">
        <v>10</v>
      </c>
      <c r="BA60" s="110">
        <v>7068</v>
      </c>
      <c r="BB60" s="110">
        <v>14</v>
      </c>
      <c r="BC60" s="110">
        <v>9895.1999999999989</v>
      </c>
      <c r="BD60" s="110">
        <v>9</v>
      </c>
      <c r="BE60" s="110">
        <v>6361.2</v>
      </c>
      <c r="BF60" s="110">
        <v>13</v>
      </c>
      <c r="BG60" s="110">
        <v>9188.4</v>
      </c>
      <c r="BH60" s="110">
        <v>9</v>
      </c>
      <c r="BI60" s="110">
        <v>6361.2</v>
      </c>
      <c r="BJ60" s="110">
        <v>12</v>
      </c>
      <c r="BK60" s="110">
        <v>8481.5999999999985</v>
      </c>
      <c r="BL60" s="110">
        <v>8</v>
      </c>
      <c r="BM60" s="110">
        <v>5654.4</v>
      </c>
      <c r="BN60" s="110">
        <v>16</v>
      </c>
      <c r="BO60" s="110">
        <v>11308.8</v>
      </c>
      <c r="BP60" s="110">
        <v>30</v>
      </c>
      <c r="BQ60" s="110">
        <v>21204</v>
      </c>
      <c r="BR60" s="110">
        <v>21</v>
      </c>
      <c r="BS60" s="110">
        <v>14842.8</v>
      </c>
      <c r="BT60" s="110">
        <v>28</v>
      </c>
      <c r="BU60" s="110">
        <v>19790.399999999998</v>
      </c>
      <c r="BV60" s="110">
        <v>17</v>
      </c>
      <c r="BW60" s="110">
        <v>12015.599999999999</v>
      </c>
      <c r="BX60" s="110">
        <v>9</v>
      </c>
      <c r="BY60" s="110">
        <v>6361.2</v>
      </c>
      <c r="BZ60" s="110">
        <v>6</v>
      </c>
      <c r="CA60" s="110">
        <v>4240.7999999999993</v>
      </c>
      <c r="CB60" s="110">
        <v>9</v>
      </c>
      <c r="CC60" s="110">
        <v>6361.2</v>
      </c>
      <c r="CD60" s="110">
        <v>8</v>
      </c>
      <c r="CE60" s="110">
        <v>5654.4</v>
      </c>
      <c r="CF60" s="110">
        <v>3</v>
      </c>
      <c r="CG60" s="110">
        <v>2120.3999999999996</v>
      </c>
      <c r="CH60" s="110">
        <v>2</v>
      </c>
      <c r="CI60" s="110">
        <v>1413.6</v>
      </c>
      <c r="CJ60" s="110">
        <v>2</v>
      </c>
      <c r="CK60" s="110">
        <v>1413.6</v>
      </c>
      <c r="CL60" s="110">
        <v>2</v>
      </c>
      <c r="CM60" s="110">
        <v>1413.6</v>
      </c>
      <c r="CN60" s="110">
        <v>22</v>
      </c>
      <c r="CO60" s="110">
        <v>15549.599999999999</v>
      </c>
      <c r="CP60" s="110">
        <v>19</v>
      </c>
      <c r="CQ60" s="110">
        <v>13429.199999999999</v>
      </c>
      <c r="CR60" s="110">
        <v>15</v>
      </c>
      <c r="CS60" s="110">
        <v>10602</v>
      </c>
      <c r="CT60" s="110">
        <v>19</v>
      </c>
      <c r="CU60" s="110">
        <v>13429.199999999999</v>
      </c>
    </row>
    <row r="61" spans="2:99" x14ac:dyDescent="0.2">
      <c r="C61" s="109" t="s">
        <v>229</v>
      </c>
      <c r="D61" s="110">
        <v>13</v>
      </c>
      <c r="E61" s="110">
        <v>8767.1999999999989</v>
      </c>
      <c r="F61" s="110">
        <v>9</v>
      </c>
      <c r="G61" s="110">
        <v>6069.5999999999995</v>
      </c>
      <c r="H61" s="110">
        <v>13</v>
      </c>
      <c r="I61" s="110">
        <v>8767.1999999999989</v>
      </c>
      <c r="J61" s="110">
        <v>13</v>
      </c>
      <c r="K61" s="110">
        <v>8767.1999999999989</v>
      </c>
      <c r="L61" s="110">
        <v>9</v>
      </c>
      <c r="M61" s="110">
        <v>6069.5999999999995</v>
      </c>
      <c r="N61" s="110">
        <v>9</v>
      </c>
      <c r="O61" s="110">
        <v>6069.5999999999995</v>
      </c>
      <c r="P61" s="110">
        <v>12</v>
      </c>
      <c r="Q61" s="110">
        <v>8092.7999999999993</v>
      </c>
      <c r="R61" s="110">
        <v>8</v>
      </c>
      <c r="S61" s="110">
        <v>5395.2</v>
      </c>
      <c r="T61" s="110">
        <v>3</v>
      </c>
      <c r="U61" s="110">
        <v>2023.1999999999998</v>
      </c>
      <c r="V61" s="110">
        <v>3</v>
      </c>
      <c r="W61" s="110">
        <v>2023.1999999999998</v>
      </c>
      <c r="X61" s="110">
        <v>2</v>
      </c>
      <c r="Y61" s="110">
        <v>1348.8</v>
      </c>
      <c r="Z61" s="110">
        <v>3</v>
      </c>
      <c r="AA61" s="110">
        <v>2023.1999999999998</v>
      </c>
      <c r="AB61" s="110">
        <v>23</v>
      </c>
      <c r="AC61" s="110">
        <v>15511.199999999999</v>
      </c>
      <c r="AD61" s="110">
        <v>25</v>
      </c>
      <c r="AE61" s="110">
        <v>16860</v>
      </c>
      <c r="AF61" s="110">
        <v>28</v>
      </c>
      <c r="AG61" s="110">
        <v>18883.2</v>
      </c>
      <c r="AH61" s="110">
        <v>28</v>
      </c>
      <c r="AI61" s="110">
        <v>18883.2</v>
      </c>
      <c r="AJ61" s="110">
        <v>48</v>
      </c>
      <c r="AK61" s="110">
        <v>32371.199999999997</v>
      </c>
      <c r="AL61" s="110">
        <v>35</v>
      </c>
      <c r="AM61" s="110">
        <v>23604</v>
      </c>
      <c r="AN61" s="110">
        <v>47</v>
      </c>
      <c r="AO61" s="110">
        <v>31696.799999999999</v>
      </c>
      <c r="AP61" s="110">
        <v>43</v>
      </c>
      <c r="AQ61" s="110">
        <v>28999.200000000001</v>
      </c>
      <c r="AR61" s="110">
        <v>14</v>
      </c>
      <c r="AS61" s="110">
        <v>9441.6</v>
      </c>
      <c r="AT61" s="110">
        <v>22</v>
      </c>
      <c r="AU61" s="110">
        <v>14836.8</v>
      </c>
      <c r="AV61" s="110">
        <v>15</v>
      </c>
      <c r="AW61" s="110">
        <v>10116</v>
      </c>
      <c r="AX61" s="110">
        <v>17</v>
      </c>
      <c r="AY61" s="110">
        <v>11464.8</v>
      </c>
      <c r="AZ61" s="110">
        <v>10</v>
      </c>
      <c r="BA61" s="110">
        <v>6744</v>
      </c>
      <c r="BB61" s="110">
        <v>11</v>
      </c>
      <c r="BC61" s="110">
        <v>7418.4</v>
      </c>
      <c r="BD61" s="110">
        <v>9</v>
      </c>
      <c r="BE61" s="110">
        <v>6069.5999999999995</v>
      </c>
      <c r="BF61" s="110">
        <v>15</v>
      </c>
      <c r="BG61" s="110">
        <v>10116</v>
      </c>
      <c r="BH61" s="110">
        <v>9</v>
      </c>
      <c r="BI61" s="110">
        <v>6069.5999999999995</v>
      </c>
      <c r="BJ61" s="110">
        <v>12</v>
      </c>
      <c r="BK61" s="110">
        <v>8092.7999999999993</v>
      </c>
      <c r="BL61" s="110">
        <v>9</v>
      </c>
      <c r="BM61" s="110">
        <v>6069.5999999999995</v>
      </c>
      <c r="BN61" s="110">
        <v>15</v>
      </c>
      <c r="BO61" s="110">
        <v>10116</v>
      </c>
      <c r="BP61" s="110">
        <v>31</v>
      </c>
      <c r="BQ61" s="110">
        <v>20906.399999999998</v>
      </c>
      <c r="BR61" s="110">
        <v>24</v>
      </c>
      <c r="BS61" s="110">
        <v>16185.599999999999</v>
      </c>
      <c r="BT61" s="110">
        <v>27</v>
      </c>
      <c r="BU61" s="110">
        <v>18208.8</v>
      </c>
      <c r="BV61" s="110">
        <v>19</v>
      </c>
      <c r="BW61" s="110">
        <v>12813.6</v>
      </c>
      <c r="BX61" s="110">
        <v>10</v>
      </c>
      <c r="BY61" s="110">
        <v>6744</v>
      </c>
      <c r="BZ61" s="110">
        <v>7</v>
      </c>
      <c r="CA61" s="110">
        <v>4720.8</v>
      </c>
      <c r="CB61" s="110">
        <v>9</v>
      </c>
      <c r="CC61" s="110">
        <v>6069.5999999999995</v>
      </c>
      <c r="CD61" s="110">
        <v>9</v>
      </c>
      <c r="CE61" s="110">
        <v>6069.5999999999995</v>
      </c>
      <c r="CF61" s="110">
        <v>3</v>
      </c>
      <c r="CG61" s="110">
        <v>2023.1999999999998</v>
      </c>
      <c r="CH61" s="110">
        <v>2</v>
      </c>
      <c r="CI61" s="110">
        <v>1348.8</v>
      </c>
      <c r="CJ61" s="110">
        <v>3</v>
      </c>
      <c r="CK61" s="110">
        <v>2023.1999999999998</v>
      </c>
      <c r="CL61" s="110">
        <v>2</v>
      </c>
      <c r="CM61" s="110">
        <v>1348.8</v>
      </c>
      <c r="CN61" s="110">
        <v>24</v>
      </c>
      <c r="CO61" s="110">
        <v>16185.599999999999</v>
      </c>
      <c r="CP61" s="110">
        <v>21</v>
      </c>
      <c r="CQ61" s="110">
        <v>14162.4</v>
      </c>
      <c r="CR61" s="110">
        <v>16</v>
      </c>
      <c r="CS61" s="110">
        <v>10790.4</v>
      </c>
      <c r="CT61" s="110">
        <v>18</v>
      </c>
      <c r="CU61" s="110">
        <v>12139.199999999999</v>
      </c>
    </row>
    <row r="62" spans="2:99" x14ac:dyDescent="0.2">
      <c r="C62" s="109" t="s">
        <v>230</v>
      </c>
      <c r="D62" s="110">
        <v>13</v>
      </c>
      <c r="E62" s="110">
        <v>16614</v>
      </c>
      <c r="F62" s="110">
        <v>9</v>
      </c>
      <c r="G62" s="110">
        <v>11502</v>
      </c>
      <c r="H62" s="110">
        <v>11</v>
      </c>
      <c r="I62" s="110">
        <v>14058</v>
      </c>
      <c r="J62" s="110">
        <v>12</v>
      </c>
      <c r="K62" s="110">
        <v>15336</v>
      </c>
      <c r="L62" s="110">
        <v>9</v>
      </c>
      <c r="M62" s="110">
        <v>11502</v>
      </c>
      <c r="N62" s="110">
        <v>8</v>
      </c>
      <c r="O62" s="110">
        <v>10224</v>
      </c>
      <c r="P62" s="110">
        <v>11</v>
      </c>
      <c r="Q62" s="110">
        <v>14058</v>
      </c>
      <c r="R62" s="110">
        <v>7</v>
      </c>
      <c r="S62" s="110">
        <v>8946</v>
      </c>
      <c r="T62" s="110">
        <v>3</v>
      </c>
      <c r="U62" s="110">
        <v>3834</v>
      </c>
      <c r="V62" s="110">
        <v>3</v>
      </c>
      <c r="W62" s="110">
        <v>3834</v>
      </c>
      <c r="X62" s="110">
        <v>2</v>
      </c>
      <c r="Y62" s="110">
        <v>2556</v>
      </c>
      <c r="Z62" s="110">
        <v>3</v>
      </c>
      <c r="AA62" s="110">
        <v>3834</v>
      </c>
      <c r="AB62" s="110">
        <v>21</v>
      </c>
      <c r="AC62" s="110">
        <v>26838</v>
      </c>
      <c r="AD62" s="110">
        <v>25</v>
      </c>
      <c r="AE62" s="110">
        <v>31950</v>
      </c>
      <c r="AF62" s="110">
        <v>29</v>
      </c>
      <c r="AG62" s="110">
        <v>37062</v>
      </c>
      <c r="AH62" s="110">
        <v>27</v>
      </c>
      <c r="AI62" s="110">
        <v>34506</v>
      </c>
      <c r="AJ62" s="110">
        <v>36</v>
      </c>
      <c r="AK62" s="110">
        <v>46008</v>
      </c>
      <c r="AL62" s="110">
        <v>36</v>
      </c>
      <c r="AM62" s="110">
        <v>46008</v>
      </c>
      <c r="AN62" s="110">
        <v>37</v>
      </c>
      <c r="AO62" s="110">
        <v>47286</v>
      </c>
      <c r="AP62" s="110">
        <v>36</v>
      </c>
      <c r="AQ62" s="110">
        <v>46008</v>
      </c>
      <c r="AR62" s="110">
        <v>12</v>
      </c>
      <c r="AS62" s="110">
        <v>15336</v>
      </c>
      <c r="AT62" s="110">
        <v>19</v>
      </c>
      <c r="AU62" s="110">
        <v>24282</v>
      </c>
      <c r="AV62" s="110">
        <v>15</v>
      </c>
      <c r="AW62" s="110">
        <v>19170</v>
      </c>
      <c r="AX62" s="110">
        <v>13</v>
      </c>
      <c r="AY62" s="110">
        <v>16614</v>
      </c>
      <c r="AZ62" s="110">
        <v>8</v>
      </c>
      <c r="BA62" s="110">
        <v>10224</v>
      </c>
      <c r="BB62" s="110">
        <v>12</v>
      </c>
      <c r="BC62" s="110">
        <v>15336</v>
      </c>
      <c r="BD62" s="110">
        <v>9</v>
      </c>
      <c r="BE62" s="110">
        <v>11502</v>
      </c>
      <c r="BF62" s="110">
        <v>12</v>
      </c>
      <c r="BG62" s="110">
        <v>15336</v>
      </c>
      <c r="BH62" s="110">
        <v>8</v>
      </c>
      <c r="BI62" s="110">
        <v>10224</v>
      </c>
      <c r="BJ62" s="110">
        <v>11</v>
      </c>
      <c r="BK62" s="110">
        <v>14058</v>
      </c>
      <c r="BL62" s="110">
        <v>9</v>
      </c>
      <c r="BM62" s="110">
        <v>11502</v>
      </c>
      <c r="BN62" s="110">
        <v>15</v>
      </c>
      <c r="BO62" s="110">
        <v>19170</v>
      </c>
      <c r="BP62" s="110">
        <v>27</v>
      </c>
      <c r="BQ62" s="110">
        <v>34506</v>
      </c>
      <c r="BR62" s="110">
        <v>20</v>
      </c>
      <c r="BS62" s="110">
        <v>25560</v>
      </c>
      <c r="BT62" s="110">
        <v>27</v>
      </c>
      <c r="BU62" s="110">
        <v>34506</v>
      </c>
      <c r="BV62" s="110">
        <v>17</v>
      </c>
      <c r="BW62" s="110">
        <v>21726</v>
      </c>
      <c r="BX62" s="110">
        <v>8</v>
      </c>
      <c r="BY62" s="110">
        <v>10224</v>
      </c>
      <c r="BZ62" s="110">
        <v>6</v>
      </c>
      <c r="CA62" s="110">
        <v>7668</v>
      </c>
      <c r="CB62" s="110">
        <v>9</v>
      </c>
      <c r="CC62" s="110">
        <v>11502</v>
      </c>
      <c r="CD62" s="110">
        <v>8</v>
      </c>
      <c r="CE62" s="110">
        <v>10224</v>
      </c>
      <c r="CF62" s="110">
        <v>3</v>
      </c>
      <c r="CG62" s="110">
        <v>3834</v>
      </c>
      <c r="CH62" s="110">
        <v>2</v>
      </c>
      <c r="CI62" s="110">
        <v>2556</v>
      </c>
      <c r="CJ62" s="110">
        <v>2</v>
      </c>
      <c r="CK62" s="110">
        <v>2556</v>
      </c>
      <c r="CL62" s="110">
        <v>2</v>
      </c>
      <c r="CM62" s="110">
        <v>2556</v>
      </c>
      <c r="CN62" s="110">
        <v>21</v>
      </c>
      <c r="CO62" s="110">
        <v>26838</v>
      </c>
      <c r="CP62" s="110">
        <v>21</v>
      </c>
      <c r="CQ62" s="110">
        <v>26838</v>
      </c>
      <c r="CR62" s="110">
        <v>15</v>
      </c>
      <c r="CS62" s="110">
        <v>19170</v>
      </c>
      <c r="CT62" s="110">
        <v>15</v>
      </c>
      <c r="CU62" s="110">
        <v>19170</v>
      </c>
    </row>
    <row r="63" spans="2:99" x14ac:dyDescent="0.2">
      <c r="C63" s="109" t="s">
        <v>231</v>
      </c>
      <c r="D63" s="110">
        <v>12</v>
      </c>
      <c r="E63" s="110">
        <v>10396.799999999999</v>
      </c>
      <c r="F63" s="110">
        <v>10</v>
      </c>
      <c r="G63" s="110">
        <v>8664</v>
      </c>
      <c r="H63" s="110">
        <v>12</v>
      </c>
      <c r="I63" s="110">
        <v>10396.799999999999</v>
      </c>
      <c r="J63" s="110">
        <v>13</v>
      </c>
      <c r="K63" s="110">
        <v>11263.199999999999</v>
      </c>
      <c r="L63" s="110">
        <v>9</v>
      </c>
      <c r="M63" s="110">
        <v>7797.5999999999995</v>
      </c>
      <c r="N63" s="110">
        <v>9</v>
      </c>
      <c r="O63" s="110">
        <v>7797.5999999999995</v>
      </c>
      <c r="P63" s="110">
        <v>11</v>
      </c>
      <c r="Q63" s="110">
        <v>9530.4</v>
      </c>
      <c r="R63" s="110">
        <v>7</v>
      </c>
      <c r="S63" s="110">
        <v>6064.8</v>
      </c>
      <c r="T63" s="110">
        <v>3</v>
      </c>
      <c r="U63" s="110">
        <v>2599.1999999999998</v>
      </c>
      <c r="V63" s="110">
        <v>3</v>
      </c>
      <c r="W63" s="110">
        <v>2599.1999999999998</v>
      </c>
      <c r="X63" s="110">
        <v>2</v>
      </c>
      <c r="Y63" s="110">
        <v>1732.8</v>
      </c>
      <c r="Z63" s="110">
        <v>3</v>
      </c>
      <c r="AA63" s="110">
        <v>2599.1999999999998</v>
      </c>
      <c r="AB63" s="110">
        <v>20</v>
      </c>
      <c r="AC63" s="110">
        <v>17328</v>
      </c>
      <c r="AD63" s="110">
        <v>26</v>
      </c>
      <c r="AE63" s="110">
        <v>22526.399999999998</v>
      </c>
      <c r="AF63" s="110">
        <v>26</v>
      </c>
      <c r="AG63" s="110">
        <v>22526.399999999998</v>
      </c>
      <c r="AH63" s="110">
        <v>30</v>
      </c>
      <c r="AI63" s="110">
        <v>25992</v>
      </c>
      <c r="AJ63" s="110">
        <v>40</v>
      </c>
      <c r="AK63" s="110">
        <v>34656</v>
      </c>
      <c r="AL63" s="110">
        <v>40</v>
      </c>
      <c r="AM63" s="110">
        <v>34656</v>
      </c>
      <c r="AN63" s="110">
        <v>42</v>
      </c>
      <c r="AO63" s="110">
        <v>36388.799999999996</v>
      </c>
      <c r="AP63" s="110">
        <v>38</v>
      </c>
      <c r="AQ63" s="110">
        <v>32923.199999999997</v>
      </c>
      <c r="AR63" s="110">
        <v>14</v>
      </c>
      <c r="AS63" s="110">
        <v>12129.6</v>
      </c>
      <c r="AT63" s="110">
        <v>19</v>
      </c>
      <c r="AU63" s="110">
        <v>16461.599999999999</v>
      </c>
      <c r="AV63" s="110">
        <v>16</v>
      </c>
      <c r="AW63" s="110">
        <v>13862.4</v>
      </c>
      <c r="AX63" s="110">
        <v>16</v>
      </c>
      <c r="AY63" s="110">
        <v>13862.4</v>
      </c>
      <c r="AZ63" s="110">
        <v>10</v>
      </c>
      <c r="BA63" s="110">
        <v>8664</v>
      </c>
      <c r="BB63" s="110">
        <v>12</v>
      </c>
      <c r="BC63" s="110">
        <v>10396.799999999999</v>
      </c>
      <c r="BD63" s="110">
        <v>8</v>
      </c>
      <c r="BE63" s="110">
        <v>6931.2</v>
      </c>
      <c r="BF63" s="110">
        <v>12</v>
      </c>
      <c r="BG63" s="110">
        <v>10396.799999999999</v>
      </c>
      <c r="BH63" s="110">
        <v>10</v>
      </c>
      <c r="BI63" s="110">
        <v>8664</v>
      </c>
      <c r="BJ63" s="110">
        <v>11</v>
      </c>
      <c r="BK63" s="110">
        <v>9530.4</v>
      </c>
      <c r="BL63" s="110">
        <v>8</v>
      </c>
      <c r="BM63" s="110">
        <v>6931.2</v>
      </c>
      <c r="BN63" s="110">
        <v>17</v>
      </c>
      <c r="BO63" s="110">
        <v>14728.8</v>
      </c>
      <c r="BP63" s="110">
        <v>30</v>
      </c>
      <c r="BQ63" s="110">
        <v>25992</v>
      </c>
      <c r="BR63" s="110">
        <v>24</v>
      </c>
      <c r="BS63" s="110">
        <v>20793.599999999999</v>
      </c>
      <c r="BT63" s="110">
        <v>28</v>
      </c>
      <c r="BU63" s="110">
        <v>24259.200000000001</v>
      </c>
      <c r="BV63" s="110">
        <v>18</v>
      </c>
      <c r="BW63" s="110">
        <v>15595.199999999999</v>
      </c>
      <c r="BX63" s="110">
        <v>9</v>
      </c>
      <c r="BY63" s="110">
        <v>7797.5999999999995</v>
      </c>
      <c r="BZ63" s="110">
        <v>7</v>
      </c>
      <c r="CA63" s="110">
        <v>6064.8</v>
      </c>
      <c r="CB63" s="110">
        <v>9</v>
      </c>
      <c r="CC63" s="110">
        <v>7797.5999999999995</v>
      </c>
      <c r="CD63" s="110">
        <v>8</v>
      </c>
      <c r="CE63" s="110">
        <v>6931.2</v>
      </c>
      <c r="CF63" s="110">
        <v>3</v>
      </c>
      <c r="CG63" s="110">
        <v>2599.1999999999998</v>
      </c>
      <c r="CH63" s="110">
        <v>2</v>
      </c>
      <c r="CI63" s="110">
        <v>1732.8</v>
      </c>
      <c r="CJ63" s="110">
        <v>3</v>
      </c>
      <c r="CK63" s="110">
        <v>2599.1999999999998</v>
      </c>
      <c r="CL63" s="110">
        <v>2</v>
      </c>
      <c r="CM63" s="110">
        <v>1732.8</v>
      </c>
      <c r="CN63" s="110">
        <v>24</v>
      </c>
      <c r="CO63" s="110">
        <v>20793.599999999999</v>
      </c>
      <c r="CP63" s="110">
        <v>19</v>
      </c>
      <c r="CQ63" s="110">
        <v>16461.599999999999</v>
      </c>
      <c r="CR63" s="110">
        <v>15</v>
      </c>
      <c r="CS63" s="110">
        <v>12996</v>
      </c>
      <c r="CT63" s="110">
        <v>17</v>
      </c>
      <c r="CU63" s="110">
        <v>14728.8</v>
      </c>
    </row>
    <row r="64" spans="2:99" x14ac:dyDescent="0.2">
      <c r="C64" s="109" t="s">
        <v>232</v>
      </c>
      <c r="D64" s="110">
        <v>12</v>
      </c>
      <c r="E64" s="110">
        <v>10483.200000000001</v>
      </c>
      <c r="F64" s="110">
        <v>9</v>
      </c>
      <c r="G64" s="110">
        <v>7862.4000000000005</v>
      </c>
      <c r="H64" s="110">
        <v>12</v>
      </c>
      <c r="I64" s="110">
        <v>10483.200000000001</v>
      </c>
      <c r="J64" s="110">
        <v>12</v>
      </c>
      <c r="K64" s="110">
        <v>10483.200000000001</v>
      </c>
      <c r="L64" s="110">
        <v>9</v>
      </c>
      <c r="M64" s="110">
        <v>7862.4000000000005</v>
      </c>
      <c r="N64" s="110">
        <v>9</v>
      </c>
      <c r="O64" s="110">
        <v>7862.4000000000005</v>
      </c>
      <c r="P64" s="110">
        <v>13</v>
      </c>
      <c r="Q64" s="110">
        <v>11356.800000000001</v>
      </c>
      <c r="R64" s="110">
        <v>7</v>
      </c>
      <c r="S64" s="110">
        <v>6115.2</v>
      </c>
      <c r="T64" s="110">
        <v>3</v>
      </c>
      <c r="U64" s="110">
        <v>2620.8000000000002</v>
      </c>
      <c r="V64" s="110">
        <v>3</v>
      </c>
      <c r="W64" s="110">
        <v>2620.8000000000002</v>
      </c>
      <c r="X64" s="110">
        <v>2</v>
      </c>
      <c r="Y64" s="110">
        <v>1747.2</v>
      </c>
      <c r="Z64" s="110">
        <v>3</v>
      </c>
      <c r="AA64" s="110">
        <v>2620.8000000000002</v>
      </c>
      <c r="AB64" s="110">
        <v>23</v>
      </c>
      <c r="AC64" s="110">
        <v>20092.8</v>
      </c>
      <c r="AD64" s="110">
        <v>25</v>
      </c>
      <c r="AE64" s="110">
        <v>21840</v>
      </c>
      <c r="AF64" s="110">
        <v>27</v>
      </c>
      <c r="AG64" s="110">
        <v>23587.200000000001</v>
      </c>
      <c r="AH64" s="110">
        <v>27</v>
      </c>
      <c r="AI64" s="110">
        <v>23587.200000000001</v>
      </c>
      <c r="AJ64" s="110">
        <v>42</v>
      </c>
      <c r="AK64" s="110">
        <v>36691.200000000004</v>
      </c>
      <c r="AL64" s="110">
        <v>39</v>
      </c>
      <c r="AM64" s="110">
        <v>34070.400000000001</v>
      </c>
      <c r="AN64" s="110">
        <v>46</v>
      </c>
      <c r="AO64" s="110">
        <v>40185.599999999999</v>
      </c>
      <c r="AP64" s="110">
        <v>40</v>
      </c>
      <c r="AQ64" s="110">
        <v>34944</v>
      </c>
      <c r="AR64" s="110">
        <v>12</v>
      </c>
      <c r="AS64" s="110">
        <v>10483.200000000001</v>
      </c>
      <c r="AT64" s="110">
        <v>20</v>
      </c>
      <c r="AU64" s="110">
        <v>17472</v>
      </c>
      <c r="AV64" s="110">
        <v>15</v>
      </c>
      <c r="AW64" s="110">
        <v>13104</v>
      </c>
      <c r="AX64" s="110">
        <v>16</v>
      </c>
      <c r="AY64" s="110">
        <v>13977.6</v>
      </c>
      <c r="AZ64" s="110">
        <v>10</v>
      </c>
      <c r="BA64" s="110">
        <v>8736</v>
      </c>
      <c r="BB64" s="110">
        <v>12</v>
      </c>
      <c r="BC64" s="110">
        <v>10483.200000000001</v>
      </c>
      <c r="BD64" s="110">
        <v>9</v>
      </c>
      <c r="BE64" s="110">
        <v>7862.4000000000005</v>
      </c>
      <c r="BF64" s="110">
        <v>13</v>
      </c>
      <c r="BG64" s="110">
        <v>11356.800000000001</v>
      </c>
      <c r="BH64" s="110">
        <v>10</v>
      </c>
      <c r="BI64" s="110">
        <v>8736</v>
      </c>
      <c r="BJ64" s="110">
        <v>12</v>
      </c>
      <c r="BK64" s="110">
        <v>10483.200000000001</v>
      </c>
      <c r="BL64" s="110">
        <v>9</v>
      </c>
      <c r="BM64" s="110">
        <v>7862.4000000000005</v>
      </c>
      <c r="BN64" s="110">
        <v>18</v>
      </c>
      <c r="BO64" s="110">
        <v>15724.800000000001</v>
      </c>
      <c r="BP64" s="110">
        <v>30</v>
      </c>
      <c r="BQ64" s="110">
        <v>26208</v>
      </c>
      <c r="BR64" s="110">
        <v>22</v>
      </c>
      <c r="BS64" s="110">
        <v>19219.2</v>
      </c>
      <c r="BT64" s="110">
        <v>28</v>
      </c>
      <c r="BU64" s="110">
        <v>24460.799999999999</v>
      </c>
      <c r="BV64" s="110">
        <v>18</v>
      </c>
      <c r="BW64" s="110">
        <v>15724.800000000001</v>
      </c>
      <c r="BX64" s="110">
        <v>9</v>
      </c>
      <c r="BY64" s="110">
        <v>7862.4000000000005</v>
      </c>
      <c r="BZ64" s="110">
        <v>7</v>
      </c>
      <c r="CA64" s="110">
        <v>6115.2</v>
      </c>
      <c r="CB64" s="110">
        <v>10</v>
      </c>
      <c r="CC64" s="110">
        <v>8736</v>
      </c>
      <c r="CD64" s="110">
        <v>9</v>
      </c>
      <c r="CE64" s="110">
        <v>7862.4000000000005</v>
      </c>
      <c r="CF64" s="110">
        <v>3</v>
      </c>
      <c r="CG64" s="110">
        <v>2620.8000000000002</v>
      </c>
      <c r="CH64" s="110">
        <v>2</v>
      </c>
      <c r="CI64" s="110">
        <v>1747.2</v>
      </c>
      <c r="CJ64" s="110">
        <v>3</v>
      </c>
      <c r="CK64" s="110">
        <v>2620.8000000000002</v>
      </c>
      <c r="CL64" s="110">
        <v>2</v>
      </c>
      <c r="CM64" s="110">
        <v>1747.2</v>
      </c>
      <c r="CN64" s="110">
        <v>25</v>
      </c>
      <c r="CO64" s="110">
        <v>21840</v>
      </c>
      <c r="CP64" s="110">
        <v>21</v>
      </c>
      <c r="CQ64" s="110">
        <v>18345.600000000002</v>
      </c>
      <c r="CR64" s="110">
        <v>16</v>
      </c>
      <c r="CS64" s="110">
        <v>13977.6</v>
      </c>
      <c r="CT64" s="110">
        <v>15</v>
      </c>
      <c r="CU64" s="110">
        <v>13104</v>
      </c>
    </row>
    <row r="65" spans="2:99" x14ac:dyDescent="0.2">
      <c r="C65" s="109" t="s">
        <v>233</v>
      </c>
      <c r="D65" s="110">
        <v>14</v>
      </c>
      <c r="E65" s="110">
        <v>4872</v>
      </c>
      <c r="F65" s="110">
        <v>9</v>
      </c>
      <c r="G65" s="110">
        <v>3132</v>
      </c>
      <c r="H65" s="110">
        <v>12</v>
      </c>
      <c r="I65" s="110">
        <v>4176</v>
      </c>
      <c r="J65" s="110">
        <v>14</v>
      </c>
      <c r="K65" s="110">
        <v>4872</v>
      </c>
      <c r="L65" s="110">
        <v>9</v>
      </c>
      <c r="M65" s="110">
        <v>3132</v>
      </c>
      <c r="N65" s="110">
        <v>10</v>
      </c>
      <c r="O65" s="110">
        <v>3480</v>
      </c>
      <c r="P65" s="110">
        <v>14</v>
      </c>
      <c r="Q65" s="110">
        <v>4872</v>
      </c>
      <c r="R65" s="110">
        <v>7</v>
      </c>
      <c r="S65" s="110">
        <v>2436</v>
      </c>
      <c r="T65" s="110">
        <v>3</v>
      </c>
      <c r="U65" s="110">
        <v>1044</v>
      </c>
      <c r="V65" s="110">
        <v>3</v>
      </c>
      <c r="W65" s="110">
        <v>1044</v>
      </c>
      <c r="X65" s="110">
        <v>2</v>
      </c>
      <c r="Y65" s="110">
        <v>696</v>
      </c>
      <c r="Z65" s="110">
        <v>4</v>
      </c>
      <c r="AA65" s="110">
        <v>1392</v>
      </c>
      <c r="AB65" s="110">
        <v>23</v>
      </c>
      <c r="AC65" s="110">
        <v>8004</v>
      </c>
      <c r="AD65" s="110">
        <v>27</v>
      </c>
      <c r="AE65" s="110">
        <v>9396</v>
      </c>
      <c r="AF65" s="110">
        <v>33</v>
      </c>
      <c r="AG65" s="110">
        <v>11484</v>
      </c>
      <c r="AH65" s="110">
        <v>34</v>
      </c>
      <c r="AI65" s="110">
        <v>11832</v>
      </c>
      <c r="AJ65" s="110">
        <v>43</v>
      </c>
      <c r="AK65" s="110">
        <v>14964</v>
      </c>
      <c r="AL65" s="110">
        <v>40</v>
      </c>
      <c r="AM65" s="110">
        <v>13920</v>
      </c>
      <c r="AN65" s="110">
        <v>52</v>
      </c>
      <c r="AO65" s="110">
        <v>18096</v>
      </c>
      <c r="AP65" s="110">
        <v>40</v>
      </c>
      <c r="AQ65" s="110">
        <v>13920</v>
      </c>
      <c r="AR65" s="110">
        <v>14</v>
      </c>
      <c r="AS65" s="110">
        <v>4872</v>
      </c>
      <c r="AT65" s="110">
        <v>20</v>
      </c>
      <c r="AU65" s="110">
        <v>6960</v>
      </c>
      <c r="AV65" s="110">
        <v>17</v>
      </c>
      <c r="AW65" s="110">
        <v>5916</v>
      </c>
      <c r="AX65" s="110">
        <v>15</v>
      </c>
      <c r="AY65" s="110">
        <v>5220</v>
      </c>
      <c r="AZ65" s="110">
        <v>11</v>
      </c>
      <c r="BA65" s="110">
        <v>3828</v>
      </c>
      <c r="BB65" s="110">
        <v>14</v>
      </c>
      <c r="BC65" s="110">
        <v>4872</v>
      </c>
      <c r="BD65" s="110">
        <v>9</v>
      </c>
      <c r="BE65" s="110">
        <v>3132</v>
      </c>
      <c r="BF65" s="110">
        <v>14</v>
      </c>
      <c r="BG65" s="110">
        <v>4872</v>
      </c>
      <c r="BH65" s="110">
        <v>9</v>
      </c>
      <c r="BI65" s="110">
        <v>3132</v>
      </c>
      <c r="BJ65" s="110">
        <v>13</v>
      </c>
      <c r="BK65" s="110">
        <v>4524</v>
      </c>
      <c r="BL65" s="110">
        <v>10</v>
      </c>
      <c r="BM65" s="110">
        <v>3480</v>
      </c>
      <c r="BN65" s="110">
        <v>17</v>
      </c>
      <c r="BO65" s="110">
        <v>5916</v>
      </c>
      <c r="BP65" s="110">
        <v>34</v>
      </c>
      <c r="BQ65" s="110">
        <v>11832</v>
      </c>
      <c r="BR65" s="110">
        <v>26</v>
      </c>
      <c r="BS65" s="110">
        <v>9048</v>
      </c>
      <c r="BT65" s="110">
        <v>29</v>
      </c>
      <c r="BU65" s="110">
        <v>10092</v>
      </c>
      <c r="BV65" s="110">
        <v>19</v>
      </c>
      <c r="BW65" s="110">
        <v>6612</v>
      </c>
      <c r="BX65" s="110">
        <v>10</v>
      </c>
      <c r="BY65" s="110">
        <v>3480</v>
      </c>
      <c r="BZ65" s="110">
        <v>7</v>
      </c>
      <c r="CA65" s="110">
        <v>2436</v>
      </c>
      <c r="CB65" s="110">
        <v>9</v>
      </c>
      <c r="CC65" s="110">
        <v>3132</v>
      </c>
      <c r="CD65" s="110">
        <v>9</v>
      </c>
      <c r="CE65" s="110">
        <v>3132</v>
      </c>
      <c r="CF65" s="110">
        <v>3</v>
      </c>
      <c r="CG65" s="110">
        <v>1044</v>
      </c>
      <c r="CH65" s="110">
        <v>2</v>
      </c>
      <c r="CI65" s="110">
        <v>696</v>
      </c>
      <c r="CJ65" s="110">
        <v>3</v>
      </c>
      <c r="CK65" s="110">
        <v>1044</v>
      </c>
      <c r="CL65" s="110">
        <v>2</v>
      </c>
      <c r="CM65" s="110">
        <v>696</v>
      </c>
      <c r="CN65" s="110">
        <v>24</v>
      </c>
      <c r="CO65" s="110">
        <v>8352</v>
      </c>
      <c r="CP65" s="110">
        <v>22</v>
      </c>
      <c r="CQ65" s="110">
        <v>7656</v>
      </c>
      <c r="CR65" s="110">
        <v>15</v>
      </c>
      <c r="CS65" s="110">
        <v>5220</v>
      </c>
      <c r="CT65" s="110">
        <v>19</v>
      </c>
      <c r="CU65" s="110">
        <v>6612</v>
      </c>
    </row>
    <row r="66" spans="2:99" x14ac:dyDescent="0.2">
      <c r="C66" s="109" t="s">
        <v>234</v>
      </c>
      <c r="D66" s="110">
        <v>13</v>
      </c>
      <c r="E66" s="110">
        <v>9843.5999999999985</v>
      </c>
      <c r="F66" s="110">
        <v>9</v>
      </c>
      <c r="G66" s="110">
        <v>6814.7999999999993</v>
      </c>
      <c r="H66" s="110">
        <v>13</v>
      </c>
      <c r="I66" s="110">
        <v>9843.5999999999985</v>
      </c>
      <c r="J66" s="110">
        <v>13</v>
      </c>
      <c r="K66" s="110">
        <v>9843.5999999999985</v>
      </c>
      <c r="L66" s="110">
        <v>10</v>
      </c>
      <c r="M66" s="110">
        <v>7571.9999999999991</v>
      </c>
      <c r="N66" s="110">
        <v>8</v>
      </c>
      <c r="O66" s="110">
        <v>6057.5999999999995</v>
      </c>
      <c r="P66" s="110">
        <v>13</v>
      </c>
      <c r="Q66" s="110">
        <v>9843.5999999999985</v>
      </c>
      <c r="R66" s="110">
        <v>8</v>
      </c>
      <c r="S66" s="110">
        <v>6057.5999999999995</v>
      </c>
      <c r="T66" s="110">
        <v>3</v>
      </c>
      <c r="U66" s="110">
        <v>2271.6</v>
      </c>
      <c r="V66" s="110">
        <v>3</v>
      </c>
      <c r="W66" s="110">
        <v>2271.6</v>
      </c>
      <c r="X66" s="110">
        <v>2</v>
      </c>
      <c r="Y66" s="110">
        <v>1514.3999999999999</v>
      </c>
      <c r="Z66" s="110">
        <v>3</v>
      </c>
      <c r="AA66" s="110">
        <v>2271.6</v>
      </c>
      <c r="AB66" s="110">
        <v>20</v>
      </c>
      <c r="AC66" s="110">
        <v>15143.999999999998</v>
      </c>
      <c r="AD66" s="110">
        <v>23</v>
      </c>
      <c r="AE66" s="110">
        <v>17415.599999999999</v>
      </c>
      <c r="AF66" s="110">
        <v>27</v>
      </c>
      <c r="AG66" s="110">
        <v>20444.399999999998</v>
      </c>
      <c r="AH66" s="110">
        <v>28</v>
      </c>
      <c r="AI66" s="110">
        <v>21201.599999999999</v>
      </c>
      <c r="AJ66" s="110">
        <v>41</v>
      </c>
      <c r="AK66" s="110">
        <v>31045.199999999997</v>
      </c>
      <c r="AL66" s="110">
        <v>37</v>
      </c>
      <c r="AM66" s="110">
        <v>28016.399999999998</v>
      </c>
      <c r="AN66" s="110">
        <v>44</v>
      </c>
      <c r="AO66" s="110">
        <v>33316.799999999996</v>
      </c>
      <c r="AP66" s="110">
        <v>36</v>
      </c>
      <c r="AQ66" s="110">
        <v>27259.199999999997</v>
      </c>
      <c r="AR66" s="110">
        <v>13</v>
      </c>
      <c r="AS66" s="110">
        <v>9843.5999999999985</v>
      </c>
      <c r="AT66" s="110">
        <v>20</v>
      </c>
      <c r="AU66" s="110">
        <v>15143.999999999998</v>
      </c>
      <c r="AV66" s="110">
        <v>15</v>
      </c>
      <c r="AW66" s="110">
        <v>11357.999999999998</v>
      </c>
      <c r="AX66" s="110">
        <v>16</v>
      </c>
      <c r="AY66" s="110">
        <v>12115.199999999999</v>
      </c>
      <c r="AZ66" s="110">
        <v>10</v>
      </c>
      <c r="BA66" s="110">
        <v>7571.9999999999991</v>
      </c>
      <c r="BB66" s="110">
        <v>14</v>
      </c>
      <c r="BC66" s="110">
        <v>10600.8</v>
      </c>
      <c r="BD66" s="110">
        <v>8</v>
      </c>
      <c r="BE66" s="110">
        <v>6057.5999999999995</v>
      </c>
      <c r="BF66" s="110">
        <v>13</v>
      </c>
      <c r="BG66" s="110">
        <v>9843.5999999999985</v>
      </c>
      <c r="BH66" s="110">
        <v>10</v>
      </c>
      <c r="BI66" s="110">
        <v>7571.9999999999991</v>
      </c>
      <c r="BJ66" s="110">
        <v>12</v>
      </c>
      <c r="BK66" s="110">
        <v>9086.4</v>
      </c>
      <c r="BL66" s="110">
        <v>8</v>
      </c>
      <c r="BM66" s="110">
        <v>6057.5999999999995</v>
      </c>
      <c r="BN66" s="110">
        <v>16</v>
      </c>
      <c r="BO66" s="110">
        <v>12115.199999999999</v>
      </c>
      <c r="BP66" s="110">
        <v>35</v>
      </c>
      <c r="BQ66" s="110">
        <v>26501.999999999996</v>
      </c>
      <c r="BR66" s="110">
        <v>22</v>
      </c>
      <c r="BS66" s="110">
        <v>16658.399999999998</v>
      </c>
      <c r="BT66" s="110">
        <v>29</v>
      </c>
      <c r="BU66" s="110">
        <v>21958.799999999999</v>
      </c>
      <c r="BV66" s="110">
        <v>18</v>
      </c>
      <c r="BW66" s="110">
        <v>13629.599999999999</v>
      </c>
      <c r="BX66" s="110">
        <v>8</v>
      </c>
      <c r="BY66" s="110">
        <v>6057.5999999999995</v>
      </c>
      <c r="BZ66" s="110">
        <v>6</v>
      </c>
      <c r="CA66" s="110">
        <v>4543.2</v>
      </c>
      <c r="CB66" s="110">
        <v>9</v>
      </c>
      <c r="CC66" s="110">
        <v>6814.7999999999993</v>
      </c>
      <c r="CD66" s="110">
        <v>8</v>
      </c>
      <c r="CE66" s="110">
        <v>6057.5999999999995</v>
      </c>
      <c r="CF66" s="110">
        <v>3</v>
      </c>
      <c r="CG66" s="110">
        <v>2271.6</v>
      </c>
      <c r="CH66" s="110">
        <v>2</v>
      </c>
      <c r="CI66" s="110">
        <v>1514.3999999999999</v>
      </c>
      <c r="CJ66" s="110">
        <v>3</v>
      </c>
      <c r="CK66" s="110">
        <v>2271.6</v>
      </c>
      <c r="CL66" s="110">
        <v>2</v>
      </c>
      <c r="CM66" s="110">
        <v>1514.3999999999999</v>
      </c>
      <c r="CN66" s="110">
        <v>26</v>
      </c>
      <c r="CO66" s="110">
        <v>19687.199999999997</v>
      </c>
      <c r="CP66" s="110">
        <v>22</v>
      </c>
      <c r="CQ66" s="110">
        <v>16658.399999999998</v>
      </c>
      <c r="CR66" s="110">
        <v>16</v>
      </c>
      <c r="CS66" s="110">
        <v>12115.199999999999</v>
      </c>
      <c r="CT66" s="110">
        <v>16</v>
      </c>
      <c r="CU66" s="110">
        <v>12115.199999999999</v>
      </c>
    </row>
    <row r="67" spans="2:99" x14ac:dyDescent="0.2">
      <c r="C67" s="109" t="s">
        <v>235</v>
      </c>
      <c r="D67" s="110">
        <v>14</v>
      </c>
      <c r="E67" s="110">
        <v>5594.4</v>
      </c>
      <c r="F67" s="110">
        <v>9</v>
      </c>
      <c r="G67" s="110">
        <v>3596.3999999999996</v>
      </c>
      <c r="H67" s="110">
        <v>13</v>
      </c>
      <c r="I67" s="110">
        <v>5194.7999999999993</v>
      </c>
      <c r="J67" s="110">
        <v>14</v>
      </c>
      <c r="K67" s="110">
        <v>5594.4</v>
      </c>
      <c r="L67" s="110">
        <v>10</v>
      </c>
      <c r="M67" s="110">
        <v>3995.9999999999995</v>
      </c>
      <c r="N67" s="110">
        <v>10</v>
      </c>
      <c r="O67" s="110">
        <v>3995.9999999999995</v>
      </c>
      <c r="P67" s="110">
        <v>12</v>
      </c>
      <c r="Q67" s="110">
        <v>4795.2</v>
      </c>
      <c r="R67" s="110">
        <v>7</v>
      </c>
      <c r="S67" s="110">
        <v>2797.2</v>
      </c>
      <c r="T67" s="110">
        <v>3</v>
      </c>
      <c r="U67" s="110">
        <v>1198.8</v>
      </c>
      <c r="V67" s="110">
        <v>3</v>
      </c>
      <c r="W67" s="110">
        <v>1198.8</v>
      </c>
      <c r="X67" s="110">
        <v>2</v>
      </c>
      <c r="Y67" s="110">
        <v>799.19999999999993</v>
      </c>
      <c r="Z67" s="110">
        <v>3</v>
      </c>
      <c r="AA67" s="110">
        <v>1198.8</v>
      </c>
      <c r="AB67" s="110">
        <v>25</v>
      </c>
      <c r="AC67" s="110">
        <v>9990</v>
      </c>
      <c r="AD67" s="110">
        <v>28</v>
      </c>
      <c r="AE67" s="110">
        <v>11188.8</v>
      </c>
      <c r="AF67" s="110">
        <v>30</v>
      </c>
      <c r="AG67" s="110">
        <v>11987.999999999998</v>
      </c>
      <c r="AH67" s="110">
        <v>32</v>
      </c>
      <c r="AI67" s="110">
        <v>12787.199999999999</v>
      </c>
      <c r="AJ67" s="110">
        <v>43</v>
      </c>
      <c r="AK67" s="110">
        <v>17182.8</v>
      </c>
      <c r="AL67" s="110">
        <v>42</v>
      </c>
      <c r="AM67" s="110">
        <v>16783.199999999997</v>
      </c>
      <c r="AN67" s="110">
        <v>45</v>
      </c>
      <c r="AO67" s="110">
        <v>17982</v>
      </c>
      <c r="AP67" s="110">
        <v>44</v>
      </c>
      <c r="AQ67" s="110">
        <v>17582.399999999998</v>
      </c>
      <c r="AR67" s="110">
        <v>14</v>
      </c>
      <c r="AS67" s="110">
        <v>5594.4</v>
      </c>
      <c r="AT67" s="110">
        <v>24</v>
      </c>
      <c r="AU67" s="110">
        <v>9590.4</v>
      </c>
      <c r="AV67" s="110">
        <v>18</v>
      </c>
      <c r="AW67" s="110">
        <v>7192.7999999999993</v>
      </c>
      <c r="AX67" s="110">
        <v>16</v>
      </c>
      <c r="AY67" s="110">
        <v>6393.5999999999995</v>
      </c>
      <c r="AZ67" s="110">
        <v>10</v>
      </c>
      <c r="BA67" s="110">
        <v>3995.9999999999995</v>
      </c>
      <c r="BB67" s="110">
        <v>12</v>
      </c>
      <c r="BC67" s="110">
        <v>4795.2</v>
      </c>
      <c r="BD67" s="110">
        <v>9</v>
      </c>
      <c r="BE67" s="110">
        <v>3596.3999999999996</v>
      </c>
      <c r="BF67" s="110">
        <v>13</v>
      </c>
      <c r="BG67" s="110">
        <v>5194.7999999999993</v>
      </c>
      <c r="BH67" s="110">
        <v>10</v>
      </c>
      <c r="BI67" s="110">
        <v>3995.9999999999995</v>
      </c>
      <c r="BJ67" s="110">
        <v>11</v>
      </c>
      <c r="BK67" s="110">
        <v>4395.5999999999995</v>
      </c>
      <c r="BL67" s="110">
        <v>9</v>
      </c>
      <c r="BM67" s="110">
        <v>3596.3999999999996</v>
      </c>
      <c r="BN67" s="110">
        <v>19</v>
      </c>
      <c r="BO67" s="110">
        <v>7592.4</v>
      </c>
      <c r="BP67" s="110">
        <v>31</v>
      </c>
      <c r="BQ67" s="110">
        <v>12387.599999999999</v>
      </c>
      <c r="BR67" s="110">
        <v>26</v>
      </c>
      <c r="BS67" s="110">
        <v>10389.599999999999</v>
      </c>
      <c r="BT67" s="110">
        <v>29</v>
      </c>
      <c r="BU67" s="110">
        <v>11588.4</v>
      </c>
      <c r="BV67" s="110">
        <v>17</v>
      </c>
      <c r="BW67" s="110">
        <v>6793.2</v>
      </c>
      <c r="BX67" s="110">
        <v>9</v>
      </c>
      <c r="BY67" s="110">
        <v>3596.3999999999996</v>
      </c>
      <c r="BZ67" s="110">
        <v>7</v>
      </c>
      <c r="CA67" s="110">
        <v>2797.2</v>
      </c>
      <c r="CB67" s="110">
        <v>8</v>
      </c>
      <c r="CC67" s="110">
        <v>3196.7999999999997</v>
      </c>
      <c r="CD67" s="110">
        <v>9</v>
      </c>
      <c r="CE67" s="110">
        <v>3596.3999999999996</v>
      </c>
      <c r="CF67" s="110">
        <v>3</v>
      </c>
      <c r="CG67" s="110">
        <v>1198.8</v>
      </c>
      <c r="CH67" s="110">
        <v>2</v>
      </c>
      <c r="CI67" s="110">
        <v>799.19999999999993</v>
      </c>
      <c r="CJ67" s="110">
        <v>3</v>
      </c>
      <c r="CK67" s="110">
        <v>1198.8</v>
      </c>
      <c r="CL67" s="110">
        <v>2</v>
      </c>
      <c r="CM67" s="110">
        <v>799.19999999999993</v>
      </c>
      <c r="CN67" s="110">
        <v>24</v>
      </c>
      <c r="CO67" s="110">
        <v>9590.4</v>
      </c>
      <c r="CP67" s="110">
        <v>23</v>
      </c>
      <c r="CQ67" s="110">
        <v>9190.7999999999993</v>
      </c>
      <c r="CR67" s="110">
        <v>15</v>
      </c>
      <c r="CS67" s="110">
        <v>5993.9999999999991</v>
      </c>
      <c r="CT67" s="110">
        <v>17</v>
      </c>
      <c r="CU67" s="110">
        <v>6793.2</v>
      </c>
    </row>
    <row r="68" spans="2:99" x14ac:dyDescent="0.2">
      <c r="C68" s="109" t="s">
        <v>236</v>
      </c>
      <c r="D68" s="110">
        <v>13</v>
      </c>
      <c r="E68" s="110">
        <v>12261.599999999999</v>
      </c>
      <c r="F68" s="110">
        <v>9</v>
      </c>
      <c r="G68" s="110">
        <v>8488.7999999999993</v>
      </c>
      <c r="H68" s="110">
        <v>11</v>
      </c>
      <c r="I68" s="110">
        <v>10375.199999999999</v>
      </c>
      <c r="J68" s="110">
        <v>13</v>
      </c>
      <c r="K68" s="110">
        <v>12261.599999999999</v>
      </c>
      <c r="L68" s="110">
        <v>9</v>
      </c>
      <c r="M68" s="110">
        <v>8488.7999999999993</v>
      </c>
      <c r="N68" s="110">
        <v>9</v>
      </c>
      <c r="O68" s="110">
        <v>8488.7999999999993</v>
      </c>
      <c r="P68" s="110">
        <v>12</v>
      </c>
      <c r="Q68" s="110">
        <v>11318.4</v>
      </c>
      <c r="R68" s="110">
        <v>7</v>
      </c>
      <c r="S68" s="110">
        <v>6602.4</v>
      </c>
      <c r="T68" s="110">
        <v>3</v>
      </c>
      <c r="U68" s="110">
        <v>2829.6</v>
      </c>
      <c r="V68" s="110">
        <v>3</v>
      </c>
      <c r="W68" s="110">
        <v>2829.6</v>
      </c>
      <c r="X68" s="110">
        <v>2</v>
      </c>
      <c r="Y68" s="110">
        <v>1886.3999999999999</v>
      </c>
      <c r="Z68" s="110">
        <v>3</v>
      </c>
      <c r="AA68" s="110">
        <v>2829.6</v>
      </c>
      <c r="AB68" s="110">
        <v>21</v>
      </c>
      <c r="AC68" s="110">
        <v>19807.199999999997</v>
      </c>
      <c r="AD68" s="110">
        <v>28</v>
      </c>
      <c r="AE68" s="110">
        <v>26409.599999999999</v>
      </c>
      <c r="AF68" s="110">
        <v>27</v>
      </c>
      <c r="AG68" s="110">
        <v>25466.399999999998</v>
      </c>
      <c r="AH68" s="110">
        <v>30</v>
      </c>
      <c r="AI68" s="110">
        <v>28295.999999999996</v>
      </c>
      <c r="AJ68" s="110">
        <v>45</v>
      </c>
      <c r="AK68" s="110">
        <v>42444</v>
      </c>
      <c r="AL68" s="110">
        <v>34</v>
      </c>
      <c r="AM68" s="110">
        <v>32068.799999999999</v>
      </c>
      <c r="AN68" s="110">
        <v>43</v>
      </c>
      <c r="AO68" s="110">
        <v>40557.599999999999</v>
      </c>
      <c r="AP68" s="110">
        <v>41</v>
      </c>
      <c r="AQ68" s="110">
        <v>38671.199999999997</v>
      </c>
      <c r="AR68" s="110">
        <v>11</v>
      </c>
      <c r="AS68" s="110">
        <v>10375.199999999999</v>
      </c>
      <c r="AT68" s="110">
        <v>19</v>
      </c>
      <c r="AU68" s="110">
        <v>17920.8</v>
      </c>
      <c r="AV68" s="110">
        <v>17</v>
      </c>
      <c r="AW68" s="110">
        <v>16034.4</v>
      </c>
      <c r="AX68" s="110">
        <v>16</v>
      </c>
      <c r="AY68" s="110">
        <v>15091.199999999999</v>
      </c>
      <c r="AZ68" s="110">
        <v>9</v>
      </c>
      <c r="BA68" s="110">
        <v>8488.7999999999993</v>
      </c>
      <c r="BB68" s="110">
        <v>13</v>
      </c>
      <c r="BC68" s="110">
        <v>12261.599999999999</v>
      </c>
      <c r="BD68" s="110">
        <v>9</v>
      </c>
      <c r="BE68" s="110">
        <v>8488.7999999999993</v>
      </c>
      <c r="BF68" s="110">
        <v>12</v>
      </c>
      <c r="BG68" s="110">
        <v>11318.4</v>
      </c>
      <c r="BH68" s="110">
        <v>10</v>
      </c>
      <c r="BI68" s="110">
        <v>9432</v>
      </c>
      <c r="BJ68" s="110">
        <v>12</v>
      </c>
      <c r="BK68" s="110">
        <v>11318.4</v>
      </c>
      <c r="BL68" s="110">
        <v>9</v>
      </c>
      <c r="BM68" s="110">
        <v>8488.7999999999993</v>
      </c>
      <c r="BN68" s="110">
        <v>15</v>
      </c>
      <c r="BO68" s="110">
        <v>14147.999999999998</v>
      </c>
      <c r="BP68" s="110">
        <v>31</v>
      </c>
      <c r="BQ68" s="110">
        <v>29239.199999999997</v>
      </c>
      <c r="BR68" s="110">
        <v>24</v>
      </c>
      <c r="BS68" s="110">
        <v>22636.799999999999</v>
      </c>
      <c r="BT68" s="110">
        <v>24</v>
      </c>
      <c r="BU68" s="110">
        <v>22636.799999999999</v>
      </c>
      <c r="BV68" s="110">
        <v>17</v>
      </c>
      <c r="BW68" s="110">
        <v>16034.4</v>
      </c>
      <c r="BX68" s="110">
        <v>9</v>
      </c>
      <c r="BY68" s="110">
        <v>8488.7999999999993</v>
      </c>
      <c r="BZ68" s="110">
        <v>6</v>
      </c>
      <c r="CA68" s="110">
        <v>5659.2</v>
      </c>
      <c r="CB68" s="110">
        <v>8</v>
      </c>
      <c r="CC68" s="110">
        <v>7545.5999999999995</v>
      </c>
      <c r="CD68" s="110">
        <v>8</v>
      </c>
      <c r="CE68" s="110">
        <v>7545.5999999999995</v>
      </c>
      <c r="CF68" s="110">
        <v>3</v>
      </c>
      <c r="CG68" s="110">
        <v>2829.6</v>
      </c>
      <c r="CH68" s="110">
        <v>2</v>
      </c>
      <c r="CI68" s="110">
        <v>1886.3999999999999</v>
      </c>
      <c r="CJ68" s="110">
        <v>3</v>
      </c>
      <c r="CK68" s="110">
        <v>2829.6</v>
      </c>
      <c r="CL68" s="110">
        <v>2</v>
      </c>
      <c r="CM68" s="110">
        <v>1886.3999999999999</v>
      </c>
      <c r="CN68" s="110">
        <v>24</v>
      </c>
      <c r="CO68" s="110">
        <v>22636.799999999999</v>
      </c>
      <c r="CP68" s="110">
        <v>18</v>
      </c>
      <c r="CQ68" s="110">
        <v>16977.599999999999</v>
      </c>
      <c r="CR68" s="110">
        <v>14</v>
      </c>
      <c r="CS68" s="110">
        <v>13204.8</v>
      </c>
      <c r="CT68" s="110">
        <v>17</v>
      </c>
      <c r="CU68" s="110">
        <v>16034.4</v>
      </c>
    </row>
    <row r="69" spans="2:99" x14ac:dyDescent="0.2">
      <c r="C69" s="109" t="s">
        <v>237</v>
      </c>
      <c r="D69" s="110">
        <v>11</v>
      </c>
      <c r="E69" s="110">
        <v>9741.6</v>
      </c>
      <c r="F69" s="110">
        <v>9</v>
      </c>
      <c r="G69" s="110">
        <v>7970.4000000000005</v>
      </c>
      <c r="H69" s="110">
        <v>12</v>
      </c>
      <c r="I69" s="110">
        <v>10627.2</v>
      </c>
      <c r="J69" s="110">
        <v>13</v>
      </c>
      <c r="K69" s="110">
        <v>11512.800000000001</v>
      </c>
      <c r="L69" s="110">
        <v>9</v>
      </c>
      <c r="M69" s="110">
        <v>7970.4000000000005</v>
      </c>
      <c r="N69" s="110">
        <v>9</v>
      </c>
      <c r="O69" s="110">
        <v>7970.4000000000005</v>
      </c>
      <c r="P69" s="110">
        <v>13</v>
      </c>
      <c r="Q69" s="110">
        <v>11512.800000000001</v>
      </c>
      <c r="R69" s="110">
        <v>8</v>
      </c>
      <c r="S69" s="110">
        <v>7084.8</v>
      </c>
      <c r="T69" s="110">
        <v>3</v>
      </c>
      <c r="U69" s="110">
        <v>2656.8</v>
      </c>
      <c r="V69" s="110">
        <v>3</v>
      </c>
      <c r="W69" s="110">
        <v>2656.8</v>
      </c>
      <c r="X69" s="110">
        <v>2</v>
      </c>
      <c r="Y69" s="110">
        <v>1771.2</v>
      </c>
      <c r="Z69" s="110">
        <v>3</v>
      </c>
      <c r="AA69" s="110">
        <v>2656.8</v>
      </c>
      <c r="AB69" s="110">
        <v>19</v>
      </c>
      <c r="AC69" s="110">
        <v>16826.400000000001</v>
      </c>
      <c r="AD69" s="110">
        <v>26</v>
      </c>
      <c r="AE69" s="110">
        <v>23025.600000000002</v>
      </c>
      <c r="AF69" s="110">
        <v>29</v>
      </c>
      <c r="AG69" s="110">
        <v>25682.400000000001</v>
      </c>
      <c r="AH69" s="110">
        <v>32</v>
      </c>
      <c r="AI69" s="110">
        <v>28339.200000000001</v>
      </c>
      <c r="AJ69" s="110">
        <v>44</v>
      </c>
      <c r="AK69" s="110">
        <v>38966.400000000001</v>
      </c>
      <c r="AL69" s="110">
        <v>37</v>
      </c>
      <c r="AM69" s="110">
        <v>32767.200000000001</v>
      </c>
      <c r="AN69" s="110">
        <v>43</v>
      </c>
      <c r="AO69" s="110">
        <v>38080.800000000003</v>
      </c>
      <c r="AP69" s="110">
        <v>38</v>
      </c>
      <c r="AQ69" s="110">
        <v>33652.800000000003</v>
      </c>
      <c r="AR69" s="110">
        <v>12</v>
      </c>
      <c r="AS69" s="110">
        <v>10627.2</v>
      </c>
      <c r="AT69" s="110">
        <v>21</v>
      </c>
      <c r="AU69" s="110">
        <v>18597.600000000002</v>
      </c>
      <c r="AV69" s="110">
        <v>16</v>
      </c>
      <c r="AW69" s="110">
        <v>14169.6</v>
      </c>
      <c r="AX69" s="110">
        <v>17</v>
      </c>
      <c r="AY69" s="110">
        <v>15055.2</v>
      </c>
      <c r="AZ69" s="110">
        <v>9</v>
      </c>
      <c r="BA69" s="110">
        <v>7970.4000000000005</v>
      </c>
      <c r="BB69" s="110">
        <v>13</v>
      </c>
      <c r="BC69" s="110">
        <v>11512.800000000001</v>
      </c>
      <c r="BD69" s="110">
        <v>9</v>
      </c>
      <c r="BE69" s="110">
        <v>7970.4000000000005</v>
      </c>
      <c r="BF69" s="110">
        <v>14</v>
      </c>
      <c r="BG69" s="110">
        <v>12398.4</v>
      </c>
      <c r="BH69" s="110">
        <v>9</v>
      </c>
      <c r="BI69" s="110">
        <v>7970.4000000000005</v>
      </c>
      <c r="BJ69" s="110">
        <v>11</v>
      </c>
      <c r="BK69" s="110">
        <v>9741.6</v>
      </c>
      <c r="BL69" s="110">
        <v>8</v>
      </c>
      <c r="BM69" s="110">
        <v>7084.8</v>
      </c>
      <c r="BN69" s="110">
        <v>16</v>
      </c>
      <c r="BO69" s="110">
        <v>14169.6</v>
      </c>
      <c r="BP69" s="110">
        <v>33</v>
      </c>
      <c r="BQ69" s="110">
        <v>29224.799999999999</v>
      </c>
      <c r="BR69" s="110">
        <v>25</v>
      </c>
      <c r="BS69" s="110">
        <v>22140</v>
      </c>
      <c r="BT69" s="110">
        <v>27</v>
      </c>
      <c r="BU69" s="110">
        <v>23911.200000000001</v>
      </c>
      <c r="BV69" s="110">
        <v>18</v>
      </c>
      <c r="BW69" s="110">
        <v>15940.800000000001</v>
      </c>
      <c r="BX69" s="110">
        <v>9</v>
      </c>
      <c r="BY69" s="110">
        <v>7970.4000000000005</v>
      </c>
      <c r="BZ69" s="110">
        <v>6</v>
      </c>
      <c r="CA69" s="110">
        <v>5313.6</v>
      </c>
      <c r="CB69" s="110">
        <v>10</v>
      </c>
      <c r="CC69" s="110">
        <v>8856</v>
      </c>
      <c r="CD69" s="110">
        <v>9</v>
      </c>
      <c r="CE69" s="110">
        <v>7970.4000000000005</v>
      </c>
      <c r="CF69" s="110">
        <v>3</v>
      </c>
      <c r="CG69" s="110">
        <v>2656.8</v>
      </c>
      <c r="CH69" s="110">
        <v>2</v>
      </c>
      <c r="CI69" s="110">
        <v>1771.2</v>
      </c>
      <c r="CJ69" s="110">
        <v>2</v>
      </c>
      <c r="CK69" s="110">
        <v>1771.2</v>
      </c>
      <c r="CL69" s="110">
        <v>2</v>
      </c>
      <c r="CM69" s="110">
        <v>1771.2</v>
      </c>
      <c r="CN69" s="110">
        <v>22</v>
      </c>
      <c r="CO69" s="110">
        <v>19483.2</v>
      </c>
      <c r="CP69" s="110">
        <v>21</v>
      </c>
      <c r="CQ69" s="110">
        <v>18597.600000000002</v>
      </c>
      <c r="CR69" s="110">
        <v>14</v>
      </c>
      <c r="CS69" s="110">
        <v>12398.4</v>
      </c>
      <c r="CT69" s="110">
        <v>16</v>
      </c>
      <c r="CU69" s="110">
        <v>14169.6</v>
      </c>
    </row>
    <row r="70" spans="2:99" x14ac:dyDescent="0.2">
      <c r="C70" s="109" t="s">
        <v>238</v>
      </c>
      <c r="D70" s="110">
        <v>12</v>
      </c>
      <c r="E70" s="110">
        <v>8496</v>
      </c>
      <c r="F70" s="110">
        <v>8</v>
      </c>
      <c r="G70" s="110">
        <v>5664</v>
      </c>
      <c r="H70" s="110">
        <v>12</v>
      </c>
      <c r="I70" s="110">
        <v>8496</v>
      </c>
      <c r="J70" s="110">
        <v>13</v>
      </c>
      <c r="K70" s="110">
        <v>9204</v>
      </c>
      <c r="L70" s="110">
        <v>9</v>
      </c>
      <c r="M70" s="110">
        <v>6372</v>
      </c>
      <c r="N70" s="110">
        <v>9</v>
      </c>
      <c r="O70" s="110">
        <v>6372</v>
      </c>
      <c r="P70" s="110">
        <v>14</v>
      </c>
      <c r="Q70" s="110">
        <v>9912</v>
      </c>
      <c r="R70" s="110">
        <v>8</v>
      </c>
      <c r="S70" s="110">
        <v>5664</v>
      </c>
      <c r="T70" s="110">
        <v>3</v>
      </c>
      <c r="U70" s="110">
        <v>2124</v>
      </c>
      <c r="V70" s="110">
        <v>3</v>
      </c>
      <c r="W70" s="110">
        <v>2124</v>
      </c>
      <c r="X70" s="110">
        <v>2</v>
      </c>
      <c r="Y70" s="110">
        <v>1416</v>
      </c>
      <c r="Z70" s="110">
        <v>3</v>
      </c>
      <c r="AA70" s="110">
        <v>2124</v>
      </c>
      <c r="AB70" s="110">
        <v>24</v>
      </c>
      <c r="AC70" s="110">
        <v>16992</v>
      </c>
      <c r="AD70" s="110">
        <v>24</v>
      </c>
      <c r="AE70" s="110">
        <v>16992</v>
      </c>
      <c r="AF70" s="110">
        <v>30</v>
      </c>
      <c r="AG70" s="110">
        <v>21240</v>
      </c>
      <c r="AH70" s="110">
        <v>27</v>
      </c>
      <c r="AI70" s="110">
        <v>19116</v>
      </c>
      <c r="AJ70" s="110">
        <v>45</v>
      </c>
      <c r="AK70" s="110">
        <v>31860</v>
      </c>
      <c r="AL70" s="110">
        <v>39</v>
      </c>
      <c r="AM70" s="110">
        <v>27612</v>
      </c>
      <c r="AN70" s="110">
        <v>41</v>
      </c>
      <c r="AO70" s="110">
        <v>29028</v>
      </c>
      <c r="AP70" s="110">
        <v>41</v>
      </c>
      <c r="AQ70" s="110">
        <v>29028</v>
      </c>
      <c r="AR70" s="110">
        <v>12</v>
      </c>
      <c r="AS70" s="110">
        <v>8496</v>
      </c>
      <c r="AT70" s="110">
        <v>22</v>
      </c>
      <c r="AU70" s="110">
        <v>15576</v>
      </c>
      <c r="AV70" s="110">
        <v>17</v>
      </c>
      <c r="AW70" s="110">
        <v>12036</v>
      </c>
      <c r="AX70" s="110">
        <v>14</v>
      </c>
      <c r="AY70" s="110">
        <v>9912</v>
      </c>
      <c r="AZ70" s="110">
        <v>9</v>
      </c>
      <c r="BA70" s="110">
        <v>6372</v>
      </c>
      <c r="BB70" s="110">
        <v>12</v>
      </c>
      <c r="BC70" s="110">
        <v>8496</v>
      </c>
      <c r="BD70" s="110">
        <v>9</v>
      </c>
      <c r="BE70" s="110">
        <v>6372</v>
      </c>
      <c r="BF70" s="110">
        <v>13</v>
      </c>
      <c r="BG70" s="110">
        <v>9204</v>
      </c>
      <c r="BH70" s="110">
        <v>11</v>
      </c>
      <c r="BI70" s="110">
        <v>7788</v>
      </c>
      <c r="BJ70" s="110">
        <v>13</v>
      </c>
      <c r="BK70" s="110">
        <v>9204</v>
      </c>
      <c r="BL70" s="110">
        <v>9</v>
      </c>
      <c r="BM70" s="110">
        <v>6372</v>
      </c>
      <c r="BN70" s="110">
        <v>16</v>
      </c>
      <c r="BO70" s="110">
        <v>11328</v>
      </c>
      <c r="BP70" s="110">
        <v>32</v>
      </c>
      <c r="BQ70" s="110">
        <v>22656</v>
      </c>
      <c r="BR70" s="110">
        <v>25</v>
      </c>
      <c r="BS70" s="110">
        <v>17700</v>
      </c>
      <c r="BT70" s="110">
        <v>30</v>
      </c>
      <c r="BU70" s="110">
        <v>21240</v>
      </c>
      <c r="BV70" s="110">
        <v>19</v>
      </c>
      <c r="BW70" s="110">
        <v>13452</v>
      </c>
      <c r="BX70" s="110">
        <v>9</v>
      </c>
      <c r="BY70" s="110">
        <v>6372</v>
      </c>
      <c r="BZ70" s="110">
        <v>7</v>
      </c>
      <c r="CA70" s="110">
        <v>4956</v>
      </c>
      <c r="CB70" s="110">
        <v>9</v>
      </c>
      <c r="CC70" s="110">
        <v>6372</v>
      </c>
      <c r="CD70" s="110">
        <v>9</v>
      </c>
      <c r="CE70" s="110">
        <v>6372</v>
      </c>
      <c r="CF70" s="110">
        <v>3</v>
      </c>
      <c r="CG70" s="110">
        <v>2124</v>
      </c>
      <c r="CH70" s="110">
        <v>2</v>
      </c>
      <c r="CI70" s="110">
        <v>1416</v>
      </c>
      <c r="CJ70" s="110">
        <v>3</v>
      </c>
      <c r="CK70" s="110">
        <v>2124</v>
      </c>
      <c r="CL70" s="110">
        <v>2</v>
      </c>
      <c r="CM70" s="110">
        <v>1416</v>
      </c>
      <c r="CN70" s="110">
        <v>26</v>
      </c>
      <c r="CO70" s="110">
        <v>18408</v>
      </c>
      <c r="CP70" s="110">
        <v>19</v>
      </c>
      <c r="CQ70" s="110">
        <v>13452</v>
      </c>
      <c r="CR70" s="110">
        <v>15</v>
      </c>
      <c r="CS70" s="110">
        <v>10620</v>
      </c>
      <c r="CT70" s="110">
        <v>17</v>
      </c>
      <c r="CU70" s="110">
        <v>12036</v>
      </c>
    </row>
    <row r="71" spans="2:99" x14ac:dyDescent="0.2">
      <c r="B71" s="109" t="s">
        <v>130</v>
      </c>
      <c r="C71" s="109" t="s">
        <v>239</v>
      </c>
      <c r="D71" s="110">
        <v>26</v>
      </c>
      <c r="E71" s="110">
        <v>14570.4</v>
      </c>
      <c r="F71" s="110">
        <v>28</v>
      </c>
      <c r="G71" s="110">
        <v>15691.199999999999</v>
      </c>
      <c r="H71" s="110">
        <v>28</v>
      </c>
      <c r="I71" s="110">
        <v>15691.199999999999</v>
      </c>
      <c r="J71" s="110">
        <v>18</v>
      </c>
      <c r="K71" s="110">
        <v>10087.199999999999</v>
      </c>
      <c r="L71" s="110">
        <v>25</v>
      </c>
      <c r="M71" s="110">
        <v>14010</v>
      </c>
      <c r="N71" s="110">
        <v>28</v>
      </c>
      <c r="O71" s="110">
        <v>15691.199999999999</v>
      </c>
      <c r="P71" s="110">
        <v>23</v>
      </c>
      <c r="Q71" s="110">
        <v>12889.199999999999</v>
      </c>
      <c r="R71" s="110">
        <v>24</v>
      </c>
      <c r="S71" s="110">
        <v>13449.599999999999</v>
      </c>
      <c r="T71" s="110">
        <v>11</v>
      </c>
      <c r="U71" s="110">
        <v>6164.4</v>
      </c>
      <c r="V71" s="110">
        <v>11</v>
      </c>
      <c r="W71" s="110">
        <v>6164.4</v>
      </c>
      <c r="X71" s="110">
        <v>17</v>
      </c>
      <c r="Y71" s="110">
        <v>9526.7999999999993</v>
      </c>
      <c r="Z71" s="110">
        <v>18</v>
      </c>
      <c r="AA71" s="110">
        <v>10087.199999999999</v>
      </c>
      <c r="AB71" s="110">
        <v>13</v>
      </c>
      <c r="AC71" s="110">
        <v>7285.2</v>
      </c>
      <c r="AD71" s="110">
        <v>8</v>
      </c>
      <c r="AE71" s="110">
        <v>4483.2</v>
      </c>
      <c r="AF71" s="110">
        <v>12</v>
      </c>
      <c r="AG71" s="110">
        <v>6724.7999999999993</v>
      </c>
      <c r="AH71" s="110">
        <v>11</v>
      </c>
      <c r="AI71" s="110">
        <v>6164.4</v>
      </c>
      <c r="AJ71" s="110">
        <v>30</v>
      </c>
      <c r="AK71" s="110">
        <v>16812</v>
      </c>
      <c r="AL71" s="110">
        <v>20</v>
      </c>
      <c r="AM71" s="110">
        <v>11208</v>
      </c>
      <c r="AN71" s="110">
        <v>21</v>
      </c>
      <c r="AO71" s="110">
        <v>11768.4</v>
      </c>
      <c r="AP71" s="110">
        <v>23</v>
      </c>
      <c r="AQ71" s="110">
        <v>12889.199999999999</v>
      </c>
      <c r="AR71" s="110">
        <v>42</v>
      </c>
      <c r="AS71" s="110">
        <v>23536.799999999999</v>
      </c>
      <c r="AT71" s="110">
        <v>43</v>
      </c>
      <c r="AU71" s="110">
        <v>24097.200000000001</v>
      </c>
      <c r="AV71" s="110">
        <v>24</v>
      </c>
      <c r="AW71" s="110">
        <v>13449.599999999999</v>
      </c>
      <c r="AX71" s="110">
        <v>28</v>
      </c>
      <c r="AY71" s="110">
        <v>15691.199999999999</v>
      </c>
      <c r="AZ71" s="110">
        <v>17</v>
      </c>
      <c r="BA71" s="110">
        <v>9526.7999999999993</v>
      </c>
      <c r="BB71" s="110">
        <v>15</v>
      </c>
      <c r="BC71" s="110">
        <v>8406</v>
      </c>
      <c r="BD71" s="110">
        <v>16</v>
      </c>
      <c r="BE71" s="110">
        <v>8966.4</v>
      </c>
      <c r="BF71" s="110">
        <v>13</v>
      </c>
      <c r="BG71" s="110">
        <v>7285.2</v>
      </c>
      <c r="BH71" s="110">
        <v>8</v>
      </c>
      <c r="BI71" s="110">
        <v>4483.2</v>
      </c>
      <c r="BJ71" s="110">
        <v>5</v>
      </c>
      <c r="BK71" s="110">
        <v>2802</v>
      </c>
      <c r="BL71" s="110">
        <v>7</v>
      </c>
      <c r="BM71" s="110">
        <v>3922.7999999999997</v>
      </c>
      <c r="BN71" s="110">
        <v>6</v>
      </c>
      <c r="BO71" s="110">
        <v>3362.3999999999996</v>
      </c>
      <c r="BP71" s="110">
        <v>9</v>
      </c>
      <c r="BQ71" s="110">
        <v>5043.5999999999995</v>
      </c>
      <c r="BR71" s="110">
        <v>9</v>
      </c>
      <c r="BS71" s="110">
        <v>5043.5999999999995</v>
      </c>
      <c r="BT71" s="110">
        <v>8</v>
      </c>
      <c r="BU71" s="110">
        <v>4483.2</v>
      </c>
      <c r="BV71" s="110">
        <v>5</v>
      </c>
      <c r="BW71" s="110">
        <v>2802</v>
      </c>
      <c r="BX71" s="110">
        <v>17</v>
      </c>
      <c r="BY71" s="110">
        <v>9526.7999999999993</v>
      </c>
      <c r="BZ71" s="110">
        <v>26</v>
      </c>
      <c r="CA71" s="110">
        <v>14570.4</v>
      </c>
      <c r="CB71" s="110">
        <v>20</v>
      </c>
      <c r="CC71" s="110">
        <v>11208</v>
      </c>
      <c r="CD71" s="110">
        <v>27</v>
      </c>
      <c r="CE71" s="110">
        <v>15130.8</v>
      </c>
      <c r="CF71" s="110">
        <v>8</v>
      </c>
      <c r="CG71" s="110">
        <v>4483.2</v>
      </c>
      <c r="CH71" s="110">
        <v>8</v>
      </c>
      <c r="CI71" s="110">
        <v>4483.2</v>
      </c>
      <c r="CJ71" s="110">
        <v>9</v>
      </c>
      <c r="CK71" s="110">
        <v>5043.5999999999995</v>
      </c>
      <c r="CL71" s="110">
        <v>8</v>
      </c>
      <c r="CM71" s="110">
        <v>4483.2</v>
      </c>
      <c r="CN71" s="110">
        <v>6</v>
      </c>
      <c r="CO71" s="110">
        <v>3362.3999999999996</v>
      </c>
      <c r="CP71" s="110">
        <v>4</v>
      </c>
      <c r="CQ71" s="110">
        <v>2241.6</v>
      </c>
      <c r="CR71" s="110">
        <v>3</v>
      </c>
      <c r="CS71" s="110">
        <v>1681.1999999999998</v>
      </c>
      <c r="CT71" s="110">
        <v>4</v>
      </c>
      <c r="CU71" s="110">
        <v>2241.6</v>
      </c>
    </row>
    <row r="72" spans="2:99" x14ac:dyDescent="0.2">
      <c r="C72" s="109" t="s">
        <v>240</v>
      </c>
      <c r="D72" s="110">
        <v>21</v>
      </c>
      <c r="E72" s="110">
        <v>17665.199999999997</v>
      </c>
      <c r="F72" s="110">
        <v>23</v>
      </c>
      <c r="G72" s="110">
        <v>19347.599999999999</v>
      </c>
      <c r="H72" s="110">
        <v>27</v>
      </c>
      <c r="I72" s="110">
        <v>22712.399999999998</v>
      </c>
      <c r="J72" s="110">
        <v>16</v>
      </c>
      <c r="K72" s="110">
        <v>13459.199999999999</v>
      </c>
      <c r="L72" s="110">
        <v>29</v>
      </c>
      <c r="M72" s="110">
        <v>24394.799999999999</v>
      </c>
      <c r="N72" s="110">
        <v>29</v>
      </c>
      <c r="O72" s="110">
        <v>24394.799999999999</v>
      </c>
      <c r="P72" s="110">
        <v>21</v>
      </c>
      <c r="Q72" s="110">
        <v>17665.199999999997</v>
      </c>
      <c r="R72" s="110">
        <v>23</v>
      </c>
      <c r="S72" s="110">
        <v>19347.599999999999</v>
      </c>
      <c r="T72" s="110">
        <v>10</v>
      </c>
      <c r="U72" s="110">
        <v>8412</v>
      </c>
      <c r="V72" s="110">
        <v>11</v>
      </c>
      <c r="W72" s="110">
        <v>9253.1999999999989</v>
      </c>
      <c r="X72" s="110">
        <v>16</v>
      </c>
      <c r="Y72" s="110">
        <v>13459.199999999999</v>
      </c>
      <c r="Z72" s="110">
        <v>15</v>
      </c>
      <c r="AA72" s="110">
        <v>12617.999999999998</v>
      </c>
      <c r="AB72" s="110">
        <v>13</v>
      </c>
      <c r="AC72" s="110">
        <v>10935.599999999999</v>
      </c>
      <c r="AD72" s="110">
        <v>9</v>
      </c>
      <c r="AE72" s="110">
        <v>7570.7999999999993</v>
      </c>
      <c r="AF72" s="110">
        <v>12</v>
      </c>
      <c r="AG72" s="110">
        <v>10094.4</v>
      </c>
      <c r="AH72" s="110">
        <v>10</v>
      </c>
      <c r="AI72" s="110">
        <v>8412</v>
      </c>
      <c r="AJ72" s="110">
        <v>26</v>
      </c>
      <c r="AK72" s="110">
        <v>21871.199999999997</v>
      </c>
      <c r="AL72" s="110">
        <v>16</v>
      </c>
      <c r="AM72" s="110">
        <v>13459.199999999999</v>
      </c>
      <c r="AN72" s="110">
        <v>21</v>
      </c>
      <c r="AO72" s="110">
        <v>17665.199999999997</v>
      </c>
      <c r="AP72" s="110">
        <v>20</v>
      </c>
      <c r="AQ72" s="110">
        <v>16824</v>
      </c>
      <c r="AR72" s="110">
        <v>35</v>
      </c>
      <c r="AS72" s="110">
        <v>29441.999999999996</v>
      </c>
      <c r="AT72" s="110">
        <v>40</v>
      </c>
      <c r="AU72" s="110">
        <v>33648</v>
      </c>
      <c r="AV72" s="110">
        <v>23</v>
      </c>
      <c r="AW72" s="110">
        <v>19347.599999999999</v>
      </c>
      <c r="AX72" s="110">
        <v>27</v>
      </c>
      <c r="AY72" s="110">
        <v>22712.399999999998</v>
      </c>
      <c r="AZ72" s="110">
        <v>19</v>
      </c>
      <c r="BA72" s="110">
        <v>15982.8</v>
      </c>
      <c r="BB72" s="110">
        <v>14</v>
      </c>
      <c r="BC72" s="110">
        <v>11776.8</v>
      </c>
      <c r="BD72" s="110">
        <v>15</v>
      </c>
      <c r="BE72" s="110">
        <v>12617.999999999998</v>
      </c>
      <c r="BF72" s="110">
        <v>12</v>
      </c>
      <c r="BG72" s="110">
        <v>10094.4</v>
      </c>
      <c r="BH72" s="110">
        <v>8</v>
      </c>
      <c r="BI72" s="110">
        <v>6729.5999999999995</v>
      </c>
      <c r="BJ72" s="110">
        <v>5</v>
      </c>
      <c r="BK72" s="110">
        <v>4206</v>
      </c>
      <c r="BL72" s="110">
        <v>7</v>
      </c>
      <c r="BM72" s="110">
        <v>5888.4</v>
      </c>
      <c r="BN72" s="110">
        <v>5</v>
      </c>
      <c r="BO72" s="110">
        <v>4206</v>
      </c>
      <c r="BP72" s="110">
        <v>8</v>
      </c>
      <c r="BQ72" s="110">
        <v>6729.5999999999995</v>
      </c>
      <c r="BR72" s="110">
        <v>8</v>
      </c>
      <c r="BS72" s="110">
        <v>6729.5999999999995</v>
      </c>
      <c r="BT72" s="110">
        <v>9</v>
      </c>
      <c r="BU72" s="110">
        <v>7570.7999999999993</v>
      </c>
      <c r="BV72" s="110">
        <v>4</v>
      </c>
      <c r="BW72" s="110">
        <v>3364.7999999999997</v>
      </c>
      <c r="BX72" s="110">
        <v>15</v>
      </c>
      <c r="BY72" s="110">
        <v>12617.999999999998</v>
      </c>
      <c r="BZ72" s="110">
        <v>23</v>
      </c>
      <c r="CA72" s="110">
        <v>19347.599999999999</v>
      </c>
      <c r="CB72" s="110">
        <v>19</v>
      </c>
      <c r="CC72" s="110">
        <v>15982.8</v>
      </c>
      <c r="CD72" s="110">
        <v>22</v>
      </c>
      <c r="CE72" s="110">
        <v>18506.399999999998</v>
      </c>
      <c r="CF72" s="110">
        <v>8</v>
      </c>
      <c r="CG72" s="110">
        <v>6729.5999999999995</v>
      </c>
      <c r="CH72" s="110">
        <v>7</v>
      </c>
      <c r="CI72" s="110">
        <v>5888.4</v>
      </c>
      <c r="CJ72" s="110">
        <v>8</v>
      </c>
      <c r="CK72" s="110">
        <v>6729.5999999999995</v>
      </c>
      <c r="CL72" s="110">
        <v>8</v>
      </c>
      <c r="CM72" s="110">
        <v>6729.5999999999995</v>
      </c>
      <c r="CN72" s="110">
        <v>6</v>
      </c>
      <c r="CO72" s="110">
        <v>5047.2</v>
      </c>
      <c r="CP72" s="110">
        <v>4</v>
      </c>
      <c r="CQ72" s="110">
        <v>3364.7999999999997</v>
      </c>
      <c r="CR72" s="110">
        <v>3</v>
      </c>
      <c r="CS72" s="110">
        <v>2523.6</v>
      </c>
      <c r="CT72" s="110">
        <v>4</v>
      </c>
      <c r="CU72" s="110">
        <v>3364.7999999999997</v>
      </c>
    </row>
    <row r="73" spans="2:99" x14ac:dyDescent="0.2">
      <c r="C73" s="109" t="s">
        <v>241</v>
      </c>
      <c r="D73" s="110">
        <v>22</v>
      </c>
      <c r="E73" s="110">
        <v>22888.799999999996</v>
      </c>
      <c r="F73" s="110">
        <v>22</v>
      </c>
      <c r="G73" s="110">
        <v>22888.799999999996</v>
      </c>
      <c r="H73" s="110">
        <v>28</v>
      </c>
      <c r="I73" s="110">
        <v>29131.199999999997</v>
      </c>
      <c r="J73" s="110">
        <v>15</v>
      </c>
      <c r="K73" s="110">
        <v>15605.999999999998</v>
      </c>
      <c r="L73" s="110">
        <v>26</v>
      </c>
      <c r="M73" s="110">
        <v>27050.399999999998</v>
      </c>
      <c r="N73" s="110">
        <v>25</v>
      </c>
      <c r="O73" s="110">
        <v>26009.999999999996</v>
      </c>
      <c r="P73" s="110">
        <v>19</v>
      </c>
      <c r="Q73" s="110">
        <v>19767.599999999999</v>
      </c>
      <c r="R73" s="110">
        <v>21</v>
      </c>
      <c r="S73" s="110">
        <v>21848.399999999998</v>
      </c>
      <c r="T73" s="110">
        <v>10</v>
      </c>
      <c r="U73" s="110">
        <v>10403.999999999998</v>
      </c>
      <c r="V73" s="110">
        <v>10</v>
      </c>
      <c r="W73" s="110">
        <v>10403.999999999998</v>
      </c>
      <c r="X73" s="110">
        <v>15</v>
      </c>
      <c r="Y73" s="110">
        <v>15605.999999999998</v>
      </c>
      <c r="Z73" s="110">
        <v>16</v>
      </c>
      <c r="AA73" s="110">
        <v>16646.399999999998</v>
      </c>
      <c r="AB73" s="110">
        <v>13</v>
      </c>
      <c r="AC73" s="110">
        <v>13525.199999999999</v>
      </c>
      <c r="AD73" s="110">
        <v>8</v>
      </c>
      <c r="AE73" s="110">
        <v>8323.1999999999989</v>
      </c>
      <c r="AF73" s="110">
        <v>11</v>
      </c>
      <c r="AG73" s="110">
        <v>11444.399999999998</v>
      </c>
      <c r="AH73" s="110">
        <v>10</v>
      </c>
      <c r="AI73" s="110">
        <v>10403.999999999998</v>
      </c>
      <c r="AJ73" s="110">
        <v>26</v>
      </c>
      <c r="AK73" s="110">
        <v>27050.399999999998</v>
      </c>
      <c r="AL73" s="110">
        <v>18</v>
      </c>
      <c r="AM73" s="110">
        <v>18727.199999999997</v>
      </c>
      <c r="AN73" s="110">
        <v>22</v>
      </c>
      <c r="AO73" s="110">
        <v>22888.799999999996</v>
      </c>
      <c r="AP73" s="110">
        <v>21</v>
      </c>
      <c r="AQ73" s="110">
        <v>21848.399999999998</v>
      </c>
      <c r="AR73" s="110">
        <v>32</v>
      </c>
      <c r="AS73" s="110">
        <v>33292.799999999996</v>
      </c>
      <c r="AT73" s="110">
        <v>35</v>
      </c>
      <c r="AU73" s="110">
        <v>36413.999999999993</v>
      </c>
      <c r="AV73" s="110">
        <v>23</v>
      </c>
      <c r="AW73" s="110">
        <v>23929.199999999997</v>
      </c>
      <c r="AX73" s="110">
        <v>24</v>
      </c>
      <c r="AY73" s="110">
        <v>24969.599999999999</v>
      </c>
      <c r="AZ73" s="110">
        <v>17</v>
      </c>
      <c r="BA73" s="110">
        <v>17686.8</v>
      </c>
      <c r="BB73" s="110">
        <v>13</v>
      </c>
      <c r="BC73" s="110">
        <v>13525.199999999999</v>
      </c>
      <c r="BD73" s="110">
        <v>17</v>
      </c>
      <c r="BE73" s="110">
        <v>17686.8</v>
      </c>
      <c r="BF73" s="110">
        <v>12</v>
      </c>
      <c r="BG73" s="110">
        <v>12484.8</v>
      </c>
      <c r="BH73" s="110">
        <v>8</v>
      </c>
      <c r="BI73" s="110">
        <v>8323.1999999999989</v>
      </c>
      <c r="BJ73" s="110">
        <v>5</v>
      </c>
      <c r="BK73" s="110">
        <v>5201.9999999999991</v>
      </c>
      <c r="BL73" s="110">
        <v>6</v>
      </c>
      <c r="BM73" s="110">
        <v>6242.4</v>
      </c>
      <c r="BN73" s="110">
        <v>5</v>
      </c>
      <c r="BO73" s="110">
        <v>5201.9999999999991</v>
      </c>
      <c r="BP73" s="110">
        <v>7</v>
      </c>
      <c r="BQ73" s="110">
        <v>7282.7999999999993</v>
      </c>
      <c r="BR73" s="110">
        <v>7</v>
      </c>
      <c r="BS73" s="110">
        <v>7282.7999999999993</v>
      </c>
      <c r="BT73" s="110">
        <v>7</v>
      </c>
      <c r="BU73" s="110">
        <v>7282.7999999999993</v>
      </c>
      <c r="BV73" s="110">
        <v>5</v>
      </c>
      <c r="BW73" s="110">
        <v>5201.9999999999991</v>
      </c>
      <c r="BX73" s="110">
        <v>17</v>
      </c>
      <c r="BY73" s="110">
        <v>17686.8</v>
      </c>
      <c r="BZ73" s="110">
        <v>20</v>
      </c>
      <c r="CA73" s="110">
        <v>20807.999999999996</v>
      </c>
      <c r="CB73" s="110">
        <v>17</v>
      </c>
      <c r="CC73" s="110">
        <v>17686.8</v>
      </c>
      <c r="CD73" s="110">
        <v>22</v>
      </c>
      <c r="CE73" s="110">
        <v>22888.799999999996</v>
      </c>
      <c r="CF73" s="110">
        <v>8</v>
      </c>
      <c r="CG73" s="110">
        <v>8323.1999999999989</v>
      </c>
      <c r="CH73" s="110">
        <v>8</v>
      </c>
      <c r="CI73" s="110">
        <v>8323.1999999999989</v>
      </c>
      <c r="CJ73" s="110">
        <v>8</v>
      </c>
      <c r="CK73" s="110">
        <v>8323.1999999999989</v>
      </c>
      <c r="CL73" s="110">
        <v>9</v>
      </c>
      <c r="CM73" s="110">
        <v>9363.5999999999985</v>
      </c>
      <c r="CN73" s="110">
        <v>6</v>
      </c>
      <c r="CO73" s="110">
        <v>6242.4</v>
      </c>
      <c r="CP73" s="110">
        <v>5</v>
      </c>
      <c r="CQ73" s="110">
        <v>5201.9999999999991</v>
      </c>
      <c r="CR73" s="110">
        <v>3</v>
      </c>
      <c r="CS73" s="110">
        <v>3121.2</v>
      </c>
      <c r="CT73" s="110">
        <v>3</v>
      </c>
      <c r="CU73" s="110">
        <v>3121.2</v>
      </c>
    </row>
    <row r="74" spans="2:99" x14ac:dyDescent="0.2">
      <c r="C74" s="109" t="s">
        <v>242</v>
      </c>
      <c r="D74" s="110">
        <v>27</v>
      </c>
      <c r="E74" s="110">
        <v>10270.799999999999</v>
      </c>
      <c r="F74" s="110">
        <v>25</v>
      </c>
      <c r="G74" s="110">
        <v>9510</v>
      </c>
      <c r="H74" s="110">
        <v>30</v>
      </c>
      <c r="I74" s="110">
        <v>11412</v>
      </c>
      <c r="J74" s="110">
        <v>16</v>
      </c>
      <c r="K74" s="110">
        <v>6086.4</v>
      </c>
      <c r="L74" s="110">
        <v>29</v>
      </c>
      <c r="M74" s="110">
        <v>11031.599999999999</v>
      </c>
      <c r="N74" s="110">
        <v>28</v>
      </c>
      <c r="O74" s="110">
        <v>10651.199999999999</v>
      </c>
      <c r="P74" s="110">
        <v>21</v>
      </c>
      <c r="Q74" s="110">
        <v>7988.4</v>
      </c>
      <c r="R74" s="110">
        <v>23</v>
      </c>
      <c r="S74" s="110">
        <v>8749.1999999999989</v>
      </c>
      <c r="T74" s="110">
        <v>12</v>
      </c>
      <c r="U74" s="110">
        <v>4564.7999999999993</v>
      </c>
      <c r="V74" s="110">
        <v>11</v>
      </c>
      <c r="W74" s="110">
        <v>4184.3999999999996</v>
      </c>
      <c r="X74" s="110">
        <v>17</v>
      </c>
      <c r="Y74" s="110">
        <v>6466.7999999999993</v>
      </c>
      <c r="Z74" s="110">
        <v>17</v>
      </c>
      <c r="AA74" s="110">
        <v>6466.7999999999993</v>
      </c>
      <c r="AB74" s="110">
        <v>12</v>
      </c>
      <c r="AC74" s="110">
        <v>4564.7999999999993</v>
      </c>
      <c r="AD74" s="110">
        <v>9</v>
      </c>
      <c r="AE74" s="110">
        <v>3423.6</v>
      </c>
      <c r="AF74" s="110">
        <v>13</v>
      </c>
      <c r="AG74" s="110">
        <v>4945.2</v>
      </c>
      <c r="AH74" s="110">
        <v>11</v>
      </c>
      <c r="AI74" s="110">
        <v>4184.3999999999996</v>
      </c>
      <c r="AJ74" s="110">
        <v>30</v>
      </c>
      <c r="AK74" s="110">
        <v>11412</v>
      </c>
      <c r="AL74" s="110">
        <v>18</v>
      </c>
      <c r="AM74" s="110">
        <v>6847.2</v>
      </c>
      <c r="AN74" s="110">
        <v>20</v>
      </c>
      <c r="AO74" s="110">
        <v>7608</v>
      </c>
      <c r="AP74" s="110">
        <v>24</v>
      </c>
      <c r="AQ74" s="110">
        <v>9129.5999999999985</v>
      </c>
      <c r="AR74" s="110">
        <v>43</v>
      </c>
      <c r="AS74" s="110">
        <v>16357.199999999999</v>
      </c>
      <c r="AT74" s="110">
        <v>43</v>
      </c>
      <c r="AU74" s="110">
        <v>16357.199999999999</v>
      </c>
      <c r="AV74" s="110">
        <v>28</v>
      </c>
      <c r="AW74" s="110">
        <v>10651.199999999999</v>
      </c>
      <c r="AX74" s="110">
        <v>31</v>
      </c>
      <c r="AY74" s="110">
        <v>11792.4</v>
      </c>
      <c r="AZ74" s="110">
        <v>21</v>
      </c>
      <c r="BA74" s="110">
        <v>7988.4</v>
      </c>
      <c r="BB74" s="110">
        <v>15</v>
      </c>
      <c r="BC74" s="110">
        <v>5706</v>
      </c>
      <c r="BD74" s="110">
        <v>16</v>
      </c>
      <c r="BE74" s="110">
        <v>6086.4</v>
      </c>
      <c r="BF74" s="110">
        <v>13</v>
      </c>
      <c r="BG74" s="110">
        <v>4945.2</v>
      </c>
      <c r="BH74" s="110">
        <v>9</v>
      </c>
      <c r="BI74" s="110">
        <v>3423.6</v>
      </c>
      <c r="BJ74" s="110">
        <v>5</v>
      </c>
      <c r="BK74" s="110">
        <v>1902</v>
      </c>
      <c r="BL74" s="110">
        <v>8</v>
      </c>
      <c r="BM74" s="110">
        <v>3043.2</v>
      </c>
      <c r="BN74" s="110">
        <v>6</v>
      </c>
      <c r="BO74" s="110">
        <v>2282.3999999999996</v>
      </c>
      <c r="BP74" s="110">
        <v>9</v>
      </c>
      <c r="BQ74" s="110">
        <v>3423.6</v>
      </c>
      <c r="BR74" s="110">
        <v>9</v>
      </c>
      <c r="BS74" s="110">
        <v>3423.6</v>
      </c>
      <c r="BT74" s="110">
        <v>8</v>
      </c>
      <c r="BU74" s="110">
        <v>3043.2</v>
      </c>
      <c r="BV74" s="110">
        <v>5</v>
      </c>
      <c r="BW74" s="110">
        <v>1902</v>
      </c>
      <c r="BX74" s="110">
        <v>19</v>
      </c>
      <c r="BY74" s="110">
        <v>7227.5999999999995</v>
      </c>
      <c r="BZ74" s="110">
        <v>27</v>
      </c>
      <c r="CA74" s="110">
        <v>10270.799999999999</v>
      </c>
      <c r="CB74" s="110">
        <v>21</v>
      </c>
      <c r="CC74" s="110">
        <v>7988.4</v>
      </c>
      <c r="CD74" s="110">
        <v>24</v>
      </c>
      <c r="CE74" s="110">
        <v>9129.5999999999985</v>
      </c>
      <c r="CF74" s="110">
        <v>9</v>
      </c>
      <c r="CG74" s="110">
        <v>3423.6</v>
      </c>
      <c r="CH74" s="110">
        <v>9</v>
      </c>
      <c r="CI74" s="110">
        <v>3423.6</v>
      </c>
      <c r="CJ74" s="110">
        <v>9</v>
      </c>
      <c r="CK74" s="110">
        <v>3423.6</v>
      </c>
      <c r="CL74" s="110">
        <v>10</v>
      </c>
      <c r="CM74" s="110">
        <v>3804</v>
      </c>
      <c r="CN74" s="110">
        <v>7</v>
      </c>
      <c r="CO74" s="110">
        <v>2662.7999999999997</v>
      </c>
      <c r="CP74" s="110">
        <v>4</v>
      </c>
      <c r="CQ74" s="110">
        <v>1521.6</v>
      </c>
      <c r="CR74" s="110">
        <v>3</v>
      </c>
      <c r="CS74" s="110">
        <v>1141.1999999999998</v>
      </c>
      <c r="CT74" s="110">
        <v>4</v>
      </c>
      <c r="CU74" s="110">
        <v>1521.6</v>
      </c>
    </row>
    <row r="75" spans="2:99" x14ac:dyDescent="0.2">
      <c r="C75" s="109" t="s">
        <v>243</v>
      </c>
      <c r="D75" s="110">
        <v>25</v>
      </c>
      <c r="E75" s="110">
        <v>10020</v>
      </c>
      <c r="F75" s="110">
        <v>28</v>
      </c>
      <c r="G75" s="110">
        <v>11222.4</v>
      </c>
      <c r="H75" s="110">
        <v>30</v>
      </c>
      <c r="I75" s="110">
        <v>12024</v>
      </c>
      <c r="J75" s="110">
        <v>17</v>
      </c>
      <c r="K75" s="110">
        <v>6813.6</v>
      </c>
      <c r="L75" s="110">
        <v>28</v>
      </c>
      <c r="M75" s="110">
        <v>11222.4</v>
      </c>
      <c r="N75" s="110">
        <v>32</v>
      </c>
      <c r="O75" s="110">
        <v>12825.6</v>
      </c>
      <c r="P75" s="110">
        <v>23</v>
      </c>
      <c r="Q75" s="110">
        <v>9218.4</v>
      </c>
      <c r="R75" s="110">
        <v>23</v>
      </c>
      <c r="S75" s="110">
        <v>9218.4</v>
      </c>
      <c r="T75" s="110">
        <v>11</v>
      </c>
      <c r="U75" s="110">
        <v>4408.8</v>
      </c>
      <c r="V75" s="110">
        <v>12</v>
      </c>
      <c r="W75" s="110">
        <v>4809.6000000000004</v>
      </c>
      <c r="X75" s="110">
        <v>16</v>
      </c>
      <c r="Y75" s="110">
        <v>6412.8</v>
      </c>
      <c r="Z75" s="110">
        <v>16</v>
      </c>
      <c r="AA75" s="110">
        <v>6412.8</v>
      </c>
      <c r="AB75" s="110">
        <v>14</v>
      </c>
      <c r="AC75" s="110">
        <v>5611.2</v>
      </c>
      <c r="AD75" s="110">
        <v>9</v>
      </c>
      <c r="AE75" s="110">
        <v>3607.2000000000003</v>
      </c>
      <c r="AF75" s="110">
        <v>11</v>
      </c>
      <c r="AG75" s="110">
        <v>4408.8</v>
      </c>
      <c r="AH75" s="110">
        <v>12</v>
      </c>
      <c r="AI75" s="110">
        <v>4809.6000000000004</v>
      </c>
      <c r="AJ75" s="110">
        <v>30</v>
      </c>
      <c r="AK75" s="110">
        <v>12024</v>
      </c>
      <c r="AL75" s="110">
        <v>18</v>
      </c>
      <c r="AM75" s="110">
        <v>7214.4000000000005</v>
      </c>
      <c r="AN75" s="110">
        <v>23</v>
      </c>
      <c r="AO75" s="110">
        <v>9218.4</v>
      </c>
      <c r="AP75" s="110">
        <v>21</v>
      </c>
      <c r="AQ75" s="110">
        <v>8416.8000000000011</v>
      </c>
      <c r="AR75" s="110">
        <v>37</v>
      </c>
      <c r="AS75" s="110">
        <v>14829.6</v>
      </c>
      <c r="AT75" s="110">
        <v>40</v>
      </c>
      <c r="AU75" s="110">
        <v>16032</v>
      </c>
      <c r="AV75" s="110">
        <v>29</v>
      </c>
      <c r="AW75" s="110">
        <v>11623.2</v>
      </c>
      <c r="AX75" s="110">
        <v>32</v>
      </c>
      <c r="AY75" s="110">
        <v>12825.6</v>
      </c>
      <c r="AZ75" s="110">
        <v>20</v>
      </c>
      <c r="BA75" s="110">
        <v>8016</v>
      </c>
      <c r="BB75" s="110">
        <v>13</v>
      </c>
      <c r="BC75" s="110">
        <v>5210.4000000000005</v>
      </c>
      <c r="BD75" s="110">
        <v>16</v>
      </c>
      <c r="BE75" s="110">
        <v>6412.8</v>
      </c>
      <c r="BF75" s="110">
        <v>13</v>
      </c>
      <c r="BG75" s="110">
        <v>5210.4000000000005</v>
      </c>
      <c r="BH75" s="110">
        <v>9</v>
      </c>
      <c r="BI75" s="110">
        <v>3607.2000000000003</v>
      </c>
      <c r="BJ75" s="110">
        <v>4</v>
      </c>
      <c r="BK75" s="110">
        <v>1603.2</v>
      </c>
      <c r="BL75" s="110">
        <v>7</v>
      </c>
      <c r="BM75" s="110">
        <v>2805.6</v>
      </c>
      <c r="BN75" s="110">
        <v>6</v>
      </c>
      <c r="BO75" s="110">
        <v>2404.8000000000002</v>
      </c>
      <c r="BP75" s="110">
        <v>9</v>
      </c>
      <c r="BQ75" s="110">
        <v>3607.2000000000003</v>
      </c>
      <c r="BR75" s="110">
        <v>9</v>
      </c>
      <c r="BS75" s="110">
        <v>3607.2000000000003</v>
      </c>
      <c r="BT75" s="110">
        <v>9</v>
      </c>
      <c r="BU75" s="110">
        <v>3607.2000000000003</v>
      </c>
      <c r="BV75" s="110">
        <v>5</v>
      </c>
      <c r="BW75" s="110">
        <v>2004</v>
      </c>
      <c r="BX75" s="110">
        <v>17</v>
      </c>
      <c r="BY75" s="110">
        <v>6813.6</v>
      </c>
      <c r="BZ75" s="110">
        <v>26</v>
      </c>
      <c r="CA75" s="110">
        <v>10420.800000000001</v>
      </c>
      <c r="CB75" s="110">
        <v>20</v>
      </c>
      <c r="CC75" s="110">
        <v>8016</v>
      </c>
      <c r="CD75" s="110">
        <v>28</v>
      </c>
      <c r="CE75" s="110">
        <v>11222.4</v>
      </c>
      <c r="CF75" s="110">
        <v>8</v>
      </c>
      <c r="CG75" s="110">
        <v>3206.4</v>
      </c>
      <c r="CH75" s="110">
        <v>8</v>
      </c>
      <c r="CI75" s="110">
        <v>3206.4</v>
      </c>
      <c r="CJ75" s="110">
        <v>9</v>
      </c>
      <c r="CK75" s="110">
        <v>3607.2000000000003</v>
      </c>
      <c r="CL75" s="110">
        <v>10</v>
      </c>
      <c r="CM75" s="110">
        <v>4008</v>
      </c>
      <c r="CN75" s="110">
        <v>6</v>
      </c>
      <c r="CO75" s="110">
        <v>2404.8000000000002</v>
      </c>
      <c r="CP75" s="110">
        <v>5</v>
      </c>
      <c r="CQ75" s="110">
        <v>2004</v>
      </c>
      <c r="CR75" s="110">
        <v>3</v>
      </c>
      <c r="CS75" s="110">
        <v>1202.4000000000001</v>
      </c>
      <c r="CT75" s="110">
        <v>4</v>
      </c>
      <c r="CU75" s="110">
        <v>1603.2</v>
      </c>
    </row>
    <row r="76" spans="2:99" x14ac:dyDescent="0.2">
      <c r="C76" s="109" t="s">
        <v>244</v>
      </c>
      <c r="D76" s="110">
        <v>23</v>
      </c>
      <c r="E76" s="110">
        <v>15952.800000000001</v>
      </c>
      <c r="F76" s="110">
        <v>28</v>
      </c>
      <c r="G76" s="110">
        <v>19420.8</v>
      </c>
      <c r="H76" s="110">
        <v>26</v>
      </c>
      <c r="I76" s="110">
        <v>18033.600000000002</v>
      </c>
      <c r="J76" s="110">
        <v>17</v>
      </c>
      <c r="K76" s="110">
        <v>11791.2</v>
      </c>
      <c r="L76" s="110">
        <v>28</v>
      </c>
      <c r="M76" s="110">
        <v>19420.8</v>
      </c>
      <c r="N76" s="110">
        <v>28</v>
      </c>
      <c r="O76" s="110">
        <v>19420.8</v>
      </c>
      <c r="P76" s="110">
        <v>22</v>
      </c>
      <c r="Q76" s="110">
        <v>15259.2</v>
      </c>
      <c r="R76" s="110">
        <v>23</v>
      </c>
      <c r="S76" s="110">
        <v>15952.800000000001</v>
      </c>
      <c r="T76" s="110">
        <v>11</v>
      </c>
      <c r="U76" s="110">
        <v>7629.6</v>
      </c>
      <c r="V76" s="110">
        <v>10</v>
      </c>
      <c r="W76" s="110">
        <v>6936</v>
      </c>
      <c r="X76" s="110">
        <v>16</v>
      </c>
      <c r="Y76" s="110">
        <v>11097.6</v>
      </c>
      <c r="Z76" s="110">
        <v>16</v>
      </c>
      <c r="AA76" s="110">
        <v>11097.6</v>
      </c>
      <c r="AB76" s="110">
        <v>13</v>
      </c>
      <c r="AC76" s="110">
        <v>9016.8000000000011</v>
      </c>
      <c r="AD76" s="110">
        <v>8</v>
      </c>
      <c r="AE76" s="110">
        <v>5548.8</v>
      </c>
      <c r="AF76" s="110">
        <v>13</v>
      </c>
      <c r="AG76" s="110">
        <v>9016.8000000000011</v>
      </c>
      <c r="AH76" s="110">
        <v>10</v>
      </c>
      <c r="AI76" s="110">
        <v>6936</v>
      </c>
      <c r="AJ76" s="110">
        <v>28</v>
      </c>
      <c r="AK76" s="110">
        <v>19420.8</v>
      </c>
      <c r="AL76" s="110">
        <v>19</v>
      </c>
      <c r="AM76" s="110">
        <v>13178.4</v>
      </c>
      <c r="AN76" s="110">
        <v>22</v>
      </c>
      <c r="AO76" s="110">
        <v>15259.2</v>
      </c>
      <c r="AP76" s="110">
        <v>21</v>
      </c>
      <c r="AQ76" s="110">
        <v>14565.6</v>
      </c>
      <c r="AR76" s="110">
        <v>37</v>
      </c>
      <c r="AS76" s="110">
        <v>25663.200000000001</v>
      </c>
      <c r="AT76" s="110">
        <v>40</v>
      </c>
      <c r="AU76" s="110">
        <v>27744</v>
      </c>
      <c r="AV76" s="110">
        <v>25</v>
      </c>
      <c r="AW76" s="110">
        <v>17340</v>
      </c>
      <c r="AX76" s="110">
        <v>27</v>
      </c>
      <c r="AY76" s="110">
        <v>18727.2</v>
      </c>
      <c r="AZ76" s="110">
        <v>18</v>
      </c>
      <c r="BA76" s="110">
        <v>12484.800000000001</v>
      </c>
      <c r="BB76" s="110">
        <v>13</v>
      </c>
      <c r="BC76" s="110">
        <v>9016.8000000000011</v>
      </c>
      <c r="BD76" s="110">
        <v>15</v>
      </c>
      <c r="BE76" s="110">
        <v>10404</v>
      </c>
      <c r="BF76" s="110">
        <v>12</v>
      </c>
      <c r="BG76" s="110">
        <v>8323.2000000000007</v>
      </c>
      <c r="BH76" s="110">
        <v>8</v>
      </c>
      <c r="BI76" s="110">
        <v>5548.8</v>
      </c>
      <c r="BJ76" s="110">
        <v>5</v>
      </c>
      <c r="BK76" s="110">
        <v>3468</v>
      </c>
      <c r="BL76" s="110">
        <v>7</v>
      </c>
      <c r="BM76" s="110">
        <v>4855.2</v>
      </c>
      <c r="BN76" s="110">
        <v>6</v>
      </c>
      <c r="BO76" s="110">
        <v>4161.6000000000004</v>
      </c>
      <c r="BP76" s="110">
        <v>8</v>
      </c>
      <c r="BQ76" s="110">
        <v>5548.8</v>
      </c>
      <c r="BR76" s="110">
        <v>8</v>
      </c>
      <c r="BS76" s="110">
        <v>5548.8</v>
      </c>
      <c r="BT76" s="110">
        <v>8</v>
      </c>
      <c r="BU76" s="110">
        <v>5548.8</v>
      </c>
      <c r="BV76" s="110">
        <v>4</v>
      </c>
      <c r="BW76" s="110">
        <v>2774.4</v>
      </c>
      <c r="BX76" s="110">
        <v>18</v>
      </c>
      <c r="BY76" s="110">
        <v>12484.800000000001</v>
      </c>
      <c r="BZ76" s="110">
        <v>25</v>
      </c>
      <c r="CA76" s="110">
        <v>17340</v>
      </c>
      <c r="CB76" s="110">
        <v>19</v>
      </c>
      <c r="CC76" s="110">
        <v>13178.4</v>
      </c>
      <c r="CD76" s="110">
        <v>26</v>
      </c>
      <c r="CE76" s="110">
        <v>18033.600000000002</v>
      </c>
      <c r="CF76" s="110">
        <v>8</v>
      </c>
      <c r="CG76" s="110">
        <v>5548.8</v>
      </c>
      <c r="CH76" s="110">
        <v>8</v>
      </c>
      <c r="CI76" s="110">
        <v>5548.8</v>
      </c>
      <c r="CJ76" s="110">
        <v>9</v>
      </c>
      <c r="CK76" s="110">
        <v>6242.4000000000005</v>
      </c>
      <c r="CL76" s="110">
        <v>9</v>
      </c>
      <c r="CM76" s="110">
        <v>6242.4000000000005</v>
      </c>
      <c r="CN76" s="110">
        <v>7</v>
      </c>
      <c r="CO76" s="110">
        <v>4855.2</v>
      </c>
      <c r="CP76" s="110">
        <v>5</v>
      </c>
      <c r="CQ76" s="110">
        <v>3468</v>
      </c>
      <c r="CR76" s="110">
        <v>3</v>
      </c>
      <c r="CS76" s="110">
        <v>2080.8000000000002</v>
      </c>
      <c r="CT76" s="110">
        <v>4</v>
      </c>
      <c r="CU76" s="110">
        <v>2774.4</v>
      </c>
    </row>
    <row r="77" spans="2:99" x14ac:dyDescent="0.2">
      <c r="C77" s="109" t="s">
        <v>245</v>
      </c>
      <c r="D77" s="110">
        <v>24</v>
      </c>
      <c r="E77" s="110">
        <v>23068.799999999999</v>
      </c>
      <c r="F77" s="110">
        <v>23</v>
      </c>
      <c r="G77" s="110">
        <v>22107.599999999999</v>
      </c>
      <c r="H77" s="110">
        <v>29</v>
      </c>
      <c r="I77" s="110">
        <v>27874.799999999999</v>
      </c>
      <c r="J77" s="110">
        <v>17</v>
      </c>
      <c r="K77" s="110">
        <v>16340.4</v>
      </c>
      <c r="L77" s="110">
        <v>26</v>
      </c>
      <c r="M77" s="110">
        <v>24991.199999999997</v>
      </c>
      <c r="N77" s="110">
        <v>26</v>
      </c>
      <c r="O77" s="110">
        <v>24991.199999999997</v>
      </c>
      <c r="P77" s="110">
        <v>22</v>
      </c>
      <c r="Q77" s="110">
        <v>21146.399999999998</v>
      </c>
      <c r="R77" s="110">
        <v>23</v>
      </c>
      <c r="S77" s="110">
        <v>22107.599999999999</v>
      </c>
      <c r="T77" s="110">
        <v>11</v>
      </c>
      <c r="U77" s="110">
        <v>10573.199999999999</v>
      </c>
      <c r="V77" s="110">
        <v>10</v>
      </c>
      <c r="W77" s="110">
        <v>9612</v>
      </c>
      <c r="X77" s="110">
        <v>13</v>
      </c>
      <c r="Y77" s="110">
        <v>12495.599999999999</v>
      </c>
      <c r="Z77" s="110">
        <v>17</v>
      </c>
      <c r="AA77" s="110">
        <v>16340.4</v>
      </c>
      <c r="AB77" s="110">
        <v>11</v>
      </c>
      <c r="AC77" s="110">
        <v>10573.199999999999</v>
      </c>
      <c r="AD77" s="110">
        <v>8</v>
      </c>
      <c r="AE77" s="110">
        <v>7689.5999999999995</v>
      </c>
      <c r="AF77" s="110">
        <v>11</v>
      </c>
      <c r="AG77" s="110">
        <v>10573.199999999999</v>
      </c>
      <c r="AH77" s="110">
        <v>9</v>
      </c>
      <c r="AI77" s="110">
        <v>8650.7999999999993</v>
      </c>
      <c r="AJ77" s="110">
        <v>25</v>
      </c>
      <c r="AK77" s="110">
        <v>24030</v>
      </c>
      <c r="AL77" s="110">
        <v>16</v>
      </c>
      <c r="AM77" s="110">
        <v>15379.199999999999</v>
      </c>
      <c r="AN77" s="110">
        <v>21</v>
      </c>
      <c r="AO77" s="110">
        <v>20185.199999999997</v>
      </c>
      <c r="AP77" s="110">
        <v>21</v>
      </c>
      <c r="AQ77" s="110">
        <v>20185.199999999997</v>
      </c>
      <c r="AR77" s="110">
        <v>39</v>
      </c>
      <c r="AS77" s="110">
        <v>37486.799999999996</v>
      </c>
      <c r="AT77" s="110">
        <v>39</v>
      </c>
      <c r="AU77" s="110">
        <v>37486.799999999996</v>
      </c>
      <c r="AV77" s="110">
        <v>24</v>
      </c>
      <c r="AW77" s="110">
        <v>23068.799999999999</v>
      </c>
      <c r="AX77" s="110">
        <v>29</v>
      </c>
      <c r="AY77" s="110">
        <v>27874.799999999999</v>
      </c>
      <c r="AZ77" s="110">
        <v>16</v>
      </c>
      <c r="BA77" s="110">
        <v>15379.199999999999</v>
      </c>
      <c r="BB77" s="110">
        <v>12</v>
      </c>
      <c r="BC77" s="110">
        <v>11534.4</v>
      </c>
      <c r="BD77" s="110">
        <v>17</v>
      </c>
      <c r="BE77" s="110">
        <v>16340.4</v>
      </c>
      <c r="BF77" s="110">
        <v>11</v>
      </c>
      <c r="BG77" s="110">
        <v>10573.199999999999</v>
      </c>
      <c r="BH77" s="110">
        <v>8</v>
      </c>
      <c r="BI77" s="110">
        <v>7689.5999999999995</v>
      </c>
      <c r="BJ77" s="110">
        <v>5</v>
      </c>
      <c r="BK77" s="110">
        <v>4806</v>
      </c>
      <c r="BL77" s="110">
        <v>7</v>
      </c>
      <c r="BM77" s="110">
        <v>6728.4</v>
      </c>
      <c r="BN77" s="110">
        <v>5</v>
      </c>
      <c r="BO77" s="110">
        <v>4806</v>
      </c>
      <c r="BP77" s="110">
        <v>8</v>
      </c>
      <c r="BQ77" s="110">
        <v>7689.5999999999995</v>
      </c>
      <c r="BR77" s="110">
        <v>8</v>
      </c>
      <c r="BS77" s="110">
        <v>7689.5999999999995</v>
      </c>
      <c r="BT77" s="110">
        <v>8</v>
      </c>
      <c r="BU77" s="110">
        <v>7689.5999999999995</v>
      </c>
      <c r="BV77" s="110">
        <v>4</v>
      </c>
      <c r="BW77" s="110">
        <v>3844.7999999999997</v>
      </c>
      <c r="BX77" s="110">
        <v>17</v>
      </c>
      <c r="BY77" s="110">
        <v>16340.4</v>
      </c>
      <c r="BZ77" s="110">
        <v>21</v>
      </c>
      <c r="CA77" s="110">
        <v>20185.199999999997</v>
      </c>
      <c r="CB77" s="110">
        <v>20</v>
      </c>
      <c r="CC77" s="110">
        <v>19224</v>
      </c>
      <c r="CD77" s="110">
        <v>24</v>
      </c>
      <c r="CE77" s="110">
        <v>23068.799999999999</v>
      </c>
      <c r="CF77" s="110">
        <v>8</v>
      </c>
      <c r="CG77" s="110">
        <v>7689.5999999999995</v>
      </c>
      <c r="CH77" s="110">
        <v>8</v>
      </c>
      <c r="CI77" s="110">
        <v>7689.5999999999995</v>
      </c>
      <c r="CJ77" s="110">
        <v>9</v>
      </c>
      <c r="CK77" s="110">
        <v>8650.7999999999993</v>
      </c>
      <c r="CL77" s="110">
        <v>8</v>
      </c>
      <c r="CM77" s="110">
        <v>7689.5999999999995</v>
      </c>
      <c r="CN77" s="110">
        <v>6</v>
      </c>
      <c r="CO77" s="110">
        <v>5767.2</v>
      </c>
      <c r="CP77" s="110">
        <v>4</v>
      </c>
      <c r="CQ77" s="110">
        <v>3844.7999999999997</v>
      </c>
      <c r="CR77" s="110">
        <v>3</v>
      </c>
      <c r="CS77" s="110">
        <v>2883.6</v>
      </c>
      <c r="CT77" s="110">
        <v>3</v>
      </c>
      <c r="CU77" s="110">
        <v>2883.6</v>
      </c>
    </row>
    <row r="78" spans="2:99" x14ac:dyDescent="0.2">
      <c r="C78" s="109" t="s">
        <v>246</v>
      </c>
      <c r="D78" s="110">
        <v>23</v>
      </c>
      <c r="E78" s="110">
        <v>10018.799999999999</v>
      </c>
      <c r="F78" s="110">
        <v>27</v>
      </c>
      <c r="G78" s="110">
        <v>11761.199999999999</v>
      </c>
      <c r="H78" s="110">
        <v>32</v>
      </c>
      <c r="I78" s="110">
        <v>13939.199999999999</v>
      </c>
      <c r="J78" s="110">
        <v>19</v>
      </c>
      <c r="K78" s="110">
        <v>8276.4</v>
      </c>
      <c r="L78" s="110">
        <v>29</v>
      </c>
      <c r="M78" s="110">
        <v>12632.4</v>
      </c>
      <c r="N78" s="110">
        <v>29</v>
      </c>
      <c r="O78" s="110">
        <v>12632.4</v>
      </c>
      <c r="P78" s="110">
        <v>20</v>
      </c>
      <c r="Q78" s="110">
        <v>8712</v>
      </c>
      <c r="R78" s="110">
        <v>25</v>
      </c>
      <c r="S78" s="110">
        <v>10890</v>
      </c>
      <c r="T78" s="110">
        <v>11</v>
      </c>
      <c r="U78" s="110">
        <v>4791.5999999999995</v>
      </c>
      <c r="V78" s="110">
        <v>11</v>
      </c>
      <c r="W78" s="110">
        <v>4791.5999999999995</v>
      </c>
      <c r="X78" s="110">
        <v>17</v>
      </c>
      <c r="Y78" s="110">
        <v>7405.2</v>
      </c>
      <c r="Z78" s="110">
        <v>18</v>
      </c>
      <c r="AA78" s="110">
        <v>7840.7999999999993</v>
      </c>
      <c r="AB78" s="110">
        <v>13</v>
      </c>
      <c r="AC78" s="110">
        <v>5662.7999999999993</v>
      </c>
      <c r="AD78" s="110">
        <v>8</v>
      </c>
      <c r="AE78" s="110">
        <v>3484.7999999999997</v>
      </c>
      <c r="AF78" s="110">
        <v>13</v>
      </c>
      <c r="AG78" s="110">
        <v>5662.7999999999993</v>
      </c>
      <c r="AH78" s="110">
        <v>11</v>
      </c>
      <c r="AI78" s="110">
        <v>4791.5999999999995</v>
      </c>
      <c r="AJ78" s="110">
        <v>29</v>
      </c>
      <c r="AK78" s="110">
        <v>12632.4</v>
      </c>
      <c r="AL78" s="110">
        <v>20</v>
      </c>
      <c r="AM78" s="110">
        <v>8712</v>
      </c>
      <c r="AN78" s="110">
        <v>23</v>
      </c>
      <c r="AO78" s="110">
        <v>10018.799999999999</v>
      </c>
      <c r="AP78" s="110">
        <v>23</v>
      </c>
      <c r="AQ78" s="110">
        <v>10018.799999999999</v>
      </c>
      <c r="AR78" s="110">
        <v>38</v>
      </c>
      <c r="AS78" s="110">
        <v>16552.8</v>
      </c>
      <c r="AT78" s="110">
        <v>41</v>
      </c>
      <c r="AU78" s="110">
        <v>17859.599999999999</v>
      </c>
      <c r="AV78" s="110">
        <v>27</v>
      </c>
      <c r="AW78" s="110">
        <v>11761.199999999999</v>
      </c>
      <c r="AX78" s="110">
        <v>29</v>
      </c>
      <c r="AY78" s="110">
        <v>12632.4</v>
      </c>
      <c r="AZ78" s="110">
        <v>18</v>
      </c>
      <c r="BA78" s="110">
        <v>7840.7999999999993</v>
      </c>
      <c r="BB78" s="110">
        <v>14</v>
      </c>
      <c r="BC78" s="110">
        <v>6098.4</v>
      </c>
      <c r="BD78" s="110">
        <v>16</v>
      </c>
      <c r="BE78" s="110">
        <v>6969.5999999999995</v>
      </c>
      <c r="BF78" s="110">
        <v>15</v>
      </c>
      <c r="BG78" s="110">
        <v>6533.9999999999991</v>
      </c>
      <c r="BH78" s="110">
        <v>9</v>
      </c>
      <c r="BI78" s="110">
        <v>3920.3999999999996</v>
      </c>
      <c r="BJ78" s="110">
        <v>4</v>
      </c>
      <c r="BK78" s="110">
        <v>1742.3999999999999</v>
      </c>
      <c r="BL78" s="110">
        <v>6</v>
      </c>
      <c r="BM78" s="110">
        <v>2613.6</v>
      </c>
      <c r="BN78" s="110">
        <v>6</v>
      </c>
      <c r="BO78" s="110">
        <v>2613.6</v>
      </c>
      <c r="BP78" s="110">
        <v>8</v>
      </c>
      <c r="BQ78" s="110">
        <v>3484.7999999999997</v>
      </c>
      <c r="BR78" s="110">
        <v>8</v>
      </c>
      <c r="BS78" s="110">
        <v>3484.7999999999997</v>
      </c>
      <c r="BT78" s="110">
        <v>8</v>
      </c>
      <c r="BU78" s="110">
        <v>3484.7999999999997</v>
      </c>
      <c r="BV78" s="110">
        <v>5</v>
      </c>
      <c r="BW78" s="110">
        <v>2178</v>
      </c>
      <c r="BX78" s="110">
        <v>18</v>
      </c>
      <c r="BY78" s="110">
        <v>7840.7999999999993</v>
      </c>
      <c r="BZ78" s="110">
        <v>26</v>
      </c>
      <c r="CA78" s="110">
        <v>11325.599999999999</v>
      </c>
      <c r="CB78" s="110">
        <v>21</v>
      </c>
      <c r="CC78" s="110">
        <v>9147.5999999999985</v>
      </c>
      <c r="CD78" s="110">
        <v>27</v>
      </c>
      <c r="CE78" s="110">
        <v>11761.199999999999</v>
      </c>
      <c r="CF78" s="110">
        <v>8</v>
      </c>
      <c r="CG78" s="110">
        <v>3484.7999999999997</v>
      </c>
      <c r="CH78" s="110">
        <v>8</v>
      </c>
      <c r="CI78" s="110">
        <v>3484.7999999999997</v>
      </c>
      <c r="CJ78" s="110">
        <v>9</v>
      </c>
      <c r="CK78" s="110">
        <v>3920.3999999999996</v>
      </c>
      <c r="CL78" s="110">
        <v>10</v>
      </c>
      <c r="CM78" s="110">
        <v>4356</v>
      </c>
      <c r="CN78" s="110">
        <v>6</v>
      </c>
      <c r="CO78" s="110">
        <v>2613.6</v>
      </c>
      <c r="CP78" s="110">
        <v>5</v>
      </c>
      <c r="CQ78" s="110">
        <v>2178</v>
      </c>
      <c r="CR78" s="110">
        <v>3</v>
      </c>
      <c r="CS78" s="110">
        <v>1306.8</v>
      </c>
      <c r="CT78" s="110">
        <v>3</v>
      </c>
      <c r="CU78" s="110">
        <v>1306.8</v>
      </c>
    </row>
    <row r="79" spans="2:99" x14ac:dyDescent="0.2">
      <c r="C79" s="109" t="s">
        <v>247</v>
      </c>
      <c r="D79" s="110">
        <v>25</v>
      </c>
      <c r="E79" s="110">
        <v>810</v>
      </c>
      <c r="F79" s="110">
        <v>31</v>
      </c>
      <c r="G79" s="110">
        <v>1004.4</v>
      </c>
      <c r="H79" s="110">
        <v>29</v>
      </c>
      <c r="I79" s="110">
        <v>939.59999999999991</v>
      </c>
      <c r="J79" s="110">
        <v>17</v>
      </c>
      <c r="K79" s="110">
        <v>550.79999999999995</v>
      </c>
      <c r="L79" s="110">
        <v>32</v>
      </c>
      <c r="M79" s="110">
        <v>1036.8</v>
      </c>
      <c r="N79" s="110">
        <v>30</v>
      </c>
      <c r="O79" s="110">
        <v>972</v>
      </c>
      <c r="P79" s="110">
        <v>25</v>
      </c>
      <c r="Q79" s="110">
        <v>810</v>
      </c>
      <c r="R79" s="110">
        <v>24</v>
      </c>
      <c r="S79" s="110">
        <v>777.59999999999991</v>
      </c>
      <c r="T79" s="110">
        <v>12</v>
      </c>
      <c r="U79" s="110">
        <v>388.79999999999995</v>
      </c>
      <c r="V79" s="110">
        <v>12</v>
      </c>
      <c r="W79" s="110">
        <v>388.79999999999995</v>
      </c>
      <c r="X79" s="110">
        <v>18</v>
      </c>
      <c r="Y79" s="110">
        <v>583.19999999999993</v>
      </c>
      <c r="Z79" s="110">
        <v>17</v>
      </c>
      <c r="AA79" s="110">
        <v>550.79999999999995</v>
      </c>
      <c r="AB79" s="110">
        <v>15</v>
      </c>
      <c r="AC79" s="110">
        <v>486</v>
      </c>
      <c r="AD79" s="110">
        <v>9</v>
      </c>
      <c r="AE79" s="110">
        <v>291.59999999999997</v>
      </c>
      <c r="AF79" s="110">
        <v>14</v>
      </c>
      <c r="AG79" s="110">
        <v>453.59999999999997</v>
      </c>
      <c r="AH79" s="110">
        <v>11</v>
      </c>
      <c r="AI79" s="110">
        <v>356.4</v>
      </c>
      <c r="AJ79" s="110">
        <v>32</v>
      </c>
      <c r="AK79" s="110">
        <v>1036.8</v>
      </c>
      <c r="AL79" s="110">
        <v>22</v>
      </c>
      <c r="AM79" s="110">
        <v>712.8</v>
      </c>
      <c r="AN79" s="110">
        <v>25</v>
      </c>
      <c r="AO79" s="110">
        <v>810</v>
      </c>
      <c r="AP79" s="110">
        <v>23</v>
      </c>
      <c r="AQ79" s="110">
        <v>745.19999999999993</v>
      </c>
      <c r="AR79" s="110">
        <v>42</v>
      </c>
      <c r="AS79" s="110">
        <v>1360.8</v>
      </c>
      <c r="AT79" s="110">
        <v>45</v>
      </c>
      <c r="AU79" s="110">
        <v>1458</v>
      </c>
      <c r="AV79" s="110">
        <v>31</v>
      </c>
      <c r="AW79" s="110">
        <v>1004.4</v>
      </c>
      <c r="AX79" s="110">
        <v>35</v>
      </c>
      <c r="AY79" s="110">
        <v>1134</v>
      </c>
      <c r="AZ79" s="110">
        <v>19</v>
      </c>
      <c r="BA79" s="110">
        <v>615.6</v>
      </c>
      <c r="BB79" s="110">
        <v>16</v>
      </c>
      <c r="BC79" s="110">
        <v>518.4</v>
      </c>
      <c r="BD79" s="110">
        <v>17</v>
      </c>
      <c r="BE79" s="110">
        <v>550.79999999999995</v>
      </c>
      <c r="BF79" s="110">
        <v>15</v>
      </c>
      <c r="BG79" s="110">
        <v>486</v>
      </c>
      <c r="BH79" s="110">
        <v>9</v>
      </c>
      <c r="BI79" s="110">
        <v>291.59999999999997</v>
      </c>
      <c r="BJ79" s="110">
        <v>5</v>
      </c>
      <c r="BK79" s="110">
        <v>162</v>
      </c>
      <c r="BL79" s="110">
        <v>7</v>
      </c>
      <c r="BM79" s="110">
        <v>226.79999999999998</v>
      </c>
      <c r="BN79" s="110">
        <v>6</v>
      </c>
      <c r="BO79" s="110">
        <v>194.39999999999998</v>
      </c>
      <c r="BP79" s="110">
        <v>8</v>
      </c>
      <c r="BQ79" s="110">
        <v>259.2</v>
      </c>
      <c r="BR79" s="110">
        <v>9</v>
      </c>
      <c r="BS79" s="110">
        <v>291.59999999999997</v>
      </c>
      <c r="BT79" s="110">
        <v>9</v>
      </c>
      <c r="BU79" s="110">
        <v>291.59999999999997</v>
      </c>
      <c r="BV79" s="110">
        <v>5</v>
      </c>
      <c r="BW79" s="110">
        <v>162</v>
      </c>
      <c r="BX79" s="110">
        <v>21</v>
      </c>
      <c r="BY79" s="110">
        <v>680.4</v>
      </c>
      <c r="BZ79" s="110">
        <v>25</v>
      </c>
      <c r="CA79" s="110">
        <v>810</v>
      </c>
      <c r="CB79" s="110">
        <v>21</v>
      </c>
      <c r="CC79" s="110">
        <v>680.4</v>
      </c>
      <c r="CD79" s="110">
        <v>27</v>
      </c>
      <c r="CE79" s="110">
        <v>874.8</v>
      </c>
      <c r="CF79" s="110">
        <v>9</v>
      </c>
      <c r="CG79" s="110">
        <v>291.59999999999997</v>
      </c>
      <c r="CH79" s="110">
        <v>9</v>
      </c>
      <c r="CI79" s="110">
        <v>291.59999999999997</v>
      </c>
      <c r="CJ79" s="110">
        <v>9</v>
      </c>
      <c r="CK79" s="110">
        <v>291.59999999999997</v>
      </c>
      <c r="CL79" s="110">
        <v>10</v>
      </c>
      <c r="CM79" s="110">
        <v>324</v>
      </c>
      <c r="CN79" s="110">
        <v>6</v>
      </c>
      <c r="CO79" s="110">
        <v>194.39999999999998</v>
      </c>
      <c r="CP79" s="110">
        <v>5</v>
      </c>
      <c r="CQ79" s="110">
        <v>162</v>
      </c>
      <c r="CR79" s="110">
        <v>3</v>
      </c>
      <c r="CS79" s="110">
        <v>97.199999999999989</v>
      </c>
      <c r="CT79" s="110">
        <v>4</v>
      </c>
      <c r="CU79" s="110">
        <v>129.6</v>
      </c>
    </row>
    <row r="80" spans="2:99" x14ac:dyDescent="0.2">
      <c r="C80" s="109" t="s">
        <v>248</v>
      </c>
      <c r="D80" s="110">
        <v>27</v>
      </c>
      <c r="E80" s="110">
        <v>13024.8</v>
      </c>
      <c r="F80" s="110">
        <v>25</v>
      </c>
      <c r="G80" s="110">
        <v>12060</v>
      </c>
      <c r="H80" s="110">
        <v>31</v>
      </c>
      <c r="I80" s="110">
        <v>14954.4</v>
      </c>
      <c r="J80" s="110">
        <v>19</v>
      </c>
      <c r="K80" s="110">
        <v>9165.6</v>
      </c>
      <c r="L80" s="110">
        <v>28</v>
      </c>
      <c r="M80" s="110">
        <v>13507.199999999999</v>
      </c>
      <c r="N80" s="110">
        <v>29</v>
      </c>
      <c r="O80" s="110">
        <v>13989.599999999999</v>
      </c>
      <c r="P80" s="110">
        <v>21</v>
      </c>
      <c r="Q80" s="110">
        <v>10130.4</v>
      </c>
      <c r="R80" s="110">
        <v>26</v>
      </c>
      <c r="S80" s="110">
        <v>12542.4</v>
      </c>
      <c r="T80" s="110">
        <v>13</v>
      </c>
      <c r="U80" s="110">
        <v>6271.2</v>
      </c>
      <c r="V80" s="110">
        <v>12</v>
      </c>
      <c r="W80" s="110">
        <v>5788.7999999999993</v>
      </c>
      <c r="X80" s="110">
        <v>16</v>
      </c>
      <c r="Y80" s="110">
        <v>7718.4</v>
      </c>
      <c r="Z80" s="110">
        <v>18</v>
      </c>
      <c r="AA80" s="110">
        <v>8683.1999999999989</v>
      </c>
      <c r="AB80" s="110">
        <v>13</v>
      </c>
      <c r="AC80" s="110">
        <v>6271.2</v>
      </c>
      <c r="AD80" s="110">
        <v>10</v>
      </c>
      <c r="AE80" s="110">
        <v>4824</v>
      </c>
      <c r="AF80" s="110">
        <v>12</v>
      </c>
      <c r="AG80" s="110">
        <v>5788.7999999999993</v>
      </c>
      <c r="AH80" s="110">
        <v>12</v>
      </c>
      <c r="AI80" s="110">
        <v>5788.7999999999993</v>
      </c>
      <c r="AJ80" s="110">
        <v>25</v>
      </c>
      <c r="AK80" s="110">
        <v>12060</v>
      </c>
      <c r="AL80" s="110">
        <v>20</v>
      </c>
      <c r="AM80" s="110">
        <v>9648</v>
      </c>
      <c r="AN80" s="110">
        <v>24</v>
      </c>
      <c r="AO80" s="110">
        <v>11577.599999999999</v>
      </c>
      <c r="AP80" s="110">
        <v>21</v>
      </c>
      <c r="AQ80" s="110">
        <v>10130.4</v>
      </c>
      <c r="AR80" s="110">
        <v>35</v>
      </c>
      <c r="AS80" s="110">
        <v>16884</v>
      </c>
      <c r="AT80" s="110">
        <v>45</v>
      </c>
      <c r="AU80" s="110">
        <v>21708</v>
      </c>
      <c r="AV80" s="110">
        <v>26</v>
      </c>
      <c r="AW80" s="110">
        <v>12542.4</v>
      </c>
      <c r="AX80" s="110">
        <v>29</v>
      </c>
      <c r="AY80" s="110">
        <v>13989.599999999999</v>
      </c>
      <c r="AZ80" s="110">
        <v>17</v>
      </c>
      <c r="BA80" s="110">
        <v>8200.7999999999993</v>
      </c>
      <c r="BB80" s="110">
        <v>15</v>
      </c>
      <c r="BC80" s="110">
        <v>7236</v>
      </c>
      <c r="BD80" s="110">
        <v>17</v>
      </c>
      <c r="BE80" s="110">
        <v>8200.7999999999993</v>
      </c>
      <c r="BF80" s="110">
        <v>13</v>
      </c>
      <c r="BG80" s="110">
        <v>6271.2</v>
      </c>
      <c r="BH80" s="110">
        <v>8</v>
      </c>
      <c r="BI80" s="110">
        <v>3859.2</v>
      </c>
      <c r="BJ80" s="110">
        <v>5</v>
      </c>
      <c r="BK80" s="110">
        <v>2412</v>
      </c>
      <c r="BL80" s="110">
        <v>8</v>
      </c>
      <c r="BM80" s="110">
        <v>3859.2</v>
      </c>
      <c r="BN80" s="110">
        <v>7</v>
      </c>
      <c r="BO80" s="110">
        <v>3376.7999999999997</v>
      </c>
      <c r="BP80" s="110">
        <v>8</v>
      </c>
      <c r="BQ80" s="110">
        <v>3859.2</v>
      </c>
      <c r="BR80" s="110">
        <v>9</v>
      </c>
      <c r="BS80" s="110">
        <v>4341.5999999999995</v>
      </c>
      <c r="BT80" s="110">
        <v>9</v>
      </c>
      <c r="BU80" s="110">
        <v>4341.5999999999995</v>
      </c>
      <c r="BV80" s="110">
        <v>5</v>
      </c>
      <c r="BW80" s="110">
        <v>2412</v>
      </c>
      <c r="BX80" s="110">
        <v>19</v>
      </c>
      <c r="BY80" s="110">
        <v>9165.6</v>
      </c>
      <c r="BZ80" s="110">
        <v>25</v>
      </c>
      <c r="CA80" s="110">
        <v>12060</v>
      </c>
      <c r="CB80" s="110">
        <v>19</v>
      </c>
      <c r="CC80" s="110">
        <v>9165.6</v>
      </c>
      <c r="CD80" s="110">
        <v>23</v>
      </c>
      <c r="CE80" s="110">
        <v>11095.199999999999</v>
      </c>
      <c r="CF80" s="110">
        <v>8</v>
      </c>
      <c r="CG80" s="110">
        <v>3859.2</v>
      </c>
      <c r="CH80" s="110">
        <v>9</v>
      </c>
      <c r="CI80" s="110">
        <v>4341.5999999999995</v>
      </c>
      <c r="CJ80" s="110">
        <v>9</v>
      </c>
      <c r="CK80" s="110">
        <v>4341.5999999999995</v>
      </c>
      <c r="CL80" s="110">
        <v>9</v>
      </c>
      <c r="CM80" s="110">
        <v>4341.5999999999995</v>
      </c>
      <c r="CN80" s="110">
        <v>6</v>
      </c>
      <c r="CO80" s="110">
        <v>2894.3999999999996</v>
      </c>
      <c r="CP80" s="110">
        <v>5</v>
      </c>
      <c r="CQ80" s="110">
        <v>2412</v>
      </c>
      <c r="CR80" s="110">
        <v>3</v>
      </c>
      <c r="CS80" s="110">
        <v>1447.1999999999998</v>
      </c>
      <c r="CT80" s="110">
        <v>4</v>
      </c>
      <c r="CU80" s="110">
        <v>1929.6</v>
      </c>
    </row>
    <row r="81" spans="2:99" x14ac:dyDescent="0.2">
      <c r="C81" s="109" t="s">
        <v>249</v>
      </c>
      <c r="D81" s="110">
        <v>25</v>
      </c>
      <c r="E81" s="110">
        <v>7530</v>
      </c>
      <c r="F81" s="110">
        <v>27</v>
      </c>
      <c r="G81" s="110">
        <v>8132.4</v>
      </c>
      <c r="H81" s="110">
        <v>31</v>
      </c>
      <c r="I81" s="110">
        <v>9337.1999999999989</v>
      </c>
      <c r="J81" s="110">
        <v>19</v>
      </c>
      <c r="K81" s="110">
        <v>5722.8</v>
      </c>
      <c r="L81" s="110">
        <v>29</v>
      </c>
      <c r="M81" s="110">
        <v>8734.7999999999993</v>
      </c>
      <c r="N81" s="110">
        <v>28</v>
      </c>
      <c r="O81" s="110">
        <v>8433.6</v>
      </c>
      <c r="P81" s="110">
        <v>24</v>
      </c>
      <c r="Q81" s="110">
        <v>7228.7999999999993</v>
      </c>
      <c r="R81" s="110">
        <v>24</v>
      </c>
      <c r="S81" s="110">
        <v>7228.7999999999993</v>
      </c>
      <c r="T81" s="110">
        <v>12</v>
      </c>
      <c r="U81" s="110">
        <v>3614.3999999999996</v>
      </c>
      <c r="V81" s="110">
        <v>11</v>
      </c>
      <c r="W81" s="110">
        <v>3313.2</v>
      </c>
      <c r="X81" s="110">
        <v>16</v>
      </c>
      <c r="Y81" s="110">
        <v>4819.2</v>
      </c>
      <c r="Z81" s="110">
        <v>19</v>
      </c>
      <c r="AA81" s="110">
        <v>5722.8</v>
      </c>
      <c r="AB81" s="110">
        <v>13</v>
      </c>
      <c r="AC81" s="110">
        <v>3915.6</v>
      </c>
      <c r="AD81" s="110">
        <v>10</v>
      </c>
      <c r="AE81" s="110">
        <v>3012</v>
      </c>
      <c r="AF81" s="110">
        <v>11</v>
      </c>
      <c r="AG81" s="110">
        <v>3313.2</v>
      </c>
      <c r="AH81" s="110">
        <v>10</v>
      </c>
      <c r="AI81" s="110">
        <v>3012</v>
      </c>
      <c r="AJ81" s="110">
        <v>27</v>
      </c>
      <c r="AK81" s="110">
        <v>8132.4</v>
      </c>
      <c r="AL81" s="110">
        <v>18</v>
      </c>
      <c r="AM81" s="110">
        <v>5421.5999999999995</v>
      </c>
      <c r="AN81" s="110">
        <v>23</v>
      </c>
      <c r="AO81" s="110">
        <v>6927.5999999999995</v>
      </c>
      <c r="AP81" s="110">
        <v>25</v>
      </c>
      <c r="AQ81" s="110">
        <v>7530</v>
      </c>
      <c r="AR81" s="110">
        <v>38</v>
      </c>
      <c r="AS81" s="110">
        <v>11445.6</v>
      </c>
      <c r="AT81" s="110">
        <v>45</v>
      </c>
      <c r="AU81" s="110">
        <v>13554</v>
      </c>
      <c r="AV81" s="110">
        <v>24</v>
      </c>
      <c r="AW81" s="110">
        <v>7228.7999999999993</v>
      </c>
      <c r="AX81" s="110">
        <v>31</v>
      </c>
      <c r="AY81" s="110">
        <v>9337.1999999999989</v>
      </c>
      <c r="AZ81" s="110">
        <v>20</v>
      </c>
      <c r="BA81" s="110">
        <v>6024</v>
      </c>
      <c r="BB81" s="110">
        <v>15</v>
      </c>
      <c r="BC81" s="110">
        <v>4518</v>
      </c>
      <c r="BD81" s="110">
        <v>16</v>
      </c>
      <c r="BE81" s="110">
        <v>4819.2</v>
      </c>
      <c r="BF81" s="110">
        <v>15</v>
      </c>
      <c r="BG81" s="110">
        <v>4518</v>
      </c>
      <c r="BH81" s="110">
        <v>8</v>
      </c>
      <c r="BI81" s="110">
        <v>2409.6</v>
      </c>
      <c r="BJ81" s="110">
        <v>5</v>
      </c>
      <c r="BK81" s="110">
        <v>1506</v>
      </c>
      <c r="BL81" s="110">
        <v>7</v>
      </c>
      <c r="BM81" s="110">
        <v>2108.4</v>
      </c>
      <c r="BN81" s="110">
        <v>6</v>
      </c>
      <c r="BO81" s="110">
        <v>1807.1999999999998</v>
      </c>
      <c r="BP81" s="110">
        <v>8</v>
      </c>
      <c r="BQ81" s="110">
        <v>2409.6</v>
      </c>
      <c r="BR81" s="110">
        <v>8</v>
      </c>
      <c r="BS81" s="110">
        <v>2409.6</v>
      </c>
      <c r="BT81" s="110">
        <v>8</v>
      </c>
      <c r="BU81" s="110">
        <v>2409.6</v>
      </c>
      <c r="BV81" s="110">
        <v>4</v>
      </c>
      <c r="BW81" s="110">
        <v>1204.8</v>
      </c>
      <c r="BX81" s="110">
        <v>20</v>
      </c>
      <c r="BY81" s="110">
        <v>6024</v>
      </c>
      <c r="BZ81" s="110">
        <v>25</v>
      </c>
      <c r="CA81" s="110">
        <v>7530</v>
      </c>
      <c r="CB81" s="110">
        <v>21</v>
      </c>
      <c r="CC81" s="110">
        <v>6325.2</v>
      </c>
      <c r="CD81" s="110">
        <v>25</v>
      </c>
      <c r="CE81" s="110">
        <v>7530</v>
      </c>
      <c r="CF81" s="110">
        <v>8</v>
      </c>
      <c r="CG81" s="110">
        <v>2409.6</v>
      </c>
      <c r="CH81" s="110">
        <v>8</v>
      </c>
      <c r="CI81" s="110">
        <v>2409.6</v>
      </c>
      <c r="CJ81" s="110">
        <v>9</v>
      </c>
      <c r="CK81" s="110">
        <v>2710.7999999999997</v>
      </c>
      <c r="CL81" s="110">
        <v>9</v>
      </c>
      <c r="CM81" s="110">
        <v>2710.7999999999997</v>
      </c>
      <c r="CN81" s="110">
        <v>6</v>
      </c>
      <c r="CO81" s="110">
        <v>1807.1999999999998</v>
      </c>
      <c r="CP81" s="110">
        <v>5</v>
      </c>
      <c r="CQ81" s="110">
        <v>1506</v>
      </c>
      <c r="CR81" s="110">
        <v>3</v>
      </c>
      <c r="CS81" s="110">
        <v>903.59999999999991</v>
      </c>
      <c r="CT81" s="110">
        <v>4</v>
      </c>
      <c r="CU81" s="110">
        <v>1204.8</v>
      </c>
    </row>
    <row r="82" spans="2:99" x14ac:dyDescent="0.2">
      <c r="C82" s="109" t="s">
        <v>250</v>
      </c>
      <c r="D82" s="110">
        <v>23</v>
      </c>
      <c r="E82" s="110">
        <v>18878.399999999998</v>
      </c>
      <c r="F82" s="110">
        <v>26</v>
      </c>
      <c r="G82" s="110">
        <v>21340.799999999999</v>
      </c>
      <c r="H82" s="110">
        <v>27</v>
      </c>
      <c r="I82" s="110">
        <v>22161.599999999999</v>
      </c>
      <c r="J82" s="110">
        <v>17</v>
      </c>
      <c r="K82" s="110">
        <v>13953.599999999999</v>
      </c>
      <c r="L82" s="110">
        <v>26</v>
      </c>
      <c r="M82" s="110">
        <v>21340.799999999999</v>
      </c>
      <c r="N82" s="110">
        <v>26</v>
      </c>
      <c r="O82" s="110">
        <v>21340.799999999999</v>
      </c>
      <c r="P82" s="110">
        <v>20</v>
      </c>
      <c r="Q82" s="110">
        <v>16416</v>
      </c>
      <c r="R82" s="110">
        <v>25</v>
      </c>
      <c r="S82" s="110">
        <v>20520</v>
      </c>
      <c r="T82" s="110">
        <v>11</v>
      </c>
      <c r="U82" s="110">
        <v>9028.7999999999993</v>
      </c>
      <c r="V82" s="110">
        <v>11</v>
      </c>
      <c r="W82" s="110">
        <v>9028.7999999999993</v>
      </c>
      <c r="X82" s="110">
        <v>14</v>
      </c>
      <c r="Y82" s="110">
        <v>11491.199999999999</v>
      </c>
      <c r="Z82" s="110">
        <v>16</v>
      </c>
      <c r="AA82" s="110">
        <v>13132.8</v>
      </c>
      <c r="AB82" s="110">
        <v>13</v>
      </c>
      <c r="AC82" s="110">
        <v>10670.4</v>
      </c>
      <c r="AD82" s="110">
        <v>9</v>
      </c>
      <c r="AE82" s="110">
        <v>7387.2</v>
      </c>
      <c r="AF82" s="110">
        <v>13</v>
      </c>
      <c r="AG82" s="110">
        <v>10670.4</v>
      </c>
      <c r="AH82" s="110">
        <v>11</v>
      </c>
      <c r="AI82" s="110">
        <v>9028.7999999999993</v>
      </c>
      <c r="AJ82" s="110">
        <v>25</v>
      </c>
      <c r="AK82" s="110">
        <v>20520</v>
      </c>
      <c r="AL82" s="110">
        <v>19</v>
      </c>
      <c r="AM82" s="110">
        <v>15595.199999999999</v>
      </c>
      <c r="AN82" s="110">
        <v>22</v>
      </c>
      <c r="AO82" s="110">
        <v>18057.599999999999</v>
      </c>
      <c r="AP82" s="110">
        <v>19</v>
      </c>
      <c r="AQ82" s="110">
        <v>15595.199999999999</v>
      </c>
      <c r="AR82" s="110">
        <v>35</v>
      </c>
      <c r="AS82" s="110">
        <v>28728</v>
      </c>
      <c r="AT82" s="110">
        <v>38</v>
      </c>
      <c r="AU82" s="110">
        <v>31190.399999999998</v>
      </c>
      <c r="AV82" s="110">
        <v>22</v>
      </c>
      <c r="AW82" s="110">
        <v>18057.599999999999</v>
      </c>
      <c r="AX82" s="110">
        <v>29</v>
      </c>
      <c r="AY82" s="110">
        <v>23803.199999999997</v>
      </c>
      <c r="AZ82" s="110">
        <v>20</v>
      </c>
      <c r="BA82" s="110">
        <v>16416</v>
      </c>
      <c r="BB82" s="110">
        <v>14</v>
      </c>
      <c r="BC82" s="110">
        <v>11491.199999999999</v>
      </c>
      <c r="BD82" s="110">
        <v>16</v>
      </c>
      <c r="BE82" s="110">
        <v>13132.8</v>
      </c>
      <c r="BF82" s="110">
        <v>13</v>
      </c>
      <c r="BG82" s="110">
        <v>10670.4</v>
      </c>
      <c r="BH82" s="110">
        <v>8</v>
      </c>
      <c r="BI82" s="110">
        <v>6566.4</v>
      </c>
      <c r="BJ82" s="110">
        <v>4</v>
      </c>
      <c r="BK82" s="110">
        <v>3283.2</v>
      </c>
      <c r="BL82" s="110">
        <v>7</v>
      </c>
      <c r="BM82" s="110">
        <v>5745.5999999999995</v>
      </c>
      <c r="BN82" s="110">
        <v>6</v>
      </c>
      <c r="BO82" s="110">
        <v>4924.7999999999993</v>
      </c>
      <c r="BP82" s="110">
        <v>7</v>
      </c>
      <c r="BQ82" s="110">
        <v>5745.5999999999995</v>
      </c>
      <c r="BR82" s="110">
        <v>8</v>
      </c>
      <c r="BS82" s="110">
        <v>6566.4</v>
      </c>
      <c r="BT82" s="110">
        <v>9</v>
      </c>
      <c r="BU82" s="110">
        <v>7387.2</v>
      </c>
      <c r="BV82" s="110">
        <v>5</v>
      </c>
      <c r="BW82" s="110">
        <v>4104</v>
      </c>
      <c r="BX82" s="110">
        <v>16</v>
      </c>
      <c r="BY82" s="110">
        <v>13132.8</v>
      </c>
      <c r="BZ82" s="110">
        <v>21</v>
      </c>
      <c r="CA82" s="110">
        <v>17236.8</v>
      </c>
      <c r="CB82" s="110">
        <v>18</v>
      </c>
      <c r="CC82" s="110">
        <v>14774.4</v>
      </c>
      <c r="CD82" s="110">
        <v>26</v>
      </c>
      <c r="CE82" s="110">
        <v>21340.799999999999</v>
      </c>
      <c r="CF82" s="110">
        <v>9</v>
      </c>
      <c r="CG82" s="110">
        <v>7387.2</v>
      </c>
      <c r="CH82" s="110">
        <v>7</v>
      </c>
      <c r="CI82" s="110">
        <v>5745.5999999999995</v>
      </c>
      <c r="CJ82" s="110">
        <v>9</v>
      </c>
      <c r="CK82" s="110">
        <v>7387.2</v>
      </c>
      <c r="CL82" s="110">
        <v>9</v>
      </c>
      <c r="CM82" s="110">
        <v>7387.2</v>
      </c>
      <c r="CN82" s="110">
        <v>6</v>
      </c>
      <c r="CO82" s="110">
        <v>4924.7999999999993</v>
      </c>
      <c r="CP82" s="110">
        <v>4</v>
      </c>
      <c r="CQ82" s="110">
        <v>3283.2</v>
      </c>
      <c r="CR82" s="110">
        <v>3</v>
      </c>
      <c r="CS82" s="110">
        <v>2462.3999999999996</v>
      </c>
      <c r="CT82" s="110">
        <v>4</v>
      </c>
      <c r="CU82" s="110">
        <v>3283.2</v>
      </c>
    </row>
    <row r="83" spans="2:99" x14ac:dyDescent="0.2">
      <c r="C83" s="109" t="s">
        <v>251</v>
      </c>
      <c r="D83" s="110">
        <v>29</v>
      </c>
      <c r="E83" s="110">
        <v>3688.7999999999993</v>
      </c>
      <c r="F83" s="110">
        <v>25</v>
      </c>
      <c r="G83" s="110">
        <v>3179.9999999999995</v>
      </c>
      <c r="H83" s="110">
        <v>32</v>
      </c>
      <c r="I83" s="110">
        <v>4070.3999999999992</v>
      </c>
      <c r="J83" s="110">
        <v>20</v>
      </c>
      <c r="K83" s="110">
        <v>2543.9999999999995</v>
      </c>
      <c r="L83" s="110">
        <v>30</v>
      </c>
      <c r="M83" s="110">
        <v>3815.9999999999991</v>
      </c>
      <c r="N83" s="110">
        <v>30</v>
      </c>
      <c r="O83" s="110">
        <v>3815.9999999999991</v>
      </c>
      <c r="P83" s="110">
        <v>21</v>
      </c>
      <c r="Q83" s="110">
        <v>2671.1999999999994</v>
      </c>
      <c r="R83" s="110">
        <v>27</v>
      </c>
      <c r="S83" s="110">
        <v>3434.3999999999992</v>
      </c>
      <c r="T83" s="110">
        <v>11</v>
      </c>
      <c r="U83" s="110">
        <v>1399.1999999999998</v>
      </c>
      <c r="V83" s="110">
        <v>13</v>
      </c>
      <c r="W83" s="110">
        <v>1653.5999999999997</v>
      </c>
      <c r="X83" s="110">
        <v>16</v>
      </c>
      <c r="Y83" s="110">
        <v>2035.1999999999996</v>
      </c>
      <c r="Z83" s="110">
        <v>18</v>
      </c>
      <c r="AA83" s="110">
        <v>2289.5999999999995</v>
      </c>
      <c r="AB83" s="110">
        <v>14</v>
      </c>
      <c r="AC83" s="110">
        <v>1780.7999999999997</v>
      </c>
      <c r="AD83" s="110">
        <v>9</v>
      </c>
      <c r="AE83" s="110">
        <v>1144.7999999999997</v>
      </c>
      <c r="AF83" s="110">
        <v>12</v>
      </c>
      <c r="AG83" s="110">
        <v>1526.3999999999996</v>
      </c>
      <c r="AH83" s="110">
        <v>12</v>
      </c>
      <c r="AI83" s="110">
        <v>1526.3999999999996</v>
      </c>
      <c r="AJ83" s="110">
        <v>30</v>
      </c>
      <c r="AK83" s="110">
        <v>3815.9999999999991</v>
      </c>
      <c r="AL83" s="110">
        <v>22</v>
      </c>
      <c r="AM83" s="110">
        <v>2798.3999999999996</v>
      </c>
      <c r="AN83" s="110">
        <v>25</v>
      </c>
      <c r="AO83" s="110">
        <v>3179.9999999999995</v>
      </c>
      <c r="AP83" s="110">
        <v>21</v>
      </c>
      <c r="AQ83" s="110">
        <v>2671.1999999999994</v>
      </c>
      <c r="AR83" s="110">
        <v>42</v>
      </c>
      <c r="AS83" s="110">
        <v>5342.3999999999987</v>
      </c>
      <c r="AT83" s="110">
        <v>39</v>
      </c>
      <c r="AU83" s="110">
        <v>4960.7999999999993</v>
      </c>
      <c r="AV83" s="110">
        <v>31</v>
      </c>
      <c r="AW83" s="110">
        <v>3943.1999999999994</v>
      </c>
      <c r="AX83" s="110">
        <v>32</v>
      </c>
      <c r="AY83" s="110">
        <v>4070.3999999999992</v>
      </c>
      <c r="AZ83" s="110">
        <v>19</v>
      </c>
      <c r="BA83" s="110">
        <v>2416.7999999999997</v>
      </c>
      <c r="BB83" s="110">
        <v>13</v>
      </c>
      <c r="BC83" s="110">
        <v>1653.5999999999997</v>
      </c>
      <c r="BD83" s="110">
        <v>17</v>
      </c>
      <c r="BE83" s="110">
        <v>2162.3999999999996</v>
      </c>
      <c r="BF83" s="110">
        <v>13</v>
      </c>
      <c r="BG83" s="110">
        <v>1653.5999999999997</v>
      </c>
      <c r="BH83" s="110">
        <v>9</v>
      </c>
      <c r="BI83" s="110">
        <v>1144.7999999999997</v>
      </c>
      <c r="BJ83" s="110">
        <v>5</v>
      </c>
      <c r="BK83" s="110">
        <v>635.99999999999989</v>
      </c>
      <c r="BL83" s="110">
        <v>8</v>
      </c>
      <c r="BM83" s="110">
        <v>1017.5999999999998</v>
      </c>
      <c r="BN83" s="110">
        <v>6</v>
      </c>
      <c r="BO83" s="110">
        <v>763.19999999999982</v>
      </c>
      <c r="BP83" s="110">
        <v>9</v>
      </c>
      <c r="BQ83" s="110">
        <v>1144.7999999999997</v>
      </c>
      <c r="BR83" s="110">
        <v>9</v>
      </c>
      <c r="BS83" s="110">
        <v>1144.7999999999997</v>
      </c>
      <c r="BT83" s="110">
        <v>9</v>
      </c>
      <c r="BU83" s="110">
        <v>1144.7999999999997</v>
      </c>
      <c r="BV83" s="110">
        <v>5</v>
      </c>
      <c r="BW83" s="110">
        <v>635.99999999999989</v>
      </c>
      <c r="BX83" s="110">
        <v>20</v>
      </c>
      <c r="BY83" s="110">
        <v>2543.9999999999995</v>
      </c>
      <c r="BZ83" s="110">
        <v>24</v>
      </c>
      <c r="CA83" s="110">
        <v>3052.7999999999993</v>
      </c>
      <c r="CB83" s="110">
        <v>22</v>
      </c>
      <c r="CC83" s="110">
        <v>2798.3999999999996</v>
      </c>
      <c r="CD83" s="110">
        <v>26</v>
      </c>
      <c r="CE83" s="110">
        <v>3307.1999999999994</v>
      </c>
      <c r="CF83" s="110">
        <v>8</v>
      </c>
      <c r="CG83" s="110">
        <v>1017.5999999999998</v>
      </c>
      <c r="CH83" s="110">
        <v>8</v>
      </c>
      <c r="CI83" s="110">
        <v>1017.5999999999998</v>
      </c>
      <c r="CJ83" s="110">
        <v>10</v>
      </c>
      <c r="CK83" s="110">
        <v>1271.9999999999998</v>
      </c>
      <c r="CL83" s="110">
        <v>10</v>
      </c>
      <c r="CM83" s="110">
        <v>1271.9999999999998</v>
      </c>
      <c r="CN83" s="110">
        <v>6</v>
      </c>
      <c r="CO83" s="110">
        <v>763.19999999999982</v>
      </c>
      <c r="CP83" s="110">
        <v>5</v>
      </c>
      <c r="CQ83" s="110">
        <v>635.99999999999989</v>
      </c>
      <c r="CR83" s="110">
        <v>3</v>
      </c>
      <c r="CS83" s="110">
        <v>381.59999999999991</v>
      </c>
      <c r="CT83" s="110">
        <v>4</v>
      </c>
      <c r="CU83" s="110">
        <v>508.7999999999999</v>
      </c>
    </row>
    <row r="84" spans="2:99" x14ac:dyDescent="0.2">
      <c r="C84" s="109" t="s">
        <v>252</v>
      </c>
      <c r="D84" s="110">
        <v>23</v>
      </c>
      <c r="E84" s="110">
        <v>20424</v>
      </c>
      <c r="F84" s="110">
        <v>27</v>
      </c>
      <c r="G84" s="110">
        <v>23976</v>
      </c>
      <c r="H84" s="110">
        <v>26</v>
      </c>
      <c r="I84" s="110">
        <v>23088</v>
      </c>
      <c r="J84" s="110">
        <v>17</v>
      </c>
      <c r="K84" s="110">
        <v>15096</v>
      </c>
      <c r="L84" s="110">
        <v>25</v>
      </c>
      <c r="M84" s="110">
        <v>22200</v>
      </c>
      <c r="N84" s="110">
        <v>26</v>
      </c>
      <c r="O84" s="110">
        <v>23088</v>
      </c>
      <c r="P84" s="110">
        <v>22</v>
      </c>
      <c r="Q84" s="110">
        <v>19536</v>
      </c>
      <c r="R84" s="110">
        <v>21</v>
      </c>
      <c r="S84" s="110">
        <v>18648</v>
      </c>
      <c r="T84" s="110">
        <v>12</v>
      </c>
      <c r="U84" s="110">
        <v>10656</v>
      </c>
      <c r="V84" s="110">
        <v>11</v>
      </c>
      <c r="W84" s="110">
        <v>9768</v>
      </c>
      <c r="X84" s="110">
        <v>15</v>
      </c>
      <c r="Y84" s="110">
        <v>13320</v>
      </c>
      <c r="Z84" s="110">
        <v>18</v>
      </c>
      <c r="AA84" s="110">
        <v>15984</v>
      </c>
      <c r="AB84" s="110">
        <v>12</v>
      </c>
      <c r="AC84" s="110">
        <v>10656</v>
      </c>
      <c r="AD84" s="110">
        <v>8</v>
      </c>
      <c r="AE84" s="110">
        <v>7104</v>
      </c>
      <c r="AF84" s="110">
        <v>12</v>
      </c>
      <c r="AG84" s="110">
        <v>10656</v>
      </c>
      <c r="AH84" s="110">
        <v>10</v>
      </c>
      <c r="AI84" s="110">
        <v>8880</v>
      </c>
      <c r="AJ84" s="110">
        <v>25</v>
      </c>
      <c r="AK84" s="110">
        <v>22200</v>
      </c>
      <c r="AL84" s="110">
        <v>19</v>
      </c>
      <c r="AM84" s="110">
        <v>16872</v>
      </c>
      <c r="AN84" s="110">
        <v>22</v>
      </c>
      <c r="AO84" s="110">
        <v>19536</v>
      </c>
      <c r="AP84" s="110">
        <v>20</v>
      </c>
      <c r="AQ84" s="110">
        <v>17760</v>
      </c>
      <c r="AR84" s="110">
        <v>35</v>
      </c>
      <c r="AS84" s="110">
        <v>31080</v>
      </c>
      <c r="AT84" s="110">
        <v>38</v>
      </c>
      <c r="AU84" s="110">
        <v>33744</v>
      </c>
      <c r="AV84" s="110">
        <v>22</v>
      </c>
      <c r="AW84" s="110">
        <v>19536</v>
      </c>
      <c r="AX84" s="110">
        <v>30</v>
      </c>
      <c r="AY84" s="110">
        <v>26640</v>
      </c>
      <c r="AZ84" s="110">
        <v>19</v>
      </c>
      <c r="BA84" s="110">
        <v>16872</v>
      </c>
      <c r="BB84" s="110">
        <v>13</v>
      </c>
      <c r="BC84" s="110">
        <v>11544</v>
      </c>
      <c r="BD84" s="110">
        <v>17</v>
      </c>
      <c r="BE84" s="110">
        <v>15096</v>
      </c>
      <c r="BF84" s="110">
        <v>12</v>
      </c>
      <c r="BG84" s="110">
        <v>10656</v>
      </c>
      <c r="BH84" s="110">
        <v>7</v>
      </c>
      <c r="BI84" s="110">
        <v>6216</v>
      </c>
      <c r="BJ84" s="110">
        <v>5</v>
      </c>
      <c r="BK84" s="110">
        <v>4440</v>
      </c>
      <c r="BL84" s="110">
        <v>6</v>
      </c>
      <c r="BM84" s="110">
        <v>5328</v>
      </c>
      <c r="BN84" s="110">
        <v>5</v>
      </c>
      <c r="BO84" s="110">
        <v>4440</v>
      </c>
      <c r="BP84" s="110">
        <v>8</v>
      </c>
      <c r="BQ84" s="110">
        <v>7104</v>
      </c>
      <c r="BR84" s="110">
        <v>8</v>
      </c>
      <c r="BS84" s="110">
        <v>7104</v>
      </c>
      <c r="BT84" s="110">
        <v>8</v>
      </c>
      <c r="BU84" s="110">
        <v>7104</v>
      </c>
      <c r="BV84" s="110">
        <v>4</v>
      </c>
      <c r="BW84" s="110">
        <v>3552</v>
      </c>
      <c r="BX84" s="110">
        <v>16</v>
      </c>
      <c r="BY84" s="110">
        <v>14208</v>
      </c>
      <c r="BZ84" s="110">
        <v>24</v>
      </c>
      <c r="CA84" s="110">
        <v>21312</v>
      </c>
      <c r="CB84" s="110">
        <v>20</v>
      </c>
      <c r="CC84" s="110">
        <v>17760</v>
      </c>
      <c r="CD84" s="110">
        <v>25</v>
      </c>
      <c r="CE84" s="110">
        <v>22200</v>
      </c>
      <c r="CF84" s="110">
        <v>8</v>
      </c>
      <c r="CG84" s="110">
        <v>7104</v>
      </c>
      <c r="CH84" s="110">
        <v>8</v>
      </c>
      <c r="CI84" s="110">
        <v>7104</v>
      </c>
      <c r="CJ84" s="110">
        <v>9</v>
      </c>
      <c r="CK84" s="110">
        <v>7992</v>
      </c>
      <c r="CL84" s="110">
        <v>8</v>
      </c>
      <c r="CM84" s="110">
        <v>7104</v>
      </c>
      <c r="CN84" s="110">
        <v>6</v>
      </c>
      <c r="CO84" s="110">
        <v>5328</v>
      </c>
      <c r="CP84" s="110">
        <v>5</v>
      </c>
      <c r="CQ84" s="110">
        <v>4440</v>
      </c>
      <c r="CR84" s="110">
        <v>3</v>
      </c>
      <c r="CS84" s="110">
        <v>2664</v>
      </c>
      <c r="CT84" s="110">
        <v>4</v>
      </c>
      <c r="CU84" s="110">
        <v>3552</v>
      </c>
    </row>
    <row r="85" spans="2:99" x14ac:dyDescent="0.2">
      <c r="C85" s="109" t="s">
        <v>253</v>
      </c>
      <c r="D85" s="110">
        <v>25</v>
      </c>
      <c r="E85" s="110">
        <v>16350</v>
      </c>
      <c r="F85" s="110">
        <v>27</v>
      </c>
      <c r="G85" s="110">
        <v>17658</v>
      </c>
      <c r="H85" s="110">
        <v>29</v>
      </c>
      <c r="I85" s="110">
        <v>18966</v>
      </c>
      <c r="J85" s="110">
        <v>17</v>
      </c>
      <c r="K85" s="110">
        <v>11118</v>
      </c>
      <c r="L85" s="110">
        <v>28</v>
      </c>
      <c r="M85" s="110">
        <v>18312</v>
      </c>
      <c r="N85" s="110">
        <v>28</v>
      </c>
      <c r="O85" s="110">
        <v>18312</v>
      </c>
      <c r="P85" s="110">
        <v>20</v>
      </c>
      <c r="Q85" s="110">
        <v>13080</v>
      </c>
      <c r="R85" s="110">
        <v>24</v>
      </c>
      <c r="S85" s="110">
        <v>15696</v>
      </c>
      <c r="T85" s="110">
        <v>12</v>
      </c>
      <c r="U85" s="110">
        <v>7848</v>
      </c>
      <c r="V85" s="110">
        <v>11</v>
      </c>
      <c r="W85" s="110">
        <v>7194</v>
      </c>
      <c r="X85" s="110">
        <v>15</v>
      </c>
      <c r="Y85" s="110">
        <v>9810</v>
      </c>
      <c r="Z85" s="110">
        <v>18</v>
      </c>
      <c r="AA85" s="110">
        <v>11772</v>
      </c>
      <c r="AB85" s="110">
        <v>13</v>
      </c>
      <c r="AC85" s="110">
        <v>8502</v>
      </c>
      <c r="AD85" s="110">
        <v>9</v>
      </c>
      <c r="AE85" s="110">
        <v>5886</v>
      </c>
      <c r="AF85" s="110">
        <v>12</v>
      </c>
      <c r="AG85" s="110">
        <v>7848</v>
      </c>
      <c r="AH85" s="110">
        <v>11</v>
      </c>
      <c r="AI85" s="110">
        <v>7194</v>
      </c>
      <c r="AJ85" s="110">
        <v>27</v>
      </c>
      <c r="AK85" s="110">
        <v>17658</v>
      </c>
      <c r="AL85" s="110">
        <v>17</v>
      </c>
      <c r="AM85" s="110">
        <v>11118</v>
      </c>
      <c r="AN85" s="110">
        <v>22</v>
      </c>
      <c r="AO85" s="110">
        <v>14388</v>
      </c>
      <c r="AP85" s="110">
        <v>22</v>
      </c>
      <c r="AQ85" s="110">
        <v>14388</v>
      </c>
      <c r="AR85" s="110">
        <v>40</v>
      </c>
      <c r="AS85" s="110">
        <v>26160</v>
      </c>
      <c r="AT85" s="110">
        <v>41</v>
      </c>
      <c r="AU85" s="110">
        <v>26814</v>
      </c>
      <c r="AV85" s="110">
        <v>24</v>
      </c>
      <c r="AW85" s="110">
        <v>15696</v>
      </c>
      <c r="AX85" s="110">
        <v>29</v>
      </c>
      <c r="AY85" s="110">
        <v>18966</v>
      </c>
      <c r="AZ85" s="110">
        <v>18</v>
      </c>
      <c r="BA85" s="110">
        <v>11772</v>
      </c>
      <c r="BB85" s="110">
        <v>13</v>
      </c>
      <c r="BC85" s="110">
        <v>8502</v>
      </c>
      <c r="BD85" s="110">
        <v>17</v>
      </c>
      <c r="BE85" s="110">
        <v>11118</v>
      </c>
      <c r="BF85" s="110">
        <v>13</v>
      </c>
      <c r="BG85" s="110">
        <v>8502</v>
      </c>
      <c r="BH85" s="110">
        <v>9</v>
      </c>
      <c r="BI85" s="110">
        <v>5886</v>
      </c>
      <c r="BJ85" s="110">
        <v>4</v>
      </c>
      <c r="BK85" s="110">
        <v>2616</v>
      </c>
      <c r="BL85" s="110">
        <v>7</v>
      </c>
      <c r="BM85" s="110">
        <v>4578</v>
      </c>
      <c r="BN85" s="110">
        <v>6</v>
      </c>
      <c r="BO85" s="110">
        <v>3924</v>
      </c>
      <c r="BP85" s="110">
        <v>7</v>
      </c>
      <c r="BQ85" s="110">
        <v>4578</v>
      </c>
      <c r="BR85" s="110">
        <v>8</v>
      </c>
      <c r="BS85" s="110">
        <v>5232</v>
      </c>
      <c r="BT85" s="110">
        <v>8</v>
      </c>
      <c r="BU85" s="110">
        <v>5232</v>
      </c>
      <c r="BV85" s="110">
        <v>4</v>
      </c>
      <c r="BW85" s="110">
        <v>2616</v>
      </c>
      <c r="BX85" s="110">
        <v>16</v>
      </c>
      <c r="BY85" s="110">
        <v>10464</v>
      </c>
      <c r="BZ85" s="110">
        <v>25</v>
      </c>
      <c r="CA85" s="110">
        <v>16350</v>
      </c>
      <c r="CB85" s="110">
        <v>18</v>
      </c>
      <c r="CC85" s="110">
        <v>11772</v>
      </c>
      <c r="CD85" s="110">
        <v>24</v>
      </c>
      <c r="CE85" s="110">
        <v>15696</v>
      </c>
      <c r="CF85" s="110">
        <v>9</v>
      </c>
      <c r="CG85" s="110">
        <v>5886</v>
      </c>
      <c r="CH85" s="110">
        <v>8</v>
      </c>
      <c r="CI85" s="110">
        <v>5232</v>
      </c>
      <c r="CJ85" s="110">
        <v>9</v>
      </c>
      <c r="CK85" s="110">
        <v>5886</v>
      </c>
      <c r="CL85" s="110">
        <v>9</v>
      </c>
      <c r="CM85" s="110">
        <v>5886</v>
      </c>
      <c r="CN85" s="110">
        <v>6</v>
      </c>
      <c r="CO85" s="110">
        <v>3924</v>
      </c>
      <c r="CP85" s="110">
        <v>5</v>
      </c>
      <c r="CQ85" s="110">
        <v>3270</v>
      </c>
      <c r="CR85" s="110">
        <v>3</v>
      </c>
      <c r="CS85" s="110">
        <v>1962</v>
      </c>
      <c r="CT85" s="110">
        <v>4</v>
      </c>
      <c r="CU85" s="110">
        <v>2616</v>
      </c>
    </row>
    <row r="86" spans="2:99" x14ac:dyDescent="0.2">
      <c r="C86" s="109" t="s">
        <v>254</v>
      </c>
      <c r="D86" s="110">
        <v>27</v>
      </c>
      <c r="E86" s="110">
        <v>10270.799999999999</v>
      </c>
      <c r="F86" s="110">
        <v>27</v>
      </c>
      <c r="G86" s="110">
        <v>10270.799999999999</v>
      </c>
      <c r="H86" s="110">
        <v>33</v>
      </c>
      <c r="I86" s="110">
        <v>12553.199999999999</v>
      </c>
      <c r="J86" s="110">
        <v>18</v>
      </c>
      <c r="K86" s="110">
        <v>6847.2</v>
      </c>
      <c r="L86" s="110">
        <v>30</v>
      </c>
      <c r="M86" s="110">
        <v>11412</v>
      </c>
      <c r="N86" s="110">
        <v>32</v>
      </c>
      <c r="O86" s="110">
        <v>12172.8</v>
      </c>
      <c r="P86" s="110">
        <v>22</v>
      </c>
      <c r="Q86" s="110">
        <v>8368.7999999999993</v>
      </c>
      <c r="R86" s="110">
        <v>23</v>
      </c>
      <c r="S86" s="110">
        <v>8749.1999999999989</v>
      </c>
      <c r="T86" s="110">
        <v>11</v>
      </c>
      <c r="U86" s="110">
        <v>4184.3999999999996</v>
      </c>
      <c r="V86" s="110">
        <v>13</v>
      </c>
      <c r="W86" s="110">
        <v>4945.2</v>
      </c>
      <c r="X86" s="110">
        <v>15</v>
      </c>
      <c r="Y86" s="110">
        <v>5706</v>
      </c>
      <c r="Z86" s="110">
        <v>18</v>
      </c>
      <c r="AA86" s="110">
        <v>6847.2</v>
      </c>
      <c r="AB86" s="110">
        <v>12</v>
      </c>
      <c r="AC86" s="110">
        <v>4564.7999999999993</v>
      </c>
      <c r="AD86" s="110">
        <v>9</v>
      </c>
      <c r="AE86" s="110">
        <v>3423.6</v>
      </c>
      <c r="AF86" s="110">
        <v>12</v>
      </c>
      <c r="AG86" s="110">
        <v>4564.7999999999993</v>
      </c>
      <c r="AH86" s="110">
        <v>11</v>
      </c>
      <c r="AI86" s="110">
        <v>4184.3999999999996</v>
      </c>
      <c r="AJ86" s="110">
        <v>27</v>
      </c>
      <c r="AK86" s="110">
        <v>10270.799999999999</v>
      </c>
      <c r="AL86" s="110">
        <v>20</v>
      </c>
      <c r="AM86" s="110">
        <v>7608</v>
      </c>
      <c r="AN86" s="110">
        <v>23</v>
      </c>
      <c r="AO86" s="110">
        <v>8749.1999999999989</v>
      </c>
      <c r="AP86" s="110">
        <v>23</v>
      </c>
      <c r="AQ86" s="110">
        <v>8749.1999999999989</v>
      </c>
      <c r="AR86" s="110">
        <v>43</v>
      </c>
      <c r="AS86" s="110">
        <v>16357.199999999999</v>
      </c>
      <c r="AT86" s="110">
        <v>44</v>
      </c>
      <c r="AU86" s="110">
        <v>16737.599999999999</v>
      </c>
      <c r="AV86" s="110">
        <v>29</v>
      </c>
      <c r="AW86" s="110">
        <v>11031.599999999999</v>
      </c>
      <c r="AX86" s="110">
        <v>29</v>
      </c>
      <c r="AY86" s="110">
        <v>11031.599999999999</v>
      </c>
      <c r="AZ86" s="110">
        <v>18</v>
      </c>
      <c r="BA86" s="110">
        <v>6847.2</v>
      </c>
      <c r="BB86" s="110">
        <v>15</v>
      </c>
      <c r="BC86" s="110">
        <v>5706</v>
      </c>
      <c r="BD86" s="110">
        <v>18</v>
      </c>
      <c r="BE86" s="110">
        <v>6847.2</v>
      </c>
      <c r="BF86" s="110">
        <v>14</v>
      </c>
      <c r="BG86" s="110">
        <v>5325.5999999999995</v>
      </c>
      <c r="BH86" s="110">
        <v>8</v>
      </c>
      <c r="BI86" s="110">
        <v>3043.2</v>
      </c>
      <c r="BJ86" s="110">
        <v>5</v>
      </c>
      <c r="BK86" s="110">
        <v>1902</v>
      </c>
      <c r="BL86" s="110">
        <v>7</v>
      </c>
      <c r="BM86" s="110">
        <v>2662.7999999999997</v>
      </c>
      <c r="BN86" s="110">
        <v>6</v>
      </c>
      <c r="BO86" s="110">
        <v>2282.3999999999996</v>
      </c>
      <c r="BP86" s="110">
        <v>8</v>
      </c>
      <c r="BQ86" s="110">
        <v>3043.2</v>
      </c>
      <c r="BR86" s="110">
        <v>9</v>
      </c>
      <c r="BS86" s="110">
        <v>3423.6</v>
      </c>
      <c r="BT86" s="110">
        <v>8</v>
      </c>
      <c r="BU86" s="110">
        <v>3043.2</v>
      </c>
      <c r="BV86" s="110">
        <v>4</v>
      </c>
      <c r="BW86" s="110">
        <v>1521.6</v>
      </c>
      <c r="BX86" s="110">
        <v>18</v>
      </c>
      <c r="BY86" s="110">
        <v>6847.2</v>
      </c>
      <c r="BZ86" s="110">
        <v>27</v>
      </c>
      <c r="CA86" s="110">
        <v>10270.799999999999</v>
      </c>
      <c r="CB86" s="110">
        <v>20</v>
      </c>
      <c r="CC86" s="110">
        <v>7608</v>
      </c>
      <c r="CD86" s="110">
        <v>25</v>
      </c>
      <c r="CE86" s="110">
        <v>9510</v>
      </c>
      <c r="CF86" s="110">
        <v>8</v>
      </c>
      <c r="CG86" s="110">
        <v>3043.2</v>
      </c>
      <c r="CH86" s="110">
        <v>9</v>
      </c>
      <c r="CI86" s="110">
        <v>3423.6</v>
      </c>
      <c r="CJ86" s="110">
        <v>8</v>
      </c>
      <c r="CK86" s="110">
        <v>3043.2</v>
      </c>
      <c r="CL86" s="110">
        <v>8</v>
      </c>
      <c r="CM86" s="110">
        <v>3043.2</v>
      </c>
      <c r="CN86" s="110">
        <v>6</v>
      </c>
      <c r="CO86" s="110">
        <v>2282.3999999999996</v>
      </c>
      <c r="CP86" s="110">
        <v>5</v>
      </c>
      <c r="CQ86" s="110">
        <v>1902</v>
      </c>
      <c r="CR86" s="110">
        <v>3</v>
      </c>
      <c r="CS86" s="110">
        <v>1141.1999999999998</v>
      </c>
      <c r="CT86" s="110">
        <v>4</v>
      </c>
      <c r="CU86" s="110">
        <v>1521.6</v>
      </c>
    </row>
    <row r="87" spans="2:99" x14ac:dyDescent="0.2">
      <c r="B87" s="109" t="s">
        <v>131</v>
      </c>
      <c r="C87" s="109" t="s">
        <v>255</v>
      </c>
      <c r="D87" s="110">
        <v>11</v>
      </c>
      <c r="E87" s="110">
        <v>6204</v>
      </c>
      <c r="F87" s="110">
        <v>10</v>
      </c>
      <c r="G87" s="110">
        <v>5640</v>
      </c>
      <c r="H87" s="110">
        <v>11</v>
      </c>
      <c r="I87" s="110">
        <v>6204</v>
      </c>
      <c r="J87" s="110">
        <v>11</v>
      </c>
      <c r="K87" s="110">
        <v>6204</v>
      </c>
      <c r="L87" s="110">
        <v>8</v>
      </c>
      <c r="M87" s="110">
        <v>4512</v>
      </c>
      <c r="N87" s="110">
        <v>10</v>
      </c>
      <c r="O87" s="110">
        <v>5640</v>
      </c>
      <c r="P87" s="110">
        <v>6</v>
      </c>
      <c r="Q87" s="110">
        <v>3384</v>
      </c>
      <c r="R87" s="110">
        <v>6</v>
      </c>
      <c r="S87" s="110">
        <v>3384</v>
      </c>
      <c r="T87" s="110">
        <v>8</v>
      </c>
      <c r="U87" s="110">
        <v>4512</v>
      </c>
      <c r="V87" s="110">
        <v>7</v>
      </c>
      <c r="W87" s="110">
        <v>3948</v>
      </c>
      <c r="X87" s="110">
        <v>5</v>
      </c>
      <c r="Y87" s="110">
        <v>2820</v>
      </c>
      <c r="Z87" s="110">
        <v>8</v>
      </c>
      <c r="AA87" s="110">
        <v>4512</v>
      </c>
      <c r="AB87" s="110">
        <v>11</v>
      </c>
      <c r="AC87" s="110">
        <v>6204</v>
      </c>
      <c r="AD87" s="110">
        <v>10</v>
      </c>
      <c r="AE87" s="110">
        <v>5640</v>
      </c>
      <c r="AF87" s="110">
        <v>20</v>
      </c>
      <c r="AG87" s="110">
        <v>11280</v>
      </c>
      <c r="AH87" s="110">
        <v>10</v>
      </c>
      <c r="AI87" s="110">
        <v>5640</v>
      </c>
      <c r="AJ87" s="110">
        <v>9</v>
      </c>
      <c r="AK87" s="110">
        <v>5076</v>
      </c>
      <c r="AL87" s="110">
        <v>11</v>
      </c>
      <c r="AM87" s="110">
        <v>6204</v>
      </c>
      <c r="AN87" s="110">
        <v>11</v>
      </c>
      <c r="AO87" s="110">
        <v>6204</v>
      </c>
      <c r="AP87" s="110">
        <v>11</v>
      </c>
      <c r="AQ87" s="110">
        <v>6204</v>
      </c>
      <c r="AR87" s="110">
        <v>23</v>
      </c>
      <c r="AS87" s="110">
        <v>12972</v>
      </c>
      <c r="AT87" s="110">
        <v>20</v>
      </c>
      <c r="AU87" s="110">
        <v>11280</v>
      </c>
      <c r="AV87" s="110">
        <v>25</v>
      </c>
      <c r="AW87" s="110">
        <v>14100</v>
      </c>
      <c r="AX87" s="110">
        <v>25</v>
      </c>
      <c r="AY87" s="110">
        <v>14100</v>
      </c>
      <c r="AZ87" s="110">
        <v>21</v>
      </c>
      <c r="BA87" s="110">
        <v>11844</v>
      </c>
      <c r="BB87" s="110">
        <v>18</v>
      </c>
      <c r="BC87" s="110">
        <v>10152</v>
      </c>
      <c r="BD87" s="110">
        <v>13</v>
      </c>
      <c r="BE87" s="110">
        <v>7332</v>
      </c>
      <c r="BF87" s="110">
        <v>16</v>
      </c>
      <c r="BG87" s="110">
        <v>9024</v>
      </c>
      <c r="BH87" s="110">
        <v>10</v>
      </c>
      <c r="BI87" s="110">
        <v>5640</v>
      </c>
      <c r="BJ87" s="110">
        <v>10</v>
      </c>
      <c r="BK87" s="110">
        <v>5640</v>
      </c>
      <c r="BL87" s="110">
        <v>12</v>
      </c>
      <c r="BM87" s="110">
        <v>6768</v>
      </c>
      <c r="BN87" s="110">
        <v>8</v>
      </c>
      <c r="BO87" s="110">
        <v>4512</v>
      </c>
      <c r="BP87" s="110">
        <v>21</v>
      </c>
      <c r="BQ87" s="110">
        <v>11844</v>
      </c>
      <c r="BR87" s="110">
        <v>19</v>
      </c>
      <c r="BS87" s="110">
        <v>10716</v>
      </c>
      <c r="BT87" s="110">
        <v>25</v>
      </c>
      <c r="BU87" s="110">
        <v>14100</v>
      </c>
      <c r="BV87" s="110">
        <v>17</v>
      </c>
      <c r="BW87" s="110">
        <v>9588</v>
      </c>
      <c r="BX87" s="110">
        <v>10</v>
      </c>
      <c r="BY87" s="110">
        <v>5640</v>
      </c>
      <c r="BZ87" s="110">
        <v>8</v>
      </c>
      <c r="CA87" s="110">
        <v>4512</v>
      </c>
      <c r="CB87" s="110">
        <v>8</v>
      </c>
      <c r="CC87" s="110">
        <v>4512</v>
      </c>
      <c r="CD87" s="110">
        <v>11</v>
      </c>
      <c r="CE87" s="110">
        <v>6204</v>
      </c>
      <c r="CF87" s="110">
        <v>21</v>
      </c>
      <c r="CG87" s="110">
        <v>11844</v>
      </c>
      <c r="CH87" s="110">
        <v>32</v>
      </c>
      <c r="CI87" s="110">
        <v>18048</v>
      </c>
      <c r="CJ87" s="110">
        <v>22</v>
      </c>
      <c r="CK87" s="110">
        <v>12408</v>
      </c>
      <c r="CL87" s="110">
        <v>27</v>
      </c>
      <c r="CM87" s="110">
        <v>15228</v>
      </c>
      <c r="CN87" s="110">
        <v>17</v>
      </c>
      <c r="CO87" s="110">
        <v>9588</v>
      </c>
      <c r="CP87" s="110">
        <v>22</v>
      </c>
      <c r="CQ87" s="110">
        <v>12408</v>
      </c>
      <c r="CR87" s="110">
        <v>22</v>
      </c>
      <c r="CS87" s="110">
        <v>12408</v>
      </c>
      <c r="CT87" s="110">
        <v>21</v>
      </c>
      <c r="CU87" s="110">
        <v>11844</v>
      </c>
    </row>
    <row r="88" spans="2:99" x14ac:dyDescent="0.2">
      <c r="C88" s="109" t="s">
        <v>256</v>
      </c>
      <c r="D88" s="110">
        <v>13</v>
      </c>
      <c r="E88" s="110">
        <v>6318</v>
      </c>
      <c r="F88" s="110">
        <v>11</v>
      </c>
      <c r="G88" s="110">
        <v>5346</v>
      </c>
      <c r="H88" s="110">
        <v>12</v>
      </c>
      <c r="I88" s="110">
        <v>5832</v>
      </c>
      <c r="J88" s="110">
        <v>11</v>
      </c>
      <c r="K88" s="110">
        <v>5346</v>
      </c>
      <c r="L88" s="110">
        <v>7</v>
      </c>
      <c r="M88" s="110">
        <v>3402</v>
      </c>
      <c r="N88" s="110">
        <v>10</v>
      </c>
      <c r="O88" s="110">
        <v>4860</v>
      </c>
      <c r="P88" s="110">
        <v>7</v>
      </c>
      <c r="Q88" s="110">
        <v>3402</v>
      </c>
      <c r="R88" s="110">
        <v>6</v>
      </c>
      <c r="S88" s="110">
        <v>2916</v>
      </c>
      <c r="T88" s="110">
        <v>8</v>
      </c>
      <c r="U88" s="110">
        <v>3888</v>
      </c>
      <c r="V88" s="110">
        <v>6</v>
      </c>
      <c r="W88" s="110">
        <v>2916</v>
      </c>
      <c r="X88" s="110">
        <v>5</v>
      </c>
      <c r="Y88" s="110">
        <v>2430</v>
      </c>
      <c r="Z88" s="110">
        <v>7</v>
      </c>
      <c r="AA88" s="110">
        <v>3402</v>
      </c>
      <c r="AB88" s="110">
        <v>9</v>
      </c>
      <c r="AC88" s="110">
        <v>4374</v>
      </c>
      <c r="AD88" s="110">
        <v>10</v>
      </c>
      <c r="AE88" s="110">
        <v>4860</v>
      </c>
      <c r="AF88" s="110">
        <v>18</v>
      </c>
      <c r="AG88" s="110">
        <v>8748</v>
      </c>
      <c r="AH88" s="110">
        <v>10</v>
      </c>
      <c r="AI88" s="110">
        <v>4860</v>
      </c>
      <c r="AJ88" s="110">
        <v>11</v>
      </c>
      <c r="AK88" s="110">
        <v>5346</v>
      </c>
      <c r="AL88" s="110">
        <v>10</v>
      </c>
      <c r="AM88" s="110">
        <v>4860</v>
      </c>
      <c r="AN88" s="110">
        <v>12</v>
      </c>
      <c r="AO88" s="110">
        <v>5832</v>
      </c>
      <c r="AP88" s="110">
        <v>12</v>
      </c>
      <c r="AQ88" s="110">
        <v>5832</v>
      </c>
      <c r="AR88" s="110">
        <v>22</v>
      </c>
      <c r="AS88" s="110">
        <v>10692</v>
      </c>
      <c r="AT88" s="110">
        <v>25</v>
      </c>
      <c r="AU88" s="110">
        <v>12150</v>
      </c>
      <c r="AV88" s="110">
        <v>22</v>
      </c>
      <c r="AW88" s="110">
        <v>10692</v>
      </c>
      <c r="AX88" s="110">
        <v>25</v>
      </c>
      <c r="AY88" s="110">
        <v>12150</v>
      </c>
      <c r="AZ88" s="110">
        <v>21</v>
      </c>
      <c r="BA88" s="110">
        <v>10206</v>
      </c>
      <c r="BB88" s="110">
        <v>18</v>
      </c>
      <c r="BC88" s="110">
        <v>8748</v>
      </c>
      <c r="BD88" s="110">
        <v>14</v>
      </c>
      <c r="BE88" s="110">
        <v>6804</v>
      </c>
      <c r="BF88" s="110">
        <v>16</v>
      </c>
      <c r="BG88" s="110">
        <v>7776</v>
      </c>
      <c r="BH88" s="110">
        <v>10</v>
      </c>
      <c r="BI88" s="110">
        <v>4860</v>
      </c>
      <c r="BJ88" s="110">
        <v>10</v>
      </c>
      <c r="BK88" s="110">
        <v>4860</v>
      </c>
      <c r="BL88" s="110">
        <v>10</v>
      </c>
      <c r="BM88" s="110">
        <v>4860</v>
      </c>
      <c r="BN88" s="110">
        <v>8</v>
      </c>
      <c r="BO88" s="110">
        <v>3888</v>
      </c>
      <c r="BP88" s="110">
        <v>21</v>
      </c>
      <c r="BQ88" s="110">
        <v>10206</v>
      </c>
      <c r="BR88" s="110">
        <v>19</v>
      </c>
      <c r="BS88" s="110">
        <v>9234</v>
      </c>
      <c r="BT88" s="110">
        <v>22</v>
      </c>
      <c r="BU88" s="110">
        <v>10692</v>
      </c>
      <c r="BV88" s="110">
        <v>18</v>
      </c>
      <c r="BW88" s="110">
        <v>8748</v>
      </c>
      <c r="BX88" s="110">
        <v>10</v>
      </c>
      <c r="BY88" s="110">
        <v>4860</v>
      </c>
      <c r="BZ88" s="110">
        <v>8</v>
      </c>
      <c r="CA88" s="110">
        <v>3888</v>
      </c>
      <c r="CB88" s="110">
        <v>9</v>
      </c>
      <c r="CC88" s="110">
        <v>4374</v>
      </c>
      <c r="CD88" s="110">
        <v>10</v>
      </c>
      <c r="CE88" s="110">
        <v>4860</v>
      </c>
      <c r="CF88" s="110">
        <v>22</v>
      </c>
      <c r="CG88" s="110">
        <v>10692</v>
      </c>
      <c r="CH88" s="110">
        <v>31</v>
      </c>
      <c r="CI88" s="110">
        <v>15066</v>
      </c>
      <c r="CJ88" s="110">
        <v>26</v>
      </c>
      <c r="CK88" s="110">
        <v>12636</v>
      </c>
      <c r="CL88" s="110">
        <v>30</v>
      </c>
      <c r="CM88" s="110">
        <v>14580</v>
      </c>
      <c r="CN88" s="110">
        <v>15</v>
      </c>
      <c r="CO88" s="110">
        <v>7290</v>
      </c>
      <c r="CP88" s="110">
        <v>22</v>
      </c>
      <c r="CQ88" s="110">
        <v>10692</v>
      </c>
      <c r="CR88" s="110">
        <v>21</v>
      </c>
      <c r="CS88" s="110">
        <v>10206</v>
      </c>
      <c r="CT88" s="110">
        <v>19</v>
      </c>
      <c r="CU88" s="110">
        <v>9234</v>
      </c>
    </row>
    <row r="89" spans="2:99" x14ac:dyDescent="0.2">
      <c r="C89" s="109" t="s">
        <v>257</v>
      </c>
      <c r="D89" s="110">
        <v>12</v>
      </c>
      <c r="E89" s="110">
        <v>8337.5999999999985</v>
      </c>
      <c r="F89" s="110">
        <v>10</v>
      </c>
      <c r="G89" s="110">
        <v>6948</v>
      </c>
      <c r="H89" s="110">
        <v>10</v>
      </c>
      <c r="I89" s="110">
        <v>6948</v>
      </c>
      <c r="J89" s="110">
        <v>10</v>
      </c>
      <c r="K89" s="110">
        <v>6948</v>
      </c>
      <c r="L89" s="110">
        <v>7</v>
      </c>
      <c r="M89" s="110">
        <v>4863.5999999999995</v>
      </c>
      <c r="N89" s="110">
        <v>9</v>
      </c>
      <c r="O89" s="110">
        <v>6253.2</v>
      </c>
      <c r="P89" s="110">
        <v>6</v>
      </c>
      <c r="Q89" s="110">
        <v>4168.7999999999993</v>
      </c>
      <c r="R89" s="110">
        <v>6</v>
      </c>
      <c r="S89" s="110">
        <v>4168.7999999999993</v>
      </c>
      <c r="T89" s="110">
        <v>8</v>
      </c>
      <c r="U89" s="110">
        <v>5558.4</v>
      </c>
      <c r="V89" s="110">
        <v>7</v>
      </c>
      <c r="W89" s="110">
        <v>4863.5999999999995</v>
      </c>
      <c r="X89" s="110">
        <v>6</v>
      </c>
      <c r="Y89" s="110">
        <v>4168.7999999999993</v>
      </c>
      <c r="Z89" s="110">
        <v>8</v>
      </c>
      <c r="AA89" s="110">
        <v>5558.4</v>
      </c>
      <c r="AB89" s="110">
        <v>9</v>
      </c>
      <c r="AC89" s="110">
        <v>6253.2</v>
      </c>
      <c r="AD89" s="110">
        <v>11</v>
      </c>
      <c r="AE89" s="110">
        <v>7642.7999999999993</v>
      </c>
      <c r="AF89" s="110">
        <v>19</v>
      </c>
      <c r="AG89" s="110">
        <v>13201.199999999999</v>
      </c>
      <c r="AH89" s="110">
        <v>10</v>
      </c>
      <c r="AI89" s="110">
        <v>6948</v>
      </c>
      <c r="AJ89" s="110">
        <v>11</v>
      </c>
      <c r="AK89" s="110">
        <v>7642.7999999999993</v>
      </c>
      <c r="AL89" s="110">
        <v>11</v>
      </c>
      <c r="AM89" s="110">
        <v>7642.7999999999993</v>
      </c>
      <c r="AN89" s="110">
        <v>11</v>
      </c>
      <c r="AO89" s="110">
        <v>7642.7999999999993</v>
      </c>
      <c r="AP89" s="110">
        <v>13</v>
      </c>
      <c r="AQ89" s="110">
        <v>9032.4</v>
      </c>
      <c r="AR89" s="110">
        <v>23</v>
      </c>
      <c r="AS89" s="110">
        <v>15980.4</v>
      </c>
      <c r="AT89" s="110">
        <v>24</v>
      </c>
      <c r="AU89" s="110">
        <v>16675.199999999997</v>
      </c>
      <c r="AV89" s="110">
        <v>21</v>
      </c>
      <c r="AW89" s="110">
        <v>14590.8</v>
      </c>
      <c r="AX89" s="110">
        <v>24</v>
      </c>
      <c r="AY89" s="110">
        <v>16675.199999999997</v>
      </c>
      <c r="AZ89" s="110">
        <v>20</v>
      </c>
      <c r="BA89" s="110">
        <v>13896</v>
      </c>
      <c r="BB89" s="110">
        <v>18</v>
      </c>
      <c r="BC89" s="110">
        <v>12506.4</v>
      </c>
      <c r="BD89" s="110">
        <v>15</v>
      </c>
      <c r="BE89" s="110">
        <v>10422</v>
      </c>
      <c r="BF89" s="110">
        <v>19</v>
      </c>
      <c r="BG89" s="110">
        <v>13201.199999999999</v>
      </c>
      <c r="BH89" s="110">
        <v>9</v>
      </c>
      <c r="BI89" s="110">
        <v>6253.2</v>
      </c>
      <c r="BJ89" s="110">
        <v>11</v>
      </c>
      <c r="BK89" s="110">
        <v>7642.7999999999993</v>
      </c>
      <c r="BL89" s="110">
        <v>11</v>
      </c>
      <c r="BM89" s="110">
        <v>7642.7999999999993</v>
      </c>
      <c r="BN89" s="110">
        <v>8</v>
      </c>
      <c r="BO89" s="110">
        <v>5558.4</v>
      </c>
      <c r="BP89" s="110">
        <v>19</v>
      </c>
      <c r="BQ89" s="110">
        <v>13201.199999999999</v>
      </c>
      <c r="BR89" s="110">
        <v>17</v>
      </c>
      <c r="BS89" s="110">
        <v>11811.599999999999</v>
      </c>
      <c r="BT89" s="110">
        <v>23</v>
      </c>
      <c r="BU89" s="110">
        <v>15980.4</v>
      </c>
      <c r="BV89" s="110">
        <v>19</v>
      </c>
      <c r="BW89" s="110">
        <v>13201.199999999999</v>
      </c>
      <c r="BX89" s="110">
        <v>8</v>
      </c>
      <c r="BY89" s="110">
        <v>5558.4</v>
      </c>
      <c r="BZ89" s="110">
        <v>8</v>
      </c>
      <c r="CA89" s="110">
        <v>5558.4</v>
      </c>
      <c r="CB89" s="110">
        <v>9</v>
      </c>
      <c r="CC89" s="110">
        <v>6253.2</v>
      </c>
      <c r="CD89" s="110">
        <v>11</v>
      </c>
      <c r="CE89" s="110">
        <v>7642.7999999999993</v>
      </c>
      <c r="CF89" s="110">
        <v>23</v>
      </c>
      <c r="CG89" s="110">
        <v>15980.4</v>
      </c>
      <c r="CH89" s="110">
        <v>29</v>
      </c>
      <c r="CI89" s="110">
        <v>20149.199999999997</v>
      </c>
      <c r="CJ89" s="110">
        <v>23</v>
      </c>
      <c r="CK89" s="110">
        <v>15980.4</v>
      </c>
      <c r="CL89" s="110">
        <v>28</v>
      </c>
      <c r="CM89" s="110">
        <v>19454.399999999998</v>
      </c>
      <c r="CN89" s="110">
        <v>16</v>
      </c>
      <c r="CO89" s="110">
        <v>11116.8</v>
      </c>
      <c r="CP89" s="110">
        <v>22</v>
      </c>
      <c r="CQ89" s="110">
        <v>15285.599999999999</v>
      </c>
      <c r="CR89" s="110">
        <v>21</v>
      </c>
      <c r="CS89" s="110">
        <v>14590.8</v>
      </c>
      <c r="CT89" s="110">
        <v>21</v>
      </c>
      <c r="CU89" s="110">
        <v>14590.8</v>
      </c>
    </row>
    <row r="90" spans="2:99" x14ac:dyDescent="0.2">
      <c r="C90" s="109" t="s">
        <v>258</v>
      </c>
      <c r="D90" s="110">
        <v>11</v>
      </c>
      <c r="E90" s="110">
        <v>6481.1999999999989</v>
      </c>
      <c r="F90" s="110">
        <v>10</v>
      </c>
      <c r="G90" s="110">
        <v>5891.9999999999991</v>
      </c>
      <c r="H90" s="110">
        <v>11</v>
      </c>
      <c r="I90" s="110">
        <v>6481.1999999999989</v>
      </c>
      <c r="J90" s="110">
        <v>11</v>
      </c>
      <c r="K90" s="110">
        <v>6481.1999999999989</v>
      </c>
      <c r="L90" s="110">
        <v>7</v>
      </c>
      <c r="M90" s="110">
        <v>4124.3999999999996</v>
      </c>
      <c r="N90" s="110">
        <v>9</v>
      </c>
      <c r="O90" s="110">
        <v>5302.7999999999993</v>
      </c>
      <c r="P90" s="110">
        <v>7</v>
      </c>
      <c r="Q90" s="110">
        <v>4124.3999999999996</v>
      </c>
      <c r="R90" s="110">
        <v>6</v>
      </c>
      <c r="S90" s="110">
        <v>3535.2</v>
      </c>
      <c r="T90" s="110">
        <v>7</v>
      </c>
      <c r="U90" s="110">
        <v>4124.3999999999996</v>
      </c>
      <c r="V90" s="110">
        <v>6</v>
      </c>
      <c r="W90" s="110">
        <v>3535.2</v>
      </c>
      <c r="X90" s="110">
        <v>5</v>
      </c>
      <c r="Y90" s="110">
        <v>2945.9999999999995</v>
      </c>
      <c r="Z90" s="110">
        <v>8</v>
      </c>
      <c r="AA90" s="110">
        <v>4713.5999999999995</v>
      </c>
      <c r="AB90" s="110">
        <v>10</v>
      </c>
      <c r="AC90" s="110">
        <v>5891.9999999999991</v>
      </c>
      <c r="AD90" s="110">
        <v>11</v>
      </c>
      <c r="AE90" s="110">
        <v>6481.1999999999989</v>
      </c>
      <c r="AF90" s="110">
        <v>18</v>
      </c>
      <c r="AG90" s="110">
        <v>10605.599999999999</v>
      </c>
      <c r="AH90" s="110">
        <v>10</v>
      </c>
      <c r="AI90" s="110">
        <v>5891.9999999999991</v>
      </c>
      <c r="AJ90" s="110">
        <v>11</v>
      </c>
      <c r="AK90" s="110">
        <v>6481.1999999999989</v>
      </c>
      <c r="AL90" s="110">
        <v>9</v>
      </c>
      <c r="AM90" s="110">
        <v>5302.7999999999993</v>
      </c>
      <c r="AN90" s="110">
        <v>11</v>
      </c>
      <c r="AO90" s="110">
        <v>6481.1999999999989</v>
      </c>
      <c r="AP90" s="110">
        <v>13</v>
      </c>
      <c r="AQ90" s="110">
        <v>7659.5999999999995</v>
      </c>
      <c r="AR90" s="110">
        <v>20</v>
      </c>
      <c r="AS90" s="110">
        <v>11783.999999999998</v>
      </c>
      <c r="AT90" s="110">
        <v>22</v>
      </c>
      <c r="AU90" s="110">
        <v>12962.399999999998</v>
      </c>
      <c r="AV90" s="110">
        <v>22</v>
      </c>
      <c r="AW90" s="110">
        <v>12962.399999999998</v>
      </c>
      <c r="AX90" s="110">
        <v>27</v>
      </c>
      <c r="AY90" s="110">
        <v>15908.399999999998</v>
      </c>
      <c r="AZ90" s="110">
        <v>20</v>
      </c>
      <c r="BA90" s="110">
        <v>11783.999999999998</v>
      </c>
      <c r="BB90" s="110">
        <v>18</v>
      </c>
      <c r="BC90" s="110">
        <v>10605.599999999999</v>
      </c>
      <c r="BD90" s="110">
        <v>16</v>
      </c>
      <c r="BE90" s="110">
        <v>9427.1999999999989</v>
      </c>
      <c r="BF90" s="110">
        <v>19</v>
      </c>
      <c r="BG90" s="110">
        <v>11194.8</v>
      </c>
      <c r="BH90" s="110">
        <v>9</v>
      </c>
      <c r="BI90" s="110">
        <v>5302.7999999999993</v>
      </c>
      <c r="BJ90" s="110">
        <v>10</v>
      </c>
      <c r="BK90" s="110">
        <v>5891.9999999999991</v>
      </c>
      <c r="BL90" s="110">
        <v>11</v>
      </c>
      <c r="BM90" s="110">
        <v>6481.1999999999989</v>
      </c>
      <c r="BN90" s="110">
        <v>9</v>
      </c>
      <c r="BO90" s="110">
        <v>5302.7999999999993</v>
      </c>
      <c r="BP90" s="110">
        <v>20</v>
      </c>
      <c r="BQ90" s="110">
        <v>11783.999999999998</v>
      </c>
      <c r="BR90" s="110">
        <v>17</v>
      </c>
      <c r="BS90" s="110">
        <v>10016.4</v>
      </c>
      <c r="BT90" s="110">
        <v>26</v>
      </c>
      <c r="BU90" s="110">
        <v>15319.199999999999</v>
      </c>
      <c r="BV90" s="110">
        <v>17</v>
      </c>
      <c r="BW90" s="110">
        <v>10016.4</v>
      </c>
      <c r="BX90" s="110">
        <v>10</v>
      </c>
      <c r="BY90" s="110">
        <v>5891.9999999999991</v>
      </c>
      <c r="BZ90" s="110">
        <v>8</v>
      </c>
      <c r="CA90" s="110">
        <v>4713.5999999999995</v>
      </c>
      <c r="CB90" s="110">
        <v>9</v>
      </c>
      <c r="CC90" s="110">
        <v>5302.7999999999993</v>
      </c>
      <c r="CD90" s="110">
        <v>10</v>
      </c>
      <c r="CE90" s="110">
        <v>5891.9999999999991</v>
      </c>
      <c r="CF90" s="110">
        <v>20</v>
      </c>
      <c r="CG90" s="110">
        <v>11783.999999999998</v>
      </c>
      <c r="CH90" s="110">
        <v>30</v>
      </c>
      <c r="CI90" s="110">
        <v>17675.999999999996</v>
      </c>
      <c r="CJ90" s="110">
        <v>26</v>
      </c>
      <c r="CK90" s="110">
        <v>15319.199999999999</v>
      </c>
      <c r="CL90" s="110">
        <v>32</v>
      </c>
      <c r="CM90" s="110">
        <v>18854.399999999998</v>
      </c>
      <c r="CN90" s="110">
        <v>16</v>
      </c>
      <c r="CO90" s="110">
        <v>9427.1999999999989</v>
      </c>
      <c r="CP90" s="110">
        <v>24</v>
      </c>
      <c r="CQ90" s="110">
        <v>14140.8</v>
      </c>
      <c r="CR90" s="110">
        <v>18</v>
      </c>
      <c r="CS90" s="110">
        <v>10605.599999999999</v>
      </c>
      <c r="CT90" s="110">
        <v>20</v>
      </c>
      <c r="CU90" s="110">
        <v>11783.999999999998</v>
      </c>
    </row>
    <row r="91" spans="2:99" x14ac:dyDescent="0.2">
      <c r="C91" s="109" t="s">
        <v>259</v>
      </c>
      <c r="D91" s="110">
        <v>11</v>
      </c>
      <c r="E91" s="110">
        <v>7022.4</v>
      </c>
      <c r="F91" s="110">
        <v>10</v>
      </c>
      <c r="G91" s="110">
        <v>6384</v>
      </c>
      <c r="H91" s="110">
        <v>12</v>
      </c>
      <c r="I91" s="110">
        <v>7660.7999999999993</v>
      </c>
      <c r="J91" s="110">
        <v>12</v>
      </c>
      <c r="K91" s="110">
        <v>7660.7999999999993</v>
      </c>
      <c r="L91" s="110">
        <v>8</v>
      </c>
      <c r="M91" s="110">
        <v>5107.2</v>
      </c>
      <c r="N91" s="110">
        <v>8</v>
      </c>
      <c r="O91" s="110">
        <v>5107.2</v>
      </c>
      <c r="P91" s="110">
        <v>7</v>
      </c>
      <c r="Q91" s="110">
        <v>4468.8</v>
      </c>
      <c r="R91" s="110">
        <v>7</v>
      </c>
      <c r="S91" s="110">
        <v>4468.8</v>
      </c>
      <c r="T91" s="110">
        <v>7</v>
      </c>
      <c r="U91" s="110">
        <v>4468.8</v>
      </c>
      <c r="V91" s="110">
        <v>7</v>
      </c>
      <c r="W91" s="110">
        <v>4468.8</v>
      </c>
      <c r="X91" s="110">
        <v>5</v>
      </c>
      <c r="Y91" s="110">
        <v>3192</v>
      </c>
      <c r="Z91" s="110">
        <v>7</v>
      </c>
      <c r="AA91" s="110">
        <v>4468.8</v>
      </c>
      <c r="AB91" s="110">
        <v>9</v>
      </c>
      <c r="AC91" s="110">
        <v>5745.5999999999995</v>
      </c>
      <c r="AD91" s="110">
        <v>10</v>
      </c>
      <c r="AE91" s="110">
        <v>6384</v>
      </c>
      <c r="AF91" s="110">
        <v>20</v>
      </c>
      <c r="AG91" s="110">
        <v>12768</v>
      </c>
      <c r="AH91" s="110">
        <v>9</v>
      </c>
      <c r="AI91" s="110">
        <v>5745.5999999999995</v>
      </c>
      <c r="AJ91" s="110">
        <v>10</v>
      </c>
      <c r="AK91" s="110">
        <v>6384</v>
      </c>
      <c r="AL91" s="110">
        <v>10</v>
      </c>
      <c r="AM91" s="110">
        <v>6384</v>
      </c>
      <c r="AN91" s="110">
        <v>11</v>
      </c>
      <c r="AO91" s="110">
        <v>7022.4</v>
      </c>
      <c r="AP91" s="110">
        <v>12</v>
      </c>
      <c r="AQ91" s="110">
        <v>7660.7999999999993</v>
      </c>
      <c r="AR91" s="110">
        <v>21</v>
      </c>
      <c r="AS91" s="110">
        <v>13406.4</v>
      </c>
      <c r="AT91" s="110">
        <v>24</v>
      </c>
      <c r="AU91" s="110">
        <v>15321.599999999999</v>
      </c>
      <c r="AV91" s="110">
        <v>22</v>
      </c>
      <c r="AW91" s="110">
        <v>14044.8</v>
      </c>
      <c r="AX91" s="110">
        <v>26</v>
      </c>
      <c r="AY91" s="110">
        <v>16598.399999999998</v>
      </c>
      <c r="AZ91" s="110">
        <v>21</v>
      </c>
      <c r="BA91" s="110">
        <v>13406.4</v>
      </c>
      <c r="BB91" s="110">
        <v>18</v>
      </c>
      <c r="BC91" s="110">
        <v>11491.199999999999</v>
      </c>
      <c r="BD91" s="110">
        <v>13</v>
      </c>
      <c r="BE91" s="110">
        <v>8299.1999999999989</v>
      </c>
      <c r="BF91" s="110">
        <v>18</v>
      </c>
      <c r="BG91" s="110">
        <v>11491.199999999999</v>
      </c>
      <c r="BH91" s="110">
        <v>9</v>
      </c>
      <c r="BI91" s="110">
        <v>5745.5999999999995</v>
      </c>
      <c r="BJ91" s="110">
        <v>12</v>
      </c>
      <c r="BK91" s="110">
        <v>7660.7999999999993</v>
      </c>
      <c r="BL91" s="110">
        <v>10</v>
      </c>
      <c r="BM91" s="110">
        <v>6384</v>
      </c>
      <c r="BN91" s="110">
        <v>8</v>
      </c>
      <c r="BO91" s="110">
        <v>5107.2</v>
      </c>
      <c r="BP91" s="110">
        <v>19</v>
      </c>
      <c r="BQ91" s="110">
        <v>12129.6</v>
      </c>
      <c r="BR91" s="110">
        <v>16</v>
      </c>
      <c r="BS91" s="110">
        <v>10214.4</v>
      </c>
      <c r="BT91" s="110">
        <v>24</v>
      </c>
      <c r="BU91" s="110">
        <v>15321.599999999999</v>
      </c>
      <c r="BV91" s="110">
        <v>19</v>
      </c>
      <c r="BW91" s="110">
        <v>12129.6</v>
      </c>
      <c r="BX91" s="110">
        <v>10</v>
      </c>
      <c r="BY91" s="110">
        <v>6384</v>
      </c>
      <c r="BZ91" s="110">
        <v>8</v>
      </c>
      <c r="CA91" s="110">
        <v>5107.2</v>
      </c>
      <c r="CB91" s="110">
        <v>8</v>
      </c>
      <c r="CC91" s="110">
        <v>5107.2</v>
      </c>
      <c r="CD91" s="110">
        <v>11</v>
      </c>
      <c r="CE91" s="110">
        <v>7022.4</v>
      </c>
      <c r="CF91" s="110">
        <v>23</v>
      </c>
      <c r="CG91" s="110">
        <v>14683.199999999999</v>
      </c>
      <c r="CH91" s="110">
        <v>28</v>
      </c>
      <c r="CI91" s="110">
        <v>17875.2</v>
      </c>
      <c r="CJ91" s="110">
        <v>25</v>
      </c>
      <c r="CK91" s="110">
        <v>15960</v>
      </c>
      <c r="CL91" s="110">
        <v>27</v>
      </c>
      <c r="CM91" s="110">
        <v>17236.8</v>
      </c>
      <c r="CN91" s="110">
        <v>15</v>
      </c>
      <c r="CO91" s="110">
        <v>9576</v>
      </c>
      <c r="CP91" s="110">
        <v>24</v>
      </c>
      <c r="CQ91" s="110">
        <v>15321.599999999999</v>
      </c>
      <c r="CR91" s="110">
        <v>20</v>
      </c>
      <c r="CS91" s="110">
        <v>12768</v>
      </c>
      <c r="CT91" s="110">
        <v>23</v>
      </c>
      <c r="CU91" s="110">
        <v>14683.199999999999</v>
      </c>
    </row>
    <row r="92" spans="2:99" x14ac:dyDescent="0.2">
      <c r="C92" s="109" t="s">
        <v>260</v>
      </c>
      <c r="D92" s="110">
        <v>11</v>
      </c>
      <c r="E92" s="110">
        <v>5491.2</v>
      </c>
      <c r="F92" s="110">
        <v>10</v>
      </c>
      <c r="G92" s="110">
        <v>4992</v>
      </c>
      <c r="H92" s="110">
        <v>10</v>
      </c>
      <c r="I92" s="110">
        <v>4992</v>
      </c>
      <c r="J92" s="110">
        <v>12</v>
      </c>
      <c r="K92" s="110">
        <v>5990.4</v>
      </c>
      <c r="L92" s="110">
        <v>8</v>
      </c>
      <c r="M92" s="110">
        <v>3993.6</v>
      </c>
      <c r="N92" s="110">
        <v>10</v>
      </c>
      <c r="O92" s="110">
        <v>4992</v>
      </c>
      <c r="P92" s="110">
        <v>7</v>
      </c>
      <c r="Q92" s="110">
        <v>3494.4</v>
      </c>
      <c r="R92" s="110">
        <v>7</v>
      </c>
      <c r="S92" s="110">
        <v>3494.4</v>
      </c>
      <c r="T92" s="110">
        <v>8</v>
      </c>
      <c r="U92" s="110">
        <v>3993.6</v>
      </c>
      <c r="V92" s="110">
        <v>6</v>
      </c>
      <c r="W92" s="110">
        <v>2995.2</v>
      </c>
      <c r="X92" s="110">
        <v>5</v>
      </c>
      <c r="Y92" s="110">
        <v>2496</v>
      </c>
      <c r="Z92" s="110">
        <v>8</v>
      </c>
      <c r="AA92" s="110">
        <v>3993.6</v>
      </c>
      <c r="AB92" s="110">
        <v>10</v>
      </c>
      <c r="AC92" s="110">
        <v>4992</v>
      </c>
      <c r="AD92" s="110">
        <v>9</v>
      </c>
      <c r="AE92" s="110">
        <v>4492.8</v>
      </c>
      <c r="AF92" s="110">
        <v>18</v>
      </c>
      <c r="AG92" s="110">
        <v>8985.6</v>
      </c>
      <c r="AH92" s="110">
        <v>10</v>
      </c>
      <c r="AI92" s="110">
        <v>4992</v>
      </c>
      <c r="AJ92" s="110">
        <v>11</v>
      </c>
      <c r="AK92" s="110">
        <v>5491.2</v>
      </c>
      <c r="AL92" s="110">
        <v>11</v>
      </c>
      <c r="AM92" s="110">
        <v>5491.2</v>
      </c>
      <c r="AN92" s="110">
        <v>10</v>
      </c>
      <c r="AO92" s="110">
        <v>4992</v>
      </c>
      <c r="AP92" s="110">
        <v>11</v>
      </c>
      <c r="AQ92" s="110">
        <v>5491.2</v>
      </c>
      <c r="AR92" s="110">
        <v>23</v>
      </c>
      <c r="AS92" s="110">
        <v>11481.6</v>
      </c>
      <c r="AT92" s="110">
        <v>23</v>
      </c>
      <c r="AU92" s="110">
        <v>11481.6</v>
      </c>
      <c r="AV92" s="110">
        <v>21</v>
      </c>
      <c r="AW92" s="110">
        <v>10483.199999999999</v>
      </c>
      <c r="AX92" s="110">
        <v>30</v>
      </c>
      <c r="AY92" s="110">
        <v>14976</v>
      </c>
      <c r="AZ92" s="110">
        <v>21</v>
      </c>
      <c r="BA92" s="110">
        <v>10483.199999999999</v>
      </c>
      <c r="BB92" s="110">
        <v>17</v>
      </c>
      <c r="BC92" s="110">
        <v>8486.4</v>
      </c>
      <c r="BD92" s="110">
        <v>15</v>
      </c>
      <c r="BE92" s="110">
        <v>7488</v>
      </c>
      <c r="BF92" s="110">
        <v>18</v>
      </c>
      <c r="BG92" s="110">
        <v>8985.6</v>
      </c>
      <c r="BH92" s="110">
        <v>10</v>
      </c>
      <c r="BI92" s="110">
        <v>4992</v>
      </c>
      <c r="BJ92" s="110">
        <v>11</v>
      </c>
      <c r="BK92" s="110">
        <v>5491.2</v>
      </c>
      <c r="BL92" s="110">
        <v>10</v>
      </c>
      <c r="BM92" s="110">
        <v>4992</v>
      </c>
      <c r="BN92" s="110">
        <v>8</v>
      </c>
      <c r="BO92" s="110">
        <v>3993.6</v>
      </c>
      <c r="BP92" s="110">
        <v>19</v>
      </c>
      <c r="BQ92" s="110">
        <v>9484.7999999999993</v>
      </c>
      <c r="BR92" s="110">
        <v>19</v>
      </c>
      <c r="BS92" s="110">
        <v>9484.7999999999993</v>
      </c>
      <c r="BT92" s="110">
        <v>23</v>
      </c>
      <c r="BU92" s="110">
        <v>11481.6</v>
      </c>
      <c r="BV92" s="110">
        <v>19</v>
      </c>
      <c r="BW92" s="110">
        <v>9484.7999999999993</v>
      </c>
      <c r="BX92" s="110">
        <v>8</v>
      </c>
      <c r="BY92" s="110">
        <v>3993.6</v>
      </c>
      <c r="BZ92" s="110">
        <v>9</v>
      </c>
      <c r="CA92" s="110">
        <v>4492.8</v>
      </c>
      <c r="CB92" s="110">
        <v>8</v>
      </c>
      <c r="CC92" s="110">
        <v>3993.6</v>
      </c>
      <c r="CD92" s="110">
        <v>10</v>
      </c>
      <c r="CE92" s="110">
        <v>4992</v>
      </c>
      <c r="CF92" s="110">
        <v>20</v>
      </c>
      <c r="CG92" s="110">
        <v>9984</v>
      </c>
      <c r="CH92" s="110">
        <v>33</v>
      </c>
      <c r="CI92" s="110">
        <v>16473.599999999999</v>
      </c>
      <c r="CJ92" s="110">
        <v>23</v>
      </c>
      <c r="CK92" s="110">
        <v>11481.6</v>
      </c>
      <c r="CL92" s="110">
        <v>27</v>
      </c>
      <c r="CM92" s="110">
        <v>13478.4</v>
      </c>
      <c r="CN92" s="110">
        <v>15</v>
      </c>
      <c r="CO92" s="110">
        <v>7488</v>
      </c>
      <c r="CP92" s="110">
        <v>21</v>
      </c>
      <c r="CQ92" s="110">
        <v>10483.199999999999</v>
      </c>
      <c r="CR92" s="110">
        <v>22</v>
      </c>
      <c r="CS92" s="110">
        <v>10982.4</v>
      </c>
      <c r="CT92" s="110">
        <v>23</v>
      </c>
      <c r="CU92" s="110">
        <v>11481.6</v>
      </c>
    </row>
    <row r="93" spans="2:99" x14ac:dyDescent="0.2">
      <c r="C93" s="109" t="s">
        <v>261</v>
      </c>
      <c r="D93" s="110">
        <v>13</v>
      </c>
      <c r="E93" s="110">
        <v>2262</v>
      </c>
      <c r="F93" s="110">
        <v>11</v>
      </c>
      <c r="G93" s="110">
        <v>1914</v>
      </c>
      <c r="H93" s="110">
        <v>12</v>
      </c>
      <c r="I93" s="110">
        <v>2088</v>
      </c>
      <c r="J93" s="110">
        <v>12</v>
      </c>
      <c r="K93" s="110">
        <v>2088</v>
      </c>
      <c r="L93" s="110">
        <v>7</v>
      </c>
      <c r="M93" s="110">
        <v>1218</v>
      </c>
      <c r="N93" s="110">
        <v>9</v>
      </c>
      <c r="O93" s="110">
        <v>1566</v>
      </c>
      <c r="P93" s="110">
        <v>8</v>
      </c>
      <c r="Q93" s="110">
        <v>1392</v>
      </c>
      <c r="R93" s="110">
        <v>6</v>
      </c>
      <c r="S93" s="110">
        <v>1044</v>
      </c>
      <c r="T93" s="110">
        <v>8</v>
      </c>
      <c r="U93" s="110">
        <v>1392</v>
      </c>
      <c r="V93" s="110">
        <v>7</v>
      </c>
      <c r="W93" s="110">
        <v>1218</v>
      </c>
      <c r="X93" s="110">
        <v>6</v>
      </c>
      <c r="Y93" s="110">
        <v>1044</v>
      </c>
      <c r="Z93" s="110">
        <v>8</v>
      </c>
      <c r="AA93" s="110">
        <v>1392</v>
      </c>
      <c r="AB93" s="110">
        <v>10</v>
      </c>
      <c r="AC93" s="110">
        <v>1740</v>
      </c>
      <c r="AD93" s="110">
        <v>11</v>
      </c>
      <c r="AE93" s="110">
        <v>1914</v>
      </c>
      <c r="AF93" s="110">
        <v>18</v>
      </c>
      <c r="AG93" s="110">
        <v>3132</v>
      </c>
      <c r="AH93" s="110">
        <v>10</v>
      </c>
      <c r="AI93" s="110">
        <v>1740</v>
      </c>
      <c r="AJ93" s="110">
        <v>11</v>
      </c>
      <c r="AK93" s="110">
        <v>1914</v>
      </c>
      <c r="AL93" s="110">
        <v>10</v>
      </c>
      <c r="AM93" s="110">
        <v>1740</v>
      </c>
      <c r="AN93" s="110">
        <v>10</v>
      </c>
      <c r="AO93" s="110">
        <v>1740</v>
      </c>
      <c r="AP93" s="110">
        <v>13</v>
      </c>
      <c r="AQ93" s="110">
        <v>2262</v>
      </c>
      <c r="AR93" s="110">
        <v>22</v>
      </c>
      <c r="AS93" s="110">
        <v>3828</v>
      </c>
      <c r="AT93" s="110">
        <v>25</v>
      </c>
      <c r="AU93" s="110">
        <v>4350</v>
      </c>
      <c r="AV93" s="110">
        <v>24</v>
      </c>
      <c r="AW93" s="110">
        <v>4176</v>
      </c>
      <c r="AX93" s="110">
        <v>31</v>
      </c>
      <c r="AY93" s="110">
        <v>5394</v>
      </c>
      <c r="AZ93" s="110">
        <v>21</v>
      </c>
      <c r="BA93" s="110">
        <v>3654</v>
      </c>
      <c r="BB93" s="110">
        <v>19</v>
      </c>
      <c r="BC93" s="110">
        <v>3306</v>
      </c>
      <c r="BD93" s="110">
        <v>15</v>
      </c>
      <c r="BE93" s="110">
        <v>2610</v>
      </c>
      <c r="BF93" s="110">
        <v>19</v>
      </c>
      <c r="BG93" s="110">
        <v>3306</v>
      </c>
      <c r="BH93" s="110">
        <v>11</v>
      </c>
      <c r="BI93" s="110">
        <v>1914</v>
      </c>
      <c r="BJ93" s="110">
        <v>12</v>
      </c>
      <c r="BK93" s="110">
        <v>2088</v>
      </c>
      <c r="BL93" s="110">
        <v>11</v>
      </c>
      <c r="BM93" s="110">
        <v>1914</v>
      </c>
      <c r="BN93" s="110">
        <v>10</v>
      </c>
      <c r="BO93" s="110">
        <v>1740</v>
      </c>
      <c r="BP93" s="110">
        <v>22</v>
      </c>
      <c r="BQ93" s="110">
        <v>3828</v>
      </c>
      <c r="BR93" s="110">
        <v>18</v>
      </c>
      <c r="BS93" s="110">
        <v>3132</v>
      </c>
      <c r="BT93" s="110">
        <v>26</v>
      </c>
      <c r="BU93" s="110">
        <v>4524</v>
      </c>
      <c r="BV93" s="110">
        <v>21</v>
      </c>
      <c r="BW93" s="110">
        <v>3654</v>
      </c>
      <c r="BX93" s="110">
        <v>9</v>
      </c>
      <c r="BY93" s="110">
        <v>1566</v>
      </c>
      <c r="BZ93" s="110">
        <v>9</v>
      </c>
      <c r="CA93" s="110">
        <v>1566</v>
      </c>
      <c r="CB93" s="110">
        <v>10</v>
      </c>
      <c r="CC93" s="110">
        <v>1740</v>
      </c>
      <c r="CD93" s="110">
        <v>11</v>
      </c>
      <c r="CE93" s="110">
        <v>1914</v>
      </c>
      <c r="CF93" s="110">
        <v>24</v>
      </c>
      <c r="CG93" s="110">
        <v>4176</v>
      </c>
      <c r="CH93" s="110">
        <v>29</v>
      </c>
      <c r="CI93" s="110">
        <v>5046</v>
      </c>
      <c r="CJ93" s="110">
        <v>27</v>
      </c>
      <c r="CK93" s="110">
        <v>4698</v>
      </c>
      <c r="CL93" s="110">
        <v>34</v>
      </c>
      <c r="CM93" s="110">
        <v>5916</v>
      </c>
      <c r="CN93" s="110">
        <v>18</v>
      </c>
      <c r="CO93" s="110">
        <v>3132</v>
      </c>
      <c r="CP93" s="110">
        <v>21</v>
      </c>
      <c r="CQ93" s="110">
        <v>3654</v>
      </c>
      <c r="CR93" s="110">
        <v>21</v>
      </c>
      <c r="CS93" s="110">
        <v>3654</v>
      </c>
      <c r="CT93" s="110">
        <v>22</v>
      </c>
      <c r="CU93" s="110">
        <v>3828</v>
      </c>
    </row>
    <row r="94" spans="2:99" x14ac:dyDescent="0.2">
      <c r="C94" s="109" t="s">
        <v>262</v>
      </c>
      <c r="D94" s="110">
        <v>11</v>
      </c>
      <c r="E94" s="110">
        <v>7867.1999999999989</v>
      </c>
      <c r="F94" s="110">
        <v>10</v>
      </c>
      <c r="G94" s="110">
        <v>7151.9999999999991</v>
      </c>
      <c r="H94" s="110">
        <v>11</v>
      </c>
      <c r="I94" s="110">
        <v>7867.1999999999989</v>
      </c>
      <c r="J94" s="110">
        <v>11</v>
      </c>
      <c r="K94" s="110">
        <v>7867.1999999999989</v>
      </c>
      <c r="L94" s="110">
        <v>8</v>
      </c>
      <c r="M94" s="110">
        <v>5721.5999999999995</v>
      </c>
      <c r="N94" s="110">
        <v>8</v>
      </c>
      <c r="O94" s="110">
        <v>5721.5999999999995</v>
      </c>
      <c r="P94" s="110">
        <v>7</v>
      </c>
      <c r="Q94" s="110">
        <v>5006.3999999999996</v>
      </c>
      <c r="R94" s="110">
        <v>6</v>
      </c>
      <c r="S94" s="110">
        <v>4291.2</v>
      </c>
      <c r="T94" s="110">
        <v>8</v>
      </c>
      <c r="U94" s="110">
        <v>5721.5999999999995</v>
      </c>
      <c r="V94" s="110">
        <v>7</v>
      </c>
      <c r="W94" s="110">
        <v>5006.3999999999996</v>
      </c>
      <c r="X94" s="110">
        <v>5</v>
      </c>
      <c r="Y94" s="110">
        <v>3575.9999999999995</v>
      </c>
      <c r="Z94" s="110">
        <v>7</v>
      </c>
      <c r="AA94" s="110">
        <v>5006.3999999999996</v>
      </c>
      <c r="AB94" s="110">
        <v>10</v>
      </c>
      <c r="AC94" s="110">
        <v>7151.9999999999991</v>
      </c>
      <c r="AD94" s="110">
        <v>10</v>
      </c>
      <c r="AE94" s="110">
        <v>7151.9999999999991</v>
      </c>
      <c r="AF94" s="110">
        <v>18</v>
      </c>
      <c r="AG94" s="110">
        <v>12873.599999999999</v>
      </c>
      <c r="AH94" s="110">
        <v>9</v>
      </c>
      <c r="AI94" s="110">
        <v>6436.7999999999993</v>
      </c>
      <c r="AJ94" s="110">
        <v>10</v>
      </c>
      <c r="AK94" s="110">
        <v>7151.9999999999991</v>
      </c>
      <c r="AL94" s="110">
        <v>11</v>
      </c>
      <c r="AM94" s="110">
        <v>7867.1999999999989</v>
      </c>
      <c r="AN94" s="110">
        <v>11</v>
      </c>
      <c r="AO94" s="110">
        <v>7867.1999999999989</v>
      </c>
      <c r="AP94" s="110">
        <v>12</v>
      </c>
      <c r="AQ94" s="110">
        <v>8582.4</v>
      </c>
      <c r="AR94" s="110">
        <v>22</v>
      </c>
      <c r="AS94" s="110">
        <v>15734.399999999998</v>
      </c>
      <c r="AT94" s="110">
        <v>20</v>
      </c>
      <c r="AU94" s="110">
        <v>14303.999999999998</v>
      </c>
      <c r="AV94" s="110">
        <v>21</v>
      </c>
      <c r="AW94" s="110">
        <v>15019.199999999999</v>
      </c>
      <c r="AX94" s="110">
        <v>27</v>
      </c>
      <c r="AY94" s="110">
        <v>19310.399999999998</v>
      </c>
      <c r="AZ94" s="110">
        <v>19</v>
      </c>
      <c r="BA94" s="110">
        <v>13588.8</v>
      </c>
      <c r="BB94" s="110">
        <v>18</v>
      </c>
      <c r="BC94" s="110">
        <v>12873.599999999999</v>
      </c>
      <c r="BD94" s="110">
        <v>14</v>
      </c>
      <c r="BE94" s="110">
        <v>10012.799999999999</v>
      </c>
      <c r="BF94" s="110">
        <v>18</v>
      </c>
      <c r="BG94" s="110">
        <v>12873.599999999999</v>
      </c>
      <c r="BH94" s="110">
        <v>10</v>
      </c>
      <c r="BI94" s="110">
        <v>7151.9999999999991</v>
      </c>
      <c r="BJ94" s="110">
        <v>11</v>
      </c>
      <c r="BK94" s="110">
        <v>7867.1999999999989</v>
      </c>
      <c r="BL94" s="110">
        <v>10</v>
      </c>
      <c r="BM94" s="110">
        <v>7151.9999999999991</v>
      </c>
      <c r="BN94" s="110">
        <v>10</v>
      </c>
      <c r="BO94" s="110">
        <v>7151.9999999999991</v>
      </c>
      <c r="BP94" s="110">
        <v>20</v>
      </c>
      <c r="BQ94" s="110">
        <v>14303.999999999998</v>
      </c>
      <c r="BR94" s="110">
        <v>16</v>
      </c>
      <c r="BS94" s="110">
        <v>11443.199999999999</v>
      </c>
      <c r="BT94" s="110">
        <v>23</v>
      </c>
      <c r="BU94" s="110">
        <v>16449.599999999999</v>
      </c>
      <c r="BV94" s="110">
        <v>19</v>
      </c>
      <c r="BW94" s="110">
        <v>13588.8</v>
      </c>
      <c r="BX94" s="110">
        <v>9</v>
      </c>
      <c r="BY94" s="110">
        <v>6436.7999999999993</v>
      </c>
      <c r="BZ94" s="110">
        <v>9</v>
      </c>
      <c r="CA94" s="110">
        <v>6436.7999999999993</v>
      </c>
      <c r="CB94" s="110">
        <v>9</v>
      </c>
      <c r="CC94" s="110">
        <v>6436.7999999999993</v>
      </c>
      <c r="CD94" s="110">
        <v>10</v>
      </c>
      <c r="CE94" s="110">
        <v>7151.9999999999991</v>
      </c>
      <c r="CF94" s="110">
        <v>19</v>
      </c>
      <c r="CG94" s="110">
        <v>13588.8</v>
      </c>
      <c r="CH94" s="110">
        <v>29</v>
      </c>
      <c r="CI94" s="110">
        <v>20740.8</v>
      </c>
      <c r="CJ94" s="110">
        <v>23</v>
      </c>
      <c r="CK94" s="110">
        <v>16449.599999999999</v>
      </c>
      <c r="CL94" s="110">
        <v>27</v>
      </c>
      <c r="CM94" s="110">
        <v>19310.399999999998</v>
      </c>
      <c r="CN94" s="110">
        <v>16</v>
      </c>
      <c r="CO94" s="110">
        <v>11443.199999999999</v>
      </c>
      <c r="CP94" s="110">
        <v>21</v>
      </c>
      <c r="CQ94" s="110">
        <v>15019.199999999999</v>
      </c>
      <c r="CR94" s="110">
        <v>18</v>
      </c>
      <c r="CS94" s="110">
        <v>12873.599999999999</v>
      </c>
      <c r="CT94" s="110">
        <v>22</v>
      </c>
      <c r="CU94" s="110">
        <v>15734.399999999998</v>
      </c>
    </row>
    <row r="95" spans="2:99" x14ac:dyDescent="0.2">
      <c r="B95" s="109" t="s">
        <v>132</v>
      </c>
      <c r="C95" s="109" t="s">
        <v>263</v>
      </c>
      <c r="D95" s="110">
        <v>14</v>
      </c>
      <c r="E95" s="110">
        <v>9256.7999999999993</v>
      </c>
      <c r="F95" s="110">
        <v>13</v>
      </c>
      <c r="G95" s="110">
        <v>8595.5999999999985</v>
      </c>
      <c r="H95" s="110">
        <v>18</v>
      </c>
      <c r="I95" s="110">
        <v>11901.599999999999</v>
      </c>
      <c r="J95" s="110">
        <v>18</v>
      </c>
      <c r="K95" s="110">
        <v>11901.599999999999</v>
      </c>
      <c r="L95" s="110">
        <v>24</v>
      </c>
      <c r="M95" s="110">
        <v>15868.8</v>
      </c>
      <c r="N95" s="110">
        <v>35</v>
      </c>
      <c r="O95" s="110">
        <v>23141.999999999996</v>
      </c>
      <c r="P95" s="110">
        <v>38</v>
      </c>
      <c r="Q95" s="110">
        <v>25125.599999999999</v>
      </c>
      <c r="R95" s="110">
        <v>28</v>
      </c>
      <c r="S95" s="110">
        <v>18513.599999999999</v>
      </c>
      <c r="T95" s="110">
        <v>12</v>
      </c>
      <c r="U95" s="110">
        <v>7934.4</v>
      </c>
      <c r="V95" s="110">
        <v>15</v>
      </c>
      <c r="W95" s="110">
        <v>9917.9999999999982</v>
      </c>
      <c r="X95" s="110">
        <v>18</v>
      </c>
      <c r="Y95" s="110">
        <v>11901.599999999999</v>
      </c>
      <c r="Z95" s="110">
        <v>17</v>
      </c>
      <c r="AA95" s="110">
        <v>11240.4</v>
      </c>
      <c r="AB95" s="110">
        <v>7</v>
      </c>
      <c r="AC95" s="110">
        <v>4628.3999999999996</v>
      </c>
      <c r="AD95" s="110">
        <v>6</v>
      </c>
      <c r="AE95" s="110">
        <v>3967.2</v>
      </c>
      <c r="AF95" s="110">
        <v>6</v>
      </c>
      <c r="AG95" s="110">
        <v>3967.2</v>
      </c>
      <c r="AH95" s="110">
        <v>5</v>
      </c>
      <c r="AI95" s="110">
        <v>3305.9999999999995</v>
      </c>
      <c r="AJ95" s="110">
        <v>8</v>
      </c>
      <c r="AK95" s="110">
        <v>5289.5999999999995</v>
      </c>
      <c r="AL95" s="110">
        <v>8</v>
      </c>
      <c r="AM95" s="110">
        <v>5289.5999999999995</v>
      </c>
      <c r="AN95" s="110">
        <v>6</v>
      </c>
      <c r="AO95" s="110">
        <v>3967.2</v>
      </c>
      <c r="AP95" s="110">
        <v>11</v>
      </c>
      <c r="AQ95" s="110">
        <v>7273.1999999999989</v>
      </c>
      <c r="AR95" s="110">
        <v>3</v>
      </c>
      <c r="AS95" s="110">
        <v>1983.6</v>
      </c>
      <c r="AT95" s="110">
        <v>4</v>
      </c>
      <c r="AU95" s="110">
        <v>2644.7999999999997</v>
      </c>
      <c r="AV95" s="110">
        <v>3</v>
      </c>
      <c r="AW95" s="110">
        <v>1983.6</v>
      </c>
      <c r="AX95" s="110">
        <v>3</v>
      </c>
      <c r="AY95" s="110">
        <v>1983.6</v>
      </c>
      <c r="AZ95" s="110">
        <v>12</v>
      </c>
      <c r="BA95" s="110">
        <v>7934.4</v>
      </c>
      <c r="BB95" s="110">
        <v>11</v>
      </c>
      <c r="BC95" s="110">
        <v>7273.1999999999989</v>
      </c>
      <c r="BD95" s="110">
        <v>10</v>
      </c>
      <c r="BE95" s="110">
        <v>6611.9999999999991</v>
      </c>
      <c r="BF95" s="110">
        <v>7</v>
      </c>
      <c r="BG95" s="110">
        <v>4628.3999999999996</v>
      </c>
      <c r="BH95" s="110">
        <v>6</v>
      </c>
      <c r="BI95" s="110">
        <v>3967.2</v>
      </c>
      <c r="BJ95" s="110">
        <v>9</v>
      </c>
      <c r="BK95" s="110">
        <v>5950.7999999999993</v>
      </c>
      <c r="BL95" s="110">
        <v>8</v>
      </c>
      <c r="BM95" s="110">
        <v>5289.5999999999995</v>
      </c>
      <c r="BN95" s="110">
        <v>11</v>
      </c>
      <c r="BO95" s="110">
        <v>7273.1999999999989</v>
      </c>
      <c r="BP95" s="110">
        <v>5</v>
      </c>
      <c r="BQ95" s="110">
        <v>3305.9999999999995</v>
      </c>
      <c r="BR95" s="110">
        <v>4</v>
      </c>
      <c r="BS95" s="110">
        <v>2644.7999999999997</v>
      </c>
      <c r="BT95" s="110">
        <v>4</v>
      </c>
      <c r="BU95" s="110">
        <v>2644.7999999999997</v>
      </c>
      <c r="BV95" s="110">
        <v>3</v>
      </c>
      <c r="BW95" s="110">
        <v>1983.6</v>
      </c>
      <c r="BX95" s="110">
        <v>8</v>
      </c>
      <c r="BY95" s="110">
        <v>5289.5999999999995</v>
      </c>
      <c r="BZ95" s="110">
        <v>8</v>
      </c>
      <c r="CA95" s="110">
        <v>5289.5999999999995</v>
      </c>
      <c r="CB95" s="110">
        <v>11</v>
      </c>
      <c r="CC95" s="110">
        <v>7273.1999999999989</v>
      </c>
      <c r="CD95" s="110">
        <v>13</v>
      </c>
      <c r="CE95" s="110">
        <v>8595.5999999999985</v>
      </c>
      <c r="CF95" s="110">
        <v>4</v>
      </c>
      <c r="CG95" s="110">
        <v>2644.7999999999997</v>
      </c>
      <c r="CH95" s="110">
        <v>4</v>
      </c>
      <c r="CI95" s="110">
        <v>2644.7999999999997</v>
      </c>
      <c r="CJ95" s="110">
        <v>7</v>
      </c>
      <c r="CK95" s="110">
        <v>4628.3999999999996</v>
      </c>
      <c r="CL95" s="110">
        <v>6</v>
      </c>
      <c r="CM95" s="110">
        <v>3967.2</v>
      </c>
      <c r="CN95" s="110">
        <v>7</v>
      </c>
      <c r="CO95" s="110">
        <v>4628.3999999999996</v>
      </c>
      <c r="CP95" s="110">
        <v>12</v>
      </c>
      <c r="CQ95" s="110">
        <v>7934.4</v>
      </c>
      <c r="CR95" s="110">
        <v>8</v>
      </c>
      <c r="CS95" s="110">
        <v>5289.5999999999995</v>
      </c>
      <c r="CT95" s="110">
        <v>10</v>
      </c>
      <c r="CU95" s="110">
        <v>6611.9999999999991</v>
      </c>
    </row>
    <row r="96" spans="2:99" x14ac:dyDescent="0.2">
      <c r="C96" s="109" t="s">
        <v>264</v>
      </c>
      <c r="D96" s="110">
        <v>11</v>
      </c>
      <c r="E96" s="110">
        <v>12289.2</v>
      </c>
      <c r="F96" s="110">
        <v>11</v>
      </c>
      <c r="G96" s="110">
        <v>12289.2</v>
      </c>
      <c r="H96" s="110">
        <v>16</v>
      </c>
      <c r="I96" s="110">
        <v>17875.2</v>
      </c>
      <c r="J96" s="110">
        <v>16</v>
      </c>
      <c r="K96" s="110">
        <v>17875.2</v>
      </c>
      <c r="L96" s="110">
        <v>25</v>
      </c>
      <c r="M96" s="110">
        <v>27930</v>
      </c>
      <c r="N96" s="110">
        <v>32</v>
      </c>
      <c r="O96" s="110">
        <v>35750.400000000001</v>
      </c>
      <c r="P96" s="110">
        <v>42</v>
      </c>
      <c r="Q96" s="110">
        <v>46922.400000000001</v>
      </c>
      <c r="R96" s="110">
        <v>27</v>
      </c>
      <c r="S96" s="110">
        <v>30164.400000000001</v>
      </c>
      <c r="T96" s="110">
        <v>10</v>
      </c>
      <c r="U96" s="110">
        <v>11172</v>
      </c>
      <c r="V96" s="110">
        <v>16</v>
      </c>
      <c r="W96" s="110">
        <v>17875.2</v>
      </c>
      <c r="X96" s="110">
        <v>18</v>
      </c>
      <c r="Y96" s="110">
        <v>20109.600000000002</v>
      </c>
      <c r="Z96" s="110">
        <v>17</v>
      </c>
      <c r="AA96" s="110">
        <v>18992.400000000001</v>
      </c>
      <c r="AB96" s="110">
        <v>6</v>
      </c>
      <c r="AC96" s="110">
        <v>6703.2000000000007</v>
      </c>
      <c r="AD96" s="110">
        <v>5</v>
      </c>
      <c r="AE96" s="110">
        <v>5586</v>
      </c>
      <c r="AF96" s="110">
        <v>7</v>
      </c>
      <c r="AG96" s="110">
        <v>7820.4000000000005</v>
      </c>
      <c r="AH96" s="110">
        <v>5</v>
      </c>
      <c r="AI96" s="110">
        <v>5586</v>
      </c>
      <c r="AJ96" s="110">
        <v>7</v>
      </c>
      <c r="AK96" s="110">
        <v>7820.4000000000005</v>
      </c>
      <c r="AL96" s="110">
        <v>7</v>
      </c>
      <c r="AM96" s="110">
        <v>7820.4000000000005</v>
      </c>
      <c r="AN96" s="110">
        <v>6</v>
      </c>
      <c r="AO96" s="110">
        <v>6703.2000000000007</v>
      </c>
      <c r="AP96" s="110">
        <v>9</v>
      </c>
      <c r="AQ96" s="110">
        <v>10054.800000000001</v>
      </c>
      <c r="AR96" s="110">
        <v>3</v>
      </c>
      <c r="AS96" s="110">
        <v>3351.6000000000004</v>
      </c>
      <c r="AT96" s="110">
        <v>5</v>
      </c>
      <c r="AU96" s="110">
        <v>5586</v>
      </c>
      <c r="AV96" s="110">
        <v>3</v>
      </c>
      <c r="AW96" s="110">
        <v>3351.6000000000004</v>
      </c>
      <c r="AX96" s="110">
        <v>3</v>
      </c>
      <c r="AY96" s="110">
        <v>3351.6000000000004</v>
      </c>
      <c r="AZ96" s="110">
        <v>11</v>
      </c>
      <c r="BA96" s="110">
        <v>12289.2</v>
      </c>
      <c r="BB96" s="110">
        <v>8</v>
      </c>
      <c r="BC96" s="110">
        <v>8937.6</v>
      </c>
      <c r="BD96" s="110">
        <v>8</v>
      </c>
      <c r="BE96" s="110">
        <v>8937.6</v>
      </c>
      <c r="BF96" s="110">
        <v>6</v>
      </c>
      <c r="BG96" s="110">
        <v>6703.2000000000007</v>
      </c>
      <c r="BH96" s="110">
        <v>6</v>
      </c>
      <c r="BI96" s="110">
        <v>6703.2000000000007</v>
      </c>
      <c r="BJ96" s="110">
        <v>8</v>
      </c>
      <c r="BK96" s="110">
        <v>8937.6</v>
      </c>
      <c r="BL96" s="110">
        <v>8</v>
      </c>
      <c r="BM96" s="110">
        <v>8937.6</v>
      </c>
      <c r="BN96" s="110">
        <v>10</v>
      </c>
      <c r="BO96" s="110">
        <v>11172</v>
      </c>
      <c r="BP96" s="110">
        <v>4</v>
      </c>
      <c r="BQ96" s="110">
        <v>4468.8</v>
      </c>
      <c r="BR96" s="110">
        <v>4</v>
      </c>
      <c r="BS96" s="110">
        <v>4468.8</v>
      </c>
      <c r="BT96" s="110">
        <v>4</v>
      </c>
      <c r="BU96" s="110">
        <v>4468.8</v>
      </c>
      <c r="BV96" s="110">
        <v>3</v>
      </c>
      <c r="BW96" s="110">
        <v>3351.6000000000004</v>
      </c>
      <c r="BX96" s="110">
        <v>7</v>
      </c>
      <c r="BY96" s="110">
        <v>7820.4000000000005</v>
      </c>
      <c r="BZ96" s="110">
        <v>8</v>
      </c>
      <c r="CA96" s="110">
        <v>8937.6</v>
      </c>
      <c r="CB96" s="110">
        <v>10</v>
      </c>
      <c r="CC96" s="110">
        <v>11172</v>
      </c>
      <c r="CD96" s="110">
        <v>11</v>
      </c>
      <c r="CE96" s="110">
        <v>12289.2</v>
      </c>
      <c r="CF96" s="110">
        <v>4</v>
      </c>
      <c r="CG96" s="110">
        <v>4468.8</v>
      </c>
      <c r="CH96" s="110">
        <v>4</v>
      </c>
      <c r="CI96" s="110">
        <v>4468.8</v>
      </c>
      <c r="CJ96" s="110">
        <v>7</v>
      </c>
      <c r="CK96" s="110">
        <v>7820.4000000000005</v>
      </c>
      <c r="CL96" s="110">
        <v>5</v>
      </c>
      <c r="CM96" s="110">
        <v>5586</v>
      </c>
      <c r="CN96" s="110">
        <v>6</v>
      </c>
      <c r="CO96" s="110">
        <v>6703.2000000000007</v>
      </c>
      <c r="CP96" s="110">
        <v>13</v>
      </c>
      <c r="CQ96" s="110">
        <v>14523.6</v>
      </c>
      <c r="CR96" s="110">
        <v>8</v>
      </c>
      <c r="CS96" s="110">
        <v>8937.6</v>
      </c>
      <c r="CT96" s="110">
        <v>10</v>
      </c>
      <c r="CU96" s="110">
        <v>11172</v>
      </c>
    </row>
    <row r="97" spans="2:99" x14ac:dyDescent="0.2">
      <c r="C97" s="109" t="s">
        <v>265</v>
      </c>
      <c r="D97" s="110">
        <v>12</v>
      </c>
      <c r="E97" s="110">
        <v>7113.5999999999995</v>
      </c>
      <c r="F97" s="110">
        <v>12</v>
      </c>
      <c r="G97" s="110">
        <v>7113.5999999999995</v>
      </c>
      <c r="H97" s="110">
        <v>18</v>
      </c>
      <c r="I97" s="110">
        <v>10670.4</v>
      </c>
      <c r="J97" s="110">
        <v>19</v>
      </c>
      <c r="K97" s="110">
        <v>11263.199999999999</v>
      </c>
      <c r="L97" s="110">
        <v>23</v>
      </c>
      <c r="M97" s="110">
        <v>13634.4</v>
      </c>
      <c r="N97" s="110">
        <v>35</v>
      </c>
      <c r="O97" s="110">
        <v>20748</v>
      </c>
      <c r="P97" s="110">
        <v>41</v>
      </c>
      <c r="Q97" s="110">
        <v>24304.799999999999</v>
      </c>
      <c r="R97" s="110">
        <v>25</v>
      </c>
      <c r="S97" s="110">
        <v>14819.999999999998</v>
      </c>
      <c r="T97" s="110">
        <v>10</v>
      </c>
      <c r="U97" s="110">
        <v>5928</v>
      </c>
      <c r="V97" s="110">
        <v>15</v>
      </c>
      <c r="W97" s="110">
        <v>8892</v>
      </c>
      <c r="X97" s="110">
        <v>19</v>
      </c>
      <c r="Y97" s="110">
        <v>11263.199999999999</v>
      </c>
      <c r="Z97" s="110">
        <v>19</v>
      </c>
      <c r="AA97" s="110">
        <v>11263.199999999999</v>
      </c>
      <c r="AB97" s="110">
        <v>7</v>
      </c>
      <c r="AC97" s="110">
        <v>4149.5999999999995</v>
      </c>
      <c r="AD97" s="110">
        <v>6</v>
      </c>
      <c r="AE97" s="110">
        <v>3556.7999999999997</v>
      </c>
      <c r="AF97" s="110">
        <v>8</v>
      </c>
      <c r="AG97" s="110">
        <v>4742.3999999999996</v>
      </c>
      <c r="AH97" s="110">
        <v>6</v>
      </c>
      <c r="AI97" s="110">
        <v>3556.7999999999997</v>
      </c>
      <c r="AJ97" s="110">
        <v>8</v>
      </c>
      <c r="AK97" s="110">
        <v>4742.3999999999996</v>
      </c>
      <c r="AL97" s="110">
        <v>8</v>
      </c>
      <c r="AM97" s="110">
        <v>4742.3999999999996</v>
      </c>
      <c r="AN97" s="110">
        <v>6</v>
      </c>
      <c r="AO97" s="110">
        <v>3556.7999999999997</v>
      </c>
      <c r="AP97" s="110">
        <v>11</v>
      </c>
      <c r="AQ97" s="110">
        <v>6520.7999999999993</v>
      </c>
      <c r="AR97" s="110">
        <v>4</v>
      </c>
      <c r="AS97" s="110">
        <v>2371.1999999999998</v>
      </c>
      <c r="AT97" s="110">
        <v>5</v>
      </c>
      <c r="AU97" s="110">
        <v>2964</v>
      </c>
      <c r="AV97" s="110">
        <v>3</v>
      </c>
      <c r="AW97" s="110">
        <v>1778.3999999999999</v>
      </c>
      <c r="AX97" s="110">
        <v>3</v>
      </c>
      <c r="AY97" s="110">
        <v>1778.3999999999999</v>
      </c>
      <c r="AZ97" s="110">
        <v>12</v>
      </c>
      <c r="BA97" s="110">
        <v>7113.5999999999995</v>
      </c>
      <c r="BB97" s="110">
        <v>10</v>
      </c>
      <c r="BC97" s="110">
        <v>5928</v>
      </c>
      <c r="BD97" s="110">
        <v>9</v>
      </c>
      <c r="BE97" s="110">
        <v>5335.2</v>
      </c>
      <c r="BF97" s="110">
        <v>6</v>
      </c>
      <c r="BG97" s="110">
        <v>3556.7999999999997</v>
      </c>
      <c r="BH97" s="110">
        <v>7</v>
      </c>
      <c r="BI97" s="110">
        <v>4149.5999999999995</v>
      </c>
      <c r="BJ97" s="110">
        <v>9</v>
      </c>
      <c r="BK97" s="110">
        <v>5335.2</v>
      </c>
      <c r="BL97" s="110">
        <v>7</v>
      </c>
      <c r="BM97" s="110">
        <v>4149.5999999999995</v>
      </c>
      <c r="BN97" s="110">
        <v>10</v>
      </c>
      <c r="BO97" s="110">
        <v>5928</v>
      </c>
      <c r="BP97" s="110">
        <v>5</v>
      </c>
      <c r="BQ97" s="110">
        <v>2964</v>
      </c>
      <c r="BR97" s="110">
        <v>3</v>
      </c>
      <c r="BS97" s="110">
        <v>1778.3999999999999</v>
      </c>
      <c r="BT97" s="110">
        <v>4</v>
      </c>
      <c r="BU97" s="110">
        <v>2371.1999999999998</v>
      </c>
      <c r="BV97" s="110">
        <v>3</v>
      </c>
      <c r="BW97" s="110">
        <v>1778.3999999999999</v>
      </c>
      <c r="BX97" s="110">
        <v>9</v>
      </c>
      <c r="BY97" s="110">
        <v>5335.2</v>
      </c>
      <c r="BZ97" s="110">
        <v>7</v>
      </c>
      <c r="CA97" s="110">
        <v>4149.5999999999995</v>
      </c>
      <c r="CB97" s="110">
        <v>12</v>
      </c>
      <c r="CC97" s="110">
        <v>7113.5999999999995</v>
      </c>
      <c r="CD97" s="110">
        <v>12</v>
      </c>
      <c r="CE97" s="110">
        <v>7113.5999999999995</v>
      </c>
      <c r="CF97" s="110">
        <v>4</v>
      </c>
      <c r="CG97" s="110">
        <v>2371.1999999999998</v>
      </c>
      <c r="CH97" s="110">
        <v>4</v>
      </c>
      <c r="CI97" s="110">
        <v>2371.1999999999998</v>
      </c>
      <c r="CJ97" s="110">
        <v>7</v>
      </c>
      <c r="CK97" s="110">
        <v>4149.5999999999995</v>
      </c>
      <c r="CL97" s="110">
        <v>7</v>
      </c>
      <c r="CM97" s="110">
        <v>4149.5999999999995</v>
      </c>
      <c r="CN97" s="110">
        <v>8</v>
      </c>
      <c r="CO97" s="110">
        <v>4742.3999999999996</v>
      </c>
      <c r="CP97" s="110">
        <v>13</v>
      </c>
      <c r="CQ97" s="110">
        <v>7706.4</v>
      </c>
      <c r="CR97" s="110">
        <v>8</v>
      </c>
      <c r="CS97" s="110">
        <v>4742.3999999999996</v>
      </c>
      <c r="CT97" s="110">
        <v>9</v>
      </c>
      <c r="CU97" s="110">
        <v>5335.2</v>
      </c>
    </row>
    <row r="98" spans="2:99" x14ac:dyDescent="0.2">
      <c r="C98" s="109" t="s">
        <v>266</v>
      </c>
      <c r="D98" s="110">
        <v>13</v>
      </c>
      <c r="E98" s="110">
        <v>5959.2</v>
      </c>
      <c r="F98" s="110">
        <v>13</v>
      </c>
      <c r="G98" s="110">
        <v>5959.2</v>
      </c>
      <c r="H98" s="110">
        <v>19</v>
      </c>
      <c r="I98" s="110">
        <v>8709.6</v>
      </c>
      <c r="J98" s="110">
        <v>19</v>
      </c>
      <c r="K98" s="110">
        <v>8709.6</v>
      </c>
      <c r="L98" s="110">
        <v>29</v>
      </c>
      <c r="M98" s="110">
        <v>13293.599999999999</v>
      </c>
      <c r="N98" s="110">
        <v>40</v>
      </c>
      <c r="O98" s="110">
        <v>18336</v>
      </c>
      <c r="P98" s="110">
        <v>40</v>
      </c>
      <c r="Q98" s="110">
        <v>18336</v>
      </c>
      <c r="R98" s="110">
        <v>26</v>
      </c>
      <c r="S98" s="110">
        <v>11918.4</v>
      </c>
      <c r="T98" s="110">
        <v>11</v>
      </c>
      <c r="U98" s="110">
        <v>5042.3999999999996</v>
      </c>
      <c r="V98" s="110">
        <v>16</v>
      </c>
      <c r="W98" s="110">
        <v>7334.4</v>
      </c>
      <c r="X98" s="110">
        <v>20</v>
      </c>
      <c r="Y98" s="110">
        <v>9168</v>
      </c>
      <c r="Z98" s="110">
        <v>17</v>
      </c>
      <c r="AA98" s="110">
        <v>7792.7999999999993</v>
      </c>
      <c r="AB98" s="110">
        <v>7</v>
      </c>
      <c r="AC98" s="110">
        <v>3208.7999999999997</v>
      </c>
      <c r="AD98" s="110">
        <v>6</v>
      </c>
      <c r="AE98" s="110">
        <v>2750.3999999999996</v>
      </c>
      <c r="AF98" s="110">
        <v>8</v>
      </c>
      <c r="AG98" s="110">
        <v>3667.2</v>
      </c>
      <c r="AH98" s="110">
        <v>5</v>
      </c>
      <c r="AI98" s="110">
        <v>2292</v>
      </c>
      <c r="AJ98" s="110">
        <v>7</v>
      </c>
      <c r="AK98" s="110">
        <v>3208.7999999999997</v>
      </c>
      <c r="AL98" s="110">
        <v>7</v>
      </c>
      <c r="AM98" s="110">
        <v>3208.7999999999997</v>
      </c>
      <c r="AN98" s="110">
        <v>6</v>
      </c>
      <c r="AO98" s="110">
        <v>2750.3999999999996</v>
      </c>
      <c r="AP98" s="110">
        <v>11</v>
      </c>
      <c r="AQ98" s="110">
        <v>5042.3999999999996</v>
      </c>
      <c r="AR98" s="110">
        <v>4</v>
      </c>
      <c r="AS98" s="110">
        <v>1833.6</v>
      </c>
      <c r="AT98" s="110">
        <v>4</v>
      </c>
      <c r="AU98" s="110">
        <v>1833.6</v>
      </c>
      <c r="AV98" s="110">
        <v>3</v>
      </c>
      <c r="AW98" s="110">
        <v>1375.1999999999998</v>
      </c>
      <c r="AX98" s="110">
        <v>3</v>
      </c>
      <c r="AY98" s="110">
        <v>1375.1999999999998</v>
      </c>
      <c r="AZ98" s="110">
        <v>11</v>
      </c>
      <c r="BA98" s="110">
        <v>5042.3999999999996</v>
      </c>
      <c r="BB98" s="110">
        <v>9</v>
      </c>
      <c r="BC98" s="110">
        <v>4125.5999999999995</v>
      </c>
      <c r="BD98" s="110">
        <v>10</v>
      </c>
      <c r="BE98" s="110">
        <v>4584</v>
      </c>
      <c r="BF98" s="110">
        <v>7</v>
      </c>
      <c r="BG98" s="110">
        <v>3208.7999999999997</v>
      </c>
      <c r="BH98" s="110">
        <v>7</v>
      </c>
      <c r="BI98" s="110">
        <v>3208.7999999999997</v>
      </c>
      <c r="BJ98" s="110">
        <v>10</v>
      </c>
      <c r="BK98" s="110">
        <v>4584</v>
      </c>
      <c r="BL98" s="110">
        <v>8</v>
      </c>
      <c r="BM98" s="110">
        <v>3667.2</v>
      </c>
      <c r="BN98" s="110">
        <v>10</v>
      </c>
      <c r="BO98" s="110">
        <v>4584</v>
      </c>
      <c r="BP98" s="110">
        <v>5</v>
      </c>
      <c r="BQ98" s="110">
        <v>2292</v>
      </c>
      <c r="BR98" s="110">
        <v>4</v>
      </c>
      <c r="BS98" s="110">
        <v>1833.6</v>
      </c>
      <c r="BT98" s="110">
        <v>4</v>
      </c>
      <c r="BU98" s="110">
        <v>1833.6</v>
      </c>
      <c r="BV98" s="110">
        <v>3</v>
      </c>
      <c r="BW98" s="110">
        <v>1375.1999999999998</v>
      </c>
      <c r="BX98" s="110">
        <v>9</v>
      </c>
      <c r="BY98" s="110">
        <v>4125.5999999999995</v>
      </c>
      <c r="BZ98" s="110">
        <v>8</v>
      </c>
      <c r="CA98" s="110">
        <v>3667.2</v>
      </c>
      <c r="CB98" s="110">
        <v>13</v>
      </c>
      <c r="CC98" s="110">
        <v>5959.2</v>
      </c>
      <c r="CD98" s="110">
        <v>11</v>
      </c>
      <c r="CE98" s="110">
        <v>5042.3999999999996</v>
      </c>
      <c r="CF98" s="110">
        <v>4</v>
      </c>
      <c r="CG98" s="110">
        <v>1833.6</v>
      </c>
      <c r="CH98" s="110">
        <v>4</v>
      </c>
      <c r="CI98" s="110">
        <v>1833.6</v>
      </c>
      <c r="CJ98" s="110">
        <v>7</v>
      </c>
      <c r="CK98" s="110">
        <v>3208.7999999999997</v>
      </c>
      <c r="CL98" s="110">
        <v>7</v>
      </c>
      <c r="CM98" s="110">
        <v>3208.7999999999997</v>
      </c>
      <c r="CN98" s="110">
        <v>7</v>
      </c>
      <c r="CO98" s="110">
        <v>3208.7999999999997</v>
      </c>
      <c r="CP98" s="110">
        <v>13</v>
      </c>
      <c r="CQ98" s="110">
        <v>5959.2</v>
      </c>
      <c r="CR98" s="110">
        <v>9</v>
      </c>
      <c r="CS98" s="110">
        <v>4125.5999999999995</v>
      </c>
      <c r="CT98" s="110">
        <v>11</v>
      </c>
      <c r="CU98" s="110">
        <v>5042.3999999999996</v>
      </c>
    </row>
    <row r="99" spans="2:99" x14ac:dyDescent="0.2">
      <c r="C99" s="109" t="s">
        <v>267</v>
      </c>
      <c r="D99" s="110">
        <v>8</v>
      </c>
      <c r="E99" s="110">
        <v>34569.599999999999</v>
      </c>
      <c r="F99" s="110">
        <v>8</v>
      </c>
      <c r="G99" s="110">
        <v>34569.599999999999</v>
      </c>
      <c r="H99" s="110">
        <v>13</v>
      </c>
      <c r="I99" s="110">
        <v>56175.6</v>
      </c>
      <c r="J99" s="110">
        <v>13</v>
      </c>
      <c r="K99" s="110">
        <v>56175.6</v>
      </c>
      <c r="L99" s="110">
        <v>16</v>
      </c>
      <c r="M99" s="110">
        <v>69139.199999999997</v>
      </c>
      <c r="N99" s="110">
        <v>20</v>
      </c>
      <c r="O99" s="110">
        <v>86424</v>
      </c>
      <c r="P99" s="110">
        <v>23</v>
      </c>
      <c r="Q99" s="110">
        <v>99387.599999999991</v>
      </c>
      <c r="R99" s="110">
        <v>15</v>
      </c>
      <c r="S99" s="110">
        <v>64818</v>
      </c>
      <c r="T99" s="110">
        <v>8</v>
      </c>
      <c r="U99" s="110">
        <v>34569.599999999999</v>
      </c>
      <c r="V99" s="110">
        <v>11</v>
      </c>
      <c r="W99" s="110">
        <v>47533.2</v>
      </c>
      <c r="X99" s="110">
        <v>12</v>
      </c>
      <c r="Y99" s="110">
        <v>51854.399999999994</v>
      </c>
      <c r="Z99" s="110">
        <v>13</v>
      </c>
      <c r="AA99" s="110">
        <v>56175.6</v>
      </c>
      <c r="AB99" s="110">
        <v>5</v>
      </c>
      <c r="AC99" s="110">
        <v>21606</v>
      </c>
      <c r="AD99" s="110">
        <v>4</v>
      </c>
      <c r="AE99" s="110">
        <v>17284.8</v>
      </c>
      <c r="AF99" s="110">
        <v>6</v>
      </c>
      <c r="AG99" s="110">
        <v>25927.199999999997</v>
      </c>
      <c r="AH99" s="110">
        <v>4</v>
      </c>
      <c r="AI99" s="110">
        <v>17284.8</v>
      </c>
      <c r="AJ99" s="110">
        <v>5</v>
      </c>
      <c r="AK99" s="110">
        <v>21606</v>
      </c>
      <c r="AL99" s="110">
        <v>5</v>
      </c>
      <c r="AM99" s="110">
        <v>21606</v>
      </c>
      <c r="AN99" s="110">
        <v>4</v>
      </c>
      <c r="AO99" s="110">
        <v>17284.8</v>
      </c>
      <c r="AP99" s="110">
        <v>8</v>
      </c>
      <c r="AQ99" s="110">
        <v>34569.599999999999</v>
      </c>
      <c r="AR99" s="110">
        <v>3</v>
      </c>
      <c r="AS99" s="110">
        <v>12963.599999999999</v>
      </c>
      <c r="AT99" s="110">
        <v>4</v>
      </c>
      <c r="AU99" s="110">
        <v>17284.8</v>
      </c>
      <c r="AV99" s="110">
        <v>2</v>
      </c>
      <c r="AW99" s="110">
        <v>8642.4</v>
      </c>
      <c r="AX99" s="110">
        <v>2</v>
      </c>
      <c r="AY99" s="110">
        <v>8642.4</v>
      </c>
      <c r="AZ99" s="110">
        <v>8</v>
      </c>
      <c r="BA99" s="110">
        <v>34569.599999999999</v>
      </c>
      <c r="BB99" s="110">
        <v>7</v>
      </c>
      <c r="BC99" s="110">
        <v>30248.399999999998</v>
      </c>
      <c r="BD99" s="110">
        <v>7</v>
      </c>
      <c r="BE99" s="110">
        <v>30248.399999999998</v>
      </c>
      <c r="BF99" s="110">
        <v>5</v>
      </c>
      <c r="BG99" s="110">
        <v>21606</v>
      </c>
      <c r="BH99" s="110">
        <v>5</v>
      </c>
      <c r="BI99" s="110">
        <v>21606</v>
      </c>
      <c r="BJ99" s="110">
        <v>6</v>
      </c>
      <c r="BK99" s="110">
        <v>25927.199999999997</v>
      </c>
      <c r="BL99" s="110">
        <v>5</v>
      </c>
      <c r="BM99" s="110">
        <v>21606</v>
      </c>
      <c r="BN99" s="110">
        <v>7</v>
      </c>
      <c r="BO99" s="110">
        <v>30248.399999999998</v>
      </c>
      <c r="BP99" s="110">
        <v>4</v>
      </c>
      <c r="BQ99" s="110">
        <v>17284.8</v>
      </c>
      <c r="BR99" s="110">
        <v>3</v>
      </c>
      <c r="BS99" s="110">
        <v>12963.599999999999</v>
      </c>
      <c r="BT99" s="110">
        <v>3</v>
      </c>
      <c r="BU99" s="110">
        <v>12963.599999999999</v>
      </c>
      <c r="BV99" s="110">
        <v>2</v>
      </c>
      <c r="BW99" s="110">
        <v>8642.4</v>
      </c>
      <c r="BX99" s="110">
        <v>5</v>
      </c>
      <c r="BY99" s="110">
        <v>21606</v>
      </c>
      <c r="BZ99" s="110">
        <v>5</v>
      </c>
      <c r="CA99" s="110">
        <v>21606</v>
      </c>
      <c r="CB99" s="110">
        <v>8</v>
      </c>
      <c r="CC99" s="110">
        <v>34569.599999999999</v>
      </c>
      <c r="CD99" s="110">
        <v>9</v>
      </c>
      <c r="CE99" s="110">
        <v>38890.799999999996</v>
      </c>
      <c r="CF99" s="110">
        <v>3</v>
      </c>
      <c r="CG99" s="110">
        <v>12963.599999999999</v>
      </c>
      <c r="CH99" s="110">
        <v>3</v>
      </c>
      <c r="CI99" s="110">
        <v>12963.599999999999</v>
      </c>
      <c r="CJ99" s="110">
        <v>5</v>
      </c>
      <c r="CK99" s="110">
        <v>21606</v>
      </c>
      <c r="CL99" s="110">
        <v>5</v>
      </c>
      <c r="CM99" s="110">
        <v>21606</v>
      </c>
      <c r="CN99" s="110">
        <v>6</v>
      </c>
      <c r="CO99" s="110">
        <v>25927.199999999997</v>
      </c>
      <c r="CP99" s="110">
        <v>9</v>
      </c>
      <c r="CQ99" s="110">
        <v>38890.799999999996</v>
      </c>
      <c r="CR99" s="110">
        <v>6</v>
      </c>
      <c r="CS99" s="110">
        <v>25927.199999999997</v>
      </c>
      <c r="CT99" s="110">
        <v>8</v>
      </c>
      <c r="CU99" s="110">
        <v>34569.599999999999</v>
      </c>
    </row>
    <row r="100" spans="2:99" x14ac:dyDescent="0.2">
      <c r="C100" s="109" t="s">
        <v>268</v>
      </c>
      <c r="D100" s="110">
        <v>11</v>
      </c>
      <c r="E100" s="110">
        <v>8527.1999999999989</v>
      </c>
      <c r="F100" s="110">
        <v>11</v>
      </c>
      <c r="G100" s="110">
        <v>8527.1999999999989</v>
      </c>
      <c r="H100" s="110">
        <v>19</v>
      </c>
      <c r="I100" s="110">
        <v>14728.8</v>
      </c>
      <c r="J100" s="110">
        <v>19</v>
      </c>
      <c r="K100" s="110">
        <v>14728.8</v>
      </c>
      <c r="L100" s="110">
        <v>23</v>
      </c>
      <c r="M100" s="110">
        <v>17829.599999999999</v>
      </c>
      <c r="N100" s="110">
        <v>36</v>
      </c>
      <c r="O100" s="110">
        <v>27907.199999999997</v>
      </c>
      <c r="P100" s="110">
        <v>39</v>
      </c>
      <c r="Q100" s="110">
        <v>30232.799999999996</v>
      </c>
      <c r="R100" s="110">
        <v>24</v>
      </c>
      <c r="S100" s="110">
        <v>18604.8</v>
      </c>
      <c r="T100" s="110">
        <v>10</v>
      </c>
      <c r="U100" s="110">
        <v>7751.9999999999991</v>
      </c>
      <c r="V100" s="110">
        <v>14</v>
      </c>
      <c r="W100" s="110">
        <v>10852.8</v>
      </c>
      <c r="X100" s="110">
        <v>17</v>
      </c>
      <c r="Y100" s="110">
        <v>13178.4</v>
      </c>
      <c r="Z100" s="110">
        <v>18</v>
      </c>
      <c r="AA100" s="110">
        <v>13953.599999999999</v>
      </c>
      <c r="AB100" s="110">
        <v>7</v>
      </c>
      <c r="AC100" s="110">
        <v>5426.4</v>
      </c>
      <c r="AD100" s="110">
        <v>6</v>
      </c>
      <c r="AE100" s="110">
        <v>4651.2</v>
      </c>
      <c r="AF100" s="110">
        <v>7</v>
      </c>
      <c r="AG100" s="110">
        <v>5426.4</v>
      </c>
      <c r="AH100" s="110">
        <v>5</v>
      </c>
      <c r="AI100" s="110">
        <v>3875.9999999999995</v>
      </c>
      <c r="AJ100" s="110">
        <v>7</v>
      </c>
      <c r="AK100" s="110">
        <v>5426.4</v>
      </c>
      <c r="AL100" s="110">
        <v>8</v>
      </c>
      <c r="AM100" s="110">
        <v>6201.5999999999995</v>
      </c>
      <c r="AN100" s="110">
        <v>6</v>
      </c>
      <c r="AO100" s="110">
        <v>4651.2</v>
      </c>
      <c r="AP100" s="110">
        <v>11</v>
      </c>
      <c r="AQ100" s="110">
        <v>8527.1999999999989</v>
      </c>
      <c r="AR100" s="110">
        <v>3</v>
      </c>
      <c r="AS100" s="110">
        <v>2325.6</v>
      </c>
      <c r="AT100" s="110">
        <v>4</v>
      </c>
      <c r="AU100" s="110">
        <v>3100.7999999999997</v>
      </c>
      <c r="AV100" s="110">
        <v>3</v>
      </c>
      <c r="AW100" s="110">
        <v>2325.6</v>
      </c>
      <c r="AX100" s="110">
        <v>3</v>
      </c>
      <c r="AY100" s="110">
        <v>2325.6</v>
      </c>
      <c r="AZ100" s="110">
        <v>12</v>
      </c>
      <c r="BA100" s="110">
        <v>9302.4</v>
      </c>
      <c r="BB100" s="110">
        <v>10</v>
      </c>
      <c r="BC100" s="110">
        <v>7751.9999999999991</v>
      </c>
      <c r="BD100" s="110">
        <v>9</v>
      </c>
      <c r="BE100" s="110">
        <v>6976.7999999999993</v>
      </c>
      <c r="BF100" s="110">
        <v>6</v>
      </c>
      <c r="BG100" s="110">
        <v>4651.2</v>
      </c>
      <c r="BH100" s="110">
        <v>7</v>
      </c>
      <c r="BI100" s="110">
        <v>5426.4</v>
      </c>
      <c r="BJ100" s="110">
        <v>9</v>
      </c>
      <c r="BK100" s="110">
        <v>6976.7999999999993</v>
      </c>
      <c r="BL100" s="110">
        <v>7</v>
      </c>
      <c r="BM100" s="110">
        <v>5426.4</v>
      </c>
      <c r="BN100" s="110">
        <v>10</v>
      </c>
      <c r="BO100" s="110">
        <v>7751.9999999999991</v>
      </c>
      <c r="BP100" s="110">
        <v>4</v>
      </c>
      <c r="BQ100" s="110">
        <v>3100.7999999999997</v>
      </c>
      <c r="BR100" s="110">
        <v>4</v>
      </c>
      <c r="BS100" s="110">
        <v>3100.7999999999997</v>
      </c>
      <c r="BT100" s="110">
        <v>4</v>
      </c>
      <c r="BU100" s="110">
        <v>3100.7999999999997</v>
      </c>
      <c r="BV100" s="110">
        <v>3</v>
      </c>
      <c r="BW100" s="110">
        <v>2325.6</v>
      </c>
      <c r="BX100" s="110">
        <v>8</v>
      </c>
      <c r="BY100" s="110">
        <v>6201.5999999999995</v>
      </c>
      <c r="BZ100" s="110">
        <v>8</v>
      </c>
      <c r="CA100" s="110">
        <v>6201.5999999999995</v>
      </c>
      <c r="CB100" s="110">
        <v>11</v>
      </c>
      <c r="CC100" s="110">
        <v>8527.1999999999989</v>
      </c>
      <c r="CD100" s="110">
        <v>12</v>
      </c>
      <c r="CE100" s="110">
        <v>9302.4</v>
      </c>
      <c r="CF100" s="110">
        <v>4</v>
      </c>
      <c r="CG100" s="110">
        <v>3100.7999999999997</v>
      </c>
      <c r="CH100" s="110">
        <v>4</v>
      </c>
      <c r="CI100" s="110">
        <v>3100.7999999999997</v>
      </c>
      <c r="CJ100" s="110">
        <v>7</v>
      </c>
      <c r="CK100" s="110">
        <v>5426.4</v>
      </c>
      <c r="CL100" s="110">
        <v>6</v>
      </c>
      <c r="CM100" s="110">
        <v>4651.2</v>
      </c>
      <c r="CN100" s="110">
        <v>8</v>
      </c>
      <c r="CO100" s="110">
        <v>6201.5999999999995</v>
      </c>
      <c r="CP100" s="110">
        <v>12</v>
      </c>
      <c r="CQ100" s="110">
        <v>9302.4</v>
      </c>
      <c r="CR100" s="110">
        <v>8</v>
      </c>
      <c r="CS100" s="110">
        <v>6201.5999999999995</v>
      </c>
      <c r="CT100" s="110">
        <v>10</v>
      </c>
      <c r="CU100" s="110">
        <v>7751.9999999999991</v>
      </c>
    </row>
    <row r="101" spans="2:99" x14ac:dyDescent="0.2">
      <c r="C101" s="109" t="s">
        <v>269</v>
      </c>
      <c r="D101" s="110">
        <v>13</v>
      </c>
      <c r="E101" s="110">
        <v>7971.5999999999995</v>
      </c>
      <c r="F101" s="110">
        <v>12</v>
      </c>
      <c r="G101" s="110">
        <v>7358.4</v>
      </c>
      <c r="H101" s="110">
        <v>18</v>
      </c>
      <c r="I101" s="110">
        <v>11037.599999999999</v>
      </c>
      <c r="J101" s="110">
        <v>17</v>
      </c>
      <c r="K101" s="110">
        <v>10424.4</v>
      </c>
      <c r="L101" s="110">
        <v>23</v>
      </c>
      <c r="M101" s="110">
        <v>14103.599999999999</v>
      </c>
      <c r="N101" s="110">
        <v>36</v>
      </c>
      <c r="O101" s="110">
        <v>22075.199999999997</v>
      </c>
      <c r="P101" s="110">
        <v>39</v>
      </c>
      <c r="Q101" s="110">
        <v>23914.799999999996</v>
      </c>
      <c r="R101" s="110">
        <v>25</v>
      </c>
      <c r="S101" s="110">
        <v>15329.999999999998</v>
      </c>
      <c r="T101" s="110">
        <v>12</v>
      </c>
      <c r="U101" s="110">
        <v>7358.4</v>
      </c>
      <c r="V101" s="110">
        <v>14</v>
      </c>
      <c r="W101" s="110">
        <v>8584.7999999999993</v>
      </c>
      <c r="X101" s="110">
        <v>17</v>
      </c>
      <c r="Y101" s="110">
        <v>10424.4</v>
      </c>
      <c r="Z101" s="110">
        <v>19</v>
      </c>
      <c r="AA101" s="110">
        <v>11650.8</v>
      </c>
      <c r="AB101" s="110">
        <v>6</v>
      </c>
      <c r="AC101" s="110">
        <v>3679.2</v>
      </c>
      <c r="AD101" s="110">
        <v>6</v>
      </c>
      <c r="AE101" s="110">
        <v>3679.2</v>
      </c>
      <c r="AF101" s="110">
        <v>7</v>
      </c>
      <c r="AG101" s="110">
        <v>4292.3999999999996</v>
      </c>
      <c r="AH101" s="110">
        <v>5</v>
      </c>
      <c r="AI101" s="110">
        <v>3065.9999999999995</v>
      </c>
      <c r="AJ101" s="110">
        <v>8</v>
      </c>
      <c r="AK101" s="110">
        <v>4905.5999999999995</v>
      </c>
      <c r="AL101" s="110">
        <v>7</v>
      </c>
      <c r="AM101" s="110">
        <v>4292.3999999999996</v>
      </c>
      <c r="AN101" s="110">
        <v>6</v>
      </c>
      <c r="AO101" s="110">
        <v>3679.2</v>
      </c>
      <c r="AP101" s="110">
        <v>10</v>
      </c>
      <c r="AQ101" s="110">
        <v>6131.9999999999991</v>
      </c>
      <c r="AR101" s="110">
        <v>4</v>
      </c>
      <c r="AS101" s="110">
        <v>2452.7999999999997</v>
      </c>
      <c r="AT101" s="110">
        <v>5</v>
      </c>
      <c r="AU101" s="110">
        <v>3065.9999999999995</v>
      </c>
      <c r="AV101" s="110">
        <v>3</v>
      </c>
      <c r="AW101" s="110">
        <v>1839.6</v>
      </c>
      <c r="AX101" s="110">
        <v>3</v>
      </c>
      <c r="AY101" s="110">
        <v>1839.6</v>
      </c>
      <c r="AZ101" s="110">
        <v>10</v>
      </c>
      <c r="BA101" s="110">
        <v>6131.9999999999991</v>
      </c>
      <c r="BB101" s="110">
        <v>9</v>
      </c>
      <c r="BC101" s="110">
        <v>5518.7999999999993</v>
      </c>
      <c r="BD101" s="110">
        <v>9</v>
      </c>
      <c r="BE101" s="110">
        <v>5518.7999999999993</v>
      </c>
      <c r="BF101" s="110">
        <v>6</v>
      </c>
      <c r="BG101" s="110">
        <v>3679.2</v>
      </c>
      <c r="BH101" s="110">
        <v>6</v>
      </c>
      <c r="BI101" s="110">
        <v>3679.2</v>
      </c>
      <c r="BJ101" s="110">
        <v>8</v>
      </c>
      <c r="BK101" s="110">
        <v>4905.5999999999995</v>
      </c>
      <c r="BL101" s="110">
        <v>7</v>
      </c>
      <c r="BM101" s="110">
        <v>4292.3999999999996</v>
      </c>
      <c r="BN101" s="110">
        <v>9</v>
      </c>
      <c r="BO101" s="110">
        <v>5518.7999999999993</v>
      </c>
      <c r="BP101" s="110">
        <v>5</v>
      </c>
      <c r="BQ101" s="110">
        <v>3065.9999999999995</v>
      </c>
      <c r="BR101" s="110">
        <v>4</v>
      </c>
      <c r="BS101" s="110">
        <v>2452.7999999999997</v>
      </c>
      <c r="BT101" s="110">
        <v>4</v>
      </c>
      <c r="BU101" s="110">
        <v>2452.7999999999997</v>
      </c>
      <c r="BV101" s="110">
        <v>3</v>
      </c>
      <c r="BW101" s="110">
        <v>1839.6</v>
      </c>
      <c r="BX101" s="110">
        <v>8</v>
      </c>
      <c r="BY101" s="110">
        <v>4905.5999999999995</v>
      </c>
      <c r="BZ101" s="110">
        <v>8</v>
      </c>
      <c r="CA101" s="110">
        <v>4905.5999999999995</v>
      </c>
      <c r="CB101" s="110">
        <v>12</v>
      </c>
      <c r="CC101" s="110">
        <v>7358.4</v>
      </c>
      <c r="CD101" s="110">
        <v>11</v>
      </c>
      <c r="CE101" s="110">
        <v>6745.1999999999989</v>
      </c>
      <c r="CF101" s="110">
        <v>4</v>
      </c>
      <c r="CG101" s="110">
        <v>2452.7999999999997</v>
      </c>
      <c r="CH101" s="110">
        <v>4</v>
      </c>
      <c r="CI101" s="110">
        <v>2452.7999999999997</v>
      </c>
      <c r="CJ101" s="110">
        <v>7</v>
      </c>
      <c r="CK101" s="110">
        <v>4292.3999999999996</v>
      </c>
      <c r="CL101" s="110">
        <v>6</v>
      </c>
      <c r="CM101" s="110">
        <v>3679.2</v>
      </c>
      <c r="CN101" s="110">
        <v>7</v>
      </c>
      <c r="CO101" s="110">
        <v>4292.3999999999996</v>
      </c>
      <c r="CP101" s="110">
        <v>12</v>
      </c>
      <c r="CQ101" s="110">
        <v>7358.4</v>
      </c>
      <c r="CR101" s="110">
        <v>9</v>
      </c>
      <c r="CS101" s="110">
        <v>5518.7999999999993</v>
      </c>
      <c r="CT101" s="110">
        <v>11</v>
      </c>
      <c r="CU101" s="110">
        <v>6745.1999999999989</v>
      </c>
    </row>
    <row r="102" spans="2:99" x14ac:dyDescent="0.2">
      <c r="C102" s="109" t="s">
        <v>270</v>
      </c>
      <c r="D102" s="110">
        <v>14</v>
      </c>
      <c r="E102" s="110">
        <v>5577.5999999999995</v>
      </c>
      <c r="F102" s="110">
        <v>14</v>
      </c>
      <c r="G102" s="110">
        <v>5577.5999999999995</v>
      </c>
      <c r="H102" s="110">
        <v>20</v>
      </c>
      <c r="I102" s="110">
        <v>7968</v>
      </c>
      <c r="J102" s="110">
        <v>19</v>
      </c>
      <c r="K102" s="110">
        <v>7569.5999999999995</v>
      </c>
      <c r="L102" s="110">
        <v>28</v>
      </c>
      <c r="M102" s="110">
        <v>11155.199999999999</v>
      </c>
      <c r="N102" s="110">
        <v>37</v>
      </c>
      <c r="O102" s="110">
        <v>14740.8</v>
      </c>
      <c r="P102" s="110">
        <v>39</v>
      </c>
      <c r="Q102" s="110">
        <v>15537.599999999999</v>
      </c>
      <c r="R102" s="110">
        <v>29</v>
      </c>
      <c r="S102" s="110">
        <v>11553.599999999999</v>
      </c>
      <c r="T102" s="110">
        <v>11</v>
      </c>
      <c r="U102" s="110">
        <v>4382.3999999999996</v>
      </c>
      <c r="V102" s="110">
        <v>15</v>
      </c>
      <c r="W102" s="110">
        <v>5976</v>
      </c>
      <c r="X102" s="110">
        <v>18</v>
      </c>
      <c r="Y102" s="110">
        <v>7171.2</v>
      </c>
      <c r="Z102" s="110">
        <v>19</v>
      </c>
      <c r="AA102" s="110">
        <v>7569.5999999999995</v>
      </c>
      <c r="AB102" s="110">
        <v>6</v>
      </c>
      <c r="AC102" s="110">
        <v>2390.3999999999996</v>
      </c>
      <c r="AD102" s="110">
        <v>5</v>
      </c>
      <c r="AE102" s="110">
        <v>1992</v>
      </c>
      <c r="AF102" s="110">
        <v>7</v>
      </c>
      <c r="AG102" s="110">
        <v>2788.7999999999997</v>
      </c>
      <c r="AH102" s="110">
        <v>6</v>
      </c>
      <c r="AI102" s="110">
        <v>2390.3999999999996</v>
      </c>
      <c r="AJ102" s="110">
        <v>8</v>
      </c>
      <c r="AK102" s="110">
        <v>3187.2</v>
      </c>
      <c r="AL102" s="110">
        <v>8</v>
      </c>
      <c r="AM102" s="110">
        <v>3187.2</v>
      </c>
      <c r="AN102" s="110">
        <v>6</v>
      </c>
      <c r="AO102" s="110">
        <v>2390.3999999999996</v>
      </c>
      <c r="AP102" s="110">
        <v>12</v>
      </c>
      <c r="AQ102" s="110">
        <v>4780.7999999999993</v>
      </c>
      <c r="AR102" s="110">
        <v>4</v>
      </c>
      <c r="AS102" s="110">
        <v>1593.6</v>
      </c>
      <c r="AT102" s="110">
        <v>5</v>
      </c>
      <c r="AU102" s="110">
        <v>1992</v>
      </c>
      <c r="AV102" s="110">
        <v>3</v>
      </c>
      <c r="AW102" s="110">
        <v>1195.1999999999998</v>
      </c>
      <c r="AX102" s="110">
        <v>3</v>
      </c>
      <c r="AY102" s="110">
        <v>1195.1999999999998</v>
      </c>
      <c r="AZ102" s="110">
        <v>11</v>
      </c>
      <c r="BA102" s="110">
        <v>4382.3999999999996</v>
      </c>
      <c r="BB102" s="110">
        <v>11</v>
      </c>
      <c r="BC102" s="110">
        <v>4382.3999999999996</v>
      </c>
      <c r="BD102" s="110">
        <v>9</v>
      </c>
      <c r="BE102" s="110">
        <v>3585.6</v>
      </c>
      <c r="BF102" s="110">
        <v>6</v>
      </c>
      <c r="BG102" s="110">
        <v>2390.3999999999996</v>
      </c>
      <c r="BH102" s="110">
        <v>7</v>
      </c>
      <c r="BI102" s="110">
        <v>2788.7999999999997</v>
      </c>
      <c r="BJ102" s="110">
        <v>9</v>
      </c>
      <c r="BK102" s="110">
        <v>3585.6</v>
      </c>
      <c r="BL102" s="110">
        <v>8</v>
      </c>
      <c r="BM102" s="110">
        <v>3187.2</v>
      </c>
      <c r="BN102" s="110">
        <v>10</v>
      </c>
      <c r="BO102" s="110">
        <v>3984</v>
      </c>
      <c r="BP102" s="110">
        <v>5</v>
      </c>
      <c r="BQ102" s="110">
        <v>1992</v>
      </c>
      <c r="BR102" s="110">
        <v>4</v>
      </c>
      <c r="BS102" s="110">
        <v>1593.6</v>
      </c>
      <c r="BT102" s="110">
        <v>4</v>
      </c>
      <c r="BU102" s="110">
        <v>1593.6</v>
      </c>
      <c r="BV102" s="110">
        <v>3</v>
      </c>
      <c r="BW102" s="110">
        <v>1195.1999999999998</v>
      </c>
      <c r="BX102" s="110">
        <v>8</v>
      </c>
      <c r="BY102" s="110">
        <v>3187.2</v>
      </c>
      <c r="BZ102" s="110">
        <v>9</v>
      </c>
      <c r="CA102" s="110">
        <v>3585.6</v>
      </c>
      <c r="CB102" s="110">
        <v>11</v>
      </c>
      <c r="CC102" s="110">
        <v>4382.3999999999996</v>
      </c>
      <c r="CD102" s="110">
        <v>12</v>
      </c>
      <c r="CE102" s="110">
        <v>4780.7999999999993</v>
      </c>
      <c r="CF102" s="110">
        <v>4</v>
      </c>
      <c r="CG102" s="110">
        <v>1593.6</v>
      </c>
      <c r="CH102" s="110">
        <v>4</v>
      </c>
      <c r="CI102" s="110">
        <v>1593.6</v>
      </c>
      <c r="CJ102" s="110">
        <v>7</v>
      </c>
      <c r="CK102" s="110">
        <v>2788.7999999999997</v>
      </c>
      <c r="CL102" s="110">
        <v>6</v>
      </c>
      <c r="CM102" s="110">
        <v>2390.3999999999996</v>
      </c>
      <c r="CN102" s="110">
        <v>7</v>
      </c>
      <c r="CO102" s="110">
        <v>2788.7999999999997</v>
      </c>
      <c r="CP102" s="110">
        <v>12</v>
      </c>
      <c r="CQ102" s="110">
        <v>4780.7999999999993</v>
      </c>
      <c r="CR102" s="110">
        <v>8</v>
      </c>
      <c r="CS102" s="110">
        <v>3187.2</v>
      </c>
      <c r="CT102" s="110">
        <v>10</v>
      </c>
      <c r="CU102" s="110">
        <v>3984</v>
      </c>
    </row>
    <row r="103" spans="2:99" x14ac:dyDescent="0.2">
      <c r="C103" s="109" t="s">
        <v>271</v>
      </c>
      <c r="D103" s="110">
        <v>13</v>
      </c>
      <c r="E103" s="110">
        <v>7456.8</v>
      </c>
      <c r="F103" s="110">
        <v>13</v>
      </c>
      <c r="G103" s="110">
        <v>7456.8</v>
      </c>
      <c r="H103" s="110">
        <v>18</v>
      </c>
      <c r="I103" s="110">
        <v>10324.800000000001</v>
      </c>
      <c r="J103" s="110">
        <v>18</v>
      </c>
      <c r="K103" s="110">
        <v>10324.800000000001</v>
      </c>
      <c r="L103" s="110">
        <v>25</v>
      </c>
      <c r="M103" s="110">
        <v>14340</v>
      </c>
      <c r="N103" s="110">
        <v>35</v>
      </c>
      <c r="O103" s="110">
        <v>20076</v>
      </c>
      <c r="P103" s="110">
        <v>39</v>
      </c>
      <c r="Q103" s="110">
        <v>22370.400000000001</v>
      </c>
      <c r="R103" s="110">
        <v>28</v>
      </c>
      <c r="S103" s="110">
        <v>16060.800000000001</v>
      </c>
      <c r="T103" s="110">
        <v>10</v>
      </c>
      <c r="U103" s="110">
        <v>5736</v>
      </c>
      <c r="V103" s="110">
        <v>17</v>
      </c>
      <c r="W103" s="110">
        <v>9751.2000000000007</v>
      </c>
      <c r="X103" s="110">
        <v>18</v>
      </c>
      <c r="Y103" s="110">
        <v>10324.800000000001</v>
      </c>
      <c r="Z103" s="110">
        <v>17</v>
      </c>
      <c r="AA103" s="110">
        <v>9751.2000000000007</v>
      </c>
      <c r="AB103" s="110">
        <v>7</v>
      </c>
      <c r="AC103" s="110">
        <v>4015.2000000000003</v>
      </c>
      <c r="AD103" s="110">
        <v>5</v>
      </c>
      <c r="AE103" s="110">
        <v>2868</v>
      </c>
      <c r="AF103" s="110">
        <v>7</v>
      </c>
      <c r="AG103" s="110">
        <v>4015.2000000000003</v>
      </c>
      <c r="AH103" s="110">
        <v>5</v>
      </c>
      <c r="AI103" s="110">
        <v>2868</v>
      </c>
      <c r="AJ103" s="110">
        <v>7</v>
      </c>
      <c r="AK103" s="110">
        <v>4015.2000000000003</v>
      </c>
      <c r="AL103" s="110">
        <v>7</v>
      </c>
      <c r="AM103" s="110">
        <v>4015.2000000000003</v>
      </c>
      <c r="AN103" s="110">
        <v>6</v>
      </c>
      <c r="AO103" s="110">
        <v>3441.6000000000004</v>
      </c>
      <c r="AP103" s="110">
        <v>12</v>
      </c>
      <c r="AQ103" s="110">
        <v>6883.2000000000007</v>
      </c>
      <c r="AR103" s="110">
        <v>4</v>
      </c>
      <c r="AS103" s="110">
        <v>2294.4</v>
      </c>
      <c r="AT103" s="110">
        <v>5</v>
      </c>
      <c r="AU103" s="110">
        <v>2868</v>
      </c>
      <c r="AV103" s="110">
        <v>3</v>
      </c>
      <c r="AW103" s="110">
        <v>1720.8000000000002</v>
      </c>
      <c r="AX103" s="110">
        <v>3</v>
      </c>
      <c r="AY103" s="110">
        <v>1720.8000000000002</v>
      </c>
      <c r="AZ103" s="110">
        <v>11</v>
      </c>
      <c r="BA103" s="110">
        <v>6309.6</v>
      </c>
      <c r="BB103" s="110">
        <v>10</v>
      </c>
      <c r="BC103" s="110">
        <v>5736</v>
      </c>
      <c r="BD103" s="110">
        <v>10</v>
      </c>
      <c r="BE103" s="110">
        <v>5736</v>
      </c>
      <c r="BF103" s="110">
        <v>6</v>
      </c>
      <c r="BG103" s="110">
        <v>3441.6000000000004</v>
      </c>
      <c r="BH103" s="110">
        <v>7</v>
      </c>
      <c r="BI103" s="110">
        <v>4015.2000000000003</v>
      </c>
      <c r="BJ103" s="110">
        <v>10</v>
      </c>
      <c r="BK103" s="110">
        <v>5736</v>
      </c>
      <c r="BL103" s="110">
        <v>7</v>
      </c>
      <c r="BM103" s="110">
        <v>4015.2000000000003</v>
      </c>
      <c r="BN103" s="110">
        <v>11</v>
      </c>
      <c r="BO103" s="110">
        <v>6309.6</v>
      </c>
      <c r="BP103" s="110">
        <v>4</v>
      </c>
      <c r="BQ103" s="110">
        <v>2294.4</v>
      </c>
      <c r="BR103" s="110">
        <v>4</v>
      </c>
      <c r="BS103" s="110">
        <v>2294.4</v>
      </c>
      <c r="BT103" s="110">
        <v>4</v>
      </c>
      <c r="BU103" s="110">
        <v>2294.4</v>
      </c>
      <c r="BV103" s="110">
        <v>3</v>
      </c>
      <c r="BW103" s="110">
        <v>1720.8000000000002</v>
      </c>
      <c r="BX103" s="110">
        <v>9</v>
      </c>
      <c r="BY103" s="110">
        <v>5162.4000000000005</v>
      </c>
      <c r="BZ103" s="110">
        <v>8</v>
      </c>
      <c r="CA103" s="110">
        <v>4588.8</v>
      </c>
      <c r="CB103" s="110">
        <v>11</v>
      </c>
      <c r="CC103" s="110">
        <v>6309.6</v>
      </c>
      <c r="CD103" s="110">
        <v>12</v>
      </c>
      <c r="CE103" s="110">
        <v>6883.2000000000007</v>
      </c>
      <c r="CF103" s="110">
        <v>4</v>
      </c>
      <c r="CG103" s="110">
        <v>2294.4</v>
      </c>
      <c r="CH103" s="110">
        <v>4</v>
      </c>
      <c r="CI103" s="110">
        <v>2294.4</v>
      </c>
      <c r="CJ103" s="110">
        <v>7</v>
      </c>
      <c r="CK103" s="110">
        <v>4015.2000000000003</v>
      </c>
      <c r="CL103" s="110">
        <v>6</v>
      </c>
      <c r="CM103" s="110">
        <v>3441.6000000000004</v>
      </c>
      <c r="CN103" s="110">
        <v>7</v>
      </c>
      <c r="CO103" s="110">
        <v>4015.2000000000003</v>
      </c>
      <c r="CP103" s="110">
        <v>12</v>
      </c>
      <c r="CQ103" s="110">
        <v>6883.2000000000007</v>
      </c>
      <c r="CR103" s="110">
        <v>9</v>
      </c>
      <c r="CS103" s="110">
        <v>5162.4000000000005</v>
      </c>
      <c r="CT103" s="110">
        <v>10</v>
      </c>
      <c r="CU103" s="110">
        <v>5736</v>
      </c>
    </row>
    <row r="104" spans="2:99" x14ac:dyDescent="0.2">
      <c r="C104" s="109" t="s">
        <v>272</v>
      </c>
      <c r="D104" s="110">
        <v>12</v>
      </c>
      <c r="E104" s="110">
        <v>8208</v>
      </c>
      <c r="F104" s="110">
        <v>13</v>
      </c>
      <c r="G104" s="110">
        <v>8892</v>
      </c>
      <c r="H104" s="110">
        <v>19</v>
      </c>
      <c r="I104" s="110">
        <v>12996</v>
      </c>
      <c r="J104" s="110">
        <v>18</v>
      </c>
      <c r="K104" s="110">
        <v>12312</v>
      </c>
      <c r="L104" s="110">
        <v>25</v>
      </c>
      <c r="M104" s="110">
        <v>17100</v>
      </c>
      <c r="N104" s="110">
        <v>32</v>
      </c>
      <c r="O104" s="110">
        <v>21888</v>
      </c>
      <c r="P104" s="110">
        <v>45</v>
      </c>
      <c r="Q104" s="110">
        <v>30780</v>
      </c>
      <c r="R104" s="110">
        <v>26</v>
      </c>
      <c r="S104" s="110">
        <v>17784</v>
      </c>
      <c r="T104" s="110">
        <v>11</v>
      </c>
      <c r="U104" s="110">
        <v>7524</v>
      </c>
      <c r="V104" s="110">
        <v>16</v>
      </c>
      <c r="W104" s="110">
        <v>10944</v>
      </c>
      <c r="X104" s="110">
        <v>19</v>
      </c>
      <c r="Y104" s="110">
        <v>12996</v>
      </c>
      <c r="Z104" s="110">
        <v>18</v>
      </c>
      <c r="AA104" s="110">
        <v>12312</v>
      </c>
      <c r="AB104" s="110">
        <v>7</v>
      </c>
      <c r="AC104" s="110">
        <v>4788</v>
      </c>
      <c r="AD104" s="110">
        <v>6</v>
      </c>
      <c r="AE104" s="110">
        <v>4104</v>
      </c>
      <c r="AF104" s="110">
        <v>7</v>
      </c>
      <c r="AG104" s="110">
        <v>4788</v>
      </c>
      <c r="AH104" s="110">
        <v>6</v>
      </c>
      <c r="AI104" s="110">
        <v>4104</v>
      </c>
      <c r="AJ104" s="110">
        <v>7</v>
      </c>
      <c r="AK104" s="110">
        <v>4788</v>
      </c>
      <c r="AL104" s="110">
        <v>7</v>
      </c>
      <c r="AM104" s="110">
        <v>4788</v>
      </c>
      <c r="AN104" s="110">
        <v>6</v>
      </c>
      <c r="AO104" s="110">
        <v>4104</v>
      </c>
      <c r="AP104" s="110">
        <v>11</v>
      </c>
      <c r="AQ104" s="110">
        <v>7524</v>
      </c>
      <c r="AR104" s="110">
        <v>4</v>
      </c>
      <c r="AS104" s="110">
        <v>2736</v>
      </c>
      <c r="AT104" s="110">
        <v>5</v>
      </c>
      <c r="AU104" s="110">
        <v>3420</v>
      </c>
      <c r="AV104" s="110">
        <v>3</v>
      </c>
      <c r="AW104" s="110">
        <v>2052</v>
      </c>
      <c r="AX104" s="110">
        <v>3</v>
      </c>
      <c r="AY104" s="110">
        <v>2052</v>
      </c>
      <c r="AZ104" s="110">
        <v>11</v>
      </c>
      <c r="BA104" s="110">
        <v>7524</v>
      </c>
      <c r="BB104" s="110">
        <v>9</v>
      </c>
      <c r="BC104" s="110">
        <v>6156</v>
      </c>
      <c r="BD104" s="110">
        <v>10</v>
      </c>
      <c r="BE104" s="110">
        <v>6840</v>
      </c>
      <c r="BF104" s="110">
        <v>7</v>
      </c>
      <c r="BG104" s="110">
        <v>4788</v>
      </c>
      <c r="BH104" s="110">
        <v>6</v>
      </c>
      <c r="BI104" s="110">
        <v>4104</v>
      </c>
      <c r="BJ104" s="110">
        <v>9</v>
      </c>
      <c r="BK104" s="110">
        <v>6156</v>
      </c>
      <c r="BL104" s="110">
        <v>7</v>
      </c>
      <c r="BM104" s="110">
        <v>4788</v>
      </c>
      <c r="BN104" s="110">
        <v>11</v>
      </c>
      <c r="BO104" s="110">
        <v>7524</v>
      </c>
      <c r="BP104" s="110">
        <v>5</v>
      </c>
      <c r="BQ104" s="110">
        <v>3420</v>
      </c>
      <c r="BR104" s="110">
        <v>3</v>
      </c>
      <c r="BS104" s="110">
        <v>2052</v>
      </c>
      <c r="BT104" s="110">
        <v>4</v>
      </c>
      <c r="BU104" s="110">
        <v>2736</v>
      </c>
      <c r="BV104" s="110">
        <v>3</v>
      </c>
      <c r="BW104" s="110">
        <v>2052</v>
      </c>
      <c r="BX104" s="110">
        <v>8</v>
      </c>
      <c r="BY104" s="110">
        <v>5472</v>
      </c>
      <c r="BZ104" s="110">
        <v>8</v>
      </c>
      <c r="CA104" s="110">
        <v>5472</v>
      </c>
      <c r="CB104" s="110">
        <v>12</v>
      </c>
      <c r="CC104" s="110">
        <v>8208</v>
      </c>
      <c r="CD104" s="110">
        <v>11</v>
      </c>
      <c r="CE104" s="110">
        <v>7524</v>
      </c>
      <c r="CF104" s="110">
        <v>4</v>
      </c>
      <c r="CG104" s="110">
        <v>2736</v>
      </c>
      <c r="CH104" s="110">
        <v>4</v>
      </c>
      <c r="CI104" s="110">
        <v>2736</v>
      </c>
      <c r="CJ104" s="110">
        <v>7</v>
      </c>
      <c r="CK104" s="110">
        <v>4788</v>
      </c>
      <c r="CL104" s="110">
        <v>6</v>
      </c>
      <c r="CM104" s="110">
        <v>4104</v>
      </c>
      <c r="CN104" s="110">
        <v>7</v>
      </c>
      <c r="CO104" s="110">
        <v>4788</v>
      </c>
      <c r="CP104" s="110">
        <v>12</v>
      </c>
      <c r="CQ104" s="110">
        <v>8208</v>
      </c>
      <c r="CR104" s="110">
        <v>8</v>
      </c>
      <c r="CS104" s="110">
        <v>5472</v>
      </c>
      <c r="CT104" s="110">
        <v>11</v>
      </c>
      <c r="CU104" s="110">
        <v>7524</v>
      </c>
    </row>
    <row r="105" spans="2:99" x14ac:dyDescent="0.2">
      <c r="C105" s="109" t="s">
        <v>273</v>
      </c>
      <c r="D105" s="110">
        <v>13</v>
      </c>
      <c r="E105" s="110">
        <v>7971.5999999999995</v>
      </c>
      <c r="F105" s="110">
        <v>13</v>
      </c>
      <c r="G105" s="110">
        <v>7971.5999999999995</v>
      </c>
      <c r="H105" s="110">
        <v>20</v>
      </c>
      <c r="I105" s="110">
        <v>12263.999999999998</v>
      </c>
      <c r="J105" s="110">
        <v>17</v>
      </c>
      <c r="K105" s="110">
        <v>10424.4</v>
      </c>
      <c r="L105" s="110">
        <v>25</v>
      </c>
      <c r="M105" s="110">
        <v>15329.999999999998</v>
      </c>
      <c r="N105" s="110">
        <v>34</v>
      </c>
      <c r="O105" s="110">
        <v>20848.8</v>
      </c>
      <c r="P105" s="110">
        <v>44</v>
      </c>
      <c r="Q105" s="110">
        <v>26980.799999999996</v>
      </c>
      <c r="R105" s="110">
        <v>24</v>
      </c>
      <c r="S105" s="110">
        <v>14716.8</v>
      </c>
      <c r="T105" s="110">
        <v>12</v>
      </c>
      <c r="U105" s="110">
        <v>7358.4</v>
      </c>
      <c r="V105" s="110">
        <v>16</v>
      </c>
      <c r="W105" s="110">
        <v>9811.1999999999989</v>
      </c>
      <c r="X105" s="110">
        <v>16</v>
      </c>
      <c r="Y105" s="110">
        <v>9811.1999999999989</v>
      </c>
      <c r="Z105" s="110">
        <v>20</v>
      </c>
      <c r="AA105" s="110">
        <v>12263.999999999998</v>
      </c>
      <c r="AB105" s="110">
        <v>7</v>
      </c>
      <c r="AC105" s="110">
        <v>4292.3999999999996</v>
      </c>
      <c r="AD105" s="110">
        <v>5</v>
      </c>
      <c r="AE105" s="110">
        <v>3065.9999999999995</v>
      </c>
      <c r="AF105" s="110">
        <v>7</v>
      </c>
      <c r="AG105" s="110">
        <v>4292.3999999999996</v>
      </c>
      <c r="AH105" s="110">
        <v>6</v>
      </c>
      <c r="AI105" s="110">
        <v>3679.2</v>
      </c>
      <c r="AJ105" s="110">
        <v>8</v>
      </c>
      <c r="AK105" s="110">
        <v>4905.5999999999995</v>
      </c>
      <c r="AL105" s="110">
        <v>8</v>
      </c>
      <c r="AM105" s="110">
        <v>4905.5999999999995</v>
      </c>
      <c r="AN105" s="110">
        <v>7</v>
      </c>
      <c r="AO105" s="110">
        <v>4292.3999999999996</v>
      </c>
      <c r="AP105" s="110">
        <v>10</v>
      </c>
      <c r="AQ105" s="110">
        <v>6131.9999999999991</v>
      </c>
      <c r="AR105" s="110">
        <v>4</v>
      </c>
      <c r="AS105" s="110">
        <v>2452.7999999999997</v>
      </c>
      <c r="AT105" s="110">
        <v>4</v>
      </c>
      <c r="AU105" s="110">
        <v>2452.7999999999997</v>
      </c>
      <c r="AV105" s="110">
        <v>3</v>
      </c>
      <c r="AW105" s="110">
        <v>1839.6</v>
      </c>
      <c r="AX105" s="110">
        <v>3</v>
      </c>
      <c r="AY105" s="110">
        <v>1839.6</v>
      </c>
      <c r="AZ105" s="110">
        <v>12</v>
      </c>
      <c r="BA105" s="110">
        <v>7358.4</v>
      </c>
      <c r="BB105" s="110">
        <v>10</v>
      </c>
      <c r="BC105" s="110">
        <v>6131.9999999999991</v>
      </c>
      <c r="BD105" s="110">
        <v>9</v>
      </c>
      <c r="BE105" s="110">
        <v>5518.7999999999993</v>
      </c>
      <c r="BF105" s="110">
        <v>6</v>
      </c>
      <c r="BG105" s="110">
        <v>3679.2</v>
      </c>
      <c r="BH105" s="110">
        <v>7</v>
      </c>
      <c r="BI105" s="110">
        <v>4292.3999999999996</v>
      </c>
      <c r="BJ105" s="110">
        <v>10</v>
      </c>
      <c r="BK105" s="110">
        <v>6131.9999999999991</v>
      </c>
      <c r="BL105" s="110">
        <v>7</v>
      </c>
      <c r="BM105" s="110">
        <v>4292.3999999999996</v>
      </c>
      <c r="BN105" s="110">
        <v>10</v>
      </c>
      <c r="BO105" s="110">
        <v>6131.9999999999991</v>
      </c>
      <c r="BP105" s="110">
        <v>5</v>
      </c>
      <c r="BQ105" s="110">
        <v>3065.9999999999995</v>
      </c>
      <c r="BR105" s="110">
        <v>4</v>
      </c>
      <c r="BS105" s="110">
        <v>2452.7999999999997</v>
      </c>
      <c r="BT105" s="110">
        <v>4</v>
      </c>
      <c r="BU105" s="110">
        <v>2452.7999999999997</v>
      </c>
      <c r="BV105" s="110">
        <v>3</v>
      </c>
      <c r="BW105" s="110">
        <v>1839.6</v>
      </c>
      <c r="BX105" s="110">
        <v>8</v>
      </c>
      <c r="BY105" s="110">
        <v>4905.5999999999995</v>
      </c>
      <c r="BZ105" s="110">
        <v>8</v>
      </c>
      <c r="CA105" s="110">
        <v>4905.5999999999995</v>
      </c>
      <c r="CB105" s="110">
        <v>11</v>
      </c>
      <c r="CC105" s="110">
        <v>6745.1999999999989</v>
      </c>
      <c r="CD105" s="110">
        <v>11</v>
      </c>
      <c r="CE105" s="110">
        <v>6745.1999999999989</v>
      </c>
      <c r="CF105" s="110">
        <v>4</v>
      </c>
      <c r="CG105" s="110">
        <v>2452.7999999999997</v>
      </c>
      <c r="CH105" s="110">
        <v>4</v>
      </c>
      <c r="CI105" s="110">
        <v>2452.7999999999997</v>
      </c>
      <c r="CJ105" s="110">
        <v>6</v>
      </c>
      <c r="CK105" s="110">
        <v>3679.2</v>
      </c>
      <c r="CL105" s="110">
        <v>6</v>
      </c>
      <c r="CM105" s="110">
        <v>3679.2</v>
      </c>
      <c r="CN105" s="110">
        <v>8</v>
      </c>
      <c r="CO105" s="110">
        <v>4905.5999999999995</v>
      </c>
      <c r="CP105" s="110">
        <v>12</v>
      </c>
      <c r="CQ105" s="110">
        <v>7358.4</v>
      </c>
      <c r="CR105" s="110">
        <v>9</v>
      </c>
      <c r="CS105" s="110">
        <v>5518.7999999999993</v>
      </c>
      <c r="CT105" s="110">
        <v>11</v>
      </c>
      <c r="CU105" s="110">
        <v>6745.1999999999989</v>
      </c>
    </row>
    <row r="107" spans="2:99" x14ac:dyDescent="0.2">
      <c r="B107" s="114" t="s">
        <v>278</v>
      </c>
    </row>
    <row r="108" spans="2:99" x14ac:dyDescent="0.2">
      <c r="C108" s="109" t="s">
        <v>279</v>
      </c>
      <c r="D108" s="109" t="s">
        <v>92</v>
      </c>
      <c r="E108" s="109" t="s">
        <v>93</v>
      </c>
      <c r="F108" s="109" t="s">
        <v>94</v>
      </c>
      <c r="G108" s="109" t="s">
        <v>95</v>
      </c>
      <c r="H108" s="109" t="s">
        <v>96</v>
      </c>
      <c r="I108" s="109" t="s">
        <v>97</v>
      </c>
      <c r="J108" s="109" t="s">
        <v>98</v>
      </c>
      <c r="K108" s="109" t="s">
        <v>99</v>
      </c>
      <c r="L108" s="109" t="s">
        <v>100</v>
      </c>
      <c r="M108" s="109" t="s">
        <v>101</v>
      </c>
      <c r="N108" s="109" t="s">
        <v>102</v>
      </c>
      <c r="O108" s="109" t="s">
        <v>103</v>
      </c>
    </row>
    <row r="109" spans="2:99" x14ac:dyDescent="0.2">
      <c r="C109" s="109" t="s">
        <v>126</v>
      </c>
      <c r="D109" s="110">
        <f>SUM(D$6:D$19)+SUM(F$6:F$19)+SUM(H$6:H$19)+SUM(J$6:J$19)</f>
        <v>1224</v>
      </c>
      <c r="E109" s="110">
        <f>SUM(L$6:L$19)+SUM(N$6:N$19)+SUM(P$6:P$19)+SUM(R$6:R$19)</f>
        <v>1124</v>
      </c>
      <c r="F109" s="110">
        <f>SUM(T$6:T$19)+SUM(V$6:V$19)+SUM(X$6:X$19)+SUM(Z$6:Z$19)</f>
        <v>1667</v>
      </c>
      <c r="G109" s="110">
        <f>SUM(AB$6:AB$19)+SUM(AD$6:AD$19)+SUM(AF$6:AF$19)+SUM(AH$6:AH$19)</f>
        <v>120</v>
      </c>
      <c r="H109" s="110">
        <f>SUM(AJ$6:AJ$19)+SUM(AL$6:AL$19)+SUM(AN$6:AN$19)+SUM(AP$6:AP$19)</f>
        <v>1316</v>
      </c>
      <c r="I109" s="110">
        <f>SUM(AR$6:AR$19)+SUM(AT$6:AT$19)+SUM(AV$6:AV$19)+SUM(AX$6:AX$19)</f>
        <v>1988</v>
      </c>
      <c r="J109" s="110">
        <f>SUM(AZ$6:AZ$19)+SUM(BB$6:BB$19)+SUM(BD$6:BD$19)+SUM(BF$6:BF$19)</f>
        <v>982</v>
      </c>
      <c r="K109" s="110">
        <f>SUM(BH$6:BH$19)+SUM(BJ$6:BJ$19)+SUM(BL$6:BL$19)+SUM(BN$6:BN$19)</f>
        <v>2147</v>
      </c>
      <c r="L109" s="110">
        <f>SUM(BP$6:BP$19)+SUM(BR$6:BR$19)+SUM(BT$6:BT$19)+SUM(BV$6:BV$19)</f>
        <v>2578</v>
      </c>
      <c r="M109" s="110">
        <f>SUM(BX$6:BX$19)+SUM(BZ$6:BZ$19)+SUM(CB$6:CB$19)+SUM(CD$6:CD$19)</f>
        <v>1307</v>
      </c>
      <c r="N109" s="110">
        <f>SUM(CF$6:CF$19)+SUM(CH$6:CH$19)+SUM(CJ$6:CJ$19)+SUM(CL$6:CL$19)</f>
        <v>590</v>
      </c>
      <c r="O109" s="110">
        <f>SUM(CN$6:CN$19)+SUM(CP$6:CP$19)+SUM(CR$6:CR$19)+SUM(CT$6:CT$19)</f>
        <v>1117</v>
      </c>
    </row>
    <row r="110" spans="2:99" x14ac:dyDescent="0.2">
      <c r="C110" s="109" t="s">
        <v>127</v>
      </c>
      <c r="D110" s="110">
        <f>SUM(D$20:D$36)+SUM(F$20:F$36)+SUM(H$20:H$36)+SUM(J$20:J$36)</f>
        <v>1096</v>
      </c>
      <c r="E110" s="110">
        <f>SUM(L$20:L$36)+SUM(N$20:N$36)+SUM(P$20:P$36)+SUM(R$20:R$36)</f>
        <v>1651</v>
      </c>
      <c r="F110" s="110">
        <f>SUM(T$20:T$36)+SUM(V$20:V$36)+SUM(X$20:X$36)+SUM(Z$20:Z$36)</f>
        <v>276</v>
      </c>
      <c r="G110" s="110">
        <f>SUM(AB$20:AB$36)+SUM(AD$20:AD$36)+SUM(AF$20:AF$36)+SUM(AH$20:AH$36)</f>
        <v>1920</v>
      </c>
      <c r="H110" s="110">
        <f>SUM(AJ$20:AJ$36)+SUM(AL$20:AL$36)+SUM(AN$20:AN$36)+SUM(AP$20:AP$36)</f>
        <v>2183</v>
      </c>
      <c r="I110" s="110">
        <f>SUM(AR$20:AR$36)+SUM(AT$20:AT$36)+SUM(AV$20:AV$36)+SUM(AX$20:AX$36)</f>
        <v>2376</v>
      </c>
      <c r="J110" s="110">
        <f>SUM(AZ$20:AZ$36)+SUM(BB$20:BB$36)+SUM(BD$20:BD$36)+SUM(BF$20:BF$36)</f>
        <v>1399</v>
      </c>
      <c r="K110" s="110">
        <f>SUM(BH$20:BH$36)+SUM(BJ$20:BJ$36)+SUM(BL$20:BL$36)+SUM(BN$20:BN$36)</f>
        <v>1865</v>
      </c>
      <c r="L110" s="110">
        <f>SUM(BP$20:BP$36)+SUM(BR$20:BR$36)+SUM(BT$20:BT$36)+SUM(BV$20:BV$36)</f>
        <v>2010</v>
      </c>
      <c r="M110" s="110">
        <f>SUM(BX$20:BX$36)+SUM(BZ$20:BZ$36)+SUM(CB$20:CB$36)+SUM(CD$20:CD$36)</f>
        <v>177</v>
      </c>
      <c r="N110" s="110">
        <f>SUM(CF$20:CF$36)+SUM(CH$20:CH$36)+SUM(CJ$20:CJ$36)+SUM(CL$20:CL$36)</f>
        <v>178</v>
      </c>
      <c r="O110" s="110">
        <f>SUM(CN$20:CN$36)+SUM(CP$20:CP$36)+SUM(CR$20:CR$36)+SUM(CT$20:CT$36)</f>
        <v>1918</v>
      </c>
    </row>
    <row r="111" spans="2:99" x14ac:dyDescent="0.2">
      <c r="C111" s="109" t="s">
        <v>128</v>
      </c>
      <c r="D111" s="110">
        <f>SUM(D$37:D$48)+SUM(F$37:F$48)+SUM(H$37:H$48)+SUM(J$37:J$48)</f>
        <v>555</v>
      </c>
      <c r="E111" s="110">
        <f>SUM(L$37:L$48)+SUM(N$37:N$48)+SUM(P$37:P$48)+SUM(R$37:R$48)</f>
        <v>576</v>
      </c>
      <c r="F111" s="110">
        <f>SUM(T$37:T$48)+SUM(V$37:V$48)+SUM(X$37:X$48)+SUM(Z$37:Z$48)</f>
        <v>581</v>
      </c>
      <c r="G111" s="110">
        <f>SUM(AB$37:AB$48)+SUM(AD$37:AD$48)+SUM(AF$37:AF$48)+SUM(AH$37:AH$48)</f>
        <v>1455</v>
      </c>
      <c r="H111" s="110">
        <f>SUM(AJ$37:AJ$48)+SUM(AL$37:AL$48)+SUM(AN$37:AN$48)+SUM(AP$37:AP$48)</f>
        <v>941</v>
      </c>
      <c r="I111" s="110">
        <f>SUM(AR$37:AR$48)+SUM(AT$37:AT$48)+SUM(AV$37:AV$48)+SUM(AX$37:AX$48)</f>
        <v>1944</v>
      </c>
      <c r="J111" s="110">
        <f>SUM(AZ$37:AZ$48)+SUM(BB$37:BB$48)+SUM(BD$37:BD$48)+SUM(BF$37:BF$48)</f>
        <v>1188</v>
      </c>
      <c r="K111" s="110">
        <f>SUM(BH$37:BH$48)+SUM(BJ$37:BJ$48)+SUM(BL$37:BL$48)+SUM(BN$37:BN$48)</f>
        <v>1579</v>
      </c>
      <c r="L111" s="110">
        <f>SUM(BP$37:BP$48)+SUM(BR$37:BR$48)+SUM(BT$37:BT$48)+SUM(BV$37:BV$48)</f>
        <v>1133</v>
      </c>
      <c r="M111" s="110">
        <f>SUM(BX$37:BX$48)+SUM(BZ$37:BZ$48)+SUM(CB$37:CB$48)+SUM(CD$37:CD$48)</f>
        <v>577</v>
      </c>
      <c r="N111" s="110">
        <f>SUM(CF$37:CF$48)+SUM(CH$37:CH$48)+SUM(CJ$37:CJ$48)+SUM(CL$37:CL$48)</f>
        <v>138</v>
      </c>
      <c r="O111" s="110">
        <f>SUM(CN$37:CN$48)+SUM(CP$37:CP$48)+SUM(CR$37:CR$48)+SUM(CT$37:CT$48)</f>
        <v>152</v>
      </c>
    </row>
    <row r="112" spans="2:99" x14ac:dyDescent="0.2">
      <c r="C112" s="109" t="s">
        <v>129</v>
      </c>
      <c r="D112" s="110">
        <f>SUM(D$49:D$70)+SUM(F$49:F$70)+SUM(H$49:H$70)+SUM(J$49:J$70)</f>
        <v>1032</v>
      </c>
      <c r="E112" s="110">
        <f>SUM(L$49:L$70)+SUM(N$49:N$70)+SUM(P$49:P$70)+SUM(R$49:R$70)</f>
        <v>847</v>
      </c>
      <c r="F112" s="110">
        <f>SUM(T$49:T$70)+SUM(V$49:V$70)+SUM(X$49:X$70)+SUM(Z$49:Z$70)</f>
        <v>247</v>
      </c>
      <c r="G112" s="110">
        <f>SUM(AB$49:AB$70)+SUM(AD$49:AD$70)+SUM(AF$49:AF$70)+SUM(AH$49:AH$70)</f>
        <v>2367</v>
      </c>
      <c r="H112" s="110">
        <f>SUM(AJ$49:AJ$70)+SUM(AL$49:AL$70)+SUM(AN$49:AN$70)+SUM(AP$49:AP$70)</f>
        <v>3651</v>
      </c>
      <c r="I112" s="110">
        <f>SUM(AR$49:AR$70)+SUM(AT$49:AT$70)+SUM(AV$49:AV$70)+SUM(AX$49:AX$70)</f>
        <v>1451</v>
      </c>
      <c r="J112" s="110">
        <f>SUM(AZ$49:AZ$70)+SUM(BB$49:BB$70)+SUM(BD$49:BD$70)+SUM(BF$49:BF$70)</f>
        <v>981</v>
      </c>
      <c r="K112" s="110">
        <f>SUM(BH$49:BH$70)+SUM(BJ$49:BJ$70)+SUM(BL$49:BL$70)+SUM(BN$49:BN$70)</f>
        <v>1036</v>
      </c>
      <c r="L112" s="110">
        <f>SUM(BP$49:BP$70)+SUM(BR$49:BR$70)+SUM(BT$49:BT$70)+SUM(BV$49:BV$70)</f>
        <v>2223</v>
      </c>
      <c r="M112" s="110">
        <f>SUM(BX$49:BX$70)+SUM(BZ$49:BZ$70)+SUM(CB$49:CB$70)+SUM(CD$49:CD$70)</f>
        <v>734</v>
      </c>
      <c r="N112" s="110">
        <f>SUM(CF$49:CF$70)+SUM(CH$49:CH$70)+SUM(CJ$49:CJ$70)+SUM(CL$49:CL$70)</f>
        <v>213</v>
      </c>
      <c r="O112" s="110">
        <f>SUM(CN$49:CN$70)+SUM(CP$49:CP$70)+SUM(CR$49:CR$70)+SUM(CT$49:CT$70)</f>
        <v>1688</v>
      </c>
    </row>
    <row r="113" spans="2:15" x14ac:dyDescent="0.2">
      <c r="C113" s="109" t="s">
        <v>130</v>
      </c>
      <c r="D113" s="110">
        <f>SUM(D$71:D$86)+SUM(F$71:F$86)+SUM(H$71:H$86)+SUM(J$71:J$86)</f>
        <v>1561</v>
      </c>
      <c r="E113" s="110">
        <f>SUM(L$71:L$86)+SUM(N$71:N$86)+SUM(P$71:P$86)+SUM(R$71:R$86)</f>
        <v>1627</v>
      </c>
      <c r="F113" s="110">
        <f>SUM(T$71:T$86)+SUM(V$71:V$86)+SUM(X$71:X$86)+SUM(Z$71:Z$86)</f>
        <v>888</v>
      </c>
      <c r="G113" s="110">
        <f>SUM(AB$71:AB$86)+SUM(AD$71:AD$86)+SUM(AF$71:AF$86)+SUM(AH$71:AH$86)</f>
        <v>713</v>
      </c>
      <c r="H113" s="110">
        <f>SUM(AJ$71:AJ$86)+SUM(AL$71:AL$86)+SUM(AN$71:AN$86)+SUM(AP$71:AP$86)</f>
        <v>1451</v>
      </c>
      <c r="I113" s="110">
        <f>SUM(AR$71:AR$86)+SUM(AT$71:AT$86)+SUM(AV$71:AV$86)+SUM(AX$71:AX$86)</f>
        <v>2152</v>
      </c>
      <c r="J113" s="110">
        <f>SUM(AZ$71:AZ$86)+SUM(BB$71:BB$86)+SUM(BD$71:BD$86)+SUM(BF$71:BF$86)</f>
        <v>991</v>
      </c>
      <c r="K113" s="110">
        <f>SUM(BH$71:BH$86)+SUM(BJ$71:BJ$86)+SUM(BL$71:BL$86)+SUM(BN$71:BN$86)</f>
        <v>414</v>
      </c>
      <c r="L113" s="110">
        <f>SUM(BP$71:BP$86)+SUM(BR$71:BR$86)+SUM(BT$71:BT$86)+SUM(BV$71:BV$86)</f>
        <v>469</v>
      </c>
      <c r="M113" s="110">
        <f>SUM(BX$71:BX$86)+SUM(BZ$71:BZ$86)+SUM(CB$71:CB$86)+SUM(CD$71:CD$86)</f>
        <v>1391</v>
      </c>
      <c r="N113" s="110">
        <f>SUM(CF$71:CF$86)+SUM(CH$71:CH$86)+SUM(CJ$71:CJ$86)+SUM(CL$71:CL$86)</f>
        <v>548</v>
      </c>
      <c r="O113" s="110">
        <f>SUM(CN$71:CN$86)+SUM(CP$71:CP$86)+SUM(CR$71:CR$86)+SUM(CT$71:CT$86)</f>
        <v>282</v>
      </c>
    </row>
    <row r="114" spans="2:15" x14ac:dyDescent="0.2">
      <c r="C114" s="109" t="s">
        <v>131</v>
      </c>
      <c r="D114" s="110">
        <f>SUM(D$87:D$94)+SUM(F$87:F$94)+SUM(H$87:H$94)+SUM(J$87:J$94)</f>
        <v>354</v>
      </c>
      <c r="E114" s="110">
        <f>SUM(L$87:L$94)+SUM(N$87:N$94)+SUM(P$87:P$94)+SUM(R$87:R$94)</f>
        <v>238</v>
      </c>
      <c r="F114" s="110">
        <f>SUM(T$87:T$94)+SUM(V$87:V$94)+SUM(X$87:X$94)+SUM(Z$87:Z$94)</f>
        <v>218</v>
      </c>
      <c r="G114" s="110">
        <f>SUM(AB$87:AB$94)+SUM(AD$87:AD$94)+SUM(AF$87:AF$94)+SUM(AH$87:AH$94)</f>
        <v>387</v>
      </c>
      <c r="H114" s="110">
        <f>SUM(AJ$87:AJ$94)+SUM(AL$87:AL$94)+SUM(AN$87:AN$94)+SUM(AP$87:AP$94)</f>
        <v>351</v>
      </c>
      <c r="I114" s="110">
        <f>SUM(AR$87:AR$94)+SUM(AT$87:AT$94)+SUM(AV$87:AV$94)+SUM(AX$87:AX$94)</f>
        <v>752</v>
      </c>
      <c r="J114" s="110">
        <f>SUM(AZ$87:AZ$94)+SUM(BB$87:BB$94)+SUM(BD$87:BD$94)+SUM(BF$87:BF$94)</f>
        <v>566</v>
      </c>
      <c r="K114" s="110">
        <f>SUM(BH$87:BH$94)+SUM(BJ$87:BJ$94)+SUM(BL$87:BL$94)+SUM(BN$87:BN$94)</f>
        <v>319</v>
      </c>
      <c r="L114" s="110">
        <f>SUM(BP$87:BP$94)+SUM(BR$87:BR$94)+SUM(BT$87:BT$94)+SUM(BV$87:BV$94)</f>
        <v>643</v>
      </c>
      <c r="M114" s="110">
        <f>SUM(BX$87:BX$94)+SUM(BZ$87:BZ$94)+SUM(CB$87:CB$94)+SUM(CD$87:CD$94)</f>
        <v>295</v>
      </c>
      <c r="N114" s="110">
        <f>SUM(CF$87:CF$94)+SUM(CH$87:CH$94)+SUM(CJ$87:CJ$94)+SUM(CL$87:CL$94)</f>
        <v>840</v>
      </c>
      <c r="O114" s="110">
        <f>SUM(CN$87:CN$94)+SUM(CP$87:CP$94)+SUM(CR$87:CR$94)+SUM(CT$87:CT$94)</f>
        <v>639</v>
      </c>
    </row>
    <row r="115" spans="2:15" x14ac:dyDescent="0.2">
      <c r="C115" s="109" t="s">
        <v>132</v>
      </c>
      <c r="D115" s="110">
        <f>SUM(D$95:D$105)+SUM(F$95:F$105)+SUM(H$95:H$105)+SUM(J$95:J$105)</f>
        <v>658</v>
      </c>
      <c r="E115" s="110">
        <f>SUM(L$95:L$105)+SUM(N$95:N$105)+SUM(P$95:P$105)+SUM(R$95:R$105)</f>
        <v>1344</v>
      </c>
      <c r="F115" s="110">
        <f>SUM(T$95:T$105)+SUM(V$95:V$105)+SUM(X$95:X$105)+SUM(Z$95:Z$105)</f>
        <v>668</v>
      </c>
      <c r="G115" s="110">
        <f>SUM(AB$95:AB$105)+SUM(AD$95:AD$105)+SUM(AF$95:AF$105)+SUM(AH$95:AH$105)</f>
        <v>267</v>
      </c>
      <c r="H115" s="110">
        <f>SUM(AJ$95:AJ$105)+SUM(AL$95:AL$105)+SUM(AN$95:AN$105)+SUM(AP$95:AP$105)</f>
        <v>341</v>
      </c>
      <c r="I115" s="110">
        <f>SUM(AR$95:AR$105)+SUM(AT$95:AT$105)+SUM(AV$95:AV$105)+SUM(AX$95:AX$105)</f>
        <v>154</v>
      </c>
      <c r="J115" s="110">
        <f>SUM(AZ$95:AZ$105)+SUM(BB$95:BB$105)+SUM(BD$95:BD$105)+SUM(BF$95:BF$105)</f>
        <v>393</v>
      </c>
      <c r="K115" s="110">
        <f>SUM(BH$95:BH$105)+SUM(BJ$95:BJ$105)+SUM(BL$95:BL$105)+SUM(BN$95:BN$105)</f>
        <v>356</v>
      </c>
      <c r="L115" s="110">
        <f>SUM(BP$95:BP$105)+SUM(BR$95:BR$105)+SUM(BT$95:BT$105)+SUM(BV$95:BV$105)</f>
        <v>167</v>
      </c>
      <c r="M115" s="110">
        <f>SUM(BX$95:BX$105)+SUM(BZ$95:BZ$105)+SUM(CB$95:CB$105)+SUM(CD$95:CD$105)</f>
        <v>419</v>
      </c>
      <c r="N115" s="110">
        <f>SUM(CF$95:CF$105)+SUM(CH$95:CH$105)+SUM(CJ$95:CJ$105)+SUM(CL$95:CL$105)</f>
        <v>226</v>
      </c>
      <c r="O115" s="110">
        <f>SUM(CN$95:CN$105)+SUM(CP$95:CP$105)+SUM(CR$95:CR$105)+SUM(CT$95:CT$105)</f>
        <v>411</v>
      </c>
    </row>
    <row r="116" spans="2:15" x14ac:dyDescent="0.2">
      <c r="C116" s="109" t="s">
        <v>280</v>
      </c>
      <c r="D116" s="110">
        <f t="shared" ref="D116:O116" si="0">SUM(D$109:D$115)</f>
        <v>6480</v>
      </c>
      <c r="E116" s="110">
        <f t="shared" si="0"/>
        <v>7407</v>
      </c>
      <c r="F116" s="110">
        <f t="shared" si="0"/>
        <v>4545</v>
      </c>
      <c r="G116" s="110">
        <f t="shared" si="0"/>
        <v>7229</v>
      </c>
      <c r="H116" s="110">
        <f t="shared" si="0"/>
        <v>10234</v>
      </c>
      <c r="I116" s="110">
        <f t="shared" si="0"/>
        <v>10817</v>
      </c>
      <c r="J116" s="110">
        <f t="shared" si="0"/>
        <v>6500</v>
      </c>
      <c r="K116" s="110">
        <f t="shared" si="0"/>
        <v>7716</v>
      </c>
      <c r="L116" s="110">
        <f t="shared" si="0"/>
        <v>9223</v>
      </c>
      <c r="M116" s="110">
        <f t="shared" si="0"/>
        <v>4900</v>
      </c>
      <c r="N116" s="110">
        <f t="shared" si="0"/>
        <v>2733</v>
      </c>
      <c r="O116" s="110">
        <f t="shared" si="0"/>
        <v>6207</v>
      </c>
    </row>
    <row r="118" spans="2:15" x14ac:dyDescent="0.2">
      <c r="B118" s="113" t="s">
        <v>281</v>
      </c>
    </row>
    <row r="119" spans="2:15" x14ac:dyDescent="0.2">
      <c r="C119" s="109" t="s">
        <v>279</v>
      </c>
      <c r="D119" s="109" t="s">
        <v>92</v>
      </c>
      <c r="E119" s="109" t="s">
        <v>93</v>
      </c>
      <c r="F119" s="109" t="s">
        <v>94</v>
      </c>
      <c r="G119" s="109" t="s">
        <v>95</v>
      </c>
      <c r="H119" s="109" t="s">
        <v>96</v>
      </c>
      <c r="I119" s="109" t="s">
        <v>97</v>
      </c>
      <c r="J119" s="109" t="s">
        <v>98</v>
      </c>
      <c r="K119" s="109" t="s">
        <v>99</v>
      </c>
      <c r="L119" s="109" t="s">
        <v>100</v>
      </c>
      <c r="M119" s="109" t="s">
        <v>101</v>
      </c>
      <c r="N119" s="109" t="s">
        <v>102</v>
      </c>
      <c r="O119" s="109" t="s">
        <v>103</v>
      </c>
    </row>
    <row r="120" spans="2:15" x14ac:dyDescent="0.2">
      <c r="C120" s="109" t="s">
        <v>126</v>
      </c>
      <c r="D120" s="110">
        <f>D109*pricing!D6*2000</f>
        <v>3737916.0262795365</v>
      </c>
      <c r="E120" s="110">
        <f>E109*pricing!E6*2000</f>
        <v>3472113.5017899517</v>
      </c>
      <c r="F120" s="110">
        <f>F109*pricing!F6*2000</f>
        <v>4494565.4000000004</v>
      </c>
      <c r="G120" s="110">
        <f>G109*pricing!G6*2000</f>
        <v>960000</v>
      </c>
      <c r="H120" s="110">
        <f>H109*pricing!H6*2000</f>
        <v>3916416</v>
      </c>
      <c r="I120" s="110">
        <f>I109*pricing!I6*2000</f>
        <v>5437577.5999999996</v>
      </c>
      <c r="J120" s="110">
        <f>J109*pricing!J6*2000</f>
        <v>3036147.6</v>
      </c>
      <c r="K120" s="110">
        <f>K109*pricing!K6*2000</f>
        <v>4870792.9006539974</v>
      </c>
      <c r="L120" s="110">
        <f>L109*pricing!L6*2000</f>
        <v>6102711.1417624792</v>
      </c>
      <c r="M120" s="110">
        <f>M109*pricing!M6*2000</f>
        <v>3823759.2</v>
      </c>
      <c r="N120" s="110">
        <f>N109*pricing!N6*2000</f>
        <v>2512456</v>
      </c>
      <c r="O120" s="110">
        <f>O109*pricing!O6*2000</f>
        <v>3783725.8000000003</v>
      </c>
    </row>
    <row r="121" spans="2:15" x14ac:dyDescent="0.2">
      <c r="C121" s="109" t="s">
        <v>127</v>
      </c>
      <c r="D121" s="110">
        <f>D110*pricing!D7*2000</f>
        <v>4372163.2</v>
      </c>
      <c r="E121" s="110">
        <f>E110*pricing!E7*2000</f>
        <v>5748782</v>
      </c>
      <c r="F121" s="110">
        <f>F110*pricing!F7*2000</f>
        <v>2208000</v>
      </c>
      <c r="G121" s="110">
        <f>G110*pricing!G7*2000</f>
        <v>6407808</v>
      </c>
      <c r="H121" s="110">
        <f>H110*pricing!H7*2000</f>
        <v>6958530.8000000007</v>
      </c>
      <c r="I121" s="110">
        <f>I110*pricing!I7*2000</f>
        <v>6926040</v>
      </c>
      <c r="J121" s="110">
        <f>J110*pricing!J7*2000</f>
        <v>5479043.5999999996</v>
      </c>
      <c r="K121" s="110">
        <f>K110*pricing!K7*2000</f>
        <v>6013506</v>
      </c>
      <c r="L121" s="110">
        <f>L110*pricing!L7*2000</f>
        <v>6561444</v>
      </c>
      <c r="M121" s="110">
        <f>M110*pricing!M7*2000</f>
        <v>1767875.112990848</v>
      </c>
      <c r="N121" s="110">
        <f>N110*pricing!N7*2000</f>
        <v>1768420.8860065737</v>
      </c>
      <c r="O121" s="110">
        <f>O110*pricing!O7*2000</f>
        <v>6803146.0000000009</v>
      </c>
    </row>
    <row r="122" spans="2:15" x14ac:dyDescent="0.2">
      <c r="C122" s="109" t="s">
        <v>128</v>
      </c>
      <c r="D122" s="110">
        <f>D111*pricing!D8*2000</f>
        <v>2397156.0000000005</v>
      </c>
      <c r="E122" s="110">
        <f>E111*pricing!E8*2000</f>
        <v>2623594.9284232701</v>
      </c>
      <c r="F122" s="110">
        <f>F111*pricing!F8*2000</f>
        <v>2632951.7093565171</v>
      </c>
      <c r="G122" s="110">
        <f>G111*pricing!G8*2000</f>
        <v>4159724.858304976</v>
      </c>
      <c r="H122" s="110">
        <f>H111*pricing!H8*2000</f>
        <v>3279384.9999999995</v>
      </c>
      <c r="I122" s="110">
        <f>I111*pricing!I8*2000</f>
        <v>4881061.2408861229</v>
      </c>
      <c r="J122" s="110">
        <f>J111*pricing!J8*2000</f>
        <v>3956277.6</v>
      </c>
      <c r="K122" s="110">
        <f>K111*pricing!K8*2000</f>
        <v>4382988.2</v>
      </c>
      <c r="L122" s="110">
        <f>L111*pricing!L8*2000</f>
        <v>3651432.4</v>
      </c>
      <c r="M122" s="110">
        <f>M111*pricing!M8*2000</f>
        <v>2589691.4000000004</v>
      </c>
      <c r="N122" s="110">
        <f>N111*pricing!N8*2000</f>
        <v>1104000</v>
      </c>
      <c r="O122" s="110">
        <f>O111*pricing!O8*2000</f>
        <v>1216000</v>
      </c>
    </row>
    <row r="123" spans="2:15" x14ac:dyDescent="0.2">
      <c r="C123" s="109" t="s">
        <v>129</v>
      </c>
      <c r="D123" s="110">
        <f>D112*pricing!D9*2000</f>
        <v>4643587.2</v>
      </c>
      <c r="E123" s="110">
        <f>E112*pricing!E9*2000</f>
        <v>3758477.8000000003</v>
      </c>
      <c r="F123" s="110">
        <f>F112*pricing!F9*2000</f>
        <v>1976000</v>
      </c>
      <c r="G123" s="110">
        <f>G112*pricing!G9*2000</f>
        <v>7369417.7999999998</v>
      </c>
      <c r="H123" s="110">
        <f>H112*pricing!H9*2000</f>
        <v>9377228.4000000004</v>
      </c>
      <c r="I123" s="110">
        <f>I112*pricing!I9*2000</f>
        <v>5216345</v>
      </c>
      <c r="J123" s="110">
        <f>J112*pricing!J9*2000</f>
        <v>4285596.5999999996</v>
      </c>
      <c r="K123" s="110">
        <f>K112*pricing!K9*2000</f>
        <v>4140477.6</v>
      </c>
      <c r="L123" s="110">
        <f>L112*pricing!L9*2000</f>
        <v>6861511.7999999989</v>
      </c>
      <c r="M123" s="110">
        <f>M112*pricing!M9*2000</f>
        <v>3481068.4</v>
      </c>
      <c r="N123" s="110">
        <f>N112*pricing!N9*2000</f>
        <v>1704000</v>
      </c>
      <c r="O123" s="110">
        <f>O112*pricing!O9*2000</f>
        <v>5820224</v>
      </c>
    </row>
    <row r="124" spans="2:15" x14ac:dyDescent="0.2">
      <c r="C124" s="109" t="s">
        <v>130</v>
      </c>
      <c r="D124" s="110">
        <f>D113*pricing!D10*2000</f>
        <v>4188785.3457239997</v>
      </c>
      <c r="E124" s="110">
        <f>E113*pricing!E10*2000</f>
        <v>4344918.5367339998</v>
      </c>
      <c r="F124" s="110">
        <f>F113*pricing!F10*2000</f>
        <v>3115006.0926719997</v>
      </c>
      <c r="G124" s="110">
        <f>G113*pricing!G10*2000</f>
        <v>2756015.7546199998</v>
      </c>
      <c r="H124" s="110">
        <f>H113*pricing!H10*2000</f>
        <v>4203995.6172780003</v>
      </c>
      <c r="I124" s="110">
        <f>I113*pricing!I10*2000</f>
        <v>5241951.7522719996</v>
      </c>
      <c r="J124" s="110">
        <f>J113*pricing!J10*2000</f>
        <v>3257813.4</v>
      </c>
      <c r="K124" s="110">
        <f>K113*pricing!K10*2000</f>
        <v>1943647.2</v>
      </c>
      <c r="L124" s="110">
        <f>L113*pricing!L10*2000</f>
        <v>2284405.2000000002</v>
      </c>
      <c r="M124" s="110">
        <f>M113*pricing!M10*2000</f>
        <v>4103210.1749079991</v>
      </c>
      <c r="N124" s="110">
        <f>N113*pricing!N10*2000</f>
        <v>2571763.9999999995</v>
      </c>
      <c r="O124" s="110">
        <f>O113*pricing!O10*2000</f>
        <v>1601287.1401440001</v>
      </c>
    </row>
    <row r="125" spans="2:15" x14ac:dyDescent="0.2">
      <c r="C125" s="109" t="s">
        <v>131</v>
      </c>
      <c r="D125" s="110">
        <f>D114*pricing!D11*2000</f>
        <v>1506270</v>
      </c>
      <c r="E125" s="110">
        <f>E114*pricing!E11*2000</f>
        <v>1213259.2597160002</v>
      </c>
      <c r="F125" s="110">
        <f>F114*pricing!F11*2000</f>
        <v>1087092.510456</v>
      </c>
      <c r="G125" s="110">
        <f>G114*pricing!G11*2000</f>
        <v>1521180.019962</v>
      </c>
      <c r="H125" s="110">
        <f>H114*pricing!H11*2000</f>
        <v>1511808.88833</v>
      </c>
      <c r="I125" s="110">
        <f>I114*pricing!I11*2000</f>
        <v>2479266.3003519997</v>
      </c>
      <c r="J125" s="110">
        <f>J114*pricing!J11*2000</f>
        <v>1884327.2000000002</v>
      </c>
      <c r="K125" s="110">
        <f>K114*pricing!K11*2000</f>
        <v>1438327.5802720001</v>
      </c>
      <c r="L125" s="110">
        <f>L114*pricing!L11*2000</f>
        <v>2243413.4468459999</v>
      </c>
      <c r="M125" s="110">
        <f>M114*pricing!M11*2000</f>
        <v>1441750.2768300001</v>
      </c>
      <c r="N125" s="110">
        <f>N114*pricing!N11*2000</f>
        <v>2662968</v>
      </c>
      <c r="O125" s="110">
        <f>O114*pricing!O11*2000</f>
        <v>2298483</v>
      </c>
    </row>
    <row r="126" spans="2:15" x14ac:dyDescent="0.2">
      <c r="C126" s="109" t="s">
        <v>132</v>
      </c>
      <c r="D126" s="110">
        <f>D115*pricing!D12*2000</f>
        <v>2546004.2876240001</v>
      </c>
      <c r="E126" s="110">
        <f>E115*pricing!E12*2000</f>
        <v>3605006.7567360001</v>
      </c>
      <c r="F126" s="110">
        <f>F115*pricing!F12*2000</f>
        <v>2462040.1344319996</v>
      </c>
      <c r="G126" s="110">
        <f>G115*pricing!G12*2000</f>
        <v>1440987.5948280001</v>
      </c>
      <c r="H126" s="110">
        <f>H115*pricing!H12*2000</f>
        <v>1660152.8939599998</v>
      </c>
      <c r="I126" s="110">
        <f>I115*pricing!I12*2000</f>
        <v>1058762.7407279999</v>
      </c>
      <c r="J126" s="110">
        <f>J115*pricing!J12*2000</f>
        <v>1915231.7187359999</v>
      </c>
      <c r="K126" s="110">
        <f>K115*pricing!K12*2000</f>
        <v>1691316.0945359999</v>
      </c>
      <c r="L126" s="110">
        <f>L115*pricing!L12*2000</f>
        <v>1117192.5058280001</v>
      </c>
      <c r="M126" s="110">
        <f>M115*pricing!M12*2000</f>
        <v>1964632.0676500001</v>
      </c>
      <c r="N126" s="110">
        <f>N115*pricing!N12*2000</f>
        <v>1346662.2391239998</v>
      </c>
      <c r="O126" s="110">
        <f>O115*pricing!O12*2000</f>
        <v>1949597.1265200002</v>
      </c>
    </row>
    <row r="127" spans="2:15" x14ac:dyDescent="0.2">
      <c r="C127" s="109" t="s">
        <v>280</v>
      </c>
      <c r="D127" s="110">
        <f t="shared" ref="D127:O127" si="1">SUM(D$120:D$126)</f>
        <v>23391882.05962754</v>
      </c>
      <c r="E127" s="110">
        <f t="shared" si="1"/>
        <v>24766152.783399224</v>
      </c>
      <c r="F127" s="110">
        <f t="shared" si="1"/>
        <v>17975655.846916515</v>
      </c>
      <c r="G127" s="110">
        <f t="shared" si="1"/>
        <v>24615134.027714975</v>
      </c>
      <c r="H127" s="110">
        <f t="shared" si="1"/>
        <v>30907517.599568006</v>
      </c>
      <c r="I127" s="110">
        <f t="shared" si="1"/>
        <v>31241004.63423812</v>
      </c>
      <c r="J127" s="110">
        <f t="shared" si="1"/>
        <v>23814437.718735997</v>
      </c>
      <c r="K127" s="110">
        <f t="shared" si="1"/>
        <v>24481055.575461999</v>
      </c>
      <c r="L127" s="110">
        <f t="shared" si="1"/>
        <v>28822110.49443648</v>
      </c>
      <c r="M127" s="110">
        <f t="shared" si="1"/>
        <v>19171986.63237885</v>
      </c>
      <c r="N127" s="110">
        <f t="shared" si="1"/>
        <v>13670271.125130573</v>
      </c>
      <c r="O127" s="110">
        <f t="shared" si="1"/>
        <v>23472463.066664003</v>
      </c>
    </row>
    <row r="129" spans="2:15" x14ac:dyDescent="0.2">
      <c r="B129" s="113" t="s">
        <v>282</v>
      </c>
    </row>
    <row r="130" spans="2:15" x14ac:dyDescent="0.2">
      <c r="C130" s="115" t="s">
        <v>279</v>
      </c>
      <c r="D130" s="115" t="s">
        <v>92</v>
      </c>
      <c r="E130" s="115" t="s">
        <v>93</v>
      </c>
      <c r="F130" s="115" t="s">
        <v>94</v>
      </c>
      <c r="G130" s="115" t="s">
        <v>95</v>
      </c>
      <c r="H130" s="115" t="s">
        <v>96</v>
      </c>
      <c r="I130" s="115" t="s">
        <v>97</v>
      </c>
      <c r="J130" s="115" t="s">
        <v>98</v>
      </c>
      <c r="K130" s="115" t="s">
        <v>99</v>
      </c>
      <c r="L130" s="115" t="s">
        <v>100</v>
      </c>
      <c r="M130" s="115" t="s">
        <v>101</v>
      </c>
      <c r="N130" s="115" t="s">
        <v>102</v>
      </c>
      <c r="O130" s="115" t="s">
        <v>103</v>
      </c>
    </row>
    <row r="131" spans="2:15" x14ac:dyDescent="0.2">
      <c r="C131" s="115" t="s">
        <v>126</v>
      </c>
      <c r="D131" s="116">
        <f>SUM(E$6:E$19)+SUM(G$6:G$19)+SUM(I$6:I$19)+SUM(K$6:K$19)</f>
        <v>696751.2</v>
      </c>
      <c r="E131" s="116">
        <f>SUM(M$6:M$19)+SUM(O$6:O$19)+SUM(Q$6:Q$19)+SUM(S$6:S$19)</f>
        <v>639897.59999999998</v>
      </c>
      <c r="F131" s="116">
        <f>SUM(U$6:U$19)+SUM(W$6:W$19)+SUM(Y$6:Y$19)+SUM(AA$6:AA$19)</f>
        <v>946111.2</v>
      </c>
      <c r="G131" s="116">
        <f>SUM(AC$6:AC$19)+SUM(AE$6:AE$19)+SUM(AG$6:AG$19)+SUM(AI$6:AI$19)</f>
        <v>68905.2</v>
      </c>
      <c r="H131" s="116">
        <f>SUM(AK$6:AK$19)+SUM(AM$6:AM$19)+SUM(AO$6:AO$19)+SUM(AQ$6:AQ$19)</f>
        <v>747582</v>
      </c>
      <c r="I131" s="116">
        <f>SUM(AS$6:AS$19)+SUM(AU$6:AU$19)+SUM(AW$6:AW$19)+SUM(AY$6:AY$19)</f>
        <v>1132741.2</v>
      </c>
      <c r="J131" s="116">
        <f>SUM(BA$6:BA$19)+SUM(BC$6:BC$19)+SUM(BE$6:BE$19)+SUM(BG$6:BG$19)</f>
        <v>555579.6</v>
      </c>
      <c r="K131" s="116">
        <f>SUM(BI$6:BI$19)+SUM(BK$6:BK$19)+SUM(BM$6:BM$19)+SUM(BO$6:BO$19)</f>
        <v>1213580.3999999999</v>
      </c>
      <c r="L131" s="116">
        <f>SUM(BQ$6:BQ$19)+SUM(BS$6:BS$19)+SUM(BU$6:BU$19)+SUM(BW$6:BW$19)</f>
        <v>1454321.9999999998</v>
      </c>
      <c r="M131" s="116">
        <f>SUM(BY$6:BY$19)+SUM(CA$6:CA$19)+SUM(CC$6:CC$19)+SUM(CE$6:CE$19)</f>
        <v>743334</v>
      </c>
      <c r="N131" s="116">
        <f>SUM(CG$6:CG$19)+SUM(CI$6:CI$19)+SUM(CK$6:CK$19)+SUM(CM$6:CM$19)</f>
        <v>337214.39999999997</v>
      </c>
      <c r="O131" s="116">
        <f>SUM(CO$6:CO$19)+SUM(CQ$6:CQ$19)+SUM(CS$6:CS$19)+SUM(CU$6:CU$19)</f>
        <v>635911.19999999995</v>
      </c>
    </row>
    <row r="132" spans="2:15" x14ac:dyDescent="0.2">
      <c r="C132" s="115" t="s">
        <v>127</v>
      </c>
      <c r="D132" s="116">
        <f>SUM(E$20:E$36)+SUM(G$20:G$36)+SUM(I$20:I$36)+SUM(K$20:K$36)</f>
        <v>341290.8</v>
      </c>
      <c r="E132" s="116">
        <f>SUM(M$20:M$36)+SUM(O$20:O$36)+SUM(Q$20:Q$36)+SUM(S$20:S$36)</f>
        <v>517851.6</v>
      </c>
      <c r="F132" s="116">
        <f>SUM(U$20:U$36)+SUM(W$20:W$36)+SUM(Y$20:Y$36)+SUM(AA$20:AA$36)</f>
        <v>86645.999999999971</v>
      </c>
      <c r="G132" s="116">
        <f>SUM(AC$20:AC$36)+SUM(AE$20:AE$36)+SUM(AG$20:AG$36)+SUM(AI$20:AI$36)</f>
        <v>595144.80000000005</v>
      </c>
      <c r="H132" s="116">
        <f>SUM(AK$20:AK$36)+SUM(AM$20:AM$36)+SUM(AO$20:AO$36)+SUM(AQ$20:AQ$36)</f>
        <v>682454.39999999991</v>
      </c>
      <c r="I132" s="116">
        <f>SUM(AS$20:AS$36)+SUM(AU$20:AU$36)+SUM(AW$20:AW$36)+SUM(AY$20:AY$36)</f>
        <v>741888</v>
      </c>
      <c r="J132" s="116">
        <f>SUM(BA$20:BA$36)+SUM(BC$20:BC$36)+SUM(BE$20:BE$36)+SUM(BG$20:BG$36)</f>
        <v>437248.8</v>
      </c>
      <c r="K132" s="116">
        <f>SUM(BI$20:BI$36)+SUM(BK$20:BK$36)+SUM(BM$20:BM$36)+SUM(BO$20:BO$36)</f>
        <v>580347.6</v>
      </c>
      <c r="L132" s="116">
        <f>SUM(BQ$20:BQ$36)+SUM(BS$20:BS$36)+SUM(BU$20:BU$36)+SUM(BW$20:BW$36)</f>
        <v>624812.39999999991</v>
      </c>
      <c r="M132" s="116">
        <f>SUM(BY$20:BY$36)+SUM(CA$20:CA$36)+SUM(CC$20:CC$36)+SUM(CE$20:CE$36)</f>
        <v>55494</v>
      </c>
      <c r="N132" s="116">
        <f>SUM(CG$20:CG$36)+SUM(CI$20:CI$36)+SUM(CK$20:CK$36)+SUM(CM$20:CM$36)</f>
        <v>56241.599999999999</v>
      </c>
      <c r="O132" s="116">
        <f>SUM(CO$20:CO$36)+SUM(CQ$20:CQ$36)+SUM(CS$20:CS$36)+SUM(CU$20:CU$36)</f>
        <v>599314.80000000005</v>
      </c>
    </row>
    <row r="133" spans="2:15" x14ac:dyDescent="0.2">
      <c r="C133" s="115" t="s">
        <v>128</v>
      </c>
      <c r="D133" s="116">
        <f>SUM(E$37:E$48)+SUM(G$37:G$48)+SUM(I$37:I$48)+SUM(K$37:K$48)</f>
        <v>469425.6</v>
      </c>
      <c r="E133" s="116">
        <f>SUM(M$37:M$48)+SUM(O$37:O$48)+SUM(Q$37:Q$48)+SUM(S$37:S$48)</f>
        <v>489646.8</v>
      </c>
      <c r="F133" s="116">
        <f>SUM(U$37:U$48)+SUM(W$37:W$48)+SUM(Y$37:Y$48)+SUM(AA$37:AA$48)</f>
        <v>492785.99999999994</v>
      </c>
      <c r="G133" s="116">
        <f>SUM(AC$37:AC$48)+SUM(AE$37:AE$48)+SUM(AG$37:AG$48)+SUM(AI$37:AI$48)</f>
        <v>1230394.8</v>
      </c>
      <c r="H133" s="116">
        <f>SUM(AK$37:AK$48)+SUM(AM$37:AM$48)+SUM(AO$37:AO$48)+SUM(AQ$37:AQ$48)</f>
        <v>796888.79999999993</v>
      </c>
      <c r="I133" s="116">
        <f>SUM(AS$37:AS$48)+SUM(AU$37:AU$48)+SUM(AW$37:AW$48)+SUM(AY$37:AY$48)</f>
        <v>1640841.5999999999</v>
      </c>
      <c r="J133" s="116">
        <f>SUM(BA$37:BA$48)+SUM(BC$37:BC$48)+SUM(BE$37:BE$48)+SUM(BG$37:BG$48)</f>
        <v>1005837.5999999999</v>
      </c>
      <c r="K133" s="116">
        <f>SUM(BI$37:BI$48)+SUM(BK$37:BK$48)+SUM(BM$37:BM$48)+SUM(BO$37:BO$48)</f>
        <v>1333976.3999999999</v>
      </c>
      <c r="L133" s="116">
        <f>SUM(BQ$37:BQ$48)+SUM(BS$37:BS$48)+SUM(BU$37:BU$48)+SUM(BW$37:BW$48)</f>
        <v>956290.79999999981</v>
      </c>
      <c r="M133" s="116">
        <f>SUM(BY$37:BY$48)+SUM(CA$37:CA$48)+SUM(CC$37:CC$48)+SUM(CE$37:CE$48)</f>
        <v>487010.39999999991</v>
      </c>
      <c r="N133" s="116">
        <f>SUM(CG$37:CG$48)+SUM(CI$37:CI$48)+SUM(CK$37:CK$48)+SUM(CM$37:CM$48)</f>
        <v>116884.79999999999</v>
      </c>
      <c r="O133" s="116">
        <f>SUM(CO$37:CO$48)+SUM(CQ$37:CQ$48)+SUM(CS$37:CS$48)+SUM(CU$37:CU$48)</f>
        <v>129538.8</v>
      </c>
    </row>
    <row r="134" spans="2:15" x14ac:dyDescent="0.2">
      <c r="C134" s="115" t="s">
        <v>129</v>
      </c>
      <c r="D134" s="116">
        <f>SUM(E$49:E$70)+SUM(G$49:G$70)+SUM(I$49:I$70)+SUM(K$49:K$70)</f>
        <v>715730.4</v>
      </c>
      <c r="E134" s="116">
        <f>SUM(M$49:M$70)+SUM(O$49:O$70)+SUM(Q$49:Q$70)+SUM(S$49:S$70)</f>
        <v>586084.80000000005</v>
      </c>
      <c r="F134" s="116">
        <f>SUM(U$49:U$70)+SUM(W$49:W$70)+SUM(Y$49:Y$70)+SUM(AA$49:AA$70)</f>
        <v>172017.60000000003</v>
      </c>
      <c r="G134" s="116">
        <f>SUM(AC$49:AC$70)+SUM(AE$49:AE$70)+SUM(AG$49:AG$70)+SUM(AI$49:AI$70)</f>
        <v>1633270.8</v>
      </c>
      <c r="H134" s="116">
        <f>SUM(AK$49:AK$70)+SUM(AM$49:AM$70)+SUM(AO$49:AO$70)+SUM(AQ$49:AQ$70)</f>
        <v>2516085.6</v>
      </c>
      <c r="I134" s="116">
        <f>SUM(AS$49:AS$70)+SUM(AU$49:AU$70)+SUM(AW$49:AW$70)+SUM(AY$49:AY$70)</f>
        <v>1002710.4</v>
      </c>
      <c r="J134" s="116">
        <f>SUM(BA$49:BA$70)+SUM(BC$49:BC$70)+SUM(BE$49:BE$70)+SUM(BG$49:BG$70)</f>
        <v>679039.2</v>
      </c>
      <c r="K134" s="116">
        <f>SUM(BI$49:BI$70)+SUM(BK$49:BK$70)+SUM(BM$49:BM$70)+SUM(BO$49:BO$70)</f>
        <v>721170</v>
      </c>
      <c r="L134" s="116">
        <f>SUM(BQ$49:BQ$70)+SUM(BS$49:BS$70)+SUM(BU$49:BU$70)+SUM(BW$49:BW$70)</f>
        <v>1541171.9999999998</v>
      </c>
      <c r="M134" s="116">
        <f>SUM(BY$49:BY$70)+SUM(CA$49:CA$70)+SUM(CC$49:CC$70)+SUM(CE$49:CE$70)</f>
        <v>509998.80000000005</v>
      </c>
      <c r="N134" s="116">
        <f>SUM(CG$49:CG$70)+SUM(CI$49:CI$70)+SUM(CK$49:CK$70)+SUM(CM$49:CM$70)</f>
        <v>148624.79999999999</v>
      </c>
      <c r="O134" s="116">
        <f>SUM(CO$49:CO$70)+SUM(CQ$49:CQ$70)+SUM(CS$49:CS$70)+SUM(CU$49:CU$70)</f>
        <v>1169546.3999999999</v>
      </c>
    </row>
    <row r="135" spans="2:15" x14ac:dyDescent="0.2">
      <c r="C135" s="115" t="s">
        <v>130</v>
      </c>
      <c r="D135" s="116">
        <f>SUM(E$71:E$86)+SUM(G$71:G$86)+SUM(I$71:I$86)+SUM(K$71:K$86)</f>
        <v>855351.6</v>
      </c>
      <c r="E135" s="116">
        <f>SUM(M$71:M$86)+SUM(O$71:O$86)+SUM(Q$71:Q$86)+SUM(S$71:S$86)</f>
        <v>893902.79999999993</v>
      </c>
      <c r="F135" s="116">
        <f>SUM(U$71:U$86)+SUM(W$71:W$86)+SUM(Y$71:Y$86)+SUM(AA$71:AA$86)</f>
        <v>489020.4</v>
      </c>
      <c r="G135" s="116">
        <f>SUM(AC$71:AC$86)+SUM(AE$71:AE$86)+SUM(AG$71:AG$86)+SUM(AI$71:AI$86)</f>
        <v>393241.19999999995</v>
      </c>
      <c r="H135" s="116">
        <f>SUM(AK$71:AK$86)+SUM(AM$71:AM$86)+SUM(AO$71:AO$86)+SUM(AQ$71:AQ$86)</f>
        <v>794731.2</v>
      </c>
      <c r="I135" s="116">
        <f>SUM(AS$71:AS$86)+SUM(AU$71:AU$86)+SUM(AW$71:AW$86)+SUM(AY$71:AY$86)</f>
        <v>1170733.1999999997</v>
      </c>
      <c r="J135" s="116">
        <f>SUM(BA$71:BA$86)+SUM(BC$71:BC$86)+SUM(BE$71:BE$86)+SUM(BG$71:BG$86)</f>
        <v>547458</v>
      </c>
      <c r="K135" s="116">
        <f>SUM(BI$71:BI$86)+SUM(BK$71:BK$86)+SUM(BM$71:BM$86)+SUM(BO$71:BO$86)</f>
        <v>228208.80000000002</v>
      </c>
      <c r="L135" s="116">
        <f>SUM(BQ$71:BQ$86)+SUM(BS$71:BS$86)+SUM(BU$71:BU$86)+SUM(BW$71:BW$86)</f>
        <v>258222</v>
      </c>
      <c r="M135" s="116">
        <f>SUM(BY$71:BY$86)+SUM(CA$71:CA$86)+SUM(CC$71:CC$86)+SUM(CE$71:CE$86)</f>
        <v>761107.2</v>
      </c>
      <c r="N135" s="116">
        <f>SUM(CG$71:CG$86)+SUM(CI$71:CI$86)+SUM(CK$71:CK$86)+SUM(CM$71:CM$86)</f>
        <v>303111.60000000003</v>
      </c>
      <c r="O135" s="116">
        <f>SUM(CO$71:CO$86)+SUM(CQ$71:CQ$86)+SUM(CS$71:CS$86)+SUM(CU$71:CU$86)</f>
        <v>157072.79999999999</v>
      </c>
    </row>
    <row r="136" spans="2:15" x14ac:dyDescent="0.2">
      <c r="C136" s="115" t="s">
        <v>131</v>
      </c>
      <c r="D136" s="116">
        <f>SUM(E$87:E$94)+SUM(G$87:G$94)+SUM(I$87:I$94)+SUM(K$87:K$94)</f>
        <v>190910.39999999997</v>
      </c>
      <c r="E136" s="116">
        <f>SUM(M$87:M$94)+SUM(O$87:O$94)+SUM(Q$87:Q$94)+SUM(S$87:S$94)</f>
        <v>129128.4</v>
      </c>
      <c r="F136" s="116">
        <f>SUM(U$87:U$94)+SUM(W$87:W$94)+SUM(Y$87:Y$94)+SUM(AA$87:AA$94)</f>
        <v>118329.59999999998</v>
      </c>
      <c r="G136" s="116">
        <f>SUM(AC$87:AC$94)+SUM(AE$87:AE$94)+SUM(AG$87:AG$94)+SUM(AI$87:AI$94)</f>
        <v>210768</v>
      </c>
      <c r="H136" s="116">
        <f>SUM(AK$87:AK$94)+SUM(AM$87:AM$94)+SUM(AO$87:AO$94)+SUM(AQ$87:AQ$94)</f>
        <v>191485.19999999998</v>
      </c>
      <c r="I136" s="116">
        <f>SUM(AS$87:AS$94)+SUM(AU$87:AU$94)+SUM(AW$87:AW$94)+SUM(AY$87:AY$94)</f>
        <v>405584.39999999997</v>
      </c>
      <c r="J136" s="116">
        <f>SUM(BA$87:BA$94)+SUM(BC$87:BC$94)+SUM(BE$87:BE$94)+SUM(BG$87:BG$94)</f>
        <v>307279.19999999995</v>
      </c>
      <c r="K136" s="116">
        <f>SUM(BI$87:BI$94)+SUM(BK$87:BK$94)+SUM(BM$87:BM$94)+SUM(BO$87:BO$94)</f>
        <v>172449.59999999998</v>
      </c>
      <c r="L136" s="116">
        <f>SUM(BQ$87:BQ$94)+SUM(BS$87:BS$94)+SUM(BU$87:BU$94)+SUM(BW$87:BW$94)</f>
        <v>347113.2</v>
      </c>
      <c r="M136" s="116">
        <f>SUM(BY$87:BY$94)+SUM(CA$87:CA$94)+SUM(CC$87:CC$94)+SUM(CE$87:CE$94)</f>
        <v>160004.40000000002</v>
      </c>
      <c r="N136" s="116">
        <f>SUM(CG$87:CG$94)+SUM(CI$87:CI$94)+SUM(CK$87:CK$94)+SUM(CM$87:CM$94)</f>
        <v>452798.39999999997</v>
      </c>
      <c r="O136" s="116">
        <f>SUM(CO$87:CO$94)+SUM(CQ$87:CQ$94)+SUM(CS$87:CS$94)+SUM(CU$87:CU$94)</f>
        <v>347334</v>
      </c>
    </row>
    <row r="137" spans="2:15" x14ac:dyDescent="0.2">
      <c r="C137" s="115" t="s">
        <v>132</v>
      </c>
      <c r="D137" s="116">
        <f>SUM(E$95:E$105)+SUM(G$95:G$105)+SUM(I$95:I$105)+SUM(K$95:K$105)</f>
        <v>575572.79999999993</v>
      </c>
      <c r="E137" s="116">
        <f>SUM(M$95:M$105)+SUM(O$95:O$105)+SUM(Q$95:Q$105)+SUM(S$95:S$105)</f>
        <v>1139838</v>
      </c>
      <c r="F137" s="116">
        <f>SUM(U$95:U$105)+SUM(W$95:W$105)+SUM(Y$95:Y$105)+SUM(AA$95:AA$105)</f>
        <v>593398.79999999993</v>
      </c>
      <c r="G137" s="116">
        <f>SUM(AC$95:AC$105)+SUM(AE$95:AE$105)+SUM(AG$95:AG$105)+SUM(AI$95:AI$105)</f>
        <v>242130</v>
      </c>
      <c r="H137" s="116">
        <f>SUM(AK$95:AK$105)+SUM(AM$95:AM$105)+SUM(AO$95:AO$105)+SUM(AQ$95:AQ$105)</f>
        <v>300213.59999999998</v>
      </c>
      <c r="I137" s="116">
        <f>SUM(AS$95:AS$105)+SUM(AU$95:AU$105)+SUM(AW$95:AW$105)+SUM(AY$95:AY$105)</f>
        <v>139779.6</v>
      </c>
      <c r="J137" s="116">
        <f>SUM(BA$95:BA$105)+SUM(BC$95:BC$105)+SUM(BE$95:BE$105)+SUM(BG$95:BG$105)</f>
        <v>352373.99999999994</v>
      </c>
      <c r="K137" s="116">
        <f>SUM(BI$95:BI$105)+SUM(BK$95:BK$105)+SUM(BM$95:BM$105)+SUM(BO$95:BO$105)</f>
        <v>314245.19999999995</v>
      </c>
      <c r="L137" s="116">
        <f>SUM(BQ$95:BQ$105)+SUM(BS$95:BS$105)+SUM(BU$95:BU$105)+SUM(BW$95:BW$105)</f>
        <v>151906.79999999999</v>
      </c>
      <c r="M137" s="116">
        <f>SUM(BY$95:BY$105)+SUM(CA$95:CA$105)+SUM(CC$95:CC$105)+SUM(CE$95:CE$105)</f>
        <v>368851.19999999995</v>
      </c>
      <c r="N137" s="116">
        <f>SUM(CG$95:CG$105)+SUM(CI$95:CI$105)+SUM(CK$95:CK$105)+SUM(CM$95:CM$105)</f>
        <v>204691.19999999998</v>
      </c>
      <c r="O137" s="116">
        <f>SUM(CO$95:CO$105)+SUM(CQ$95:CQ$105)+SUM(CS$95:CS$105)+SUM(CU$95:CU$105)</f>
        <v>372407.99999999994</v>
      </c>
    </row>
    <row r="138" spans="2:15" x14ac:dyDescent="0.2">
      <c r="C138" s="115" t="s">
        <v>280</v>
      </c>
      <c r="D138" s="110">
        <f t="shared" ref="D138:O138" si="2">SUM(D$131:D$137)</f>
        <v>3845032.8</v>
      </c>
      <c r="E138" s="110">
        <f t="shared" si="2"/>
        <v>4396350</v>
      </c>
      <c r="F138" s="110">
        <f t="shared" si="2"/>
        <v>2898309.6</v>
      </c>
      <c r="G138" s="110">
        <f t="shared" si="2"/>
        <v>4373854.8</v>
      </c>
      <c r="H138" s="110">
        <f t="shared" si="2"/>
        <v>6029440.7999999998</v>
      </c>
      <c r="I138" s="110">
        <f t="shared" si="2"/>
        <v>6234278.4000000004</v>
      </c>
      <c r="J138" s="110">
        <f t="shared" si="2"/>
        <v>3884816.3999999994</v>
      </c>
      <c r="K138" s="110">
        <f t="shared" si="2"/>
        <v>4563978</v>
      </c>
      <c r="L138" s="110">
        <f t="shared" si="2"/>
        <v>5333839.1999999993</v>
      </c>
      <c r="M138" s="110">
        <f t="shared" si="2"/>
        <v>3085800</v>
      </c>
      <c r="N138" s="110">
        <f t="shared" si="2"/>
        <v>1619566.7999999998</v>
      </c>
      <c r="O138" s="110">
        <f t="shared" si="2"/>
        <v>3411126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10"/>
  </cols>
  <sheetData>
    <row r="2" spans="1:99" x14ac:dyDescent="0.2">
      <c r="B2" s="112" t="s">
        <v>274</v>
      </c>
    </row>
    <row r="3" spans="1:99" x14ac:dyDescent="0.2">
      <c r="B3" s="113" t="s">
        <v>284</v>
      </c>
    </row>
    <row r="4" spans="1:99" x14ac:dyDescent="0.2">
      <c r="A4" s="111"/>
      <c r="B4" s="111"/>
      <c r="C4" s="109" t="s">
        <v>276</v>
      </c>
      <c r="D4" s="109" t="s">
        <v>92</v>
      </c>
      <c r="E4" s="111"/>
      <c r="F4" s="111"/>
      <c r="G4" s="111"/>
      <c r="H4" s="111"/>
      <c r="I4" s="111"/>
      <c r="J4" s="111"/>
      <c r="K4" s="111"/>
      <c r="L4" s="109" t="s">
        <v>93</v>
      </c>
      <c r="M4" s="111"/>
      <c r="N4" s="111"/>
      <c r="O4" s="111"/>
      <c r="P4" s="111"/>
      <c r="Q4" s="111"/>
      <c r="R4" s="111"/>
      <c r="S4" s="111"/>
      <c r="T4" s="109" t="s">
        <v>94</v>
      </c>
      <c r="U4" s="111"/>
      <c r="V4" s="111"/>
      <c r="W4" s="111"/>
      <c r="X4" s="111"/>
      <c r="Y4" s="111"/>
      <c r="Z4" s="111"/>
      <c r="AA4" s="111"/>
      <c r="AB4" s="109" t="s">
        <v>95</v>
      </c>
      <c r="AC4" s="111"/>
      <c r="AD4" s="111"/>
      <c r="AE4" s="111"/>
      <c r="AF4" s="111"/>
      <c r="AG4" s="111"/>
      <c r="AH4" s="111"/>
      <c r="AI4" s="111"/>
      <c r="AJ4" s="109" t="s">
        <v>96</v>
      </c>
      <c r="AK4" s="111"/>
      <c r="AL4" s="111"/>
      <c r="AM4" s="111"/>
      <c r="AN4" s="111"/>
      <c r="AO4" s="111"/>
      <c r="AP4" s="111"/>
      <c r="AQ4" s="111"/>
      <c r="AR4" s="109" t="s">
        <v>97</v>
      </c>
      <c r="AS4" s="111"/>
      <c r="AT4" s="111"/>
      <c r="AU4" s="111"/>
      <c r="AV4" s="111"/>
      <c r="AW4" s="111"/>
      <c r="AX4" s="111"/>
      <c r="AY4" s="111"/>
      <c r="AZ4" s="109" t="s">
        <v>98</v>
      </c>
      <c r="BA4" s="111"/>
      <c r="BB4" s="111"/>
      <c r="BC4" s="111"/>
      <c r="BD4" s="111"/>
      <c r="BE4" s="111"/>
      <c r="BF4" s="111"/>
      <c r="BG4" s="111"/>
      <c r="BH4" s="109" t="s">
        <v>99</v>
      </c>
      <c r="BI4" s="111"/>
      <c r="BJ4" s="111"/>
      <c r="BK4" s="111"/>
      <c r="BL4" s="111"/>
      <c r="BM4" s="111"/>
      <c r="BN4" s="111"/>
      <c r="BO4" s="111"/>
      <c r="BP4" s="109" t="s">
        <v>100</v>
      </c>
      <c r="BQ4" s="111"/>
      <c r="BR4" s="111"/>
      <c r="BS4" s="111"/>
      <c r="BT4" s="111"/>
      <c r="BU4" s="111"/>
      <c r="BV4" s="111"/>
      <c r="BW4" s="111"/>
      <c r="BX4" s="109" t="s">
        <v>101</v>
      </c>
      <c r="BY4" s="111"/>
      <c r="BZ4" s="111"/>
      <c r="CA4" s="111"/>
      <c r="CB4" s="111"/>
      <c r="CC4" s="111"/>
      <c r="CD4" s="111"/>
      <c r="CE4" s="111"/>
      <c r="CF4" s="109" t="s">
        <v>102</v>
      </c>
      <c r="CG4" s="111"/>
      <c r="CH4" s="111"/>
      <c r="CI4" s="111"/>
      <c r="CJ4" s="111"/>
      <c r="CK4" s="111"/>
      <c r="CL4" s="111"/>
      <c r="CM4" s="111"/>
      <c r="CN4" s="109" t="s">
        <v>103</v>
      </c>
      <c r="CO4" s="111"/>
      <c r="CP4" s="111"/>
      <c r="CQ4" s="111"/>
      <c r="CR4" s="111"/>
      <c r="CS4" s="111"/>
      <c r="CT4" s="111"/>
      <c r="CU4" s="111"/>
    </row>
    <row r="5" spans="1:99" x14ac:dyDescent="0.2">
      <c r="B5" s="109" t="s">
        <v>169</v>
      </c>
      <c r="C5" s="109" t="s">
        <v>277</v>
      </c>
      <c r="D5" s="109">
        <v>1</v>
      </c>
      <c r="E5" s="109"/>
      <c r="F5" s="109">
        <v>2</v>
      </c>
      <c r="G5" s="109"/>
      <c r="H5" s="109">
        <v>3</v>
      </c>
      <c r="I5" s="109"/>
      <c r="J5" s="109">
        <v>4</v>
      </c>
      <c r="K5" s="109"/>
      <c r="L5" s="109">
        <v>1</v>
      </c>
      <c r="M5" s="109"/>
      <c r="N5" s="109">
        <v>2</v>
      </c>
      <c r="O5" s="109"/>
      <c r="P5" s="109">
        <v>3</v>
      </c>
      <c r="Q5" s="109"/>
      <c r="R5" s="109">
        <v>4</v>
      </c>
      <c r="S5" s="109"/>
      <c r="T5" s="109">
        <v>1</v>
      </c>
      <c r="U5" s="109"/>
      <c r="V5" s="109">
        <v>2</v>
      </c>
      <c r="W5" s="109"/>
      <c r="X5" s="109">
        <v>3</v>
      </c>
      <c r="Y5" s="109"/>
      <c r="Z5" s="109">
        <v>4</v>
      </c>
      <c r="AA5" s="109"/>
      <c r="AB5" s="109">
        <v>1</v>
      </c>
      <c r="AC5" s="109"/>
      <c r="AD5" s="109">
        <v>2</v>
      </c>
      <c r="AE5" s="109"/>
      <c r="AF5" s="109">
        <v>3</v>
      </c>
      <c r="AG5" s="109"/>
      <c r="AH5" s="109">
        <v>4</v>
      </c>
      <c r="AI5" s="109"/>
      <c r="AJ5" s="109">
        <v>1</v>
      </c>
      <c r="AK5" s="109"/>
      <c r="AL5" s="109">
        <v>2</v>
      </c>
      <c r="AM5" s="109"/>
      <c r="AN5" s="109">
        <v>3</v>
      </c>
      <c r="AO5" s="109"/>
      <c r="AP5" s="109">
        <v>4</v>
      </c>
      <c r="AQ5" s="109"/>
      <c r="AR5" s="109">
        <v>1</v>
      </c>
      <c r="AS5" s="109"/>
      <c r="AT5" s="109">
        <v>2</v>
      </c>
      <c r="AU5" s="109"/>
      <c r="AV5" s="109">
        <v>3</v>
      </c>
      <c r="AW5" s="109"/>
      <c r="AX5" s="109">
        <v>4</v>
      </c>
      <c r="AY5" s="109"/>
      <c r="AZ5" s="109">
        <v>1</v>
      </c>
      <c r="BA5" s="109"/>
      <c r="BB5" s="109">
        <v>2</v>
      </c>
      <c r="BC5" s="109"/>
      <c r="BD5" s="109">
        <v>3</v>
      </c>
      <c r="BE5" s="109"/>
      <c r="BF5" s="109">
        <v>4</v>
      </c>
      <c r="BG5" s="109"/>
      <c r="BH5" s="109">
        <v>1</v>
      </c>
      <c r="BI5" s="109"/>
      <c r="BJ5" s="109">
        <v>2</v>
      </c>
      <c r="BK5" s="109"/>
      <c r="BL5" s="109">
        <v>3</v>
      </c>
      <c r="BM5" s="109"/>
      <c r="BN5" s="109">
        <v>4</v>
      </c>
      <c r="BO5" s="109"/>
      <c r="BP5" s="109">
        <v>1</v>
      </c>
      <c r="BQ5" s="109"/>
      <c r="BR5" s="109">
        <v>2</v>
      </c>
      <c r="BS5" s="109"/>
      <c r="BT5" s="109">
        <v>3</v>
      </c>
      <c r="BU5" s="109"/>
      <c r="BV5" s="109">
        <v>4</v>
      </c>
      <c r="BW5" s="109"/>
      <c r="BX5" s="109">
        <v>1</v>
      </c>
      <c r="BY5" s="109"/>
      <c r="BZ5" s="109">
        <v>2</v>
      </c>
      <c r="CA5" s="109"/>
      <c r="CB5" s="109">
        <v>3</v>
      </c>
      <c r="CC5" s="109"/>
      <c r="CD5" s="109">
        <v>4</v>
      </c>
      <c r="CE5" s="109"/>
      <c r="CF5" s="109">
        <v>1</v>
      </c>
      <c r="CG5" s="109"/>
      <c r="CH5" s="109">
        <v>2</v>
      </c>
      <c r="CI5" s="109"/>
      <c r="CJ5" s="109">
        <v>3</v>
      </c>
      <c r="CK5" s="109"/>
      <c r="CL5" s="109">
        <v>4</v>
      </c>
      <c r="CM5" s="109"/>
      <c r="CN5" s="109">
        <v>1</v>
      </c>
      <c r="CO5" s="109"/>
      <c r="CP5" s="109">
        <v>2</v>
      </c>
      <c r="CQ5" s="109"/>
      <c r="CR5" s="109">
        <v>3</v>
      </c>
      <c r="CS5" s="109"/>
      <c r="CT5" s="109">
        <v>4</v>
      </c>
      <c r="CU5" s="109"/>
    </row>
    <row r="6" spans="1:99" x14ac:dyDescent="0.2">
      <c r="B6" s="109" t="s">
        <v>126</v>
      </c>
      <c r="C6" s="109" t="s">
        <v>174</v>
      </c>
      <c r="D6" s="110">
        <v>0</v>
      </c>
      <c r="E6" s="110">
        <v>0</v>
      </c>
      <c r="F6" s="110">
        <v>0.43797506265472524</v>
      </c>
      <c r="G6" s="110">
        <v>299.04937278064637</v>
      </c>
      <c r="H6" s="110">
        <v>1.2381941756300023</v>
      </c>
      <c r="I6" s="110">
        <v>845.43898312016552</v>
      </c>
      <c r="J6" s="110">
        <v>1.3081486488294372</v>
      </c>
      <c r="K6" s="110">
        <v>893.20389742073962</v>
      </c>
      <c r="L6" s="110">
        <v>0</v>
      </c>
      <c r="M6" s="110">
        <v>0</v>
      </c>
      <c r="N6" s="110">
        <v>1.3019251497438848</v>
      </c>
      <c r="O6" s="110">
        <v>888.95449224512447</v>
      </c>
      <c r="P6" s="110">
        <v>1.1350113276608353</v>
      </c>
      <c r="Q6" s="110">
        <v>774.98573452681831</v>
      </c>
      <c r="R6" s="110">
        <v>1.260094208668356</v>
      </c>
      <c r="S6" s="110">
        <v>860.39232567875342</v>
      </c>
      <c r="T6" s="110">
        <v>1.1873200721991535</v>
      </c>
      <c r="U6" s="110">
        <v>810.70214529758198</v>
      </c>
      <c r="V6" s="110">
        <v>2.3769440122752274</v>
      </c>
      <c r="W6" s="110">
        <v>1622.9773715815252</v>
      </c>
      <c r="X6" s="110">
        <v>2.1334521866275211</v>
      </c>
      <c r="Y6" s="110">
        <v>1456.7211530292714</v>
      </c>
      <c r="Z6" s="110">
        <v>2.2700226553216707</v>
      </c>
      <c r="AA6" s="110">
        <v>1549.9714690536366</v>
      </c>
      <c r="AB6" s="110">
        <v>0.8481403327575473</v>
      </c>
      <c r="AC6" s="110">
        <v>579.11021920685323</v>
      </c>
      <c r="AD6" s="110">
        <v>0.60203408955488924</v>
      </c>
      <c r="AE6" s="110">
        <v>411.06887634807833</v>
      </c>
      <c r="AF6" s="110">
        <v>0.53375359807010236</v>
      </c>
      <c r="AG6" s="110">
        <v>364.44695676226587</v>
      </c>
      <c r="AH6" s="110">
        <v>0.44598094472416555</v>
      </c>
      <c r="AI6" s="110">
        <v>304.51578905766024</v>
      </c>
      <c r="AJ6" s="110">
        <v>0.56677002945943067</v>
      </c>
      <c r="AK6" s="110">
        <v>386.99057611489923</v>
      </c>
      <c r="AL6" s="110">
        <v>1.6478078679256016</v>
      </c>
      <c r="AM6" s="110">
        <v>1125.1232122196006</v>
      </c>
      <c r="AN6" s="110">
        <v>2.4481787372609749</v>
      </c>
      <c r="AO6" s="110">
        <v>1671.6164418017936</v>
      </c>
      <c r="AP6" s="110">
        <v>1.8213751098746147</v>
      </c>
      <c r="AQ6" s="110">
        <v>1243.6349250223868</v>
      </c>
      <c r="AR6" s="110">
        <v>1.1623609982068794</v>
      </c>
      <c r="AS6" s="110">
        <v>793.66008957565725</v>
      </c>
      <c r="AT6" s="110">
        <v>0</v>
      </c>
      <c r="AU6" s="110">
        <v>0</v>
      </c>
      <c r="AV6" s="110">
        <v>0.64264163827964671</v>
      </c>
      <c r="AW6" s="110">
        <v>438.79571061734276</v>
      </c>
      <c r="AX6" s="110">
        <v>0</v>
      </c>
      <c r="AY6" s="110">
        <v>0</v>
      </c>
      <c r="AZ6" s="110">
        <v>0.99975091037482888</v>
      </c>
      <c r="BA6" s="110">
        <v>682.6299216039331</v>
      </c>
      <c r="BB6" s="110">
        <v>0</v>
      </c>
      <c r="BC6" s="110">
        <v>0</v>
      </c>
      <c r="BD6" s="110">
        <v>0.61692849090432711</v>
      </c>
      <c r="BE6" s="110">
        <v>421.23877358947453</v>
      </c>
      <c r="BF6" s="110">
        <v>1.5045833098455275</v>
      </c>
      <c r="BG6" s="110">
        <v>1027.3294839625262</v>
      </c>
      <c r="BH6" s="110">
        <v>0.88041811557051253</v>
      </c>
      <c r="BI6" s="110">
        <v>601.14948931154595</v>
      </c>
      <c r="BJ6" s="110">
        <v>0.28510394928112193</v>
      </c>
      <c r="BK6" s="110">
        <v>194.66897656915003</v>
      </c>
      <c r="BL6" s="110">
        <v>0.34129189839057938</v>
      </c>
      <c r="BM6" s="110">
        <v>233.03410822108759</v>
      </c>
      <c r="BN6" s="110">
        <v>1.1784667303716199</v>
      </c>
      <c r="BO6" s="110">
        <v>804.65708349774195</v>
      </c>
      <c r="BP6" s="110">
        <v>0.36156019120687827</v>
      </c>
      <c r="BQ6" s="110">
        <v>246.87329855605645</v>
      </c>
      <c r="BR6" s="110">
        <v>1.2971558030409545</v>
      </c>
      <c r="BS6" s="110">
        <v>885.69798231636366</v>
      </c>
      <c r="BT6" s="110">
        <v>0</v>
      </c>
      <c r="BU6" s="110">
        <v>0</v>
      </c>
      <c r="BV6" s="110">
        <v>0.80396635709309161</v>
      </c>
      <c r="BW6" s="110">
        <v>548.94822862316289</v>
      </c>
      <c r="BX6" s="110">
        <v>0.92570639017615342</v>
      </c>
      <c r="BY6" s="110">
        <v>632.07232321227752</v>
      </c>
      <c r="BZ6" s="110">
        <v>0.41775789055987445</v>
      </c>
      <c r="CA6" s="110">
        <v>285.24508767428227</v>
      </c>
      <c r="CB6" s="110">
        <v>0.73975179183006512</v>
      </c>
      <c r="CC6" s="110">
        <v>505.10252346156841</v>
      </c>
      <c r="CD6" s="110">
        <v>0</v>
      </c>
      <c r="CE6" s="110">
        <v>0</v>
      </c>
      <c r="CF6" s="110">
        <v>0.70800668714106685</v>
      </c>
      <c r="CG6" s="110">
        <v>483.4269659799204</v>
      </c>
      <c r="CH6" s="110">
        <v>0</v>
      </c>
      <c r="CI6" s="110">
        <v>0</v>
      </c>
      <c r="CJ6" s="110">
        <v>3.0438223518930823</v>
      </c>
      <c r="CK6" s="110">
        <v>2078.3219018725963</v>
      </c>
      <c r="CL6" s="110">
        <v>1.0689857379631136</v>
      </c>
      <c r="CM6" s="110">
        <v>729.90346188121396</v>
      </c>
      <c r="CN6" s="110">
        <v>1.0330122217333797</v>
      </c>
      <c r="CO6" s="110">
        <v>705.34074499955159</v>
      </c>
      <c r="CP6" s="110">
        <v>0.82634657688369162</v>
      </c>
      <c r="CQ6" s="110">
        <v>564.22944269618461</v>
      </c>
      <c r="CR6" s="110">
        <v>0</v>
      </c>
      <c r="CS6" s="110">
        <v>0</v>
      </c>
      <c r="CT6" s="110">
        <v>1.6116634165392834</v>
      </c>
      <c r="CU6" s="110">
        <v>1100.4437808130226</v>
      </c>
    </row>
    <row r="7" spans="1:99" x14ac:dyDescent="0.2">
      <c r="C7" s="109" t="s">
        <v>175</v>
      </c>
      <c r="D7" s="110">
        <v>0</v>
      </c>
      <c r="E7" s="110">
        <v>0</v>
      </c>
      <c r="F7" s="110">
        <v>0.36497921887893769</v>
      </c>
      <c r="G7" s="110">
        <v>314.90407004874743</v>
      </c>
      <c r="H7" s="110">
        <v>1.0318284796916684</v>
      </c>
      <c r="I7" s="110">
        <v>890.26161227797138</v>
      </c>
      <c r="J7" s="110">
        <v>1.0901238740245311</v>
      </c>
      <c r="K7" s="110">
        <v>940.55887850836541</v>
      </c>
      <c r="L7" s="110">
        <v>0</v>
      </c>
      <c r="M7" s="110">
        <v>0</v>
      </c>
      <c r="N7" s="110">
        <v>1.3019251497438848</v>
      </c>
      <c r="O7" s="110">
        <v>1123.3010191990238</v>
      </c>
      <c r="P7" s="110">
        <v>1.2971558030409545</v>
      </c>
      <c r="Q7" s="110">
        <v>1119.1860268637354</v>
      </c>
      <c r="R7" s="110">
        <v>1.1025824325848115</v>
      </c>
      <c r="S7" s="110">
        <v>951.30812283417526</v>
      </c>
      <c r="T7" s="110">
        <v>1.3357350812240476</v>
      </c>
      <c r="U7" s="110">
        <v>1152.4722280801082</v>
      </c>
      <c r="V7" s="110">
        <v>2.2371237762590375</v>
      </c>
      <c r="W7" s="110">
        <v>1930.1903941562973</v>
      </c>
      <c r="X7" s="110">
        <v>2.0079549991788435</v>
      </c>
      <c r="Y7" s="110">
        <v>1732.463573291506</v>
      </c>
      <c r="Z7" s="110">
        <v>2.0310729021299156</v>
      </c>
      <c r="AA7" s="110">
        <v>1752.4096999576911</v>
      </c>
      <c r="AB7" s="110">
        <v>0.8481403327575473</v>
      </c>
      <c r="AC7" s="110">
        <v>731.77547910321175</v>
      </c>
      <c r="AD7" s="110">
        <v>0.60203408955488924</v>
      </c>
      <c r="AE7" s="110">
        <v>519.43501246795836</v>
      </c>
      <c r="AF7" s="110">
        <v>0.53375359807010236</v>
      </c>
      <c r="AG7" s="110">
        <v>460.52260441488431</v>
      </c>
      <c r="AH7" s="110">
        <v>0.39023332663364485</v>
      </c>
      <c r="AI7" s="110">
        <v>336.69331421950875</v>
      </c>
      <c r="AJ7" s="110">
        <v>0.64773717652506368</v>
      </c>
      <c r="AK7" s="110">
        <v>558.86763590582495</v>
      </c>
      <c r="AL7" s="110">
        <v>1.9773694415107219</v>
      </c>
      <c r="AM7" s="110">
        <v>1706.0743541354507</v>
      </c>
      <c r="AN7" s="110">
        <v>2.6707404406483359</v>
      </c>
      <c r="AO7" s="110">
        <v>2304.314852191384</v>
      </c>
      <c r="AP7" s="110">
        <v>1.8972657394527237</v>
      </c>
      <c r="AQ7" s="110">
        <v>1636.96087999981</v>
      </c>
      <c r="AR7" s="110">
        <v>1.1623609982068794</v>
      </c>
      <c r="AS7" s="110">
        <v>1002.8850692528955</v>
      </c>
      <c r="AT7" s="110">
        <v>0</v>
      </c>
      <c r="AU7" s="110">
        <v>0</v>
      </c>
      <c r="AV7" s="110">
        <v>0.53553469856637226</v>
      </c>
      <c r="AW7" s="110">
        <v>462.05933792306598</v>
      </c>
      <c r="AX7" s="110">
        <v>0</v>
      </c>
      <c r="AY7" s="110">
        <v>0</v>
      </c>
      <c r="AZ7" s="110">
        <v>0.99975091037482888</v>
      </c>
      <c r="BA7" s="110">
        <v>862.58508547140229</v>
      </c>
      <c r="BB7" s="110">
        <v>0</v>
      </c>
      <c r="BC7" s="110">
        <v>0</v>
      </c>
      <c r="BD7" s="110">
        <v>0.61692849090432711</v>
      </c>
      <c r="BE7" s="110">
        <v>532.28590195225343</v>
      </c>
      <c r="BF7" s="110">
        <v>1.5045833098455275</v>
      </c>
      <c r="BG7" s="110">
        <v>1298.154479734721</v>
      </c>
      <c r="BH7" s="110">
        <v>0.88041811557051253</v>
      </c>
      <c r="BI7" s="110">
        <v>759.62475011423817</v>
      </c>
      <c r="BJ7" s="110">
        <v>0.28510394928112193</v>
      </c>
      <c r="BK7" s="110">
        <v>245.98768743975199</v>
      </c>
      <c r="BL7" s="110">
        <v>0.34129189839057938</v>
      </c>
      <c r="BM7" s="110">
        <v>294.46664993139188</v>
      </c>
      <c r="BN7" s="110">
        <v>1.0475259825525511</v>
      </c>
      <c r="BO7" s="110">
        <v>903.80541774634105</v>
      </c>
      <c r="BP7" s="110">
        <v>0.41321164709357516</v>
      </c>
      <c r="BQ7" s="110">
        <v>356.51900911233662</v>
      </c>
      <c r="BR7" s="110">
        <v>1.0809631692007955</v>
      </c>
      <c r="BS7" s="110">
        <v>932.65502238644626</v>
      </c>
      <c r="BT7" s="110">
        <v>0</v>
      </c>
      <c r="BU7" s="110">
        <v>0</v>
      </c>
      <c r="BV7" s="110">
        <v>0.80396635709309161</v>
      </c>
      <c r="BW7" s="110">
        <v>693.66217289991937</v>
      </c>
      <c r="BX7" s="110">
        <v>0.92570639017615342</v>
      </c>
      <c r="BY7" s="110">
        <v>798.69947344398508</v>
      </c>
      <c r="BZ7" s="110">
        <v>0.41775789055987445</v>
      </c>
      <c r="CA7" s="110">
        <v>360.44150797505966</v>
      </c>
      <c r="CB7" s="110">
        <v>0.73975179183006512</v>
      </c>
      <c r="CC7" s="110">
        <v>638.25784599098017</v>
      </c>
      <c r="CD7" s="110">
        <v>0</v>
      </c>
      <c r="CE7" s="110">
        <v>0</v>
      </c>
      <c r="CF7" s="110">
        <v>0.70800668714106685</v>
      </c>
      <c r="CG7" s="110">
        <v>610.86816966531239</v>
      </c>
      <c r="CH7" s="110">
        <v>0</v>
      </c>
      <c r="CI7" s="110">
        <v>0</v>
      </c>
      <c r="CJ7" s="110">
        <v>3.0438223518930823</v>
      </c>
      <c r="CK7" s="110">
        <v>2626.2099252133512</v>
      </c>
      <c r="CL7" s="110">
        <v>1.0689857379631136</v>
      </c>
      <c r="CM7" s="110">
        <v>922.32089471457437</v>
      </c>
      <c r="CN7" s="110">
        <v>1.0330122217333797</v>
      </c>
      <c r="CO7" s="110">
        <v>891.28294491155998</v>
      </c>
      <c r="CP7" s="110">
        <v>0.9916158922604299</v>
      </c>
      <c r="CQ7" s="110">
        <v>855.56619184229885</v>
      </c>
      <c r="CR7" s="110">
        <v>0</v>
      </c>
      <c r="CS7" s="110">
        <v>0</v>
      </c>
      <c r="CT7" s="110">
        <v>1.4325897035904742</v>
      </c>
      <c r="CU7" s="110">
        <v>1236.038396257861</v>
      </c>
    </row>
    <row r="8" spans="1:99" x14ac:dyDescent="0.2">
      <c r="C8" s="109" t="s">
        <v>176</v>
      </c>
      <c r="D8" s="110">
        <v>0</v>
      </c>
      <c r="E8" s="110">
        <v>0</v>
      </c>
      <c r="F8" s="110">
        <v>0.43797506265472524</v>
      </c>
      <c r="G8" s="110">
        <v>143.48063052568799</v>
      </c>
      <c r="H8" s="110">
        <v>1.2381941756300023</v>
      </c>
      <c r="I8" s="110">
        <v>405.63241193638873</v>
      </c>
      <c r="J8" s="110">
        <v>1.0901238740245311</v>
      </c>
      <c r="K8" s="110">
        <v>357.12458113043635</v>
      </c>
      <c r="L8" s="110">
        <v>0</v>
      </c>
      <c r="M8" s="110">
        <v>0</v>
      </c>
      <c r="N8" s="110">
        <v>1.3019251497438848</v>
      </c>
      <c r="O8" s="110">
        <v>426.51067905609665</v>
      </c>
      <c r="P8" s="110">
        <v>1.2971558030409545</v>
      </c>
      <c r="Q8" s="110">
        <v>424.94824107621662</v>
      </c>
      <c r="R8" s="110">
        <v>0.94507065650126687</v>
      </c>
      <c r="S8" s="110">
        <v>309.60514706981502</v>
      </c>
      <c r="T8" s="110">
        <v>1.3357350812240476</v>
      </c>
      <c r="U8" s="110">
        <v>437.58681260899795</v>
      </c>
      <c r="V8" s="110">
        <v>2.5167642482914174</v>
      </c>
      <c r="W8" s="110">
        <v>824.49196774026825</v>
      </c>
      <c r="X8" s="110">
        <v>2.3844465615248769</v>
      </c>
      <c r="Y8" s="110">
        <v>781.14469355554957</v>
      </c>
      <c r="Z8" s="110">
        <v>2.3894975319175478</v>
      </c>
      <c r="AA8" s="110">
        <v>782.79939145618857</v>
      </c>
      <c r="AB8" s="110">
        <v>0.96930323743719693</v>
      </c>
      <c r="AC8" s="110">
        <v>317.54374058442568</v>
      </c>
      <c r="AD8" s="110">
        <v>0.60203408955488924</v>
      </c>
      <c r="AE8" s="110">
        <v>197.22636773818169</v>
      </c>
      <c r="AF8" s="110">
        <v>0.53375359807010236</v>
      </c>
      <c r="AG8" s="110">
        <v>174.85767872776552</v>
      </c>
      <c r="AH8" s="110">
        <v>0.44598094472416555</v>
      </c>
      <c r="AI8" s="110">
        <v>146.10335749163661</v>
      </c>
      <c r="AJ8" s="110">
        <v>0.68822075005788019</v>
      </c>
      <c r="AK8" s="110">
        <v>225.46111771896153</v>
      </c>
      <c r="AL8" s="110">
        <v>1.9773694415107219</v>
      </c>
      <c r="AM8" s="110">
        <v>647.78622903891244</v>
      </c>
      <c r="AN8" s="110">
        <v>2.7820212923420167</v>
      </c>
      <c r="AO8" s="110">
        <v>911.3901753712446</v>
      </c>
      <c r="AP8" s="110">
        <v>1.8213751098746147</v>
      </c>
      <c r="AQ8" s="110">
        <v>596.6824859949237</v>
      </c>
      <c r="AR8" s="110">
        <v>1.3948331978482553</v>
      </c>
      <c r="AS8" s="110">
        <v>456.94735561508838</v>
      </c>
      <c r="AT8" s="110">
        <v>0</v>
      </c>
      <c r="AU8" s="110">
        <v>0</v>
      </c>
      <c r="AV8" s="110">
        <v>0.64264163827964671</v>
      </c>
      <c r="AW8" s="110">
        <v>210.52940070041225</v>
      </c>
      <c r="AX8" s="110">
        <v>0</v>
      </c>
      <c r="AY8" s="110">
        <v>0</v>
      </c>
      <c r="AZ8" s="110">
        <v>0.99975091037482888</v>
      </c>
      <c r="BA8" s="110">
        <v>327.51839823879391</v>
      </c>
      <c r="BB8" s="110">
        <v>0</v>
      </c>
      <c r="BC8" s="110">
        <v>0</v>
      </c>
      <c r="BD8" s="110">
        <v>0.54838088080384628</v>
      </c>
      <c r="BE8" s="110">
        <v>179.64957655134003</v>
      </c>
      <c r="BF8" s="110">
        <v>1.5045833098455275</v>
      </c>
      <c r="BG8" s="110">
        <v>492.90149230539475</v>
      </c>
      <c r="BH8" s="110">
        <v>0.88041811557051253</v>
      </c>
      <c r="BI8" s="110">
        <v>288.42497466089986</v>
      </c>
      <c r="BJ8" s="110">
        <v>0.24437481366953306</v>
      </c>
      <c r="BK8" s="110">
        <v>80.057188958139022</v>
      </c>
      <c r="BL8" s="110">
        <v>0.34129189839057938</v>
      </c>
      <c r="BM8" s="110">
        <v>111.80722591275379</v>
      </c>
      <c r="BN8" s="110">
        <v>1.1784667303716199</v>
      </c>
      <c r="BO8" s="110">
        <v>386.06570086974261</v>
      </c>
      <c r="BP8" s="110">
        <v>0.46486310298027206</v>
      </c>
      <c r="BQ8" s="110">
        <v>152.2891525363371</v>
      </c>
      <c r="BR8" s="110">
        <v>1.0809631692007955</v>
      </c>
      <c r="BS8" s="110">
        <v>354.12353423018055</v>
      </c>
      <c r="BT8" s="110">
        <v>0</v>
      </c>
      <c r="BU8" s="110">
        <v>0</v>
      </c>
      <c r="BV8" s="110">
        <v>0.91881869382067616</v>
      </c>
      <c r="BW8" s="110">
        <v>301.00500409565348</v>
      </c>
      <c r="BX8" s="110">
        <v>0.92570639017615342</v>
      </c>
      <c r="BY8" s="110">
        <v>303.2614134217078</v>
      </c>
      <c r="BZ8" s="110">
        <v>0.522197363199843</v>
      </c>
      <c r="CA8" s="110">
        <v>171.07185618426854</v>
      </c>
      <c r="CB8" s="110">
        <v>0.82194643536673906</v>
      </c>
      <c r="CC8" s="110">
        <v>269.26965222614371</v>
      </c>
      <c r="CD8" s="110">
        <v>0</v>
      </c>
      <c r="CE8" s="110">
        <v>0</v>
      </c>
      <c r="CF8" s="110">
        <v>0.6293392774587262</v>
      </c>
      <c r="CG8" s="110">
        <v>206.17154729547869</v>
      </c>
      <c r="CH8" s="110">
        <v>0</v>
      </c>
      <c r="CI8" s="110">
        <v>0</v>
      </c>
      <c r="CJ8" s="110">
        <v>3.0438223518930823</v>
      </c>
      <c r="CK8" s="110">
        <v>997.15620248017365</v>
      </c>
      <c r="CL8" s="110">
        <v>1.0689857379631136</v>
      </c>
      <c r="CM8" s="110">
        <v>350.19972775671596</v>
      </c>
      <c r="CN8" s="110">
        <v>1.0330122217333797</v>
      </c>
      <c r="CO8" s="110">
        <v>338.41480383985515</v>
      </c>
      <c r="CP8" s="110">
        <v>0.9916158922604299</v>
      </c>
      <c r="CQ8" s="110">
        <v>324.85336630451678</v>
      </c>
      <c r="CR8" s="110">
        <v>0</v>
      </c>
      <c r="CS8" s="110">
        <v>0</v>
      </c>
      <c r="CT8" s="110">
        <v>1.6116634165392834</v>
      </c>
      <c r="CU8" s="110">
        <v>527.98093525826914</v>
      </c>
    </row>
    <row r="9" spans="1:99" x14ac:dyDescent="0.2">
      <c r="C9" s="109" t="s">
        <v>177</v>
      </c>
      <c r="D9" s="110">
        <v>0</v>
      </c>
      <c r="E9" s="110">
        <v>0</v>
      </c>
      <c r="F9" s="110">
        <v>0.36497921887893769</v>
      </c>
      <c r="G9" s="110">
        <v>293.00531691601117</v>
      </c>
      <c r="H9" s="110">
        <v>1.2381941756300023</v>
      </c>
      <c r="I9" s="110">
        <v>994.02228419576579</v>
      </c>
      <c r="J9" s="110">
        <v>1.3081486488294372</v>
      </c>
      <c r="K9" s="110">
        <v>1050.1817352802721</v>
      </c>
      <c r="L9" s="110">
        <v>0</v>
      </c>
      <c r="M9" s="110">
        <v>0</v>
      </c>
      <c r="N9" s="110">
        <v>1.3019251497438848</v>
      </c>
      <c r="O9" s="110">
        <v>1045.1855102143907</v>
      </c>
      <c r="P9" s="110">
        <v>1.1350113276608353</v>
      </c>
      <c r="Q9" s="110">
        <v>911.18709384611861</v>
      </c>
      <c r="R9" s="110">
        <v>0.94507065650126687</v>
      </c>
      <c r="S9" s="110">
        <v>758.70272303921695</v>
      </c>
      <c r="T9" s="110">
        <v>1.3357350812240476</v>
      </c>
      <c r="U9" s="110">
        <v>1072.3281232066654</v>
      </c>
      <c r="V9" s="110">
        <v>2.2371237762590375</v>
      </c>
      <c r="W9" s="110">
        <v>1795.9629675807553</v>
      </c>
      <c r="X9" s="110">
        <v>2.1334521866275211</v>
      </c>
      <c r="Y9" s="110">
        <v>1712.7354154245738</v>
      </c>
      <c r="Z9" s="110">
        <v>2.3894975319175478</v>
      </c>
      <c r="AA9" s="110">
        <v>1918.2886186234073</v>
      </c>
      <c r="AB9" s="110">
        <v>0.8481403327575473</v>
      </c>
      <c r="AC9" s="110">
        <v>680.88705913775891</v>
      </c>
      <c r="AD9" s="110">
        <v>0.60203408955488924</v>
      </c>
      <c r="AE9" s="110">
        <v>483.31296709466505</v>
      </c>
      <c r="AF9" s="110">
        <v>0.53375359807010236</v>
      </c>
      <c r="AG9" s="110">
        <v>428.49738853067817</v>
      </c>
      <c r="AH9" s="110">
        <v>0.44598094472416555</v>
      </c>
      <c r="AI9" s="110">
        <v>358.03350242456008</v>
      </c>
      <c r="AJ9" s="110">
        <v>0.64773717652506368</v>
      </c>
      <c r="AK9" s="110">
        <v>520.00340531432107</v>
      </c>
      <c r="AL9" s="110">
        <v>1.6478078679256016</v>
      </c>
      <c r="AM9" s="110">
        <v>1322.8601563706729</v>
      </c>
      <c r="AN9" s="110">
        <v>2.7820212923420167</v>
      </c>
      <c r="AO9" s="110">
        <v>2233.4066934921707</v>
      </c>
      <c r="AP9" s="110">
        <v>1.6695938507183969</v>
      </c>
      <c r="AQ9" s="110">
        <v>1340.349943356729</v>
      </c>
      <c r="AR9" s="110">
        <v>1.1623609982068794</v>
      </c>
      <c r="AS9" s="110">
        <v>933.14340936048279</v>
      </c>
      <c r="AT9" s="110">
        <v>0</v>
      </c>
      <c r="AU9" s="110">
        <v>0</v>
      </c>
      <c r="AV9" s="110">
        <v>0.53553469856637226</v>
      </c>
      <c r="AW9" s="110">
        <v>429.92725600908364</v>
      </c>
      <c r="AX9" s="110">
        <v>0</v>
      </c>
      <c r="AY9" s="110">
        <v>0</v>
      </c>
      <c r="AZ9" s="110">
        <v>0.99975091037482888</v>
      </c>
      <c r="BA9" s="110">
        <v>802.60003084891264</v>
      </c>
      <c r="BB9" s="110">
        <v>0</v>
      </c>
      <c r="BC9" s="110">
        <v>0</v>
      </c>
      <c r="BD9" s="110">
        <v>0.54838088080384628</v>
      </c>
      <c r="BE9" s="110">
        <v>440.24017110932778</v>
      </c>
      <c r="BF9" s="110">
        <v>1.7195237826806027</v>
      </c>
      <c r="BG9" s="110">
        <v>1380.4336927359877</v>
      </c>
      <c r="BH9" s="110">
        <v>0.70433449245641</v>
      </c>
      <c r="BI9" s="110">
        <v>565.4397305440059</v>
      </c>
      <c r="BJ9" s="110">
        <v>0.28510394928112193</v>
      </c>
      <c r="BK9" s="110">
        <v>228.88145048288467</v>
      </c>
      <c r="BL9" s="110">
        <v>0.34129189839057938</v>
      </c>
      <c r="BM9" s="110">
        <v>273.9891360279571</v>
      </c>
      <c r="BN9" s="110">
        <v>1.0475259825525511</v>
      </c>
      <c r="BO9" s="110">
        <v>840.95385879318803</v>
      </c>
      <c r="BP9" s="110">
        <v>0.46486310298027206</v>
      </c>
      <c r="BQ9" s="110">
        <v>373.19209907256237</v>
      </c>
      <c r="BR9" s="110">
        <v>1.0809631692007955</v>
      </c>
      <c r="BS9" s="110">
        <v>867.79723223439862</v>
      </c>
      <c r="BT9" s="110">
        <v>0</v>
      </c>
      <c r="BU9" s="110">
        <v>0</v>
      </c>
      <c r="BV9" s="110">
        <v>0.80396635709309161</v>
      </c>
      <c r="BW9" s="110">
        <v>645.42419147433395</v>
      </c>
      <c r="BX9" s="110">
        <v>0.80999309140413434</v>
      </c>
      <c r="BY9" s="110">
        <v>650.26245377923897</v>
      </c>
      <c r="BZ9" s="110">
        <v>0.41775789055987445</v>
      </c>
      <c r="CA9" s="110">
        <v>335.37603454146716</v>
      </c>
      <c r="CB9" s="110">
        <v>0.65755714829339129</v>
      </c>
      <c r="CC9" s="110">
        <v>527.88687864993449</v>
      </c>
      <c r="CD9" s="110">
        <v>0</v>
      </c>
      <c r="CE9" s="110">
        <v>0</v>
      </c>
      <c r="CF9" s="110">
        <v>0.78667409682340761</v>
      </c>
      <c r="CG9" s="110">
        <v>631.54196492983158</v>
      </c>
      <c r="CH9" s="110">
        <v>0</v>
      </c>
      <c r="CI9" s="110">
        <v>0</v>
      </c>
      <c r="CJ9" s="110">
        <v>3.0438223518930823</v>
      </c>
      <c r="CK9" s="110">
        <v>2443.5805840997664</v>
      </c>
      <c r="CL9" s="110">
        <v>1.0689857379631136</v>
      </c>
      <c r="CM9" s="110">
        <v>858.18175043678752</v>
      </c>
      <c r="CN9" s="110">
        <v>0.88543904720003974</v>
      </c>
      <c r="CO9" s="110">
        <v>710.83046709219184</v>
      </c>
      <c r="CP9" s="110">
        <v>0.82634657688369162</v>
      </c>
      <c r="CQ9" s="110">
        <v>663.39103192222763</v>
      </c>
      <c r="CR9" s="110">
        <v>0</v>
      </c>
      <c r="CS9" s="110">
        <v>0</v>
      </c>
      <c r="CT9" s="110">
        <v>1.6116634165392834</v>
      </c>
      <c r="CU9" s="110">
        <v>1293.8433907977367</v>
      </c>
    </row>
    <row r="10" spans="1:99" x14ac:dyDescent="0.2">
      <c r="C10" s="109" t="s">
        <v>178</v>
      </c>
      <c r="D10" s="110">
        <v>0</v>
      </c>
      <c r="E10" s="110">
        <v>0</v>
      </c>
      <c r="F10" s="110">
        <v>0.43797506265472524</v>
      </c>
      <c r="G10" s="110">
        <v>243.864514886151</v>
      </c>
      <c r="H10" s="110">
        <v>1.2381941756300023</v>
      </c>
      <c r="I10" s="110">
        <v>689.42651699078522</v>
      </c>
      <c r="J10" s="110">
        <v>1.3081486488294372</v>
      </c>
      <c r="K10" s="110">
        <v>728.37716766823053</v>
      </c>
      <c r="L10" s="110">
        <v>0</v>
      </c>
      <c r="M10" s="110">
        <v>0</v>
      </c>
      <c r="N10" s="110">
        <v>1.3019251497438848</v>
      </c>
      <c r="O10" s="110">
        <v>724.91192337739506</v>
      </c>
      <c r="P10" s="110">
        <v>1.1350113276608353</v>
      </c>
      <c r="Q10" s="110">
        <v>631.97430724155311</v>
      </c>
      <c r="R10" s="110">
        <v>1.1025824325848115</v>
      </c>
      <c r="S10" s="110">
        <v>613.91789846322297</v>
      </c>
      <c r="T10" s="110">
        <v>1.1873200721991535</v>
      </c>
      <c r="U10" s="110">
        <v>661.09981620048859</v>
      </c>
      <c r="V10" s="110">
        <v>2.0973035402428479</v>
      </c>
      <c r="W10" s="110">
        <v>1167.7786112072176</v>
      </c>
      <c r="X10" s="110">
        <v>2.0079549991788435</v>
      </c>
      <c r="Y10" s="110">
        <v>1118.02934354278</v>
      </c>
      <c r="Z10" s="110">
        <v>2.5089724085134253</v>
      </c>
      <c r="AA10" s="110">
        <v>1396.9958370602751</v>
      </c>
      <c r="AB10" s="110">
        <v>0.96930323743719693</v>
      </c>
      <c r="AC10" s="110">
        <v>539.70804260503121</v>
      </c>
      <c r="AD10" s="110">
        <v>0.60203408955488924</v>
      </c>
      <c r="AE10" s="110">
        <v>335.21258106416229</v>
      </c>
      <c r="AF10" s="110">
        <v>0.53375359807010236</v>
      </c>
      <c r="AG10" s="110">
        <v>297.19400340543297</v>
      </c>
      <c r="AH10" s="110">
        <v>0.39023332663364485</v>
      </c>
      <c r="AI10" s="110">
        <v>217.28191626961345</v>
      </c>
      <c r="AJ10" s="110">
        <v>0.64773717652506368</v>
      </c>
      <c r="AK10" s="110">
        <v>360.66005988915543</v>
      </c>
      <c r="AL10" s="110">
        <v>1.7576617257873084</v>
      </c>
      <c r="AM10" s="110">
        <v>978.66604891837324</v>
      </c>
      <c r="AN10" s="110">
        <v>2.3368978855672942</v>
      </c>
      <c r="AO10" s="110">
        <v>1301.1847426838692</v>
      </c>
      <c r="AP10" s="110">
        <v>1.8213751098746147</v>
      </c>
      <c r="AQ10" s="110">
        <v>1014.1416611781854</v>
      </c>
      <c r="AR10" s="110">
        <v>1.1623609982068794</v>
      </c>
      <c r="AS10" s="110">
        <v>647.20260380159039</v>
      </c>
      <c r="AT10" s="110">
        <v>0</v>
      </c>
      <c r="AU10" s="110">
        <v>0</v>
      </c>
      <c r="AV10" s="110">
        <v>0.64264163827964671</v>
      </c>
      <c r="AW10" s="110">
        <v>357.82286419410724</v>
      </c>
      <c r="AX10" s="110">
        <v>0</v>
      </c>
      <c r="AY10" s="110">
        <v>0</v>
      </c>
      <c r="AZ10" s="110">
        <v>0.99975091037482888</v>
      </c>
      <c r="BA10" s="110">
        <v>556.66130689670467</v>
      </c>
      <c r="BB10" s="110">
        <v>0</v>
      </c>
      <c r="BC10" s="110">
        <v>0</v>
      </c>
      <c r="BD10" s="110">
        <v>0.61692849090432711</v>
      </c>
      <c r="BE10" s="110">
        <v>343.50578373552929</v>
      </c>
      <c r="BF10" s="110">
        <v>1.5045833098455275</v>
      </c>
      <c r="BG10" s="110">
        <v>837.75198692198967</v>
      </c>
      <c r="BH10" s="110">
        <v>0.88041811557051253</v>
      </c>
      <c r="BI10" s="110">
        <v>490.21680674966132</v>
      </c>
      <c r="BJ10" s="110">
        <v>0.32583308489271073</v>
      </c>
      <c r="BK10" s="110">
        <v>181.42386166826131</v>
      </c>
      <c r="BL10" s="110">
        <v>0.34129189839057938</v>
      </c>
      <c r="BM10" s="110">
        <v>190.03132902387458</v>
      </c>
      <c r="BN10" s="110">
        <v>1.0475259825525511</v>
      </c>
      <c r="BO10" s="110">
        <v>583.26246708526048</v>
      </c>
      <c r="BP10" s="110">
        <v>0.41321164709357516</v>
      </c>
      <c r="BQ10" s="110">
        <v>230.07624510170263</v>
      </c>
      <c r="BR10" s="110">
        <v>1.2971558030409545</v>
      </c>
      <c r="BS10" s="110">
        <v>722.25635113320334</v>
      </c>
      <c r="BT10" s="110">
        <v>0</v>
      </c>
      <c r="BU10" s="110">
        <v>0</v>
      </c>
      <c r="BV10" s="110">
        <v>0.91881869382067616</v>
      </c>
      <c r="BW10" s="110">
        <v>511.59824871935245</v>
      </c>
      <c r="BX10" s="110">
        <v>0.92570639017615342</v>
      </c>
      <c r="BY10" s="110">
        <v>515.43331805008222</v>
      </c>
      <c r="BZ10" s="110">
        <v>0.522197363199843</v>
      </c>
      <c r="CA10" s="110">
        <v>290.75949182967258</v>
      </c>
      <c r="CB10" s="110">
        <v>0.73975179183006512</v>
      </c>
      <c r="CC10" s="110">
        <v>411.89379769098025</v>
      </c>
      <c r="CD10" s="110">
        <v>0</v>
      </c>
      <c r="CE10" s="110">
        <v>0</v>
      </c>
      <c r="CF10" s="110">
        <v>0.70800668714106685</v>
      </c>
      <c r="CG10" s="110">
        <v>394.218123400146</v>
      </c>
      <c r="CH10" s="110">
        <v>0</v>
      </c>
      <c r="CI10" s="110">
        <v>0</v>
      </c>
      <c r="CJ10" s="110">
        <v>3.0438223518930823</v>
      </c>
      <c r="CK10" s="110">
        <v>1694.8002855340681</v>
      </c>
      <c r="CL10" s="110">
        <v>1.0689857379631136</v>
      </c>
      <c r="CM10" s="110">
        <v>595.21125889786163</v>
      </c>
      <c r="CN10" s="110">
        <v>1.0330122217333797</v>
      </c>
      <c r="CO10" s="110">
        <v>575.18120506114576</v>
      </c>
      <c r="CP10" s="110">
        <v>0.82634657688369162</v>
      </c>
      <c r="CQ10" s="110">
        <v>460.10977400883945</v>
      </c>
      <c r="CR10" s="110">
        <v>0</v>
      </c>
      <c r="CS10" s="110">
        <v>0</v>
      </c>
      <c r="CT10" s="110">
        <v>1.6116634165392834</v>
      </c>
      <c r="CU10" s="110">
        <v>897.37419032907292</v>
      </c>
    </row>
    <row r="11" spans="1:99" x14ac:dyDescent="0.2">
      <c r="C11" s="109" t="s">
        <v>179</v>
      </c>
      <c r="D11" s="110">
        <v>0</v>
      </c>
      <c r="E11" s="110">
        <v>0</v>
      </c>
      <c r="F11" s="110">
        <v>0.36497921887893769</v>
      </c>
      <c r="G11" s="110">
        <v>218.54955626470789</v>
      </c>
      <c r="H11" s="110">
        <v>1.0318284796916684</v>
      </c>
      <c r="I11" s="110">
        <v>617.85889363937099</v>
      </c>
      <c r="J11" s="110">
        <v>1.0901238740245311</v>
      </c>
      <c r="K11" s="110">
        <v>652.76617576588922</v>
      </c>
      <c r="L11" s="110">
        <v>0</v>
      </c>
      <c r="M11" s="110">
        <v>0</v>
      </c>
      <c r="N11" s="110">
        <v>1.3019251497438848</v>
      </c>
      <c r="O11" s="110">
        <v>779.59277966663819</v>
      </c>
      <c r="P11" s="110">
        <v>1.1350113276608353</v>
      </c>
      <c r="Q11" s="110">
        <v>679.64478300330813</v>
      </c>
      <c r="R11" s="110">
        <v>1.1025824325848115</v>
      </c>
      <c r="S11" s="110">
        <v>660.22636063178504</v>
      </c>
      <c r="T11" s="110">
        <v>1.1873200721991535</v>
      </c>
      <c r="U11" s="110">
        <v>710.96725923285305</v>
      </c>
      <c r="V11" s="110">
        <v>2.2371237762590375</v>
      </c>
      <c r="W11" s="110">
        <v>1339.5897172239115</v>
      </c>
      <c r="X11" s="110">
        <v>2.2589493740761992</v>
      </c>
      <c r="Y11" s="110">
        <v>1352.6588851968279</v>
      </c>
      <c r="Z11" s="110">
        <v>2.5089724085134253</v>
      </c>
      <c r="AA11" s="110">
        <v>1502.3726782178389</v>
      </c>
      <c r="AB11" s="110">
        <v>0.96930323743719693</v>
      </c>
      <c r="AC11" s="110">
        <v>580.41877857739348</v>
      </c>
      <c r="AD11" s="110">
        <v>0.60203408955488924</v>
      </c>
      <c r="AE11" s="110">
        <v>360.49801282546764</v>
      </c>
      <c r="AF11" s="110">
        <v>0.53375359807010236</v>
      </c>
      <c r="AG11" s="110">
        <v>319.61165452437729</v>
      </c>
      <c r="AH11" s="110">
        <v>0.39023332663364485</v>
      </c>
      <c r="AI11" s="110">
        <v>233.67171598822651</v>
      </c>
      <c r="AJ11" s="110">
        <v>0.64773717652506368</v>
      </c>
      <c r="AK11" s="110">
        <v>387.8650213032081</v>
      </c>
      <c r="AL11" s="110">
        <v>1.9773694415107219</v>
      </c>
      <c r="AM11" s="110">
        <v>1184.0488215766202</v>
      </c>
      <c r="AN11" s="110">
        <v>2.7820212923420167</v>
      </c>
      <c r="AO11" s="110">
        <v>1665.8743498543995</v>
      </c>
      <c r="AP11" s="110">
        <v>1.9731563690308325</v>
      </c>
      <c r="AQ11" s="110">
        <v>1181.5260337756624</v>
      </c>
      <c r="AR11" s="110">
        <v>1.3948331978482553</v>
      </c>
      <c r="AS11" s="110">
        <v>835.22611887153528</v>
      </c>
      <c r="AT11" s="110">
        <v>0</v>
      </c>
      <c r="AU11" s="110">
        <v>0</v>
      </c>
      <c r="AV11" s="110">
        <v>0.64264163827964671</v>
      </c>
      <c r="AW11" s="110">
        <v>384.8138130018524</v>
      </c>
      <c r="AX11" s="110">
        <v>0</v>
      </c>
      <c r="AY11" s="110">
        <v>0</v>
      </c>
      <c r="AZ11" s="110">
        <v>0.99975091037482888</v>
      </c>
      <c r="BA11" s="110">
        <v>598.65084513244744</v>
      </c>
      <c r="BB11" s="110">
        <v>0</v>
      </c>
      <c r="BC11" s="110">
        <v>0</v>
      </c>
      <c r="BD11" s="110">
        <v>0.54838088080384628</v>
      </c>
      <c r="BE11" s="110">
        <v>328.37047142534311</v>
      </c>
      <c r="BF11" s="110">
        <v>1.5045833098455275</v>
      </c>
      <c r="BG11" s="110">
        <v>900.9444859355018</v>
      </c>
      <c r="BH11" s="110">
        <v>0.70433449245641</v>
      </c>
      <c r="BI11" s="110">
        <v>421.75549408289828</v>
      </c>
      <c r="BJ11" s="110">
        <v>0.28510394928112193</v>
      </c>
      <c r="BK11" s="110">
        <v>170.7202448295358</v>
      </c>
      <c r="BL11" s="110">
        <v>0.34129189839057938</v>
      </c>
      <c r="BM11" s="110">
        <v>204.36558875627892</v>
      </c>
      <c r="BN11" s="110">
        <v>1.0475259825525511</v>
      </c>
      <c r="BO11" s="110">
        <v>627.25855835246762</v>
      </c>
      <c r="BP11" s="110">
        <v>0.46486310298027206</v>
      </c>
      <c r="BQ11" s="110">
        <v>278.36002606458686</v>
      </c>
      <c r="BR11" s="110">
        <v>1.2971558030409545</v>
      </c>
      <c r="BS11" s="110">
        <v>776.73689486092348</v>
      </c>
      <c r="BT11" s="110">
        <v>0</v>
      </c>
      <c r="BU11" s="110">
        <v>0</v>
      </c>
      <c r="BV11" s="110">
        <v>0.80396635709309161</v>
      </c>
      <c r="BW11" s="110">
        <v>481.41505462734324</v>
      </c>
      <c r="BX11" s="110">
        <v>0.92570639017615342</v>
      </c>
      <c r="BY11" s="110">
        <v>554.31298643748062</v>
      </c>
      <c r="BZ11" s="110">
        <v>0.41775789055987445</v>
      </c>
      <c r="CA11" s="110">
        <v>250.1534248672528</v>
      </c>
      <c r="CB11" s="110">
        <v>0.65755714829339129</v>
      </c>
      <c r="CC11" s="110">
        <v>393.74522039808267</v>
      </c>
      <c r="CD11" s="110">
        <v>0</v>
      </c>
      <c r="CE11" s="110">
        <v>0</v>
      </c>
      <c r="CF11" s="110">
        <v>0.70800668714106685</v>
      </c>
      <c r="CG11" s="110">
        <v>423.95440426007082</v>
      </c>
      <c r="CH11" s="110">
        <v>0</v>
      </c>
      <c r="CI11" s="110">
        <v>0</v>
      </c>
      <c r="CJ11" s="110">
        <v>3.0438223518930823</v>
      </c>
      <c r="CK11" s="110">
        <v>1822.6408243135775</v>
      </c>
      <c r="CL11" s="110">
        <v>1.0689857379631136</v>
      </c>
      <c r="CM11" s="110">
        <v>640.1086598923124</v>
      </c>
      <c r="CN11" s="110">
        <v>1.0330122217333797</v>
      </c>
      <c r="CO11" s="110">
        <v>618.56771837394774</v>
      </c>
      <c r="CP11" s="110">
        <v>0.9916158922604299</v>
      </c>
      <c r="CQ11" s="110">
        <v>593.77959628554538</v>
      </c>
      <c r="CR11" s="110">
        <v>0</v>
      </c>
      <c r="CS11" s="110">
        <v>0</v>
      </c>
      <c r="CT11" s="110">
        <v>1.4325897035904742</v>
      </c>
      <c r="CU11" s="110">
        <v>857.83471450997592</v>
      </c>
    </row>
    <row r="12" spans="1:99" x14ac:dyDescent="0.2">
      <c r="C12" s="109" t="s">
        <v>180</v>
      </c>
      <c r="D12" s="110">
        <v>0</v>
      </c>
      <c r="E12" s="110">
        <v>0</v>
      </c>
      <c r="F12" s="110">
        <v>0.36497921887893769</v>
      </c>
      <c r="G12" s="110">
        <v>220.73943157798149</v>
      </c>
      <c r="H12" s="110">
        <v>1.2381941756300023</v>
      </c>
      <c r="I12" s="110">
        <v>748.8598374210253</v>
      </c>
      <c r="J12" s="110">
        <v>1.3081486488294372</v>
      </c>
      <c r="K12" s="110">
        <v>791.16830281204352</v>
      </c>
      <c r="L12" s="110">
        <v>0</v>
      </c>
      <c r="M12" s="110">
        <v>0</v>
      </c>
      <c r="N12" s="110">
        <v>1.3019251497438848</v>
      </c>
      <c r="O12" s="110">
        <v>787.40433056510153</v>
      </c>
      <c r="P12" s="110">
        <v>1.1350113276608353</v>
      </c>
      <c r="Q12" s="110">
        <v>686.45485096927314</v>
      </c>
      <c r="R12" s="110">
        <v>1.1025824325848115</v>
      </c>
      <c r="S12" s="110">
        <v>666.84185522729388</v>
      </c>
      <c r="T12" s="110">
        <v>1.1873200721991535</v>
      </c>
      <c r="U12" s="110">
        <v>718.09117966604799</v>
      </c>
      <c r="V12" s="110">
        <v>2.3769440122752274</v>
      </c>
      <c r="W12" s="110">
        <v>1437.5757386240575</v>
      </c>
      <c r="X12" s="110">
        <v>2.3844465615248769</v>
      </c>
      <c r="Y12" s="110">
        <v>1442.1132804102454</v>
      </c>
      <c r="Z12" s="110">
        <v>2.2700226553216707</v>
      </c>
      <c r="AA12" s="110">
        <v>1372.9097019385463</v>
      </c>
      <c r="AB12" s="110">
        <v>0.96930323743719693</v>
      </c>
      <c r="AC12" s="110">
        <v>586.2345980020167</v>
      </c>
      <c r="AD12" s="110">
        <v>0.60203408955488924</v>
      </c>
      <c r="AE12" s="110">
        <v>364.11021736279696</v>
      </c>
      <c r="AF12" s="110">
        <v>0.53375359807010236</v>
      </c>
      <c r="AG12" s="110">
        <v>322.8141761127979</v>
      </c>
      <c r="AH12" s="110">
        <v>0.44598094472416555</v>
      </c>
      <c r="AI12" s="110">
        <v>269.7292753691753</v>
      </c>
      <c r="AJ12" s="110">
        <v>0.64773717652506368</v>
      </c>
      <c r="AK12" s="110">
        <v>391.75144436235848</v>
      </c>
      <c r="AL12" s="110">
        <v>1.9773694415107219</v>
      </c>
      <c r="AM12" s="110">
        <v>1195.9130382256844</v>
      </c>
      <c r="AN12" s="110">
        <v>2.4481787372609749</v>
      </c>
      <c r="AO12" s="110">
        <v>1480.6585002954375</v>
      </c>
      <c r="AP12" s="110">
        <v>1.7454844802965057</v>
      </c>
      <c r="AQ12" s="110">
        <v>1055.6690136833265</v>
      </c>
      <c r="AR12" s="110">
        <v>1.1623609982068794</v>
      </c>
      <c r="AS12" s="110">
        <v>702.99593171552067</v>
      </c>
      <c r="AT12" s="110">
        <v>0</v>
      </c>
      <c r="AU12" s="110">
        <v>0</v>
      </c>
      <c r="AV12" s="110">
        <v>0.64264163827964671</v>
      </c>
      <c r="AW12" s="110">
        <v>388.66966283153027</v>
      </c>
      <c r="AX12" s="110">
        <v>0</v>
      </c>
      <c r="AY12" s="110">
        <v>0</v>
      </c>
      <c r="AZ12" s="110">
        <v>1.1997010924497948</v>
      </c>
      <c r="BA12" s="110">
        <v>725.57922071363589</v>
      </c>
      <c r="BB12" s="110">
        <v>0</v>
      </c>
      <c r="BC12" s="110">
        <v>0</v>
      </c>
      <c r="BD12" s="110">
        <v>0.61692849090432711</v>
      </c>
      <c r="BE12" s="110">
        <v>373.118351298937</v>
      </c>
      <c r="BF12" s="110">
        <v>1.5045833098455275</v>
      </c>
      <c r="BG12" s="110">
        <v>909.97198579457495</v>
      </c>
      <c r="BH12" s="110">
        <v>0.70433449245641</v>
      </c>
      <c r="BI12" s="110">
        <v>425.98150103763675</v>
      </c>
      <c r="BJ12" s="110">
        <v>0.28510394928112193</v>
      </c>
      <c r="BK12" s="110">
        <v>172.43086852522254</v>
      </c>
      <c r="BL12" s="110">
        <v>0.34129189839057938</v>
      </c>
      <c r="BM12" s="110">
        <v>206.4133401466224</v>
      </c>
      <c r="BN12" s="110">
        <v>1.1784667303716199</v>
      </c>
      <c r="BO12" s="110">
        <v>712.73667852875565</v>
      </c>
      <c r="BP12" s="110">
        <v>0.41321164709357516</v>
      </c>
      <c r="BQ12" s="110">
        <v>249.91040416219423</v>
      </c>
      <c r="BR12" s="110">
        <v>1.0809631692007955</v>
      </c>
      <c r="BS12" s="110">
        <v>653.76652473264107</v>
      </c>
      <c r="BT12" s="110">
        <v>0</v>
      </c>
      <c r="BU12" s="110">
        <v>0</v>
      </c>
      <c r="BV12" s="110">
        <v>0.80396635709309161</v>
      </c>
      <c r="BW12" s="110">
        <v>486.23885276990177</v>
      </c>
      <c r="BX12" s="110">
        <v>0.92570639017615342</v>
      </c>
      <c r="BY12" s="110">
        <v>559.86722477853755</v>
      </c>
      <c r="BZ12" s="110">
        <v>0.41775789055987445</v>
      </c>
      <c r="CA12" s="110">
        <v>252.65997221061204</v>
      </c>
      <c r="CB12" s="110">
        <v>0.73975179183006512</v>
      </c>
      <c r="CC12" s="110">
        <v>447.40188369882333</v>
      </c>
      <c r="CD12" s="110">
        <v>0</v>
      </c>
      <c r="CE12" s="110">
        <v>0</v>
      </c>
      <c r="CF12" s="110">
        <v>0.70800668714106685</v>
      </c>
      <c r="CG12" s="110">
        <v>428.20244438291718</v>
      </c>
      <c r="CH12" s="110">
        <v>0</v>
      </c>
      <c r="CI12" s="110">
        <v>0</v>
      </c>
      <c r="CJ12" s="110">
        <v>3.0438223518930823</v>
      </c>
      <c r="CK12" s="110">
        <v>1840.9037584249361</v>
      </c>
      <c r="CL12" s="110">
        <v>1.0689857379631136</v>
      </c>
      <c r="CM12" s="110">
        <v>646.52257432009105</v>
      </c>
      <c r="CN12" s="110">
        <v>1.0330122217333797</v>
      </c>
      <c r="CO12" s="110">
        <v>624.76579170434798</v>
      </c>
      <c r="CP12" s="110">
        <v>0.82634657688369162</v>
      </c>
      <c r="CQ12" s="110">
        <v>499.77440969925664</v>
      </c>
      <c r="CR12" s="110">
        <v>0</v>
      </c>
      <c r="CS12" s="110">
        <v>0</v>
      </c>
      <c r="CT12" s="110">
        <v>1.6116634165392834</v>
      </c>
      <c r="CU12" s="110">
        <v>974.73403432295845</v>
      </c>
    </row>
    <row r="13" spans="1:99" x14ac:dyDescent="0.2">
      <c r="C13" s="109" t="s">
        <v>181</v>
      </c>
      <c r="D13" s="110">
        <v>0</v>
      </c>
      <c r="E13" s="110">
        <v>0</v>
      </c>
      <c r="F13" s="110">
        <v>0.43797506265472524</v>
      </c>
      <c r="G13" s="110">
        <v>73.054240450808166</v>
      </c>
      <c r="H13" s="110">
        <v>1.0318284796916684</v>
      </c>
      <c r="I13" s="110">
        <v>172.10899041257025</v>
      </c>
      <c r="J13" s="110">
        <v>1.3081486488294372</v>
      </c>
      <c r="K13" s="110">
        <v>218.19919462475011</v>
      </c>
      <c r="L13" s="110">
        <v>0</v>
      </c>
      <c r="M13" s="110">
        <v>0</v>
      </c>
      <c r="N13" s="110">
        <v>1.3019251497438848</v>
      </c>
      <c r="O13" s="110">
        <v>217.16111497727996</v>
      </c>
      <c r="P13" s="110">
        <v>1.2971558030409545</v>
      </c>
      <c r="Q13" s="110">
        <v>216.36558794723118</v>
      </c>
      <c r="R13" s="110">
        <v>1.1025824325848115</v>
      </c>
      <c r="S13" s="110">
        <v>183.91074975514653</v>
      </c>
      <c r="T13" s="110">
        <v>1.4099425857364947</v>
      </c>
      <c r="U13" s="110">
        <v>235.1784233008473</v>
      </c>
      <c r="V13" s="110">
        <v>2.3769440122752274</v>
      </c>
      <c r="W13" s="110">
        <v>396.47426124750791</v>
      </c>
      <c r="X13" s="110">
        <v>2.0079549991788435</v>
      </c>
      <c r="Y13" s="110">
        <v>334.92689386303107</v>
      </c>
      <c r="Z13" s="110">
        <v>2.5089724085134253</v>
      </c>
      <c r="AA13" s="110">
        <v>418.49659774003931</v>
      </c>
      <c r="AB13" s="110">
        <v>0.96930323743719693</v>
      </c>
      <c r="AC13" s="110">
        <v>161.67978000452442</v>
      </c>
      <c r="AD13" s="110">
        <v>0.60203408955488924</v>
      </c>
      <c r="AE13" s="110">
        <v>100.41928613775552</v>
      </c>
      <c r="AF13" s="110">
        <v>0.64050431768412286</v>
      </c>
      <c r="AG13" s="110">
        <v>106.83612018971168</v>
      </c>
      <c r="AH13" s="110">
        <v>0.44598094472416555</v>
      </c>
      <c r="AI13" s="110">
        <v>74.389621579990802</v>
      </c>
      <c r="AJ13" s="110">
        <v>0.72870432359069659</v>
      </c>
      <c r="AK13" s="110">
        <v>121.54788117492818</v>
      </c>
      <c r="AL13" s="110">
        <v>1.7576617257873084</v>
      </c>
      <c r="AM13" s="110">
        <v>293.17797586132303</v>
      </c>
      <c r="AN13" s="110">
        <v>2.8933021440356974</v>
      </c>
      <c r="AO13" s="110">
        <v>482.60279762515427</v>
      </c>
      <c r="AP13" s="110">
        <v>1.8972657394527237</v>
      </c>
      <c r="AQ13" s="110">
        <v>316.4639253407143</v>
      </c>
      <c r="AR13" s="110">
        <v>1.3948331978482553</v>
      </c>
      <c r="AS13" s="110">
        <v>232.65817740108898</v>
      </c>
      <c r="AT13" s="110">
        <v>0</v>
      </c>
      <c r="AU13" s="110">
        <v>0</v>
      </c>
      <c r="AV13" s="110">
        <v>0.64264163827964671</v>
      </c>
      <c r="AW13" s="110">
        <v>107.19262526504507</v>
      </c>
      <c r="AX13" s="110">
        <v>0</v>
      </c>
      <c r="AY13" s="110">
        <v>0</v>
      </c>
      <c r="AZ13" s="110">
        <v>1.1997010924497948</v>
      </c>
      <c r="BA13" s="110">
        <v>200.11014222062576</v>
      </c>
      <c r="BB13" s="110">
        <v>0</v>
      </c>
      <c r="BC13" s="110">
        <v>0</v>
      </c>
      <c r="BD13" s="110">
        <v>0.61692849090432711</v>
      </c>
      <c r="BE13" s="110">
        <v>102.90367228284175</v>
      </c>
      <c r="BF13" s="110">
        <v>1.5045833098455275</v>
      </c>
      <c r="BG13" s="110">
        <v>250.96449608223395</v>
      </c>
      <c r="BH13" s="110">
        <v>0.70433449245641</v>
      </c>
      <c r="BI13" s="110">
        <v>117.48299334172917</v>
      </c>
      <c r="BJ13" s="110">
        <v>0.32583308489271073</v>
      </c>
      <c r="BK13" s="110">
        <v>54.348958560104144</v>
      </c>
      <c r="BL13" s="110">
        <v>0.34129189839057938</v>
      </c>
      <c r="BM13" s="110">
        <v>56.927488651548636</v>
      </c>
      <c r="BN13" s="110">
        <v>1.0475259825525511</v>
      </c>
      <c r="BO13" s="110">
        <v>174.7273338897655</v>
      </c>
      <c r="BP13" s="110">
        <v>0.41321164709357516</v>
      </c>
      <c r="BQ13" s="110">
        <v>68.923702735208323</v>
      </c>
      <c r="BR13" s="110">
        <v>1.2971558030409545</v>
      </c>
      <c r="BS13" s="110">
        <v>216.36558794723118</v>
      </c>
      <c r="BT13" s="110">
        <v>0</v>
      </c>
      <c r="BU13" s="110">
        <v>0</v>
      </c>
      <c r="BV13" s="110">
        <v>0.91881869382067616</v>
      </c>
      <c r="BW13" s="110">
        <v>153.25895812928877</v>
      </c>
      <c r="BX13" s="110">
        <v>0.80999309140413434</v>
      </c>
      <c r="BY13" s="110">
        <v>135.10684764620959</v>
      </c>
      <c r="BZ13" s="110">
        <v>0.41775789055987445</v>
      </c>
      <c r="CA13" s="110">
        <v>69.682016145387053</v>
      </c>
      <c r="CB13" s="110">
        <v>0.73975179183006512</v>
      </c>
      <c r="CC13" s="110">
        <v>123.39059887725485</v>
      </c>
      <c r="CD13" s="110">
        <v>0</v>
      </c>
      <c r="CE13" s="110">
        <v>0</v>
      </c>
      <c r="CF13" s="110">
        <v>0.70800668714106685</v>
      </c>
      <c r="CG13" s="110">
        <v>118.09551541512994</v>
      </c>
      <c r="CH13" s="110">
        <v>0</v>
      </c>
      <c r="CI13" s="110">
        <v>0</v>
      </c>
      <c r="CJ13" s="110">
        <v>3.0438223518930823</v>
      </c>
      <c r="CK13" s="110">
        <v>507.70956829576608</v>
      </c>
      <c r="CL13" s="110">
        <v>1.0689857379631136</v>
      </c>
      <c r="CM13" s="110">
        <v>178.30682109224733</v>
      </c>
      <c r="CN13" s="110">
        <v>1.0330122217333797</v>
      </c>
      <c r="CO13" s="110">
        <v>172.30643858512772</v>
      </c>
      <c r="CP13" s="110">
        <v>0.9916158922604299</v>
      </c>
      <c r="CQ13" s="110">
        <v>165.4015308290397</v>
      </c>
      <c r="CR13" s="110">
        <v>0</v>
      </c>
      <c r="CS13" s="110">
        <v>0</v>
      </c>
      <c r="CT13" s="110">
        <v>1.4325897035904742</v>
      </c>
      <c r="CU13" s="110">
        <v>238.95596255889109</v>
      </c>
    </row>
    <row r="14" spans="1:99" x14ac:dyDescent="0.2">
      <c r="C14" s="109" t="s">
        <v>182</v>
      </c>
      <c r="D14" s="110">
        <v>0</v>
      </c>
      <c r="E14" s="110">
        <v>0</v>
      </c>
      <c r="F14" s="110">
        <v>0.36497921887893769</v>
      </c>
      <c r="G14" s="110">
        <v>182.19762606436569</v>
      </c>
      <c r="H14" s="110">
        <v>1.0318284796916684</v>
      </c>
      <c r="I14" s="110">
        <v>515.08877706208079</v>
      </c>
      <c r="J14" s="110">
        <v>1.3081486488294372</v>
      </c>
      <c r="K14" s="110">
        <v>653.027805495655</v>
      </c>
      <c r="L14" s="110">
        <v>0</v>
      </c>
      <c r="M14" s="110">
        <v>0</v>
      </c>
      <c r="N14" s="110">
        <v>1.3019251497438848</v>
      </c>
      <c r="O14" s="110">
        <v>649.92103475214731</v>
      </c>
      <c r="P14" s="110">
        <v>1.2971558030409545</v>
      </c>
      <c r="Q14" s="110">
        <v>647.54017687804446</v>
      </c>
      <c r="R14" s="110">
        <v>1.260094208668356</v>
      </c>
      <c r="S14" s="110">
        <v>629.03902896724333</v>
      </c>
      <c r="T14" s="110">
        <v>1.1873200721991535</v>
      </c>
      <c r="U14" s="110">
        <v>592.71018004181735</v>
      </c>
      <c r="V14" s="110">
        <v>2.0973035402428479</v>
      </c>
      <c r="W14" s="110">
        <v>1046.9739272892296</v>
      </c>
      <c r="X14" s="110">
        <v>2.1334521866275211</v>
      </c>
      <c r="Y14" s="110">
        <v>1065.0193315644585</v>
      </c>
      <c r="Z14" s="110">
        <v>2.2700226553216707</v>
      </c>
      <c r="AA14" s="110">
        <v>1133.195309536578</v>
      </c>
      <c r="AB14" s="110">
        <v>0.8481403327575473</v>
      </c>
      <c r="AC14" s="110">
        <v>423.39165411256761</v>
      </c>
      <c r="AD14" s="110">
        <v>0.60203408955488924</v>
      </c>
      <c r="AE14" s="110">
        <v>300.53541750580069</v>
      </c>
      <c r="AF14" s="110">
        <v>0.53375359807010236</v>
      </c>
      <c r="AG14" s="110">
        <v>266.44979615659508</v>
      </c>
      <c r="AH14" s="110">
        <v>0.39023332663364485</v>
      </c>
      <c r="AI14" s="110">
        <v>194.80447665551551</v>
      </c>
      <c r="AJ14" s="110">
        <v>0.64773717652506368</v>
      </c>
      <c r="AK14" s="110">
        <v>323.35039852131177</v>
      </c>
      <c r="AL14" s="110">
        <v>1.6478078679256016</v>
      </c>
      <c r="AM14" s="110">
        <v>822.58568766846031</v>
      </c>
      <c r="AN14" s="110">
        <v>2.5594595889546552</v>
      </c>
      <c r="AO14" s="110">
        <v>1277.682226806164</v>
      </c>
      <c r="AP14" s="110">
        <v>1.9731563690308325</v>
      </c>
      <c r="AQ14" s="110">
        <v>984.99965942019151</v>
      </c>
      <c r="AR14" s="110">
        <v>1.3948331978482553</v>
      </c>
      <c r="AS14" s="110">
        <v>696.30073236584906</v>
      </c>
      <c r="AT14" s="110">
        <v>0</v>
      </c>
      <c r="AU14" s="110">
        <v>0</v>
      </c>
      <c r="AV14" s="110">
        <v>0.64264163827964671</v>
      </c>
      <c r="AW14" s="110">
        <v>320.80670582919964</v>
      </c>
      <c r="AX14" s="110">
        <v>0</v>
      </c>
      <c r="AY14" s="110">
        <v>0</v>
      </c>
      <c r="AZ14" s="110">
        <v>0.99975091037482888</v>
      </c>
      <c r="BA14" s="110">
        <v>499.07565445911456</v>
      </c>
      <c r="BB14" s="110">
        <v>0</v>
      </c>
      <c r="BC14" s="110">
        <v>0</v>
      </c>
      <c r="BD14" s="110">
        <v>0.54838088080384628</v>
      </c>
      <c r="BE14" s="110">
        <v>273.75173569728008</v>
      </c>
      <c r="BF14" s="110">
        <v>1.5045833098455275</v>
      </c>
      <c r="BG14" s="110">
        <v>751.08798827488727</v>
      </c>
      <c r="BH14" s="110">
        <v>0.70433449245641</v>
      </c>
      <c r="BI14" s="110">
        <v>351.60377863423986</v>
      </c>
      <c r="BJ14" s="110">
        <v>0.28510394928112193</v>
      </c>
      <c r="BK14" s="110">
        <v>142.32389148113606</v>
      </c>
      <c r="BL14" s="110">
        <v>0.34129189839057938</v>
      </c>
      <c r="BM14" s="110">
        <v>170.37291567657724</v>
      </c>
      <c r="BN14" s="110">
        <v>1.0475259825525511</v>
      </c>
      <c r="BO14" s="110">
        <v>522.92497049023348</v>
      </c>
      <c r="BP14" s="110">
        <v>0.46486310298027206</v>
      </c>
      <c r="BQ14" s="110">
        <v>232.0596610077518</v>
      </c>
      <c r="BR14" s="110">
        <v>1.0809631692007955</v>
      </c>
      <c r="BS14" s="110">
        <v>539.61681406503715</v>
      </c>
      <c r="BT14" s="110">
        <v>0</v>
      </c>
      <c r="BU14" s="110">
        <v>0</v>
      </c>
      <c r="BV14" s="110">
        <v>0.80396635709309161</v>
      </c>
      <c r="BW14" s="110">
        <v>401.34000546087134</v>
      </c>
      <c r="BX14" s="110">
        <v>0.92570639017615342</v>
      </c>
      <c r="BY14" s="110">
        <v>462.11262997593576</v>
      </c>
      <c r="BZ14" s="110">
        <v>0.41775789055987445</v>
      </c>
      <c r="CA14" s="110">
        <v>208.54473896748931</v>
      </c>
      <c r="CB14" s="110">
        <v>0.73975179183006512</v>
      </c>
      <c r="CC14" s="110">
        <v>369.2840944815685</v>
      </c>
      <c r="CD14" s="110">
        <v>0</v>
      </c>
      <c r="CE14" s="110">
        <v>0</v>
      </c>
      <c r="CF14" s="110">
        <v>0.70800668714106685</v>
      </c>
      <c r="CG14" s="110">
        <v>353.43693822082054</v>
      </c>
      <c r="CH14" s="110">
        <v>0</v>
      </c>
      <c r="CI14" s="110">
        <v>0</v>
      </c>
      <c r="CJ14" s="110">
        <v>3.0438223518930823</v>
      </c>
      <c r="CK14" s="110">
        <v>1519.4761180650266</v>
      </c>
      <c r="CL14" s="110">
        <v>1.0689857379631136</v>
      </c>
      <c r="CM14" s="110">
        <v>533.63768039118634</v>
      </c>
      <c r="CN14" s="110">
        <v>1.0330122217333797</v>
      </c>
      <c r="CO14" s="110">
        <v>515.67970108930308</v>
      </c>
      <c r="CP14" s="110">
        <v>0.9916158922604299</v>
      </c>
      <c r="CQ14" s="110">
        <v>495.01465341640659</v>
      </c>
      <c r="CR14" s="110">
        <v>0</v>
      </c>
      <c r="CS14" s="110">
        <v>0</v>
      </c>
      <c r="CT14" s="110">
        <v>1.6116634165392834</v>
      </c>
      <c r="CU14" s="110">
        <v>804.54237753641019</v>
      </c>
    </row>
    <row r="15" spans="1:99" x14ac:dyDescent="0.2">
      <c r="C15" s="109" t="s">
        <v>183</v>
      </c>
      <c r="D15" s="110">
        <v>0</v>
      </c>
      <c r="E15" s="110">
        <v>0</v>
      </c>
      <c r="F15" s="110">
        <v>0.36497921887893769</v>
      </c>
      <c r="G15" s="110">
        <v>300.88886804379621</v>
      </c>
      <c r="H15" s="110">
        <v>1.0318284796916684</v>
      </c>
      <c r="I15" s="110">
        <v>850.6393986578114</v>
      </c>
      <c r="J15" s="110">
        <v>1.0901238740245311</v>
      </c>
      <c r="K15" s="110">
        <v>898.69812174582341</v>
      </c>
      <c r="L15" s="110">
        <v>0</v>
      </c>
      <c r="M15" s="110">
        <v>0</v>
      </c>
      <c r="N15" s="110">
        <v>1.3019251497438848</v>
      </c>
      <c r="O15" s="110">
        <v>1073.3070934488587</v>
      </c>
      <c r="P15" s="110">
        <v>1.1350113276608353</v>
      </c>
      <c r="Q15" s="110">
        <v>935.70333852359261</v>
      </c>
      <c r="R15" s="110">
        <v>1.1025824325848115</v>
      </c>
      <c r="S15" s="110">
        <v>908.96895742291861</v>
      </c>
      <c r="T15" s="110">
        <v>1.3357350812240476</v>
      </c>
      <c r="U15" s="110">
        <v>1101.1800009611047</v>
      </c>
      <c r="V15" s="110">
        <v>2.3769440122752274</v>
      </c>
      <c r="W15" s="110">
        <v>1959.5526437196975</v>
      </c>
      <c r="X15" s="110">
        <v>2.0079549991788435</v>
      </c>
      <c r="Y15" s="110">
        <v>1655.3581013230385</v>
      </c>
      <c r="Z15" s="110">
        <v>2.5089724085134253</v>
      </c>
      <c r="AA15" s="110">
        <v>2068.3968535784679</v>
      </c>
      <c r="AB15" s="110">
        <v>0.96930323743719693</v>
      </c>
      <c r="AC15" s="110">
        <v>799.09358894322509</v>
      </c>
      <c r="AD15" s="110">
        <v>0.48162727164391139</v>
      </c>
      <c r="AE15" s="110">
        <v>397.05352274324053</v>
      </c>
      <c r="AF15" s="110">
        <v>0.53375359807010236</v>
      </c>
      <c r="AG15" s="110">
        <v>440.02646624899239</v>
      </c>
      <c r="AH15" s="110">
        <v>0.39023332663364485</v>
      </c>
      <c r="AI15" s="110">
        <v>321.70835447677683</v>
      </c>
      <c r="AJ15" s="110">
        <v>0.64773717652506368</v>
      </c>
      <c r="AK15" s="110">
        <v>533.99452832726251</v>
      </c>
      <c r="AL15" s="110">
        <v>1.6478078679256016</v>
      </c>
      <c r="AM15" s="110">
        <v>1358.4528063178659</v>
      </c>
      <c r="AN15" s="110">
        <v>2.5594595889546552</v>
      </c>
      <c r="AO15" s="110">
        <v>2110.0184851342178</v>
      </c>
      <c r="AP15" s="110">
        <v>1.7454844802965057</v>
      </c>
      <c r="AQ15" s="110">
        <v>1438.9774055564392</v>
      </c>
      <c r="AR15" s="110">
        <v>1.3948331978482553</v>
      </c>
      <c r="AS15" s="110">
        <v>1149.9004883061016</v>
      </c>
      <c r="AT15" s="110">
        <v>0</v>
      </c>
      <c r="AU15" s="110">
        <v>0</v>
      </c>
      <c r="AV15" s="110">
        <v>0.53553469856637226</v>
      </c>
      <c r="AW15" s="110">
        <v>441.49480549811727</v>
      </c>
      <c r="AX15" s="110">
        <v>0</v>
      </c>
      <c r="AY15" s="110">
        <v>0</v>
      </c>
      <c r="AZ15" s="110">
        <v>1.1997010924497948</v>
      </c>
      <c r="BA15" s="110">
        <v>989.03358061561084</v>
      </c>
      <c r="BB15" s="110">
        <v>0</v>
      </c>
      <c r="BC15" s="110">
        <v>0</v>
      </c>
      <c r="BD15" s="110">
        <v>0.61692849090432711</v>
      </c>
      <c r="BE15" s="110">
        <v>508.59584790152724</v>
      </c>
      <c r="BF15" s="110">
        <v>1.5045833098455275</v>
      </c>
      <c r="BG15" s="110">
        <v>1240.3784806366527</v>
      </c>
      <c r="BH15" s="110">
        <v>0.70433449245641</v>
      </c>
      <c r="BI15" s="110">
        <v>580.65335558106437</v>
      </c>
      <c r="BJ15" s="110">
        <v>0.24437481366953306</v>
      </c>
      <c r="BK15" s="110">
        <v>201.46259638916305</v>
      </c>
      <c r="BL15" s="110">
        <v>0.28440991532548282</v>
      </c>
      <c r="BM15" s="110">
        <v>234.46753419432804</v>
      </c>
      <c r="BN15" s="110">
        <v>1.0475259825525511</v>
      </c>
      <c r="BO15" s="110">
        <v>863.58042001632316</v>
      </c>
      <c r="BP15" s="110">
        <v>0.36156019120687827</v>
      </c>
      <c r="BQ15" s="110">
        <v>298.07022163095041</v>
      </c>
      <c r="BR15" s="110">
        <v>1.0809631692007955</v>
      </c>
      <c r="BS15" s="110">
        <v>891.14603668913583</v>
      </c>
      <c r="BT15" s="110">
        <v>0</v>
      </c>
      <c r="BU15" s="110">
        <v>0</v>
      </c>
      <c r="BV15" s="110">
        <v>0.80396635709309161</v>
      </c>
      <c r="BW15" s="110">
        <v>662.78986478754473</v>
      </c>
      <c r="BX15" s="110">
        <v>0.80999309140413434</v>
      </c>
      <c r="BY15" s="110">
        <v>667.75830455356834</v>
      </c>
      <c r="BZ15" s="110">
        <v>0.41775789055987445</v>
      </c>
      <c r="CA15" s="110">
        <v>344.3996049775605</v>
      </c>
      <c r="CB15" s="110">
        <v>0.65755714829339129</v>
      </c>
      <c r="CC15" s="110">
        <v>542.09011305307172</v>
      </c>
      <c r="CD15" s="110">
        <v>0</v>
      </c>
      <c r="CE15" s="110">
        <v>0</v>
      </c>
      <c r="CF15" s="110">
        <v>0.6293392774587262</v>
      </c>
      <c r="CG15" s="110">
        <v>518.82730033697385</v>
      </c>
      <c r="CH15" s="110">
        <v>0</v>
      </c>
      <c r="CI15" s="110">
        <v>0</v>
      </c>
      <c r="CJ15" s="110">
        <v>2.6089905873369275</v>
      </c>
      <c r="CK15" s="110">
        <v>2150.8518402005629</v>
      </c>
      <c r="CL15" s="110">
        <v>1.0689857379631136</v>
      </c>
      <c r="CM15" s="110">
        <v>881.2718423767908</v>
      </c>
      <c r="CN15" s="110">
        <v>1.0330122217333797</v>
      </c>
      <c r="CO15" s="110">
        <v>851.61527559699823</v>
      </c>
      <c r="CP15" s="110">
        <v>0.9916158922604299</v>
      </c>
      <c r="CQ15" s="110">
        <v>817.48814157949835</v>
      </c>
      <c r="CR15" s="110">
        <v>0</v>
      </c>
      <c r="CS15" s="110">
        <v>0</v>
      </c>
      <c r="CT15" s="110">
        <v>1.6116634165392834</v>
      </c>
      <c r="CU15" s="110">
        <v>1328.6553205949851</v>
      </c>
    </row>
    <row r="16" spans="1:99" x14ac:dyDescent="0.2">
      <c r="C16" s="109" t="s">
        <v>184</v>
      </c>
      <c r="D16" s="110">
        <v>0</v>
      </c>
      <c r="E16" s="110">
        <v>0</v>
      </c>
      <c r="F16" s="110">
        <v>0.36497921887893769</v>
      </c>
      <c r="G16" s="110">
        <v>185.70142656560347</v>
      </c>
      <c r="H16" s="110">
        <v>1.2381941756300023</v>
      </c>
      <c r="I16" s="110">
        <v>629.99319656054502</v>
      </c>
      <c r="J16" s="110">
        <v>1.0901238740245311</v>
      </c>
      <c r="K16" s="110">
        <v>554.65502710368139</v>
      </c>
      <c r="L16" s="110">
        <v>0</v>
      </c>
      <c r="M16" s="110">
        <v>0</v>
      </c>
      <c r="N16" s="110">
        <v>1.3019251497438848</v>
      </c>
      <c r="O16" s="110">
        <v>662.41951618968847</v>
      </c>
      <c r="P16" s="110">
        <v>1.1350113276608353</v>
      </c>
      <c r="Q16" s="110">
        <v>577.49376351383296</v>
      </c>
      <c r="R16" s="110">
        <v>1.260094208668356</v>
      </c>
      <c r="S16" s="110">
        <v>641.13593337045938</v>
      </c>
      <c r="T16" s="110">
        <v>1.2615275767116005</v>
      </c>
      <c r="U16" s="110">
        <v>641.86523103086222</v>
      </c>
      <c r="V16" s="110">
        <v>2.3769440122752274</v>
      </c>
      <c r="W16" s="110">
        <v>1209.3891134456355</v>
      </c>
      <c r="X16" s="110">
        <v>2.2589493740761992</v>
      </c>
      <c r="Y16" s="110">
        <v>1149.35344152997</v>
      </c>
      <c r="Z16" s="110">
        <v>2.5089724085134253</v>
      </c>
      <c r="AA16" s="110">
        <v>1276.5651614516305</v>
      </c>
      <c r="AB16" s="110">
        <v>0.8481403327575473</v>
      </c>
      <c r="AC16" s="110">
        <v>431.53380130703999</v>
      </c>
      <c r="AD16" s="110">
        <v>0.60203408955488924</v>
      </c>
      <c r="AE16" s="110">
        <v>306.31494476552757</v>
      </c>
      <c r="AF16" s="110">
        <v>0.53375359807010236</v>
      </c>
      <c r="AG16" s="110">
        <v>271.57383069806804</v>
      </c>
      <c r="AH16" s="110">
        <v>0.44598094472416555</v>
      </c>
      <c r="AI16" s="110">
        <v>226.91510467565539</v>
      </c>
      <c r="AJ16" s="110">
        <v>0.64773717652506368</v>
      </c>
      <c r="AK16" s="110">
        <v>329.56867541595233</v>
      </c>
      <c r="AL16" s="110">
        <v>1.7576617257873084</v>
      </c>
      <c r="AM16" s="110">
        <v>894.29828608058233</v>
      </c>
      <c r="AN16" s="110">
        <v>2.7820212923420167</v>
      </c>
      <c r="AO16" s="110">
        <v>1415.4924335436178</v>
      </c>
      <c r="AP16" s="110">
        <v>1.8972657394527237</v>
      </c>
      <c r="AQ16" s="110">
        <v>965.3288082335456</v>
      </c>
      <c r="AR16" s="110">
        <v>1.1623609982068794</v>
      </c>
      <c r="AS16" s="110">
        <v>591.4092758876601</v>
      </c>
      <c r="AT16" s="110">
        <v>0</v>
      </c>
      <c r="AU16" s="110">
        <v>0</v>
      </c>
      <c r="AV16" s="110">
        <v>0.64264163827964671</v>
      </c>
      <c r="AW16" s="110">
        <v>326.9760655566842</v>
      </c>
      <c r="AX16" s="110">
        <v>0</v>
      </c>
      <c r="AY16" s="110">
        <v>0</v>
      </c>
      <c r="AZ16" s="110">
        <v>0.99975091037482888</v>
      </c>
      <c r="BA16" s="110">
        <v>508.67326319871285</v>
      </c>
      <c r="BB16" s="110">
        <v>0</v>
      </c>
      <c r="BC16" s="110">
        <v>0</v>
      </c>
      <c r="BD16" s="110">
        <v>0.54838088080384628</v>
      </c>
      <c r="BE16" s="110">
        <v>279.01619215299695</v>
      </c>
      <c r="BF16" s="110">
        <v>1.7195237826806027</v>
      </c>
      <c r="BG16" s="110">
        <v>874.89370062789044</v>
      </c>
      <c r="BH16" s="110">
        <v>0.88041811557051253</v>
      </c>
      <c r="BI16" s="110">
        <v>447.95673720227666</v>
      </c>
      <c r="BJ16" s="110">
        <v>0.32583308489271073</v>
      </c>
      <c r="BK16" s="110">
        <v>165.78387359341119</v>
      </c>
      <c r="BL16" s="110">
        <v>0.34129189839057938</v>
      </c>
      <c r="BM16" s="110">
        <v>173.64931790112675</v>
      </c>
      <c r="BN16" s="110">
        <v>1.1784667303716199</v>
      </c>
      <c r="BO16" s="110">
        <v>599.60387241308001</v>
      </c>
      <c r="BP16" s="110">
        <v>0.41321164709357516</v>
      </c>
      <c r="BQ16" s="110">
        <v>210.242086041211</v>
      </c>
      <c r="BR16" s="110">
        <v>1.2971558030409545</v>
      </c>
      <c r="BS16" s="110">
        <v>659.99287258723746</v>
      </c>
      <c r="BT16" s="110">
        <v>0</v>
      </c>
      <c r="BU16" s="110">
        <v>0</v>
      </c>
      <c r="BV16" s="110">
        <v>0.91881869382067616</v>
      </c>
      <c r="BW16" s="110">
        <v>467.49495141595992</v>
      </c>
      <c r="BX16" s="110">
        <v>0.92570639017615342</v>
      </c>
      <c r="BY16" s="110">
        <v>470.99941132162678</v>
      </c>
      <c r="BZ16" s="110">
        <v>0.41775789055987445</v>
      </c>
      <c r="CA16" s="110">
        <v>212.55521471686407</v>
      </c>
      <c r="CB16" s="110">
        <v>0.73975179183006512</v>
      </c>
      <c r="CC16" s="110">
        <v>376.38571168313706</v>
      </c>
      <c r="CD16" s="110">
        <v>0</v>
      </c>
      <c r="CE16" s="110">
        <v>0</v>
      </c>
      <c r="CF16" s="110">
        <v>0.78667409682340761</v>
      </c>
      <c r="CG16" s="110">
        <v>400.25978046374973</v>
      </c>
      <c r="CH16" s="110">
        <v>0</v>
      </c>
      <c r="CI16" s="110">
        <v>0</v>
      </c>
      <c r="CJ16" s="110">
        <v>3.0438223518930823</v>
      </c>
      <c r="CK16" s="110">
        <v>1548.6968126432</v>
      </c>
      <c r="CL16" s="110">
        <v>1.0689857379631136</v>
      </c>
      <c r="CM16" s="110">
        <v>543.89994347563209</v>
      </c>
      <c r="CN16" s="110">
        <v>1.0330122217333797</v>
      </c>
      <c r="CO16" s="110">
        <v>525.59661841794343</v>
      </c>
      <c r="CP16" s="110">
        <v>0.9916158922604299</v>
      </c>
      <c r="CQ16" s="110">
        <v>504.53416598210663</v>
      </c>
      <c r="CR16" s="110">
        <v>0</v>
      </c>
      <c r="CS16" s="110">
        <v>0</v>
      </c>
      <c r="CT16" s="110">
        <v>1.4325897035904742</v>
      </c>
      <c r="CU16" s="110">
        <v>728.9016411868331</v>
      </c>
    </row>
    <row r="17" spans="2:99" x14ac:dyDescent="0.2">
      <c r="C17" s="109" t="s">
        <v>185</v>
      </c>
      <c r="D17" s="110">
        <v>0</v>
      </c>
      <c r="E17" s="110">
        <v>0</v>
      </c>
      <c r="F17" s="110">
        <v>0.36497921887893769</v>
      </c>
      <c r="G17" s="110">
        <v>181.32167593905623</v>
      </c>
      <c r="H17" s="110">
        <v>1.2381941756300023</v>
      </c>
      <c r="I17" s="110">
        <v>615.13486645298508</v>
      </c>
      <c r="J17" s="110">
        <v>1.3081486488294372</v>
      </c>
      <c r="K17" s="110">
        <v>649.88824873846431</v>
      </c>
      <c r="L17" s="110">
        <v>0</v>
      </c>
      <c r="M17" s="110">
        <v>0</v>
      </c>
      <c r="N17" s="110">
        <v>1.3019251497438848</v>
      </c>
      <c r="O17" s="110">
        <v>646.7964143927619</v>
      </c>
      <c r="P17" s="110">
        <v>1.2971558030409545</v>
      </c>
      <c r="Q17" s="110">
        <v>644.4270029507461</v>
      </c>
      <c r="R17" s="110">
        <v>0.94507065650126687</v>
      </c>
      <c r="S17" s="110">
        <v>469.51110214982936</v>
      </c>
      <c r="T17" s="110">
        <v>1.1873200721991535</v>
      </c>
      <c r="U17" s="110">
        <v>589.86061186853942</v>
      </c>
      <c r="V17" s="110">
        <v>2.0973035402428479</v>
      </c>
      <c r="W17" s="110">
        <v>1041.9403987926466</v>
      </c>
      <c r="X17" s="110">
        <v>2.2589493740761992</v>
      </c>
      <c r="Y17" s="110">
        <v>1122.2460490410556</v>
      </c>
      <c r="Z17" s="110">
        <v>2.5089724085134253</v>
      </c>
      <c r="AA17" s="110">
        <v>1246.4574925494696</v>
      </c>
      <c r="AB17" s="110">
        <v>0.96930323743719693</v>
      </c>
      <c r="AC17" s="110">
        <v>481.54984835879941</v>
      </c>
      <c r="AD17" s="110">
        <v>0.60203408955488924</v>
      </c>
      <c r="AE17" s="110">
        <v>299.09053569086893</v>
      </c>
      <c r="AF17" s="110">
        <v>0.53375359807010236</v>
      </c>
      <c r="AG17" s="110">
        <v>265.16878752122682</v>
      </c>
      <c r="AH17" s="110">
        <v>0.39023332663364485</v>
      </c>
      <c r="AI17" s="110">
        <v>193.86791667159474</v>
      </c>
      <c r="AJ17" s="110">
        <v>0.64773717652506368</v>
      </c>
      <c r="AK17" s="110">
        <v>321.79582929765161</v>
      </c>
      <c r="AL17" s="110">
        <v>1.9773694415107219</v>
      </c>
      <c r="AM17" s="110">
        <v>982.35713854252651</v>
      </c>
      <c r="AN17" s="110">
        <v>2.5594595889546552</v>
      </c>
      <c r="AO17" s="110">
        <v>1271.5395237926725</v>
      </c>
      <c r="AP17" s="110">
        <v>2.0490469986089415</v>
      </c>
      <c r="AQ17" s="110">
        <v>1017.9665489089221</v>
      </c>
      <c r="AR17" s="110">
        <v>1.3948331978482553</v>
      </c>
      <c r="AS17" s="110">
        <v>692.95313269101314</v>
      </c>
      <c r="AT17" s="110">
        <v>0</v>
      </c>
      <c r="AU17" s="110">
        <v>0</v>
      </c>
      <c r="AV17" s="110">
        <v>0.64264163827964671</v>
      </c>
      <c r="AW17" s="110">
        <v>319.26436589732845</v>
      </c>
      <c r="AX17" s="110">
        <v>0</v>
      </c>
      <c r="AY17" s="110">
        <v>0</v>
      </c>
      <c r="AZ17" s="110">
        <v>0.99975091037482888</v>
      </c>
      <c r="BA17" s="110">
        <v>496.67625227421496</v>
      </c>
      <c r="BB17" s="110">
        <v>0</v>
      </c>
      <c r="BC17" s="110">
        <v>0</v>
      </c>
      <c r="BD17" s="110">
        <v>0.54838088080384628</v>
      </c>
      <c r="BE17" s="110">
        <v>272.43562158335078</v>
      </c>
      <c r="BF17" s="110">
        <v>1.289642837010452</v>
      </c>
      <c r="BG17" s="110">
        <v>640.69456142679246</v>
      </c>
      <c r="BH17" s="110">
        <v>0.88041811557051253</v>
      </c>
      <c r="BI17" s="110">
        <v>437.39171981543058</v>
      </c>
      <c r="BJ17" s="110">
        <v>0.24437481366953306</v>
      </c>
      <c r="BK17" s="110">
        <v>121.40540743102402</v>
      </c>
      <c r="BL17" s="110">
        <v>0.28440991532548282</v>
      </c>
      <c r="BM17" s="110">
        <v>141.29484593369986</v>
      </c>
      <c r="BN17" s="110">
        <v>1.0475259825525511</v>
      </c>
      <c r="BO17" s="110">
        <v>520.41090813210735</v>
      </c>
      <c r="BP17" s="110">
        <v>0.41321164709357516</v>
      </c>
      <c r="BQ17" s="110">
        <v>205.28354627608812</v>
      </c>
      <c r="BR17" s="110">
        <v>1.2971558030409545</v>
      </c>
      <c r="BS17" s="110">
        <v>644.4270029507461</v>
      </c>
      <c r="BT17" s="110">
        <v>0</v>
      </c>
      <c r="BU17" s="110">
        <v>0</v>
      </c>
      <c r="BV17" s="110">
        <v>0.91881869382067616</v>
      </c>
      <c r="BW17" s="110">
        <v>456.4691270901119</v>
      </c>
      <c r="BX17" s="110">
        <v>0.92570639017615342</v>
      </c>
      <c r="BY17" s="110">
        <v>459.89093463951298</v>
      </c>
      <c r="BZ17" s="110">
        <v>0.41775789055987445</v>
      </c>
      <c r="CA17" s="110">
        <v>207.54212003014561</v>
      </c>
      <c r="CB17" s="110">
        <v>0.73975179183006512</v>
      </c>
      <c r="CC17" s="110">
        <v>367.50869018117629</v>
      </c>
      <c r="CD17" s="110">
        <v>0</v>
      </c>
      <c r="CE17" s="110">
        <v>0</v>
      </c>
      <c r="CF17" s="110">
        <v>0.6293392774587262</v>
      </c>
      <c r="CG17" s="110">
        <v>312.65575304149513</v>
      </c>
      <c r="CH17" s="110">
        <v>0</v>
      </c>
      <c r="CI17" s="110">
        <v>0</v>
      </c>
      <c r="CJ17" s="110">
        <v>3.4786541164492366</v>
      </c>
      <c r="CK17" s="110">
        <v>1728.1953650519806</v>
      </c>
      <c r="CL17" s="110">
        <v>1.2827828855557364</v>
      </c>
      <c r="CM17" s="110">
        <v>637.28653754408981</v>
      </c>
      <c r="CN17" s="110">
        <v>1.0330122217333797</v>
      </c>
      <c r="CO17" s="110">
        <v>513.20047175714296</v>
      </c>
      <c r="CP17" s="110">
        <v>0.9916158922604299</v>
      </c>
      <c r="CQ17" s="110">
        <v>492.63477527498151</v>
      </c>
      <c r="CR17" s="110">
        <v>0</v>
      </c>
      <c r="CS17" s="110">
        <v>0</v>
      </c>
      <c r="CT17" s="110">
        <v>1.4325897035904742</v>
      </c>
      <c r="CU17" s="110">
        <v>711.71056474374757</v>
      </c>
    </row>
    <row r="18" spans="2:99" x14ac:dyDescent="0.2">
      <c r="C18" s="109" t="s">
        <v>186</v>
      </c>
      <c r="D18" s="110">
        <v>0</v>
      </c>
      <c r="E18" s="110">
        <v>0</v>
      </c>
      <c r="F18" s="110">
        <v>0.43797506265472524</v>
      </c>
      <c r="G18" s="110">
        <v>320.0721757880732</v>
      </c>
      <c r="H18" s="110">
        <v>1.0318284796916684</v>
      </c>
      <c r="I18" s="110">
        <v>754.06025295867119</v>
      </c>
      <c r="J18" s="110">
        <v>1.3081486488294372</v>
      </c>
      <c r="K18" s="110">
        <v>955.99503256455262</v>
      </c>
      <c r="L18" s="110">
        <v>0</v>
      </c>
      <c r="M18" s="110">
        <v>0</v>
      </c>
      <c r="N18" s="110">
        <v>1.3019251497438848</v>
      </c>
      <c r="O18" s="110">
        <v>951.44689943283095</v>
      </c>
      <c r="P18" s="110">
        <v>1.1350113276608353</v>
      </c>
      <c r="Q18" s="110">
        <v>829.46627825453845</v>
      </c>
      <c r="R18" s="110">
        <v>1.1025824325848115</v>
      </c>
      <c r="S18" s="110">
        <v>805.76724173298021</v>
      </c>
      <c r="T18" s="110">
        <v>1.1131125676867064</v>
      </c>
      <c r="U18" s="110">
        <v>813.46266446544496</v>
      </c>
      <c r="V18" s="110">
        <v>2.0973035402428479</v>
      </c>
      <c r="W18" s="110">
        <v>1532.7094272094732</v>
      </c>
      <c r="X18" s="110">
        <v>2.2589493740761992</v>
      </c>
      <c r="Y18" s="110">
        <v>1650.8402025748862</v>
      </c>
      <c r="Z18" s="110">
        <v>2.3894975319175478</v>
      </c>
      <c r="AA18" s="110">
        <v>1746.2447963253437</v>
      </c>
      <c r="AB18" s="110">
        <v>0.8481403327575473</v>
      </c>
      <c r="AC18" s="110">
        <v>619.8209551792155</v>
      </c>
      <c r="AD18" s="110">
        <v>0.60203408955488924</v>
      </c>
      <c r="AE18" s="110">
        <v>439.96651264671306</v>
      </c>
      <c r="AF18" s="110">
        <v>0.53375359807010236</v>
      </c>
      <c r="AG18" s="110">
        <v>390.0671294696308</v>
      </c>
      <c r="AH18" s="110">
        <v>0.44598094472416555</v>
      </c>
      <c r="AI18" s="110">
        <v>325.92287440442016</v>
      </c>
      <c r="AJ18" s="110">
        <v>0.60725360299224718</v>
      </c>
      <c r="AK18" s="110">
        <v>443.78093306673424</v>
      </c>
      <c r="AL18" s="110">
        <v>1.8675155836490154</v>
      </c>
      <c r="AM18" s="110">
        <v>1364.7803885307003</v>
      </c>
      <c r="AN18" s="110">
        <v>2.4481787372609749</v>
      </c>
      <c r="AO18" s="110">
        <v>1789.1290211903204</v>
      </c>
      <c r="AP18" s="110">
        <v>1.9731563690308325</v>
      </c>
      <c r="AQ18" s="110">
        <v>1441.9826744877323</v>
      </c>
      <c r="AR18" s="110">
        <v>1.3948331978482553</v>
      </c>
      <c r="AS18" s="110">
        <v>1019.3441009875049</v>
      </c>
      <c r="AT18" s="110">
        <v>0</v>
      </c>
      <c r="AU18" s="110">
        <v>0</v>
      </c>
      <c r="AV18" s="110">
        <v>0.64264163827964671</v>
      </c>
      <c r="AW18" s="110">
        <v>469.6425092547658</v>
      </c>
      <c r="AX18" s="110">
        <v>0</v>
      </c>
      <c r="AY18" s="110">
        <v>0</v>
      </c>
      <c r="AZ18" s="110">
        <v>0.99975091037482888</v>
      </c>
      <c r="BA18" s="110">
        <v>730.61796530192487</v>
      </c>
      <c r="BB18" s="110">
        <v>0</v>
      </c>
      <c r="BC18" s="110">
        <v>0</v>
      </c>
      <c r="BD18" s="110">
        <v>0.54838088080384628</v>
      </c>
      <c r="BE18" s="110">
        <v>400.75674769145081</v>
      </c>
      <c r="BF18" s="110">
        <v>1.5045833098455275</v>
      </c>
      <c r="BG18" s="110">
        <v>1099.5494828351113</v>
      </c>
      <c r="BH18" s="110">
        <v>0.70433449245641</v>
      </c>
      <c r="BI18" s="110">
        <v>514.72764708714442</v>
      </c>
      <c r="BJ18" s="110">
        <v>0.28510394928112193</v>
      </c>
      <c r="BK18" s="110">
        <v>208.35396613464388</v>
      </c>
      <c r="BL18" s="110">
        <v>0.34129189839057938</v>
      </c>
      <c r="BM18" s="110">
        <v>249.41611934383539</v>
      </c>
      <c r="BN18" s="110">
        <v>1.0475259825525511</v>
      </c>
      <c r="BO18" s="110">
        <v>765.53198804940428</v>
      </c>
      <c r="BP18" s="110">
        <v>0.46486310298027206</v>
      </c>
      <c r="BQ18" s="110">
        <v>339.72195565798279</v>
      </c>
      <c r="BR18" s="110">
        <v>1.0809631692007955</v>
      </c>
      <c r="BS18" s="110">
        <v>789.96788405194127</v>
      </c>
      <c r="BT18" s="110">
        <v>0</v>
      </c>
      <c r="BU18" s="110">
        <v>0</v>
      </c>
      <c r="BV18" s="110">
        <v>0.80396635709309161</v>
      </c>
      <c r="BW18" s="110">
        <v>587.53861376363136</v>
      </c>
      <c r="BX18" s="110">
        <v>0.80999309140413434</v>
      </c>
      <c r="BY18" s="110">
        <v>591.94295119814137</v>
      </c>
      <c r="BZ18" s="110">
        <v>0.41775789055987445</v>
      </c>
      <c r="CA18" s="110">
        <v>305.29746642115623</v>
      </c>
      <c r="CB18" s="110">
        <v>0.65755714829339129</v>
      </c>
      <c r="CC18" s="110">
        <v>480.54276397281035</v>
      </c>
      <c r="CD18" s="110">
        <v>0</v>
      </c>
      <c r="CE18" s="110">
        <v>0</v>
      </c>
      <c r="CF18" s="110">
        <v>0.6293392774587262</v>
      </c>
      <c r="CG18" s="110">
        <v>459.92114396683706</v>
      </c>
      <c r="CH18" s="110">
        <v>0</v>
      </c>
      <c r="CI18" s="110">
        <v>0</v>
      </c>
      <c r="CJ18" s="110">
        <v>3.0438223518930823</v>
      </c>
      <c r="CK18" s="110">
        <v>2224.4253747634643</v>
      </c>
      <c r="CL18" s="110">
        <v>1.0689857379631136</v>
      </c>
      <c r="CM18" s="110">
        <v>781.21477730344338</v>
      </c>
      <c r="CN18" s="110">
        <v>1.0330122217333797</v>
      </c>
      <c r="CO18" s="110">
        <v>754.9253316427538</v>
      </c>
      <c r="CP18" s="110">
        <v>0.9916158922604299</v>
      </c>
      <c r="CQ18" s="110">
        <v>724.67289406392217</v>
      </c>
      <c r="CR18" s="110">
        <v>0</v>
      </c>
      <c r="CS18" s="110">
        <v>0</v>
      </c>
      <c r="CT18" s="110">
        <v>1.6116634165392834</v>
      </c>
      <c r="CU18" s="110">
        <v>1177.8036248069081</v>
      </c>
    </row>
    <row r="19" spans="2:99" x14ac:dyDescent="0.2">
      <c r="C19" s="109" t="s">
        <v>187</v>
      </c>
      <c r="D19" s="110">
        <v>0</v>
      </c>
      <c r="E19" s="110">
        <v>0</v>
      </c>
      <c r="F19" s="110">
        <v>0.36497921887893769</v>
      </c>
      <c r="G19" s="110">
        <v>141.02797017482152</v>
      </c>
      <c r="H19" s="110">
        <v>1.2381941756300023</v>
      </c>
      <c r="I19" s="110">
        <v>478.43822946343289</v>
      </c>
      <c r="J19" s="110">
        <v>1.3081486488294372</v>
      </c>
      <c r="K19" s="110">
        <v>505.46863790769447</v>
      </c>
      <c r="L19" s="110">
        <v>0</v>
      </c>
      <c r="M19" s="110">
        <v>0</v>
      </c>
      <c r="N19" s="110">
        <v>1.3019251497438848</v>
      </c>
      <c r="O19" s="110">
        <v>503.0638778610371</v>
      </c>
      <c r="P19" s="110">
        <v>1.1350113276608353</v>
      </c>
      <c r="Q19" s="110">
        <v>438.56837700814674</v>
      </c>
      <c r="R19" s="110">
        <v>1.1025824325848115</v>
      </c>
      <c r="S19" s="110">
        <v>426.03785195077114</v>
      </c>
      <c r="T19" s="110">
        <v>1.4099425857364947</v>
      </c>
      <c r="U19" s="110">
        <v>544.80181512858155</v>
      </c>
      <c r="V19" s="110">
        <v>2.0973035402428479</v>
      </c>
      <c r="W19" s="110">
        <v>810.39808794983639</v>
      </c>
      <c r="X19" s="110">
        <v>2.2589493740761992</v>
      </c>
      <c r="Y19" s="110">
        <v>872.85803814304336</v>
      </c>
      <c r="Z19" s="110">
        <v>2.2700226553216707</v>
      </c>
      <c r="AA19" s="110">
        <v>877.13675401629348</v>
      </c>
      <c r="AB19" s="110">
        <v>0.96930323743719693</v>
      </c>
      <c r="AC19" s="110">
        <v>374.53877094573289</v>
      </c>
      <c r="AD19" s="110">
        <v>0.60203408955488924</v>
      </c>
      <c r="AE19" s="110">
        <v>232.6259722040092</v>
      </c>
      <c r="AF19" s="110">
        <v>0.64050431768412286</v>
      </c>
      <c r="AG19" s="110">
        <v>247.49086835314506</v>
      </c>
      <c r="AH19" s="110">
        <v>0.44598094472416555</v>
      </c>
      <c r="AI19" s="110">
        <v>172.32703704141755</v>
      </c>
      <c r="AJ19" s="110">
        <v>0.64773717652506368</v>
      </c>
      <c r="AK19" s="110">
        <v>250.28564500928459</v>
      </c>
      <c r="AL19" s="110">
        <v>1.9773694415107219</v>
      </c>
      <c r="AM19" s="110">
        <v>764.05555219974292</v>
      </c>
      <c r="AN19" s="110">
        <v>2.7820212923420167</v>
      </c>
      <c r="AO19" s="110">
        <v>1074.9730273609553</v>
      </c>
      <c r="AP19" s="110">
        <v>2.0490469986089415</v>
      </c>
      <c r="AQ19" s="110">
        <v>791.75176026249494</v>
      </c>
      <c r="AR19" s="110">
        <v>1.3948331978482553</v>
      </c>
      <c r="AS19" s="110">
        <v>538.96354764856585</v>
      </c>
      <c r="AT19" s="110">
        <v>0</v>
      </c>
      <c r="AU19" s="110">
        <v>0</v>
      </c>
      <c r="AV19" s="110">
        <v>0.53553469856637226</v>
      </c>
      <c r="AW19" s="110">
        <v>206.93060752604623</v>
      </c>
      <c r="AX19" s="110">
        <v>0</v>
      </c>
      <c r="AY19" s="110">
        <v>0</v>
      </c>
      <c r="AZ19" s="110">
        <v>1.1997010924497948</v>
      </c>
      <c r="BA19" s="110">
        <v>463.56450212260069</v>
      </c>
      <c r="BB19" s="110">
        <v>0</v>
      </c>
      <c r="BC19" s="110">
        <v>0</v>
      </c>
      <c r="BD19" s="110">
        <v>0.61692849090432711</v>
      </c>
      <c r="BE19" s="110">
        <v>238.38116888543198</v>
      </c>
      <c r="BF19" s="110">
        <v>1.5045833098455275</v>
      </c>
      <c r="BG19" s="110">
        <v>581.37099092431174</v>
      </c>
      <c r="BH19" s="110">
        <v>0.70433449245641</v>
      </c>
      <c r="BI19" s="110">
        <v>272.15484788515681</v>
      </c>
      <c r="BJ19" s="110">
        <v>0.28510394928112193</v>
      </c>
      <c r="BK19" s="110">
        <v>110.1641660022255</v>
      </c>
      <c r="BL19" s="110">
        <v>0.34129189839057938</v>
      </c>
      <c r="BM19" s="110">
        <v>131.87518953811986</v>
      </c>
      <c r="BN19" s="110">
        <v>1.0475259825525511</v>
      </c>
      <c r="BO19" s="110">
        <v>404.76403965830576</v>
      </c>
      <c r="BP19" s="110">
        <v>0.46486310298027206</v>
      </c>
      <c r="BQ19" s="110">
        <v>179.6231029915771</v>
      </c>
      <c r="BR19" s="110">
        <v>1.0809631692007955</v>
      </c>
      <c r="BS19" s="110">
        <v>417.68416857918737</v>
      </c>
      <c r="BT19" s="110">
        <v>0</v>
      </c>
      <c r="BU19" s="110">
        <v>0</v>
      </c>
      <c r="BV19" s="110">
        <v>0.80396635709309161</v>
      </c>
      <c r="BW19" s="110">
        <v>310.65260038077059</v>
      </c>
      <c r="BX19" s="110">
        <v>0.92570639017615342</v>
      </c>
      <c r="BY19" s="110">
        <v>357.69294916406568</v>
      </c>
      <c r="BZ19" s="110">
        <v>0.41775789055987445</v>
      </c>
      <c r="CA19" s="110">
        <v>161.42164891233548</v>
      </c>
      <c r="CB19" s="110">
        <v>0.82194643536673906</v>
      </c>
      <c r="CC19" s="110">
        <v>317.60010262570796</v>
      </c>
      <c r="CD19" s="110">
        <v>0</v>
      </c>
      <c r="CE19" s="110">
        <v>0</v>
      </c>
      <c r="CF19" s="110">
        <v>0.78667409682340761</v>
      </c>
      <c r="CG19" s="110">
        <v>303.97087101256466</v>
      </c>
      <c r="CH19" s="110">
        <v>0</v>
      </c>
      <c r="CI19" s="110">
        <v>0</v>
      </c>
      <c r="CJ19" s="110">
        <v>3.0438223518930823</v>
      </c>
      <c r="CK19" s="110">
        <v>1176.132956771487</v>
      </c>
      <c r="CL19" s="110">
        <v>1.0689857379631136</v>
      </c>
      <c r="CM19" s="110">
        <v>413.05608914894708</v>
      </c>
      <c r="CN19" s="110">
        <v>1.0330122217333797</v>
      </c>
      <c r="CO19" s="110">
        <v>399.15592247777789</v>
      </c>
      <c r="CP19" s="110">
        <v>0.9916158922604299</v>
      </c>
      <c r="CQ19" s="110">
        <v>383.16038076943011</v>
      </c>
      <c r="CR19" s="110">
        <v>0</v>
      </c>
      <c r="CS19" s="110">
        <v>0</v>
      </c>
      <c r="CT19" s="110">
        <v>1.4325897035904742</v>
      </c>
      <c r="CU19" s="110">
        <v>553.55266146735926</v>
      </c>
    </row>
    <row r="20" spans="2:99" x14ac:dyDescent="0.2">
      <c r="B20" s="109" t="s">
        <v>127</v>
      </c>
      <c r="C20" s="109" t="s">
        <v>188</v>
      </c>
      <c r="D20" s="110">
        <v>0</v>
      </c>
      <c r="E20" s="110">
        <v>0</v>
      </c>
      <c r="F20" s="110">
        <v>0.87595012530945049</v>
      </c>
      <c r="G20" s="110">
        <v>84.091212029707251</v>
      </c>
      <c r="H20" s="110">
        <v>2.4763883512600047</v>
      </c>
      <c r="I20" s="110">
        <v>237.73328172096046</v>
      </c>
      <c r="J20" s="110">
        <v>2.1802477480490623</v>
      </c>
      <c r="K20" s="110">
        <v>209.30378381270998</v>
      </c>
      <c r="L20" s="110">
        <v>0</v>
      </c>
      <c r="M20" s="110">
        <v>0</v>
      </c>
      <c r="N20" s="110">
        <v>2.9293315869237411</v>
      </c>
      <c r="O20" s="110">
        <v>281.21583234467914</v>
      </c>
      <c r="P20" s="110">
        <v>1.7835892291813127</v>
      </c>
      <c r="Q20" s="110">
        <v>171.224566001406</v>
      </c>
      <c r="R20" s="110">
        <v>1.7326295369189892</v>
      </c>
      <c r="S20" s="110">
        <v>166.33243554422296</v>
      </c>
      <c r="T20" s="110">
        <v>0.74207504512447087</v>
      </c>
      <c r="U20" s="110">
        <v>71.239204331949196</v>
      </c>
      <c r="V20" s="110">
        <v>1.2583821241457087</v>
      </c>
      <c r="W20" s="110">
        <v>120.80468391798803</v>
      </c>
      <c r="X20" s="110">
        <v>1.5059662493841326</v>
      </c>
      <c r="Y20" s="110">
        <v>144.57275994087672</v>
      </c>
      <c r="Z20" s="110">
        <v>1.792123148938161</v>
      </c>
      <c r="AA20" s="110">
        <v>172.04382229806345</v>
      </c>
      <c r="AB20" s="110">
        <v>3.2713984263505393</v>
      </c>
      <c r="AC20" s="110">
        <v>314.05424892965175</v>
      </c>
      <c r="AD20" s="110">
        <v>3.2509840835964021</v>
      </c>
      <c r="AE20" s="110">
        <v>312.09447202525462</v>
      </c>
      <c r="AF20" s="110">
        <v>3.7362751864907167</v>
      </c>
      <c r="AG20" s="110">
        <v>358.68241790310879</v>
      </c>
      <c r="AH20" s="110">
        <v>1.7839237788966622</v>
      </c>
      <c r="AI20" s="110">
        <v>171.25668277407956</v>
      </c>
      <c r="AJ20" s="110">
        <v>1.6598265148454754</v>
      </c>
      <c r="AK20" s="110">
        <v>159.34334542516564</v>
      </c>
      <c r="AL20" s="110">
        <v>5.0532774616385119</v>
      </c>
      <c r="AM20" s="110">
        <v>485.11463631729714</v>
      </c>
      <c r="AN20" s="110">
        <v>3.6722681058914621</v>
      </c>
      <c r="AO20" s="110">
        <v>352.53773816558038</v>
      </c>
      <c r="AP20" s="110">
        <v>2.504390776077595</v>
      </c>
      <c r="AQ20" s="110">
        <v>240.42151450344912</v>
      </c>
      <c r="AR20" s="110">
        <v>2.092249796772383</v>
      </c>
      <c r="AS20" s="110">
        <v>200.85598049014877</v>
      </c>
      <c r="AT20" s="110">
        <v>0</v>
      </c>
      <c r="AU20" s="110">
        <v>0</v>
      </c>
      <c r="AV20" s="110">
        <v>0.85685551770619561</v>
      </c>
      <c r="AW20" s="110">
        <v>82.258129699794779</v>
      </c>
      <c r="AX20" s="110">
        <v>0</v>
      </c>
      <c r="AY20" s="110">
        <v>0</v>
      </c>
      <c r="AZ20" s="110">
        <v>1.9995018207496578</v>
      </c>
      <c r="BA20" s="110">
        <v>191.95217479196714</v>
      </c>
      <c r="BB20" s="110">
        <v>0</v>
      </c>
      <c r="BC20" s="110">
        <v>0</v>
      </c>
      <c r="BD20" s="110">
        <v>1.0967617616076926</v>
      </c>
      <c r="BE20" s="110">
        <v>105.28912911433849</v>
      </c>
      <c r="BF20" s="110">
        <v>3.4390475653612054</v>
      </c>
      <c r="BG20" s="110">
        <v>330.14856627467572</v>
      </c>
      <c r="BH20" s="110">
        <v>5.8107595627653827</v>
      </c>
      <c r="BI20" s="110">
        <v>557.83291802547672</v>
      </c>
      <c r="BJ20" s="110">
        <v>2.11791505180262</v>
      </c>
      <c r="BK20" s="110">
        <v>203.31984497305152</v>
      </c>
      <c r="BL20" s="110">
        <v>2.0477513903434765</v>
      </c>
      <c r="BM20" s="110">
        <v>196.58413347297375</v>
      </c>
      <c r="BN20" s="110">
        <v>6.0232743996771685</v>
      </c>
      <c r="BO20" s="110">
        <v>578.23434236900812</v>
      </c>
      <c r="BP20" s="110">
        <v>2.0660582354678758</v>
      </c>
      <c r="BQ20" s="110">
        <v>198.34159060491606</v>
      </c>
      <c r="BR20" s="110">
        <v>6.7019716490449319</v>
      </c>
      <c r="BS20" s="110">
        <v>643.38927830831346</v>
      </c>
      <c r="BT20" s="110">
        <v>0</v>
      </c>
      <c r="BU20" s="110">
        <v>0</v>
      </c>
      <c r="BV20" s="110">
        <v>3.1010130916447824</v>
      </c>
      <c r="BW20" s="110">
        <v>297.69725679789912</v>
      </c>
      <c r="BX20" s="110">
        <v>4.0499654570206713</v>
      </c>
      <c r="BY20" s="110">
        <v>388.79668387398442</v>
      </c>
      <c r="BZ20" s="110">
        <v>4.0731394329587758</v>
      </c>
      <c r="CA20" s="110">
        <v>391.02138556404248</v>
      </c>
      <c r="CB20" s="110">
        <v>3.7809536026869996</v>
      </c>
      <c r="CC20" s="110">
        <v>362.97154585795198</v>
      </c>
      <c r="CD20" s="110">
        <v>0</v>
      </c>
      <c r="CE20" s="110">
        <v>0</v>
      </c>
      <c r="CF20" s="110">
        <v>1.1800111452351114</v>
      </c>
      <c r="CG20" s="110">
        <v>113.2810699425707</v>
      </c>
      <c r="CH20" s="110">
        <v>0</v>
      </c>
      <c r="CI20" s="110">
        <v>0</v>
      </c>
      <c r="CJ20" s="110">
        <v>5.6528129392300102</v>
      </c>
      <c r="CK20" s="110">
        <v>542.67004216608098</v>
      </c>
      <c r="CL20" s="110">
        <v>2.5655657711114728</v>
      </c>
      <c r="CM20" s="110">
        <v>246.29431402670139</v>
      </c>
      <c r="CN20" s="110">
        <v>2.2135976180000991</v>
      </c>
      <c r="CO20" s="110">
        <v>212.50537132800952</v>
      </c>
      <c r="CP20" s="110">
        <v>1.3221545230139067</v>
      </c>
      <c r="CQ20" s="110">
        <v>126.92683420933504</v>
      </c>
      <c r="CR20" s="110">
        <v>0</v>
      </c>
      <c r="CS20" s="110">
        <v>0</v>
      </c>
      <c r="CT20" s="110">
        <v>1.6116634165392834</v>
      </c>
      <c r="CU20" s="110">
        <v>154.71968798777121</v>
      </c>
    </row>
    <row r="21" spans="2:99" x14ac:dyDescent="0.2">
      <c r="C21" s="109" t="s">
        <v>189</v>
      </c>
      <c r="D21" s="110">
        <v>0</v>
      </c>
      <c r="E21" s="110">
        <v>0</v>
      </c>
      <c r="F21" s="110">
        <v>0.94894596908523809</v>
      </c>
      <c r="G21" s="110">
        <v>230.02450290626169</v>
      </c>
      <c r="H21" s="110">
        <v>2.4763883512600047</v>
      </c>
      <c r="I21" s="110">
        <v>600.27653634542503</v>
      </c>
      <c r="J21" s="110">
        <v>1.7441981984392496</v>
      </c>
      <c r="K21" s="110">
        <v>422.79364330167408</v>
      </c>
      <c r="L21" s="110">
        <v>0</v>
      </c>
      <c r="M21" s="110">
        <v>0</v>
      </c>
      <c r="N21" s="110">
        <v>2.6038502994877697</v>
      </c>
      <c r="O21" s="110">
        <v>631.17331259583534</v>
      </c>
      <c r="P21" s="110">
        <v>1.7835892291813127</v>
      </c>
      <c r="Q21" s="110">
        <v>432.34202915355013</v>
      </c>
      <c r="R21" s="110">
        <v>1.8901413130025337</v>
      </c>
      <c r="S21" s="110">
        <v>458.17025427181414</v>
      </c>
      <c r="T21" s="110">
        <v>0.74207504512447087</v>
      </c>
      <c r="U21" s="110">
        <v>179.87899093817171</v>
      </c>
      <c r="V21" s="110">
        <v>1.3982023601618985</v>
      </c>
      <c r="W21" s="110">
        <v>338.92425210324416</v>
      </c>
      <c r="X21" s="110">
        <v>1.6314634368328103</v>
      </c>
      <c r="Y21" s="110">
        <v>395.46673708827319</v>
      </c>
      <c r="Z21" s="110">
        <v>1.5531733957464062</v>
      </c>
      <c r="AA21" s="110">
        <v>376.48923112892885</v>
      </c>
      <c r="AB21" s="110">
        <v>3.5137242357098386</v>
      </c>
      <c r="AC21" s="110">
        <v>851.72675473606478</v>
      </c>
      <c r="AD21" s="110">
        <v>3.3713909015073797</v>
      </c>
      <c r="AE21" s="110">
        <v>817.2251545253888</v>
      </c>
      <c r="AF21" s="110">
        <v>3.5227737472626752</v>
      </c>
      <c r="AG21" s="110">
        <v>853.92035633647242</v>
      </c>
      <c r="AH21" s="110">
        <v>1.5609333065345794</v>
      </c>
      <c r="AI21" s="110">
        <v>378.37023350398204</v>
      </c>
      <c r="AJ21" s="110">
        <v>1.4978922207142096</v>
      </c>
      <c r="AK21" s="110">
        <v>363.08907430112436</v>
      </c>
      <c r="AL21" s="110">
        <v>4.5040081723299776</v>
      </c>
      <c r="AM21" s="110">
        <v>1091.7715809727865</v>
      </c>
      <c r="AN21" s="110">
        <v>3.8948298092788236</v>
      </c>
      <c r="AO21" s="110">
        <v>944.10674576918677</v>
      </c>
      <c r="AP21" s="110">
        <v>2.4285001464994864</v>
      </c>
      <c r="AQ21" s="110">
        <v>588.66843551147542</v>
      </c>
      <c r="AR21" s="110">
        <v>2.3247219964137589</v>
      </c>
      <c r="AS21" s="110">
        <v>563.51261193069513</v>
      </c>
      <c r="AT21" s="110">
        <v>0</v>
      </c>
      <c r="AU21" s="110">
        <v>0</v>
      </c>
      <c r="AV21" s="110">
        <v>0.85685551770619561</v>
      </c>
      <c r="AW21" s="110">
        <v>207.7017774919818</v>
      </c>
      <c r="AX21" s="110">
        <v>0</v>
      </c>
      <c r="AY21" s="110">
        <v>0</v>
      </c>
      <c r="AZ21" s="110">
        <v>1.7995516386746921</v>
      </c>
      <c r="BA21" s="110">
        <v>436.21131721474535</v>
      </c>
      <c r="BB21" s="110">
        <v>0</v>
      </c>
      <c r="BC21" s="110">
        <v>0</v>
      </c>
      <c r="BD21" s="110">
        <v>1.0282141515072118</v>
      </c>
      <c r="BE21" s="110">
        <v>249.23911032534812</v>
      </c>
      <c r="BF21" s="110">
        <v>3.0091666196910549</v>
      </c>
      <c r="BG21" s="110">
        <v>729.42198861311169</v>
      </c>
      <c r="BH21" s="110">
        <v>5.4585923165371772</v>
      </c>
      <c r="BI21" s="110">
        <v>1323.1627775286117</v>
      </c>
      <c r="BJ21" s="110">
        <v>2.0771859161910311</v>
      </c>
      <c r="BK21" s="110">
        <v>503.50986608470589</v>
      </c>
      <c r="BL21" s="110">
        <v>2.0477513903434765</v>
      </c>
      <c r="BM21" s="110">
        <v>496.37493701925865</v>
      </c>
      <c r="BN21" s="110">
        <v>5.761392904039031</v>
      </c>
      <c r="BO21" s="110">
        <v>1396.561639939061</v>
      </c>
      <c r="BP21" s="110">
        <v>1.9627553236944819</v>
      </c>
      <c r="BQ21" s="110">
        <v>475.77189046354238</v>
      </c>
      <c r="BR21" s="110">
        <v>7.5667421844055687</v>
      </c>
      <c r="BS21" s="110">
        <v>1834.1783054999096</v>
      </c>
      <c r="BT21" s="110">
        <v>0</v>
      </c>
      <c r="BU21" s="110">
        <v>0</v>
      </c>
      <c r="BV21" s="110">
        <v>3.5604224385551202</v>
      </c>
      <c r="BW21" s="110">
        <v>863.04639910576111</v>
      </c>
      <c r="BX21" s="110">
        <v>3.8185388594766336</v>
      </c>
      <c r="BY21" s="110">
        <v>925.6138195371359</v>
      </c>
      <c r="BZ21" s="110">
        <v>4.3864578508786813</v>
      </c>
      <c r="CA21" s="110">
        <v>1063.2773830529923</v>
      </c>
      <c r="CB21" s="110">
        <v>3.9453428897603473</v>
      </c>
      <c r="CC21" s="110">
        <v>956.35111647790814</v>
      </c>
      <c r="CD21" s="110">
        <v>0</v>
      </c>
      <c r="CE21" s="110">
        <v>0</v>
      </c>
      <c r="CF21" s="110">
        <v>1.1800111452351114</v>
      </c>
      <c r="CG21" s="110">
        <v>286.03470160499097</v>
      </c>
      <c r="CH21" s="110">
        <v>0</v>
      </c>
      <c r="CI21" s="110">
        <v>0</v>
      </c>
      <c r="CJ21" s="110">
        <v>6.0876447037861645</v>
      </c>
      <c r="CK21" s="110">
        <v>1475.6450761977662</v>
      </c>
      <c r="CL21" s="110">
        <v>2.1379714759262272</v>
      </c>
      <c r="CM21" s="110">
        <v>518.24428576451737</v>
      </c>
      <c r="CN21" s="110">
        <v>2.0660244434667594</v>
      </c>
      <c r="CO21" s="110">
        <v>500.80432509634244</v>
      </c>
      <c r="CP21" s="110">
        <v>1.4874238383906448</v>
      </c>
      <c r="CQ21" s="110">
        <v>360.55153842589226</v>
      </c>
      <c r="CR21" s="110">
        <v>0</v>
      </c>
      <c r="CS21" s="110">
        <v>0</v>
      </c>
      <c r="CT21" s="110">
        <v>1.6116634165392834</v>
      </c>
      <c r="CU21" s="110">
        <v>390.66721216912225</v>
      </c>
    </row>
    <row r="22" spans="2:99" x14ac:dyDescent="0.2">
      <c r="C22" s="109" t="s">
        <v>190</v>
      </c>
      <c r="D22" s="110">
        <v>0</v>
      </c>
      <c r="E22" s="110">
        <v>0</v>
      </c>
      <c r="F22" s="110">
        <v>0.87595012530945049</v>
      </c>
      <c r="G22" s="110">
        <v>54.659287819309711</v>
      </c>
      <c r="H22" s="110">
        <v>2.2700226553216707</v>
      </c>
      <c r="I22" s="110">
        <v>141.64941369207224</v>
      </c>
      <c r="J22" s="110">
        <v>1.9622229732441561</v>
      </c>
      <c r="K22" s="110">
        <v>122.44271353043534</v>
      </c>
      <c r="L22" s="110">
        <v>0</v>
      </c>
      <c r="M22" s="110">
        <v>0</v>
      </c>
      <c r="N22" s="110">
        <v>2.2783690120517988</v>
      </c>
      <c r="O22" s="110">
        <v>142.17022635203224</v>
      </c>
      <c r="P22" s="110">
        <v>1.6214447538011934</v>
      </c>
      <c r="Q22" s="110">
        <v>101.17815263719446</v>
      </c>
      <c r="R22" s="110">
        <v>1.8901413130025337</v>
      </c>
      <c r="S22" s="110">
        <v>117.9448179313581</v>
      </c>
      <c r="T22" s="110">
        <v>0.81628254963691793</v>
      </c>
      <c r="U22" s="110">
        <v>50.93603109734368</v>
      </c>
      <c r="V22" s="110">
        <v>1.3982023601618985</v>
      </c>
      <c r="W22" s="110">
        <v>87.247827274102463</v>
      </c>
      <c r="X22" s="110">
        <v>1.6314634368328103</v>
      </c>
      <c r="Y22" s="110">
        <v>101.80331845836736</v>
      </c>
      <c r="Z22" s="110">
        <v>1.5531733957464062</v>
      </c>
      <c r="AA22" s="110">
        <v>96.91801989457575</v>
      </c>
      <c r="AB22" s="110">
        <v>3.1502355216708895</v>
      </c>
      <c r="AC22" s="110">
        <v>196.5746965522635</v>
      </c>
      <c r="AD22" s="110">
        <v>3.8530181731512911</v>
      </c>
      <c r="AE22" s="110">
        <v>240.42833400464056</v>
      </c>
      <c r="AF22" s="110">
        <v>3.8430259061047365</v>
      </c>
      <c r="AG22" s="110">
        <v>239.80481654093555</v>
      </c>
      <c r="AH22" s="110">
        <v>1.6724285427156207</v>
      </c>
      <c r="AI22" s="110">
        <v>104.35954106545474</v>
      </c>
      <c r="AJ22" s="110">
        <v>1.5788593677798426</v>
      </c>
      <c r="AK22" s="110">
        <v>98.520824549462176</v>
      </c>
      <c r="AL22" s="110">
        <v>5.0532774616385119</v>
      </c>
      <c r="AM22" s="110">
        <v>315.32451360624316</v>
      </c>
      <c r="AN22" s="110">
        <v>3.8948298092788236</v>
      </c>
      <c r="AO22" s="110">
        <v>243.0373800989986</v>
      </c>
      <c r="AP22" s="110">
        <v>2.3526095169213774</v>
      </c>
      <c r="AQ22" s="110">
        <v>146.80283385589394</v>
      </c>
      <c r="AR22" s="110">
        <v>2.3247219964137589</v>
      </c>
      <c r="AS22" s="110">
        <v>145.06265257621854</v>
      </c>
      <c r="AT22" s="110">
        <v>0</v>
      </c>
      <c r="AU22" s="110">
        <v>0</v>
      </c>
      <c r="AV22" s="110">
        <v>0.85685551770619561</v>
      </c>
      <c r="AW22" s="110">
        <v>53.467784304866605</v>
      </c>
      <c r="AX22" s="110">
        <v>0</v>
      </c>
      <c r="AY22" s="110">
        <v>0</v>
      </c>
      <c r="AZ22" s="110">
        <v>1.9995018207496578</v>
      </c>
      <c r="BA22" s="110">
        <v>124.76891361477864</v>
      </c>
      <c r="BB22" s="110">
        <v>0</v>
      </c>
      <c r="BC22" s="110">
        <v>0</v>
      </c>
      <c r="BD22" s="110">
        <v>1.0967617616076926</v>
      </c>
      <c r="BE22" s="110">
        <v>68.437933924320021</v>
      </c>
      <c r="BF22" s="110">
        <v>3.4390475653612054</v>
      </c>
      <c r="BG22" s="110">
        <v>214.59656807853921</v>
      </c>
      <c r="BH22" s="110">
        <v>5.9868431858794846</v>
      </c>
      <c r="BI22" s="110">
        <v>373.57901479887983</v>
      </c>
      <c r="BJ22" s="110">
        <v>2.0771859161910311</v>
      </c>
      <c r="BK22" s="110">
        <v>129.61640117032033</v>
      </c>
      <c r="BL22" s="110">
        <v>1.9339874242132833</v>
      </c>
      <c r="BM22" s="110">
        <v>120.68081527090888</v>
      </c>
      <c r="BN22" s="110">
        <v>6.0232743996771685</v>
      </c>
      <c r="BO22" s="110">
        <v>375.85232253985532</v>
      </c>
      <c r="BP22" s="110">
        <v>2.0144067795811789</v>
      </c>
      <c r="BQ22" s="110">
        <v>125.69898304586556</v>
      </c>
      <c r="BR22" s="110">
        <v>6.7019716490449319</v>
      </c>
      <c r="BS22" s="110">
        <v>418.20303090040375</v>
      </c>
      <c r="BT22" s="110">
        <v>0</v>
      </c>
      <c r="BU22" s="110">
        <v>0</v>
      </c>
      <c r="BV22" s="110">
        <v>3.2158654283723664</v>
      </c>
      <c r="BW22" s="110">
        <v>200.67000273043567</v>
      </c>
      <c r="BX22" s="110">
        <v>3.9342521582486523</v>
      </c>
      <c r="BY22" s="110">
        <v>245.49733467471589</v>
      </c>
      <c r="BZ22" s="110">
        <v>4.177578905598744</v>
      </c>
      <c r="CA22" s="110">
        <v>260.68092370936159</v>
      </c>
      <c r="CB22" s="110">
        <v>4.2741214639070435</v>
      </c>
      <c r="CC22" s="110">
        <v>266.70517934779951</v>
      </c>
      <c r="CD22" s="110">
        <v>0</v>
      </c>
      <c r="CE22" s="110">
        <v>0</v>
      </c>
      <c r="CF22" s="110">
        <v>1.1013437355527707</v>
      </c>
      <c r="CG22" s="110">
        <v>68.723849098492892</v>
      </c>
      <c r="CH22" s="110">
        <v>0</v>
      </c>
      <c r="CI22" s="110">
        <v>0</v>
      </c>
      <c r="CJ22" s="110">
        <v>5.2179811746738549</v>
      </c>
      <c r="CK22" s="110">
        <v>325.60202529964852</v>
      </c>
      <c r="CL22" s="110">
        <v>2.3517686235188497</v>
      </c>
      <c r="CM22" s="110">
        <v>146.75036210757622</v>
      </c>
      <c r="CN22" s="110">
        <v>2.0660244434667594</v>
      </c>
      <c r="CO22" s="110">
        <v>128.91992527232577</v>
      </c>
      <c r="CP22" s="110">
        <v>1.4874238383906448</v>
      </c>
      <c r="CQ22" s="110">
        <v>92.815247515576232</v>
      </c>
      <c r="CR22" s="110">
        <v>0</v>
      </c>
      <c r="CS22" s="110">
        <v>0</v>
      </c>
      <c r="CT22" s="110">
        <v>1.7907371294880927</v>
      </c>
      <c r="CU22" s="110">
        <v>111.74199688005699</v>
      </c>
    </row>
    <row r="23" spans="2:99" x14ac:dyDescent="0.2">
      <c r="C23" s="109" t="s">
        <v>191</v>
      </c>
      <c r="D23" s="110">
        <v>0</v>
      </c>
      <c r="E23" s="110">
        <v>0</v>
      </c>
      <c r="F23" s="110">
        <v>0.94894596908523809</v>
      </c>
      <c r="G23" s="110">
        <v>265.32529295623254</v>
      </c>
      <c r="H23" s="110">
        <v>2.2700226553216707</v>
      </c>
      <c r="I23" s="110">
        <v>634.69833442793902</v>
      </c>
      <c r="J23" s="110">
        <v>1.9622229732441561</v>
      </c>
      <c r="K23" s="110">
        <v>548.63754331906591</v>
      </c>
      <c r="L23" s="110">
        <v>0</v>
      </c>
      <c r="M23" s="110">
        <v>0</v>
      </c>
      <c r="N23" s="110">
        <v>2.9293315869237411</v>
      </c>
      <c r="O23" s="110">
        <v>819.04111170387796</v>
      </c>
      <c r="P23" s="110">
        <v>1.6214447538011934</v>
      </c>
      <c r="Q23" s="110">
        <v>453.35595316281359</v>
      </c>
      <c r="R23" s="110">
        <v>1.7326295369189892</v>
      </c>
      <c r="S23" s="110">
        <v>484.44321852254933</v>
      </c>
      <c r="T23" s="110">
        <v>0.6678675406120238</v>
      </c>
      <c r="U23" s="110">
        <v>186.73576435512183</v>
      </c>
      <c r="V23" s="110">
        <v>1.3982023601618985</v>
      </c>
      <c r="W23" s="110">
        <v>390.93737990126675</v>
      </c>
      <c r="X23" s="110">
        <v>1.5059662493841326</v>
      </c>
      <c r="Y23" s="110">
        <v>421.0681633278034</v>
      </c>
      <c r="Z23" s="110">
        <v>1.5531733957464062</v>
      </c>
      <c r="AA23" s="110">
        <v>434.26728145069512</v>
      </c>
      <c r="AB23" s="110">
        <v>3.1502355216708895</v>
      </c>
      <c r="AC23" s="110">
        <v>880.80585185918062</v>
      </c>
      <c r="AD23" s="110">
        <v>3.7326113552403135</v>
      </c>
      <c r="AE23" s="110">
        <v>1043.6381349251915</v>
      </c>
      <c r="AF23" s="110">
        <v>3.6295244668766959</v>
      </c>
      <c r="AG23" s="110">
        <v>1014.8150409387241</v>
      </c>
      <c r="AH23" s="110">
        <v>1.5609333065345794</v>
      </c>
      <c r="AI23" s="110">
        <v>436.43695250706833</v>
      </c>
      <c r="AJ23" s="110">
        <v>1.4574086471813932</v>
      </c>
      <c r="AK23" s="110">
        <v>407.49145775191749</v>
      </c>
      <c r="AL23" s="110">
        <v>4.6138620301916839</v>
      </c>
      <c r="AM23" s="110">
        <v>1290.0358236415946</v>
      </c>
      <c r="AN23" s="110">
        <v>3.3384255508104204</v>
      </c>
      <c r="AO23" s="110">
        <v>933.42378400659345</v>
      </c>
      <c r="AP23" s="110">
        <v>2.580281405655704</v>
      </c>
      <c r="AQ23" s="110">
        <v>721.44668102133471</v>
      </c>
      <c r="AR23" s="110">
        <v>2.092249796772383</v>
      </c>
      <c r="AS23" s="110">
        <v>584.99304317755821</v>
      </c>
      <c r="AT23" s="110">
        <v>0</v>
      </c>
      <c r="AU23" s="110">
        <v>0</v>
      </c>
      <c r="AV23" s="110">
        <v>0.74974857799292116</v>
      </c>
      <c r="AW23" s="110">
        <v>209.62970240682074</v>
      </c>
      <c r="AX23" s="110">
        <v>0</v>
      </c>
      <c r="AY23" s="110">
        <v>0</v>
      </c>
      <c r="AZ23" s="110">
        <v>1.9995018207496578</v>
      </c>
      <c r="BA23" s="110">
        <v>559.06070908160427</v>
      </c>
      <c r="BB23" s="110">
        <v>0</v>
      </c>
      <c r="BC23" s="110">
        <v>0</v>
      </c>
      <c r="BD23" s="110">
        <v>0.95966654140673091</v>
      </c>
      <c r="BE23" s="110">
        <v>268.32276497732192</v>
      </c>
      <c r="BF23" s="110">
        <v>3.0091666196910549</v>
      </c>
      <c r="BG23" s="110">
        <v>841.36298686561884</v>
      </c>
      <c r="BH23" s="110">
        <v>5.2825086934230745</v>
      </c>
      <c r="BI23" s="110">
        <v>1476.9894306810916</v>
      </c>
      <c r="BJ23" s="110">
        <v>1.9957276449678534</v>
      </c>
      <c r="BK23" s="110">
        <v>558.00544953301176</v>
      </c>
      <c r="BL23" s="110">
        <v>1.9339874242132833</v>
      </c>
      <c r="BM23" s="110">
        <v>540.74288381003396</v>
      </c>
      <c r="BN23" s="110">
        <v>6.0232743996771685</v>
      </c>
      <c r="BO23" s="110">
        <v>1684.107522149736</v>
      </c>
      <c r="BP23" s="110">
        <v>2.1693611472412697</v>
      </c>
      <c r="BQ23" s="110">
        <v>606.55337676865895</v>
      </c>
      <c r="BR23" s="110">
        <v>6.7019716490449319</v>
      </c>
      <c r="BS23" s="110">
        <v>1873.8712730729628</v>
      </c>
      <c r="BT23" s="110">
        <v>0</v>
      </c>
      <c r="BU23" s="110">
        <v>0</v>
      </c>
      <c r="BV23" s="110">
        <v>3.1010130916447824</v>
      </c>
      <c r="BW23" s="110">
        <v>867.04326042388107</v>
      </c>
      <c r="BX23" s="110">
        <v>3.9342521582486523</v>
      </c>
      <c r="BY23" s="110">
        <v>1100.0169034463231</v>
      </c>
      <c r="BZ23" s="110">
        <v>4.4908973235186505</v>
      </c>
      <c r="CA23" s="110">
        <v>1255.6548916558145</v>
      </c>
      <c r="CB23" s="110">
        <v>4.1097321768336954</v>
      </c>
      <c r="CC23" s="110">
        <v>1149.0811166427011</v>
      </c>
      <c r="CD23" s="110">
        <v>0</v>
      </c>
      <c r="CE23" s="110">
        <v>0</v>
      </c>
      <c r="CF23" s="110">
        <v>1.1800111452351114</v>
      </c>
      <c r="CG23" s="110">
        <v>329.93111620773709</v>
      </c>
      <c r="CH23" s="110">
        <v>0</v>
      </c>
      <c r="CI23" s="110">
        <v>0</v>
      </c>
      <c r="CJ23" s="110">
        <v>5.2179811746738549</v>
      </c>
      <c r="CK23" s="110">
        <v>1458.9475364388097</v>
      </c>
      <c r="CL23" s="110">
        <v>2.3517686235188497</v>
      </c>
      <c r="CM23" s="110">
        <v>657.55450713587027</v>
      </c>
      <c r="CN23" s="110">
        <v>1.9184512689334197</v>
      </c>
      <c r="CO23" s="110">
        <v>536.39897479378408</v>
      </c>
      <c r="CP23" s="110">
        <v>1.4874238383906448</v>
      </c>
      <c r="CQ23" s="110">
        <v>415.88370521402425</v>
      </c>
      <c r="CR23" s="110">
        <v>0</v>
      </c>
      <c r="CS23" s="110">
        <v>0</v>
      </c>
      <c r="CT23" s="110">
        <v>1.7907371294880927</v>
      </c>
      <c r="CU23" s="110">
        <v>500.69010140487069</v>
      </c>
    </row>
    <row r="24" spans="2:99" x14ac:dyDescent="0.2">
      <c r="C24" s="109" t="s">
        <v>192</v>
      </c>
      <c r="D24" s="110">
        <v>0</v>
      </c>
      <c r="E24" s="110">
        <v>0</v>
      </c>
      <c r="F24" s="110">
        <v>0.87595012530945049</v>
      </c>
      <c r="G24" s="110">
        <v>266.98959819432054</v>
      </c>
      <c r="H24" s="110">
        <v>2.2700226553216707</v>
      </c>
      <c r="I24" s="110">
        <v>691.9029053420453</v>
      </c>
      <c r="J24" s="110">
        <v>2.1802477480490623</v>
      </c>
      <c r="K24" s="110">
        <v>664.53951360535416</v>
      </c>
      <c r="L24" s="110">
        <v>0</v>
      </c>
      <c r="M24" s="110">
        <v>0</v>
      </c>
      <c r="N24" s="110">
        <v>2.6038502994877697</v>
      </c>
      <c r="O24" s="110">
        <v>793.65357128387222</v>
      </c>
      <c r="P24" s="110">
        <v>1.7835892291813127</v>
      </c>
      <c r="Q24" s="110">
        <v>543.63799705446411</v>
      </c>
      <c r="R24" s="110">
        <v>1.8901413130025337</v>
      </c>
      <c r="S24" s="110">
        <v>576.1150722031723</v>
      </c>
      <c r="T24" s="110">
        <v>0.6678675406120238</v>
      </c>
      <c r="U24" s="110">
        <v>203.56602637854488</v>
      </c>
      <c r="V24" s="110">
        <v>1.3982023601618985</v>
      </c>
      <c r="W24" s="110">
        <v>426.17207937734668</v>
      </c>
      <c r="X24" s="110">
        <v>1.5059662493841326</v>
      </c>
      <c r="Y24" s="110">
        <v>459.01851281228363</v>
      </c>
      <c r="Z24" s="110">
        <v>1.5531733957464062</v>
      </c>
      <c r="AA24" s="110">
        <v>473.40725102350461</v>
      </c>
      <c r="AB24" s="110">
        <v>3.5137242357098386</v>
      </c>
      <c r="AC24" s="110">
        <v>1070.9831470443589</v>
      </c>
      <c r="AD24" s="110">
        <v>3.2509840835964021</v>
      </c>
      <c r="AE24" s="110">
        <v>990.89994868018346</v>
      </c>
      <c r="AF24" s="110">
        <v>3.9497766257187572</v>
      </c>
      <c r="AG24" s="110">
        <v>1203.8919155190772</v>
      </c>
      <c r="AH24" s="110">
        <v>1.7839237788966622</v>
      </c>
      <c r="AI24" s="110">
        <v>543.73996780770267</v>
      </c>
      <c r="AJ24" s="110">
        <v>1.619342941312659</v>
      </c>
      <c r="AK24" s="110">
        <v>493.57572851209846</v>
      </c>
      <c r="AL24" s="110">
        <v>5.2729851773619254</v>
      </c>
      <c r="AM24" s="110">
        <v>1607.205882059915</v>
      </c>
      <c r="AN24" s="110">
        <v>3.5609872541977814</v>
      </c>
      <c r="AO24" s="110">
        <v>1085.3889150794839</v>
      </c>
      <c r="AP24" s="110">
        <v>2.4285001464994864</v>
      </c>
      <c r="AQ24" s="110">
        <v>740.2068446530435</v>
      </c>
      <c r="AR24" s="110">
        <v>2.092249796772383</v>
      </c>
      <c r="AS24" s="110">
        <v>637.7177380562224</v>
      </c>
      <c r="AT24" s="110">
        <v>0</v>
      </c>
      <c r="AU24" s="110">
        <v>0</v>
      </c>
      <c r="AV24" s="110">
        <v>0.74974857799292116</v>
      </c>
      <c r="AW24" s="110">
        <v>228.52336657224237</v>
      </c>
      <c r="AX24" s="110">
        <v>0</v>
      </c>
      <c r="AY24" s="110">
        <v>0</v>
      </c>
      <c r="AZ24" s="110">
        <v>1.5996014565997265</v>
      </c>
      <c r="BA24" s="110">
        <v>487.55852397159668</v>
      </c>
      <c r="BB24" s="110">
        <v>0</v>
      </c>
      <c r="BC24" s="110">
        <v>0</v>
      </c>
      <c r="BD24" s="110">
        <v>1.0282141515072118</v>
      </c>
      <c r="BE24" s="110">
        <v>313.39967337939817</v>
      </c>
      <c r="BF24" s="110">
        <v>3.0091666196910549</v>
      </c>
      <c r="BG24" s="110">
        <v>917.19398568183362</v>
      </c>
      <c r="BH24" s="110">
        <v>6.1629268089935874</v>
      </c>
      <c r="BI24" s="110">
        <v>1878.4600913812455</v>
      </c>
      <c r="BJ24" s="110">
        <v>1.7513528312983202</v>
      </c>
      <c r="BK24" s="110">
        <v>533.81234297972799</v>
      </c>
      <c r="BL24" s="110">
        <v>2.1615153564736698</v>
      </c>
      <c r="BM24" s="110">
        <v>658.82988065317454</v>
      </c>
      <c r="BN24" s="110">
        <v>5.4995114084008927</v>
      </c>
      <c r="BO24" s="110">
        <v>1676.2510772805922</v>
      </c>
      <c r="BP24" s="110">
        <v>2.1693611472412697</v>
      </c>
      <c r="BQ24" s="110">
        <v>661.22127767913901</v>
      </c>
      <c r="BR24" s="110">
        <v>7.3505495505654093</v>
      </c>
      <c r="BS24" s="110">
        <v>2240.4475030123367</v>
      </c>
      <c r="BT24" s="110">
        <v>0</v>
      </c>
      <c r="BU24" s="110">
        <v>0</v>
      </c>
      <c r="BV24" s="110">
        <v>3.4455701018275358</v>
      </c>
      <c r="BW24" s="110">
        <v>1050.2097670370329</v>
      </c>
      <c r="BX24" s="110">
        <v>3.9342521582486523</v>
      </c>
      <c r="BY24" s="110">
        <v>1199.1600578341893</v>
      </c>
      <c r="BZ24" s="110">
        <v>4.2820183782387131</v>
      </c>
      <c r="CA24" s="110">
        <v>1305.1592016871598</v>
      </c>
      <c r="CB24" s="110">
        <v>3.6987589591503256</v>
      </c>
      <c r="CC24" s="110">
        <v>1127.3817307490192</v>
      </c>
      <c r="CD24" s="110">
        <v>0</v>
      </c>
      <c r="CE24" s="110">
        <v>0</v>
      </c>
      <c r="CF24" s="110">
        <v>1.2586785549174524</v>
      </c>
      <c r="CG24" s="110">
        <v>383.6452235388395</v>
      </c>
      <c r="CH24" s="110">
        <v>0</v>
      </c>
      <c r="CI24" s="110">
        <v>0</v>
      </c>
      <c r="CJ24" s="110">
        <v>5.6528129392300102</v>
      </c>
      <c r="CK24" s="110">
        <v>1722.9773838773071</v>
      </c>
      <c r="CL24" s="110">
        <v>2.5655657711114728</v>
      </c>
      <c r="CM24" s="110">
        <v>781.98444703477696</v>
      </c>
      <c r="CN24" s="110">
        <v>2.2135976180000991</v>
      </c>
      <c r="CO24" s="110">
        <v>674.70455396643024</v>
      </c>
      <c r="CP24" s="110">
        <v>1.6526931537673832</v>
      </c>
      <c r="CQ24" s="110">
        <v>503.74087326829846</v>
      </c>
      <c r="CR24" s="110">
        <v>0</v>
      </c>
      <c r="CS24" s="110">
        <v>0</v>
      </c>
      <c r="CT24" s="110">
        <v>1.7907371294880927</v>
      </c>
      <c r="CU24" s="110">
        <v>545.81667706797066</v>
      </c>
    </row>
    <row r="25" spans="2:99" x14ac:dyDescent="0.2">
      <c r="C25" s="109" t="s">
        <v>193</v>
      </c>
      <c r="D25" s="110">
        <v>0</v>
      </c>
      <c r="E25" s="110">
        <v>0</v>
      </c>
      <c r="F25" s="110">
        <v>0.94894596908523809</v>
      </c>
      <c r="G25" s="110">
        <v>308.5972291465194</v>
      </c>
      <c r="H25" s="110">
        <v>2.4763883512600047</v>
      </c>
      <c r="I25" s="110">
        <v>805.32149182975354</v>
      </c>
      <c r="J25" s="110">
        <v>1.7441981984392496</v>
      </c>
      <c r="K25" s="110">
        <v>567.21325413244392</v>
      </c>
      <c r="L25" s="110">
        <v>0</v>
      </c>
      <c r="M25" s="110">
        <v>0</v>
      </c>
      <c r="N25" s="110">
        <v>2.2783690120517988</v>
      </c>
      <c r="O25" s="110">
        <v>740.92560271924492</v>
      </c>
      <c r="P25" s="110">
        <v>1.7835892291813127</v>
      </c>
      <c r="Q25" s="110">
        <v>580.02321732976282</v>
      </c>
      <c r="R25" s="110">
        <v>1.7326295369189892</v>
      </c>
      <c r="S25" s="110">
        <v>563.45112540605533</v>
      </c>
      <c r="T25" s="110">
        <v>0.74207504512447087</v>
      </c>
      <c r="U25" s="110">
        <v>241.32280467447791</v>
      </c>
      <c r="V25" s="110">
        <v>1.2583821241457087</v>
      </c>
      <c r="W25" s="110">
        <v>409.22586677218447</v>
      </c>
      <c r="X25" s="110">
        <v>1.7569606242814881</v>
      </c>
      <c r="Y25" s="110">
        <v>571.3635950163399</v>
      </c>
      <c r="Z25" s="110">
        <v>1.6726482723422835</v>
      </c>
      <c r="AA25" s="110">
        <v>543.94521816571057</v>
      </c>
      <c r="AB25" s="110">
        <v>3.3925613310301892</v>
      </c>
      <c r="AC25" s="110">
        <v>1103.2609448510175</v>
      </c>
      <c r="AD25" s="110">
        <v>3.2509840835964021</v>
      </c>
      <c r="AE25" s="110">
        <v>1057.2200239855499</v>
      </c>
      <c r="AF25" s="110">
        <v>3.6295244668766959</v>
      </c>
      <c r="AG25" s="110">
        <v>1180.3213566283014</v>
      </c>
      <c r="AH25" s="110">
        <v>1.7281761608061417</v>
      </c>
      <c r="AI25" s="110">
        <v>562.00288749415722</v>
      </c>
      <c r="AJ25" s="110">
        <v>1.5788593677798426</v>
      </c>
      <c r="AK25" s="110">
        <v>513.44506640200484</v>
      </c>
      <c r="AL25" s="110">
        <v>5.3828390352236326</v>
      </c>
      <c r="AM25" s="110">
        <v>1750.4992542547252</v>
      </c>
      <c r="AN25" s="110">
        <v>4.0061106609725048</v>
      </c>
      <c r="AO25" s="110">
        <v>1302.7871869482585</v>
      </c>
      <c r="AP25" s="110">
        <v>2.6561720352338134</v>
      </c>
      <c r="AQ25" s="110">
        <v>863.78714585803607</v>
      </c>
      <c r="AR25" s="110">
        <v>2.3247219964137589</v>
      </c>
      <c r="AS25" s="110">
        <v>755.99959323375435</v>
      </c>
      <c r="AT25" s="110">
        <v>0</v>
      </c>
      <c r="AU25" s="110">
        <v>0</v>
      </c>
      <c r="AV25" s="110">
        <v>0.96396245741947006</v>
      </c>
      <c r="AW25" s="110">
        <v>313.48059115281166</v>
      </c>
      <c r="AX25" s="110">
        <v>0</v>
      </c>
      <c r="AY25" s="110">
        <v>0</v>
      </c>
      <c r="AZ25" s="110">
        <v>1.7995516386746921</v>
      </c>
      <c r="BA25" s="110">
        <v>585.21419289700987</v>
      </c>
      <c r="BB25" s="110">
        <v>0</v>
      </c>
      <c r="BC25" s="110">
        <v>0</v>
      </c>
      <c r="BD25" s="110">
        <v>1.0282141515072118</v>
      </c>
      <c r="BE25" s="110">
        <v>334.3752420701453</v>
      </c>
      <c r="BF25" s="110">
        <v>2.7942261468559795</v>
      </c>
      <c r="BG25" s="110">
        <v>908.68234295756452</v>
      </c>
      <c r="BH25" s="110">
        <v>5.9868431858794846</v>
      </c>
      <c r="BI25" s="110">
        <v>1946.9214040480083</v>
      </c>
      <c r="BJ25" s="110">
        <v>2.0364567805794422</v>
      </c>
      <c r="BK25" s="110">
        <v>662.25574504443455</v>
      </c>
      <c r="BL25" s="110">
        <v>1.9339874242132833</v>
      </c>
      <c r="BM25" s="110">
        <v>628.93271035415967</v>
      </c>
      <c r="BN25" s="110">
        <v>5.4995114084008927</v>
      </c>
      <c r="BO25" s="110">
        <v>1788.4411100119703</v>
      </c>
      <c r="BP25" s="110">
        <v>1.8594524119210882</v>
      </c>
      <c r="BQ25" s="110">
        <v>604.69392435673785</v>
      </c>
      <c r="BR25" s="110">
        <v>7.1343569167252507</v>
      </c>
      <c r="BS25" s="110">
        <v>2320.0928693190513</v>
      </c>
      <c r="BT25" s="110">
        <v>0</v>
      </c>
      <c r="BU25" s="110">
        <v>0</v>
      </c>
      <c r="BV25" s="110">
        <v>3.6752747752827046</v>
      </c>
      <c r="BW25" s="110">
        <v>1195.1993569219355</v>
      </c>
      <c r="BX25" s="110">
        <v>3.9342521582486523</v>
      </c>
      <c r="BY25" s="110">
        <v>1279.4188018624616</v>
      </c>
      <c r="BZ25" s="110">
        <v>4.3864578508786813</v>
      </c>
      <c r="CA25" s="110">
        <v>1426.4760931057472</v>
      </c>
      <c r="CB25" s="110">
        <v>3.9453428897603473</v>
      </c>
      <c r="CC25" s="110">
        <v>1283.0255077500649</v>
      </c>
      <c r="CD25" s="110">
        <v>0</v>
      </c>
      <c r="CE25" s="110">
        <v>0</v>
      </c>
      <c r="CF25" s="110">
        <v>1.2586785549174524</v>
      </c>
      <c r="CG25" s="110">
        <v>409.32226605915548</v>
      </c>
      <c r="CH25" s="110">
        <v>0</v>
      </c>
      <c r="CI25" s="110">
        <v>0</v>
      </c>
      <c r="CJ25" s="110">
        <v>5.2179811746738549</v>
      </c>
      <c r="CK25" s="110">
        <v>1696.8874780039375</v>
      </c>
      <c r="CL25" s="110">
        <v>2.3517686235188497</v>
      </c>
      <c r="CM25" s="110">
        <v>764.79515636832991</v>
      </c>
      <c r="CN25" s="110">
        <v>1.9184512689334197</v>
      </c>
      <c r="CO25" s="110">
        <v>623.88035265714802</v>
      </c>
      <c r="CP25" s="110">
        <v>1.4874238383906448</v>
      </c>
      <c r="CQ25" s="110">
        <v>483.71023224463767</v>
      </c>
      <c r="CR25" s="110">
        <v>0</v>
      </c>
      <c r="CS25" s="110">
        <v>0</v>
      </c>
      <c r="CT25" s="110">
        <v>1.6116634165392834</v>
      </c>
      <c r="CU25" s="110">
        <v>524.11294305857496</v>
      </c>
    </row>
    <row r="26" spans="2:99" x14ac:dyDescent="0.2">
      <c r="C26" s="109" t="s">
        <v>194</v>
      </c>
      <c r="D26" s="110">
        <v>0</v>
      </c>
      <c r="E26" s="110">
        <v>0</v>
      </c>
      <c r="F26" s="110">
        <v>0.94894596908523809</v>
      </c>
      <c r="G26" s="110">
        <v>272.1577039336463</v>
      </c>
      <c r="H26" s="110">
        <v>2.4763883512600047</v>
      </c>
      <c r="I26" s="110">
        <v>710.22817914136942</v>
      </c>
      <c r="J26" s="110">
        <v>1.7441981984392496</v>
      </c>
      <c r="K26" s="110">
        <v>500.23604331237681</v>
      </c>
      <c r="L26" s="110">
        <v>0</v>
      </c>
      <c r="M26" s="110">
        <v>0</v>
      </c>
      <c r="N26" s="110">
        <v>2.6038502994877697</v>
      </c>
      <c r="O26" s="110">
        <v>746.78426589309242</v>
      </c>
      <c r="P26" s="110">
        <v>1.7835892291813127</v>
      </c>
      <c r="Q26" s="110">
        <v>511.53339092920049</v>
      </c>
      <c r="R26" s="110">
        <v>1.8901413130025337</v>
      </c>
      <c r="S26" s="110">
        <v>542.09252856912667</v>
      </c>
      <c r="T26" s="110">
        <v>0.74207504512447087</v>
      </c>
      <c r="U26" s="110">
        <v>212.82712294169826</v>
      </c>
      <c r="V26" s="110">
        <v>1.2583821241457087</v>
      </c>
      <c r="W26" s="110">
        <v>360.90399320498926</v>
      </c>
      <c r="X26" s="110">
        <v>1.6314634368328103</v>
      </c>
      <c r="Y26" s="110">
        <v>467.90371368364998</v>
      </c>
      <c r="Z26" s="110">
        <v>1.6726482723422835</v>
      </c>
      <c r="AA26" s="110">
        <v>479.71552450776693</v>
      </c>
      <c r="AB26" s="110">
        <v>3.2713984263505393</v>
      </c>
      <c r="AC26" s="110">
        <v>938.23706867733472</v>
      </c>
      <c r="AD26" s="110">
        <v>3.2509840835964021</v>
      </c>
      <c r="AE26" s="110">
        <v>932.38223517544816</v>
      </c>
      <c r="AF26" s="110">
        <v>3.9497766257187572</v>
      </c>
      <c r="AG26" s="110">
        <v>1132.7959362561396</v>
      </c>
      <c r="AH26" s="110">
        <v>1.7281761608061417</v>
      </c>
      <c r="AI26" s="110">
        <v>495.64092291920144</v>
      </c>
      <c r="AJ26" s="110">
        <v>1.4574086471813932</v>
      </c>
      <c r="AK26" s="110">
        <v>417.98480001162358</v>
      </c>
      <c r="AL26" s="110">
        <v>4.6138620301916839</v>
      </c>
      <c r="AM26" s="110">
        <v>1323.2556302589751</v>
      </c>
      <c r="AN26" s="110">
        <v>4.0061106609725048</v>
      </c>
      <c r="AO26" s="110">
        <v>1148.9525375669143</v>
      </c>
      <c r="AP26" s="110">
        <v>2.504390776077595</v>
      </c>
      <c r="AQ26" s="110">
        <v>718.25927457905425</v>
      </c>
      <c r="AR26" s="110">
        <v>2.3247219964137589</v>
      </c>
      <c r="AS26" s="110">
        <v>666.73026857146613</v>
      </c>
      <c r="AT26" s="110">
        <v>0</v>
      </c>
      <c r="AU26" s="110">
        <v>0</v>
      </c>
      <c r="AV26" s="110">
        <v>0.96396245741947006</v>
      </c>
      <c r="AW26" s="110">
        <v>276.464432787904</v>
      </c>
      <c r="AX26" s="110">
        <v>0</v>
      </c>
      <c r="AY26" s="110">
        <v>0</v>
      </c>
      <c r="AZ26" s="110">
        <v>1.7995516386746921</v>
      </c>
      <c r="BA26" s="110">
        <v>516.11140997190171</v>
      </c>
      <c r="BB26" s="110">
        <v>0</v>
      </c>
      <c r="BC26" s="110">
        <v>0</v>
      </c>
      <c r="BD26" s="110">
        <v>1.0282141515072118</v>
      </c>
      <c r="BE26" s="110">
        <v>294.8918186522684</v>
      </c>
      <c r="BF26" s="110">
        <v>3.2241070925261299</v>
      </c>
      <c r="BG26" s="110">
        <v>924.67391413649409</v>
      </c>
      <c r="BH26" s="110">
        <v>5.8107595627653827</v>
      </c>
      <c r="BI26" s="110">
        <v>1666.5258426011119</v>
      </c>
      <c r="BJ26" s="110">
        <v>1.7513528312983202</v>
      </c>
      <c r="BK26" s="110">
        <v>502.28799201635826</v>
      </c>
      <c r="BL26" s="110">
        <v>2.0477513903434765</v>
      </c>
      <c r="BM26" s="110">
        <v>587.29509875050906</v>
      </c>
      <c r="BN26" s="110">
        <v>5.6304521562199623</v>
      </c>
      <c r="BO26" s="110">
        <v>1614.8136784038852</v>
      </c>
      <c r="BP26" s="110">
        <v>2.0144067795811789</v>
      </c>
      <c r="BQ26" s="110">
        <v>577.73186438388211</v>
      </c>
      <c r="BR26" s="110">
        <v>6.9181642828850913</v>
      </c>
      <c r="BS26" s="110">
        <v>1984.1295163314442</v>
      </c>
      <c r="BT26" s="110">
        <v>0</v>
      </c>
      <c r="BU26" s="110">
        <v>0</v>
      </c>
      <c r="BV26" s="110">
        <v>3.3307177650999509</v>
      </c>
      <c r="BW26" s="110">
        <v>955.24985503066591</v>
      </c>
      <c r="BX26" s="110">
        <v>3.2399723656165373</v>
      </c>
      <c r="BY26" s="110">
        <v>929.224074458823</v>
      </c>
      <c r="BZ26" s="110">
        <v>4.3864578508786813</v>
      </c>
      <c r="CA26" s="110">
        <v>1258.0361116320059</v>
      </c>
      <c r="CB26" s="110">
        <v>4.1919268203703695</v>
      </c>
      <c r="CC26" s="110">
        <v>1202.2446120822219</v>
      </c>
      <c r="CD26" s="110">
        <v>0</v>
      </c>
      <c r="CE26" s="110">
        <v>0</v>
      </c>
      <c r="CF26" s="110">
        <v>1.1800111452351114</v>
      </c>
      <c r="CG26" s="110">
        <v>338.42719645342999</v>
      </c>
      <c r="CH26" s="110">
        <v>0</v>
      </c>
      <c r="CI26" s="110">
        <v>0</v>
      </c>
      <c r="CJ26" s="110">
        <v>5.6528129392300102</v>
      </c>
      <c r="CK26" s="110">
        <v>1621.2267509711669</v>
      </c>
      <c r="CL26" s="110">
        <v>2.3517686235188497</v>
      </c>
      <c r="CM26" s="110">
        <v>674.48724122520616</v>
      </c>
      <c r="CN26" s="110">
        <v>1.9184512689334197</v>
      </c>
      <c r="CO26" s="110">
        <v>550.21182393010474</v>
      </c>
      <c r="CP26" s="110">
        <v>1.4874238383906448</v>
      </c>
      <c r="CQ26" s="110">
        <v>426.59315685043697</v>
      </c>
      <c r="CR26" s="110">
        <v>0</v>
      </c>
      <c r="CS26" s="110">
        <v>0</v>
      </c>
      <c r="CT26" s="110">
        <v>1.6116634165392834</v>
      </c>
      <c r="CU26" s="110">
        <v>462.22506786346651</v>
      </c>
    </row>
    <row r="27" spans="2:99" x14ac:dyDescent="0.2">
      <c r="C27" s="109" t="s">
        <v>195</v>
      </c>
      <c r="D27" s="110">
        <v>0</v>
      </c>
      <c r="E27" s="110">
        <v>0</v>
      </c>
      <c r="F27" s="110">
        <v>0.94894596908523809</v>
      </c>
      <c r="G27" s="110">
        <v>299.48734784330111</v>
      </c>
      <c r="H27" s="110">
        <v>2.2700226553216707</v>
      </c>
      <c r="I27" s="110">
        <v>716.41915001951918</v>
      </c>
      <c r="J27" s="110">
        <v>1.9622229732441561</v>
      </c>
      <c r="K27" s="110">
        <v>619.27757035585557</v>
      </c>
      <c r="L27" s="110">
        <v>0</v>
      </c>
      <c r="M27" s="110">
        <v>0</v>
      </c>
      <c r="N27" s="110">
        <v>2.2783690120517988</v>
      </c>
      <c r="O27" s="110">
        <v>719.05326020354767</v>
      </c>
      <c r="P27" s="110">
        <v>1.6214447538011934</v>
      </c>
      <c r="Q27" s="110">
        <v>511.72796429965655</v>
      </c>
      <c r="R27" s="110">
        <v>1.7326295369189892</v>
      </c>
      <c r="S27" s="110">
        <v>546.81788185163293</v>
      </c>
      <c r="T27" s="110">
        <v>0.6678675406120238</v>
      </c>
      <c r="U27" s="110">
        <v>210.77899581715468</v>
      </c>
      <c r="V27" s="110">
        <v>1.3982023601618985</v>
      </c>
      <c r="W27" s="110">
        <v>441.2726648670951</v>
      </c>
      <c r="X27" s="110">
        <v>1.6314634368328103</v>
      </c>
      <c r="Y27" s="110">
        <v>514.88986066443488</v>
      </c>
      <c r="Z27" s="110">
        <v>1.6726482723422835</v>
      </c>
      <c r="AA27" s="110">
        <v>527.88779475122465</v>
      </c>
      <c r="AB27" s="110">
        <v>3.1502355216708895</v>
      </c>
      <c r="AC27" s="110">
        <v>994.21433063933262</v>
      </c>
      <c r="AD27" s="110">
        <v>3.7326113552403135</v>
      </c>
      <c r="AE27" s="110">
        <v>1178.0121437138428</v>
      </c>
      <c r="AF27" s="110">
        <v>3.6295244668766959</v>
      </c>
      <c r="AG27" s="110">
        <v>1145.4779217462851</v>
      </c>
      <c r="AH27" s="110">
        <v>1.6166809246251002</v>
      </c>
      <c r="AI27" s="110">
        <v>510.22449981168154</v>
      </c>
      <c r="AJ27" s="110">
        <v>1.4574086471813932</v>
      </c>
      <c r="AK27" s="110">
        <v>459.95816905044762</v>
      </c>
      <c r="AL27" s="110">
        <v>4.3941543144682713</v>
      </c>
      <c r="AM27" s="110">
        <v>1386.7951016461864</v>
      </c>
      <c r="AN27" s="110">
        <v>3.8948298092788236</v>
      </c>
      <c r="AO27" s="110">
        <v>1229.2082878083966</v>
      </c>
      <c r="AP27" s="110">
        <v>2.2767188873432684</v>
      </c>
      <c r="AQ27" s="110">
        <v>718.53248084553547</v>
      </c>
      <c r="AR27" s="110">
        <v>2.3247219964137589</v>
      </c>
      <c r="AS27" s="110">
        <v>733.68226206818224</v>
      </c>
      <c r="AT27" s="110">
        <v>0</v>
      </c>
      <c r="AU27" s="110">
        <v>0</v>
      </c>
      <c r="AV27" s="110">
        <v>0.74974857799292116</v>
      </c>
      <c r="AW27" s="110">
        <v>236.6206512145659</v>
      </c>
      <c r="AX27" s="110">
        <v>0</v>
      </c>
      <c r="AY27" s="110">
        <v>0</v>
      </c>
      <c r="AZ27" s="110">
        <v>1.7995516386746921</v>
      </c>
      <c r="BA27" s="110">
        <v>567.93849716573277</v>
      </c>
      <c r="BB27" s="110">
        <v>0</v>
      </c>
      <c r="BC27" s="110">
        <v>0</v>
      </c>
      <c r="BD27" s="110">
        <v>0.95966654140673091</v>
      </c>
      <c r="BE27" s="110">
        <v>302.87076046796426</v>
      </c>
      <c r="BF27" s="110">
        <v>3.0091666196910549</v>
      </c>
      <c r="BG27" s="110">
        <v>949.69298517449681</v>
      </c>
      <c r="BH27" s="110">
        <v>5.2825086934230745</v>
      </c>
      <c r="BI27" s="110">
        <v>1667.1597436443221</v>
      </c>
      <c r="BJ27" s="110">
        <v>1.9957276449678534</v>
      </c>
      <c r="BK27" s="110">
        <v>629.85164475185445</v>
      </c>
      <c r="BL27" s="110">
        <v>2.0477513903434765</v>
      </c>
      <c r="BM27" s="110">
        <v>646.27033879240116</v>
      </c>
      <c r="BN27" s="110">
        <v>5.4995114084008927</v>
      </c>
      <c r="BO27" s="110">
        <v>1735.6458004913216</v>
      </c>
      <c r="BP27" s="110">
        <v>2.0660582354678758</v>
      </c>
      <c r="BQ27" s="110">
        <v>652.04797911366154</v>
      </c>
      <c r="BR27" s="110">
        <v>6.269586381364614</v>
      </c>
      <c r="BS27" s="110">
        <v>1978.6814619586719</v>
      </c>
      <c r="BT27" s="110">
        <v>0</v>
      </c>
      <c r="BU27" s="110">
        <v>0</v>
      </c>
      <c r="BV27" s="110">
        <v>3.5604224385551202</v>
      </c>
      <c r="BW27" s="110">
        <v>1123.6693216079959</v>
      </c>
      <c r="BX27" s="110">
        <v>3.4713989631605759</v>
      </c>
      <c r="BY27" s="110">
        <v>1095.5735127734777</v>
      </c>
      <c r="BZ27" s="110">
        <v>3.9686999603188071</v>
      </c>
      <c r="CA27" s="110">
        <v>1252.5217074766153</v>
      </c>
      <c r="CB27" s="110">
        <v>3.5343696720769779</v>
      </c>
      <c r="CC27" s="110">
        <v>1115.4470685074941</v>
      </c>
      <c r="CD27" s="110">
        <v>0</v>
      </c>
      <c r="CE27" s="110">
        <v>0</v>
      </c>
      <c r="CF27" s="110">
        <v>1.1800111452351114</v>
      </c>
      <c r="CG27" s="110">
        <v>372.41151743620111</v>
      </c>
      <c r="CH27" s="110">
        <v>0</v>
      </c>
      <c r="CI27" s="110">
        <v>0</v>
      </c>
      <c r="CJ27" s="110">
        <v>5.6528129392300102</v>
      </c>
      <c r="CK27" s="110">
        <v>1784.027763620991</v>
      </c>
      <c r="CL27" s="110">
        <v>2.5655657711114728</v>
      </c>
      <c r="CM27" s="110">
        <v>809.69255736278069</v>
      </c>
      <c r="CN27" s="110">
        <v>2.0660244434667594</v>
      </c>
      <c r="CO27" s="110">
        <v>652.03731435810914</v>
      </c>
      <c r="CP27" s="110">
        <v>1.6526931537673832</v>
      </c>
      <c r="CQ27" s="110">
        <v>521.58995932898608</v>
      </c>
      <c r="CR27" s="110">
        <v>0</v>
      </c>
      <c r="CS27" s="110">
        <v>0</v>
      </c>
      <c r="CT27" s="110">
        <v>1.7907371294880927</v>
      </c>
      <c r="CU27" s="110">
        <v>565.15663806644204</v>
      </c>
    </row>
    <row r="28" spans="2:99" x14ac:dyDescent="0.2">
      <c r="C28" s="109" t="s">
        <v>196</v>
      </c>
      <c r="D28" s="110">
        <v>0</v>
      </c>
      <c r="E28" s="110">
        <v>0</v>
      </c>
      <c r="F28" s="110">
        <v>3.807683101285074</v>
      </c>
      <c r="G28" s="110">
        <v>2248.0561029987075</v>
      </c>
      <c r="H28" s="110">
        <v>0</v>
      </c>
      <c r="I28" s="110">
        <v>0</v>
      </c>
      <c r="J28" s="110">
        <v>9</v>
      </c>
      <c r="K28" s="110">
        <v>5313.5999999999995</v>
      </c>
      <c r="L28" s="110">
        <v>13</v>
      </c>
      <c r="M28" s="110">
        <v>7675.2</v>
      </c>
      <c r="N28" s="110">
        <v>7.4874894212990899</v>
      </c>
      <c r="O28" s="110">
        <v>4420.6137543349823</v>
      </c>
      <c r="P28" s="110">
        <v>10</v>
      </c>
      <c r="Q28" s="110">
        <v>5904</v>
      </c>
      <c r="R28" s="110">
        <v>11.138724934941129</v>
      </c>
      <c r="S28" s="110">
        <v>6576.3032015892422</v>
      </c>
      <c r="T28" s="110">
        <v>5.0968540733825112</v>
      </c>
      <c r="U28" s="110">
        <v>3009.1826449250343</v>
      </c>
      <c r="V28" s="110">
        <v>2.0399460766372037</v>
      </c>
      <c r="W28" s="110">
        <v>1204.384163646605</v>
      </c>
      <c r="X28" s="110">
        <v>5.3283269221300138</v>
      </c>
      <c r="Y28" s="110">
        <v>3145.8442148255599</v>
      </c>
      <c r="Z28" s="110">
        <v>14</v>
      </c>
      <c r="AA28" s="110">
        <v>8265.6</v>
      </c>
      <c r="AB28" s="110">
        <v>28</v>
      </c>
      <c r="AC28" s="110">
        <v>16531.2</v>
      </c>
      <c r="AD28" s="110">
        <v>17.742037578612013</v>
      </c>
      <c r="AE28" s="110">
        <v>10474.898986412532</v>
      </c>
      <c r="AF28" s="110">
        <v>0</v>
      </c>
      <c r="AG28" s="110">
        <v>0</v>
      </c>
      <c r="AH28" s="110">
        <v>31</v>
      </c>
      <c r="AI28" s="110">
        <v>18302.399999999998</v>
      </c>
      <c r="AJ28" s="110">
        <v>38</v>
      </c>
      <c r="AK28" s="110">
        <v>22435.200000000001</v>
      </c>
      <c r="AL28" s="110">
        <v>46</v>
      </c>
      <c r="AM28" s="110">
        <v>27158.399999999998</v>
      </c>
      <c r="AN28" s="110">
        <v>34</v>
      </c>
      <c r="AO28" s="110">
        <v>20073.599999999999</v>
      </c>
      <c r="AP28" s="110">
        <v>29</v>
      </c>
      <c r="AQ28" s="110">
        <v>17121.599999999999</v>
      </c>
      <c r="AR28" s="110">
        <v>8</v>
      </c>
      <c r="AS28" s="110">
        <v>4723.2</v>
      </c>
      <c r="AT28" s="110">
        <v>8.8191454795175712</v>
      </c>
      <c r="AU28" s="110">
        <v>5206.823491107174</v>
      </c>
      <c r="AV28" s="110">
        <v>2.3851677203758079</v>
      </c>
      <c r="AW28" s="110">
        <v>1408.2030221098769</v>
      </c>
      <c r="AX28" s="110">
        <v>7.3211211910066387</v>
      </c>
      <c r="AY28" s="110">
        <v>4322.3899511703194</v>
      </c>
      <c r="AZ28" s="110">
        <v>9</v>
      </c>
      <c r="BA28" s="110">
        <v>5313.5999999999995</v>
      </c>
      <c r="BB28" s="110">
        <v>9.2099269936370067</v>
      </c>
      <c r="BC28" s="110">
        <v>5437.5408970432882</v>
      </c>
      <c r="BD28" s="110">
        <v>0</v>
      </c>
      <c r="BE28" s="110">
        <v>0</v>
      </c>
      <c r="BF28" s="110">
        <v>2.405091555748875</v>
      </c>
      <c r="BG28" s="110">
        <v>1419.9660545141357</v>
      </c>
      <c r="BH28" s="110">
        <v>20.003063363406117</v>
      </c>
      <c r="BI28" s="110">
        <v>11809.808609754971</v>
      </c>
      <c r="BJ28" s="110">
        <v>51</v>
      </c>
      <c r="BK28" s="110">
        <v>30110.399999999998</v>
      </c>
      <c r="BL28" s="110">
        <v>29.988211645300424</v>
      </c>
      <c r="BM28" s="110">
        <v>17705.04015538537</v>
      </c>
      <c r="BN28" s="110">
        <v>42</v>
      </c>
      <c r="BO28" s="110">
        <v>24796.799999999999</v>
      </c>
      <c r="BP28" s="110">
        <v>39</v>
      </c>
      <c r="BQ28" s="110">
        <v>23025.599999999999</v>
      </c>
      <c r="BR28" s="110">
        <v>27.620727026989552</v>
      </c>
      <c r="BS28" s="110">
        <v>16307.277236734632</v>
      </c>
      <c r="BT28" s="110">
        <v>47</v>
      </c>
      <c r="BU28" s="110">
        <v>27748.799999999999</v>
      </c>
      <c r="BV28" s="110">
        <v>11.3519806333557</v>
      </c>
      <c r="BW28" s="110">
        <v>6702.2093659332049</v>
      </c>
      <c r="BX28" s="110">
        <v>19.567090520551581</v>
      </c>
      <c r="BY28" s="110">
        <v>11552.410243333652</v>
      </c>
      <c r="BZ28" s="110">
        <v>0</v>
      </c>
      <c r="CA28" s="110">
        <v>0</v>
      </c>
      <c r="CB28" s="110">
        <v>48</v>
      </c>
      <c r="CC28" s="110">
        <v>28339.199999999997</v>
      </c>
      <c r="CD28" s="110">
        <v>3.8403285838715866</v>
      </c>
      <c r="CE28" s="110">
        <v>2267.3299959177848</v>
      </c>
      <c r="CF28" s="110">
        <v>16</v>
      </c>
      <c r="CG28" s="110">
        <v>9446.4</v>
      </c>
      <c r="CH28" s="110">
        <v>0.63907805700565523</v>
      </c>
      <c r="CI28" s="110">
        <v>377.31168485613881</v>
      </c>
      <c r="CJ28" s="110">
        <v>9.4679470260733467</v>
      </c>
      <c r="CK28" s="110">
        <v>5589.8759241937041</v>
      </c>
      <c r="CL28" s="110">
        <v>12</v>
      </c>
      <c r="CM28" s="110">
        <v>7084.7999999999993</v>
      </c>
      <c r="CN28" s="110">
        <v>15</v>
      </c>
      <c r="CO28" s="110">
        <v>8856</v>
      </c>
      <c r="CP28" s="110">
        <v>0.38313779328367836</v>
      </c>
      <c r="CQ28" s="110">
        <v>226.20455315468371</v>
      </c>
      <c r="CR28" s="110">
        <v>8.8277334652626731</v>
      </c>
      <c r="CS28" s="110">
        <v>5211.8938378910816</v>
      </c>
      <c r="CT28" s="110">
        <v>1.8074133632381444</v>
      </c>
      <c r="CU28" s="110">
        <v>1067.0968496558005</v>
      </c>
    </row>
    <row r="29" spans="2:99" x14ac:dyDescent="0.2">
      <c r="C29" s="109" t="s">
        <v>197</v>
      </c>
      <c r="D29" s="110">
        <v>0</v>
      </c>
      <c r="E29" s="110">
        <v>0</v>
      </c>
      <c r="F29" s="110">
        <v>1.0219418128610256</v>
      </c>
      <c r="G29" s="110">
        <v>240.36071438491319</v>
      </c>
      <c r="H29" s="110">
        <v>2.4763883512600047</v>
      </c>
      <c r="I29" s="110">
        <v>582.44654021635301</v>
      </c>
      <c r="J29" s="110">
        <v>2.1802477480490623</v>
      </c>
      <c r="K29" s="110">
        <v>512.79427034113939</v>
      </c>
      <c r="L29" s="110">
        <v>0</v>
      </c>
      <c r="M29" s="110">
        <v>0</v>
      </c>
      <c r="N29" s="110">
        <v>2.9293315869237411</v>
      </c>
      <c r="O29" s="110">
        <v>688.97878924446388</v>
      </c>
      <c r="P29" s="110">
        <v>1.7835892291813127</v>
      </c>
      <c r="Q29" s="110">
        <v>419.50018670344474</v>
      </c>
      <c r="R29" s="110">
        <v>1.7326295369189892</v>
      </c>
      <c r="S29" s="110">
        <v>407.51446708334623</v>
      </c>
      <c r="T29" s="110">
        <v>0.74207504512447087</v>
      </c>
      <c r="U29" s="110">
        <v>174.53605061327553</v>
      </c>
      <c r="V29" s="110">
        <v>1.2583821241457087</v>
      </c>
      <c r="W29" s="110">
        <v>295.97147559907069</v>
      </c>
      <c r="X29" s="110">
        <v>1.6314634368328103</v>
      </c>
      <c r="Y29" s="110">
        <v>383.72020034307695</v>
      </c>
      <c r="Z29" s="110">
        <v>1.6726482723422835</v>
      </c>
      <c r="AA29" s="110">
        <v>393.40687365490504</v>
      </c>
      <c r="AB29" s="110">
        <v>3.5137242357098386</v>
      </c>
      <c r="AC29" s="110">
        <v>826.42794023895397</v>
      </c>
      <c r="AD29" s="110">
        <v>3.6122045373293354</v>
      </c>
      <c r="AE29" s="110">
        <v>849.59050717985963</v>
      </c>
      <c r="AF29" s="110">
        <v>3.7362751864907167</v>
      </c>
      <c r="AG29" s="110">
        <v>878.77192386261652</v>
      </c>
      <c r="AH29" s="110">
        <v>1.5051856884440589</v>
      </c>
      <c r="AI29" s="110">
        <v>354.01967392204261</v>
      </c>
      <c r="AJ29" s="110">
        <v>1.5788593677798426</v>
      </c>
      <c r="AK29" s="110">
        <v>371.34772330181897</v>
      </c>
      <c r="AL29" s="110">
        <v>4.6138620301916839</v>
      </c>
      <c r="AM29" s="110">
        <v>1085.180349501084</v>
      </c>
      <c r="AN29" s="110">
        <v>3.4497064025041007</v>
      </c>
      <c r="AO29" s="110">
        <v>811.37094586896444</v>
      </c>
      <c r="AP29" s="110">
        <v>2.580281405655704</v>
      </c>
      <c r="AQ29" s="110">
        <v>606.88218661022154</v>
      </c>
      <c r="AR29" s="110">
        <v>2.092249796772383</v>
      </c>
      <c r="AS29" s="110">
        <v>492.09715220086446</v>
      </c>
      <c r="AT29" s="110">
        <v>0</v>
      </c>
      <c r="AU29" s="110">
        <v>0</v>
      </c>
      <c r="AV29" s="110">
        <v>0.74974857799292116</v>
      </c>
      <c r="AW29" s="110">
        <v>176.34086554393505</v>
      </c>
      <c r="AX29" s="110">
        <v>0</v>
      </c>
      <c r="AY29" s="110">
        <v>0</v>
      </c>
      <c r="AZ29" s="110">
        <v>1.7995516386746921</v>
      </c>
      <c r="BA29" s="110">
        <v>423.25454541628756</v>
      </c>
      <c r="BB29" s="110">
        <v>0</v>
      </c>
      <c r="BC29" s="110">
        <v>0</v>
      </c>
      <c r="BD29" s="110">
        <v>0.95966654140673091</v>
      </c>
      <c r="BE29" s="110">
        <v>225.71357053886311</v>
      </c>
      <c r="BF29" s="110">
        <v>3.0091666196910549</v>
      </c>
      <c r="BG29" s="110">
        <v>707.75598895133612</v>
      </c>
      <c r="BH29" s="110">
        <v>5.8107595627653827</v>
      </c>
      <c r="BI29" s="110">
        <v>1366.6906491624179</v>
      </c>
      <c r="BJ29" s="110">
        <v>1.7513528312983202</v>
      </c>
      <c r="BK29" s="110">
        <v>411.91818592136491</v>
      </c>
      <c r="BL29" s="110">
        <v>2.0477513903434765</v>
      </c>
      <c r="BM29" s="110">
        <v>481.63112700878565</v>
      </c>
      <c r="BN29" s="110">
        <v>5.368570660581824</v>
      </c>
      <c r="BO29" s="110">
        <v>1262.6878193688449</v>
      </c>
      <c r="BP29" s="110">
        <v>2.0660582354678758</v>
      </c>
      <c r="BQ29" s="110">
        <v>485.93689698204435</v>
      </c>
      <c r="BR29" s="110">
        <v>6.4857790152047734</v>
      </c>
      <c r="BS29" s="110">
        <v>1525.4552243761627</v>
      </c>
      <c r="BT29" s="110">
        <v>0</v>
      </c>
      <c r="BU29" s="110">
        <v>0</v>
      </c>
      <c r="BV29" s="110">
        <v>3.6752747752827046</v>
      </c>
      <c r="BW29" s="110">
        <v>864.42462714649207</v>
      </c>
      <c r="BX29" s="110">
        <v>3.4713989631605759</v>
      </c>
      <c r="BY29" s="110">
        <v>816.47303613536747</v>
      </c>
      <c r="BZ29" s="110">
        <v>4.177578905598744</v>
      </c>
      <c r="CA29" s="110">
        <v>982.56655859682451</v>
      </c>
      <c r="CB29" s="110">
        <v>3.9453428897603473</v>
      </c>
      <c r="CC29" s="110">
        <v>927.94464767163367</v>
      </c>
      <c r="CD29" s="110">
        <v>0</v>
      </c>
      <c r="CE29" s="110">
        <v>0</v>
      </c>
      <c r="CF29" s="110">
        <v>1.1800111452351114</v>
      </c>
      <c r="CG29" s="110">
        <v>277.53862135929819</v>
      </c>
      <c r="CH29" s="110">
        <v>0</v>
      </c>
      <c r="CI29" s="110">
        <v>0</v>
      </c>
      <c r="CJ29" s="110">
        <v>6.0876447037861645</v>
      </c>
      <c r="CK29" s="110">
        <v>1431.8140343305058</v>
      </c>
      <c r="CL29" s="110">
        <v>2.3517686235188497</v>
      </c>
      <c r="CM29" s="110">
        <v>553.13598025163344</v>
      </c>
      <c r="CN29" s="110">
        <v>1.9184512689334197</v>
      </c>
      <c r="CO29" s="110">
        <v>451.21973845314028</v>
      </c>
      <c r="CP29" s="110">
        <v>1.4874238383906448</v>
      </c>
      <c r="CQ29" s="110">
        <v>349.84208678947965</v>
      </c>
      <c r="CR29" s="110">
        <v>0</v>
      </c>
      <c r="CS29" s="110">
        <v>0</v>
      </c>
      <c r="CT29" s="110">
        <v>1.6116634165392834</v>
      </c>
      <c r="CU29" s="110">
        <v>379.06323557003941</v>
      </c>
    </row>
    <row r="30" spans="2:99" x14ac:dyDescent="0.2">
      <c r="C30" s="109" t="s">
        <v>198</v>
      </c>
      <c r="D30" s="110">
        <v>0</v>
      </c>
      <c r="E30" s="110">
        <v>0</v>
      </c>
      <c r="F30" s="110">
        <v>0.94894596908523809</v>
      </c>
      <c r="G30" s="110">
        <v>219.77588644014114</v>
      </c>
      <c r="H30" s="110">
        <v>2.4763883512600047</v>
      </c>
      <c r="I30" s="110">
        <v>573.53154215181712</v>
      </c>
      <c r="J30" s="110">
        <v>1.7441981984392496</v>
      </c>
      <c r="K30" s="110">
        <v>403.95630275853023</v>
      </c>
      <c r="L30" s="110">
        <v>0</v>
      </c>
      <c r="M30" s="110">
        <v>0</v>
      </c>
      <c r="N30" s="110">
        <v>2.6038502994877697</v>
      </c>
      <c r="O30" s="110">
        <v>603.05172936136739</v>
      </c>
      <c r="P30" s="110">
        <v>1.6214447538011934</v>
      </c>
      <c r="Q30" s="110">
        <v>375.52660498035635</v>
      </c>
      <c r="R30" s="110">
        <v>1.8901413130025337</v>
      </c>
      <c r="S30" s="110">
        <v>437.75672809138678</v>
      </c>
      <c r="T30" s="110">
        <v>0.74207504512447087</v>
      </c>
      <c r="U30" s="110">
        <v>171.86458045082745</v>
      </c>
      <c r="V30" s="110">
        <v>1.2583821241457087</v>
      </c>
      <c r="W30" s="110">
        <v>291.44129995214615</v>
      </c>
      <c r="X30" s="110">
        <v>1.5059662493841326</v>
      </c>
      <c r="Y30" s="110">
        <v>348.7817833573651</v>
      </c>
      <c r="Z30" s="110">
        <v>1.792123148938161</v>
      </c>
      <c r="AA30" s="110">
        <v>415.05572129407807</v>
      </c>
      <c r="AB30" s="110">
        <v>3.5137242357098386</v>
      </c>
      <c r="AC30" s="110">
        <v>813.77853299039862</v>
      </c>
      <c r="AD30" s="110">
        <v>3.8530181731512911</v>
      </c>
      <c r="AE30" s="110">
        <v>892.35900890183905</v>
      </c>
      <c r="AF30" s="110">
        <v>3.7362751864907167</v>
      </c>
      <c r="AG30" s="110">
        <v>865.32133319125001</v>
      </c>
      <c r="AH30" s="110">
        <v>1.5051856884440589</v>
      </c>
      <c r="AI30" s="110">
        <v>348.601005443644</v>
      </c>
      <c r="AJ30" s="110">
        <v>1.5383757942470262</v>
      </c>
      <c r="AK30" s="110">
        <v>356.28783394761126</v>
      </c>
      <c r="AL30" s="110">
        <v>4.8335697459150984</v>
      </c>
      <c r="AM30" s="110">
        <v>1119.4547531539367</v>
      </c>
      <c r="AN30" s="110">
        <v>3.7835489575851429</v>
      </c>
      <c r="AO30" s="110">
        <v>876.26993857671903</v>
      </c>
      <c r="AP30" s="110">
        <v>2.504390776077595</v>
      </c>
      <c r="AQ30" s="110">
        <v>580.01690373957103</v>
      </c>
      <c r="AR30" s="110">
        <v>2.092249796772383</v>
      </c>
      <c r="AS30" s="110">
        <v>484.56505293248387</v>
      </c>
      <c r="AT30" s="110">
        <v>0</v>
      </c>
      <c r="AU30" s="110">
        <v>0</v>
      </c>
      <c r="AV30" s="110">
        <v>0.74974857799292116</v>
      </c>
      <c r="AW30" s="110">
        <v>173.64177066316054</v>
      </c>
      <c r="AX30" s="110">
        <v>0</v>
      </c>
      <c r="AY30" s="110">
        <v>0</v>
      </c>
      <c r="AZ30" s="110">
        <v>1.9995018207496578</v>
      </c>
      <c r="BA30" s="110">
        <v>463.08462168562073</v>
      </c>
      <c r="BB30" s="110">
        <v>0</v>
      </c>
      <c r="BC30" s="110">
        <v>0</v>
      </c>
      <c r="BD30" s="110">
        <v>1.0967617616076926</v>
      </c>
      <c r="BE30" s="110">
        <v>254.0100239883416</v>
      </c>
      <c r="BF30" s="110">
        <v>3.4390475653612054</v>
      </c>
      <c r="BG30" s="110">
        <v>796.48341613765513</v>
      </c>
      <c r="BH30" s="110">
        <v>5.8107595627653827</v>
      </c>
      <c r="BI30" s="110">
        <v>1345.7719147364626</v>
      </c>
      <c r="BJ30" s="110">
        <v>1.8328111025214979</v>
      </c>
      <c r="BK30" s="110">
        <v>424.47905134397888</v>
      </c>
      <c r="BL30" s="110">
        <v>1.8771054411481869</v>
      </c>
      <c r="BM30" s="110">
        <v>434.73762016992009</v>
      </c>
      <c r="BN30" s="110">
        <v>6.1542151474962372</v>
      </c>
      <c r="BO30" s="110">
        <v>1425.3162281601285</v>
      </c>
      <c r="BP30" s="110">
        <v>1.8594524119210882</v>
      </c>
      <c r="BQ30" s="110">
        <v>430.64917860092402</v>
      </c>
      <c r="BR30" s="110">
        <v>6.9181642828850913</v>
      </c>
      <c r="BS30" s="110">
        <v>1602.2468479161871</v>
      </c>
      <c r="BT30" s="110">
        <v>0</v>
      </c>
      <c r="BU30" s="110">
        <v>0</v>
      </c>
      <c r="BV30" s="110">
        <v>3.3307177650999509</v>
      </c>
      <c r="BW30" s="110">
        <v>771.39423439714858</v>
      </c>
      <c r="BX30" s="110">
        <v>3.4713989631605759</v>
      </c>
      <c r="BY30" s="110">
        <v>803.97599986798934</v>
      </c>
      <c r="BZ30" s="110">
        <v>4.2820183782387131</v>
      </c>
      <c r="CA30" s="110">
        <v>991.71545640008594</v>
      </c>
      <c r="CB30" s="110">
        <v>3.9453428897603473</v>
      </c>
      <c r="CC30" s="110">
        <v>913.74141326849644</v>
      </c>
      <c r="CD30" s="110">
        <v>0</v>
      </c>
      <c r="CE30" s="110">
        <v>0</v>
      </c>
      <c r="CF30" s="110">
        <v>1.1013437355527707</v>
      </c>
      <c r="CG30" s="110">
        <v>255.07120915402169</v>
      </c>
      <c r="CH30" s="110">
        <v>0</v>
      </c>
      <c r="CI30" s="110">
        <v>0</v>
      </c>
      <c r="CJ30" s="110">
        <v>6.0876447037861645</v>
      </c>
      <c r="CK30" s="110">
        <v>1409.8985133968756</v>
      </c>
      <c r="CL30" s="110">
        <v>2.3517686235188497</v>
      </c>
      <c r="CM30" s="110">
        <v>544.66961320696555</v>
      </c>
      <c r="CN30" s="110">
        <v>1.9184512689334197</v>
      </c>
      <c r="CO30" s="110">
        <v>444.31331388498</v>
      </c>
      <c r="CP30" s="110">
        <v>1.4874238383906448</v>
      </c>
      <c r="CQ30" s="110">
        <v>344.48736097127335</v>
      </c>
      <c r="CR30" s="110">
        <v>0</v>
      </c>
      <c r="CS30" s="110">
        <v>0</v>
      </c>
      <c r="CT30" s="110">
        <v>1.6116634165392834</v>
      </c>
      <c r="CU30" s="110">
        <v>373.26124727049802</v>
      </c>
    </row>
    <row r="31" spans="2:99" x14ac:dyDescent="0.2">
      <c r="C31" s="109" t="s">
        <v>199</v>
      </c>
      <c r="D31" s="110">
        <v>0</v>
      </c>
      <c r="E31" s="110">
        <v>0</v>
      </c>
      <c r="F31" s="110">
        <v>0.94894596908523809</v>
      </c>
      <c r="G31" s="110">
        <v>168.53280410953829</v>
      </c>
      <c r="H31" s="110">
        <v>2.2700226553216707</v>
      </c>
      <c r="I31" s="110">
        <v>403.15602358512871</v>
      </c>
      <c r="J31" s="110">
        <v>1.7441981984392496</v>
      </c>
      <c r="K31" s="110">
        <v>309.76960004281074</v>
      </c>
      <c r="L31" s="110">
        <v>0</v>
      </c>
      <c r="M31" s="110">
        <v>0</v>
      </c>
      <c r="N31" s="110">
        <v>2.2783690120517988</v>
      </c>
      <c r="O31" s="110">
        <v>404.63833654039945</v>
      </c>
      <c r="P31" s="110">
        <v>1.6214447538011934</v>
      </c>
      <c r="Q31" s="110">
        <v>287.96858827509192</v>
      </c>
      <c r="R31" s="110">
        <v>1.8901413130025337</v>
      </c>
      <c r="S31" s="110">
        <v>335.68909718924999</v>
      </c>
      <c r="T31" s="110">
        <v>0.74207504512447087</v>
      </c>
      <c r="U31" s="110">
        <v>131.79252801410601</v>
      </c>
      <c r="V31" s="110">
        <v>1.3982023601618985</v>
      </c>
      <c r="W31" s="110">
        <v>248.32073916475315</v>
      </c>
      <c r="X31" s="110">
        <v>1.5059662493841326</v>
      </c>
      <c r="Y31" s="110">
        <v>267.45960589062196</v>
      </c>
      <c r="Z31" s="110">
        <v>1.5531733957464062</v>
      </c>
      <c r="AA31" s="110">
        <v>275.84359508456174</v>
      </c>
      <c r="AB31" s="110">
        <v>3.6348871403894885</v>
      </c>
      <c r="AC31" s="110">
        <v>645.55595613317314</v>
      </c>
      <c r="AD31" s="110">
        <v>3.4917977194183578</v>
      </c>
      <c r="AE31" s="110">
        <v>620.14327496870033</v>
      </c>
      <c r="AF31" s="110">
        <v>4.2700287845608189</v>
      </c>
      <c r="AG31" s="110">
        <v>758.35711213800141</v>
      </c>
      <c r="AH31" s="110">
        <v>1.6724285427156207</v>
      </c>
      <c r="AI31" s="110">
        <v>297.02330918629423</v>
      </c>
      <c r="AJ31" s="110">
        <v>1.5788593677798426</v>
      </c>
      <c r="AK31" s="110">
        <v>280.40542371770005</v>
      </c>
      <c r="AL31" s="110">
        <v>5.1631313195002182</v>
      </c>
      <c r="AM31" s="110">
        <v>916.97212234323877</v>
      </c>
      <c r="AN31" s="110">
        <v>3.4497064025041007</v>
      </c>
      <c r="AO31" s="110">
        <v>612.66785708472821</v>
      </c>
      <c r="AP31" s="110">
        <v>2.3526095169213774</v>
      </c>
      <c r="AQ31" s="110">
        <v>417.82345020523661</v>
      </c>
      <c r="AR31" s="110">
        <v>2.092249796772383</v>
      </c>
      <c r="AS31" s="110">
        <v>371.58356390677523</v>
      </c>
      <c r="AT31" s="110">
        <v>0</v>
      </c>
      <c r="AU31" s="110">
        <v>0</v>
      </c>
      <c r="AV31" s="110">
        <v>0.74974857799292116</v>
      </c>
      <c r="AW31" s="110">
        <v>133.15534745154278</v>
      </c>
      <c r="AX31" s="110">
        <v>0</v>
      </c>
      <c r="AY31" s="110">
        <v>0</v>
      </c>
      <c r="AZ31" s="110">
        <v>1.5996014565997265</v>
      </c>
      <c r="BA31" s="110">
        <v>284.08921869211144</v>
      </c>
      <c r="BB31" s="110">
        <v>0</v>
      </c>
      <c r="BC31" s="110">
        <v>0</v>
      </c>
      <c r="BD31" s="110">
        <v>1.0282141515072118</v>
      </c>
      <c r="BE31" s="110">
        <v>182.61083330768082</v>
      </c>
      <c r="BF31" s="110">
        <v>3.0091666196910549</v>
      </c>
      <c r="BG31" s="110">
        <v>534.42799165713132</v>
      </c>
      <c r="BH31" s="110">
        <v>5.9868431858794846</v>
      </c>
      <c r="BI31" s="110">
        <v>1063.2633498121963</v>
      </c>
      <c r="BJ31" s="110">
        <v>1.7513528312983202</v>
      </c>
      <c r="BK31" s="110">
        <v>311.04026283858167</v>
      </c>
      <c r="BL31" s="110">
        <v>2.1046333734085731</v>
      </c>
      <c r="BM31" s="110">
        <v>373.78288711736258</v>
      </c>
      <c r="BN31" s="110">
        <v>5.4995114084008927</v>
      </c>
      <c r="BO31" s="110">
        <v>976.71322613199857</v>
      </c>
      <c r="BP31" s="110">
        <v>2.0660582354678758</v>
      </c>
      <c r="BQ31" s="110">
        <v>366.93194261909474</v>
      </c>
      <c r="BR31" s="110">
        <v>7.3505495505654093</v>
      </c>
      <c r="BS31" s="110">
        <v>1305.4576001804166</v>
      </c>
      <c r="BT31" s="110">
        <v>0</v>
      </c>
      <c r="BU31" s="110">
        <v>0</v>
      </c>
      <c r="BV31" s="110">
        <v>3.3307177650999509</v>
      </c>
      <c r="BW31" s="110">
        <v>591.5354750817512</v>
      </c>
      <c r="BX31" s="110">
        <v>3.587112261932595</v>
      </c>
      <c r="BY31" s="110">
        <v>637.07113771922889</v>
      </c>
      <c r="BZ31" s="110">
        <v>4.0731394329587758</v>
      </c>
      <c r="CA31" s="110">
        <v>723.38956329347855</v>
      </c>
      <c r="CB31" s="110">
        <v>3.6987589591503256</v>
      </c>
      <c r="CC31" s="110">
        <v>656.89959114509782</v>
      </c>
      <c r="CD31" s="110">
        <v>0</v>
      </c>
      <c r="CE31" s="110">
        <v>0</v>
      </c>
      <c r="CF31" s="110">
        <v>1.2586785549174524</v>
      </c>
      <c r="CG31" s="110">
        <v>223.54131135333955</v>
      </c>
      <c r="CH31" s="110">
        <v>0</v>
      </c>
      <c r="CI31" s="110">
        <v>0</v>
      </c>
      <c r="CJ31" s="110">
        <v>5.6528129392300102</v>
      </c>
      <c r="CK31" s="110">
        <v>1003.9395780072498</v>
      </c>
      <c r="CL31" s="110">
        <v>2.3517686235188497</v>
      </c>
      <c r="CM31" s="110">
        <v>417.6741075369477</v>
      </c>
      <c r="CN31" s="110">
        <v>2.2135976180000991</v>
      </c>
      <c r="CO31" s="110">
        <v>393.13493695681757</v>
      </c>
      <c r="CP31" s="110">
        <v>1.6526931537673832</v>
      </c>
      <c r="CQ31" s="110">
        <v>293.51830410908724</v>
      </c>
      <c r="CR31" s="110">
        <v>0</v>
      </c>
      <c r="CS31" s="110">
        <v>0</v>
      </c>
      <c r="CT31" s="110">
        <v>1.6116634165392834</v>
      </c>
      <c r="CU31" s="110">
        <v>286.23142277737674</v>
      </c>
    </row>
    <row r="32" spans="2:99" x14ac:dyDescent="0.2">
      <c r="C32" s="109" t="s">
        <v>200</v>
      </c>
      <c r="D32" s="110">
        <v>0</v>
      </c>
      <c r="E32" s="110">
        <v>0</v>
      </c>
      <c r="F32" s="110">
        <v>4.1249900263921635</v>
      </c>
      <c r="G32" s="110">
        <v>2123.5448655866858</v>
      </c>
      <c r="H32" s="110">
        <v>0</v>
      </c>
      <c r="I32" s="110">
        <v>0</v>
      </c>
      <c r="J32" s="110">
        <v>8</v>
      </c>
      <c r="K32" s="110">
        <v>4118.3999999999996</v>
      </c>
      <c r="L32" s="110">
        <v>15</v>
      </c>
      <c r="M32" s="110">
        <v>7721.9999999999991</v>
      </c>
      <c r="N32" s="110">
        <v>7.4874894212990899</v>
      </c>
      <c r="O32" s="110">
        <v>3854.5595540847712</v>
      </c>
      <c r="P32" s="110">
        <v>10</v>
      </c>
      <c r="Q32" s="110">
        <v>5148</v>
      </c>
      <c r="R32" s="110">
        <v>10.210497857029369</v>
      </c>
      <c r="S32" s="110">
        <v>5256.3642967987189</v>
      </c>
      <c r="T32" s="110">
        <v>4.5871686660442599</v>
      </c>
      <c r="U32" s="110">
        <v>2361.4744292795849</v>
      </c>
      <c r="V32" s="110">
        <v>2.0399460766372037</v>
      </c>
      <c r="W32" s="110">
        <v>1050.1642402528323</v>
      </c>
      <c r="X32" s="110">
        <v>5.7723541656408486</v>
      </c>
      <c r="Y32" s="110">
        <v>2971.6079244719085</v>
      </c>
      <c r="Z32" s="110">
        <v>13</v>
      </c>
      <c r="AA32" s="110">
        <v>6692.4</v>
      </c>
      <c r="AB32" s="110">
        <v>25</v>
      </c>
      <c r="AC32" s="110">
        <v>12869.999999999998</v>
      </c>
      <c r="AD32" s="110">
        <v>19.71337508734668</v>
      </c>
      <c r="AE32" s="110">
        <v>10148.44549496607</v>
      </c>
      <c r="AF32" s="110">
        <v>0</v>
      </c>
      <c r="AG32" s="110">
        <v>0</v>
      </c>
      <c r="AH32" s="110">
        <v>26</v>
      </c>
      <c r="AI32" s="110">
        <v>13384.8</v>
      </c>
      <c r="AJ32" s="110">
        <v>35</v>
      </c>
      <c r="AK32" s="110">
        <v>18018</v>
      </c>
      <c r="AL32" s="110">
        <v>44</v>
      </c>
      <c r="AM32" s="110">
        <v>22651.199999999997</v>
      </c>
      <c r="AN32" s="110">
        <v>31</v>
      </c>
      <c r="AO32" s="110">
        <v>15958.8</v>
      </c>
      <c r="AP32" s="110">
        <v>32</v>
      </c>
      <c r="AQ32" s="110">
        <v>16473.599999999999</v>
      </c>
      <c r="AR32" s="110">
        <v>9</v>
      </c>
      <c r="AS32" s="110">
        <v>4633.2</v>
      </c>
      <c r="AT32" s="110">
        <v>8.1892065166948864</v>
      </c>
      <c r="AU32" s="110">
        <v>4215.8035147945275</v>
      </c>
      <c r="AV32" s="110">
        <v>2.0870217553288319</v>
      </c>
      <c r="AW32" s="110">
        <v>1074.3987996432827</v>
      </c>
      <c r="AX32" s="110">
        <v>7.3211211910066387</v>
      </c>
      <c r="AY32" s="110">
        <v>3768.9131891302172</v>
      </c>
      <c r="AZ32" s="110">
        <v>8</v>
      </c>
      <c r="BA32" s="110">
        <v>4118.3999999999996</v>
      </c>
      <c r="BB32" s="110">
        <v>10.88445917429828</v>
      </c>
      <c r="BC32" s="110">
        <v>5603.3195829287542</v>
      </c>
      <c r="BD32" s="110">
        <v>0</v>
      </c>
      <c r="BE32" s="110">
        <v>0</v>
      </c>
      <c r="BF32" s="110">
        <v>2.5900985984987885</v>
      </c>
      <c r="BG32" s="110">
        <v>1333.3827585071763</v>
      </c>
      <c r="BH32" s="110">
        <v>22.003369699746731</v>
      </c>
      <c r="BI32" s="110">
        <v>11327.334721429615</v>
      </c>
      <c r="BJ32" s="110">
        <v>46</v>
      </c>
      <c r="BK32" s="110">
        <v>23680.799999999999</v>
      </c>
      <c r="BL32" s="110">
        <v>31.701823739317589</v>
      </c>
      <c r="BM32" s="110">
        <v>16320.098861000693</v>
      </c>
      <c r="BN32" s="110">
        <v>45</v>
      </c>
      <c r="BO32" s="110">
        <v>23165.999999999996</v>
      </c>
      <c r="BP32" s="110">
        <v>39</v>
      </c>
      <c r="BQ32" s="110">
        <v>20077.199999999997</v>
      </c>
      <c r="BR32" s="110">
        <v>28.483874746582973</v>
      </c>
      <c r="BS32" s="110">
        <v>14663.498719540914</v>
      </c>
      <c r="BT32" s="110">
        <v>48</v>
      </c>
      <c r="BU32" s="110">
        <v>24710.399999999998</v>
      </c>
      <c r="BV32" s="110">
        <v>11.3519806333557</v>
      </c>
      <c r="BW32" s="110">
        <v>5843.999630051514</v>
      </c>
      <c r="BX32" s="110">
        <v>18.304697583741802</v>
      </c>
      <c r="BY32" s="110">
        <v>9423.2583161102793</v>
      </c>
      <c r="BZ32" s="110">
        <v>0</v>
      </c>
      <c r="CA32" s="110">
        <v>0</v>
      </c>
      <c r="CB32" s="110">
        <v>48</v>
      </c>
      <c r="CC32" s="110">
        <v>24710.399999999998</v>
      </c>
      <c r="CD32" s="110">
        <v>3.8403285838715866</v>
      </c>
      <c r="CE32" s="110">
        <v>1977.0011549770927</v>
      </c>
      <c r="CF32" s="110">
        <v>15</v>
      </c>
      <c r="CG32" s="110">
        <v>7721.9999999999991</v>
      </c>
      <c r="CH32" s="110">
        <v>0.63907805700565523</v>
      </c>
      <c r="CI32" s="110">
        <v>328.99738374651128</v>
      </c>
      <c r="CJ32" s="110">
        <v>11.045938197085571</v>
      </c>
      <c r="CK32" s="110">
        <v>5686.448983859651</v>
      </c>
      <c r="CL32" s="110">
        <v>11</v>
      </c>
      <c r="CM32" s="110">
        <v>5662.7999999999993</v>
      </c>
      <c r="CN32" s="110">
        <v>13</v>
      </c>
      <c r="CO32" s="110">
        <v>6692.4</v>
      </c>
      <c r="CP32" s="110">
        <v>0.47892224160459795</v>
      </c>
      <c r="CQ32" s="110">
        <v>246.54916997804702</v>
      </c>
      <c r="CR32" s="110">
        <v>8.0252122411478837</v>
      </c>
      <c r="CS32" s="110">
        <v>4131.3792617429299</v>
      </c>
      <c r="CT32" s="110">
        <v>2.0082370702646046</v>
      </c>
      <c r="CU32" s="110">
        <v>1033.8404437722184</v>
      </c>
    </row>
    <row r="33" spans="2:99" x14ac:dyDescent="0.2">
      <c r="C33" s="109" t="s">
        <v>201</v>
      </c>
      <c r="D33" s="110">
        <v>0</v>
      </c>
      <c r="E33" s="110">
        <v>0</v>
      </c>
      <c r="F33" s="110">
        <v>1.0219418128610256</v>
      </c>
      <c r="G33" s="110">
        <v>342.14611894587136</v>
      </c>
      <c r="H33" s="110">
        <v>2.4763883512600047</v>
      </c>
      <c r="I33" s="110">
        <v>829.0948200018496</v>
      </c>
      <c r="J33" s="110">
        <v>1.9622229732441561</v>
      </c>
      <c r="K33" s="110">
        <v>656.95225144214351</v>
      </c>
      <c r="L33" s="110">
        <v>0</v>
      </c>
      <c r="M33" s="110">
        <v>0</v>
      </c>
      <c r="N33" s="110">
        <v>2.6038502994877697</v>
      </c>
      <c r="O33" s="110">
        <v>871.76908026850538</v>
      </c>
      <c r="P33" s="110">
        <v>1.7835892291813127</v>
      </c>
      <c r="Q33" s="110">
        <v>597.14567392990352</v>
      </c>
      <c r="R33" s="110">
        <v>1.7326295369189892</v>
      </c>
      <c r="S33" s="110">
        <v>580.0843689604776</v>
      </c>
      <c r="T33" s="110">
        <v>0.74207504512447087</v>
      </c>
      <c r="U33" s="110">
        <v>248.44672510767285</v>
      </c>
      <c r="V33" s="110">
        <v>1.2583821241457087</v>
      </c>
      <c r="W33" s="110">
        <v>421.30633516398331</v>
      </c>
      <c r="X33" s="110">
        <v>1.5059662493841326</v>
      </c>
      <c r="Y33" s="110">
        <v>504.19750029380759</v>
      </c>
      <c r="Z33" s="110">
        <v>1.792123148938161</v>
      </c>
      <c r="AA33" s="110">
        <v>600.00283026449631</v>
      </c>
      <c r="AB33" s="110">
        <v>3.6348871403894885</v>
      </c>
      <c r="AC33" s="110">
        <v>1216.9602146024008</v>
      </c>
      <c r="AD33" s="110">
        <v>3.6122045373293354</v>
      </c>
      <c r="AE33" s="110">
        <v>1209.3660790978615</v>
      </c>
      <c r="AF33" s="110">
        <v>4.0565273453327775</v>
      </c>
      <c r="AG33" s="110">
        <v>1358.1253552174139</v>
      </c>
      <c r="AH33" s="110">
        <v>1.6724285427156207</v>
      </c>
      <c r="AI33" s="110">
        <v>559.92907610118982</v>
      </c>
      <c r="AJ33" s="110">
        <v>1.4978922207142096</v>
      </c>
      <c r="AK33" s="110">
        <v>501.49431549511741</v>
      </c>
      <c r="AL33" s="110">
        <v>4.5040081723299776</v>
      </c>
      <c r="AM33" s="110">
        <v>1507.9419360960765</v>
      </c>
      <c r="AN33" s="110">
        <v>3.7835489575851429</v>
      </c>
      <c r="AO33" s="110">
        <v>1266.732190999506</v>
      </c>
      <c r="AP33" s="110">
        <v>2.2767188873432684</v>
      </c>
      <c r="AQ33" s="110">
        <v>762.24548348252631</v>
      </c>
      <c r="AR33" s="110">
        <v>2.3247219964137589</v>
      </c>
      <c r="AS33" s="110">
        <v>778.31692439932647</v>
      </c>
      <c r="AT33" s="110">
        <v>0</v>
      </c>
      <c r="AU33" s="110">
        <v>0</v>
      </c>
      <c r="AV33" s="110">
        <v>0.96396245741947006</v>
      </c>
      <c r="AW33" s="110">
        <v>322.73463074403861</v>
      </c>
      <c r="AX33" s="110">
        <v>0</v>
      </c>
      <c r="AY33" s="110">
        <v>0</v>
      </c>
      <c r="AZ33" s="110">
        <v>1.7995516386746921</v>
      </c>
      <c r="BA33" s="110">
        <v>602.48988862828696</v>
      </c>
      <c r="BB33" s="110">
        <v>0</v>
      </c>
      <c r="BC33" s="110">
        <v>0</v>
      </c>
      <c r="BD33" s="110">
        <v>1.0967617616076926</v>
      </c>
      <c r="BE33" s="110">
        <v>367.19583778625548</v>
      </c>
      <c r="BF33" s="110">
        <v>3.2241070925261299</v>
      </c>
      <c r="BG33" s="110">
        <v>1079.4310545777482</v>
      </c>
      <c r="BH33" s="110">
        <v>5.4585923165371772</v>
      </c>
      <c r="BI33" s="110">
        <v>1827.5367075766469</v>
      </c>
      <c r="BJ33" s="110">
        <v>1.8328111025214979</v>
      </c>
      <c r="BK33" s="110">
        <v>613.62515712419747</v>
      </c>
      <c r="BL33" s="110">
        <v>1.9339874242132833</v>
      </c>
      <c r="BM33" s="110">
        <v>647.49898962660723</v>
      </c>
      <c r="BN33" s="110">
        <v>5.8923336518580998</v>
      </c>
      <c r="BO33" s="110">
        <v>1972.753306642092</v>
      </c>
      <c r="BP33" s="110">
        <v>1.911103867807785</v>
      </c>
      <c r="BQ33" s="110">
        <v>639.83757494204644</v>
      </c>
      <c r="BR33" s="110">
        <v>7.1343569167252507</v>
      </c>
      <c r="BS33" s="110">
        <v>2388.5826957196141</v>
      </c>
      <c r="BT33" s="110">
        <v>0</v>
      </c>
      <c r="BU33" s="110">
        <v>0</v>
      </c>
      <c r="BV33" s="110">
        <v>3.5604224385551202</v>
      </c>
      <c r="BW33" s="110">
        <v>1192.0294324282543</v>
      </c>
      <c r="BX33" s="110">
        <v>3.3556856643885564</v>
      </c>
      <c r="BY33" s="110">
        <v>1123.4835604372888</v>
      </c>
      <c r="BZ33" s="110">
        <v>4.4908973235186505</v>
      </c>
      <c r="CA33" s="110">
        <v>1503.5524239140443</v>
      </c>
      <c r="CB33" s="110">
        <v>4.1097321768336954</v>
      </c>
      <c r="CC33" s="110">
        <v>1375.9383328039212</v>
      </c>
      <c r="CD33" s="110">
        <v>0</v>
      </c>
      <c r="CE33" s="110">
        <v>0</v>
      </c>
      <c r="CF33" s="110">
        <v>1.1800111452351114</v>
      </c>
      <c r="CG33" s="110">
        <v>395.0677314247153</v>
      </c>
      <c r="CH33" s="110">
        <v>0</v>
      </c>
      <c r="CI33" s="110">
        <v>0</v>
      </c>
      <c r="CJ33" s="110">
        <v>5.2179811746738549</v>
      </c>
      <c r="CK33" s="110">
        <v>1746.9800972808066</v>
      </c>
      <c r="CL33" s="110">
        <v>2.3517686235188497</v>
      </c>
      <c r="CM33" s="110">
        <v>787.37213515411088</v>
      </c>
      <c r="CN33" s="110">
        <v>2.2135976180000991</v>
      </c>
      <c r="CO33" s="110">
        <v>741.11248250643325</v>
      </c>
      <c r="CP33" s="110">
        <v>1.3221545230139067</v>
      </c>
      <c r="CQ33" s="110">
        <v>442.657334305056</v>
      </c>
      <c r="CR33" s="110">
        <v>0</v>
      </c>
      <c r="CS33" s="110">
        <v>0</v>
      </c>
      <c r="CT33" s="110">
        <v>1.6116634165392834</v>
      </c>
      <c r="CU33" s="110">
        <v>539.58491185735204</v>
      </c>
    </row>
    <row r="34" spans="2:99" x14ac:dyDescent="0.2">
      <c r="C34" s="109" t="s">
        <v>202</v>
      </c>
      <c r="D34" s="110">
        <v>0</v>
      </c>
      <c r="E34" s="110">
        <v>0</v>
      </c>
      <c r="F34" s="110">
        <v>0.94894596908523809</v>
      </c>
      <c r="G34" s="110">
        <v>360.97904664002454</v>
      </c>
      <c r="H34" s="110">
        <v>2.4763883512600047</v>
      </c>
      <c r="I34" s="110">
        <v>942.01812881930573</v>
      </c>
      <c r="J34" s="110">
        <v>1.7441981984392496</v>
      </c>
      <c r="K34" s="110">
        <v>663.49299468629056</v>
      </c>
      <c r="L34" s="110">
        <v>0</v>
      </c>
      <c r="M34" s="110">
        <v>0</v>
      </c>
      <c r="N34" s="110">
        <v>2.2783690120517988</v>
      </c>
      <c r="O34" s="110">
        <v>866.69157218450425</v>
      </c>
      <c r="P34" s="110">
        <v>1.6214447538011934</v>
      </c>
      <c r="Q34" s="110">
        <v>616.79758434597386</v>
      </c>
      <c r="R34" s="110">
        <v>1.8901413130025337</v>
      </c>
      <c r="S34" s="110">
        <v>719.00975546616382</v>
      </c>
      <c r="T34" s="110">
        <v>0.74207504512447087</v>
      </c>
      <c r="U34" s="110">
        <v>282.2853471653487</v>
      </c>
      <c r="V34" s="110">
        <v>1.3982023601618985</v>
      </c>
      <c r="W34" s="110">
        <v>531.87617780558617</v>
      </c>
      <c r="X34" s="110">
        <v>1.5059662493841326</v>
      </c>
      <c r="Y34" s="110">
        <v>572.86956126572397</v>
      </c>
      <c r="Z34" s="110">
        <v>1.6726482723422835</v>
      </c>
      <c r="AA34" s="110">
        <v>636.27540279900461</v>
      </c>
      <c r="AB34" s="110">
        <v>3.3925613310301892</v>
      </c>
      <c r="AC34" s="110">
        <v>1290.5303303238838</v>
      </c>
      <c r="AD34" s="110">
        <v>3.8530181731512911</v>
      </c>
      <c r="AE34" s="110">
        <v>1465.6881130667512</v>
      </c>
      <c r="AF34" s="110">
        <v>4.2700287845608189</v>
      </c>
      <c r="AG34" s="110">
        <v>1624.3189496469354</v>
      </c>
      <c r="AH34" s="110">
        <v>1.6724285427156207</v>
      </c>
      <c r="AI34" s="110">
        <v>636.19181764902203</v>
      </c>
      <c r="AJ34" s="110">
        <v>1.5383757942470262</v>
      </c>
      <c r="AK34" s="110">
        <v>585.19815213156869</v>
      </c>
      <c r="AL34" s="110">
        <v>4.723715888053392</v>
      </c>
      <c r="AM34" s="110">
        <v>1796.9015238155102</v>
      </c>
      <c r="AN34" s="110">
        <v>3.5609872541977814</v>
      </c>
      <c r="AO34" s="110">
        <v>1354.5995514968361</v>
      </c>
      <c r="AP34" s="110">
        <v>2.4285001464994864</v>
      </c>
      <c r="AQ34" s="110">
        <v>923.80145572840456</v>
      </c>
      <c r="AR34" s="110">
        <v>2.092249796772383</v>
      </c>
      <c r="AS34" s="110">
        <v>795.89182269221442</v>
      </c>
      <c r="AT34" s="110">
        <v>0</v>
      </c>
      <c r="AU34" s="110">
        <v>0</v>
      </c>
      <c r="AV34" s="110">
        <v>0.85685551770619561</v>
      </c>
      <c r="AW34" s="110">
        <v>325.94783893543678</v>
      </c>
      <c r="AX34" s="110">
        <v>0</v>
      </c>
      <c r="AY34" s="110">
        <v>0</v>
      </c>
      <c r="AZ34" s="110">
        <v>1.7995516386746921</v>
      </c>
      <c r="BA34" s="110">
        <v>684.5494433518528</v>
      </c>
      <c r="BB34" s="110">
        <v>0</v>
      </c>
      <c r="BC34" s="110">
        <v>0</v>
      </c>
      <c r="BD34" s="110">
        <v>1.0967617616076926</v>
      </c>
      <c r="BE34" s="110">
        <v>417.20817411556624</v>
      </c>
      <c r="BF34" s="110">
        <v>3.2241070925261299</v>
      </c>
      <c r="BG34" s="110">
        <v>1226.4503379969397</v>
      </c>
      <c r="BH34" s="110">
        <v>5.2825086934230745</v>
      </c>
      <c r="BI34" s="110">
        <v>2009.4663069781375</v>
      </c>
      <c r="BJ34" s="110">
        <v>1.9142693737446757</v>
      </c>
      <c r="BK34" s="110">
        <v>728.18806977247459</v>
      </c>
      <c r="BL34" s="110">
        <v>2.1615153564736698</v>
      </c>
      <c r="BM34" s="110">
        <v>822.24044160258393</v>
      </c>
      <c r="BN34" s="110">
        <v>6.2851558953153059</v>
      </c>
      <c r="BO34" s="110">
        <v>2390.873302577942</v>
      </c>
      <c r="BP34" s="110">
        <v>1.9627553236944819</v>
      </c>
      <c r="BQ34" s="110">
        <v>746.6321251333809</v>
      </c>
      <c r="BR34" s="110">
        <v>7.3505495505654093</v>
      </c>
      <c r="BS34" s="110">
        <v>2796.1490490350816</v>
      </c>
      <c r="BT34" s="110">
        <v>0</v>
      </c>
      <c r="BU34" s="110">
        <v>0</v>
      </c>
      <c r="BV34" s="110">
        <v>3.3307177650999509</v>
      </c>
      <c r="BW34" s="110">
        <v>1267.0050378440212</v>
      </c>
      <c r="BX34" s="110">
        <v>3.8185388594766336</v>
      </c>
      <c r="BY34" s="110">
        <v>1452.5721821449113</v>
      </c>
      <c r="BZ34" s="110">
        <v>4.3864578508786813</v>
      </c>
      <c r="CA34" s="110">
        <v>1668.6085664742502</v>
      </c>
      <c r="CB34" s="110">
        <v>3.9453428897603473</v>
      </c>
      <c r="CC34" s="110">
        <v>1500.8084352648361</v>
      </c>
      <c r="CD34" s="110">
        <v>0</v>
      </c>
      <c r="CE34" s="110">
        <v>0</v>
      </c>
      <c r="CF34" s="110">
        <v>1.1800111452351114</v>
      </c>
      <c r="CG34" s="110">
        <v>448.87623964743636</v>
      </c>
      <c r="CH34" s="110">
        <v>0</v>
      </c>
      <c r="CI34" s="110">
        <v>0</v>
      </c>
      <c r="CJ34" s="110">
        <v>5.2179811746738549</v>
      </c>
      <c r="CK34" s="110">
        <v>1984.9200388459342</v>
      </c>
      <c r="CL34" s="110">
        <v>2.1379714759262272</v>
      </c>
      <c r="CM34" s="110">
        <v>813.28434944233675</v>
      </c>
      <c r="CN34" s="110">
        <v>1.9184512689334197</v>
      </c>
      <c r="CO34" s="110">
        <v>729.77886270227282</v>
      </c>
      <c r="CP34" s="110">
        <v>1.6526931537673832</v>
      </c>
      <c r="CQ34" s="110">
        <v>628.68447569311252</v>
      </c>
      <c r="CR34" s="110">
        <v>0</v>
      </c>
      <c r="CS34" s="110">
        <v>0</v>
      </c>
      <c r="CT34" s="110">
        <v>1.6116634165392834</v>
      </c>
      <c r="CU34" s="110">
        <v>613.07676365154339</v>
      </c>
    </row>
    <row r="35" spans="2:99" x14ac:dyDescent="0.2">
      <c r="C35" s="109" t="s">
        <v>203</v>
      </c>
      <c r="D35" s="110">
        <v>0</v>
      </c>
      <c r="E35" s="110">
        <v>0</v>
      </c>
      <c r="F35" s="110">
        <v>0.87595012530945049</v>
      </c>
      <c r="G35" s="110">
        <v>359.48993142699845</v>
      </c>
      <c r="H35" s="110">
        <v>2.6827540471983378</v>
      </c>
      <c r="I35" s="110">
        <v>1101.0022609701978</v>
      </c>
      <c r="J35" s="110">
        <v>1.9622229732441561</v>
      </c>
      <c r="K35" s="110">
        <v>805.29630821940157</v>
      </c>
      <c r="L35" s="110">
        <v>0</v>
      </c>
      <c r="M35" s="110">
        <v>0</v>
      </c>
      <c r="N35" s="110">
        <v>2.6038502994877697</v>
      </c>
      <c r="O35" s="110">
        <v>1068.6201629097807</v>
      </c>
      <c r="P35" s="110">
        <v>1.7835892291813127</v>
      </c>
      <c r="Q35" s="110">
        <v>731.98501965601065</v>
      </c>
      <c r="R35" s="110">
        <v>1.7326295369189892</v>
      </c>
      <c r="S35" s="110">
        <v>711.07116195155311</v>
      </c>
      <c r="T35" s="110">
        <v>0.74207504512447087</v>
      </c>
      <c r="U35" s="110">
        <v>304.54759851908284</v>
      </c>
      <c r="V35" s="110">
        <v>1.3982023601618985</v>
      </c>
      <c r="W35" s="110">
        <v>573.82224861044313</v>
      </c>
      <c r="X35" s="110">
        <v>1.5059662493841326</v>
      </c>
      <c r="Y35" s="110">
        <v>618.04854874724799</v>
      </c>
      <c r="Z35" s="110">
        <v>1.792123148938161</v>
      </c>
      <c r="AA35" s="110">
        <v>735.48734032422124</v>
      </c>
      <c r="AB35" s="110">
        <v>3.2713984263505393</v>
      </c>
      <c r="AC35" s="110">
        <v>1342.5819141742613</v>
      </c>
      <c r="AD35" s="110">
        <v>3.3713909015073797</v>
      </c>
      <c r="AE35" s="110">
        <v>1383.6188259786286</v>
      </c>
      <c r="AF35" s="110">
        <v>3.9497766257187572</v>
      </c>
      <c r="AG35" s="110">
        <v>1620.988327194978</v>
      </c>
      <c r="AH35" s="110">
        <v>1.6166809246251002</v>
      </c>
      <c r="AI35" s="110">
        <v>663.48585146614107</v>
      </c>
      <c r="AJ35" s="110">
        <v>1.5788593677798426</v>
      </c>
      <c r="AK35" s="110">
        <v>647.96388453684733</v>
      </c>
      <c r="AL35" s="110">
        <v>4.9434236037768047</v>
      </c>
      <c r="AM35" s="110">
        <v>2028.7810469900005</v>
      </c>
      <c r="AN35" s="110">
        <v>3.3384255508104204</v>
      </c>
      <c r="AO35" s="110">
        <v>1370.0898460525964</v>
      </c>
      <c r="AP35" s="110">
        <v>2.2767188873432684</v>
      </c>
      <c r="AQ35" s="110">
        <v>934.3654313656773</v>
      </c>
      <c r="AR35" s="110">
        <v>2.3247219964137589</v>
      </c>
      <c r="AS35" s="110">
        <v>954.06590732820655</v>
      </c>
      <c r="AT35" s="110">
        <v>0</v>
      </c>
      <c r="AU35" s="110">
        <v>0</v>
      </c>
      <c r="AV35" s="110">
        <v>0.74974857799292116</v>
      </c>
      <c r="AW35" s="110">
        <v>307.69681640829481</v>
      </c>
      <c r="AX35" s="110">
        <v>0</v>
      </c>
      <c r="AY35" s="110">
        <v>0</v>
      </c>
      <c r="AZ35" s="110">
        <v>1.7995516386746921</v>
      </c>
      <c r="BA35" s="110">
        <v>738.53599251209357</v>
      </c>
      <c r="BB35" s="110">
        <v>0</v>
      </c>
      <c r="BC35" s="110">
        <v>0</v>
      </c>
      <c r="BD35" s="110">
        <v>0.95966654140673091</v>
      </c>
      <c r="BE35" s="110">
        <v>393.84714859332234</v>
      </c>
      <c r="BF35" s="110">
        <v>3.2241070925261299</v>
      </c>
      <c r="BG35" s="110">
        <v>1323.1735507727237</v>
      </c>
      <c r="BH35" s="110">
        <v>5.4585923165371772</v>
      </c>
      <c r="BI35" s="110">
        <v>2240.2062867068576</v>
      </c>
      <c r="BJ35" s="110">
        <v>2.0364567805794422</v>
      </c>
      <c r="BK35" s="110">
        <v>835.76186274980307</v>
      </c>
      <c r="BL35" s="110">
        <v>1.8771054411481869</v>
      </c>
      <c r="BM35" s="110">
        <v>770.36407304721581</v>
      </c>
      <c r="BN35" s="110">
        <v>5.368570660581824</v>
      </c>
      <c r="BO35" s="110">
        <v>2203.2613991027806</v>
      </c>
      <c r="BP35" s="110">
        <v>1.9627553236944819</v>
      </c>
      <c r="BQ35" s="110">
        <v>805.51478484421534</v>
      </c>
      <c r="BR35" s="110">
        <v>6.4857790152047734</v>
      </c>
      <c r="BS35" s="110">
        <v>2661.7637078400389</v>
      </c>
      <c r="BT35" s="110">
        <v>0</v>
      </c>
      <c r="BU35" s="110">
        <v>0</v>
      </c>
      <c r="BV35" s="110">
        <v>3.4455701018275358</v>
      </c>
      <c r="BW35" s="110">
        <v>1414.0619697900206</v>
      </c>
      <c r="BX35" s="110">
        <v>3.2399723656165373</v>
      </c>
      <c r="BY35" s="110">
        <v>1329.6846588490268</v>
      </c>
      <c r="BZ35" s="110">
        <v>4.2820183782387131</v>
      </c>
      <c r="CA35" s="110">
        <v>1757.3403424291678</v>
      </c>
      <c r="CB35" s="110">
        <v>4.1097321768336954</v>
      </c>
      <c r="CC35" s="110">
        <v>1686.6340853725485</v>
      </c>
      <c r="CD35" s="110">
        <v>0</v>
      </c>
      <c r="CE35" s="110">
        <v>0</v>
      </c>
      <c r="CF35" s="110">
        <v>1.2586785549174524</v>
      </c>
      <c r="CG35" s="110">
        <v>516.56167893812244</v>
      </c>
      <c r="CH35" s="110">
        <v>0</v>
      </c>
      <c r="CI35" s="110">
        <v>0</v>
      </c>
      <c r="CJ35" s="110">
        <v>5.2179811746738549</v>
      </c>
      <c r="CK35" s="110">
        <v>2141.4594740861498</v>
      </c>
      <c r="CL35" s="110">
        <v>2.3517686235188497</v>
      </c>
      <c r="CM35" s="110">
        <v>965.1658430921359</v>
      </c>
      <c r="CN35" s="110">
        <v>2.0660244434667594</v>
      </c>
      <c r="CO35" s="110">
        <v>847.896431598758</v>
      </c>
      <c r="CP35" s="110">
        <v>1.4874238383906448</v>
      </c>
      <c r="CQ35" s="110">
        <v>610.43874327552066</v>
      </c>
      <c r="CR35" s="110">
        <v>0</v>
      </c>
      <c r="CS35" s="110">
        <v>0</v>
      </c>
      <c r="CT35" s="110">
        <v>1.6116634165392834</v>
      </c>
      <c r="CU35" s="110">
        <v>661.4266661477219</v>
      </c>
    </row>
    <row r="36" spans="2:99" x14ac:dyDescent="0.2">
      <c r="C36" s="109" t="s">
        <v>204</v>
      </c>
      <c r="D36" s="110">
        <v>0</v>
      </c>
      <c r="E36" s="110">
        <v>0</v>
      </c>
      <c r="F36" s="110">
        <v>4.1249900263921635</v>
      </c>
      <c r="G36" s="110">
        <v>2311.6444107901684</v>
      </c>
      <c r="H36" s="110">
        <v>0</v>
      </c>
      <c r="I36" s="110">
        <v>0</v>
      </c>
      <c r="J36" s="110">
        <v>8</v>
      </c>
      <c r="K36" s="110">
        <v>4483.2</v>
      </c>
      <c r="L36" s="110">
        <v>15</v>
      </c>
      <c r="M36" s="110">
        <v>8406</v>
      </c>
      <c r="N36" s="110">
        <v>8.4234255989614759</v>
      </c>
      <c r="O36" s="110">
        <v>4720.4877056580108</v>
      </c>
      <c r="P36" s="110">
        <v>9</v>
      </c>
      <c r="Q36" s="110">
        <v>5043.5999999999995</v>
      </c>
      <c r="R36" s="110">
        <v>10.210497857029369</v>
      </c>
      <c r="S36" s="110">
        <v>5721.9629990792582</v>
      </c>
      <c r="T36" s="110">
        <v>5.6065394807207625</v>
      </c>
      <c r="U36" s="110">
        <v>3141.9047249959153</v>
      </c>
      <c r="V36" s="110">
        <v>2.0399460766372037</v>
      </c>
      <c r="W36" s="110">
        <v>1143.185781347489</v>
      </c>
      <c r="X36" s="110">
        <v>5.7723541656408486</v>
      </c>
      <c r="Y36" s="110">
        <v>3234.8272744251312</v>
      </c>
      <c r="Z36" s="110">
        <v>14</v>
      </c>
      <c r="AA36" s="110">
        <v>7845.5999999999995</v>
      </c>
      <c r="AB36" s="110">
        <v>26</v>
      </c>
      <c r="AC36" s="110">
        <v>14570.4</v>
      </c>
      <c r="AD36" s="110">
        <v>17.084925075700458</v>
      </c>
      <c r="AE36" s="110">
        <v>9574.3920124225369</v>
      </c>
      <c r="AF36" s="110">
        <v>0</v>
      </c>
      <c r="AG36" s="110">
        <v>0</v>
      </c>
      <c r="AH36" s="110">
        <v>26</v>
      </c>
      <c r="AI36" s="110">
        <v>14570.4</v>
      </c>
      <c r="AJ36" s="110">
        <v>38</v>
      </c>
      <c r="AK36" s="110">
        <v>21295.200000000001</v>
      </c>
      <c r="AL36" s="110">
        <v>47</v>
      </c>
      <c r="AM36" s="110">
        <v>26338.799999999999</v>
      </c>
      <c r="AN36" s="110">
        <v>32</v>
      </c>
      <c r="AO36" s="110">
        <v>17932.8</v>
      </c>
      <c r="AP36" s="110">
        <v>32</v>
      </c>
      <c r="AQ36" s="110">
        <v>17932.8</v>
      </c>
      <c r="AR36" s="110">
        <v>9</v>
      </c>
      <c r="AS36" s="110">
        <v>5043.5999999999995</v>
      </c>
      <c r="AT36" s="110">
        <v>8.8191454795175712</v>
      </c>
      <c r="AU36" s="110">
        <v>4942.2491267216465</v>
      </c>
      <c r="AV36" s="110">
        <v>2.3851677203758079</v>
      </c>
      <c r="AW36" s="110">
        <v>1336.6479904986027</v>
      </c>
      <c r="AX36" s="110">
        <v>7.3211211910066387</v>
      </c>
      <c r="AY36" s="110">
        <v>4102.7563154401205</v>
      </c>
      <c r="AZ36" s="110">
        <v>10</v>
      </c>
      <c r="BA36" s="110">
        <v>5604</v>
      </c>
      <c r="BB36" s="110">
        <v>10.047193083967645</v>
      </c>
      <c r="BC36" s="110">
        <v>5630.4470042554685</v>
      </c>
      <c r="BD36" s="110">
        <v>0</v>
      </c>
      <c r="BE36" s="110">
        <v>0</v>
      </c>
      <c r="BF36" s="110">
        <v>2.7751056412487021</v>
      </c>
      <c r="BG36" s="110">
        <v>1555.1692013557727</v>
      </c>
      <c r="BH36" s="110">
        <v>20.003063363406117</v>
      </c>
      <c r="BI36" s="110">
        <v>11209.716708852788</v>
      </c>
      <c r="BJ36" s="110">
        <v>44</v>
      </c>
      <c r="BK36" s="110">
        <v>24657.599999999999</v>
      </c>
      <c r="BL36" s="110">
        <v>28.274599551283259</v>
      </c>
      <c r="BM36" s="110">
        <v>15845.085588539137</v>
      </c>
      <c r="BN36" s="110">
        <v>39</v>
      </c>
      <c r="BO36" s="110">
        <v>21855.599999999999</v>
      </c>
      <c r="BP36" s="110">
        <v>37</v>
      </c>
      <c r="BQ36" s="110">
        <v>20734.8</v>
      </c>
      <c r="BR36" s="110">
        <v>25.031283868209282</v>
      </c>
      <c r="BS36" s="110">
        <v>14027.531479744481</v>
      </c>
      <c r="BT36" s="110">
        <v>48</v>
      </c>
      <c r="BU36" s="110">
        <v>26899.199999999997</v>
      </c>
      <c r="BV36" s="110">
        <v>12.613311814839665</v>
      </c>
      <c r="BW36" s="110">
        <v>7068.4999410361479</v>
      </c>
      <c r="BX36" s="110">
        <v>20.198286988956475</v>
      </c>
      <c r="BY36" s="110">
        <v>11319.120028611209</v>
      </c>
      <c r="BZ36" s="110">
        <v>0</v>
      </c>
      <c r="CA36" s="110">
        <v>0</v>
      </c>
      <c r="CB36" s="110">
        <v>44</v>
      </c>
      <c r="CC36" s="110">
        <v>24657.599999999999</v>
      </c>
      <c r="CD36" s="110">
        <v>4.2003593886095478</v>
      </c>
      <c r="CE36" s="110">
        <v>2353.8814013767906</v>
      </c>
      <c r="CF36" s="110">
        <v>16</v>
      </c>
      <c r="CG36" s="110">
        <v>8966.4</v>
      </c>
      <c r="CH36" s="110">
        <v>0.71008673000628364</v>
      </c>
      <c r="CI36" s="110">
        <v>397.93260349552133</v>
      </c>
      <c r="CJ36" s="110">
        <v>9.4679470260733467</v>
      </c>
      <c r="CK36" s="110">
        <v>5305.8375134115031</v>
      </c>
      <c r="CL36" s="110">
        <v>12</v>
      </c>
      <c r="CM36" s="110">
        <v>6724.7999999999993</v>
      </c>
      <c r="CN36" s="110">
        <v>14</v>
      </c>
      <c r="CO36" s="110">
        <v>7845.5999999999995</v>
      </c>
      <c r="CP36" s="110">
        <v>0.38313779328367836</v>
      </c>
      <c r="CQ36" s="110">
        <v>214.71041935617333</v>
      </c>
      <c r="CR36" s="110">
        <v>7.2226910170330951</v>
      </c>
      <c r="CS36" s="110">
        <v>4047.5960459453463</v>
      </c>
      <c r="CT36" s="110">
        <v>1.8074133632381444</v>
      </c>
      <c r="CU36" s="110">
        <v>1012.8744487586561</v>
      </c>
    </row>
    <row r="37" spans="2:99" x14ac:dyDescent="0.2">
      <c r="B37" s="109" t="s">
        <v>128</v>
      </c>
      <c r="C37" s="109" t="s">
        <v>205</v>
      </c>
      <c r="D37" s="110">
        <v>0</v>
      </c>
      <c r="E37" s="110">
        <v>0</v>
      </c>
      <c r="F37" s="110">
        <v>0.43797506265472524</v>
      </c>
      <c r="G37" s="110">
        <v>285.38455082581896</v>
      </c>
      <c r="H37" s="110">
        <v>1.0318284796916684</v>
      </c>
      <c r="I37" s="110">
        <v>672.33943736709114</v>
      </c>
      <c r="J37" s="110">
        <v>1.7441981984392496</v>
      </c>
      <c r="K37" s="110">
        <v>1136.519546103015</v>
      </c>
      <c r="L37" s="110">
        <v>0</v>
      </c>
      <c r="M37" s="110">
        <v>0</v>
      </c>
      <c r="N37" s="110">
        <v>2.6038502994877697</v>
      </c>
      <c r="O37" s="110">
        <v>1696.6688551462307</v>
      </c>
      <c r="P37" s="110">
        <v>1.2971558030409545</v>
      </c>
      <c r="Q37" s="110">
        <v>845.22672126148598</v>
      </c>
      <c r="R37" s="110">
        <v>1.4176059847519005</v>
      </c>
      <c r="S37" s="110">
        <v>923.71205966433843</v>
      </c>
      <c r="T37" s="110">
        <v>0.6678675406120238</v>
      </c>
      <c r="U37" s="110">
        <v>435.18248946279471</v>
      </c>
      <c r="V37" s="110">
        <v>1.3982023601618985</v>
      </c>
      <c r="W37" s="110">
        <v>911.0686578814931</v>
      </c>
      <c r="X37" s="110">
        <v>1.0039774995894217</v>
      </c>
      <c r="Y37" s="110">
        <v>654.19173873246723</v>
      </c>
      <c r="Z37" s="110">
        <v>0.71684925957526435</v>
      </c>
      <c r="AA37" s="110">
        <v>467.09897753924224</v>
      </c>
      <c r="AB37" s="110">
        <v>0.8481403327575473</v>
      </c>
      <c r="AC37" s="110">
        <v>552.64824082481789</v>
      </c>
      <c r="AD37" s="110">
        <v>0.72244090746586709</v>
      </c>
      <c r="AE37" s="110">
        <v>470.74249530475902</v>
      </c>
      <c r="AF37" s="110">
        <v>0.85400575691216374</v>
      </c>
      <c r="AG37" s="110">
        <v>556.47015120396588</v>
      </c>
      <c r="AH37" s="110">
        <v>0.33448570854312415</v>
      </c>
      <c r="AI37" s="110">
        <v>217.9508876866997</v>
      </c>
      <c r="AJ37" s="110">
        <v>0.68822075005788019</v>
      </c>
      <c r="AK37" s="110">
        <v>448.44464073771474</v>
      </c>
      <c r="AL37" s="110">
        <v>1.4281001522021881</v>
      </c>
      <c r="AM37" s="110">
        <v>930.55005917494577</v>
      </c>
      <c r="AN37" s="110">
        <v>2.0030553304862524</v>
      </c>
      <c r="AO37" s="110">
        <v>1305.190853344842</v>
      </c>
      <c r="AP37" s="110">
        <v>1.1383594436716342</v>
      </c>
      <c r="AQ37" s="110">
        <v>741.75501349643685</v>
      </c>
      <c r="AR37" s="110">
        <v>1.8597775971310073</v>
      </c>
      <c r="AS37" s="110">
        <v>1211.8310822905644</v>
      </c>
      <c r="AT37" s="110">
        <v>0</v>
      </c>
      <c r="AU37" s="110">
        <v>0</v>
      </c>
      <c r="AV37" s="110">
        <v>0.85685551770619561</v>
      </c>
      <c r="AW37" s="110">
        <v>558.32705533735714</v>
      </c>
      <c r="AX37" s="110">
        <v>0</v>
      </c>
      <c r="AY37" s="110">
        <v>0</v>
      </c>
      <c r="AZ37" s="110">
        <v>1.3996512745247605</v>
      </c>
      <c r="BA37" s="110">
        <v>912.01277048033398</v>
      </c>
      <c r="BB37" s="110">
        <v>0</v>
      </c>
      <c r="BC37" s="110">
        <v>0</v>
      </c>
      <c r="BD37" s="110">
        <v>0.54838088080384628</v>
      </c>
      <c r="BE37" s="110">
        <v>357.32498193178623</v>
      </c>
      <c r="BF37" s="110">
        <v>1.7195237826806027</v>
      </c>
      <c r="BG37" s="110">
        <v>1120.4416967946806</v>
      </c>
      <c r="BH37" s="110">
        <v>1.40866898491282</v>
      </c>
      <c r="BI37" s="110">
        <v>917.88871056919356</v>
      </c>
      <c r="BJ37" s="110">
        <v>0.28510394928112193</v>
      </c>
      <c r="BK37" s="110">
        <v>185.77373335157907</v>
      </c>
      <c r="BL37" s="110">
        <v>0.34129189839057938</v>
      </c>
      <c r="BM37" s="110">
        <v>222.38580099130152</v>
      </c>
      <c r="BN37" s="110">
        <v>0.91658523473348219</v>
      </c>
      <c r="BO37" s="110">
        <v>597.24693895233702</v>
      </c>
      <c r="BP37" s="110">
        <v>0.36156019120687827</v>
      </c>
      <c r="BQ37" s="110">
        <v>235.59262059040188</v>
      </c>
      <c r="BR37" s="110">
        <v>1.945733704561432</v>
      </c>
      <c r="BS37" s="110">
        <v>1267.8400818922291</v>
      </c>
      <c r="BT37" s="110">
        <v>0</v>
      </c>
      <c r="BU37" s="110">
        <v>0</v>
      </c>
      <c r="BV37" s="110">
        <v>0.91881869382067616</v>
      </c>
      <c r="BW37" s="110">
        <v>598.70226089355265</v>
      </c>
      <c r="BX37" s="110">
        <v>0.69427979263211503</v>
      </c>
      <c r="BY37" s="110">
        <v>452.39271287908616</v>
      </c>
      <c r="BZ37" s="110">
        <v>0.62663683583981156</v>
      </c>
      <c r="CA37" s="110">
        <v>408.31656223322125</v>
      </c>
      <c r="CB37" s="110">
        <v>0.49316786122004341</v>
      </c>
      <c r="CC37" s="110">
        <v>321.34817837098029</v>
      </c>
      <c r="CD37" s="110">
        <v>0</v>
      </c>
      <c r="CE37" s="110">
        <v>0</v>
      </c>
      <c r="CF37" s="110">
        <v>0.47200445809404457</v>
      </c>
      <c r="CG37" s="110">
        <v>307.55810489407946</v>
      </c>
      <c r="CH37" s="110">
        <v>0</v>
      </c>
      <c r="CI37" s="110">
        <v>0</v>
      </c>
      <c r="CJ37" s="110">
        <v>3.9134858810053919</v>
      </c>
      <c r="CK37" s="110">
        <v>2550.0274000631134</v>
      </c>
      <c r="CL37" s="110">
        <v>1.2827828855557364</v>
      </c>
      <c r="CM37" s="110">
        <v>835.86132822811783</v>
      </c>
      <c r="CN37" s="110">
        <v>0.88543904720003974</v>
      </c>
      <c r="CO37" s="110">
        <v>576.95208315554589</v>
      </c>
      <c r="CP37" s="110">
        <v>1.8179624691441216</v>
      </c>
      <c r="CQ37" s="110">
        <v>1184.5843448943097</v>
      </c>
      <c r="CR37" s="110">
        <v>0</v>
      </c>
      <c r="CS37" s="110">
        <v>0</v>
      </c>
      <c r="CT37" s="110">
        <v>1.4325897035904742</v>
      </c>
      <c r="CU37" s="110">
        <v>933.47545085955301</v>
      </c>
    </row>
    <row r="38" spans="2:99" x14ac:dyDescent="0.2">
      <c r="C38" s="109" t="s">
        <v>206</v>
      </c>
      <c r="D38" s="110">
        <v>0</v>
      </c>
      <c r="E38" s="110">
        <v>0</v>
      </c>
      <c r="F38" s="110">
        <v>0.43797506265472524</v>
      </c>
      <c r="G38" s="110">
        <v>451.99026465967643</v>
      </c>
      <c r="H38" s="110">
        <v>1.0318284796916684</v>
      </c>
      <c r="I38" s="110">
        <v>1064.8469910418016</v>
      </c>
      <c r="J38" s="110">
        <v>1.9622229732441561</v>
      </c>
      <c r="K38" s="110">
        <v>2025.0141083879691</v>
      </c>
      <c r="L38" s="110">
        <v>0</v>
      </c>
      <c r="M38" s="110">
        <v>0</v>
      </c>
      <c r="N38" s="110">
        <v>2.2783690120517988</v>
      </c>
      <c r="O38" s="110">
        <v>2351.2768204374565</v>
      </c>
      <c r="P38" s="110">
        <v>1.4593002784210738</v>
      </c>
      <c r="Q38" s="110">
        <v>1505.9978873305481</v>
      </c>
      <c r="R38" s="110">
        <v>1.5751177608354447</v>
      </c>
      <c r="S38" s="110">
        <v>1625.5215291821789</v>
      </c>
      <c r="T38" s="110">
        <v>0.6678675406120238</v>
      </c>
      <c r="U38" s="110">
        <v>689.23930191160855</v>
      </c>
      <c r="V38" s="110">
        <v>1.3982023601618985</v>
      </c>
      <c r="W38" s="110">
        <v>1442.9448356870791</v>
      </c>
      <c r="X38" s="110">
        <v>1.1294746870380996</v>
      </c>
      <c r="Y38" s="110">
        <v>1165.6178770233189</v>
      </c>
      <c r="Z38" s="110">
        <v>0.59737438297938694</v>
      </c>
      <c r="AA38" s="110">
        <v>616.49036323472728</v>
      </c>
      <c r="AB38" s="110">
        <v>0.72697742807789756</v>
      </c>
      <c r="AC38" s="110">
        <v>750.24070577639031</v>
      </c>
      <c r="AD38" s="110">
        <v>0.84284772537684494</v>
      </c>
      <c r="AE38" s="110">
        <v>869.81885258890395</v>
      </c>
      <c r="AF38" s="110">
        <v>0.74725503729814324</v>
      </c>
      <c r="AG38" s="110">
        <v>771.16719849168385</v>
      </c>
      <c r="AH38" s="110">
        <v>0.33448570854312415</v>
      </c>
      <c r="AI38" s="110">
        <v>345.18925121650415</v>
      </c>
      <c r="AJ38" s="110">
        <v>0.60725360299224718</v>
      </c>
      <c r="AK38" s="110">
        <v>626.68571828799907</v>
      </c>
      <c r="AL38" s="110">
        <v>1.2083924364787746</v>
      </c>
      <c r="AM38" s="110">
        <v>1247.0609944460953</v>
      </c>
      <c r="AN38" s="110">
        <v>2.0030553304862524</v>
      </c>
      <c r="AO38" s="110">
        <v>2067.1531010618123</v>
      </c>
      <c r="AP38" s="110">
        <v>1.1383594436716342</v>
      </c>
      <c r="AQ38" s="110">
        <v>1174.7869458691266</v>
      </c>
      <c r="AR38" s="110">
        <v>1.6273053974896312</v>
      </c>
      <c r="AS38" s="110">
        <v>1679.3791702092994</v>
      </c>
      <c r="AT38" s="110">
        <v>0</v>
      </c>
      <c r="AU38" s="110">
        <v>0</v>
      </c>
      <c r="AV38" s="110">
        <v>0.74974857799292116</v>
      </c>
      <c r="AW38" s="110">
        <v>773.74053248869461</v>
      </c>
      <c r="AX38" s="110">
        <v>0</v>
      </c>
      <c r="AY38" s="110">
        <v>0</v>
      </c>
      <c r="AZ38" s="110">
        <v>1.3996512745247605</v>
      </c>
      <c r="BA38" s="110">
        <v>1444.4401153095528</v>
      </c>
      <c r="BB38" s="110">
        <v>0</v>
      </c>
      <c r="BC38" s="110">
        <v>0</v>
      </c>
      <c r="BD38" s="110">
        <v>0.54838088080384628</v>
      </c>
      <c r="BE38" s="110">
        <v>565.92906898956937</v>
      </c>
      <c r="BF38" s="110">
        <v>1.5045833098455275</v>
      </c>
      <c r="BG38" s="110">
        <v>1552.7299757605842</v>
      </c>
      <c r="BH38" s="110">
        <v>1.2325853617987175</v>
      </c>
      <c r="BI38" s="110">
        <v>1272.0280933762765</v>
      </c>
      <c r="BJ38" s="110">
        <v>0.28510394928112193</v>
      </c>
      <c r="BK38" s="110">
        <v>294.22727565811783</v>
      </c>
      <c r="BL38" s="110">
        <v>0.34129189839057938</v>
      </c>
      <c r="BM38" s="110">
        <v>352.21323913907793</v>
      </c>
      <c r="BN38" s="110">
        <v>1.0475259825525511</v>
      </c>
      <c r="BO38" s="110">
        <v>1081.0468139942327</v>
      </c>
      <c r="BP38" s="110">
        <v>0.36156019120687827</v>
      </c>
      <c r="BQ38" s="110">
        <v>373.13011732549836</v>
      </c>
      <c r="BR38" s="110">
        <v>2.161926338401591</v>
      </c>
      <c r="BS38" s="110">
        <v>2231.107981230442</v>
      </c>
      <c r="BT38" s="110">
        <v>0</v>
      </c>
      <c r="BU38" s="110">
        <v>0</v>
      </c>
      <c r="BV38" s="110">
        <v>1.1485233672758453</v>
      </c>
      <c r="BW38" s="110">
        <v>1185.2761150286724</v>
      </c>
      <c r="BX38" s="110">
        <v>0.57856649386009595</v>
      </c>
      <c r="BY38" s="110">
        <v>597.08062166361901</v>
      </c>
      <c r="BZ38" s="110">
        <v>0.62663683583981156</v>
      </c>
      <c r="CA38" s="110">
        <v>646.68921458668558</v>
      </c>
      <c r="CB38" s="110">
        <v>0.49316786122004341</v>
      </c>
      <c r="CC38" s="110">
        <v>508.94923277908481</v>
      </c>
      <c r="CD38" s="110">
        <v>0</v>
      </c>
      <c r="CE38" s="110">
        <v>0</v>
      </c>
      <c r="CF38" s="110">
        <v>0.47200445809404457</v>
      </c>
      <c r="CG38" s="110">
        <v>487.10860075305402</v>
      </c>
      <c r="CH38" s="110">
        <v>0</v>
      </c>
      <c r="CI38" s="110">
        <v>0</v>
      </c>
      <c r="CJ38" s="110">
        <v>3.9134858810053919</v>
      </c>
      <c r="CK38" s="110">
        <v>4038.7174291975643</v>
      </c>
      <c r="CL38" s="110">
        <v>1.2827828855557364</v>
      </c>
      <c r="CM38" s="110">
        <v>1323.83193789352</v>
      </c>
      <c r="CN38" s="110">
        <v>1.0330122217333797</v>
      </c>
      <c r="CO38" s="110">
        <v>1066.0686128288478</v>
      </c>
      <c r="CP38" s="110">
        <v>1.8179624691441216</v>
      </c>
      <c r="CQ38" s="110">
        <v>1876.1372681567336</v>
      </c>
      <c r="CR38" s="110">
        <v>0</v>
      </c>
      <c r="CS38" s="110">
        <v>0</v>
      </c>
      <c r="CT38" s="110">
        <v>1.4325897035904742</v>
      </c>
      <c r="CU38" s="110">
        <v>1478.4325741053694</v>
      </c>
    </row>
    <row r="39" spans="2:99" x14ac:dyDescent="0.2">
      <c r="C39" s="109" t="s">
        <v>207</v>
      </c>
      <c r="D39" s="110">
        <v>0</v>
      </c>
      <c r="E39" s="110">
        <v>0</v>
      </c>
      <c r="F39" s="110">
        <v>0.43797506265472524</v>
      </c>
      <c r="G39" s="110">
        <v>530.82577593752694</v>
      </c>
      <c r="H39" s="110">
        <v>1.0318284796916684</v>
      </c>
      <c r="I39" s="110">
        <v>1250.576117386302</v>
      </c>
      <c r="J39" s="110">
        <v>1.9622229732441561</v>
      </c>
      <c r="K39" s="110">
        <v>2378.214243571917</v>
      </c>
      <c r="L39" s="110">
        <v>0</v>
      </c>
      <c r="M39" s="110">
        <v>0</v>
      </c>
      <c r="N39" s="110">
        <v>2.2783690120517988</v>
      </c>
      <c r="O39" s="110">
        <v>2761.3832426067802</v>
      </c>
      <c r="P39" s="110">
        <v>1.1350113276608353</v>
      </c>
      <c r="Q39" s="110">
        <v>1375.6337291249324</v>
      </c>
      <c r="R39" s="110">
        <v>1.4176059847519005</v>
      </c>
      <c r="S39" s="110">
        <v>1718.1384535193033</v>
      </c>
      <c r="T39" s="110">
        <v>0.59366003609957674</v>
      </c>
      <c r="U39" s="110">
        <v>719.51596375268696</v>
      </c>
      <c r="V39" s="110">
        <v>1.2583821241457087</v>
      </c>
      <c r="W39" s="110">
        <v>1525.159134464599</v>
      </c>
      <c r="X39" s="110">
        <v>1.1294746870380996</v>
      </c>
      <c r="Y39" s="110">
        <v>1368.9233206901768</v>
      </c>
      <c r="Z39" s="110">
        <v>0.59737438297938694</v>
      </c>
      <c r="AA39" s="110">
        <v>724.01775217101692</v>
      </c>
      <c r="AB39" s="110">
        <v>0.8481403327575473</v>
      </c>
      <c r="AC39" s="110">
        <v>1027.9460833021474</v>
      </c>
      <c r="AD39" s="110">
        <v>0.72244090746586709</v>
      </c>
      <c r="AE39" s="110">
        <v>875.59837984863088</v>
      </c>
      <c r="AF39" s="110">
        <v>0.85400575691216374</v>
      </c>
      <c r="AG39" s="110">
        <v>1035.0549773775424</v>
      </c>
      <c r="AH39" s="110">
        <v>0.33448570854312415</v>
      </c>
      <c r="AI39" s="110">
        <v>405.39667875426647</v>
      </c>
      <c r="AJ39" s="110">
        <v>0.64773717652506368</v>
      </c>
      <c r="AK39" s="110">
        <v>785.05745794837719</v>
      </c>
      <c r="AL39" s="110">
        <v>1.3182462943404814</v>
      </c>
      <c r="AM39" s="110">
        <v>1597.7145087406634</v>
      </c>
      <c r="AN39" s="110">
        <v>2.1143361821799327</v>
      </c>
      <c r="AO39" s="110">
        <v>2562.5754528020784</v>
      </c>
      <c r="AP39" s="110">
        <v>1.2142500732497432</v>
      </c>
      <c r="AQ39" s="110">
        <v>1471.6710887786887</v>
      </c>
      <c r="AR39" s="110">
        <v>1.3948331978482553</v>
      </c>
      <c r="AS39" s="110">
        <v>1690.5378357920854</v>
      </c>
      <c r="AT39" s="110">
        <v>0</v>
      </c>
      <c r="AU39" s="110">
        <v>0</v>
      </c>
      <c r="AV39" s="110">
        <v>0.74974857799292116</v>
      </c>
      <c r="AW39" s="110">
        <v>908.69527652742045</v>
      </c>
      <c r="AX39" s="110">
        <v>0</v>
      </c>
      <c r="AY39" s="110">
        <v>0</v>
      </c>
      <c r="AZ39" s="110">
        <v>1.1997010924497948</v>
      </c>
      <c r="BA39" s="110">
        <v>1454.0377240491514</v>
      </c>
      <c r="BB39" s="110">
        <v>0</v>
      </c>
      <c r="BC39" s="110">
        <v>0</v>
      </c>
      <c r="BD39" s="110">
        <v>0.61692849090432711</v>
      </c>
      <c r="BE39" s="110">
        <v>747.71733097604442</v>
      </c>
      <c r="BF39" s="110">
        <v>1.5045833098455275</v>
      </c>
      <c r="BG39" s="110">
        <v>1823.5549715327793</v>
      </c>
      <c r="BH39" s="110">
        <v>1.40866898491282</v>
      </c>
      <c r="BI39" s="110">
        <v>1707.3068097143378</v>
      </c>
      <c r="BJ39" s="110">
        <v>0.24437481366953306</v>
      </c>
      <c r="BK39" s="110">
        <v>296.18227416747408</v>
      </c>
      <c r="BL39" s="110">
        <v>0.34129189839057938</v>
      </c>
      <c r="BM39" s="110">
        <v>413.64578084938222</v>
      </c>
      <c r="BN39" s="110">
        <v>0.91658523473348219</v>
      </c>
      <c r="BO39" s="110">
        <v>1110.9013044969804</v>
      </c>
      <c r="BP39" s="110">
        <v>0.36156019120687827</v>
      </c>
      <c r="BQ39" s="110">
        <v>438.21095174273648</v>
      </c>
      <c r="BR39" s="110">
        <v>2.161926338401591</v>
      </c>
      <c r="BS39" s="110">
        <v>2620.2547221427285</v>
      </c>
      <c r="BT39" s="110">
        <v>0</v>
      </c>
      <c r="BU39" s="110">
        <v>0</v>
      </c>
      <c r="BV39" s="110">
        <v>1.0336710305482606</v>
      </c>
      <c r="BW39" s="110">
        <v>1252.8092890244918</v>
      </c>
      <c r="BX39" s="110">
        <v>0.69427979263211503</v>
      </c>
      <c r="BY39" s="110">
        <v>841.46710867012337</v>
      </c>
      <c r="BZ39" s="110">
        <v>0.62663683583981156</v>
      </c>
      <c r="CA39" s="110">
        <v>759.48384503785155</v>
      </c>
      <c r="CB39" s="110">
        <v>0.49316786122004341</v>
      </c>
      <c r="CC39" s="110">
        <v>597.71944779869261</v>
      </c>
      <c r="CD39" s="110">
        <v>0</v>
      </c>
      <c r="CE39" s="110">
        <v>0</v>
      </c>
      <c r="CF39" s="110">
        <v>0.47200445809404457</v>
      </c>
      <c r="CG39" s="110">
        <v>572.06940320998206</v>
      </c>
      <c r="CH39" s="110">
        <v>0</v>
      </c>
      <c r="CI39" s="110">
        <v>0</v>
      </c>
      <c r="CJ39" s="110">
        <v>3.4786541164492366</v>
      </c>
      <c r="CK39" s="110">
        <v>4216.1287891364746</v>
      </c>
      <c r="CL39" s="110">
        <v>1.2827828855557364</v>
      </c>
      <c r="CM39" s="110">
        <v>1554.7328572935526</v>
      </c>
      <c r="CN39" s="110">
        <v>1.0330122217333797</v>
      </c>
      <c r="CO39" s="110">
        <v>1252.0108127408562</v>
      </c>
      <c r="CP39" s="110">
        <v>1.4874238383906448</v>
      </c>
      <c r="CQ39" s="110">
        <v>1802.7576921294615</v>
      </c>
      <c r="CR39" s="110">
        <v>0</v>
      </c>
      <c r="CS39" s="110">
        <v>0</v>
      </c>
      <c r="CT39" s="110">
        <v>1.2535159906416649</v>
      </c>
      <c r="CU39" s="110">
        <v>1519.2613806576978</v>
      </c>
    </row>
    <row r="40" spans="2:99" x14ac:dyDescent="0.2">
      <c r="C40" s="109" t="s">
        <v>208</v>
      </c>
      <c r="D40" s="110">
        <v>0</v>
      </c>
      <c r="E40" s="110">
        <v>0</v>
      </c>
      <c r="F40" s="110">
        <v>0.43797506265472524</v>
      </c>
      <c r="G40" s="110">
        <v>226.52070240502385</v>
      </c>
      <c r="H40" s="110">
        <v>1.0318284796916684</v>
      </c>
      <c r="I40" s="110">
        <v>533.66168969653086</v>
      </c>
      <c r="J40" s="110">
        <v>1.9622229732441561</v>
      </c>
      <c r="K40" s="110">
        <v>1014.8617217618773</v>
      </c>
      <c r="L40" s="110">
        <v>0</v>
      </c>
      <c r="M40" s="110">
        <v>0</v>
      </c>
      <c r="N40" s="110">
        <v>2.2783690120517988</v>
      </c>
      <c r="O40" s="110">
        <v>1178.3724530331901</v>
      </c>
      <c r="P40" s="110">
        <v>1.1350113276608353</v>
      </c>
      <c r="Q40" s="110">
        <v>587.02785866618399</v>
      </c>
      <c r="R40" s="110">
        <v>1.4176059847519005</v>
      </c>
      <c r="S40" s="110">
        <v>733.18581531368284</v>
      </c>
      <c r="T40" s="110">
        <v>0.59366003609957674</v>
      </c>
      <c r="U40" s="110">
        <v>307.04097067070103</v>
      </c>
      <c r="V40" s="110">
        <v>1.3982023601618985</v>
      </c>
      <c r="W40" s="110">
        <v>723.15026067573376</v>
      </c>
      <c r="X40" s="110">
        <v>1.1294746870380996</v>
      </c>
      <c r="Y40" s="110">
        <v>584.16430813610509</v>
      </c>
      <c r="Z40" s="110">
        <v>0.71684925957526435</v>
      </c>
      <c r="AA40" s="110">
        <v>370.75443705232669</v>
      </c>
      <c r="AB40" s="110">
        <v>0.8481403327575473</v>
      </c>
      <c r="AC40" s="110">
        <v>438.6581801022034</v>
      </c>
      <c r="AD40" s="110">
        <v>0.84284772537684494</v>
      </c>
      <c r="AE40" s="110">
        <v>435.92084356490415</v>
      </c>
      <c r="AF40" s="110">
        <v>0.96075647652618412</v>
      </c>
      <c r="AG40" s="110">
        <v>496.90324965934235</v>
      </c>
      <c r="AH40" s="110">
        <v>0.33448570854312415</v>
      </c>
      <c r="AI40" s="110">
        <v>172.99600845850378</v>
      </c>
      <c r="AJ40" s="110">
        <v>0.64773717652506368</v>
      </c>
      <c r="AK40" s="110">
        <v>335.00966769876288</v>
      </c>
      <c r="AL40" s="110">
        <v>1.4281001522021881</v>
      </c>
      <c r="AM40" s="110">
        <v>738.61339871897155</v>
      </c>
      <c r="AN40" s="110">
        <v>2.0030553304862524</v>
      </c>
      <c r="AO40" s="110">
        <v>1035.9802169274897</v>
      </c>
      <c r="AP40" s="110">
        <v>1.1383594436716342</v>
      </c>
      <c r="AQ40" s="110">
        <v>588.75950426696909</v>
      </c>
      <c r="AR40" s="110">
        <v>1.6273053974896312</v>
      </c>
      <c r="AS40" s="110">
        <v>841.64235158163717</v>
      </c>
      <c r="AT40" s="110">
        <v>0</v>
      </c>
      <c r="AU40" s="110">
        <v>0</v>
      </c>
      <c r="AV40" s="110">
        <v>0.85685551770619561</v>
      </c>
      <c r="AW40" s="110">
        <v>443.1656737576443</v>
      </c>
      <c r="AX40" s="110">
        <v>0</v>
      </c>
      <c r="AY40" s="110">
        <v>0</v>
      </c>
      <c r="AZ40" s="110">
        <v>1.3996512745247605</v>
      </c>
      <c r="BA40" s="110">
        <v>723.89963918420597</v>
      </c>
      <c r="BB40" s="110">
        <v>0</v>
      </c>
      <c r="BC40" s="110">
        <v>0</v>
      </c>
      <c r="BD40" s="110">
        <v>0.61692849090432711</v>
      </c>
      <c r="BE40" s="110">
        <v>319.07541549571795</v>
      </c>
      <c r="BF40" s="110">
        <v>1.7195237826806027</v>
      </c>
      <c r="BG40" s="110">
        <v>889.33770040240756</v>
      </c>
      <c r="BH40" s="110">
        <v>1.40866898491282</v>
      </c>
      <c r="BI40" s="110">
        <v>728.5635989969104</v>
      </c>
      <c r="BJ40" s="110">
        <v>0.24437481366953306</v>
      </c>
      <c r="BK40" s="110">
        <v>126.39065362988248</v>
      </c>
      <c r="BL40" s="110">
        <v>0.34129189839057938</v>
      </c>
      <c r="BM40" s="110">
        <v>176.51616984760764</v>
      </c>
      <c r="BN40" s="110">
        <v>1.0475259825525511</v>
      </c>
      <c r="BO40" s="110">
        <v>541.78043817617936</v>
      </c>
      <c r="BP40" s="110">
        <v>0.30990873532018137</v>
      </c>
      <c r="BQ40" s="110">
        <v>160.28479790759778</v>
      </c>
      <c r="BR40" s="110">
        <v>2.161926338401591</v>
      </c>
      <c r="BS40" s="110">
        <v>1118.1483022213026</v>
      </c>
      <c r="BT40" s="110">
        <v>0</v>
      </c>
      <c r="BU40" s="110">
        <v>0</v>
      </c>
      <c r="BV40" s="110">
        <v>1.0336710305482606</v>
      </c>
      <c r="BW40" s="110">
        <v>534.61465699956034</v>
      </c>
      <c r="BX40" s="110">
        <v>0.57856649386009595</v>
      </c>
      <c r="BY40" s="110">
        <v>299.23459062444158</v>
      </c>
      <c r="BZ40" s="110">
        <v>0.62663683583981156</v>
      </c>
      <c r="CA40" s="110">
        <v>324.09657149635052</v>
      </c>
      <c r="CB40" s="110">
        <v>0.49316786122004341</v>
      </c>
      <c r="CC40" s="110">
        <v>255.06641782300642</v>
      </c>
      <c r="CD40" s="110">
        <v>0</v>
      </c>
      <c r="CE40" s="110">
        <v>0</v>
      </c>
      <c r="CF40" s="110">
        <v>0.3933370484117038</v>
      </c>
      <c r="CG40" s="110">
        <v>203.43392143853319</v>
      </c>
      <c r="CH40" s="110">
        <v>0</v>
      </c>
      <c r="CI40" s="110">
        <v>0</v>
      </c>
      <c r="CJ40" s="110">
        <v>3.9134858810053919</v>
      </c>
      <c r="CK40" s="110">
        <v>2024.0548976559885</v>
      </c>
      <c r="CL40" s="110">
        <v>1.2827828855557364</v>
      </c>
      <c r="CM40" s="110">
        <v>663.45530840942672</v>
      </c>
      <c r="CN40" s="110">
        <v>0.88543904720003974</v>
      </c>
      <c r="CO40" s="110">
        <v>457.94907521186047</v>
      </c>
      <c r="CP40" s="110">
        <v>1.6526931537673832</v>
      </c>
      <c r="CQ40" s="110">
        <v>854.77289912849051</v>
      </c>
      <c r="CR40" s="110">
        <v>0</v>
      </c>
      <c r="CS40" s="110">
        <v>0</v>
      </c>
      <c r="CT40" s="110">
        <v>1.4325897035904742</v>
      </c>
      <c r="CU40" s="110">
        <v>740.93539469699317</v>
      </c>
    </row>
    <row r="41" spans="2:99" x14ac:dyDescent="0.2">
      <c r="C41" s="109" t="s">
        <v>209</v>
      </c>
      <c r="D41" s="110">
        <v>0</v>
      </c>
      <c r="E41" s="110">
        <v>0</v>
      </c>
      <c r="F41" s="110">
        <v>0.43797506265472524</v>
      </c>
      <c r="G41" s="110">
        <v>199.19105849536905</v>
      </c>
      <c r="H41" s="110">
        <v>1.2381941756300023</v>
      </c>
      <c r="I41" s="110">
        <v>563.13071107652513</v>
      </c>
      <c r="J41" s="110">
        <v>1.9622229732441561</v>
      </c>
      <c r="K41" s="110">
        <v>892.41900823144215</v>
      </c>
      <c r="L41" s="110">
        <v>0</v>
      </c>
      <c r="M41" s="110">
        <v>0</v>
      </c>
      <c r="N41" s="110">
        <v>2.2783690120517988</v>
      </c>
      <c r="O41" s="110">
        <v>1036.2022266811582</v>
      </c>
      <c r="P41" s="110">
        <v>1.4593002784210738</v>
      </c>
      <c r="Q41" s="110">
        <v>663.68976662590433</v>
      </c>
      <c r="R41" s="110">
        <v>1.4176059847519005</v>
      </c>
      <c r="S41" s="110">
        <v>644.72720186516437</v>
      </c>
      <c r="T41" s="110">
        <v>0.59366003609957674</v>
      </c>
      <c r="U41" s="110">
        <v>269.99658441808748</v>
      </c>
      <c r="V41" s="110">
        <v>1.2583821241457087</v>
      </c>
      <c r="W41" s="110">
        <v>572.3121900614683</v>
      </c>
      <c r="X41" s="110">
        <v>1.0039774995894217</v>
      </c>
      <c r="Y41" s="110">
        <v>456.60896681326903</v>
      </c>
      <c r="Z41" s="110">
        <v>0.71684925957526435</v>
      </c>
      <c r="AA41" s="110">
        <v>326.02304325483021</v>
      </c>
      <c r="AB41" s="110">
        <v>0.72697742807789756</v>
      </c>
      <c r="AC41" s="110">
        <v>330.6293342898278</v>
      </c>
      <c r="AD41" s="110">
        <v>0.72244090746586709</v>
      </c>
      <c r="AE41" s="110">
        <v>328.56612471547635</v>
      </c>
      <c r="AF41" s="110">
        <v>0.85400575691216374</v>
      </c>
      <c r="AG41" s="110">
        <v>388.40181824365209</v>
      </c>
      <c r="AH41" s="110">
        <v>0.39023332663364485</v>
      </c>
      <c r="AI41" s="110">
        <v>177.47811695298168</v>
      </c>
      <c r="AJ41" s="110">
        <v>0.7691878971235131</v>
      </c>
      <c r="AK41" s="110">
        <v>349.82665561177379</v>
      </c>
      <c r="AL41" s="110">
        <v>1.3182462943404814</v>
      </c>
      <c r="AM41" s="110">
        <v>599.53841466605093</v>
      </c>
      <c r="AN41" s="110">
        <v>1.8917744787925714</v>
      </c>
      <c r="AO41" s="110">
        <v>860.37903295486149</v>
      </c>
      <c r="AP41" s="110">
        <v>1.2142500732497432</v>
      </c>
      <c r="AQ41" s="110">
        <v>552.24093331398319</v>
      </c>
      <c r="AR41" s="110">
        <v>1.6273053974896312</v>
      </c>
      <c r="AS41" s="110">
        <v>740.09849477828425</v>
      </c>
      <c r="AT41" s="110">
        <v>0</v>
      </c>
      <c r="AU41" s="110">
        <v>0</v>
      </c>
      <c r="AV41" s="110">
        <v>0.85685551770619561</v>
      </c>
      <c r="AW41" s="110">
        <v>389.69788945277776</v>
      </c>
      <c r="AX41" s="110">
        <v>0</v>
      </c>
      <c r="AY41" s="110">
        <v>0</v>
      </c>
      <c r="AZ41" s="110">
        <v>1.3996512745247605</v>
      </c>
      <c r="BA41" s="110">
        <v>636.56139965386103</v>
      </c>
      <c r="BB41" s="110">
        <v>0</v>
      </c>
      <c r="BC41" s="110">
        <v>0</v>
      </c>
      <c r="BD41" s="110">
        <v>0.68547610100480783</v>
      </c>
      <c r="BE41" s="110">
        <v>311.75453073698662</v>
      </c>
      <c r="BF41" s="110">
        <v>1.5045833098455275</v>
      </c>
      <c r="BG41" s="110">
        <v>684.28448931774585</v>
      </c>
      <c r="BH41" s="110">
        <v>1.40866898491282</v>
      </c>
      <c r="BI41" s="110">
        <v>640.66265433835053</v>
      </c>
      <c r="BJ41" s="110">
        <v>0.24437481366953306</v>
      </c>
      <c r="BK41" s="110">
        <v>111.14166525690364</v>
      </c>
      <c r="BL41" s="110">
        <v>0.34129189839057938</v>
      </c>
      <c r="BM41" s="110">
        <v>155.2195553880355</v>
      </c>
      <c r="BN41" s="110">
        <v>0.91658523473348219</v>
      </c>
      <c r="BO41" s="110">
        <v>416.86296475678773</v>
      </c>
      <c r="BP41" s="110">
        <v>0.36156019120687827</v>
      </c>
      <c r="BQ41" s="110">
        <v>164.43757496088824</v>
      </c>
      <c r="BR41" s="110">
        <v>1.945733704561432</v>
      </c>
      <c r="BS41" s="110">
        <v>884.91968883453933</v>
      </c>
      <c r="BT41" s="110">
        <v>0</v>
      </c>
      <c r="BU41" s="110">
        <v>0</v>
      </c>
      <c r="BV41" s="110">
        <v>1.0336710305482606</v>
      </c>
      <c r="BW41" s="110">
        <v>470.11358469334891</v>
      </c>
      <c r="BX41" s="110">
        <v>0.69427979263211503</v>
      </c>
      <c r="BY41" s="110">
        <v>315.75844968908592</v>
      </c>
      <c r="BZ41" s="110">
        <v>0.62663683583981156</v>
      </c>
      <c r="CA41" s="110">
        <v>284.99443293994631</v>
      </c>
      <c r="CB41" s="110">
        <v>0.57536250475671735</v>
      </c>
      <c r="CC41" s="110">
        <v>261.67486716335503</v>
      </c>
      <c r="CD41" s="110">
        <v>0</v>
      </c>
      <c r="CE41" s="110">
        <v>0</v>
      </c>
      <c r="CF41" s="110">
        <v>0.3933370484117038</v>
      </c>
      <c r="CG41" s="110">
        <v>178.88968961764289</v>
      </c>
      <c r="CH41" s="110">
        <v>0</v>
      </c>
      <c r="CI41" s="110">
        <v>0</v>
      </c>
      <c r="CJ41" s="110">
        <v>3.4786541164492366</v>
      </c>
      <c r="CK41" s="110">
        <v>1582.0918921611128</v>
      </c>
      <c r="CL41" s="110">
        <v>1.2827828855557364</v>
      </c>
      <c r="CM41" s="110">
        <v>583.40965635074895</v>
      </c>
      <c r="CN41" s="110">
        <v>0.88543904720003974</v>
      </c>
      <c r="CO41" s="110">
        <v>402.6976786665781</v>
      </c>
      <c r="CP41" s="110">
        <v>1.8179624691441216</v>
      </c>
      <c r="CQ41" s="110">
        <v>826.80933096674653</v>
      </c>
      <c r="CR41" s="110">
        <v>0</v>
      </c>
      <c r="CS41" s="110">
        <v>0</v>
      </c>
      <c r="CT41" s="110">
        <v>1.6116634165392834</v>
      </c>
      <c r="CU41" s="110">
        <v>732.9845218420661</v>
      </c>
    </row>
    <row r="42" spans="2:99" x14ac:dyDescent="0.2">
      <c r="C42" s="109" t="s">
        <v>210</v>
      </c>
      <c r="D42" s="110">
        <v>0</v>
      </c>
      <c r="E42" s="110">
        <v>0</v>
      </c>
      <c r="F42" s="110">
        <v>0.43797506265472524</v>
      </c>
      <c r="G42" s="110">
        <v>304.83064360768878</v>
      </c>
      <c r="H42" s="110">
        <v>1.0318284796916684</v>
      </c>
      <c r="I42" s="110">
        <v>718.15262186540122</v>
      </c>
      <c r="J42" s="110">
        <v>1.7441981984392496</v>
      </c>
      <c r="K42" s="110">
        <v>1213.9619461137177</v>
      </c>
      <c r="L42" s="110">
        <v>0</v>
      </c>
      <c r="M42" s="110">
        <v>0</v>
      </c>
      <c r="N42" s="110">
        <v>2.6038502994877697</v>
      </c>
      <c r="O42" s="110">
        <v>1812.2798084434878</v>
      </c>
      <c r="P42" s="110">
        <v>1.2971558030409545</v>
      </c>
      <c r="Q42" s="110">
        <v>902.82043891650426</v>
      </c>
      <c r="R42" s="110">
        <v>1.4176059847519005</v>
      </c>
      <c r="S42" s="110">
        <v>986.65376538732278</v>
      </c>
      <c r="T42" s="110">
        <v>0.59366003609957674</v>
      </c>
      <c r="U42" s="110">
        <v>413.18738512530541</v>
      </c>
      <c r="V42" s="110">
        <v>1.3982023601618985</v>
      </c>
      <c r="W42" s="110">
        <v>973.14884267268133</v>
      </c>
      <c r="X42" s="110">
        <v>1.1294746870380996</v>
      </c>
      <c r="Y42" s="110">
        <v>786.1143821785173</v>
      </c>
      <c r="Z42" s="110">
        <v>0.71684925957526435</v>
      </c>
      <c r="AA42" s="110">
        <v>498.92708466438398</v>
      </c>
      <c r="AB42" s="110">
        <v>0.8481403327575473</v>
      </c>
      <c r="AC42" s="110">
        <v>590.30567159925295</v>
      </c>
      <c r="AD42" s="110">
        <v>0.72244090746586709</v>
      </c>
      <c r="AE42" s="110">
        <v>502.81887159624347</v>
      </c>
      <c r="AF42" s="110">
        <v>0.85400575691216374</v>
      </c>
      <c r="AG42" s="110">
        <v>594.38800681086593</v>
      </c>
      <c r="AH42" s="110">
        <v>0.33448570854312415</v>
      </c>
      <c r="AI42" s="110">
        <v>232.8020531460144</v>
      </c>
      <c r="AJ42" s="110">
        <v>0.72870432359069659</v>
      </c>
      <c r="AK42" s="110">
        <v>507.17820921912482</v>
      </c>
      <c r="AL42" s="110">
        <v>1.4281001522021881</v>
      </c>
      <c r="AM42" s="110">
        <v>993.95770593272289</v>
      </c>
      <c r="AN42" s="110">
        <v>2.2256170338736134</v>
      </c>
      <c r="AO42" s="110">
        <v>1549.0294555760349</v>
      </c>
      <c r="AP42" s="110">
        <v>1.1383594436716342</v>
      </c>
      <c r="AQ42" s="110">
        <v>792.29817279545739</v>
      </c>
      <c r="AR42" s="110">
        <v>1.6273053974896312</v>
      </c>
      <c r="AS42" s="110">
        <v>1132.6045566527832</v>
      </c>
      <c r="AT42" s="110">
        <v>0</v>
      </c>
      <c r="AU42" s="110">
        <v>0</v>
      </c>
      <c r="AV42" s="110">
        <v>0.85685551770619561</v>
      </c>
      <c r="AW42" s="110">
        <v>596.37144032351216</v>
      </c>
      <c r="AX42" s="110">
        <v>0</v>
      </c>
      <c r="AY42" s="110">
        <v>0</v>
      </c>
      <c r="AZ42" s="110">
        <v>1.3996512745247605</v>
      </c>
      <c r="BA42" s="110">
        <v>974.15728706923323</v>
      </c>
      <c r="BB42" s="110">
        <v>0</v>
      </c>
      <c r="BC42" s="110">
        <v>0</v>
      </c>
      <c r="BD42" s="110">
        <v>0.61692849090432711</v>
      </c>
      <c r="BE42" s="110">
        <v>429.38222966941169</v>
      </c>
      <c r="BF42" s="110">
        <v>1.5045833098455275</v>
      </c>
      <c r="BG42" s="110">
        <v>1047.1899836524872</v>
      </c>
      <c r="BH42" s="110">
        <v>1.40866898491282</v>
      </c>
      <c r="BI42" s="110">
        <v>980.43361349932275</v>
      </c>
      <c r="BJ42" s="110">
        <v>0.28510394928112193</v>
      </c>
      <c r="BK42" s="110">
        <v>198.43234869966085</v>
      </c>
      <c r="BL42" s="110">
        <v>0.34129189839057938</v>
      </c>
      <c r="BM42" s="110">
        <v>237.53916127984326</v>
      </c>
      <c r="BN42" s="110">
        <v>0.91658523473348219</v>
      </c>
      <c r="BO42" s="110">
        <v>637.94332337450362</v>
      </c>
      <c r="BP42" s="110">
        <v>0.36156019120687827</v>
      </c>
      <c r="BQ42" s="110">
        <v>251.64589307998727</v>
      </c>
      <c r="BR42" s="110">
        <v>1.945733704561432</v>
      </c>
      <c r="BS42" s="110">
        <v>1354.2306583747568</v>
      </c>
      <c r="BT42" s="110">
        <v>0</v>
      </c>
      <c r="BU42" s="110">
        <v>0</v>
      </c>
      <c r="BV42" s="110">
        <v>1.1485233672758453</v>
      </c>
      <c r="BW42" s="110">
        <v>799.37226362398826</v>
      </c>
      <c r="BX42" s="110">
        <v>0.69427979263211503</v>
      </c>
      <c r="BY42" s="110">
        <v>483.21873567195206</v>
      </c>
      <c r="BZ42" s="110">
        <v>0.62663683583981156</v>
      </c>
      <c r="CA42" s="110">
        <v>436.13923774450882</v>
      </c>
      <c r="CB42" s="110">
        <v>0.49316786122004341</v>
      </c>
      <c r="CC42" s="110">
        <v>343.24483140915021</v>
      </c>
      <c r="CD42" s="110">
        <v>0</v>
      </c>
      <c r="CE42" s="110">
        <v>0</v>
      </c>
      <c r="CF42" s="110">
        <v>0.3933370484117038</v>
      </c>
      <c r="CG42" s="110">
        <v>273.76258569454586</v>
      </c>
      <c r="CH42" s="110">
        <v>0</v>
      </c>
      <c r="CI42" s="110">
        <v>0</v>
      </c>
      <c r="CJ42" s="110">
        <v>3.9134858810053919</v>
      </c>
      <c r="CK42" s="110">
        <v>2723.786173179753</v>
      </c>
      <c r="CL42" s="110">
        <v>1.2827828855557364</v>
      </c>
      <c r="CM42" s="110">
        <v>892.81688834679255</v>
      </c>
      <c r="CN42" s="110">
        <v>1.0330122217333797</v>
      </c>
      <c r="CO42" s="110">
        <v>718.97650632643229</v>
      </c>
      <c r="CP42" s="110">
        <v>1.6526931537673832</v>
      </c>
      <c r="CQ42" s="110">
        <v>1150.2744350220987</v>
      </c>
      <c r="CR42" s="110">
        <v>0</v>
      </c>
      <c r="CS42" s="110">
        <v>0</v>
      </c>
      <c r="CT42" s="110">
        <v>1.4325897035904742</v>
      </c>
      <c r="CU42" s="110">
        <v>997.08243369897002</v>
      </c>
    </row>
    <row r="43" spans="2:99" x14ac:dyDescent="0.2">
      <c r="C43" s="109" t="s">
        <v>211</v>
      </c>
      <c r="D43" s="110">
        <v>0</v>
      </c>
      <c r="E43" s="110">
        <v>0</v>
      </c>
      <c r="F43" s="110">
        <v>0.43797506265472524</v>
      </c>
      <c r="G43" s="110">
        <v>356.86208105107011</v>
      </c>
      <c r="H43" s="110">
        <v>1.2381941756300023</v>
      </c>
      <c r="I43" s="110">
        <v>1008.8806143033258</v>
      </c>
      <c r="J43" s="110">
        <v>1.7441981984392496</v>
      </c>
      <c r="K43" s="110">
        <v>1421.1726920883004</v>
      </c>
      <c r="L43" s="110">
        <v>0</v>
      </c>
      <c r="M43" s="110">
        <v>0</v>
      </c>
      <c r="N43" s="110">
        <v>1.9528877246158274</v>
      </c>
      <c r="O43" s="110">
        <v>1591.2129180169761</v>
      </c>
      <c r="P43" s="110">
        <v>1.4593002784210738</v>
      </c>
      <c r="Q43" s="110">
        <v>1189.0378668574908</v>
      </c>
      <c r="R43" s="110">
        <v>1.5751177608354447</v>
      </c>
      <c r="S43" s="110">
        <v>1283.4059515287204</v>
      </c>
      <c r="T43" s="110">
        <v>0.6678675406120238</v>
      </c>
      <c r="U43" s="110">
        <v>544.17847209067702</v>
      </c>
      <c r="V43" s="110">
        <v>1.2583821241457087</v>
      </c>
      <c r="W43" s="110">
        <v>1025.3297547539235</v>
      </c>
      <c r="X43" s="110">
        <v>1.1294746870380996</v>
      </c>
      <c r="Y43" s="110">
        <v>920.29597499864349</v>
      </c>
      <c r="Z43" s="110">
        <v>0.71684925957526435</v>
      </c>
      <c r="AA43" s="110">
        <v>584.08877670192533</v>
      </c>
      <c r="AB43" s="110">
        <v>0.8481403327575473</v>
      </c>
      <c r="AC43" s="110">
        <v>691.06474313084948</v>
      </c>
      <c r="AD43" s="110">
        <v>0.84284772537684494</v>
      </c>
      <c r="AE43" s="110">
        <v>686.75232663705322</v>
      </c>
      <c r="AF43" s="110">
        <v>0.85400575691216374</v>
      </c>
      <c r="AG43" s="110">
        <v>695.84389073203101</v>
      </c>
      <c r="AH43" s="110">
        <v>0.33448570854312415</v>
      </c>
      <c r="AI43" s="110">
        <v>272.53895532093753</v>
      </c>
      <c r="AJ43" s="110">
        <v>0.68822075005788019</v>
      </c>
      <c r="AK43" s="110">
        <v>560.76226714716074</v>
      </c>
      <c r="AL43" s="110">
        <v>1.2083924364787746</v>
      </c>
      <c r="AM43" s="110">
        <v>984.59815724290547</v>
      </c>
      <c r="AN43" s="110">
        <v>2.1143361821799327</v>
      </c>
      <c r="AO43" s="110">
        <v>1722.7611212402091</v>
      </c>
      <c r="AP43" s="110">
        <v>1.1383594436716342</v>
      </c>
      <c r="AQ43" s="110">
        <v>927.53527470364747</v>
      </c>
      <c r="AR43" s="110">
        <v>1.3948331978482553</v>
      </c>
      <c r="AS43" s="110">
        <v>1136.5100896067584</v>
      </c>
      <c r="AT43" s="110">
        <v>0</v>
      </c>
      <c r="AU43" s="110">
        <v>0</v>
      </c>
      <c r="AV43" s="110">
        <v>0.85685551770619561</v>
      </c>
      <c r="AW43" s="110">
        <v>698.16587582700811</v>
      </c>
      <c r="AX43" s="110">
        <v>0</v>
      </c>
      <c r="AY43" s="110">
        <v>0</v>
      </c>
      <c r="AZ43" s="110">
        <v>1.1997010924497948</v>
      </c>
      <c r="BA43" s="110">
        <v>977.51645012809274</v>
      </c>
      <c r="BB43" s="110">
        <v>0</v>
      </c>
      <c r="BC43" s="110">
        <v>0</v>
      </c>
      <c r="BD43" s="110">
        <v>0.54838088080384628</v>
      </c>
      <c r="BE43" s="110">
        <v>446.82074167897395</v>
      </c>
      <c r="BF43" s="110">
        <v>1.5045833098455275</v>
      </c>
      <c r="BG43" s="110">
        <v>1225.9344808621356</v>
      </c>
      <c r="BH43" s="110">
        <v>1.40866898491282</v>
      </c>
      <c r="BI43" s="110">
        <v>1147.7834889069657</v>
      </c>
      <c r="BJ43" s="110">
        <v>0.24437481366953306</v>
      </c>
      <c r="BK43" s="110">
        <v>199.11659817793554</v>
      </c>
      <c r="BL43" s="110">
        <v>0.34129189839057938</v>
      </c>
      <c r="BM43" s="110">
        <v>278.08463880864406</v>
      </c>
      <c r="BN43" s="110">
        <v>0.91658523473348219</v>
      </c>
      <c r="BO43" s="110">
        <v>746.8336492608413</v>
      </c>
      <c r="BP43" s="110">
        <v>0.30990873532018137</v>
      </c>
      <c r="BQ43" s="110">
        <v>252.51363753888376</v>
      </c>
      <c r="BR43" s="110">
        <v>2.161926338401591</v>
      </c>
      <c r="BS43" s="110">
        <v>1761.5375805296162</v>
      </c>
      <c r="BT43" s="110">
        <v>0</v>
      </c>
      <c r="BU43" s="110">
        <v>0</v>
      </c>
      <c r="BV43" s="110">
        <v>0.91881869382067616</v>
      </c>
      <c r="BW43" s="110">
        <v>748.65347172508689</v>
      </c>
      <c r="BX43" s="110">
        <v>0.69427979263211503</v>
      </c>
      <c r="BY43" s="110">
        <v>565.69917503664726</v>
      </c>
      <c r="BZ43" s="110">
        <v>0.62663683583981156</v>
      </c>
      <c r="CA43" s="110">
        <v>510.58369384227842</v>
      </c>
      <c r="CB43" s="110">
        <v>0.49316786122004341</v>
      </c>
      <c r="CC43" s="110">
        <v>401.83317332209134</v>
      </c>
      <c r="CD43" s="110">
        <v>0</v>
      </c>
      <c r="CE43" s="110">
        <v>0</v>
      </c>
      <c r="CF43" s="110">
        <v>0.47200445809404457</v>
      </c>
      <c r="CG43" s="110">
        <v>384.58923245502751</v>
      </c>
      <c r="CH43" s="110">
        <v>0</v>
      </c>
      <c r="CI43" s="110">
        <v>0</v>
      </c>
      <c r="CJ43" s="110">
        <v>4.3483176455615462</v>
      </c>
      <c r="CK43" s="110">
        <v>3543.0092176035478</v>
      </c>
      <c r="CL43" s="110">
        <v>1.0689857379631136</v>
      </c>
      <c r="CM43" s="110">
        <v>871.00957929234494</v>
      </c>
      <c r="CN43" s="110">
        <v>1.0330122217333797</v>
      </c>
      <c r="CO43" s="110">
        <v>841.69835826835777</v>
      </c>
      <c r="CP43" s="110">
        <v>1.8179624691441216</v>
      </c>
      <c r="CQ43" s="110">
        <v>1481.2758198586303</v>
      </c>
      <c r="CR43" s="110">
        <v>0</v>
      </c>
      <c r="CS43" s="110">
        <v>0</v>
      </c>
      <c r="CT43" s="110">
        <v>1.4325897035904742</v>
      </c>
      <c r="CU43" s="110">
        <v>1167.2740904855184</v>
      </c>
    </row>
    <row r="44" spans="2:99" x14ac:dyDescent="0.2">
      <c r="C44" s="109" t="s">
        <v>212</v>
      </c>
      <c r="D44" s="110">
        <v>0</v>
      </c>
      <c r="E44" s="110">
        <v>0</v>
      </c>
      <c r="F44" s="110">
        <v>0.43797506265472524</v>
      </c>
      <c r="G44" s="110">
        <v>369.47576285552623</v>
      </c>
      <c r="H44" s="110">
        <v>1.2381941756300023</v>
      </c>
      <c r="I44" s="110">
        <v>1044.54060656147</v>
      </c>
      <c r="J44" s="110">
        <v>1.7441981984392496</v>
      </c>
      <c r="K44" s="110">
        <v>1471.405600203351</v>
      </c>
      <c r="L44" s="110">
        <v>0</v>
      </c>
      <c r="M44" s="110">
        <v>0</v>
      </c>
      <c r="N44" s="110">
        <v>2.6038502994877697</v>
      </c>
      <c r="O44" s="110">
        <v>2196.6081126478825</v>
      </c>
      <c r="P44" s="110">
        <v>1.4593002784210738</v>
      </c>
      <c r="Q44" s="110">
        <v>1231.0657148760179</v>
      </c>
      <c r="R44" s="110">
        <v>1.260094208668356</v>
      </c>
      <c r="S44" s="110">
        <v>1063.0154744326251</v>
      </c>
      <c r="T44" s="110">
        <v>0.59366003609957674</v>
      </c>
      <c r="U44" s="110">
        <v>500.81160645360296</v>
      </c>
      <c r="V44" s="110">
        <v>1.2583821241457087</v>
      </c>
      <c r="W44" s="110">
        <v>1061.5711599293199</v>
      </c>
      <c r="X44" s="110">
        <v>1.0039774995894217</v>
      </c>
      <c r="Y44" s="110">
        <v>846.95541865363623</v>
      </c>
      <c r="Z44" s="110">
        <v>0.59737438297938694</v>
      </c>
      <c r="AA44" s="110">
        <v>503.94502948141081</v>
      </c>
      <c r="AB44" s="110">
        <v>0.8481403327575473</v>
      </c>
      <c r="AC44" s="110">
        <v>715.49118471426686</v>
      </c>
      <c r="AD44" s="110">
        <v>0.72244090746586709</v>
      </c>
      <c r="AE44" s="110">
        <v>609.45114953820553</v>
      </c>
      <c r="AF44" s="110">
        <v>0.85400575691216374</v>
      </c>
      <c r="AG44" s="110">
        <v>720.43925653110136</v>
      </c>
      <c r="AH44" s="110">
        <v>0.33448570854312415</v>
      </c>
      <c r="AI44" s="110">
        <v>282.17214372697953</v>
      </c>
      <c r="AJ44" s="110">
        <v>0.60725360299224718</v>
      </c>
      <c r="AK44" s="110">
        <v>512.27913948425976</v>
      </c>
      <c r="AL44" s="110">
        <v>1.4281001522021881</v>
      </c>
      <c r="AM44" s="110">
        <v>1204.745288397766</v>
      </c>
      <c r="AN44" s="110">
        <v>1.8917744787925714</v>
      </c>
      <c r="AO44" s="110">
        <v>1595.9009503094132</v>
      </c>
      <c r="AP44" s="110">
        <v>1.0624688140935252</v>
      </c>
      <c r="AQ44" s="110">
        <v>896.29869156929794</v>
      </c>
      <c r="AR44" s="110">
        <v>1.6273053974896312</v>
      </c>
      <c r="AS44" s="110">
        <v>1372.794833322253</v>
      </c>
      <c r="AT44" s="110">
        <v>0</v>
      </c>
      <c r="AU44" s="110">
        <v>0</v>
      </c>
      <c r="AV44" s="110">
        <v>0.85685551770619561</v>
      </c>
      <c r="AW44" s="110">
        <v>722.8433147369467</v>
      </c>
      <c r="AX44" s="110">
        <v>0</v>
      </c>
      <c r="AY44" s="110">
        <v>0</v>
      </c>
      <c r="AZ44" s="110">
        <v>1.3996512745247605</v>
      </c>
      <c r="BA44" s="110">
        <v>1180.745815189088</v>
      </c>
      <c r="BB44" s="110">
        <v>0</v>
      </c>
      <c r="BC44" s="110">
        <v>0</v>
      </c>
      <c r="BD44" s="110">
        <v>0.61692849090432711</v>
      </c>
      <c r="BE44" s="110">
        <v>520.44087492689039</v>
      </c>
      <c r="BF44" s="110">
        <v>1.5045833098455275</v>
      </c>
      <c r="BG44" s="110">
        <v>1269.266480185687</v>
      </c>
      <c r="BH44" s="110">
        <v>1.40866898491282</v>
      </c>
      <c r="BI44" s="110">
        <v>1188.3531556724549</v>
      </c>
      <c r="BJ44" s="110">
        <v>0.24437481366953306</v>
      </c>
      <c r="BK44" s="110">
        <v>206.1545928116181</v>
      </c>
      <c r="BL44" s="110">
        <v>0.34129189839057938</v>
      </c>
      <c r="BM44" s="110">
        <v>287.9138454822928</v>
      </c>
      <c r="BN44" s="110">
        <v>0.91658523473348219</v>
      </c>
      <c r="BO44" s="110">
        <v>773.23130402116556</v>
      </c>
      <c r="BP44" s="110">
        <v>0.30990873532018137</v>
      </c>
      <c r="BQ44" s="110">
        <v>261.43900911610501</v>
      </c>
      <c r="BR44" s="110">
        <v>2.161926338401591</v>
      </c>
      <c r="BS44" s="110">
        <v>1823.8010590755823</v>
      </c>
      <c r="BT44" s="110">
        <v>0</v>
      </c>
      <c r="BU44" s="110">
        <v>0</v>
      </c>
      <c r="BV44" s="110">
        <v>0.91881869382067616</v>
      </c>
      <c r="BW44" s="110">
        <v>775.11545010712246</v>
      </c>
      <c r="BX44" s="110">
        <v>0.69427979263211503</v>
      </c>
      <c r="BY44" s="110">
        <v>585.69443306445226</v>
      </c>
      <c r="BZ44" s="110">
        <v>0.62663683583981156</v>
      </c>
      <c r="CA44" s="110">
        <v>528.6308347144651</v>
      </c>
      <c r="CB44" s="110">
        <v>0.49316786122004341</v>
      </c>
      <c r="CC44" s="110">
        <v>416.03640772522863</v>
      </c>
      <c r="CD44" s="110">
        <v>0</v>
      </c>
      <c r="CE44" s="110">
        <v>0</v>
      </c>
      <c r="CF44" s="110">
        <v>0.3933370484117038</v>
      </c>
      <c r="CG44" s="110">
        <v>331.81913404011334</v>
      </c>
      <c r="CH44" s="110">
        <v>0</v>
      </c>
      <c r="CI44" s="110">
        <v>0</v>
      </c>
      <c r="CJ44" s="110">
        <v>4.3483176455615462</v>
      </c>
      <c r="CK44" s="110">
        <v>3668.2407657957206</v>
      </c>
      <c r="CL44" s="110">
        <v>1.2827828855557364</v>
      </c>
      <c r="CM44" s="110">
        <v>1082.1556422548192</v>
      </c>
      <c r="CN44" s="110">
        <v>1.0330122217333797</v>
      </c>
      <c r="CO44" s="110">
        <v>871.44911025427916</v>
      </c>
      <c r="CP44" s="110">
        <v>1.8179624691441216</v>
      </c>
      <c r="CQ44" s="110">
        <v>1533.633138969981</v>
      </c>
      <c r="CR44" s="110">
        <v>0</v>
      </c>
      <c r="CS44" s="110">
        <v>0</v>
      </c>
      <c r="CT44" s="110">
        <v>1.4325897035904742</v>
      </c>
      <c r="CU44" s="110">
        <v>1208.5326739489242</v>
      </c>
    </row>
    <row r="45" spans="2:99" x14ac:dyDescent="0.2">
      <c r="C45" s="109" t="s">
        <v>213</v>
      </c>
      <c r="D45" s="110">
        <v>0</v>
      </c>
      <c r="E45" s="110">
        <v>0</v>
      </c>
      <c r="F45" s="110">
        <v>0.43797506265472524</v>
      </c>
      <c r="G45" s="110">
        <v>455.66925518597611</v>
      </c>
      <c r="H45" s="110">
        <v>1.0318284796916684</v>
      </c>
      <c r="I45" s="110">
        <v>1073.5143502712117</v>
      </c>
      <c r="J45" s="110">
        <v>1.7441981984392496</v>
      </c>
      <c r="K45" s="110">
        <v>1814.6638056561951</v>
      </c>
      <c r="L45" s="110">
        <v>0</v>
      </c>
      <c r="M45" s="110">
        <v>0</v>
      </c>
      <c r="N45" s="110">
        <v>2.2783690120517988</v>
      </c>
      <c r="O45" s="110">
        <v>2370.4151201386912</v>
      </c>
      <c r="P45" s="110">
        <v>1.1350113276608353</v>
      </c>
      <c r="Q45" s="110">
        <v>1180.8657852983329</v>
      </c>
      <c r="R45" s="110">
        <v>1.4176059847519005</v>
      </c>
      <c r="S45" s="110">
        <v>1474.877266535877</v>
      </c>
      <c r="T45" s="110">
        <v>0.59366003609957674</v>
      </c>
      <c r="U45" s="110">
        <v>617.64390155799958</v>
      </c>
      <c r="V45" s="110">
        <v>1.3982023601618985</v>
      </c>
      <c r="W45" s="110">
        <v>1454.689735512439</v>
      </c>
      <c r="X45" s="110">
        <v>1.1294746870380996</v>
      </c>
      <c r="Y45" s="110">
        <v>1175.1054643944387</v>
      </c>
      <c r="Z45" s="110">
        <v>0.59737438297938694</v>
      </c>
      <c r="AA45" s="110">
        <v>621.50830805175406</v>
      </c>
      <c r="AB45" s="110">
        <v>0.8481403327575473</v>
      </c>
      <c r="AC45" s="110">
        <v>882.40520220095209</v>
      </c>
      <c r="AD45" s="110">
        <v>0.84284772537684494</v>
      </c>
      <c r="AE45" s="110">
        <v>876.89877348206937</v>
      </c>
      <c r="AF45" s="110">
        <v>0.74725503729814324</v>
      </c>
      <c r="AG45" s="110">
        <v>777.44414080498814</v>
      </c>
      <c r="AH45" s="110">
        <v>0.33448570854312415</v>
      </c>
      <c r="AI45" s="110">
        <v>347.99893116826632</v>
      </c>
      <c r="AJ45" s="110">
        <v>0.64773717652506368</v>
      </c>
      <c r="AK45" s="110">
        <v>673.90575845667615</v>
      </c>
      <c r="AL45" s="110">
        <v>1.2083924364787746</v>
      </c>
      <c r="AM45" s="110">
        <v>1257.2114909125169</v>
      </c>
      <c r="AN45" s="110">
        <v>1.7804936270988907</v>
      </c>
      <c r="AO45" s="110">
        <v>1852.4255696336857</v>
      </c>
      <c r="AP45" s="110">
        <v>1.2142500732497432</v>
      </c>
      <c r="AQ45" s="110">
        <v>1263.3057762090327</v>
      </c>
      <c r="AR45" s="110">
        <v>1.6273053974896312</v>
      </c>
      <c r="AS45" s="110">
        <v>1693.0485355482122</v>
      </c>
      <c r="AT45" s="110">
        <v>0</v>
      </c>
      <c r="AU45" s="110">
        <v>0</v>
      </c>
      <c r="AV45" s="110">
        <v>0.74974857799292116</v>
      </c>
      <c r="AW45" s="110">
        <v>780.03842054383506</v>
      </c>
      <c r="AX45" s="110">
        <v>0</v>
      </c>
      <c r="AY45" s="110">
        <v>0</v>
      </c>
      <c r="AZ45" s="110">
        <v>1.1997010924497948</v>
      </c>
      <c r="BA45" s="110">
        <v>1248.1690165847665</v>
      </c>
      <c r="BB45" s="110">
        <v>0</v>
      </c>
      <c r="BC45" s="110">
        <v>0</v>
      </c>
      <c r="BD45" s="110">
        <v>0.68547610100480783</v>
      </c>
      <c r="BE45" s="110">
        <v>713.16933548540192</v>
      </c>
      <c r="BF45" s="110">
        <v>1.5045833098455275</v>
      </c>
      <c r="BG45" s="110">
        <v>1565.3684755632867</v>
      </c>
      <c r="BH45" s="110">
        <v>1.40866898491282</v>
      </c>
      <c r="BI45" s="110">
        <v>1465.5792119032978</v>
      </c>
      <c r="BJ45" s="110">
        <v>0.24437481366953306</v>
      </c>
      <c r="BK45" s="110">
        <v>254.24755614178216</v>
      </c>
      <c r="BL45" s="110">
        <v>0.34129189839057938</v>
      </c>
      <c r="BM45" s="110">
        <v>355.08009108555876</v>
      </c>
      <c r="BN45" s="110">
        <v>0.91658523473348219</v>
      </c>
      <c r="BO45" s="110">
        <v>953.61527821671473</v>
      </c>
      <c r="BP45" s="110">
        <v>0.36156019120687827</v>
      </c>
      <c r="BQ45" s="110">
        <v>376.1672229316361</v>
      </c>
      <c r="BR45" s="110">
        <v>2.161926338401591</v>
      </c>
      <c r="BS45" s="110">
        <v>2249.2681624730149</v>
      </c>
      <c r="BT45" s="110">
        <v>0</v>
      </c>
      <c r="BU45" s="110">
        <v>0</v>
      </c>
      <c r="BV45" s="110">
        <v>0.91881869382067616</v>
      </c>
      <c r="BW45" s="110">
        <v>955.93896905103134</v>
      </c>
      <c r="BX45" s="110">
        <v>0.69427979263211503</v>
      </c>
      <c r="BY45" s="110">
        <v>722.32869625445244</v>
      </c>
      <c r="BZ45" s="110">
        <v>0.73107630847978022</v>
      </c>
      <c r="CA45" s="110">
        <v>760.61179134236329</v>
      </c>
      <c r="CB45" s="110">
        <v>0.49316786122004341</v>
      </c>
      <c r="CC45" s="110">
        <v>513.09184281333307</v>
      </c>
      <c r="CD45" s="110">
        <v>0</v>
      </c>
      <c r="CE45" s="110">
        <v>0</v>
      </c>
      <c r="CF45" s="110">
        <v>0.3933370484117038</v>
      </c>
      <c r="CG45" s="110">
        <v>409.22786516753661</v>
      </c>
      <c r="CH45" s="110">
        <v>0</v>
      </c>
      <c r="CI45" s="110">
        <v>0</v>
      </c>
      <c r="CJ45" s="110">
        <v>3.4786541164492366</v>
      </c>
      <c r="CK45" s="110">
        <v>3619.1917427537851</v>
      </c>
      <c r="CL45" s="110">
        <v>1.0689857379631136</v>
      </c>
      <c r="CM45" s="110">
        <v>1112.1727617768233</v>
      </c>
      <c r="CN45" s="110">
        <v>1.0330122217333797</v>
      </c>
      <c r="CO45" s="110">
        <v>1074.7459154914081</v>
      </c>
      <c r="CP45" s="110">
        <v>1.4874238383906448</v>
      </c>
      <c r="CQ45" s="110">
        <v>1547.5157614616267</v>
      </c>
      <c r="CR45" s="110">
        <v>0</v>
      </c>
      <c r="CS45" s="110">
        <v>0</v>
      </c>
      <c r="CT45" s="110">
        <v>1.4325897035904742</v>
      </c>
      <c r="CU45" s="110">
        <v>1490.4663276155293</v>
      </c>
    </row>
    <row r="46" spans="2:99" x14ac:dyDescent="0.2">
      <c r="C46" s="109" t="s">
        <v>214</v>
      </c>
      <c r="D46" s="110">
        <v>0</v>
      </c>
      <c r="E46" s="110">
        <v>0</v>
      </c>
      <c r="F46" s="110">
        <v>0.43797506265472524</v>
      </c>
      <c r="G46" s="110">
        <v>445.68342375744834</v>
      </c>
      <c r="H46" s="110">
        <v>1.0318284796916684</v>
      </c>
      <c r="I46" s="110">
        <v>1049.9886609342416</v>
      </c>
      <c r="J46" s="110">
        <v>1.7441981984392496</v>
      </c>
      <c r="K46" s="110">
        <v>1774.8960867317801</v>
      </c>
      <c r="L46" s="110">
        <v>0</v>
      </c>
      <c r="M46" s="110">
        <v>0</v>
      </c>
      <c r="N46" s="110">
        <v>2.2783690120517988</v>
      </c>
      <c r="O46" s="110">
        <v>2318.46830666391</v>
      </c>
      <c r="P46" s="110">
        <v>1.4593002784210738</v>
      </c>
      <c r="Q46" s="110">
        <v>1484.9839633212844</v>
      </c>
      <c r="R46" s="110">
        <v>1.5751177608354447</v>
      </c>
      <c r="S46" s="110">
        <v>1602.8398334261483</v>
      </c>
      <c r="T46" s="110">
        <v>0.59366003609957674</v>
      </c>
      <c r="U46" s="110">
        <v>604.10845273492919</v>
      </c>
      <c r="V46" s="110">
        <v>1.3982023601618985</v>
      </c>
      <c r="W46" s="110">
        <v>1422.8107217007475</v>
      </c>
      <c r="X46" s="110">
        <v>1.0039774995894217</v>
      </c>
      <c r="Y46" s="110">
        <v>1021.6475035821953</v>
      </c>
      <c r="Z46" s="110">
        <v>0.59737438297938694</v>
      </c>
      <c r="AA46" s="110">
        <v>607.88817211982405</v>
      </c>
      <c r="AB46" s="110">
        <v>0.72697742807789756</v>
      </c>
      <c r="AC46" s="110">
        <v>739.77223081206841</v>
      </c>
      <c r="AD46" s="110">
        <v>0.72244090746586709</v>
      </c>
      <c r="AE46" s="110">
        <v>735.15586743726624</v>
      </c>
      <c r="AF46" s="110">
        <v>0.74725503729814324</v>
      </c>
      <c r="AG46" s="110">
        <v>760.40672595459046</v>
      </c>
      <c r="AH46" s="110">
        <v>0.2787380904526035</v>
      </c>
      <c r="AI46" s="110">
        <v>283.64388084456925</v>
      </c>
      <c r="AJ46" s="110">
        <v>0.60725360299224718</v>
      </c>
      <c r="AK46" s="110">
        <v>617.94126640491061</v>
      </c>
      <c r="AL46" s="110">
        <v>1.3182462943404814</v>
      </c>
      <c r="AM46" s="110">
        <v>1341.4474291208735</v>
      </c>
      <c r="AN46" s="110">
        <v>2.0030553304862524</v>
      </c>
      <c r="AO46" s="110">
        <v>2038.3091043028101</v>
      </c>
      <c r="AP46" s="110">
        <v>1.2142500732497432</v>
      </c>
      <c r="AQ46" s="110">
        <v>1235.6208745389386</v>
      </c>
      <c r="AR46" s="110">
        <v>1.3948331978482553</v>
      </c>
      <c r="AS46" s="110">
        <v>1419.3822621303843</v>
      </c>
      <c r="AT46" s="110">
        <v>0</v>
      </c>
      <c r="AU46" s="110">
        <v>0</v>
      </c>
      <c r="AV46" s="110">
        <v>0.74974857799292116</v>
      </c>
      <c r="AW46" s="110">
        <v>762.94415296559646</v>
      </c>
      <c r="AX46" s="110">
        <v>0</v>
      </c>
      <c r="AY46" s="110">
        <v>0</v>
      </c>
      <c r="AZ46" s="110">
        <v>1.1997010924497948</v>
      </c>
      <c r="BA46" s="110">
        <v>1220.8158316769109</v>
      </c>
      <c r="BB46" s="110">
        <v>0</v>
      </c>
      <c r="BC46" s="110">
        <v>0</v>
      </c>
      <c r="BD46" s="110">
        <v>0.61692849090432711</v>
      </c>
      <c r="BE46" s="110">
        <v>627.78643234424317</v>
      </c>
      <c r="BF46" s="110">
        <v>1.5045833098455275</v>
      </c>
      <c r="BG46" s="110">
        <v>1531.0639760988083</v>
      </c>
      <c r="BH46" s="110">
        <v>1.40866898491282</v>
      </c>
      <c r="BI46" s="110">
        <v>1433.4615590472854</v>
      </c>
      <c r="BJ46" s="110">
        <v>0.24437481366953306</v>
      </c>
      <c r="BK46" s="110">
        <v>248.67581039011679</v>
      </c>
      <c r="BL46" s="110">
        <v>0.34129189839057938</v>
      </c>
      <c r="BM46" s="110">
        <v>347.2986358022535</v>
      </c>
      <c r="BN46" s="110">
        <v>0.91658523473348219</v>
      </c>
      <c r="BO46" s="110">
        <v>932.71713486479132</v>
      </c>
      <c r="BP46" s="110">
        <v>0.36156019120687827</v>
      </c>
      <c r="BQ46" s="110">
        <v>367.92365057211924</v>
      </c>
      <c r="BR46" s="110">
        <v>2.3781189722417504</v>
      </c>
      <c r="BS46" s="110">
        <v>2419.9738661532047</v>
      </c>
      <c r="BT46" s="110">
        <v>0</v>
      </c>
      <c r="BU46" s="110">
        <v>0</v>
      </c>
      <c r="BV46" s="110">
        <v>0.91881869382067616</v>
      </c>
      <c r="BW46" s="110">
        <v>934.98990283191984</v>
      </c>
      <c r="BX46" s="110">
        <v>0.69427979263211503</v>
      </c>
      <c r="BY46" s="110">
        <v>706.49911698244011</v>
      </c>
      <c r="BZ46" s="110">
        <v>0.522197363199843</v>
      </c>
      <c r="CA46" s="110">
        <v>531.38803679216016</v>
      </c>
      <c r="CB46" s="110">
        <v>0.49316786122004341</v>
      </c>
      <c r="CC46" s="110">
        <v>501.84761557751608</v>
      </c>
      <c r="CD46" s="110">
        <v>0</v>
      </c>
      <c r="CE46" s="110">
        <v>0</v>
      </c>
      <c r="CF46" s="110">
        <v>0.47200445809404457</v>
      </c>
      <c r="CG46" s="110">
        <v>480.31173655649968</v>
      </c>
      <c r="CH46" s="110">
        <v>0</v>
      </c>
      <c r="CI46" s="110">
        <v>0</v>
      </c>
      <c r="CJ46" s="110">
        <v>3.4786541164492366</v>
      </c>
      <c r="CK46" s="110">
        <v>3539.8784288987426</v>
      </c>
      <c r="CL46" s="110">
        <v>1.2827828855557364</v>
      </c>
      <c r="CM46" s="110">
        <v>1305.3598643415171</v>
      </c>
      <c r="CN46" s="110">
        <v>1.0330122217333797</v>
      </c>
      <c r="CO46" s="110">
        <v>1051.1932368358869</v>
      </c>
      <c r="CP46" s="110">
        <v>1.6526931537673832</v>
      </c>
      <c r="CQ46" s="110">
        <v>1681.7805532736888</v>
      </c>
      <c r="CR46" s="110">
        <v>0</v>
      </c>
      <c r="CS46" s="110">
        <v>0</v>
      </c>
      <c r="CT46" s="110">
        <v>1.4325897035904742</v>
      </c>
      <c r="CU46" s="110">
        <v>1457.8032823736662</v>
      </c>
    </row>
    <row r="47" spans="2:99" x14ac:dyDescent="0.2">
      <c r="C47" s="109" t="s">
        <v>215</v>
      </c>
      <c r="D47" s="110">
        <v>0</v>
      </c>
      <c r="E47" s="110">
        <v>0</v>
      </c>
      <c r="F47" s="110">
        <v>0.36497921887893769</v>
      </c>
      <c r="G47" s="110">
        <v>480.8966187948883</v>
      </c>
      <c r="H47" s="110">
        <v>1.2381941756300023</v>
      </c>
      <c r="I47" s="110">
        <v>1631.4446458100911</v>
      </c>
      <c r="J47" s="110">
        <v>1.9622229732441561</v>
      </c>
      <c r="K47" s="110">
        <v>2585.4249895465</v>
      </c>
      <c r="L47" s="110">
        <v>0</v>
      </c>
      <c r="M47" s="110">
        <v>0</v>
      </c>
      <c r="N47" s="110">
        <v>2.6038502994877697</v>
      </c>
      <c r="O47" s="110">
        <v>3430.8331546050849</v>
      </c>
      <c r="P47" s="110">
        <v>1.1350113276608353</v>
      </c>
      <c r="Q47" s="110">
        <v>1495.4909253259166</v>
      </c>
      <c r="R47" s="110">
        <v>1.4176059847519005</v>
      </c>
      <c r="S47" s="110">
        <v>1867.8376455091038</v>
      </c>
      <c r="T47" s="110">
        <v>0.59366003609957674</v>
      </c>
      <c r="U47" s="110">
        <v>782.20646356480222</v>
      </c>
      <c r="V47" s="110">
        <v>1.3982023601618985</v>
      </c>
      <c r="W47" s="110">
        <v>1842.2714297493173</v>
      </c>
      <c r="X47" s="110">
        <v>1.0039774995894217</v>
      </c>
      <c r="Y47" s="110">
        <v>1322.8407534590219</v>
      </c>
      <c r="Z47" s="110">
        <v>0.59737438297938694</v>
      </c>
      <c r="AA47" s="110">
        <v>787.10048701364019</v>
      </c>
      <c r="AB47" s="110">
        <v>0.8481403327575473</v>
      </c>
      <c r="AC47" s="110">
        <v>1117.5097024413442</v>
      </c>
      <c r="AD47" s="110">
        <v>0.84284772537684494</v>
      </c>
      <c r="AE47" s="110">
        <v>1110.5361629565309</v>
      </c>
      <c r="AF47" s="110">
        <v>0.74725503729814324</v>
      </c>
      <c r="AG47" s="110">
        <v>984.58323714403343</v>
      </c>
      <c r="AH47" s="110">
        <v>0.2787380904526035</v>
      </c>
      <c r="AI47" s="110">
        <v>367.26530798035037</v>
      </c>
      <c r="AJ47" s="110">
        <v>0.68822075005788019</v>
      </c>
      <c r="AK47" s="110">
        <v>906.7996602762629</v>
      </c>
      <c r="AL47" s="110">
        <v>1.4281001522021881</v>
      </c>
      <c r="AM47" s="110">
        <v>1881.6647605416028</v>
      </c>
      <c r="AN47" s="110">
        <v>1.7804936270988907</v>
      </c>
      <c r="AO47" s="110">
        <v>2345.9784030654982</v>
      </c>
      <c r="AP47" s="110">
        <v>1.1383594436716342</v>
      </c>
      <c r="AQ47" s="110">
        <v>1499.9024029817451</v>
      </c>
      <c r="AR47" s="110">
        <v>1.6273053974896312</v>
      </c>
      <c r="AS47" s="110">
        <v>2144.137591732338</v>
      </c>
      <c r="AT47" s="110">
        <v>0</v>
      </c>
      <c r="AU47" s="110">
        <v>0</v>
      </c>
      <c r="AV47" s="110">
        <v>0.74974857799292116</v>
      </c>
      <c r="AW47" s="110">
        <v>987.86872636347289</v>
      </c>
      <c r="AX47" s="110">
        <v>0</v>
      </c>
      <c r="AY47" s="110">
        <v>0</v>
      </c>
      <c r="AZ47" s="110">
        <v>1.3996512745247605</v>
      </c>
      <c r="BA47" s="110">
        <v>1844.1805193138243</v>
      </c>
      <c r="BB47" s="110">
        <v>0</v>
      </c>
      <c r="BC47" s="110">
        <v>0</v>
      </c>
      <c r="BD47" s="110">
        <v>0.61692849090432711</v>
      </c>
      <c r="BE47" s="110">
        <v>812.8649796155413</v>
      </c>
      <c r="BF47" s="110">
        <v>1.7195237826806027</v>
      </c>
      <c r="BG47" s="110">
        <v>2265.6445360599619</v>
      </c>
      <c r="BH47" s="110">
        <v>1.40866898491282</v>
      </c>
      <c r="BI47" s="110">
        <v>1856.0622545211315</v>
      </c>
      <c r="BJ47" s="110">
        <v>0.24437481366953306</v>
      </c>
      <c r="BK47" s="110">
        <v>321.98825449097671</v>
      </c>
      <c r="BL47" s="110">
        <v>0.34129189839057938</v>
      </c>
      <c r="BM47" s="110">
        <v>449.68620531942736</v>
      </c>
      <c r="BN47" s="110">
        <v>1.0475259825525511</v>
      </c>
      <c r="BO47" s="110">
        <v>1380.2202346112413</v>
      </c>
      <c r="BP47" s="110">
        <v>0.30990873532018137</v>
      </c>
      <c r="BQ47" s="110">
        <v>408.33574965787096</v>
      </c>
      <c r="BR47" s="110">
        <v>1.945733704561432</v>
      </c>
      <c r="BS47" s="110">
        <v>2563.6987291301425</v>
      </c>
      <c r="BT47" s="110">
        <v>0</v>
      </c>
      <c r="BU47" s="110">
        <v>0</v>
      </c>
      <c r="BV47" s="110">
        <v>0.91881869382067616</v>
      </c>
      <c r="BW47" s="110">
        <v>1210.6355109781227</v>
      </c>
      <c r="BX47" s="110">
        <v>0.57856649386009595</v>
      </c>
      <c r="BY47" s="110">
        <v>762.31921231006243</v>
      </c>
      <c r="BZ47" s="110">
        <v>0.62663683583981156</v>
      </c>
      <c r="CA47" s="110">
        <v>825.65669490253561</v>
      </c>
      <c r="CB47" s="110">
        <v>0.49316786122004341</v>
      </c>
      <c r="CC47" s="110">
        <v>649.7979739435292</v>
      </c>
      <c r="CD47" s="110">
        <v>0</v>
      </c>
      <c r="CE47" s="110">
        <v>0</v>
      </c>
      <c r="CF47" s="110">
        <v>0.3933370484117038</v>
      </c>
      <c r="CG47" s="110">
        <v>518.26089498726094</v>
      </c>
      <c r="CH47" s="110">
        <v>0</v>
      </c>
      <c r="CI47" s="110">
        <v>0</v>
      </c>
      <c r="CJ47" s="110">
        <v>3.9134858810053919</v>
      </c>
      <c r="CK47" s="110">
        <v>5156.4089968127037</v>
      </c>
      <c r="CL47" s="110">
        <v>1.2827828855557364</v>
      </c>
      <c r="CM47" s="110">
        <v>1690.1947300082381</v>
      </c>
      <c r="CN47" s="110">
        <v>1.0330122217333797</v>
      </c>
      <c r="CO47" s="110">
        <v>1361.0969033559011</v>
      </c>
      <c r="CP47" s="110">
        <v>1.4874238383906448</v>
      </c>
      <c r="CQ47" s="110">
        <v>1959.8296494635135</v>
      </c>
      <c r="CR47" s="110">
        <v>0</v>
      </c>
      <c r="CS47" s="110">
        <v>0</v>
      </c>
      <c r="CT47" s="110">
        <v>1.4325897035904742</v>
      </c>
      <c r="CU47" s="110">
        <v>1887.5801934508088</v>
      </c>
    </row>
    <row r="48" spans="2:99" x14ac:dyDescent="0.2">
      <c r="C48" s="109" t="s">
        <v>216</v>
      </c>
      <c r="D48" s="110">
        <v>0</v>
      </c>
      <c r="E48" s="110">
        <v>0</v>
      </c>
      <c r="F48" s="110">
        <v>0.43797506265472524</v>
      </c>
      <c r="G48" s="110">
        <v>288.01240120174731</v>
      </c>
      <c r="H48" s="110">
        <v>1.2381941756300023</v>
      </c>
      <c r="I48" s="110">
        <v>814.23648989428955</v>
      </c>
      <c r="J48" s="110">
        <v>1.7441981984392496</v>
      </c>
      <c r="K48" s="110">
        <v>1146.9847352936506</v>
      </c>
      <c r="L48" s="110">
        <v>0</v>
      </c>
      <c r="M48" s="110">
        <v>0</v>
      </c>
      <c r="N48" s="110">
        <v>2.2783690120517988</v>
      </c>
      <c r="O48" s="110">
        <v>1498.2554623252629</v>
      </c>
      <c r="P48" s="110">
        <v>1.2971558030409545</v>
      </c>
      <c r="Q48" s="110">
        <v>853.00965607973171</v>
      </c>
      <c r="R48" s="110">
        <v>1.5751177608354447</v>
      </c>
      <c r="S48" s="110">
        <v>1035.7974395253884</v>
      </c>
      <c r="T48" s="110">
        <v>0.59366003609957674</v>
      </c>
      <c r="U48" s="110">
        <v>390.39083973908168</v>
      </c>
      <c r="V48" s="110">
        <v>1.3982023601618985</v>
      </c>
      <c r="W48" s="110">
        <v>919.45787204246449</v>
      </c>
      <c r="X48" s="110">
        <v>1.0039774995894217</v>
      </c>
      <c r="Y48" s="110">
        <v>660.21560373000375</v>
      </c>
      <c r="Z48" s="110">
        <v>0.71684925957526435</v>
      </c>
      <c r="AA48" s="110">
        <v>471.40007309669386</v>
      </c>
      <c r="AB48" s="110">
        <v>0.8481403327575473</v>
      </c>
      <c r="AC48" s="110">
        <v>557.73708282136317</v>
      </c>
      <c r="AD48" s="110">
        <v>0.84284772537684494</v>
      </c>
      <c r="AE48" s="110">
        <v>554.25666420781329</v>
      </c>
      <c r="AF48" s="110">
        <v>0.85400575691216374</v>
      </c>
      <c r="AG48" s="110">
        <v>561.59418574543895</v>
      </c>
      <c r="AH48" s="110">
        <v>0.33448570854312415</v>
      </c>
      <c r="AI48" s="110">
        <v>219.95780193795844</v>
      </c>
      <c r="AJ48" s="110">
        <v>0.68822075005788019</v>
      </c>
      <c r="AK48" s="110">
        <v>452.57396523806204</v>
      </c>
      <c r="AL48" s="110">
        <v>1.2083924364787746</v>
      </c>
      <c r="AM48" s="110">
        <v>794.63886622844223</v>
      </c>
      <c r="AN48" s="110">
        <v>2.0030553304862524</v>
      </c>
      <c r="AO48" s="110">
        <v>1317.2091853277595</v>
      </c>
      <c r="AP48" s="110">
        <v>1.2142500732497432</v>
      </c>
      <c r="AQ48" s="110">
        <v>798.49084816903121</v>
      </c>
      <c r="AR48" s="110">
        <v>1.6273053974896312</v>
      </c>
      <c r="AS48" s="110">
        <v>1070.1160293891814</v>
      </c>
      <c r="AT48" s="110">
        <v>0</v>
      </c>
      <c r="AU48" s="110">
        <v>0</v>
      </c>
      <c r="AV48" s="110">
        <v>0.74974857799292116</v>
      </c>
      <c r="AW48" s="110">
        <v>493.03466488814496</v>
      </c>
      <c r="AX48" s="110">
        <v>0</v>
      </c>
      <c r="AY48" s="110">
        <v>0</v>
      </c>
      <c r="AZ48" s="110">
        <v>1.1997010924497948</v>
      </c>
      <c r="BA48" s="110">
        <v>788.92343839498506</v>
      </c>
      <c r="BB48" s="110">
        <v>0</v>
      </c>
      <c r="BC48" s="110">
        <v>0</v>
      </c>
      <c r="BD48" s="110">
        <v>0.61692849090432711</v>
      </c>
      <c r="BE48" s="110">
        <v>405.6921756186855</v>
      </c>
      <c r="BF48" s="110">
        <v>1.5045833098455275</v>
      </c>
      <c r="BG48" s="110">
        <v>989.4139845544189</v>
      </c>
      <c r="BH48" s="110">
        <v>1.40866898491282</v>
      </c>
      <c r="BI48" s="110">
        <v>926.3407244786705</v>
      </c>
      <c r="BJ48" s="110">
        <v>0.28510394928112193</v>
      </c>
      <c r="BK48" s="110">
        <v>187.48435704726577</v>
      </c>
      <c r="BL48" s="110">
        <v>0.34129189839057938</v>
      </c>
      <c r="BM48" s="110">
        <v>224.433552381645</v>
      </c>
      <c r="BN48" s="110">
        <v>1.0475259825525511</v>
      </c>
      <c r="BO48" s="110">
        <v>688.85308612655763</v>
      </c>
      <c r="BP48" s="110">
        <v>0.30990873532018137</v>
      </c>
      <c r="BQ48" s="110">
        <v>203.79598434655128</v>
      </c>
      <c r="BR48" s="110">
        <v>2.161926338401591</v>
      </c>
      <c r="BS48" s="110">
        <v>1421.6827601328862</v>
      </c>
      <c r="BT48" s="110">
        <v>0</v>
      </c>
      <c r="BU48" s="110">
        <v>0</v>
      </c>
      <c r="BV48" s="110">
        <v>0.91881869382067616</v>
      </c>
      <c r="BW48" s="110">
        <v>604.21517305647671</v>
      </c>
      <c r="BX48" s="110">
        <v>0.69427979263211503</v>
      </c>
      <c r="BY48" s="110">
        <v>456.55839163487889</v>
      </c>
      <c r="BZ48" s="110">
        <v>0.62663683583981156</v>
      </c>
      <c r="CA48" s="110">
        <v>412.07638324826007</v>
      </c>
      <c r="CB48" s="110">
        <v>0.49316786122004341</v>
      </c>
      <c r="CC48" s="110">
        <v>324.30718553830059</v>
      </c>
      <c r="CD48" s="110">
        <v>0</v>
      </c>
      <c r="CE48" s="110">
        <v>0</v>
      </c>
      <c r="CF48" s="110">
        <v>0.3933370484117038</v>
      </c>
      <c r="CG48" s="110">
        <v>258.65844303553644</v>
      </c>
      <c r="CH48" s="110">
        <v>0</v>
      </c>
      <c r="CI48" s="110">
        <v>0</v>
      </c>
      <c r="CJ48" s="110">
        <v>4.3483176455615462</v>
      </c>
      <c r="CK48" s="110">
        <v>2859.4536837212727</v>
      </c>
      <c r="CL48" s="110">
        <v>1.2827828855557364</v>
      </c>
      <c r="CM48" s="110">
        <v>843.55802554145225</v>
      </c>
      <c r="CN48" s="110">
        <v>0.88543904720003974</v>
      </c>
      <c r="CO48" s="110">
        <v>582.26471743874617</v>
      </c>
      <c r="CP48" s="110">
        <v>1.6526931537673832</v>
      </c>
      <c r="CQ48" s="110">
        <v>1086.8110179174312</v>
      </c>
      <c r="CR48" s="110">
        <v>0</v>
      </c>
      <c r="CS48" s="110">
        <v>0</v>
      </c>
      <c r="CT48" s="110">
        <v>1.4325897035904742</v>
      </c>
      <c r="CU48" s="110">
        <v>942.07098908109583</v>
      </c>
    </row>
    <row r="49" spans="2:99" x14ac:dyDescent="0.2">
      <c r="B49" s="109" t="s">
        <v>129</v>
      </c>
      <c r="C49" s="109" t="s">
        <v>217</v>
      </c>
      <c r="D49" s="110">
        <v>0</v>
      </c>
      <c r="E49" s="110">
        <v>0</v>
      </c>
      <c r="F49" s="110">
        <v>2.2211484757496267</v>
      </c>
      <c r="G49" s="110">
        <v>748.9712660227741</v>
      </c>
      <c r="H49" s="110">
        <v>0</v>
      </c>
      <c r="I49" s="110">
        <v>0</v>
      </c>
      <c r="J49" s="110">
        <v>5</v>
      </c>
      <c r="K49" s="110">
        <v>1686</v>
      </c>
      <c r="L49" s="110">
        <v>14</v>
      </c>
      <c r="M49" s="110">
        <v>4720.8</v>
      </c>
      <c r="N49" s="110">
        <v>9.3593617766238637</v>
      </c>
      <c r="O49" s="110">
        <v>3155.9767910775668</v>
      </c>
      <c r="P49" s="110">
        <v>14</v>
      </c>
      <c r="Q49" s="110">
        <v>4720.8</v>
      </c>
      <c r="R49" s="110">
        <v>12.995179090764651</v>
      </c>
      <c r="S49" s="110">
        <v>4381.9743894058402</v>
      </c>
      <c r="T49" s="110">
        <v>4.0774832587060086</v>
      </c>
      <c r="U49" s="110">
        <v>1374.9273548356659</v>
      </c>
      <c r="V49" s="110">
        <v>1.8132854014552924</v>
      </c>
      <c r="W49" s="110">
        <v>611.4398373707246</v>
      </c>
      <c r="X49" s="110">
        <v>4.4402724351083451</v>
      </c>
      <c r="Y49" s="110">
        <v>1497.259865118534</v>
      </c>
      <c r="Z49" s="110">
        <v>12</v>
      </c>
      <c r="AA49" s="110">
        <v>4046.3999999999996</v>
      </c>
      <c r="AB49" s="110">
        <v>6</v>
      </c>
      <c r="AC49" s="110">
        <v>2023.1999999999998</v>
      </c>
      <c r="AD49" s="110">
        <v>5.9140125262040044</v>
      </c>
      <c r="AE49" s="110">
        <v>1994.2050238359902</v>
      </c>
      <c r="AF49" s="110">
        <v>0</v>
      </c>
      <c r="AG49" s="110">
        <v>0</v>
      </c>
      <c r="AH49" s="110">
        <v>8</v>
      </c>
      <c r="AI49" s="110">
        <v>2697.6</v>
      </c>
      <c r="AJ49" s="110">
        <v>4</v>
      </c>
      <c r="AK49" s="110">
        <v>1348.8</v>
      </c>
      <c r="AL49" s="110">
        <v>4</v>
      </c>
      <c r="AM49" s="110">
        <v>1348.8</v>
      </c>
      <c r="AN49" s="110">
        <v>5</v>
      </c>
      <c r="AO49" s="110">
        <v>1686</v>
      </c>
      <c r="AP49" s="110">
        <v>4</v>
      </c>
      <c r="AQ49" s="110">
        <v>1348.8</v>
      </c>
      <c r="AR49" s="110">
        <v>4</v>
      </c>
      <c r="AS49" s="110">
        <v>1348.8</v>
      </c>
      <c r="AT49" s="110">
        <v>3.1496948141134178</v>
      </c>
      <c r="AU49" s="110">
        <v>1062.0770913190445</v>
      </c>
      <c r="AV49" s="110">
        <v>2.3851677203758079</v>
      </c>
      <c r="AW49" s="110">
        <v>804.27855531072237</v>
      </c>
      <c r="AX49" s="110">
        <v>5.6942053707829423</v>
      </c>
      <c r="AY49" s="110">
        <v>1920.0860510280081</v>
      </c>
      <c r="AZ49" s="110">
        <v>11</v>
      </c>
      <c r="BA49" s="110">
        <v>3709.2</v>
      </c>
      <c r="BB49" s="110">
        <v>10.88445917429828</v>
      </c>
      <c r="BC49" s="110">
        <v>3670.2396335733802</v>
      </c>
      <c r="BD49" s="110">
        <v>0</v>
      </c>
      <c r="BE49" s="110">
        <v>0</v>
      </c>
      <c r="BF49" s="110">
        <v>3.1451197267485296</v>
      </c>
      <c r="BG49" s="110">
        <v>1060.5343718596041</v>
      </c>
      <c r="BH49" s="110">
        <v>4.6673814514614271</v>
      </c>
      <c r="BI49" s="110">
        <v>1573.8410254327932</v>
      </c>
      <c r="BJ49" s="110">
        <v>7</v>
      </c>
      <c r="BK49" s="110">
        <v>2360.4</v>
      </c>
      <c r="BL49" s="110">
        <v>5.9976423290600849</v>
      </c>
      <c r="BM49" s="110">
        <v>2022.4049933590607</v>
      </c>
      <c r="BN49" s="110">
        <v>6</v>
      </c>
      <c r="BO49" s="110">
        <v>2023.1999999999998</v>
      </c>
      <c r="BP49" s="110">
        <v>5</v>
      </c>
      <c r="BQ49" s="110">
        <v>1686</v>
      </c>
      <c r="BR49" s="110">
        <v>6.0420340371539645</v>
      </c>
      <c r="BS49" s="110">
        <v>2037.3738773283167</v>
      </c>
      <c r="BT49" s="110">
        <v>7</v>
      </c>
      <c r="BU49" s="110">
        <v>2360.4</v>
      </c>
      <c r="BV49" s="110">
        <v>2.5226623629679334</v>
      </c>
      <c r="BW49" s="110">
        <v>850.6417487927871</v>
      </c>
      <c r="BX49" s="110">
        <v>3.1559823420244486</v>
      </c>
      <c r="BY49" s="110">
        <v>1064.197245730644</v>
      </c>
      <c r="BZ49" s="110">
        <v>0</v>
      </c>
      <c r="CA49" s="110">
        <v>0</v>
      </c>
      <c r="CB49" s="110">
        <v>8</v>
      </c>
      <c r="CC49" s="110">
        <v>2697.6</v>
      </c>
      <c r="CD49" s="110">
        <v>0.8400718777219095</v>
      </c>
      <c r="CE49" s="110">
        <v>283.27223716782788</v>
      </c>
      <c r="CF49" s="110">
        <v>7</v>
      </c>
      <c r="CG49" s="110">
        <v>2360.4</v>
      </c>
      <c r="CH49" s="110">
        <v>0.42605203800377023</v>
      </c>
      <c r="CI49" s="110">
        <v>143.66474721487131</v>
      </c>
      <c r="CJ49" s="110">
        <v>5.5229690985427853</v>
      </c>
      <c r="CK49" s="110">
        <v>1862.3451800286271</v>
      </c>
      <c r="CL49" s="110">
        <v>8</v>
      </c>
      <c r="CM49" s="110">
        <v>2697.6</v>
      </c>
      <c r="CN49" s="110">
        <v>17</v>
      </c>
      <c r="CO49" s="110">
        <v>5732.4</v>
      </c>
      <c r="CP49" s="110">
        <v>0.71838336240689704</v>
      </c>
      <c r="CQ49" s="110">
        <v>242.23886980360567</v>
      </c>
      <c r="CR49" s="110">
        <v>10.43277591349225</v>
      </c>
      <c r="CS49" s="110">
        <v>3517.9320380295867</v>
      </c>
      <c r="CT49" s="110">
        <v>2.2090607772910653</v>
      </c>
      <c r="CU49" s="110">
        <v>744.89529410254715</v>
      </c>
    </row>
    <row r="50" spans="2:99" x14ac:dyDescent="0.2">
      <c r="C50" s="109" t="s">
        <v>218</v>
      </c>
      <c r="D50" s="110">
        <v>0</v>
      </c>
      <c r="E50" s="110">
        <v>0</v>
      </c>
      <c r="F50" s="110">
        <v>0.51097090643051279</v>
      </c>
      <c r="G50" s="110">
        <v>197.43915824475013</v>
      </c>
      <c r="H50" s="110">
        <v>1.4445598715683357</v>
      </c>
      <c r="I50" s="110">
        <v>558.17793437400485</v>
      </c>
      <c r="J50" s="110">
        <v>1.3081486488294372</v>
      </c>
      <c r="K50" s="110">
        <v>505.46863790769447</v>
      </c>
      <c r="L50" s="110">
        <v>0</v>
      </c>
      <c r="M50" s="110">
        <v>0</v>
      </c>
      <c r="N50" s="110">
        <v>3.5802941617956838</v>
      </c>
      <c r="O50" s="110">
        <v>1383.4256641178522</v>
      </c>
      <c r="P50" s="110">
        <v>2.4321671307017896</v>
      </c>
      <c r="Q50" s="110">
        <v>939.78937930317147</v>
      </c>
      <c r="R50" s="110">
        <v>2.205164865169623</v>
      </c>
      <c r="S50" s="110">
        <v>852.07570390154228</v>
      </c>
      <c r="T50" s="110">
        <v>0.59366003609957674</v>
      </c>
      <c r="U50" s="110">
        <v>229.39023794887643</v>
      </c>
      <c r="V50" s="110">
        <v>1.1185618881295187</v>
      </c>
      <c r="W50" s="110">
        <v>432.21231357324604</v>
      </c>
      <c r="X50" s="110">
        <v>1.3804690619354549</v>
      </c>
      <c r="Y50" s="110">
        <v>533.41324553185973</v>
      </c>
      <c r="Z50" s="110">
        <v>1.4336985191505287</v>
      </c>
      <c r="AA50" s="110">
        <v>553.98110779976423</v>
      </c>
      <c r="AB50" s="110">
        <v>0.8481403327575473</v>
      </c>
      <c r="AC50" s="110">
        <v>327.72142457751625</v>
      </c>
      <c r="AD50" s="110">
        <v>1.0836613611988006</v>
      </c>
      <c r="AE50" s="110">
        <v>418.72674996721656</v>
      </c>
      <c r="AF50" s="110">
        <v>0.64050431768412286</v>
      </c>
      <c r="AG50" s="110">
        <v>247.49086835314506</v>
      </c>
      <c r="AH50" s="110">
        <v>0.44598094472416555</v>
      </c>
      <c r="AI50" s="110">
        <v>172.32703704141755</v>
      </c>
      <c r="AJ50" s="110">
        <v>0.20241786766408237</v>
      </c>
      <c r="AK50" s="110">
        <v>78.214264065401423</v>
      </c>
      <c r="AL50" s="110">
        <v>0.4394154314468271</v>
      </c>
      <c r="AM50" s="110">
        <v>169.79012271105398</v>
      </c>
      <c r="AN50" s="110">
        <v>0.66768511016208398</v>
      </c>
      <c r="AO50" s="110">
        <v>257.99352656662921</v>
      </c>
      <c r="AP50" s="110">
        <v>0.3035625183124358</v>
      </c>
      <c r="AQ50" s="110">
        <v>117.29655707592519</v>
      </c>
      <c r="AR50" s="110">
        <v>1.1623609982068794</v>
      </c>
      <c r="AS50" s="110">
        <v>449.13628970713819</v>
      </c>
      <c r="AT50" s="110">
        <v>0</v>
      </c>
      <c r="AU50" s="110">
        <v>0</v>
      </c>
      <c r="AV50" s="110">
        <v>0.85685551770619561</v>
      </c>
      <c r="AW50" s="110">
        <v>331.08897204167397</v>
      </c>
      <c r="AX50" s="110">
        <v>0</v>
      </c>
      <c r="AY50" s="110">
        <v>0</v>
      </c>
      <c r="AZ50" s="110">
        <v>2.3994021848995897</v>
      </c>
      <c r="BA50" s="110">
        <v>927.12900424520137</v>
      </c>
      <c r="BB50" s="110">
        <v>0</v>
      </c>
      <c r="BC50" s="110">
        <v>0</v>
      </c>
      <c r="BD50" s="110">
        <v>1.2338569818086542</v>
      </c>
      <c r="BE50" s="110">
        <v>476.76233777086395</v>
      </c>
      <c r="BF50" s="110">
        <v>3.0091666196910549</v>
      </c>
      <c r="BG50" s="110">
        <v>1162.7419818486235</v>
      </c>
      <c r="BH50" s="110">
        <v>1.2325853617987175</v>
      </c>
      <c r="BI50" s="110">
        <v>476.27098379902441</v>
      </c>
      <c r="BJ50" s="110">
        <v>0.32583308489271073</v>
      </c>
      <c r="BK50" s="110">
        <v>125.90190400254342</v>
      </c>
      <c r="BL50" s="110">
        <v>0.34129189839057938</v>
      </c>
      <c r="BM50" s="110">
        <v>131.87518953811986</v>
      </c>
      <c r="BN50" s="110">
        <v>0.65470373909534441</v>
      </c>
      <c r="BO50" s="110">
        <v>252.97752478644105</v>
      </c>
      <c r="BP50" s="110">
        <v>0.25825727943348448</v>
      </c>
      <c r="BQ50" s="110">
        <v>99.790612773098402</v>
      </c>
      <c r="BR50" s="110">
        <v>1.7295410707212728</v>
      </c>
      <c r="BS50" s="110">
        <v>668.29466972669979</v>
      </c>
      <c r="BT50" s="110">
        <v>0</v>
      </c>
      <c r="BU50" s="110">
        <v>0</v>
      </c>
      <c r="BV50" s="110">
        <v>0.68911402036550706</v>
      </c>
      <c r="BW50" s="110">
        <v>266.27365746923192</v>
      </c>
      <c r="BX50" s="110">
        <v>0.57856649386009595</v>
      </c>
      <c r="BY50" s="110">
        <v>223.55809322754106</v>
      </c>
      <c r="BZ50" s="110">
        <v>0.41775789055987445</v>
      </c>
      <c r="CA50" s="110">
        <v>161.42164891233548</v>
      </c>
      <c r="CB50" s="110">
        <v>0.65755714829339129</v>
      </c>
      <c r="CC50" s="110">
        <v>254.08008210056639</v>
      </c>
      <c r="CD50" s="110">
        <v>0</v>
      </c>
      <c r="CE50" s="110">
        <v>0</v>
      </c>
      <c r="CF50" s="110">
        <v>0.55067186777638533</v>
      </c>
      <c r="CG50" s="110">
        <v>212.77960970879528</v>
      </c>
      <c r="CH50" s="110">
        <v>0</v>
      </c>
      <c r="CI50" s="110">
        <v>0</v>
      </c>
      <c r="CJ50" s="110">
        <v>3.4786541164492366</v>
      </c>
      <c r="CK50" s="110">
        <v>1344.151950595985</v>
      </c>
      <c r="CL50" s="110">
        <v>1.496580033148359</v>
      </c>
      <c r="CM50" s="110">
        <v>578.27852480852584</v>
      </c>
      <c r="CN50" s="110">
        <v>2.3611707925334393</v>
      </c>
      <c r="CO50" s="110">
        <v>912.35639423492091</v>
      </c>
      <c r="CP50" s="110">
        <v>2.479039730651075</v>
      </c>
      <c r="CQ50" s="110">
        <v>957.90095192357535</v>
      </c>
      <c r="CR50" s="110">
        <v>0</v>
      </c>
      <c r="CS50" s="110">
        <v>0</v>
      </c>
      <c r="CT50" s="110">
        <v>1.6116634165392834</v>
      </c>
      <c r="CU50" s="110">
        <v>622.74674415077902</v>
      </c>
    </row>
    <row r="51" spans="2:99" x14ac:dyDescent="0.2">
      <c r="C51" s="109" t="s">
        <v>219</v>
      </c>
      <c r="D51" s="110">
        <v>0</v>
      </c>
      <c r="E51" s="110">
        <v>0</v>
      </c>
      <c r="F51" s="110">
        <v>1.903841550642537</v>
      </c>
      <c r="G51" s="110">
        <v>1338.7813784118318</v>
      </c>
      <c r="H51" s="110">
        <v>0</v>
      </c>
      <c r="I51" s="110">
        <v>0</v>
      </c>
      <c r="J51" s="110">
        <v>5</v>
      </c>
      <c r="K51" s="110">
        <v>3515.9999999999995</v>
      </c>
      <c r="L51" s="110">
        <v>13</v>
      </c>
      <c r="M51" s="110">
        <v>9141.5999999999985</v>
      </c>
      <c r="N51" s="110">
        <v>9.3593617766238637</v>
      </c>
      <c r="O51" s="110">
        <v>6581.5032013219006</v>
      </c>
      <c r="P51" s="110">
        <v>13</v>
      </c>
      <c r="Q51" s="110">
        <v>9141.5999999999985</v>
      </c>
      <c r="R51" s="110">
        <v>12.066952012852891</v>
      </c>
      <c r="S51" s="110">
        <v>8485.4806554381521</v>
      </c>
      <c r="T51" s="110">
        <v>4.0774832587060086</v>
      </c>
      <c r="U51" s="110">
        <v>2867.286227522065</v>
      </c>
      <c r="V51" s="110">
        <v>1.8132854014552924</v>
      </c>
      <c r="W51" s="110">
        <v>1275.1022943033615</v>
      </c>
      <c r="X51" s="110">
        <v>4.8842996786191799</v>
      </c>
      <c r="Y51" s="110">
        <v>3434.6395340050071</v>
      </c>
      <c r="Z51" s="110">
        <v>12</v>
      </c>
      <c r="AA51" s="110">
        <v>8438.4</v>
      </c>
      <c r="AB51" s="110">
        <v>7</v>
      </c>
      <c r="AC51" s="110">
        <v>4922.3999999999996</v>
      </c>
      <c r="AD51" s="110">
        <v>5.2569000232924488</v>
      </c>
      <c r="AE51" s="110">
        <v>3696.6520963792495</v>
      </c>
      <c r="AF51" s="110">
        <v>0</v>
      </c>
      <c r="AG51" s="110">
        <v>0</v>
      </c>
      <c r="AH51" s="110">
        <v>8</v>
      </c>
      <c r="AI51" s="110">
        <v>5625.5999999999995</v>
      </c>
      <c r="AJ51" s="110">
        <v>5</v>
      </c>
      <c r="AK51" s="110">
        <v>3515.9999999999995</v>
      </c>
      <c r="AL51" s="110">
        <v>5</v>
      </c>
      <c r="AM51" s="110">
        <v>3515.9999999999995</v>
      </c>
      <c r="AN51" s="110">
        <v>5</v>
      </c>
      <c r="AO51" s="110">
        <v>3515.9999999999995</v>
      </c>
      <c r="AP51" s="110">
        <v>4</v>
      </c>
      <c r="AQ51" s="110">
        <v>2812.7999999999997</v>
      </c>
      <c r="AR51" s="110">
        <v>4</v>
      </c>
      <c r="AS51" s="110">
        <v>2812.7999999999997</v>
      </c>
      <c r="AT51" s="110">
        <v>3.1496948141134178</v>
      </c>
      <c r="AU51" s="110">
        <v>2214.865393284555</v>
      </c>
      <c r="AV51" s="110">
        <v>2.0870217553288319</v>
      </c>
      <c r="AW51" s="110">
        <v>1467.5936983472345</v>
      </c>
      <c r="AX51" s="110">
        <v>5.6942053707829423</v>
      </c>
      <c r="AY51" s="110">
        <v>4004.1652167345646</v>
      </c>
      <c r="AZ51" s="110">
        <v>11</v>
      </c>
      <c r="BA51" s="110">
        <v>7735.1999999999989</v>
      </c>
      <c r="BB51" s="110">
        <v>11.721725264628919</v>
      </c>
      <c r="BC51" s="110">
        <v>8242.7172060870544</v>
      </c>
      <c r="BD51" s="110">
        <v>0</v>
      </c>
      <c r="BE51" s="110">
        <v>0</v>
      </c>
      <c r="BF51" s="110">
        <v>3.1451197267485296</v>
      </c>
      <c r="BG51" s="110">
        <v>2211.6481918495656</v>
      </c>
      <c r="BH51" s="110">
        <v>4.6673814514614271</v>
      </c>
      <c r="BI51" s="110">
        <v>3282.1026366676751</v>
      </c>
      <c r="BJ51" s="110">
        <v>7</v>
      </c>
      <c r="BK51" s="110">
        <v>4922.3999999999996</v>
      </c>
      <c r="BL51" s="110">
        <v>5.1408362820515014</v>
      </c>
      <c r="BM51" s="110">
        <v>3615.0360735386153</v>
      </c>
      <c r="BN51" s="110">
        <v>6</v>
      </c>
      <c r="BO51" s="110">
        <v>4219.2</v>
      </c>
      <c r="BP51" s="110">
        <v>5</v>
      </c>
      <c r="BQ51" s="110">
        <v>3515.9999999999995</v>
      </c>
      <c r="BR51" s="110">
        <v>6.9051817567473881</v>
      </c>
      <c r="BS51" s="110">
        <v>4855.7238113447629</v>
      </c>
      <c r="BT51" s="110">
        <v>8</v>
      </c>
      <c r="BU51" s="110">
        <v>5625.5999999999995</v>
      </c>
      <c r="BV51" s="110">
        <v>2.5226623629679334</v>
      </c>
      <c r="BW51" s="110">
        <v>1773.9361736390506</v>
      </c>
      <c r="BX51" s="110">
        <v>3.1559823420244486</v>
      </c>
      <c r="BY51" s="110">
        <v>2219.2867829115921</v>
      </c>
      <c r="BZ51" s="110">
        <v>0</v>
      </c>
      <c r="CA51" s="110">
        <v>0</v>
      </c>
      <c r="CB51" s="110">
        <v>8</v>
      </c>
      <c r="CC51" s="110">
        <v>5625.5999999999995</v>
      </c>
      <c r="CD51" s="110">
        <v>0.72006160947592246</v>
      </c>
      <c r="CE51" s="110">
        <v>506.3473237834686</v>
      </c>
      <c r="CF51" s="110">
        <v>8</v>
      </c>
      <c r="CG51" s="110">
        <v>5625.5999999999995</v>
      </c>
      <c r="CH51" s="110">
        <v>0.35504336500314182</v>
      </c>
      <c r="CI51" s="110">
        <v>249.66649427020931</v>
      </c>
      <c r="CJ51" s="110">
        <v>5.5229690985427853</v>
      </c>
      <c r="CK51" s="110">
        <v>3883.7518700952864</v>
      </c>
      <c r="CL51" s="110">
        <v>7</v>
      </c>
      <c r="CM51" s="110">
        <v>4922.3999999999996</v>
      </c>
      <c r="CN51" s="110">
        <v>19</v>
      </c>
      <c r="CO51" s="110">
        <v>13360.8</v>
      </c>
      <c r="CP51" s="110">
        <v>0.81416781072781663</v>
      </c>
      <c r="CQ51" s="110">
        <v>572.52280450380056</v>
      </c>
      <c r="CR51" s="110">
        <v>8.8277334652626731</v>
      </c>
      <c r="CS51" s="110">
        <v>6207.6621727727115</v>
      </c>
      <c r="CT51" s="110">
        <v>1.8074133632381444</v>
      </c>
      <c r="CU51" s="110">
        <v>1270.973077029063</v>
      </c>
    </row>
    <row r="52" spans="2:99" x14ac:dyDescent="0.2">
      <c r="C52" s="109" t="s">
        <v>220</v>
      </c>
      <c r="D52" s="110">
        <v>0</v>
      </c>
      <c r="E52" s="110">
        <v>0</v>
      </c>
      <c r="F52" s="110">
        <v>0.51097090643051279</v>
      </c>
      <c r="G52" s="110">
        <v>315.78002017405692</v>
      </c>
      <c r="H52" s="110">
        <v>1.6509255675066694</v>
      </c>
      <c r="I52" s="110">
        <v>1020.2720007191217</v>
      </c>
      <c r="J52" s="110">
        <v>1.0901238740245311</v>
      </c>
      <c r="K52" s="110">
        <v>673.69655414716021</v>
      </c>
      <c r="L52" s="110">
        <v>0</v>
      </c>
      <c r="M52" s="110">
        <v>0</v>
      </c>
      <c r="N52" s="110">
        <v>3.5802941617956838</v>
      </c>
      <c r="O52" s="110">
        <v>2212.6217919897326</v>
      </c>
      <c r="P52" s="110">
        <v>2.2700226553216707</v>
      </c>
      <c r="Q52" s="110">
        <v>1402.8740009887924</v>
      </c>
      <c r="R52" s="110">
        <v>1.8901413130025337</v>
      </c>
      <c r="S52" s="110">
        <v>1168.1073314355658</v>
      </c>
      <c r="T52" s="110">
        <v>0.59366003609957674</v>
      </c>
      <c r="U52" s="110">
        <v>366.88190230953842</v>
      </c>
      <c r="V52" s="110">
        <v>1.1185618881295187</v>
      </c>
      <c r="W52" s="110">
        <v>691.27124686404261</v>
      </c>
      <c r="X52" s="110">
        <v>1.3804690619354549</v>
      </c>
      <c r="Y52" s="110">
        <v>853.12988027611118</v>
      </c>
      <c r="Z52" s="110">
        <v>1.4336985191505287</v>
      </c>
      <c r="AA52" s="110">
        <v>886.02568483502671</v>
      </c>
      <c r="AB52" s="110">
        <v>0.8481403327575473</v>
      </c>
      <c r="AC52" s="110">
        <v>524.15072564416425</v>
      </c>
      <c r="AD52" s="110">
        <v>1.2040681791097785</v>
      </c>
      <c r="AE52" s="110">
        <v>744.11413468984313</v>
      </c>
      <c r="AF52" s="110">
        <v>0.64050431768412286</v>
      </c>
      <c r="AG52" s="110">
        <v>395.83166832878794</v>
      </c>
      <c r="AH52" s="110">
        <v>0.44598094472416555</v>
      </c>
      <c r="AI52" s="110">
        <v>275.61622383953431</v>
      </c>
      <c r="AJ52" s="110">
        <v>0.20241786766408237</v>
      </c>
      <c r="AK52" s="110">
        <v>125.0942422164029</v>
      </c>
      <c r="AL52" s="110">
        <v>0.54926928930853391</v>
      </c>
      <c r="AM52" s="110">
        <v>339.44842079267397</v>
      </c>
      <c r="AN52" s="110">
        <v>0.55640425846840336</v>
      </c>
      <c r="AO52" s="110">
        <v>343.85783173347329</v>
      </c>
      <c r="AP52" s="110">
        <v>0.3035625183124358</v>
      </c>
      <c r="AQ52" s="110">
        <v>187.60163631708534</v>
      </c>
      <c r="AR52" s="110">
        <v>1.1623609982068794</v>
      </c>
      <c r="AS52" s="110">
        <v>718.33909689185145</v>
      </c>
      <c r="AT52" s="110">
        <v>0</v>
      </c>
      <c r="AU52" s="110">
        <v>0</v>
      </c>
      <c r="AV52" s="110">
        <v>0.74974857799292116</v>
      </c>
      <c r="AW52" s="110">
        <v>463.34462119962529</v>
      </c>
      <c r="AX52" s="110">
        <v>0</v>
      </c>
      <c r="AY52" s="110">
        <v>0</v>
      </c>
      <c r="AZ52" s="110">
        <v>2.3994021848995897</v>
      </c>
      <c r="BA52" s="110">
        <v>1482.8305502679464</v>
      </c>
      <c r="BB52" s="110">
        <v>0</v>
      </c>
      <c r="BC52" s="110">
        <v>0</v>
      </c>
      <c r="BD52" s="110">
        <v>1.2338569818086542</v>
      </c>
      <c r="BE52" s="110">
        <v>762.52361475774831</v>
      </c>
      <c r="BF52" s="110">
        <v>3.0091666196910549</v>
      </c>
      <c r="BG52" s="110">
        <v>1859.6649709690719</v>
      </c>
      <c r="BH52" s="110">
        <v>1.0565017386846149</v>
      </c>
      <c r="BI52" s="110">
        <v>652.918074507092</v>
      </c>
      <c r="BJ52" s="110">
        <v>0.32583308489271073</v>
      </c>
      <c r="BK52" s="110">
        <v>201.36484646369524</v>
      </c>
      <c r="BL52" s="110">
        <v>0.398173881455676</v>
      </c>
      <c r="BM52" s="110">
        <v>246.07145873960778</v>
      </c>
      <c r="BN52" s="110">
        <v>0.78564448691441324</v>
      </c>
      <c r="BO52" s="110">
        <v>485.52829291310741</v>
      </c>
      <c r="BP52" s="110">
        <v>0.25825727943348448</v>
      </c>
      <c r="BQ52" s="110">
        <v>159.60299868989341</v>
      </c>
      <c r="BR52" s="110">
        <v>1.7295410707212728</v>
      </c>
      <c r="BS52" s="110">
        <v>1068.8563817057466</v>
      </c>
      <c r="BT52" s="110">
        <v>0</v>
      </c>
      <c r="BU52" s="110">
        <v>0</v>
      </c>
      <c r="BV52" s="110">
        <v>0.68911402036550706</v>
      </c>
      <c r="BW52" s="110">
        <v>425.87246458588339</v>
      </c>
      <c r="BX52" s="110">
        <v>0.57856649386009595</v>
      </c>
      <c r="BY52" s="110">
        <v>357.55409320553929</v>
      </c>
      <c r="BZ52" s="110">
        <v>0.41775789055987445</v>
      </c>
      <c r="CA52" s="110">
        <v>258.17437636600243</v>
      </c>
      <c r="CB52" s="110">
        <v>0.65755714829339129</v>
      </c>
      <c r="CC52" s="110">
        <v>406.37031764531582</v>
      </c>
      <c r="CD52" s="110">
        <v>0</v>
      </c>
      <c r="CE52" s="110">
        <v>0</v>
      </c>
      <c r="CF52" s="110">
        <v>0.55067186777638533</v>
      </c>
      <c r="CG52" s="110">
        <v>340.31521428580612</v>
      </c>
      <c r="CH52" s="110">
        <v>0</v>
      </c>
      <c r="CI52" s="110">
        <v>0</v>
      </c>
      <c r="CJ52" s="110">
        <v>3.4786541164492366</v>
      </c>
      <c r="CK52" s="110">
        <v>2149.8082439656282</v>
      </c>
      <c r="CL52" s="110">
        <v>1.7103771807409818</v>
      </c>
      <c r="CM52" s="110">
        <v>1057.0130976979267</v>
      </c>
      <c r="CN52" s="110">
        <v>2.6563171416001192</v>
      </c>
      <c r="CO52" s="110">
        <v>1641.6039935088736</v>
      </c>
      <c r="CP52" s="110">
        <v>2.479039730651075</v>
      </c>
      <c r="CQ52" s="110">
        <v>1532.0465535423643</v>
      </c>
      <c r="CR52" s="110">
        <v>0</v>
      </c>
      <c r="CS52" s="110">
        <v>0</v>
      </c>
      <c r="CT52" s="110">
        <v>1.7907371294880927</v>
      </c>
      <c r="CU52" s="110">
        <v>1106.6755460236413</v>
      </c>
    </row>
    <row r="53" spans="2:99" x14ac:dyDescent="0.2">
      <c r="C53" s="109" t="s">
        <v>221</v>
      </c>
      <c r="D53" s="110">
        <v>0</v>
      </c>
      <c r="E53" s="110">
        <v>0</v>
      </c>
      <c r="F53" s="110">
        <v>0.51097090643051279</v>
      </c>
      <c r="G53" s="110">
        <v>253.23718122696212</v>
      </c>
      <c r="H53" s="110">
        <v>1.4445598715683357</v>
      </c>
      <c r="I53" s="110">
        <v>715.92387234926707</v>
      </c>
      <c r="J53" s="110">
        <v>1.3081486488294372</v>
      </c>
      <c r="K53" s="110">
        <v>648.31847035986902</v>
      </c>
      <c r="L53" s="110">
        <v>0</v>
      </c>
      <c r="M53" s="110">
        <v>0</v>
      </c>
      <c r="N53" s="110">
        <v>3.9057754492316548</v>
      </c>
      <c r="O53" s="110">
        <v>1935.702312639208</v>
      </c>
      <c r="P53" s="110">
        <v>2.1078781799415514</v>
      </c>
      <c r="Q53" s="110">
        <v>1044.6644259790328</v>
      </c>
      <c r="R53" s="110">
        <v>1.8901413130025337</v>
      </c>
      <c r="S53" s="110">
        <v>936.75403472405571</v>
      </c>
      <c r="T53" s="110">
        <v>0.59366003609957674</v>
      </c>
      <c r="U53" s="110">
        <v>294.21791389095023</v>
      </c>
      <c r="V53" s="110">
        <v>1.2583821241457087</v>
      </c>
      <c r="W53" s="110">
        <v>623.65418072661316</v>
      </c>
      <c r="X53" s="110">
        <v>1.3804690619354549</v>
      </c>
      <c r="Y53" s="110">
        <v>684.1604670952114</v>
      </c>
      <c r="Z53" s="110">
        <v>1.3142236425546512</v>
      </c>
      <c r="AA53" s="110">
        <v>651.32923725008504</v>
      </c>
      <c r="AB53" s="110">
        <v>0.72697742807789756</v>
      </c>
      <c r="AC53" s="110">
        <v>360.29001335540602</v>
      </c>
      <c r="AD53" s="110">
        <v>1.2040681791097785</v>
      </c>
      <c r="AE53" s="110">
        <v>596.73618956680616</v>
      </c>
      <c r="AF53" s="110">
        <v>0.64050431768412286</v>
      </c>
      <c r="AG53" s="110">
        <v>317.43393984425126</v>
      </c>
      <c r="AH53" s="110">
        <v>0.44598094472416555</v>
      </c>
      <c r="AI53" s="110">
        <v>221.02815620529643</v>
      </c>
      <c r="AJ53" s="110">
        <v>0.20241786766408237</v>
      </c>
      <c r="AK53" s="110">
        <v>100.31829521431922</v>
      </c>
      <c r="AL53" s="110">
        <v>0.54926928930853391</v>
      </c>
      <c r="AM53" s="110">
        <v>272.21785978130941</v>
      </c>
      <c r="AN53" s="110">
        <v>0.55640425846840336</v>
      </c>
      <c r="AO53" s="110">
        <v>275.75395049694066</v>
      </c>
      <c r="AP53" s="110">
        <v>0.3035625183124358</v>
      </c>
      <c r="AQ53" s="110">
        <v>150.44558407564318</v>
      </c>
      <c r="AR53" s="110">
        <v>0.92988879856550366</v>
      </c>
      <c r="AS53" s="110">
        <v>460.85288856906357</v>
      </c>
      <c r="AT53" s="110">
        <v>0</v>
      </c>
      <c r="AU53" s="110">
        <v>0</v>
      </c>
      <c r="AV53" s="110">
        <v>0.74974857799292116</v>
      </c>
      <c r="AW53" s="110">
        <v>371.57539525329167</v>
      </c>
      <c r="AX53" s="110">
        <v>0</v>
      </c>
      <c r="AY53" s="110">
        <v>0</v>
      </c>
      <c r="AZ53" s="110">
        <v>2.3994021848995897</v>
      </c>
      <c r="BA53" s="110">
        <v>1189.1437228362365</v>
      </c>
      <c r="BB53" s="110">
        <v>0</v>
      </c>
      <c r="BC53" s="110">
        <v>0</v>
      </c>
      <c r="BD53" s="110">
        <v>1.1653093717081733</v>
      </c>
      <c r="BE53" s="110">
        <v>577.52732461857067</v>
      </c>
      <c r="BF53" s="110">
        <v>3.4390475653612054</v>
      </c>
      <c r="BG53" s="110">
        <v>1704.3919733930134</v>
      </c>
      <c r="BH53" s="110">
        <v>1.2325853617987175</v>
      </c>
      <c r="BI53" s="110">
        <v>610.86930530744439</v>
      </c>
      <c r="BJ53" s="110">
        <v>0.28510394928112193</v>
      </c>
      <c r="BK53" s="110">
        <v>141.29751726372402</v>
      </c>
      <c r="BL53" s="110">
        <v>0.398173881455676</v>
      </c>
      <c r="BM53" s="110">
        <v>197.33497564943301</v>
      </c>
      <c r="BN53" s="110">
        <v>0.65470373909534441</v>
      </c>
      <c r="BO53" s="110">
        <v>324.47117309565266</v>
      </c>
      <c r="BP53" s="110">
        <v>0.20660582354678758</v>
      </c>
      <c r="BQ53" s="110">
        <v>102.39384614978792</v>
      </c>
      <c r="BR53" s="110">
        <v>1.7295410707212728</v>
      </c>
      <c r="BS53" s="110">
        <v>857.16055464946271</v>
      </c>
      <c r="BT53" s="110">
        <v>0</v>
      </c>
      <c r="BU53" s="110">
        <v>0</v>
      </c>
      <c r="BV53" s="110">
        <v>0.68911402036550706</v>
      </c>
      <c r="BW53" s="110">
        <v>341.52490849314529</v>
      </c>
      <c r="BX53" s="110">
        <v>0.69427979263211503</v>
      </c>
      <c r="BY53" s="110">
        <v>344.0850652284762</v>
      </c>
      <c r="BZ53" s="110">
        <v>0.41775789055987445</v>
      </c>
      <c r="CA53" s="110">
        <v>207.04081056147376</v>
      </c>
      <c r="CB53" s="110">
        <v>0.65755714829339129</v>
      </c>
      <c r="CC53" s="110">
        <v>325.88532269420472</v>
      </c>
      <c r="CD53" s="110">
        <v>0</v>
      </c>
      <c r="CE53" s="110">
        <v>0</v>
      </c>
      <c r="CF53" s="110">
        <v>0.55067186777638533</v>
      </c>
      <c r="CG53" s="110">
        <v>272.91297766997656</v>
      </c>
      <c r="CH53" s="110">
        <v>0</v>
      </c>
      <c r="CI53" s="110">
        <v>0</v>
      </c>
      <c r="CJ53" s="110">
        <v>3.0438223518930823</v>
      </c>
      <c r="CK53" s="110">
        <v>1508.5183575982114</v>
      </c>
      <c r="CL53" s="110">
        <v>1.496580033148359</v>
      </c>
      <c r="CM53" s="110">
        <v>741.70506442832664</v>
      </c>
      <c r="CN53" s="110">
        <v>2.8038903161334594</v>
      </c>
      <c r="CO53" s="110">
        <v>1389.6080406757424</v>
      </c>
      <c r="CP53" s="110">
        <v>2.8095783614045513</v>
      </c>
      <c r="CQ53" s="110">
        <v>1392.4270359120956</v>
      </c>
      <c r="CR53" s="110">
        <v>0</v>
      </c>
      <c r="CS53" s="110">
        <v>0</v>
      </c>
      <c r="CT53" s="110">
        <v>1.7907371294880927</v>
      </c>
      <c r="CU53" s="110">
        <v>887.4893213742987</v>
      </c>
    </row>
    <row r="54" spans="2:99" x14ac:dyDescent="0.2">
      <c r="C54" s="109" t="s">
        <v>222</v>
      </c>
      <c r="D54" s="110">
        <v>0</v>
      </c>
      <c r="E54" s="110">
        <v>0</v>
      </c>
      <c r="F54" s="110">
        <v>0.51097090643051279</v>
      </c>
      <c r="G54" s="110">
        <v>208.47612982364922</v>
      </c>
      <c r="H54" s="110">
        <v>1.6509255675066694</v>
      </c>
      <c r="I54" s="110">
        <v>673.57763154272106</v>
      </c>
      <c r="J54" s="110">
        <v>1.3081486488294372</v>
      </c>
      <c r="K54" s="110">
        <v>533.72464872241039</v>
      </c>
      <c r="L54" s="110">
        <v>0</v>
      </c>
      <c r="M54" s="110">
        <v>0</v>
      </c>
      <c r="N54" s="110">
        <v>3.5802941617956838</v>
      </c>
      <c r="O54" s="110">
        <v>1460.760018012639</v>
      </c>
      <c r="P54" s="110">
        <v>2.1078781799415514</v>
      </c>
      <c r="Q54" s="110">
        <v>860.014297416153</v>
      </c>
      <c r="R54" s="110">
        <v>2.3626766412531675</v>
      </c>
      <c r="S54" s="110">
        <v>963.97206963129236</v>
      </c>
      <c r="T54" s="110">
        <v>0.59366003609957674</v>
      </c>
      <c r="U54" s="110">
        <v>242.21329472862732</v>
      </c>
      <c r="V54" s="110">
        <v>1.2583821241457087</v>
      </c>
      <c r="W54" s="110">
        <v>513.4199066514492</v>
      </c>
      <c r="X54" s="110">
        <v>1.2549718744867773</v>
      </c>
      <c r="Y54" s="110">
        <v>512.02852479060516</v>
      </c>
      <c r="Z54" s="110">
        <v>1.3142236425546512</v>
      </c>
      <c r="AA54" s="110">
        <v>536.20324616229766</v>
      </c>
      <c r="AB54" s="110">
        <v>0.8481403327575473</v>
      </c>
      <c r="AC54" s="110">
        <v>346.04125576507931</v>
      </c>
      <c r="AD54" s="110">
        <v>1.0836613611988006</v>
      </c>
      <c r="AE54" s="110">
        <v>442.13383536911067</v>
      </c>
      <c r="AF54" s="110">
        <v>0.64050431768412286</v>
      </c>
      <c r="AG54" s="110">
        <v>261.32576161512213</v>
      </c>
      <c r="AH54" s="110">
        <v>0.39023332663364485</v>
      </c>
      <c r="AI54" s="110">
        <v>159.2151972665271</v>
      </c>
      <c r="AJ54" s="110">
        <v>0.20241786766408237</v>
      </c>
      <c r="AK54" s="110">
        <v>82.58649000694561</v>
      </c>
      <c r="AL54" s="110">
        <v>0.54926928930853391</v>
      </c>
      <c r="AM54" s="110">
        <v>224.10187003788184</v>
      </c>
      <c r="AN54" s="110">
        <v>0.66768511016208398</v>
      </c>
      <c r="AO54" s="110">
        <v>272.41552494613029</v>
      </c>
      <c r="AP54" s="110">
        <v>0.3035625183124358</v>
      </c>
      <c r="AQ54" s="110">
        <v>123.8535074714738</v>
      </c>
      <c r="AR54" s="110">
        <v>0.92988879856550366</v>
      </c>
      <c r="AS54" s="110">
        <v>379.39462981472548</v>
      </c>
      <c r="AT54" s="110">
        <v>0</v>
      </c>
      <c r="AU54" s="110">
        <v>0</v>
      </c>
      <c r="AV54" s="110">
        <v>0.74974857799292116</v>
      </c>
      <c r="AW54" s="110">
        <v>305.89741982111184</v>
      </c>
      <c r="AX54" s="110">
        <v>0</v>
      </c>
      <c r="AY54" s="110">
        <v>0</v>
      </c>
      <c r="AZ54" s="110">
        <v>2.3994021848995897</v>
      </c>
      <c r="BA54" s="110">
        <v>978.95609143903255</v>
      </c>
      <c r="BB54" s="110">
        <v>0</v>
      </c>
      <c r="BC54" s="110">
        <v>0</v>
      </c>
      <c r="BD54" s="110">
        <v>1.2338569818086542</v>
      </c>
      <c r="BE54" s="110">
        <v>503.41364857793093</v>
      </c>
      <c r="BF54" s="110">
        <v>3.2241070925261299</v>
      </c>
      <c r="BG54" s="110">
        <v>1315.4356937506609</v>
      </c>
      <c r="BH54" s="110">
        <v>1.0565017386846149</v>
      </c>
      <c r="BI54" s="110">
        <v>431.05270938332291</v>
      </c>
      <c r="BJ54" s="110">
        <v>0.32583308489271073</v>
      </c>
      <c r="BK54" s="110">
        <v>132.93989863622599</v>
      </c>
      <c r="BL54" s="110">
        <v>0.398173881455676</v>
      </c>
      <c r="BM54" s="110">
        <v>162.4549436339158</v>
      </c>
      <c r="BN54" s="110">
        <v>0.65470373909534441</v>
      </c>
      <c r="BO54" s="110">
        <v>267.11912555090049</v>
      </c>
      <c r="BP54" s="110">
        <v>0.20660582354678758</v>
      </c>
      <c r="BQ54" s="110">
        <v>84.295176007089339</v>
      </c>
      <c r="BR54" s="110">
        <v>1.7295410707212728</v>
      </c>
      <c r="BS54" s="110">
        <v>705.65275685427935</v>
      </c>
      <c r="BT54" s="110">
        <v>0</v>
      </c>
      <c r="BU54" s="110">
        <v>0</v>
      </c>
      <c r="BV54" s="110">
        <v>0.68911402036550706</v>
      </c>
      <c r="BW54" s="110">
        <v>281.15852030912686</v>
      </c>
      <c r="BX54" s="110">
        <v>0.57856649386009595</v>
      </c>
      <c r="BY54" s="110">
        <v>236.05512949491916</v>
      </c>
      <c r="BZ54" s="110">
        <v>0.41775789055987445</v>
      </c>
      <c r="CA54" s="110">
        <v>170.44521934842876</v>
      </c>
      <c r="CB54" s="110">
        <v>0.65755714829339129</v>
      </c>
      <c r="CC54" s="110">
        <v>268.28331650370365</v>
      </c>
      <c r="CD54" s="110">
        <v>0</v>
      </c>
      <c r="CE54" s="110">
        <v>0</v>
      </c>
      <c r="CF54" s="110">
        <v>0.6293392774587262</v>
      </c>
      <c r="CG54" s="110">
        <v>256.7704252031603</v>
      </c>
      <c r="CH54" s="110">
        <v>0</v>
      </c>
      <c r="CI54" s="110">
        <v>0</v>
      </c>
      <c r="CJ54" s="110">
        <v>3.0438223518930823</v>
      </c>
      <c r="CK54" s="110">
        <v>1241.8795195723776</v>
      </c>
      <c r="CL54" s="110">
        <v>1.496580033148359</v>
      </c>
      <c r="CM54" s="110">
        <v>610.60465352453048</v>
      </c>
      <c r="CN54" s="110">
        <v>2.5087439670667795</v>
      </c>
      <c r="CO54" s="110">
        <v>1023.567538563246</v>
      </c>
      <c r="CP54" s="110">
        <v>2.6443090460278134</v>
      </c>
      <c r="CQ54" s="110">
        <v>1078.8780907793478</v>
      </c>
      <c r="CR54" s="110">
        <v>0</v>
      </c>
      <c r="CS54" s="110">
        <v>0</v>
      </c>
      <c r="CT54" s="110">
        <v>1.6116634165392834</v>
      </c>
      <c r="CU54" s="110">
        <v>657.5586739480276</v>
      </c>
    </row>
    <row r="55" spans="2:99" x14ac:dyDescent="0.2">
      <c r="C55" s="109" t="s">
        <v>223</v>
      </c>
      <c r="D55" s="110">
        <v>0</v>
      </c>
      <c r="E55" s="110">
        <v>0</v>
      </c>
      <c r="F55" s="110">
        <v>0.51097090643051279</v>
      </c>
      <c r="G55" s="110">
        <v>411.43377385784885</v>
      </c>
      <c r="H55" s="110">
        <v>1.4445598715683357</v>
      </c>
      <c r="I55" s="110">
        <v>1163.1596085868239</v>
      </c>
      <c r="J55" s="110">
        <v>1.0901238740245311</v>
      </c>
      <c r="K55" s="110">
        <v>877.76774336455242</v>
      </c>
      <c r="L55" s="110">
        <v>0</v>
      </c>
      <c r="M55" s="110">
        <v>0</v>
      </c>
      <c r="N55" s="110">
        <v>3.254812874359712</v>
      </c>
      <c r="O55" s="110">
        <v>2620.7753264344401</v>
      </c>
      <c r="P55" s="110">
        <v>2.4321671307017896</v>
      </c>
      <c r="Q55" s="110">
        <v>1958.3809736410808</v>
      </c>
      <c r="R55" s="110">
        <v>1.8901413130025337</v>
      </c>
      <c r="S55" s="110">
        <v>1521.9417852296401</v>
      </c>
      <c r="T55" s="110">
        <v>0.59366003609957674</v>
      </c>
      <c r="U55" s="110">
        <v>478.01506106737912</v>
      </c>
      <c r="V55" s="110">
        <v>1.1185618881295187</v>
      </c>
      <c r="W55" s="110">
        <v>900.66603232188845</v>
      </c>
      <c r="X55" s="110">
        <v>1.2549718744867773</v>
      </c>
      <c r="Y55" s="110">
        <v>1010.503353336753</v>
      </c>
      <c r="Z55" s="110">
        <v>1.3142236425546512</v>
      </c>
      <c r="AA55" s="110">
        <v>1058.2128769850051</v>
      </c>
      <c r="AB55" s="110">
        <v>0.72697742807789756</v>
      </c>
      <c r="AC55" s="110">
        <v>585.36222508832304</v>
      </c>
      <c r="AD55" s="110">
        <v>0.96325454328782278</v>
      </c>
      <c r="AE55" s="110">
        <v>775.61255825535488</v>
      </c>
      <c r="AF55" s="110">
        <v>0.53375359807010236</v>
      </c>
      <c r="AG55" s="110">
        <v>429.77839716604637</v>
      </c>
      <c r="AH55" s="110">
        <v>0.39023332663364485</v>
      </c>
      <c r="AI55" s="110">
        <v>314.21587460541082</v>
      </c>
      <c r="AJ55" s="110">
        <v>0.20241786766408237</v>
      </c>
      <c r="AK55" s="110">
        <v>162.9868670431191</v>
      </c>
      <c r="AL55" s="110">
        <v>0.54926928930853391</v>
      </c>
      <c r="AM55" s="110">
        <v>442.2716317512315</v>
      </c>
      <c r="AN55" s="110">
        <v>0.66768511016208398</v>
      </c>
      <c r="AO55" s="110">
        <v>537.62005070250996</v>
      </c>
      <c r="AP55" s="110">
        <v>0.3035625183124358</v>
      </c>
      <c r="AQ55" s="110">
        <v>244.42853974517328</v>
      </c>
      <c r="AR55" s="110">
        <v>0.92988879856550366</v>
      </c>
      <c r="AS55" s="110">
        <v>748.74646060494354</v>
      </c>
      <c r="AT55" s="110">
        <v>0</v>
      </c>
      <c r="AU55" s="110">
        <v>0</v>
      </c>
      <c r="AV55" s="110">
        <v>0.74974857799292116</v>
      </c>
      <c r="AW55" s="110">
        <v>603.69755499990003</v>
      </c>
      <c r="AX55" s="110">
        <v>0</v>
      </c>
      <c r="AY55" s="110">
        <v>0</v>
      </c>
      <c r="AZ55" s="110">
        <v>2.3994021848995897</v>
      </c>
      <c r="BA55" s="110">
        <v>1931.9986392811495</v>
      </c>
      <c r="BB55" s="110">
        <v>0</v>
      </c>
      <c r="BC55" s="110">
        <v>0</v>
      </c>
      <c r="BD55" s="110">
        <v>1.0967617616076926</v>
      </c>
      <c r="BE55" s="110">
        <v>883.11257044651393</v>
      </c>
      <c r="BF55" s="110">
        <v>3.6539880381962808</v>
      </c>
      <c r="BG55" s="110">
        <v>2942.191168355645</v>
      </c>
      <c r="BH55" s="110">
        <v>1.0565017386846149</v>
      </c>
      <c r="BI55" s="110">
        <v>850.69519998885187</v>
      </c>
      <c r="BJ55" s="110">
        <v>0.32583308489271073</v>
      </c>
      <c r="BK55" s="110">
        <v>262.36079995561067</v>
      </c>
      <c r="BL55" s="110">
        <v>0.398173881455676</v>
      </c>
      <c r="BM55" s="110">
        <v>320.60960934811027</v>
      </c>
      <c r="BN55" s="110">
        <v>0.78564448691441324</v>
      </c>
      <c r="BO55" s="110">
        <v>632.60094086348545</v>
      </c>
      <c r="BP55" s="110">
        <v>0.25825727943348448</v>
      </c>
      <c r="BQ55" s="110">
        <v>207.94876139984169</v>
      </c>
      <c r="BR55" s="110">
        <v>1.7295410707212728</v>
      </c>
      <c r="BS55" s="110">
        <v>1392.6264701447687</v>
      </c>
      <c r="BT55" s="110">
        <v>0</v>
      </c>
      <c r="BU55" s="110">
        <v>0</v>
      </c>
      <c r="BV55" s="110">
        <v>0.57426168363792263</v>
      </c>
      <c r="BW55" s="110">
        <v>462.39550766525525</v>
      </c>
      <c r="BX55" s="110">
        <v>0.57856649386009595</v>
      </c>
      <c r="BY55" s="110">
        <v>465.8617408561492</v>
      </c>
      <c r="BZ55" s="110">
        <v>0.41775789055987445</v>
      </c>
      <c r="CA55" s="110">
        <v>336.37865347881086</v>
      </c>
      <c r="CB55" s="110">
        <v>0.57536250475671735</v>
      </c>
      <c r="CC55" s="110">
        <v>463.28188883010876</v>
      </c>
      <c r="CD55" s="110">
        <v>0</v>
      </c>
      <c r="CE55" s="110">
        <v>0</v>
      </c>
      <c r="CF55" s="110">
        <v>0.6293392774587262</v>
      </c>
      <c r="CG55" s="110">
        <v>506.74398620976632</v>
      </c>
      <c r="CH55" s="110">
        <v>0</v>
      </c>
      <c r="CI55" s="110">
        <v>0</v>
      </c>
      <c r="CJ55" s="110">
        <v>3.0438223518930823</v>
      </c>
      <c r="CK55" s="110">
        <v>2450.8857577443096</v>
      </c>
      <c r="CL55" s="110">
        <v>1.496580033148359</v>
      </c>
      <c r="CM55" s="110">
        <v>1205.0462426910585</v>
      </c>
      <c r="CN55" s="110">
        <v>2.3611707925334393</v>
      </c>
      <c r="CO55" s="110">
        <v>1901.2147221479252</v>
      </c>
      <c r="CP55" s="110">
        <v>2.479039730651075</v>
      </c>
      <c r="CQ55" s="110">
        <v>1996.1227911202454</v>
      </c>
      <c r="CR55" s="110">
        <v>0</v>
      </c>
      <c r="CS55" s="110">
        <v>0</v>
      </c>
      <c r="CT55" s="110">
        <v>1.6116634165392834</v>
      </c>
      <c r="CU55" s="110">
        <v>1297.7113829974307</v>
      </c>
    </row>
    <row r="56" spans="2:99" x14ac:dyDescent="0.2">
      <c r="C56" s="109" t="s">
        <v>224</v>
      </c>
      <c r="D56" s="110">
        <v>0</v>
      </c>
      <c r="E56" s="110">
        <v>0</v>
      </c>
      <c r="F56" s="110">
        <v>0.75887871172560573</v>
      </c>
      <c r="G56" s="110">
        <v>637.45811784950877</v>
      </c>
      <c r="H56" s="110">
        <v>2.6049767627283114</v>
      </c>
      <c r="I56" s="110">
        <v>2188.1804806917817</v>
      </c>
      <c r="J56" s="110">
        <v>0</v>
      </c>
      <c r="K56" s="110">
        <v>0</v>
      </c>
      <c r="L56" s="110">
        <v>7.4111193006495419</v>
      </c>
      <c r="M56" s="110">
        <v>6225.340212545615</v>
      </c>
      <c r="N56" s="110">
        <v>4.2384388035794389</v>
      </c>
      <c r="O56" s="110">
        <v>3560.2885950067289</v>
      </c>
      <c r="P56" s="110">
        <v>3.9307238651882552</v>
      </c>
      <c r="Q56" s="110">
        <v>3301.8080467581344</v>
      </c>
      <c r="R56" s="110">
        <v>4.3540325891316058</v>
      </c>
      <c r="S56" s="110">
        <v>3657.3873748705491</v>
      </c>
      <c r="T56" s="110">
        <v>0</v>
      </c>
      <c r="U56" s="110">
        <v>0</v>
      </c>
      <c r="V56" s="110">
        <v>2.9771163002609273</v>
      </c>
      <c r="W56" s="110">
        <v>2500.7776922191788</v>
      </c>
      <c r="X56" s="110">
        <v>0</v>
      </c>
      <c r="Y56" s="110">
        <v>0</v>
      </c>
      <c r="Z56" s="110">
        <v>7.9768535984090487</v>
      </c>
      <c r="AA56" s="110">
        <v>6700.5570226636009</v>
      </c>
      <c r="AB56" s="110">
        <v>0</v>
      </c>
      <c r="AC56" s="110">
        <v>0</v>
      </c>
      <c r="AD56" s="110">
        <v>3.6283604909430047</v>
      </c>
      <c r="AE56" s="110">
        <v>3047.822812392124</v>
      </c>
      <c r="AF56" s="110">
        <v>0</v>
      </c>
      <c r="AG56" s="110">
        <v>0</v>
      </c>
      <c r="AH56" s="110">
        <v>2.2618351112371982</v>
      </c>
      <c r="AI56" s="110">
        <v>1899.9414934392464</v>
      </c>
      <c r="AJ56" s="110">
        <v>3.7213953753261588</v>
      </c>
      <c r="AK56" s="110">
        <v>3125.9721152739735</v>
      </c>
      <c r="AL56" s="110">
        <v>1.5775480395404369</v>
      </c>
      <c r="AM56" s="110">
        <v>1325.140353213967</v>
      </c>
      <c r="AN56" s="110">
        <v>1.661844499668552</v>
      </c>
      <c r="AO56" s="110">
        <v>1395.9493797215837</v>
      </c>
      <c r="AP56" s="110">
        <v>1.1309175556185991</v>
      </c>
      <c r="AQ56" s="110">
        <v>949.97074671962321</v>
      </c>
      <c r="AR56" s="110">
        <v>1.1309175556185991</v>
      </c>
      <c r="AS56" s="110">
        <v>949.97074671962321</v>
      </c>
      <c r="AT56" s="110">
        <v>0</v>
      </c>
      <c r="AU56" s="110">
        <v>0</v>
      </c>
      <c r="AV56" s="110">
        <v>0</v>
      </c>
      <c r="AW56" s="110">
        <v>0</v>
      </c>
      <c r="AX56" s="110">
        <v>2.3265822995359726</v>
      </c>
      <c r="AY56" s="110">
        <v>1954.329131610217</v>
      </c>
      <c r="AZ56" s="110">
        <v>3.0122238038017399</v>
      </c>
      <c r="BA56" s="110">
        <v>2530.2679951934615</v>
      </c>
      <c r="BB56" s="110">
        <v>3.2949435809644587</v>
      </c>
      <c r="BC56" s="110">
        <v>2767.7526080101452</v>
      </c>
      <c r="BD56" s="110">
        <v>0</v>
      </c>
      <c r="BE56" s="110">
        <v>0</v>
      </c>
      <c r="BF56" s="110">
        <v>3.4634350140819592</v>
      </c>
      <c r="BG56" s="110">
        <v>2909.2854118288456</v>
      </c>
      <c r="BH56" s="110">
        <v>0</v>
      </c>
      <c r="BI56" s="110">
        <v>0</v>
      </c>
      <c r="BJ56" s="110">
        <v>0</v>
      </c>
      <c r="BK56" s="110">
        <v>0</v>
      </c>
      <c r="BL56" s="110">
        <v>1.9942133996022622</v>
      </c>
      <c r="BM56" s="110">
        <v>1675.1392556659002</v>
      </c>
      <c r="BN56" s="110">
        <v>6</v>
      </c>
      <c r="BO56" s="110">
        <v>5040</v>
      </c>
      <c r="BP56" s="110">
        <v>0.73310935724205417</v>
      </c>
      <c r="BQ56" s="110">
        <v>615.81186008332554</v>
      </c>
      <c r="BR56" s="110">
        <v>2.2472426266485708</v>
      </c>
      <c r="BS56" s="110">
        <v>1887.6838063847995</v>
      </c>
      <c r="BT56" s="110">
        <v>2.0875498715014547</v>
      </c>
      <c r="BU56" s="110">
        <v>1753.5418920612219</v>
      </c>
      <c r="BV56" s="110">
        <v>2.009553502676126</v>
      </c>
      <c r="BW56" s="110">
        <v>1688.0249422479458</v>
      </c>
      <c r="BX56" s="110">
        <v>0</v>
      </c>
      <c r="BY56" s="110">
        <v>0</v>
      </c>
      <c r="BZ56" s="110">
        <v>2.1239183361617591</v>
      </c>
      <c r="CA56" s="110">
        <v>1784.0914023758776</v>
      </c>
      <c r="CB56" s="110">
        <v>0</v>
      </c>
      <c r="CC56" s="110">
        <v>0</v>
      </c>
      <c r="CD56" s="110">
        <v>0</v>
      </c>
      <c r="CE56" s="110">
        <v>0</v>
      </c>
      <c r="CF56" s="110">
        <v>2.5611956406656504</v>
      </c>
      <c r="CG56" s="110">
        <v>2151.4043381591464</v>
      </c>
      <c r="CH56" s="110">
        <v>1.2440093111804589</v>
      </c>
      <c r="CI56" s="110">
        <v>1044.9678213915854</v>
      </c>
      <c r="CJ56" s="110">
        <v>1.5978101244519656</v>
      </c>
      <c r="CK56" s="110">
        <v>1342.1605045396511</v>
      </c>
      <c r="CL56" s="110">
        <v>2.0489565125325204</v>
      </c>
      <c r="CM56" s="110">
        <v>1721.1234705273171</v>
      </c>
      <c r="CN56" s="110">
        <v>3.5362701231525731</v>
      </c>
      <c r="CO56" s="110">
        <v>2970.4669034481612</v>
      </c>
      <c r="CP56" s="110">
        <v>0</v>
      </c>
      <c r="CQ56" s="110">
        <v>0</v>
      </c>
      <c r="CR56" s="110">
        <v>2.8090532833107136</v>
      </c>
      <c r="CS56" s="110">
        <v>2359.6047579809992</v>
      </c>
      <c r="CT56" s="110">
        <v>2.0843773033076838</v>
      </c>
      <c r="CU56" s="110">
        <v>1750.8769347784544</v>
      </c>
    </row>
    <row r="57" spans="2:99" x14ac:dyDescent="0.2">
      <c r="C57" s="109" t="s">
        <v>225</v>
      </c>
      <c r="D57" s="110">
        <v>0</v>
      </c>
      <c r="E57" s="110">
        <v>0</v>
      </c>
      <c r="F57" s="110">
        <v>1.903841550642537</v>
      </c>
      <c r="G57" s="110">
        <v>2403.4095735311384</v>
      </c>
      <c r="H57" s="110">
        <v>0</v>
      </c>
      <c r="I57" s="110">
        <v>0</v>
      </c>
      <c r="J57" s="110">
        <v>5</v>
      </c>
      <c r="K57" s="110">
        <v>6311.9999999999991</v>
      </c>
      <c r="L57" s="110">
        <v>12</v>
      </c>
      <c r="M57" s="110">
        <v>15148.8</v>
      </c>
      <c r="N57" s="110">
        <v>9.3593617766238637</v>
      </c>
      <c r="O57" s="110">
        <v>11815.258306809965</v>
      </c>
      <c r="P57" s="110">
        <v>12</v>
      </c>
      <c r="Q57" s="110">
        <v>15148.8</v>
      </c>
      <c r="R57" s="110">
        <v>12.066952012852891</v>
      </c>
      <c r="S57" s="110">
        <v>15233.320221025488</v>
      </c>
      <c r="T57" s="110">
        <v>4.0774832587060086</v>
      </c>
      <c r="U57" s="110">
        <v>5147.4148657904643</v>
      </c>
      <c r="V57" s="110">
        <v>1.8132854014552924</v>
      </c>
      <c r="W57" s="110">
        <v>2289.091490797161</v>
      </c>
      <c r="X57" s="110">
        <v>4.4402724351083451</v>
      </c>
      <c r="Y57" s="110">
        <v>5605.3999220807746</v>
      </c>
      <c r="Z57" s="110">
        <v>11</v>
      </c>
      <c r="AA57" s="110">
        <v>13886.399999999998</v>
      </c>
      <c r="AB57" s="110">
        <v>6</v>
      </c>
      <c r="AC57" s="110">
        <v>7574.4</v>
      </c>
      <c r="AD57" s="110">
        <v>5.2569000232924488</v>
      </c>
      <c r="AE57" s="110">
        <v>6636.3105894043865</v>
      </c>
      <c r="AF57" s="110">
        <v>0</v>
      </c>
      <c r="AG57" s="110">
        <v>0</v>
      </c>
      <c r="AH57" s="110">
        <v>8</v>
      </c>
      <c r="AI57" s="110">
        <v>10099.199999999999</v>
      </c>
      <c r="AJ57" s="110">
        <v>4</v>
      </c>
      <c r="AK57" s="110">
        <v>5049.5999999999995</v>
      </c>
      <c r="AL57" s="110">
        <v>4</v>
      </c>
      <c r="AM57" s="110">
        <v>5049.5999999999995</v>
      </c>
      <c r="AN57" s="110">
        <v>5</v>
      </c>
      <c r="AO57" s="110">
        <v>6311.9999999999991</v>
      </c>
      <c r="AP57" s="110">
        <v>4</v>
      </c>
      <c r="AQ57" s="110">
        <v>5049.5999999999995</v>
      </c>
      <c r="AR57" s="110">
        <v>4</v>
      </c>
      <c r="AS57" s="110">
        <v>5049.5999999999995</v>
      </c>
      <c r="AT57" s="110">
        <v>3.1496948141134178</v>
      </c>
      <c r="AU57" s="110">
        <v>3976.174733336778</v>
      </c>
      <c r="AV57" s="110">
        <v>2.0870217553288319</v>
      </c>
      <c r="AW57" s="110">
        <v>2634.6562639271174</v>
      </c>
      <c r="AX57" s="110">
        <v>5.6942053707829423</v>
      </c>
      <c r="AY57" s="110">
        <v>7188.3648600763854</v>
      </c>
      <c r="AZ57" s="110">
        <v>11</v>
      </c>
      <c r="BA57" s="110">
        <v>13886.399999999998</v>
      </c>
      <c r="BB57" s="110">
        <v>11.721725264628919</v>
      </c>
      <c r="BC57" s="110">
        <v>14797.505974067546</v>
      </c>
      <c r="BD57" s="110">
        <v>0</v>
      </c>
      <c r="BE57" s="110">
        <v>0</v>
      </c>
      <c r="BF57" s="110">
        <v>2.7751056412487021</v>
      </c>
      <c r="BG57" s="110">
        <v>3503.2933615123611</v>
      </c>
      <c r="BH57" s="110">
        <v>4.0006126726812239</v>
      </c>
      <c r="BI57" s="110">
        <v>5050.3734379927764</v>
      </c>
      <c r="BJ57" s="110">
        <v>8</v>
      </c>
      <c r="BK57" s="110">
        <v>10099.199999999999</v>
      </c>
      <c r="BL57" s="110">
        <v>5.9976423290600849</v>
      </c>
      <c r="BM57" s="110">
        <v>7571.4236762054506</v>
      </c>
      <c r="BN57" s="110">
        <v>6</v>
      </c>
      <c r="BO57" s="110">
        <v>7574.4</v>
      </c>
      <c r="BP57" s="110">
        <v>5</v>
      </c>
      <c r="BQ57" s="110">
        <v>6311.9999999999991</v>
      </c>
      <c r="BR57" s="110">
        <v>6.9051817567473881</v>
      </c>
      <c r="BS57" s="110">
        <v>8717.1014497179021</v>
      </c>
      <c r="BT57" s="110">
        <v>7</v>
      </c>
      <c r="BU57" s="110">
        <v>8836.7999999999993</v>
      </c>
      <c r="BV57" s="110">
        <v>2.1022186358066111</v>
      </c>
      <c r="BW57" s="110">
        <v>2653.8408058422656</v>
      </c>
      <c r="BX57" s="110">
        <v>3.1559823420244486</v>
      </c>
      <c r="BY57" s="110">
        <v>3984.1121085716636</v>
      </c>
      <c r="BZ57" s="110">
        <v>0</v>
      </c>
      <c r="CA57" s="110">
        <v>0</v>
      </c>
      <c r="CB57" s="110">
        <v>7</v>
      </c>
      <c r="CC57" s="110">
        <v>8836.7999999999993</v>
      </c>
      <c r="CD57" s="110">
        <v>0.72006160947592246</v>
      </c>
      <c r="CE57" s="110">
        <v>909.0057758024044</v>
      </c>
      <c r="CF57" s="110">
        <v>7</v>
      </c>
      <c r="CG57" s="110">
        <v>8836.7999999999993</v>
      </c>
      <c r="CH57" s="110">
        <v>0.42605203800377023</v>
      </c>
      <c r="CI57" s="110">
        <v>537.84809277595946</v>
      </c>
      <c r="CJ57" s="110">
        <v>5.5229690985427853</v>
      </c>
      <c r="CK57" s="110">
        <v>6972.1961900004117</v>
      </c>
      <c r="CL57" s="110">
        <v>7</v>
      </c>
      <c r="CM57" s="110">
        <v>8836.7999999999993</v>
      </c>
      <c r="CN57" s="110">
        <v>15</v>
      </c>
      <c r="CO57" s="110">
        <v>18935.999999999996</v>
      </c>
      <c r="CP57" s="110">
        <v>0.67049113824643713</v>
      </c>
      <c r="CQ57" s="110">
        <v>846.42801292230217</v>
      </c>
      <c r="CR57" s="110">
        <v>8.8277334652626731</v>
      </c>
      <c r="CS57" s="110">
        <v>11144.130726547597</v>
      </c>
      <c r="CT57" s="110">
        <v>1.8074133632381444</v>
      </c>
      <c r="CU57" s="110">
        <v>2281.6786297518333</v>
      </c>
    </row>
    <row r="58" spans="2:99" x14ac:dyDescent="0.2">
      <c r="C58" s="109" t="s">
        <v>226</v>
      </c>
      <c r="D58" s="110">
        <v>0</v>
      </c>
      <c r="E58" s="110">
        <v>0</v>
      </c>
      <c r="F58" s="110">
        <v>2.2211484757496267</v>
      </c>
      <c r="G58" s="110">
        <v>1561.9116081471373</v>
      </c>
      <c r="H58" s="110">
        <v>0</v>
      </c>
      <c r="I58" s="110">
        <v>0</v>
      </c>
      <c r="J58" s="110">
        <v>5</v>
      </c>
      <c r="K58" s="110">
        <v>3515.9999999999995</v>
      </c>
      <c r="L58" s="110">
        <v>15</v>
      </c>
      <c r="M58" s="110">
        <v>10547.999999999998</v>
      </c>
      <c r="N58" s="110">
        <v>10.29529795428625</v>
      </c>
      <c r="O58" s="110">
        <v>7239.65352145409</v>
      </c>
      <c r="P58" s="110">
        <v>13</v>
      </c>
      <c r="Q58" s="110">
        <v>9141.5999999999985</v>
      </c>
      <c r="R58" s="110">
        <v>11.138724934941129</v>
      </c>
      <c r="S58" s="110">
        <v>7832.7513742506007</v>
      </c>
      <c r="T58" s="110">
        <v>3.5677978513677577</v>
      </c>
      <c r="U58" s="110">
        <v>2508.8754490818069</v>
      </c>
      <c r="V58" s="110">
        <v>2.0399460766372037</v>
      </c>
      <c r="W58" s="110">
        <v>1434.4900810912816</v>
      </c>
      <c r="X58" s="110">
        <v>3.9962451915975108</v>
      </c>
      <c r="Y58" s="110">
        <v>2810.1596187313694</v>
      </c>
      <c r="Z58" s="110">
        <v>11</v>
      </c>
      <c r="AA58" s="110">
        <v>7735.1999999999989</v>
      </c>
      <c r="AB58" s="110">
        <v>7</v>
      </c>
      <c r="AC58" s="110">
        <v>4922.3999999999996</v>
      </c>
      <c r="AD58" s="110">
        <v>5.2569000232924488</v>
      </c>
      <c r="AE58" s="110">
        <v>3696.6520963792495</v>
      </c>
      <c r="AF58" s="110">
        <v>0</v>
      </c>
      <c r="AG58" s="110">
        <v>0</v>
      </c>
      <c r="AH58" s="110">
        <v>8</v>
      </c>
      <c r="AI58" s="110">
        <v>5625.5999999999995</v>
      </c>
      <c r="AJ58" s="110">
        <v>5</v>
      </c>
      <c r="AK58" s="110">
        <v>3515.9999999999995</v>
      </c>
      <c r="AL58" s="110">
        <v>5</v>
      </c>
      <c r="AM58" s="110">
        <v>3515.9999999999995</v>
      </c>
      <c r="AN58" s="110">
        <v>5</v>
      </c>
      <c r="AO58" s="110">
        <v>3515.9999999999995</v>
      </c>
      <c r="AP58" s="110">
        <v>4</v>
      </c>
      <c r="AQ58" s="110">
        <v>2812.7999999999997</v>
      </c>
      <c r="AR58" s="110">
        <v>4</v>
      </c>
      <c r="AS58" s="110">
        <v>2812.7999999999997</v>
      </c>
      <c r="AT58" s="110">
        <v>3.1496948141134178</v>
      </c>
      <c r="AU58" s="110">
        <v>2214.865393284555</v>
      </c>
      <c r="AV58" s="110">
        <v>2.0870217553288319</v>
      </c>
      <c r="AW58" s="110">
        <v>1467.5936983472345</v>
      </c>
      <c r="AX58" s="110">
        <v>5.6942053707829423</v>
      </c>
      <c r="AY58" s="110">
        <v>4004.1652167345646</v>
      </c>
      <c r="AZ58" s="110">
        <v>10</v>
      </c>
      <c r="BA58" s="110">
        <v>7031.9999999999991</v>
      </c>
      <c r="BB58" s="110">
        <v>11.721725264628919</v>
      </c>
      <c r="BC58" s="110">
        <v>8242.7172060870544</v>
      </c>
      <c r="BD58" s="110">
        <v>0</v>
      </c>
      <c r="BE58" s="110">
        <v>0</v>
      </c>
      <c r="BF58" s="110">
        <v>2.7751056412487021</v>
      </c>
      <c r="BG58" s="110">
        <v>1951.4542869260872</v>
      </c>
      <c r="BH58" s="110">
        <v>4.0006126726812239</v>
      </c>
      <c r="BI58" s="110">
        <v>2813.2308314294364</v>
      </c>
      <c r="BJ58" s="110">
        <v>8</v>
      </c>
      <c r="BK58" s="110">
        <v>5625.5999999999995</v>
      </c>
      <c r="BL58" s="110">
        <v>5.9976423290600849</v>
      </c>
      <c r="BM58" s="110">
        <v>4217.5420857950512</v>
      </c>
      <c r="BN58" s="110">
        <v>6</v>
      </c>
      <c r="BO58" s="110">
        <v>4219.2</v>
      </c>
      <c r="BP58" s="110">
        <v>4</v>
      </c>
      <c r="BQ58" s="110">
        <v>2812.7999999999997</v>
      </c>
      <c r="BR58" s="110">
        <v>6.9051817567473881</v>
      </c>
      <c r="BS58" s="110">
        <v>4855.7238113447629</v>
      </c>
      <c r="BT58" s="110">
        <v>7</v>
      </c>
      <c r="BU58" s="110">
        <v>4922.3999999999996</v>
      </c>
      <c r="BV58" s="110">
        <v>2.5226623629679334</v>
      </c>
      <c r="BW58" s="110">
        <v>1773.9361736390506</v>
      </c>
      <c r="BX58" s="110">
        <v>3.7871788104293387</v>
      </c>
      <c r="BY58" s="110">
        <v>2663.1441394939106</v>
      </c>
      <c r="BZ58" s="110">
        <v>0</v>
      </c>
      <c r="CA58" s="110">
        <v>0</v>
      </c>
      <c r="CB58" s="110">
        <v>7</v>
      </c>
      <c r="CC58" s="110">
        <v>4922.3999999999996</v>
      </c>
      <c r="CD58" s="110">
        <v>0.72006160947592246</v>
      </c>
      <c r="CE58" s="110">
        <v>506.3473237834686</v>
      </c>
      <c r="CF58" s="110">
        <v>8</v>
      </c>
      <c r="CG58" s="110">
        <v>5625.5999999999995</v>
      </c>
      <c r="CH58" s="110">
        <v>0.42605203800377023</v>
      </c>
      <c r="CI58" s="110">
        <v>299.59979312425122</v>
      </c>
      <c r="CJ58" s="110">
        <v>5.5229690985427853</v>
      </c>
      <c r="CK58" s="110">
        <v>3883.7518700952864</v>
      </c>
      <c r="CL58" s="110">
        <v>7</v>
      </c>
      <c r="CM58" s="110">
        <v>4922.3999999999996</v>
      </c>
      <c r="CN58" s="110">
        <v>16</v>
      </c>
      <c r="CO58" s="110">
        <v>11251.199999999999</v>
      </c>
      <c r="CP58" s="110">
        <v>0.71838336240689704</v>
      </c>
      <c r="CQ58" s="110">
        <v>505.16718044452995</v>
      </c>
      <c r="CR58" s="110">
        <v>8.8277334652626731</v>
      </c>
      <c r="CS58" s="110">
        <v>6207.6621727727115</v>
      </c>
      <c r="CT58" s="110">
        <v>1.8074133632381444</v>
      </c>
      <c r="CU58" s="110">
        <v>1270.973077029063</v>
      </c>
    </row>
    <row r="59" spans="2:99" x14ac:dyDescent="0.2">
      <c r="C59" s="109" t="s">
        <v>227</v>
      </c>
      <c r="D59" s="110">
        <v>0</v>
      </c>
      <c r="E59" s="110">
        <v>0</v>
      </c>
      <c r="F59" s="110">
        <v>0.51097090643051279</v>
      </c>
      <c r="G59" s="110">
        <v>224.41842210428121</v>
      </c>
      <c r="H59" s="110">
        <v>1.4445598715683357</v>
      </c>
      <c r="I59" s="110">
        <v>634.45069559281296</v>
      </c>
      <c r="J59" s="110">
        <v>1.3081486488294372</v>
      </c>
      <c r="K59" s="110">
        <v>574.53888656588879</v>
      </c>
      <c r="L59" s="110">
        <v>0</v>
      </c>
      <c r="M59" s="110">
        <v>0</v>
      </c>
      <c r="N59" s="110">
        <v>3.5802941617956838</v>
      </c>
      <c r="O59" s="110">
        <v>1572.4651958606644</v>
      </c>
      <c r="P59" s="110">
        <v>2.4321671307017896</v>
      </c>
      <c r="Q59" s="110">
        <v>1068.2078038042259</v>
      </c>
      <c r="R59" s="110">
        <v>2.205164865169623</v>
      </c>
      <c r="S59" s="110">
        <v>968.50840878249835</v>
      </c>
      <c r="T59" s="110">
        <v>0.51945253158712967</v>
      </c>
      <c r="U59" s="110">
        <v>228.14355187306734</v>
      </c>
      <c r="V59" s="110">
        <v>1.2583821241457087</v>
      </c>
      <c r="W59" s="110">
        <v>552.68142892479523</v>
      </c>
      <c r="X59" s="110">
        <v>1.3804690619354549</v>
      </c>
      <c r="Y59" s="110">
        <v>606.30201200205181</v>
      </c>
      <c r="Z59" s="110">
        <v>1.5531733957464062</v>
      </c>
      <c r="AA59" s="110">
        <v>682.15375541182163</v>
      </c>
      <c r="AB59" s="110">
        <v>0.8481403327575473</v>
      </c>
      <c r="AC59" s="110">
        <v>372.50323414711477</v>
      </c>
      <c r="AD59" s="110">
        <v>1.0836613611988006</v>
      </c>
      <c r="AE59" s="110">
        <v>475.9440698385132</v>
      </c>
      <c r="AF59" s="110">
        <v>0.64050431768412286</v>
      </c>
      <c r="AG59" s="110">
        <v>281.30949632686674</v>
      </c>
      <c r="AH59" s="110">
        <v>0.39023332663364485</v>
      </c>
      <c r="AI59" s="110">
        <v>171.39047705749681</v>
      </c>
      <c r="AJ59" s="110">
        <v>0.20241786766408237</v>
      </c>
      <c r="AK59" s="110">
        <v>88.901927478064977</v>
      </c>
      <c r="AL59" s="110">
        <v>0.54926928930853391</v>
      </c>
      <c r="AM59" s="110">
        <v>241.2390718643081</v>
      </c>
      <c r="AN59" s="110">
        <v>0.55640425846840336</v>
      </c>
      <c r="AO59" s="110">
        <v>244.37275031932276</v>
      </c>
      <c r="AP59" s="110">
        <v>0.3035625183124358</v>
      </c>
      <c r="AQ59" s="110">
        <v>133.3246580428218</v>
      </c>
      <c r="AR59" s="110">
        <v>1.1623609982068794</v>
      </c>
      <c r="AS59" s="110">
        <v>510.50895041246145</v>
      </c>
      <c r="AT59" s="110">
        <v>0</v>
      </c>
      <c r="AU59" s="110">
        <v>0</v>
      </c>
      <c r="AV59" s="110">
        <v>0.74974857799292116</v>
      </c>
      <c r="AW59" s="110">
        <v>329.28957545449094</v>
      </c>
      <c r="AX59" s="110">
        <v>0</v>
      </c>
      <c r="AY59" s="110">
        <v>0</v>
      </c>
      <c r="AZ59" s="110">
        <v>2.3994021848995897</v>
      </c>
      <c r="BA59" s="110">
        <v>1053.8174396078998</v>
      </c>
      <c r="BB59" s="110">
        <v>0</v>
      </c>
      <c r="BC59" s="110">
        <v>0</v>
      </c>
      <c r="BD59" s="110">
        <v>1.0967617616076926</v>
      </c>
      <c r="BE59" s="110">
        <v>481.69776569809858</v>
      </c>
      <c r="BF59" s="110">
        <v>3.6539880381962808</v>
      </c>
      <c r="BG59" s="110">
        <v>1604.8315463758065</v>
      </c>
      <c r="BH59" s="110">
        <v>1.2325853617987175</v>
      </c>
      <c r="BI59" s="110">
        <v>541.35149090199673</v>
      </c>
      <c r="BJ59" s="110">
        <v>0.28510394928112193</v>
      </c>
      <c r="BK59" s="110">
        <v>125.21765452426875</v>
      </c>
      <c r="BL59" s="110">
        <v>0.398173881455676</v>
      </c>
      <c r="BM59" s="110">
        <v>174.8779687353329</v>
      </c>
      <c r="BN59" s="110">
        <v>0.78564448691441324</v>
      </c>
      <c r="BO59" s="110">
        <v>345.05505865281026</v>
      </c>
      <c r="BP59" s="110">
        <v>0.25825727943348448</v>
      </c>
      <c r="BQ59" s="110">
        <v>113.42659712718638</v>
      </c>
      <c r="BR59" s="110">
        <v>1.945733704561432</v>
      </c>
      <c r="BS59" s="110">
        <v>854.56624304338095</v>
      </c>
      <c r="BT59" s="110">
        <v>0</v>
      </c>
      <c r="BU59" s="110">
        <v>0</v>
      </c>
      <c r="BV59" s="110">
        <v>0.68911402036550706</v>
      </c>
      <c r="BW59" s="110">
        <v>302.65887774453068</v>
      </c>
      <c r="BX59" s="110">
        <v>0.57856649386009595</v>
      </c>
      <c r="BY59" s="110">
        <v>254.10640410335412</v>
      </c>
      <c r="BZ59" s="110">
        <v>0.41775789055987445</v>
      </c>
      <c r="CA59" s="110">
        <v>183.47926553389686</v>
      </c>
      <c r="CB59" s="110">
        <v>0.65755714829339129</v>
      </c>
      <c r="CC59" s="110">
        <v>288.79909953045745</v>
      </c>
      <c r="CD59" s="110">
        <v>0</v>
      </c>
      <c r="CE59" s="110">
        <v>0</v>
      </c>
      <c r="CF59" s="110">
        <v>0.6293392774587262</v>
      </c>
      <c r="CG59" s="110">
        <v>276.40581065987254</v>
      </c>
      <c r="CH59" s="110">
        <v>0</v>
      </c>
      <c r="CI59" s="110">
        <v>0</v>
      </c>
      <c r="CJ59" s="110">
        <v>3.0438223518930823</v>
      </c>
      <c r="CK59" s="110">
        <v>1336.8467769514416</v>
      </c>
      <c r="CL59" s="110">
        <v>1.496580033148359</v>
      </c>
      <c r="CM59" s="110">
        <v>657.29795055875923</v>
      </c>
      <c r="CN59" s="110">
        <v>2.3611707925334393</v>
      </c>
      <c r="CO59" s="110">
        <v>1037.0262120806865</v>
      </c>
      <c r="CP59" s="110">
        <v>2.3137704152743366</v>
      </c>
      <c r="CQ59" s="110">
        <v>1016.2079663884886</v>
      </c>
      <c r="CR59" s="110">
        <v>0</v>
      </c>
      <c r="CS59" s="110">
        <v>0</v>
      </c>
      <c r="CT59" s="110">
        <v>1.6116634165392834</v>
      </c>
      <c r="CU59" s="110">
        <v>707.84257254405327</v>
      </c>
    </row>
    <row r="60" spans="2:99" x14ac:dyDescent="0.2">
      <c r="C60" s="109" t="s">
        <v>228</v>
      </c>
      <c r="D60" s="110">
        <v>0</v>
      </c>
      <c r="E60" s="110">
        <v>0</v>
      </c>
      <c r="F60" s="110">
        <v>0.43797506265472524</v>
      </c>
      <c r="G60" s="110">
        <v>309.56077428435981</v>
      </c>
      <c r="H60" s="110">
        <v>1.6509255675066694</v>
      </c>
      <c r="I60" s="110">
        <v>1166.8741911137138</v>
      </c>
      <c r="J60" s="110">
        <v>1.3081486488294372</v>
      </c>
      <c r="K60" s="110">
        <v>924.59946499264618</v>
      </c>
      <c r="L60" s="110">
        <v>0</v>
      </c>
      <c r="M60" s="110">
        <v>0</v>
      </c>
      <c r="N60" s="110">
        <v>3.254812874359712</v>
      </c>
      <c r="O60" s="110">
        <v>2300.5017395974442</v>
      </c>
      <c r="P60" s="110">
        <v>2.4321671307017896</v>
      </c>
      <c r="Q60" s="110">
        <v>1719.0557279800248</v>
      </c>
      <c r="R60" s="110">
        <v>2.3626766412531675</v>
      </c>
      <c r="S60" s="110">
        <v>1669.9398500377386</v>
      </c>
      <c r="T60" s="110">
        <v>0.59366003609957674</v>
      </c>
      <c r="U60" s="110">
        <v>419.59891351518081</v>
      </c>
      <c r="V60" s="110">
        <v>1.1185618881295187</v>
      </c>
      <c r="W60" s="110">
        <v>790.59954252994385</v>
      </c>
      <c r="X60" s="110">
        <v>1.2549718744867773</v>
      </c>
      <c r="Y60" s="110">
        <v>887.01412088725408</v>
      </c>
      <c r="Z60" s="110">
        <v>1.4336985191505287</v>
      </c>
      <c r="AA60" s="110">
        <v>1013.3381133355937</v>
      </c>
      <c r="AB60" s="110">
        <v>0.8481403327575473</v>
      </c>
      <c r="AC60" s="110">
        <v>599.46558719303437</v>
      </c>
      <c r="AD60" s="110">
        <v>0.96325454328782278</v>
      </c>
      <c r="AE60" s="110">
        <v>680.82831119583307</v>
      </c>
      <c r="AF60" s="110">
        <v>0.64050431768412286</v>
      </c>
      <c r="AG60" s="110">
        <v>452.70845173913801</v>
      </c>
      <c r="AH60" s="110">
        <v>0.44598094472416555</v>
      </c>
      <c r="AI60" s="110">
        <v>315.2193317310402</v>
      </c>
      <c r="AJ60" s="110">
        <v>0.16193429413126592</v>
      </c>
      <c r="AK60" s="110">
        <v>114.45515909197874</v>
      </c>
      <c r="AL60" s="110">
        <v>0.54926928930853391</v>
      </c>
      <c r="AM60" s="110">
        <v>388.22353368327174</v>
      </c>
      <c r="AN60" s="110">
        <v>0.55640425846840336</v>
      </c>
      <c r="AO60" s="110">
        <v>393.26652988546749</v>
      </c>
      <c r="AP60" s="110">
        <v>0.3035625183124358</v>
      </c>
      <c r="AQ60" s="110">
        <v>214.55798794322962</v>
      </c>
      <c r="AR60" s="110">
        <v>0.92988879856550366</v>
      </c>
      <c r="AS60" s="110">
        <v>657.24540282609792</v>
      </c>
      <c r="AT60" s="110">
        <v>0</v>
      </c>
      <c r="AU60" s="110">
        <v>0</v>
      </c>
      <c r="AV60" s="110">
        <v>0.74974857799292116</v>
      </c>
      <c r="AW60" s="110">
        <v>529.92229492539661</v>
      </c>
      <c r="AX60" s="110">
        <v>0</v>
      </c>
      <c r="AY60" s="110">
        <v>0</v>
      </c>
      <c r="AZ60" s="110">
        <v>2.3994021848995897</v>
      </c>
      <c r="BA60" s="110">
        <v>1695.8974642870298</v>
      </c>
      <c r="BB60" s="110">
        <v>0</v>
      </c>
      <c r="BC60" s="110">
        <v>0</v>
      </c>
      <c r="BD60" s="110">
        <v>1.1653093717081733</v>
      </c>
      <c r="BE60" s="110">
        <v>823.64066392333677</v>
      </c>
      <c r="BF60" s="110">
        <v>3.2241070925261299</v>
      </c>
      <c r="BG60" s="110">
        <v>2278.7988929974686</v>
      </c>
      <c r="BH60" s="110">
        <v>1.2325853617987175</v>
      </c>
      <c r="BI60" s="110">
        <v>871.19133371933344</v>
      </c>
      <c r="BJ60" s="110">
        <v>0.28510394928112193</v>
      </c>
      <c r="BK60" s="110">
        <v>201.51147135189697</v>
      </c>
      <c r="BL60" s="110">
        <v>0.398173881455676</v>
      </c>
      <c r="BM60" s="110">
        <v>281.42929941287179</v>
      </c>
      <c r="BN60" s="110">
        <v>0.78564448691441324</v>
      </c>
      <c r="BO60" s="110">
        <v>555.2935233511073</v>
      </c>
      <c r="BP60" s="110">
        <v>0.25825727943348448</v>
      </c>
      <c r="BQ60" s="110">
        <v>182.53624510358682</v>
      </c>
      <c r="BR60" s="110">
        <v>1.5133484368811136</v>
      </c>
      <c r="BS60" s="110">
        <v>1069.634675187571</v>
      </c>
      <c r="BT60" s="110">
        <v>0</v>
      </c>
      <c r="BU60" s="110">
        <v>0</v>
      </c>
      <c r="BV60" s="110">
        <v>0.68911402036550706</v>
      </c>
      <c r="BW60" s="110">
        <v>487.06578959434034</v>
      </c>
      <c r="BX60" s="110">
        <v>0.57856649386009595</v>
      </c>
      <c r="BY60" s="110">
        <v>408.93079786031581</v>
      </c>
      <c r="BZ60" s="110">
        <v>0.41775789055987445</v>
      </c>
      <c r="CA60" s="110">
        <v>295.27127704771925</v>
      </c>
      <c r="CB60" s="110">
        <v>0.65755714829339129</v>
      </c>
      <c r="CC60" s="110">
        <v>464.76139241376893</v>
      </c>
      <c r="CD60" s="110">
        <v>0</v>
      </c>
      <c r="CE60" s="110">
        <v>0</v>
      </c>
      <c r="CF60" s="110">
        <v>0.55067186777638533</v>
      </c>
      <c r="CG60" s="110">
        <v>389.21487614434915</v>
      </c>
      <c r="CH60" s="110">
        <v>0</v>
      </c>
      <c r="CI60" s="110">
        <v>0</v>
      </c>
      <c r="CJ60" s="110">
        <v>3.0438223518930823</v>
      </c>
      <c r="CK60" s="110">
        <v>2151.3736383180303</v>
      </c>
      <c r="CL60" s="110">
        <v>1.7103771807409818</v>
      </c>
      <c r="CM60" s="110">
        <v>1208.8945913477257</v>
      </c>
      <c r="CN60" s="110">
        <v>2.3611707925334393</v>
      </c>
      <c r="CO60" s="110">
        <v>1668.8755161626348</v>
      </c>
      <c r="CP60" s="110">
        <v>2.6443090460278134</v>
      </c>
      <c r="CQ60" s="110">
        <v>1868.9976337324583</v>
      </c>
      <c r="CR60" s="110">
        <v>0</v>
      </c>
      <c r="CS60" s="110">
        <v>0</v>
      </c>
      <c r="CT60" s="110">
        <v>1.7907371294880927</v>
      </c>
      <c r="CU60" s="110">
        <v>1265.6930031221839</v>
      </c>
    </row>
    <row r="61" spans="2:99" x14ac:dyDescent="0.2">
      <c r="C61" s="109" t="s">
        <v>229</v>
      </c>
      <c r="D61" s="110">
        <v>0</v>
      </c>
      <c r="E61" s="110">
        <v>0</v>
      </c>
      <c r="F61" s="110">
        <v>2.2211484757496267</v>
      </c>
      <c r="G61" s="110">
        <v>1497.9425320455482</v>
      </c>
      <c r="H61" s="110">
        <v>0</v>
      </c>
      <c r="I61" s="110">
        <v>0</v>
      </c>
      <c r="J61" s="110">
        <v>5</v>
      </c>
      <c r="K61" s="110">
        <v>3372</v>
      </c>
      <c r="L61" s="110">
        <v>14</v>
      </c>
      <c r="M61" s="110">
        <v>9441.6</v>
      </c>
      <c r="N61" s="110">
        <v>10.29529795428625</v>
      </c>
      <c r="O61" s="110">
        <v>6943.1489403706464</v>
      </c>
      <c r="P61" s="110">
        <v>15</v>
      </c>
      <c r="Q61" s="110">
        <v>10116</v>
      </c>
      <c r="R61" s="110">
        <v>13.923406168676411</v>
      </c>
      <c r="S61" s="110">
        <v>9389.9451201553711</v>
      </c>
      <c r="T61" s="110">
        <v>3.5677978513677577</v>
      </c>
      <c r="U61" s="110">
        <v>2406.1228709624156</v>
      </c>
      <c r="V61" s="110">
        <v>1.8132854014552924</v>
      </c>
      <c r="W61" s="110">
        <v>1222.8796747414492</v>
      </c>
      <c r="X61" s="110">
        <v>4.4402724351083451</v>
      </c>
      <c r="Y61" s="110">
        <v>2994.519730237068</v>
      </c>
      <c r="Z61" s="110">
        <v>12</v>
      </c>
      <c r="AA61" s="110">
        <v>8092.7999999999993</v>
      </c>
      <c r="AB61" s="110">
        <v>6</v>
      </c>
      <c r="AC61" s="110">
        <v>4046.3999999999996</v>
      </c>
      <c r="AD61" s="110">
        <v>5.9140125262040044</v>
      </c>
      <c r="AE61" s="110">
        <v>3988.4100476719805</v>
      </c>
      <c r="AF61" s="110">
        <v>0</v>
      </c>
      <c r="AG61" s="110">
        <v>0</v>
      </c>
      <c r="AH61" s="110">
        <v>8</v>
      </c>
      <c r="AI61" s="110">
        <v>5395.2</v>
      </c>
      <c r="AJ61" s="110">
        <v>5</v>
      </c>
      <c r="AK61" s="110">
        <v>3372</v>
      </c>
      <c r="AL61" s="110">
        <v>5</v>
      </c>
      <c r="AM61" s="110">
        <v>3372</v>
      </c>
      <c r="AN61" s="110">
        <v>5</v>
      </c>
      <c r="AO61" s="110">
        <v>3372</v>
      </c>
      <c r="AP61" s="110">
        <v>4</v>
      </c>
      <c r="AQ61" s="110">
        <v>2697.6</v>
      </c>
      <c r="AR61" s="110">
        <v>4</v>
      </c>
      <c r="AS61" s="110">
        <v>2697.6</v>
      </c>
      <c r="AT61" s="110">
        <v>3.7796337769361017</v>
      </c>
      <c r="AU61" s="110">
        <v>2548.9850191657069</v>
      </c>
      <c r="AV61" s="110">
        <v>2.0870217553288319</v>
      </c>
      <c r="AW61" s="110">
        <v>1407.4874717937641</v>
      </c>
      <c r="AX61" s="110">
        <v>5.6942053707829423</v>
      </c>
      <c r="AY61" s="110">
        <v>3840.1721020560162</v>
      </c>
      <c r="AZ61" s="110">
        <v>12</v>
      </c>
      <c r="BA61" s="110">
        <v>8092.7999999999993</v>
      </c>
      <c r="BB61" s="110">
        <v>12.558991354959556</v>
      </c>
      <c r="BC61" s="110">
        <v>8469.7837697847244</v>
      </c>
      <c r="BD61" s="110">
        <v>0</v>
      </c>
      <c r="BE61" s="110">
        <v>0</v>
      </c>
      <c r="BF61" s="110">
        <v>2.960112683998616</v>
      </c>
      <c r="BG61" s="110">
        <v>1996.2999940886666</v>
      </c>
      <c r="BH61" s="110">
        <v>4.6673814514614271</v>
      </c>
      <c r="BI61" s="110">
        <v>3147.6820508655865</v>
      </c>
      <c r="BJ61" s="110">
        <v>8</v>
      </c>
      <c r="BK61" s="110">
        <v>5395.2</v>
      </c>
      <c r="BL61" s="110">
        <v>5.9976423290600849</v>
      </c>
      <c r="BM61" s="110">
        <v>4044.8099867181213</v>
      </c>
      <c r="BN61" s="110">
        <v>6</v>
      </c>
      <c r="BO61" s="110">
        <v>4046.3999999999996</v>
      </c>
      <c r="BP61" s="110">
        <v>5</v>
      </c>
      <c r="BQ61" s="110">
        <v>3372</v>
      </c>
      <c r="BR61" s="110">
        <v>6.9051817567473881</v>
      </c>
      <c r="BS61" s="110">
        <v>4656.8545767504384</v>
      </c>
      <c r="BT61" s="110">
        <v>8</v>
      </c>
      <c r="BU61" s="110">
        <v>5395.2</v>
      </c>
      <c r="BV61" s="110">
        <v>2.5226623629679334</v>
      </c>
      <c r="BW61" s="110">
        <v>1701.2834975855742</v>
      </c>
      <c r="BX61" s="110">
        <v>3.1559823420244486</v>
      </c>
      <c r="BY61" s="110">
        <v>2128.394491461288</v>
      </c>
      <c r="BZ61" s="110">
        <v>0</v>
      </c>
      <c r="CA61" s="110">
        <v>0</v>
      </c>
      <c r="CB61" s="110">
        <v>8</v>
      </c>
      <c r="CC61" s="110">
        <v>5395.2</v>
      </c>
      <c r="CD61" s="110">
        <v>0.72006160947592246</v>
      </c>
      <c r="CE61" s="110">
        <v>485.60954943056208</v>
      </c>
      <c r="CF61" s="110">
        <v>7</v>
      </c>
      <c r="CG61" s="110">
        <v>4720.8</v>
      </c>
      <c r="CH61" s="110">
        <v>0.42605203800377023</v>
      </c>
      <c r="CI61" s="110">
        <v>287.32949442974262</v>
      </c>
      <c r="CJ61" s="110">
        <v>5.5229690985427853</v>
      </c>
      <c r="CK61" s="110">
        <v>3724.6903600572541</v>
      </c>
      <c r="CL61" s="110">
        <v>7</v>
      </c>
      <c r="CM61" s="110">
        <v>4720.8</v>
      </c>
      <c r="CN61" s="110">
        <v>18</v>
      </c>
      <c r="CO61" s="110">
        <v>12139.199999999999</v>
      </c>
      <c r="CP61" s="110">
        <v>0.76627558656735673</v>
      </c>
      <c r="CQ61" s="110">
        <v>516.77625558102534</v>
      </c>
      <c r="CR61" s="110">
        <v>8.8277334652626731</v>
      </c>
      <c r="CS61" s="110">
        <v>5953.4234489731462</v>
      </c>
      <c r="CT61" s="110">
        <v>2.0082370702646046</v>
      </c>
      <c r="CU61" s="110">
        <v>1354.3550801864494</v>
      </c>
    </row>
    <row r="62" spans="2:99" x14ac:dyDescent="0.2">
      <c r="C62" s="109" t="s">
        <v>230</v>
      </c>
      <c r="D62" s="110">
        <v>0</v>
      </c>
      <c r="E62" s="110">
        <v>0</v>
      </c>
      <c r="F62" s="110">
        <v>0.65046746719337634</v>
      </c>
      <c r="G62" s="110">
        <v>831.29742307313495</v>
      </c>
      <c r="H62" s="110">
        <v>2.6049767627283114</v>
      </c>
      <c r="I62" s="110">
        <v>3329.160302766782</v>
      </c>
      <c r="J62" s="110">
        <v>0</v>
      </c>
      <c r="K62" s="110">
        <v>0</v>
      </c>
      <c r="L62" s="110">
        <v>8.6463058507578001</v>
      </c>
      <c r="M62" s="110">
        <v>11049.978877268468</v>
      </c>
      <c r="N62" s="110">
        <v>3.8531261850722176</v>
      </c>
      <c r="O62" s="110">
        <v>4924.295264522294</v>
      </c>
      <c r="P62" s="110">
        <v>3.6283604909430047</v>
      </c>
      <c r="Q62" s="110">
        <v>4637.0447074251597</v>
      </c>
      <c r="R62" s="110">
        <v>4.019107005352252</v>
      </c>
      <c r="S62" s="110">
        <v>5136.4187528401781</v>
      </c>
      <c r="T62" s="110">
        <v>0</v>
      </c>
      <c r="U62" s="110">
        <v>0</v>
      </c>
      <c r="V62" s="110">
        <v>2.6049767627283114</v>
      </c>
      <c r="W62" s="110">
        <v>3329.160302766782</v>
      </c>
      <c r="X62" s="110">
        <v>0</v>
      </c>
      <c r="Y62" s="110">
        <v>0</v>
      </c>
      <c r="Z62" s="110">
        <v>7.9768535984090487</v>
      </c>
      <c r="AA62" s="110">
        <v>10194.418898766764</v>
      </c>
      <c r="AB62" s="110">
        <v>0</v>
      </c>
      <c r="AC62" s="110">
        <v>0</v>
      </c>
      <c r="AD62" s="110">
        <v>3.6283604909430047</v>
      </c>
      <c r="AE62" s="110">
        <v>4637.0447074251597</v>
      </c>
      <c r="AF62" s="110">
        <v>0</v>
      </c>
      <c r="AG62" s="110">
        <v>0</v>
      </c>
      <c r="AH62" s="110">
        <v>1.9791057223325481</v>
      </c>
      <c r="AI62" s="110">
        <v>2529.2971131409963</v>
      </c>
      <c r="AJ62" s="110">
        <v>3.7213953753261588</v>
      </c>
      <c r="AK62" s="110">
        <v>4755.9432896668313</v>
      </c>
      <c r="AL62" s="110">
        <v>1.2620384316323496</v>
      </c>
      <c r="AM62" s="110">
        <v>1612.8851156261428</v>
      </c>
      <c r="AN62" s="110">
        <v>1.661844499668552</v>
      </c>
      <c r="AO62" s="110">
        <v>2123.8372705764095</v>
      </c>
      <c r="AP62" s="110">
        <v>1.1309175556185991</v>
      </c>
      <c r="AQ62" s="110">
        <v>1445.3126360805695</v>
      </c>
      <c r="AR62" s="110">
        <v>1.1309175556185991</v>
      </c>
      <c r="AS62" s="110">
        <v>1445.3126360805695</v>
      </c>
      <c r="AT62" s="110">
        <v>0</v>
      </c>
      <c r="AU62" s="110">
        <v>0</v>
      </c>
      <c r="AV62" s="110">
        <v>0</v>
      </c>
      <c r="AW62" s="110">
        <v>0</v>
      </c>
      <c r="AX62" s="110">
        <v>1.9942133996022622</v>
      </c>
      <c r="AY62" s="110">
        <v>2548.604724691691</v>
      </c>
      <c r="AZ62" s="110">
        <v>3.2860623314200796</v>
      </c>
      <c r="BA62" s="110">
        <v>4199.5876595548616</v>
      </c>
      <c r="BB62" s="110">
        <v>3.0595904680384258</v>
      </c>
      <c r="BC62" s="110">
        <v>3910.1566181531084</v>
      </c>
      <c r="BD62" s="110">
        <v>0</v>
      </c>
      <c r="BE62" s="110">
        <v>0</v>
      </c>
      <c r="BF62" s="110">
        <v>3.9582114446650962</v>
      </c>
      <c r="BG62" s="110">
        <v>5058.5942262819926</v>
      </c>
      <c r="BH62" s="110">
        <v>0</v>
      </c>
      <c r="BI62" s="110">
        <v>0</v>
      </c>
      <c r="BJ62" s="110">
        <v>0</v>
      </c>
      <c r="BK62" s="110">
        <v>0</v>
      </c>
      <c r="BL62" s="110">
        <v>2.3265822995359726</v>
      </c>
      <c r="BM62" s="110">
        <v>2973.3721788069729</v>
      </c>
      <c r="BN62" s="110">
        <v>5</v>
      </c>
      <c r="BO62" s="110">
        <v>6390</v>
      </c>
      <c r="BP62" s="110">
        <v>0.58648748579364329</v>
      </c>
      <c r="BQ62" s="110">
        <v>749.53100684427613</v>
      </c>
      <c r="BR62" s="110">
        <v>1.9663372983174994</v>
      </c>
      <c r="BS62" s="110">
        <v>2512.9790672497643</v>
      </c>
      <c r="BT62" s="110">
        <v>1.7893284612869611</v>
      </c>
      <c r="BU62" s="110">
        <v>2286.7617735247363</v>
      </c>
      <c r="BV62" s="110">
        <v>1.6746279188967717</v>
      </c>
      <c r="BW62" s="110">
        <v>2140.1744803500742</v>
      </c>
      <c r="BX62" s="110">
        <v>0</v>
      </c>
      <c r="BY62" s="110">
        <v>0</v>
      </c>
      <c r="BZ62" s="110">
        <v>2.1239183361617591</v>
      </c>
      <c r="CA62" s="110">
        <v>2714.3676336147282</v>
      </c>
      <c r="CB62" s="110">
        <v>0</v>
      </c>
      <c r="CC62" s="110">
        <v>0</v>
      </c>
      <c r="CD62" s="110">
        <v>0</v>
      </c>
      <c r="CE62" s="110">
        <v>0</v>
      </c>
      <c r="CF62" s="110">
        <v>2.5611956406656504</v>
      </c>
      <c r="CG62" s="110">
        <v>3273.2080287707013</v>
      </c>
      <c r="CH62" s="110">
        <v>1.4928111734165506</v>
      </c>
      <c r="CI62" s="110">
        <v>1907.8126796263516</v>
      </c>
      <c r="CJ62" s="110">
        <v>1.3980838588954698</v>
      </c>
      <c r="CK62" s="110">
        <v>1786.7511716684105</v>
      </c>
      <c r="CL62" s="110">
        <v>2.0489565125325204</v>
      </c>
      <c r="CM62" s="110">
        <v>2618.5664230165612</v>
      </c>
      <c r="CN62" s="110">
        <v>3.5362701231525731</v>
      </c>
      <c r="CO62" s="110">
        <v>4519.353217388988</v>
      </c>
      <c r="CP62" s="110">
        <v>0</v>
      </c>
      <c r="CQ62" s="110">
        <v>0</v>
      </c>
      <c r="CR62" s="110">
        <v>2.5749655097014874</v>
      </c>
      <c r="CS62" s="110">
        <v>3290.8059213985007</v>
      </c>
      <c r="CT62" s="110">
        <v>1.8527798251623855</v>
      </c>
      <c r="CU62" s="110">
        <v>2367.8526165575286</v>
      </c>
    </row>
    <row r="63" spans="2:99" x14ac:dyDescent="0.2">
      <c r="C63" s="109" t="s">
        <v>231</v>
      </c>
      <c r="D63" s="110">
        <v>0</v>
      </c>
      <c r="E63" s="110">
        <v>0</v>
      </c>
      <c r="F63" s="110">
        <v>2.2211484757496267</v>
      </c>
      <c r="G63" s="110">
        <v>1924.4030393894766</v>
      </c>
      <c r="H63" s="110">
        <v>0</v>
      </c>
      <c r="I63" s="110">
        <v>0</v>
      </c>
      <c r="J63" s="110">
        <v>6</v>
      </c>
      <c r="K63" s="110">
        <v>5198.3999999999996</v>
      </c>
      <c r="L63" s="110">
        <v>13</v>
      </c>
      <c r="M63" s="110">
        <v>11263.199999999999</v>
      </c>
      <c r="N63" s="110">
        <v>9.3593617766238637</v>
      </c>
      <c r="O63" s="110">
        <v>8108.9510432669149</v>
      </c>
      <c r="P63" s="110">
        <v>14</v>
      </c>
      <c r="Q63" s="110">
        <v>12129.6</v>
      </c>
      <c r="R63" s="110">
        <v>11.138724934941129</v>
      </c>
      <c r="S63" s="110">
        <v>9650.5912836329935</v>
      </c>
      <c r="T63" s="110">
        <v>4.0774832587060086</v>
      </c>
      <c r="U63" s="110">
        <v>3532.7314953428859</v>
      </c>
      <c r="V63" s="110">
        <v>1.8132854014552924</v>
      </c>
      <c r="W63" s="110">
        <v>1571.0304718208654</v>
      </c>
      <c r="X63" s="110">
        <v>4.8842996786191799</v>
      </c>
      <c r="Y63" s="110">
        <v>4231.7572415556569</v>
      </c>
      <c r="Z63" s="110">
        <v>12</v>
      </c>
      <c r="AA63" s="110">
        <v>10396.799999999999</v>
      </c>
      <c r="AB63" s="110">
        <v>6</v>
      </c>
      <c r="AC63" s="110">
        <v>5198.3999999999996</v>
      </c>
      <c r="AD63" s="110">
        <v>6.571125029115561</v>
      </c>
      <c r="AE63" s="110">
        <v>5693.2227252257217</v>
      </c>
      <c r="AF63" s="110">
        <v>0</v>
      </c>
      <c r="AG63" s="110">
        <v>0</v>
      </c>
      <c r="AH63" s="110">
        <v>7</v>
      </c>
      <c r="AI63" s="110">
        <v>6064.8</v>
      </c>
      <c r="AJ63" s="110">
        <v>4</v>
      </c>
      <c r="AK63" s="110">
        <v>3465.6</v>
      </c>
      <c r="AL63" s="110">
        <v>4</v>
      </c>
      <c r="AM63" s="110">
        <v>3465.6</v>
      </c>
      <c r="AN63" s="110">
        <v>5</v>
      </c>
      <c r="AO63" s="110">
        <v>4332</v>
      </c>
      <c r="AP63" s="110">
        <v>4</v>
      </c>
      <c r="AQ63" s="110">
        <v>3465.6</v>
      </c>
      <c r="AR63" s="110">
        <v>4</v>
      </c>
      <c r="AS63" s="110">
        <v>3465.6</v>
      </c>
      <c r="AT63" s="110">
        <v>3.1496948141134178</v>
      </c>
      <c r="AU63" s="110">
        <v>2728.895586947865</v>
      </c>
      <c r="AV63" s="110">
        <v>2.0870217553288319</v>
      </c>
      <c r="AW63" s="110">
        <v>1808.1956488168998</v>
      </c>
      <c r="AX63" s="110">
        <v>4.8807474606710928</v>
      </c>
      <c r="AY63" s="110">
        <v>4228.6795999254346</v>
      </c>
      <c r="AZ63" s="110">
        <v>12</v>
      </c>
      <c r="BA63" s="110">
        <v>10396.799999999999</v>
      </c>
      <c r="BB63" s="110">
        <v>10.047193083967645</v>
      </c>
      <c r="BC63" s="110">
        <v>8704.8880879495682</v>
      </c>
      <c r="BD63" s="110">
        <v>0</v>
      </c>
      <c r="BE63" s="110">
        <v>0</v>
      </c>
      <c r="BF63" s="110">
        <v>2.960112683998616</v>
      </c>
      <c r="BG63" s="110">
        <v>2564.641629416401</v>
      </c>
      <c r="BH63" s="110">
        <v>4.6673814514614271</v>
      </c>
      <c r="BI63" s="110">
        <v>4043.8192895461802</v>
      </c>
      <c r="BJ63" s="110">
        <v>7</v>
      </c>
      <c r="BK63" s="110">
        <v>6064.8</v>
      </c>
      <c r="BL63" s="110">
        <v>5.9976423290600849</v>
      </c>
      <c r="BM63" s="110">
        <v>5196.3573138976571</v>
      </c>
      <c r="BN63" s="110">
        <v>6</v>
      </c>
      <c r="BO63" s="110">
        <v>5198.3999999999996</v>
      </c>
      <c r="BP63" s="110">
        <v>4</v>
      </c>
      <c r="BQ63" s="110">
        <v>3465.6</v>
      </c>
      <c r="BR63" s="110">
        <v>6.9051817567473881</v>
      </c>
      <c r="BS63" s="110">
        <v>5982.6494740459366</v>
      </c>
      <c r="BT63" s="110">
        <v>7</v>
      </c>
      <c r="BU63" s="110">
        <v>6064.8</v>
      </c>
      <c r="BV63" s="110">
        <v>2.5226623629679334</v>
      </c>
      <c r="BW63" s="110">
        <v>2185.6346712754175</v>
      </c>
      <c r="BX63" s="110">
        <v>3.1559823420244486</v>
      </c>
      <c r="BY63" s="110">
        <v>2734.3431011299822</v>
      </c>
      <c r="BZ63" s="110">
        <v>0</v>
      </c>
      <c r="CA63" s="110">
        <v>0</v>
      </c>
      <c r="CB63" s="110">
        <v>8</v>
      </c>
      <c r="CC63" s="110">
        <v>6931.2</v>
      </c>
      <c r="CD63" s="110">
        <v>0.8400718777219095</v>
      </c>
      <c r="CE63" s="110">
        <v>727.83827485826237</v>
      </c>
      <c r="CF63" s="110">
        <v>7</v>
      </c>
      <c r="CG63" s="110">
        <v>6064.8</v>
      </c>
      <c r="CH63" s="110">
        <v>0.35504336500314182</v>
      </c>
      <c r="CI63" s="110">
        <v>307.60957143872207</v>
      </c>
      <c r="CJ63" s="110">
        <v>4.7339735130366734</v>
      </c>
      <c r="CK63" s="110">
        <v>4101.5146516949735</v>
      </c>
      <c r="CL63" s="110">
        <v>7</v>
      </c>
      <c r="CM63" s="110">
        <v>6064.8</v>
      </c>
      <c r="CN63" s="110">
        <v>16</v>
      </c>
      <c r="CO63" s="110">
        <v>13862.4</v>
      </c>
      <c r="CP63" s="110">
        <v>0.76627558656735673</v>
      </c>
      <c r="CQ63" s="110">
        <v>663.90116820195783</v>
      </c>
      <c r="CR63" s="110">
        <v>9.6302546893774608</v>
      </c>
      <c r="CS63" s="110">
        <v>8343.6526628766314</v>
      </c>
      <c r="CT63" s="110">
        <v>2.0082370702646046</v>
      </c>
      <c r="CU63" s="110">
        <v>1739.9365976772533</v>
      </c>
    </row>
    <row r="64" spans="2:99" x14ac:dyDescent="0.2">
      <c r="C64" s="109" t="s">
        <v>232</v>
      </c>
      <c r="D64" s="110">
        <v>0</v>
      </c>
      <c r="E64" s="110">
        <v>0</v>
      </c>
      <c r="F64" s="110">
        <v>1.903841550642537</v>
      </c>
      <c r="G64" s="110">
        <v>1663.1959786413204</v>
      </c>
      <c r="H64" s="110">
        <v>0</v>
      </c>
      <c r="I64" s="110">
        <v>0</v>
      </c>
      <c r="J64" s="110">
        <v>5</v>
      </c>
      <c r="K64" s="110">
        <v>4368</v>
      </c>
      <c r="L64" s="110">
        <v>15</v>
      </c>
      <c r="M64" s="110">
        <v>13104</v>
      </c>
      <c r="N64" s="110">
        <v>10.29529795428625</v>
      </c>
      <c r="O64" s="110">
        <v>8993.9722928644678</v>
      </c>
      <c r="P64" s="110">
        <v>14</v>
      </c>
      <c r="Q64" s="110">
        <v>12230.4</v>
      </c>
      <c r="R64" s="110">
        <v>12.995179090764651</v>
      </c>
      <c r="S64" s="110">
        <v>11352.588453692</v>
      </c>
      <c r="T64" s="110">
        <v>3.5677978513677577</v>
      </c>
      <c r="U64" s="110">
        <v>3116.8282029548732</v>
      </c>
      <c r="V64" s="110">
        <v>1.8132854014552924</v>
      </c>
      <c r="W64" s="110">
        <v>1584.0861267113435</v>
      </c>
      <c r="X64" s="110">
        <v>4.4402724351083451</v>
      </c>
      <c r="Y64" s="110">
        <v>3879.0219993106502</v>
      </c>
      <c r="Z64" s="110">
        <v>11</v>
      </c>
      <c r="AA64" s="110">
        <v>9609.6</v>
      </c>
      <c r="AB64" s="110">
        <v>7</v>
      </c>
      <c r="AC64" s="110">
        <v>6115.2</v>
      </c>
      <c r="AD64" s="110">
        <v>5.9140125262040044</v>
      </c>
      <c r="AE64" s="110">
        <v>5166.4813428918187</v>
      </c>
      <c r="AF64" s="110">
        <v>0</v>
      </c>
      <c r="AG64" s="110">
        <v>0</v>
      </c>
      <c r="AH64" s="110">
        <v>7</v>
      </c>
      <c r="AI64" s="110">
        <v>6115.2</v>
      </c>
      <c r="AJ64" s="110">
        <v>5</v>
      </c>
      <c r="AK64" s="110">
        <v>4368</v>
      </c>
      <c r="AL64" s="110">
        <v>5</v>
      </c>
      <c r="AM64" s="110">
        <v>4368</v>
      </c>
      <c r="AN64" s="110">
        <v>5</v>
      </c>
      <c r="AO64" s="110">
        <v>4368</v>
      </c>
      <c r="AP64" s="110">
        <v>4</v>
      </c>
      <c r="AQ64" s="110">
        <v>3494.4</v>
      </c>
      <c r="AR64" s="110">
        <v>4</v>
      </c>
      <c r="AS64" s="110">
        <v>3494.4</v>
      </c>
      <c r="AT64" s="110">
        <v>3.1496948141134178</v>
      </c>
      <c r="AU64" s="110">
        <v>2751.5733896094816</v>
      </c>
      <c r="AV64" s="110">
        <v>2.0870217553288319</v>
      </c>
      <c r="AW64" s="110">
        <v>1823.2222054552676</v>
      </c>
      <c r="AX64" s="110">
        <v>5.6942053707829423</v>
      </c>
      <c r="AY64" s="110">
        <v>4974.4578119159787</v>
      </c>
      <c r="AZ64" s="110">
        <v>10</v>
      </c>
      <c r="BA64" s="110">
        <v>8736</v>
      </c>
      <c r="BB64" s="110">
        <v>12.558991354959556</v>
      </c>
      <c r="BC64" s="110">
        <v>10971.534847692668</v>
      </c>
      <c r="BD64" s="110">
        <v>0</v>
      </c>
      <c r="BE64" s="110">
        <v>0</v>
      </c>
      <c r="BF64" s="110">
        <v>2.960112683998616</v>
      </c>
      <c r="BG64" s="110">
        <v>2585.9544407411909</v>
      </c>
      <c r="BH64" s="110">
        <v>4.6673814514614271</v>
      </c>
      <c r="BI64" s="110">
        <v>4077.4244359967029</v>
      </c>
      <c r="BJ64" s="110">
        <v>8</v>
      </c>
      <c r="BK64" s="110">
        <v>6988.8</v>
      </c>
      <c r="BL64" s="110">
        <v>5.9976423290600849</v>
      </c>
      <c r="BM64" s="110">
        <v>5239.5403386668904</v>
      </c>
      <c r="BN64" s="110">
        <v>6</v>
      </c>
      <c r="BO64" s="110">
        <v>5241.6000000000004</v>
      </c>
      <c r="BP64" s="110">
        <v>5</v>
      </c>
      <c r="BQ64" s="110">
        <v>4368</v>
      </c>
      <c r="BR64" s="110">
        <v>6.9051817567473881</v>
      </c>
      <c r="BS64" s="110">
        <v>6032.3667826945184</v>
      </c>
      <c r="BT64" s="110">
        <v>7</v>
      </c>
      <c r="BU64" s="110">
        <v>6115.2</v>
      </c>
      <c r="BV64" s="110">
        <v>2.5226623629679334</v>
      </c>
      <c r="BW64" s="110">
        <v>2203.7978402887866</v>
      </c>
      <c r="BX64" s="110">
        <v>3.7871788104293387</v>
      </c>
      <c r="BY64" s="110">
        <v>3308.4794087910705</v>
      </c>
      <c r="BZ64" s="110">
        <v>0</v>
      </c>
      <c r="CA64" s="110">
        <v>0</v>
      </c>
      <c r="CB64" s="110">
        <v>8</v>
      </c>
      <c r="CC64" s="110">
        <v>6988.8</v>
      </c>
      <c r="CD64" s="110">
        <v>0.8400718777219095</v>
      </c>
      <c r="CE64" s="110">
        <v>733.88679237786016</v>
      </c>
      <c r="CF64" s="110">
        <v>7</v>
      </c>
      <c r="CG64" s="110">
        <v>6115.2</v>
      </c>
      <c r="CH64" s="110">
        <v>0.42605203800377023</v>
      </c>
      <c r="CI64" s="110">
        <v>372.19906040009369</v>
      </c>
      <c r="CJ64" s="110">
        <v>6.3119646840488972</v>
      </c>
      <c r="CK64" s="110">
        <v>5514.1323479851171</v>
      </c>
      <c r="CL64" s="110">
        <v>7</v>
      </c>
      <c r="CM64" s="110">
        <v>6115.2</v>
      </c>
      <c r="CN64" s="110">
        <v>16</v>
      </c>
      <c r="CO64" s="110">
        <v>13977.6</v>
      </c>
      <c r="CP64" s="110">
        <v>0.71838336240689704</v>
      </c>
      <c r="CQ64" s="110">
        <v>627.57970539866528</v>
      </c>
      <c r="CR64" s="110">
        <v>8.0252122411478837</v>
      </c>
      <c r="CS64" s="110">
        <v>7010.8254138667917</v>
      </c>
      <c r="CT64" s="110">
        <v>2.0082370702646046</v>
      </c>
      <c r="CU64" s="110">
        <v>1754.3959045831587</v>
      </c>
    </row>
    <row r="65" spans="2:99" x14ac:dyDescent="0.2">
      <c r="C65" s="109" t="s">
        <v>233</v>
      </c>
      <c r="D65" s="110">
        <v>0</v>
      </c>
      <c r="E65" s="110">
        <v>0</v>
      </c>
      <c r="F65" s="110">
        <v>2.2211484757496267</v>
      </c>
      <c r="G65" s="110">
        <v>772.95966956087011</v>
      </c>
      <c r="H65" s="110">
        <v>0</v>
      </c>
      <c r="I65" s="110">
        <v>0</v>
      </c>
      <c r="J65" s="110">
        <v>5</v>
      </c>
      <c r="K65" s="110">
        <v>1740</v>
      </c>
      <c r="L65" s="110">
        <v>15</v>
      </c>
      <c r="M65" s="110">
        <v>5220</v>
      </c>
      <c r="N65" s="110">
        <v>10.29529795428625</v>
      </c>
      <c r="O65" s="110">
        <v>3582.7636880916148</v>
      </c>
      <c r="P65" s="110">
        <v>15</v>
      </c>
      <c r="Q65" s="110">
        <v>5220</v>
      </c>
      <c r="R65" s="110">
        <v>11.138724934941129</v>
      </c>
      <c r="S65" s="110">
        <v>3876.2762773595127</v>
      </c>
      <c r="T65" s="110">
        <v>4.0774832587060086</v>
      </c>
      <c r="U65" s="110">
        <v>1418.9641740296911</v>
      </c>
      <c r="V65" s="110">
        <v>2.0399460766372037</v>
      </c>
      <c r="W65" s="110">
        <v>709.90123466974694</v>
      </c>
      <c r="X65" s="110">
        <v>4.8842996786191799</v>
      </c>
      <c r="Y65" s="110">
        <v>1699.7362881594745</v>
      </c>
      <c r="Z65" s="110">
        <v>12</v>
      </c>
      <c r="AA65" s="110">
        <v>4176</v>
      </c>
      <c r="AB65" s="110">
        <v>6</v>
      </c>
      <c r="AC65" s="110">
        <v>2088</v>
      </c>
      <c r="AD65" s="110">
        <v>5.9140125262040044</v>
      </c>
      <c r="AE65" s="110">
        <v>2058.0763591189934</v>
      </c>
      <c r="AF65" s="110">
        <v>0</v>
      </c>
      <c r="AG65" s="110">
        <v>0</v>
      </c>
      <c r="AH65" s="110">
        <v>8</v>
      </c>
      <c r="AI65" s="110">
        <v>2784</v>
      </c>
      <c r="AJ65" s="110">
        <v>5</v>
      </c>
      <c r="AK65" s="110">
        <v>1740</v>
      </c>
      <c r="AL65" s="110">
        <v>5</v>
      </c>
      <c r="AM65" s="110">
        <v>1740</v>
      </c>
      <c r="AN65" s="110">
        <v>6</v>
      </c>
      <c r="AO65" s="110">
        <v>2088</v>
      </c>
      <c r="AP65" s="110">
        <v>4</v>
      </c>
      <c r="AQ65" s="110">
        <v>1392</v>
      </c>
      <c r="AR65" s="110">
        <v>4</v>
      </c>
      <c r="AS65" s="110">
        <v>1392</v>
      </c>
      <c r="AT65" s="110">
        <v>3.7796337769361017</v>
      </c>
      <c r="AU65" s="110">
        <v>1315.3125543737633</v>
      </c>
      <c r="AV65" s="110">
        <v>2.0870217553288319</v>
      </c>
      <c r="AW65" s="110">
        <v>726.28357085443349</v>
      </c>
      <c r="AX65" s="110">
        <v>5.6942053707829423</v>
      </c>
      <c r="AY65" s="110">
        <v>1981.5834690324639</v>
      </c>
      <c r="AZ65" s="110">
        <v>11</v>
      </c>
      <c r="BA65" s="110">
        <v>3828</v>
      </c>
      <c r="BB65" s="110">
        <v>10.88445917429828</v>
      </c>
      <c r="BC65" s="110">
        <v>3787.7917926558016</v>
      </c>
      <c r="BD65" s="110">
        <v>0</v>
      </c>
      <c r="BE65" s="110">
        <v>0</v>
      </c>
      <c r="BF65" s="110">
        <v>2.960112683998616</v>
      </c>
      <c r="BG65" s="110">
        <v>1030.1192140315184</v>
      </c>
      <c r="BH65" s="110">
        <v>4.0006126726812239</v>
      </c>
      <c r="BI65" s="110">
        <v>1392.213210093066</v>
      </c>
      <c r="BJ65" s="110">
        <v>8</v>
      </c>
      <c r="BK65" s="110">
        <v>2784</v>
      </c>
      <c r="BL65" s="110">
        <v>5.9976423290600849</v>
      </c>
      <c r="BM65" s="110">
        <v>2087.1795305129094</v>
      </c>
      <c r="BN65" s="110">
        <v>6</v>
      </c>
      <c r="BO65" s="110">
        <v>2088</v>
      </c>
      <c r="BP65" s="110">
        <v>5</v>
      </c>
      <c r="BQ65" s="110">
        <v>1740</v>
      </c>
      <c r="BR65" s="110">
        <v>6.9051817567473881</v>
      </c>
      <c r="BS65" s="110">
        <v>2403.003251348091</v>
      </c>
      <c r="BT65" s="110">
        <v>8</v>
      </c>
      <c r="BU65" s="110">
        <v>2784</v>
      </c>
      <c r="BV65" s="110">
        <v>2.5226623629679334</v>
      </c>
      <c r="BW65" s="110">
        <v>877.88650231284089</v>
      </c>
      <c r="BX65" s="110">
        <v>3.7871788104293387</v>
      </c>
      <c r="BY65" s="110">
        <v>1317.9382260294099</v>
      </c>
      <c r="BZ65" s="110">
        <v>0</v>
      </c>
      <c r="CA65" s="110">
        <v>0</v>
      </c>
      <c r="CB65" s="110">
        <v>8</v>
      </c>
      <c r="CC65" s="110">
        <v>2784</v>
      </c>
      <c r="CD65" s="110">
        <v>0.8400718777219095</v>
      </c>
      <c r="CE65" s="110">
        <v>292.34501344722452</v>
      </c>
      <c r="CF65" s="110">
        <v>8</v>
      </c>
      <c r="CG65" s="110">
        <v>2784</v>
      </c>
      <c r="CH65" s="110">
        <v>0.42605203800377023</v>
      </c>
      <c r="CI65" s="110">
        <v>148.26610922531205</v>
      </c>
      <c r="CJ65" s="110">
        <v>5.5229690985427853</v>
      </c>
      <c r="CK65" s="110">
        <v>1921.9932462928894</v>
      </c>
      <c r="CL65" s="110">
        <v>7</v>
      </c>
      <c r="CM65" s="110">
        <v>2436</v>
      </c>
      <c r="CN65" s="110">
        <v>17</v>
      </c>
      <c r="CO65" s="110">
        <v>5916</v>
      </c>
      <c r="CP65" s="110">
        <v>0.81416781072781663</v>
      </c>
      <c r="CQ65" s="110">
        <v>283.3303981332802</v>
      </c>
      <c r="CR65" s="110">
        <v>9.6302546893774608</v>
      </c>
      <c r="CS65" s="110">
        <v>3351.3286319033564</v>
      </c>
      <c r="CT65" s="110">
        <v>1.8074133632381444</v>
      </c>
      <c r="CU65" s="110">
        <v>628.97985040687422</v>
      </c>
    </row>
    <row r="66" spans="2:99" x14ac:dyDescent="0.2">
      <c r="C66" s="109" t="s">
        <v>234</v>
      </c>
      <c r="D66" s="110">
        <v>0</v>
      </c>
      <c r="E66" s="110">
        <v>0</v>
      </c>
      <c r="F66" s="110">
        <v>2.2211484757496267</v>
      </c>
      <c r="G66" s="110">
        <v>1681.8536258376173</v>
      </c>
      <c r="H66" s="110">
        <v>0</v>
      </c>
      <c r="I66" s="110">
        <v>0</v>
      </c>
      <c r="J66" s="110">
        <v>5</v>
      </c>
      <c r="K66" s="110">
        <v>3785.9999999999995</v>
      </c>
      <c r="L66" s="110">
        <v>13</v>
      </c>
      <c r="M66" s="110">
        <v>9843.5999999999985</v>
      </c>
      <c r="N66" s="110">
        <v>10.29529795428625</v>
      </c>
      <c r="O66" s="110">
        <v>7795.5996109855478</v>
      </c>
      <c r="P66" s="110">
        <v>13</v>
      </c>
      <c r="Q66" s="110">
        <v>9843.5999999999985</v>
      </c>
      <c r="R66" s="110">
        <v>12.066952012852891</v>
      </c>
      <c r="S66" s="110">
        <v>9137.096064132209</v>
      </c>
      <c r="T66" s="110">
        <v>4.0774832587060086</v>
      </c>
      <c r="U66" s="110">
        <v>3087.4703234921894</v>
      </c>
      <c r="V66" s="110">
        <v>2.0399460766372037</v>
      </c>
      <c r="W66" s="110">
        <v>1544.6471692296905</v>
      </c>
      <c r="X66" s="110">
        <v>4.4402724351083451</v>
      </c>
      <c r="Y66" s="110">
        <v>3362.1742878640384</v>
      </c>
      <c r="Z66" s="110">
        <v>12</v>
      </c>
      <c r="AA66" s="110">
        <v>9086.4</v>
      </c>
      <c r="AB66" s="110">
        <v>6</v>
      </c>
      <c r="AC66" s="110">
        <v>4543.2</v>
      </c>
      <c r="AD66" s="110">
        <v>5.2569000232924488</v>
      </c>
      <c r="AE66" s="110">
        <v>3980.5246976370418</v>
      </c>
      <c r="AF66" s="110">
        <v>0</v>
      </c>
      <c r="AG66" s="110">
        <v>0</v>
      </c>
      <c r="AH66" s="110">
        <v>8</v>
      </c>
      <c r="AI66" s="110">
        <v>6057.5999999999995</v>
      </c>
      <c r="AJ66" s="110">
        <v>5</v>
      </c>
      <c r="AK66" s="110">
        <v>3785.9999999999995</v>
      </c>
      <c r="AL66" s="110">
        <v>5</v>
      </c>
      <c r="AM66" s="110">
        <v>3785.9999999999995</v>
      </c>
      <c r="AN66" s="110">
        <v>5</v>
      </c>
      <c r="AO66" s="110">
        <v>3785.9999999999995</v>
      </c>
      <c r="AP66" s="110">
        <v>4</v>
      </c>
      <c r="AQ66" s="110">
        <v>3028.7999999999997</v>
      </c>
      <c r="AR66" s="110">
        <v>4</v>
      </c>
      <c r="AS66" s="110">
        <v>3028.7999999999997</v>
      </c>
      <c r="AT66" s="110">
        <v>3.7796337769361017</v>
      </c>
      <c r="AU66" s="110">
        <v>2861.9386958960158</v>
      </c>
      <c r="AV66" s="110">
        <v>2.0870217553288319</v>
      </c>
      <c r="AW66" s="110">
        <v>1580.2928731349914</v>
      </c>
      <c r="AX66" s="110">
        <v>4.8807474606710928</v>
      </c>
      <c r="AY66" s="110">
        <v>3695.7019772201511</v>
      </c>
      <c r="AZ66" s="110">
        <v>12</v>
      </c>
      <c r="BA66" s="110">
        <v>9086.4</v>
      </c>
      <c r="BB66" s="110">
        <v>10.88445917429828</v>
      </c>
      <c r="BC66" s="110">
        <v>8241.712486778657</v>
      </c>
      <c r="BD66" s="110">
        <v>0</v>
      </c>
      <c r="BE66" s="110">
        <v>0</v>
      </c>
      <c r="BF66" s="110">
        <v>3.1451197267485296</v>
      </c>
      <c r="BG66" s="110">
        <v>2381.4846570939862</v>
      </c>
      <c r="BH66" s="110">
        <v>4.0006126726812239</v>
      </c>
      <c r="BI66" s="110">
        <v>3029.2639157542226</v>
      </c>
      <c r="BJ66" s="110">
        <v>8</v>
      </c>
      <c r="BK66" s="110">
        <v>6057.5999999999995</v>
      </c>
      <c r="BL66" s="110">
        <v>5.9976423290600849</v>
      </c>
      <c r="BM66" s="110">
        <v>4541.4147715642957</v>
      </c>
      <c r="BN66" s="110">
        <v>6</v>
      </c>
      <c r="BO66" s="110">
        <v>4543.2</v>
      </c>
      <c r="BP66" s="110">
        <v>5</v>
      </c>
      <c r="BQ66" s="110">
        <v>3785.9999999999995</v>
      </c>
      <c r="BR66" s="110">
        <v>6.0420340371539645</v>
      </c>
      <c r="BS66" s="110">
        <v>4575.0281729329818</v>
      </c>
      <c r="BT66" s="110">
        <v>7</v>
      </c>
      <c r="BU66" s="110">
        <v>5300.4</v>
      </c>
      <c r="BV66" s="110">
        <v>2.5226623629679334</v>
      </c>
      <c r="BW66" s="110">
        <v>1910.1599412393191</v>
      </c>
      <c r="BX66" s="110">
        <v>3.1559823420244486</v>
      </c>
      <c r="BY66" s="110">
        <v>2389.7098293809122</v>
      </c>
      <c r="BZ66" s="110">
        <v>0</v>
      </c>
      <c r="CA66" s="110">
        <v>0</v>
      </c>
      <c r="CB66" s="110">
        <v>8</v>
      </c>
      <c r="CC66" s="110">
        <v>6057.5999999999995</v>
      </c>
      <c r="CD66" s="110">
        <v>0.72006160947592246</v>
      </c>
      <c r="CE66" s="110">
        <v>545.23065069516849</v>
      </c>
      <c r="CF66" s="110">
        <v>7</v>
      </c>
      <c r="CG66" s="110">
        <v>5300.4</v>
      </c>
      <c r="CH66" s="110">
        <v>0.35504336500314182</v>
      </c>
      <c r="CI66" s="110">
        <v>268.83883598037897</v>
      </c>
      <c r="CJ66" s="110">
        <v>5.5229690985427853</v>
      </c>
      <c r="CK66" s="110">
        <v>4181.9922014165968</v>
      </c>
      <c r="CL66" s="110">
        <v>7</v>
      </c>
      <c r="CM66" s="110">
        <v>5300.4</v>
      </c>
      <c r="CN66" s="110">
        <v>18</v>
      </c>
      <c r="CO66" s="110">
        <v>13629.599999999999</v>
      </c>
      <c r="CP66" s="110">
        <v>0.67049113824643713</v>
      </c>
      <c r="CQ66" s="110">
        <v>507.69588988020217</v>
      </c>
      <c r="CR66" s="110">
        <v>10.43277591349225</v>
      </c>
      <c r="CS66" s="110">
        <v>7899.6979216963309</v>
      </c>
      <c r="CT66" s="110">
        <v>1.8074133632381444</v>
      </c>
      <c r="CU66" s="110">
        <v>1368.5733986439227</v>
      </c>
    </row>
    <row r="67" spans="2:99" x14ac:dyDescent="0.2">
      <c r="C67" s="109" t="s">
        <v>235</v>
      </c>
      <c r="D67" s="110">
        <v>0</v>
      </c>
      <c r="E67" s="110">
        <v>0</v>
      </c>
      <c r="F67" s="110">
        <v>1.903841550642537</v>
      </c>
      <c r="G67" s="110">
        <v>760.7750836367577</v>
      </c>
      <c r="H67" s="110">
        <v>0</v>
      </c>
      <c r="I67" s="110">
        <v>0</v>
      </c>
      <c r="J67" s="110">
        <v>5</v>
      </c>
      <c r="K67" s="110">
        <v>1997.9999999999998</v>
      </c>
      <c r="L67" s="110">
        <v>14</v>
      </c>
      <c r="M67" s="110">
        <v>5594.4</v>
      </c>
      <c r="N67" s="110">
        <v>11.231234131948634</v>
      </c>
      <c r="O67" s="110">
        <v>4488.0011591266739</v>
      </c>
      <c r="P67" s="110">
        <v>14</v>
      </c>
      <c r="Q67" s="110">
        <v>5594.4</v>
      </c>
      <c r="R67" s="110">
        <v>12.066952012852891</v>
      </c>
      <c r="S67" s="110">
        <v>4821.9540243360152</v>
      </c>
      <c r="T67" s="110">
        <v>4.0774832587060086</v>
      </c>
      <c r="U67" s="110">
        <v>1629.3623101789208</v>
      </c>
      <c r="V67" s="110">
        <v>1.8132854014552924</v>
      </c>
      <c r="W67" s="110">
        <v>724.58884642153475</v>
      </c>
      <c r="X67" s="110">
        <v>4.8842996786191799</v>
      </c>
      <c r="Y67" s="110">
        <v>1951.766151576224</v>
      </c>
      <c r="Z67" s="110">
        <v>11</v>
      </c>
      <c r="AA67" s="110">
        <v>4395.5999999999995</v>
      </c>
      <c r="AB67" s="110">
        <v>6</v>
      </c>
      <c r="AC67" s="110">
        <v>2397.6</v>
      </c>
      <c r="AD67" s="110">
        <v>5.9140125262040044</v>
      </c>
      <c r="AE67" s="110">
        <v>2363.2394054711199</v>
      </c>
      <c r="AF67" s="110">
        <v>0</v>
      </c>
      <c r="AG67" s="110">
        <v>0</v>
      </c>
      <c r="AH67" s="110">
        <v>8</v>
      </c>
      <c r="AI67" s="110">
        <v>3196.7999999999997</v>
      </c>
      <c r="AJ67" s="110">
        <v>5</v>
      </c>
      <c r="AK67" s="110">
        <v>1997.9999999999998</v>
      </c>
      <c r="AL67" s="110">
        <v>5</v>
      </c>
      <c r="AM67" s="110">
        <v>1997.9999999999998</v>
      </c>
      <c r="AN67" s="110">
        <v>6</v>
      </c>
      <c r="AO67" s="110">
        <v>2397.6</v>
      </c>
      <c r="AP67" s="110">
        <v>4</v>
      </c>
      <c r="AQ67" s="110">
        <v>1598.3999999999999</v>
      </c>
      <c r="AR67" s="110">
        <v>4</v>
      </c>
      <c r="AS67" s="110">
        <v>1598.3999999999999</v>
      </c>
      <c r="AT67" s="110">
        <v>3.1496948141134178</v>
      </c>
      <c r="AU67" s="110">
        <v>1258.6180477197217</v>
      </c>
      <c r="AV67" s="110">
        <v>2.0870217553288319</v>
      </c>
      <c r="AW67" s="110">
        <v>833.97389342940119</v>
      </c>
      <c r="AX67" s="110">
        <v>4.8807474606710928</v>
      </c>
      <c r="AY67" s="110">
        <v>1950.3466852841684</v>
      </c>
      <c r="AZ67" s="110">
        <v>12</v>
      </c>
      <c r="BA67" s="110">
        <v>4795.2</v>
      </c>
      <c r="BB67" s="110">
        <v>11.721725264628919</v>
      </c>
      <c r="BC67" s="110">
        <v>4684.0014157457153</v>
      </c>
      <c r="BD67" s="110">
        <v>0</v>
      </c>
      <c r="BE67" s="110">
        <v>0</v>
      </c>
      <c r="BF67" s="110">
        <v>3.1451197267485296</v>
      </c>
      <c r="BG67" s="110">
        <v>1256.7898428087124</v>
      </c>
      <c r="BH67" s="110">
        <v>4.6673814514614271</v>
      </c>
      <c r="BI67" s="110">
        <v>1865.0856280039861</v>
      </c>
      <c r="BJ67" s="110">
        <v>7</v>
      </c>
      <c r="BK67" s="110">
        <v>2797.2</v>
      </c>
      <c r="BL67" s="110">
        <v>5.9976423290600849</v>
      </c>
      <c r="BM67" s="110">
        <v>2396.6578746924097</v>
      </c>
      <c r="BN67" s="110">
        <v>6</v>
      </c>
      <c r="BO67" s="110">
        <v>2397.6</v>
      </c>
      <c r="BP67" s="110">
        <v>5</v>
      </c>
      <c r="BQ67" s="110">
        <v>1997.9999999999998</v>
      </c>
      <c r="BR67" s="110">
        <v>6.9051817567473881</v>
      </c>
      <c r="BS67" s="110">
        <v>2759.310629996256</v>
      </c>
      <c r="BT67" s="110">
        <v>8</v>
      </c>
      <c r="BU67" s="110">
        <v>3196.7999999999997</v>
      </c>
      <c r="BV67" s="110">
        <v>2.5226623629679334</v>
      </c>
      <c r="BW67" s="110">
        <v>1008.0558802419861</v>
      </c>
      <c r="BX67" s="110">
        <v>3.1559823420244486</v>
      </c>
      <c r="BY67" s="110">
        <v>1261.1305438729696</v>
      </c>
      <c r="BZ67" s="110">
        <v>0</v>
      </c>
      <c r="CA67" s="110">
        <v>0</v>
      </c>
      <c r="CB67" s="110">
        <v>8</v>
      </c>
      <c r="CC67" s="110">
        <v>3196.7999999999997</v>
      </c>
      <c r="CD67" s="110">
        <v>0.72006160947592246</v>
      </c>
      <c r="CE67" s="110">
        <v>287.73661914657856</v>
      </c>
      <c r="CF67" s="110">
        <v>7</v>
      </c>
      <c r="CG67" s="110">
        <v>2797.2</v>
      </c>
      <c r="CH67" s="110">
        <v>0.42605203800377023</v>
      </c>
      <c r="CI67" s="110">
        <v>170.25039438630657</v>
      </c>
      <c r="CJ67" s="110">
        <v>5.5229690985427853</v>
      </c>
      <c r="CK67" s="110">
        <v>2206.9784517776966</v>
      </c>
      <c r="CL67" s="110">
        <v>8</v>
      </c>
      <c r="CM67" s="110">
        <v>3196.7999999999997</v>
      </c>
      <c r="CN67" s="110">
        <v>17</v>
      </c>
      <c r="CO67" s="110">
        <v>6793.2</v>
      </c>
      <c r="CP67" s="110">
        <v>0.71838336240689704</v>
      </c>
      <c r="CQ67" s="110">
        <v>287.06599161779604</v>
      </c>
      <c r="CR67" s="110">
        <v>9.6302546893774608</v>
      </c>
      <c r="CS67" s="110">
        <v>3848.2497738752331</v>
      </c>
      <c r="CT67" s="110">
        <v>2.0082370702646046</v>
      </c>
      <c r="CU67" s="110">
        <v>802.49153327773593</v>
      </c>
    </row>
    <row r="68" spans="2:99" x14ac:dyDescent="0.2">
      <c r="C68" s="109" t="s">
        <v>236</v>
      </c>
      <c r="D68" s="110">
        <v>0</v>
      </c>
      <c r="E68" s="110">
        <v>0</v>
      </c>
      <c r="F68" s="110">
        <v>1.903841550642537</v>
      </c>
      <c r="G68" s="110">
        <v>1795.7033505660409</v>
      </c>
      <c r="H68" s="110">
        <v>0</v>
      </c>
      <c r="I68" s="110">
        <v>0</v>
      </c>
      <c r="J68" s="110">
        <v>5</v>
      </c>
      <c r="K68" s="110">
        <v>4716</v>
      </c>
      <c r="L68" s="110">
        <v>13</v>
      </c>
      <c r="M68" s="110">
        <v>12261.599999999999</v>
      </c>
      <c r="N68" s="110">
        <v>9.3593617766238637</v>
      </c>
      <c r="O68" s="110">
        <v>8827.7500277116269</v>
      </c>
      <c r="P68" s="110">
        <v>13</v>
      </c>
      <c r="Q68" s="110">
        <v>12261.599999999999</v>
      </c>
      <c r="R68" s="110">
        <v>11.138724934941129</v>
      </c>
      <c r="S68" s="110">
        <v>10506.045358636471</v>
      </c>
      <c r="T68" s="110">
        <v>4.0774832587060086</v>
      </c>
      <c r="U68" s="110">
        <v>3845.8822096115068</v>
      </c>
      <c r="V68" s="110">
        <v>1.8132854014552924</v>
      </c>
      <c r="W68" s="110">
        <v>1710.2907906526316</v>
      </c>
      <c r="X68" s="110">
        <v>4.8842996786191799</v>
      </c>
      <c r="Y68" s="110">
        <v>4606.8714568736104</v>
      </c>
      <c r="Z68" s="110">
        <v>11</v>
      </c>
      <c r="AA68" s="110">
        <v>10375.199999999999</v>
      </c>
      <c r="AB68" s="110">
        <v>6</v>
      </c>
      <c r="AC68" s="110">
        <v>5659.2</v>
      </c>
      <c r="AD68" s="110">
        <v>5.9140125262040044</v>
      </c>
      <c r="AE68" s="110">
        <v>5578.0966147156169</v>
      </c>
      <c r="AF68" s="110">
        <v>0</v>
      </c>
      <c r="AG68" s="110">
        <v>0</v>
      </c>
      <c r="AH68" s="110">
        <v>8</v>
      </c>
      <c r="AI68" s="110">
        <v>7545.5999999999995</v>
      </c>
      <c r="AJ68" s="110">
        <v>5</v>
      </c>
      <c r="AK68" s="110">
        <v>4716</v>
      </c>
      <c r="AL68" s="110">
        <v>5</v>
      </c>
      <c r="AM68" s="110">
        <v>4716</v>
      </c>
      <c r="AN68" s="110">
        <v>5</v>
      </c>
      <c r="AO68" s="110">
        <v>4716</v>
      </c>
      <c r="AP68" s="110">
        <v>4</v>
      </c>
      <c r="AQ68" s="110">
        <v>3772.7999999999997</v>
      </c>
      <c r="AR68" s="110">
        <v>4</v>
      </c>
      <c r="AS68" s="110">
        <v>3772.7999999999997</v>
      </c>
      <c r="AT68" s="110">
        <v>3.7796337769361017</v>
      </c>
      <c r="AU68" s="110">
        <v>3564.9505784061307</v>
      </c>
      <c r="AV68" s="110">
        <v>2.0870217553288319</v>
      </c>
      <c r="AW68" s="110">
        <v>1968.478919626154</v>
      </c>
      <c r="AX68" s="110">
        <v>4.8807474606710928</v>
      </c>
      <c r="AY68" s="110">
        <v>4603.5210049049747</v>
      </c>
      <c r="AZ68" s="110">
        <v>11</v>
      </c>
      <c r="BA68" s="110">
        <v>10375.199999999999</v>
      </c>
      <c r="BB68" s="110">
        <v>11.721725264628919</v>
      </c>
      <c r="BC68" s="110">
        <v>11055.931269597995</v>
      </c>
      <c r="BD68" s="110">
        <v>0</v>
      </c>
      <c r="BE68" s="110">
        <v>0</v>
      </c>
      <c r="BF68" s="110">
        <v>2.960112683998616</v>
      </c>
      <c r="BG68" s="110">
        <v>2791.9782835474944</v>
      </c>
      <c r="BH68" s="110">
        <v>4.0006126726812239</v>
      </c>
      <c r="BI68" s="110">
        <v>3773.3778728729303</v>
      </c>
      <c r="BJ68" s="110">
        <v>7</v>
      </c>
      <c r="BK68" s="110">
        <v>6602.4</v>
      </c>
      <c r="BL68" s="110">
        <v>5.9976423290600849</v>
      </c>
      <c r="BM68" s="110">
        <v>5656.976244769472</v>
      </c>
      <c r="BN68" s="110">
        <v>6</v>
      </c>
      <c r="BO68" s="110">
        <v>5659.2</v>
      </c>
      <c r="BP68" s="110">
        <v>5</v>
      </c>
      <c r="BQ68" s="110">
        <v>4716</v>
      </c>
      <c r="BR68" s="110">
        <v>6.0420340371539645</v>
      </c>
      <c r="BS68" s="110">
        <v>5698.8465038436188</v>
      </c>
      <c r="BT68" s="110">
        <v>7</v>
      </c>
      <c r="BU68" s="110">
        <v>6602.4</v>
      </c>
      <c r="BV68" s="110">
        <v>2.1022186358066111</v>
      </c>
      <c r="BW68" s="110">
        <v>1982.8126172927955</v>
      </c>
      <c r="BX68" s="110">
        <v>3.1559823420244486</v>
      </c>
      <c r="BY68" s="110">
        <v>2976.7225449974599</v>
      </c>
      <c r="BZ68" s="110">
        <v>0</v>
      </c>
      <c r="CA68" s="110">
        <v>0</v>
      </c>
      <c r="CB68" s="110">
        <v>8</v>
      </c>
      <c r="CC68" s="110">
        <v>7545.5999999999995</v>
      </c>
      <c r="CD68" s="110">
        <v>0.72006160947592246</v>
      </c>
      <c r="CE68" s="110">
        <v>679.16211005769003</v>
      </c>
      <c r="CF68" s="110">
        <v>7</v>
      </c>
      <c r="CG68" s="110">
        <v>6602.4</v>
      </c>
      <c r="CH68" s="110">
        <v>0.35504336500314182</v>
      </c>
      <c r="CI68" s="110">
        <v>334.87690187096337</v>
      </c>
      <c r="CJ68" s="110">
        <v>5.5229690985427853</v>
      </c>
      <c r="CK68" s="110">
        <v>5209.2644537455544</v>
      </c>
      <c r="CL68" s="110">
        <v>6</v>
      </c>
      <c r="CM68" s="110">
        <v>5659.2</v>
      </c>
      <c r="CN68" s="110">
        <v>15</v>
      </c>
      <c r="CO68" s="110">
        <v>14147.999999999998</v>
      </c>
      <c r="CP68" s="110">
        <v>0.76627558656735673</v>
      </c>
      <c r="CQ68" s="110">
        <v>722.75113325033078</v>
      </c>
      <c r="CR68" s="110">
        <v>8.8277334652626731</v>
      </c>
      <c r="CS68" s="110">
        <v>8326.3182044357527</v>
      </c>
      <c r="CT68" s="110">
        <v>1.8074133632381444</v>
      </c>
      <c r="CU68" s="110">
        <v>1704.7522842062176</v>
      </c>
    </row>
    <row r="69" spans="2:99" x14ac:dyDescent="0.2">
      <c r="C69" s="109" t="s">
        <v>237</v>
      </c>
      <c r="D69" s="110">
        <v>0</v>
      </c>
      <c r="E69" s="110">
        <v>0</v>
      </c>
      <c r="F69" s="110">
        <v>0.43797506265472524</v>
      </c>
      <c r="G69" s="110">
        <v>387.87071548702471</v>
      </c>
      <c r="H69" s="110">
        <v>1.4445598715683357</v>
      </c>
      <c r="I69" s="110">
        <v>1279.3022222609181</v>
      </c>
      <c r="J69" s="110">
        <v>1.0901238740245311</v>
      </c>
      <c r="K69" s="110">
        <v>965.4137028361248</v>
      </c>
      <c r="L69" s="110">
        <v>0</v>
      </c>
      <c r="M69" s="110">
        <v>0</v>
      </c>
      <c r="N69" s="110">
        <v>3.5802941617956838</v>
      </c>
      <c r="O69" s="110">
        <v>3170.7085096862575</v>
      </c>
      <c r="P69" s="110">
        <v>2.1078781799415514</v>
      </c>
      <c r="Q69" s="110">
        <v>1866.7369161562378</v>
      </c>
      <c r="R69" s="110">
        <v>2.205164865169623</v>
      </c>
      <c r="S69" s="110">
        <v>1952.8940045942181</v>
      </c>
      <c r="T69" s="110">
        <v>0.59366003609957674</v>
      </c>
      <c r="U69" s="110">
        <v>525.74532796978519</v>
      </c>
      <c r="V69" s="110">
        <v>1.2583821241457087</v>
      </c>
      <c r="W69" s="110">
        <v>1114.4232091434396</v>
      </c>
      <c r="X69" s="110">
        <v>1.3804690619354549</v>
      </c>
      <c r="Y69" s="110">
        <v>1222.5434012500389</v>
      </c>
      <c r="Z69" s="110">
        <v>1.4336985191505287</v>
      </c>
      <c r="AA69" s="110">
        <v>1269.6834085597081</v>
      </c>
      <c r="AB69" s="110">
        <v>0.72697742807789756</v>
      </c>
      <c r="AC69" s="110">
        <v>643.81121030578606</v>
      </c>
      <c r="AD69" s="110">
        <v>1.2040681791097785</v>
      </c>
      <c r="AE69" s="110">
        <v>1066.3227794196198</v>
      </c>
      <c r="AF69" s="110">
        <v>0.64050431768412286</v>
      </c>
      <c r="AG69" s="110">
        <v>567.23062374105916</v>
      </c>
      <c r="AH69" s="110">
        <v>0.44598094472416555</v>
      </c>
      <c r="AI69" s="110">
        <v>394.96072464772101</v>
      </c>
      <c r="AJ69" s="110">
        <v>0.16193429413126592</v>
      </c>
      <c r="AK69" s="110">
        <v>143.40901088264911</v>
      </c>
      <c r="AL69" s="110">
        <v>0.4394154314468271</v>
      </c>
      <c r="AM69" s="110">
        <v>389.14630608931009</v>
      </c>
      <c r="AN69" s="110">
        <v>0.55640425846840336</v>
      </c>
      <c r="AO69" s="110">
        <v>492.75161129961805</v>
      </c>
      <c r="AP69" s="110">
        <v>0.3035625183124358</v>
      </c>
      <c r="AQ69" s="110">
        <v>268.83496621749316</v>
      </c>
      <c r="AR69" s="110">
        <v>0.92988879856550366</v>
      </c>
      <c r="AS69" s="110">
        <v>823.50952000961001</v>
      </c>
      <c r="AT69" s="110">
        <v>0</v>
      </c>
      <c r="AU69" s="110">
        <v>0</v>
      </c>
      <c r="AV69" s="110">
        <v>0.74974857799292116</v>
      </c>
      <c r="AW69" s="110">
        <v>663.97734067053102</v>
      </c>
      <c r="AX69" s="110">
        <v>0</v>
      </c>
      <c r="AY69" s="110">
        <v>0</v>
      </c>
      <c r="AZ69" s="110">
        <v>1.9995018207496578</v>
      </c>
      <c r="BA69" s="110">
        <v>1770.758812455897</v>
      </c>
      <c r="BB69" s="110">
        <v>0</v>
      </c>
      <c r="BC69" s="110">
        <v>0</v>
      </c>
      <c r="BD69" s="110">
        <v>1.0967617616076926</v>
      </c>
      <c r="BE69" s="110">
        <v>971.29221607977252</v>
      </c>
      <c r="BF69" s="110">
        <v>3.4390475653612054</v>
      </c>
      <c r="BG69" s="110">
        <v>3045.6205238838834</v>
      </c>
      <c r="BH69" s="110">
        <v>1.0565017386846149</v>
      </c>
      <c r="BI69" s="110">
        <v>935.63793977909506</v>
      </c>
      <c r="BJ69" s="110">
        <v>0.28510394928112193</v>
      </c>
      <c r="BK69" s="110">
        <v>252.48805748336159</v>
      </c>
      <c r="BL69" s="110">
        <v>0.398173881455676</v>
      </c>
      <c r="BM69" s="110">
        <v>352.62278941714669</v>
      </c>
      <c r="BN69" s="110">
        <v>0.78564448691441324</v>
      </c>
      <c r="BO69" s="110">
        <v>695.76675761140439</v>
      </c>
      <c r="BP69" s="110">
        <v>0.25825727943348448</v>
      </c>
      <c r="BQ69" s="110">
        <v>228.71264666629386</v>
      </c>
      <c r="BR69" s="110">
        <v>1.7295410707212728</v>
      </c>
      <c r="BS69" s="110">
        <v>1531.6815722307592</v>
      </c>
      <c r="BT69" s="110">
        <v>0</v>
      </c>
      <c r="BU69" s="110">
        <v>0</v>
      </c>
      <c r="BV69" s="110">
        <v>0.57426168363792263</v>
      </c>
      <c r="BW69" s="110">
        <v>508.56614702974429</v>
      </c>
      <c r="BX69" s="110">
        <v>0.69427979263211503</v>
      </c>
      <c r="BY69" s="110">
        <v>614.85418435500105</v>
      </c>
      <c r="BZ69" s="110">
        <v>0.41775789055987445</v>
      </c>
      <c r="CA69" s="110">
        <v>369.96638787982482</v>
      </c>
      <c r="CB69" s="110">
        <v>0.65755714829339129</v>
      </c>
      <c r="CC69" s="110">
        <v>582.33261052862736</v>
      </c>
      <c r="CD69" s="110">
        <v>0</v>
      </c>
      <c r="CE69" s="110">
        <v>0</v>
      </c>
      <c r="CF69" s="110">
        <v>0.47200445809404457</v>
      </c>
      <c r="CG69" s="110">
        <v>418.0071480880859</v>
      </c>
      <c r="CH69" s="110">
        <v>0</v>
      </c>
      <c r="CI69" s="110">
        <v>0</v>
      </c>
      <c r="CJ69" s="110">
        <v>2.6089905873369275</v>
      </c>
      <c r="CK69" s="110">
        <v>2310.522064145583</v>
      </c>
      <c r="CL69" s="110">
        <v>1.496580033148359</v>
      </c>
      <c r="CM69" s="110">
        <v>1325.3712773561867</v>
      </c>
      <c r="CN69" s="110">
        <v>2.5087439670667795</v>
      </c>
      <c r="CO69" s="110">
        <v>2221.7436572343399</v>
      </c>
      <c r="CP69" s="110">
        <v>2.479039730651075</v>
      </c>
      <c r="CQ69" s="110">
        <v>2195.4375854645918</v>
      </c>
      <c r="CR69" s="110">
        <v>0</v>
      </c>
      <c r="CS69" s="110">
        <v>0</v>
      </c>
      <c r="CT69" s="110">
        <v>1.7907371294880927</v>
      </c>
      <c r="CU69" s="110">
        <v>1585.876801874655</v>
      </c>
    </row>
    <row r="70" spans="2:99" x14ac:dyDescent="0.2">
      <c r="C70" s="109" t="s">
        <v>238</v>
      </c>
      <c r="D70" s="110">
        <v>0</v>
      </c>
      <c r="E70" s="110">
        <v>0</v>
      </c>
      <c r="F70" s="110">
        <v>0.51097090643051279</v>
      </c>
      <c r="G70" s="110">
        <v>361.76740175280304</v>
      </c>
      <c r="H70" s="110">
        <v>1.6509255675066694</v>
      </c>
      <c r="I70" s="110">
        <v>1168.855301794722</v>
      </c>
      <c r="J70" s="110">
        <v>1.3081486488294372</v>
      </c>
      <c r="K70" s="110">
        <v>926.16924337124146</v>
      </c>
      <c r="L70" s="110">
        <v>0</v>
      </c>
      <c r="M70" s="110">
        <v>0</v>
      </c>
      <c r="N70" s="110">
        <v>3.254812874359712</v>
      </c>
      <c r="O70" s="110">
        <v>2304.4075150466761</v>
      </c>
      <c r="P70" s="110">
        <v>2.4321671307017896</v>
      </c>
      <c r="Q70" s="110">
        <v>1721.974328536867</v>
      </c>
      <c r="R70" s="110">
        <v>1.8901413130025337</v>
      </c>
      <c r="S70" s="110">
        <v>1338.220049605794</v>
      </c>
      <c r="T70" s="110">
        <v>0.51945253158712967</v>
      </c>
      <c r="U70" s="110">
        <v>367.7723923636878</v>
      </c>
      <c r="V70" s="110">
        <v>1.1185618881295187</v>
      </c>
      <c r="W70" s="110">
        <v>791.94181679569931</v>
      </c>
      <c r="X70" s="110">
        <v>1.2549718744867773</v>
      </c>
      <c r="Y70" s="110">
        <v>888.52008713663827</v>
      </c>
      <c r="Z70" s="110">
        <v>1.4336985191505287</v>
      </c>
      <c r="AA70" s="110">
        <v>1015.0585515585743</v>
      </c>
      <c r="AB70" s="110">
        <v>0.72697742807789756</v>
      </c>
      <c r="AC70" s="110">
        <v>514.7000190791515</v>
      </c>
      <c r="AD70" s="110">
        <v>1.2040681791097785</v>
      </c>
      <c r="AE70" s="110">
        <v>852.48027080972315</v>
      </c>
      <c r="AF70" s="110">
        <v>0.64050431768412286</v>
      </c>
      <c r="AG70" s="110">
        <v>453.47705692035896</v>
      </c>
      <c r="AH70" s="110">
        <v>0.39023332663364485</v>
      </c>
      <c r="AI70" s="110">
        <v>276.28519525662057</v>
      </c>
      <c r="AJ70" s="110">
        <v>0.20241786766408237</v>
      </c>
      <c r="AK70" s="110">
        <v>143.31185030617033</v>
      </c>
      <c r="AL70" s="110">
        <v>0.54926928930853391</v>
      </c>
      <c r="AM70" s="110">
        <v>388.88265683044199</v>
      </c>
      <c r="AN70" s="110">
        <v>0.55640425846840336</v>
      </c>
      <c r="AO70" s="110">
        <v>393.93421499562959</v>
      </c>
      <c r="AP70" s="110">
        <v>0.3035625183124358</v>
      </c>
      <c r="AQ70" s="110">
        <v>214.92226296520454</v>
      </c>
      <c r="AR70" s="110">
        <v>0.92988879856550366</v>
      </c>
      <c r="AS70" s="110">
        <v>658.36126938437656</v>
      </c>
      <c r="AT70" s="110">
        <v>0</v>
      </c>
      <c r="AU70" s="110">
        <v>0</v>
      </c>
      <c r="AV70" s="110">
        <v>0.85685551770619561</v>
      </c>
      <c r="AW70" s="110">
        <v>606.65370653598654</v>
      </c>
      <c r="AX70" s="110">
        <v>0</v>
      </c>
      <c r="AY70" s="110">
        <v>0</v>
      </c>
      <c r="AZ70" s="110">
        <v>2.1994520028246236</v>
      </c>
      <c r="BA70" s="110">
        <v>1557.2120179998335</v>
      </c>
      <c r="BB70" s="110">
        <v>0</v>
      </c>
      <c r="BC70" s="110">
        <v>0</v>
      </c>
      <c r="BD70" s="110">
        <v>1.1653093717081733</v>
      </c>
      <c r="BE70" s="110">
        <v>825.03903516938669</v>
      </c>
      <c r="BF70" s="110">
        <v>3.2241070925261299</v>
      </c>
      <c r="BG70" s="110">
        <v>2282.6678215084999</v>
      </c>
      <c r="BH70" s="110">
        <v>1.2325853617987175</v>
      </c>
      <c r="BI70" s="110">
        <v>872.67043615349201</v>
      </c>
      <c r="BJ70" s="110">
        <v>0.28510394928112193</v>
      </c>
      <c r="BK70" s="110">
        <v>201.85359609103432</v>
      </c>
      <c r="BL70" s="110">
        <v>0.398173881455676</v>
      </c>
      <c r="BM70" s="110">
        <v>281.90710807061862</v>
      </c>
      <c r="BN70" s="110">
        <v>0.78564448691441324</v>
      </c>
      <c r="BO70" s="110">
        <v>556.23629673540461</v>
      </c>
      <c r="BP70" s="110">
        <v>0.25825727943348448</v>
      </c>
      <c r="BQ70" s="110">
        <v>182.84615383890701</v>
      </c>
      <c r="BR70" s="110">
        <v>1.7295410707212728</v>
      </c>
      <c r="BS70" s="110">
        <v>1224.5150780706613</v>
      </c>
      <c r="BT70" s="110">
        <v>0</v>
      </c>
      <c r="BU70" s="110">
        <v>0</v>
      </c>
      <c r="BV70" s="110">
        <v>0.57426168363792263</v>
      </c>
      <c r="BW70" s="110">
        <v>406.57727201564921</v>
      </c>
      <c r="BX70" s="110">
        <v>0.57856649386009595</v>
      </c>
      <c r="BY70" s="110">
        <v>409.62507765294794</v>
      </c>
      <c r="BZ70" s="110">
        <v>0.41775789055987445</v>
      </c>
      <c r="CA70" s="110">
        <v>295.77258651639113</v>
      </c>
      <c r="CB70" s="110">
        <v>0.57536250475671735</v>
      </c>
      <c r="CC70" s="110">
        <v>407.35665336775588</v>
      </c>
      <c r="CD70" s="110">
        <v>0</v>
      </c>
      <c r="CE70" s="110">
        <v>0</v>
      </c>
      <c r="CF70" s="110">
        <v>0.55067186777638533</v>
      </c>
      <c r="CG70" s="110">
        <v>389.87568238568082</v>
      </c>
      <c r="CH70" s="110">
        <v>0</v>
      </c>
      <c r="CI70" s="110">
        <v>0</v>
      </c>
      <c r="CJ70" s="110">
        <v>3.0438223518930823</v>
      </c>
      <c r="CK70" s="110">
        <v>2155.0262251403024</v>
      </c>
      <c r="CL70" s="110">
        <v>1.496580033148359</v>
      </c>
      <c r="CM70" s="110">
        <v>1059.5786634690382</v>
      </c>
      <c r="CN70" s="110">
        <v>2.5087439670667795</v>
      </c>
      <c r="CO70" s="110">
        <v>1776.19072868328</v>
      </c>
      <c r="CP70" s="110">
        <v>2.3137704152743366</v>
      </c>
      <c r="CQ70" s="110">
        <v>1638.1494540142303</v>
      </c>
      <c r="CR70" s="110">
        <v>0</v>
      </c>
      <c r="CS70" s="110">
        <v>0</v>
      </c>
      <c r="CT70" s="110">
        <v>1.6116634165392834</v>
      </c>
      <c r="CU70" s="110">
        <v>1141.0576989098126</v>
      </c>
    </row>
    <row r="71" spans="2:99" x14ac:dyDescent="0.2">
      <c r="B71" s="109" t="s">
        <v>130</v>
      </c>
      <c r="C71" s="109" t="s">
        <v>239</v>
      </c>
      <c r="D71" s="110">
        <v>0</v>
      </c>
      <c r="E71" s="110">
        <v>0</v>
      </c>
      <c r="F71" s="110">
        <v>4.4422969514992534</v>
      </c>
      <c r="G71" s="110">
        <v>2489.4632116201815</v>
      </c>
      <c r="H71" s="110">
        <v>0</v>
      </c>
      <c r="I71" s="110">
        <v>0</v>
      </c>
      <c r="J71" s="110">
        <v>18</v>
      </c>
      <c r="K71" s="110">
        <v>10087.199999999999</v>
      </c>
      <c r="L71" s="110">
        <v>6</v>
      </c>
      <c r="M71" s="110">
        <v>3362.3999999999996</v>
      </c>
      <c r="N71" s="110">
        <v>8.4234255989614759</v>
      </c>
      <c r="O71" s="110">
        <v>4720.4877056580108</v>
      </c>
      <c r="P71" s="110">
        <v>9</v>
      </c>
      <c r="Q71" s="110">
        <v>5043.5999999999995</v>
      </c>
      <c r="R71" s="110">
        <v>5.5693624674705644</v>
      </c>
      <c r="S71" s="110">
        <v>3121.0707267705043</v>
      </c>
      <c r="T71" s="110">
        <v>8.1549665174120172</v>
      </c>
      <c r="U71" s="110">
        <v>4570.0432363576938</v>
      </c>
      <c r="V71" s="110">
        <v>3.3999101277286732</v>
      </c>
      <c r="W71" s="110">
        <v>1905.3096355791483</v>
      </c>
      <c r="X71" s="110">
        <v>7.5484631396841877</v>
      </c>
      <c r="Y71" s="110">
        <v>4230.158743479019</v>
      </c>
      <c r="Z71" s="110">
        <v>20</v>
      </c>
      <c r="AA71" s="110">
        <v>11208</v>
      </c>
      <c r="AB71" s="110">
        <v>13</v>
      </c>
      <c r="AC71" s="110">
        <v>7285.2</v>
      </c>
      <c r="AD71" s="110">
        <v>10.513800046584898</v>
      </c>
      <c r="AE71" s="110">
        <v>5891.9335461061764</v>
      </c>
      <c r="AF71" s="110">
        <v>0</v>
      </c>
      <c r="AG71" s="110">
        <v>0</v>
      </c>
      <c r="AH71" s="110">
        <v>18</v>
      </c>
      <c r="AI71" s="110">
        <v>10087.199999999999</v>
      </c>
      <c r="AJ71" s="110">
        <v>8</v>
      </c>
      <c r="AK71" s="110">
        <v>4483.2</v>
      </c>
      <c r="AL71" s="110">
        <v>9</v>
      </c>
      <c r="AM71" s="110">
        <v>5043.5999999999995</v>
      </c>
      <c r="AN71" s="110">
        <v>10</v>
      </c>
      <c r="AO71" s="110">
        <v>5604</v>
      </c>
      <c r="AP71" s="110">
        <v>9</v>
      </c>
      <c r="AQ71" s="110">
        <v>5043.5999999999995</v>
      </c>
      <c r="AR71" s="110">
        <v>5</v>
      </c>
      <c r="AS71" s="110">
        <v>2802</v>
      </c>
      <c r="AT71" s="110">
        <v>4.4095727397587856</v>
      </c>
      <c r="AU71" s="110">
        <v>2471.1245633608232</v>
      </c>
      <c r="AV71" s="110">
        <v>2.9814596504697599</v>
      </c>
      <c r="AW71" s="110">
        <v>1670.8099881232533</v>
      </c>
      <c r="AX71" s="110">
        <v>8.1345791011184883</v>
      </c>
      <c r="AY71" s="110">
        <v>4558.6181282668003</v>
      </c>
      <c r="AZ71" s="110">
        <v>6</v>
      </c>
      <c r="BA71" s="110">
        <v>3362.3999999999996</v>
      </c>
      <c r="BB71" s="110">
        <v>9.2099269936370067</v>
      </c>
      <c r="BC71" s="110">
        <v>5161.2430872341783</v>
      </c>
      <c r="BD71" s="110">
        <v>0</v>
      </c>
      <c r="BE71" s="110">
        <v>0</v>
      </c>
      <c r="BF71" s="110">
        <v>2.2200845129989619</v>
      </c>
      <c r="BG71" s="110">
        <v>1244.1353610846181</v>
      </c>
      <c r="BH71" s="110">
        <v>5.3341502302416313</v>
      </c>
      <c r="BI71" s="110">
        <v>2989.2577890274101</v>
      </c>
      <c r="BJ71" s="110">
        <v>6</v>
      </c>
      <c r="BK71" s="110">
        <v>3362.3999999999996</v>
      </c>
      <c r="BL71" s="110">
        <v>5.1408362820515014</v>
      </c>
      <c r="BM71" s="110">
        <v>2880.9246524616615</v>
      </c>
      <c r="BN71" s="110">
        <v>9</v>
      </c>
      <c r="BO71" s="110">
        <v>5043.5999999999995</v>
      </c>
      <c r="BP71" s="110">
        <v>10</v>
      </c>
      <c r="BQ71" s="110">
        <v>5604</v>
      </c>
      <c r="BR71" s="110">
        <v>6.9051817567473881</v>
      </c>
      <c r="BS71" s="110">
        <v>3869.6638564812361</v>
      </c>
      <c r="BT71" s="110">
        <v>9</v>
      </c>
      <c r="BU71" s="110">
        <v>5043.5999999999995</v>
      </c>
      <c r="BV71" s="110">
        <v>3.7839935444519002</v>
      </c>
      <c r="BW71" s="110">
        <v>2120.5499823108448</v>
      </c>
      <c r="BX71" s="110">
        <v>10.730339962883127</v>
      </c>
      <c r="BY71" s="110">
        <v>6013.282515199704</v>
      </c>
      <c r="BZ71" s="110">
        <v>0</v>
      </c>
      <c r="CA71" s="110">
        <v>0</v>
      </c>
      <c r="CB71" s="110">
        <v>19</v>
      </c>
      <c r="CC71" s="110">
        <v>10647.6</v>
      </c>
      <c r="CD71" s="110">
        <v>2.4002053649197417</v>
      </c>
      <c r="CE71" s="110">
        <v>1345.0750865010232</v>
      </c>
      <c r="CF71" s="110">
        <v>8</v>
      </c>
      <c r="CG71" s="110">
        <v>4483.2</v>
      </c>
      <c r="CH71" s="110">
        <v>0.85210407600754046</v>
      </c>
      <c r="CI71" s="110">
        <v>477.51912419462565</v>
      </c>
      <c r="CJ71" s="110">
        <v>13.412924953603907</v>
      </c>
      <c r="CK71" s="110">
        <v>7516.6031439996295</v>
      </c>
      <c r="CL71" s="110">
        <v>14</v>
      </c>
      <c r="CM71" s="110">
        <v>7845.5999999999995</v>
      </c>
      <c r="CN71" s="110">
        <v>18</v>
      </c>
      <c r="CO71" s="110">
        <v>10087.199999999999</v>
      </c>
      <c r="CP71" s="110">
        <v>0.67049113824643713</v>
      </c>
      <c r="CQ71" s="110">
        <v>375.74323387330338</v>
      </c>
      <c r="CR71" s="110">
        <v>9.6302546893774608</v>
      </c>
      <c r="CS71" s="110">
        <v>5396.7947279271284</v>
      </c>
      <c r="CT71" s="110">
        <v>3.0123556053969072</v>
      </c>
      <c r="CU71" s="110">
        <v>1688.1240812644266</v>
      </c>
    </row>
    <row r="72" spans="2:99" x14ac:dyDescent="0.2">
      <c r="C72" s="109" t="s">
        <v>240</v>
      </c>
      <c r="D72" s="110">
        <v>0</v>
      </c>
      <c r="E72" s="110">
        <v>0</v>
      </c>
      <c r="F72" s="110">
        <v>4.1249900263921635</v>
      </c>
      <c r="G72" s="110">
        <v>3469.9416102010878</v>
      </c>
      <c r="H72" s="110">
        <v>0</v>
      </c>
      <c r="I72" s="110">
        <v>0</v>
      </c>
      <c r="J72" s="110">
        <v>16</v>
      </c>
      <c r="K72" s="110">
        <v>13459.199999999999</v>
      </c>
      <c r="L72" s="110">
        <v>6</v>
      </c>
      <c r="M72" s="110">
        <v>5047.2</v>
      </c>
      <c r="N72" s="110">
        <v>8.4234255989614759</v>
      </c>
      <c r="O72" s="110">
        <v>7085.7856138463931</v>
      </c>
      <c r="P72" s="110">
        <v>8</v>
      </c>
      <c r="Q72" s="110">
        <v>6729.5999999999995</v>
      </c>
      <c r="R72" s="110">
        <v>5.5693624674705644</v>
      </c>
      <c r="S72" s="110">
        <v>4684.9477076362382</v>
      </c>
      <c r="T72" s="110">
        <v>8.1549665174120172</v>
      </c>
      <c r="U72" s="110">
        <v>6859.9578344469883</v>
      </c>
      <c r="V72" s="110">
        <v>2.94658877736485</v>
      </c>
      <c r="W72" s="110">
        <v>2478.6704795193118</v>
      </c>
      <c r="X72" s="110">
        <v>8.4365176267058555</v>
      </c>
      <c r="Y72" s="110">
        <v>7096.7986275849653</v>
      </c>
      <c r="Z72" s="110">
        <v>20</v>
      </c>
      <c r="AA72" s="110">
        <v>16824</v>
      </c>
      <c r="AB72" s="110">
        <v>11</v>
      </c>
      <c r="AC72" s="110">
        <v>9253.1999999999989</v>
      </c>
      <c r="AD72" s="110">
        <v>10.513800046584898</v>
      </c>
      <c r="AE72" s="110">
        <v>8844.2085991872154</v>
      </c>
      <c r="AF72" s="110">
        <v>0</v>
      </c>
      <c r="AG72" s="110">
        <v>0</v>
      </c>
      <c r="AH72" s="110">
        <v>17</v>
      </c>
      <c r="AI72" s="110">
        <v>14300.4</v>
      </c>
      <c r="AJ72" s="110">
        <v>8</v>
      </c>
      <c r="AK72" s="110">
        <v>6729.5999999999995</v>
      </c>
      <c r="AL72" s="110">
        <v>10</v>
      </c>
      <c r="AM72" s="110">
        <v>8412</v>
      </c>
      <c r="AN72" s="110">
        <v>10</v>
      </c>
      <c r="AO72" s="110">
        <v>8412</v>
      </c>
      <c r="AP72" s="110">
        <v>9</v>
      </c>
      <c r="AQ72" s="110">
        <v>7570.7999999999993</v>
      </c>
      <c r="AR72" s="110">
        <v>6</v>
      </c>
      <c r="AS72" s="110">
        <v>5047.2</v>
      </c>
      <c r="AT72" s="110">
        <v>4.4095727397587856</v>
      </c>
      <c r="AU72" s="110">
        <v>3709.3325886850903</v>
      </c>
      <c r="AV72" s="110">
        <v>2.6833136854227839</v>
      </c>
      <c r="AW72" s="110">
        <v>2257.2034721776458</v>
      </c>
      <c r="AX72" s="110">
        <v>8.1345791011184883</v>
      </c>
      <c r="AY72" s="110">
        <v>6842.8079398608716</v>
      </c>
      <c r="AZ72" s="110">
        <v>6</v>
      </c>
      <c r="BA72" s="110">
        <v>5047.2</v>
      </c>
      <c r="BB72" s="110">
        <v>9.2099269936370067</v>
      </c>
      <c r="BC72" s="110">
        <v>7747.3905870474491</v>
      </c>
      <c r="BD72" s="110">
        <v>0</v>
      </c>
      <c r="BE72" s="110">
        <v>0</v>
      </c>
      <c r="BF72" s="110">
        <v>2.2200845129989619</v>
      </c>
      <c r="BG72" s="110">
        <v>1867.5350923347266</v>
      </c>
      <c r="BH72" s="110">
        <v>6.0009190090218354</v>
      </c>
      <c r="BI72" s="110">
        <v>5047.9730703891673</v>
      </c>
      <c r="BJ72" s="110">
        <v>7</v>
      </c>
      <c r="BK72" s="110">
        <v>5888.4</v>
      </c>
      <c r="BL72" s="110">
        <v>4.2840302350429171</v>
      </c>
      <c r="BM72" s="110">
        <v>3603.7262337181014</v>
      </c>
      <c r="BN72" s="110">
        <v>8</v>
      </c>
      <c r="BO72" s="110">
        <v>6729.5999999999995</v>
      </c>
      <c r="BP72" s="110">
        <v>10</v>
      </c>
      <c r="BQ72" s="110">
        <v>8412</v>
      </c>
      <c r="BR72" s="110">
        <v>6.9051817567473881</v>
      </c>
      <c r="BS72" s="110">
        <v>5808.638893775902</v>
      </c>
      <c r="BT72" s="110">
        <v>9</v>
      </c>
      <c r="BU72" s="110">
        <v>7570.7999999999993</v>
      </c>
      <c r="BV72" s="110">
        <v>3.3635498172905778</v>
      </c>
      <c r="BW72" s="110">
        <v>2829.4181063048336</v>
      </c>
      <c r="BX72" s="110">
        <v>11.361536431288014</v>
      </c>
      <c r="BY72" s="110">
        <v>9557.3244459994767</v>
      </c>
      <c r="BZ72" s="110">
        <v>0</v>
      </c>
      <c r="CA72" s="110">
        <v>0</v>
      </c>
      <c r="CB72" s="110">
        <v>16</v>
      </c>
      <c r="CC72" s="110">
        <v>13459.199999999999</v>
      </c>
      <c r="CD72" s="110">
        <v>2.1601848284277674</v>
      </c>
      <c r="CE72" s="110">
        <v>1817.1474776734378</v>
      </c>
      <c r="CF72" s="110">
        <v>9</v>
      </c>
      <c r="CG72" s="110">
        <v>7570.7999999999993</v>
      </c>
      <c r="CH72" s="110">
        <v>0.78109540300691205</v>
      </c>
      <c r="CI72" s="110">
        <v>657.05745300941442</v>
      </c>
      <c r="CJ72" s="110">
        <v>11.045938197085571</v>
      </c>
      <c r="CK72" s="110">
        <v>9291.843211388381</v>
      </c>
      <c r="CL72" s="110">
        <v>13</v>
      </c>
      <c r="CM72" s="110">
        <v>10935.599999999999</v>
      </c>
      <c r="CN72" s="110">
        <v>15</v>
      </c>
      <c r="CO72" s="110">
        <v>12617.999999999998</v>
      </c>
      <c r="CP72" s="110">
        <v>0.81416781072781663</v>
      </c>
      <c r="CQ72" s="110">
        <v>684.87796238423925</v>
      </c>
      <c r="CR72" s="110">
        <v>8.8277334652626731</v>
      </c>
      <c r="CS72" s="110">
        <v>7425.8893909789604</v>
      </c>
      <c r="CT72" s="110">
        <v>3.4140030194498281</v>
      </c>
      <c r="CU72" s="110">
        <v>2871.859339961195</v>
      </c>
    </row>
    <row r="73" spans="2:99" x14ac:dyDescent="0.2">
      <c r="C73" s="109" t="s">
        <v>241</v>
      </c>
      <c r="D73" s="110">
        <v>0</v>
      </c>
      <c r="E73" s="110">
        <v>0</v>
      </c>
      <c r="F73" s="110">
        <v>3.807683101285074</v>
      </c>
      <c r="G73" s="110">
        <v>3961.5134985769905</v>
      </c>
      <c r="H73" s="110">
        <v>0</v>
      </c>
      <c r="I73" s="110">
        <v>0</v>
      </c>
      <c r="J73" s="110">
        <v>17</v>
      </c>
      <c r="K73" s="110">
        <v>17686.8</v>
      </c>
      <c r="L73" s="110">
        <v>6</v>
      </c>
      <c r="M73" s="110">
        <v>6242.4</v>
      </c>
      <c r="N73" s="110">
        <v>9.3593617766238637</v>
      </c>
      <c r="O73" s="110">
        <v>9737.4799923994669</v>
      </c>
      <c r="P73" s="110">
        <v>9</v>
      </c>
      <c r="Q73" s="110">
        <v>9363.5999999999985</v>
      </c>
      <c r="R73" s="110">
        <v>4.6411353895588032</v>
      </c>
      <c r="S73" s="110">
        <v>4828.6372592969783</v>
      </c>
      <c r="T73" s="110">
        <v>9.1743373320885198</v>
      </c>
      <c r="U73" s="110">
        <v>9544.9805603048953</v>
      </c>
      <c r="V73" s="110">
        <v>2.94658877736485</v>
      </c>
      <c r="W73" s="110">
        <v>3065.6309639703895</v>
      </c>
      <c r="X73" s="110">
        <v>8.4365176267058555</v>
      </c>
      <c r="Y73" s="110">
        <v>8777.3529388247716</v>
      </c>
      <c r="Z73" s="110">
        <v>22</v>
      </c>
      <c r="AA73" s="110">
        <v>22888.799999999996</v>
      </c>
      <c r="AB73" s="110">
        <v>11</v>
      </c>
      <c r="AC73" s="110">
        <v>11444.399999999998</v>
      </c>
      <c r="AD73" s="110">
        <v>9.8566875436733401</v>
      </c>
      <c r="AE73" s="110">
        <v>10254.897720437742</v>
      </c>
      <c r="AF73" s="110">
        <v>0</v>
      </c>
      <c r="AG73" s="110">
        <v>0</v>
      </c>
      <c r="AH73" s="110">
        <v>15</v>
      </c>
      <c r="AI73" s="110">
        <v>15605.999999999998</v>
      </c>
      <c r="AJ73" s="110">
        <v>8</v>
      </c>
      <c r="AK73" s="110">
        <v>8323.1999999999989</v>
      </c>
      <c r="AL73" s="110">
        <v>10</v>
      </c>
      <c r="AM73" s="110">
        <v>10403.999999999998</v>
      </c>
      <c r="AN73" s="110">
        <v>10</v>
      </c>
      <c r="AO73" s="110">
        <v>10403.999999999998</v>
      </c>
      <c r="AP73" s="110">
        <v>8</v>
      </c>
      <c r="AQ73" s="110">
        <v>8323.1999999999989</v>
      </c>
      <c r="AR73" s="110">
        <v>5</v>
      </c>
      <c r="AS73" s="110">
        <v>5201.9999999999991</v>
      </c>
      <c r="AT73" s="110">
        <v>4.4095727397587856</v>
      </c>
      <c r="AU73" s="110">
        <v>4587.7194784450403</v>
      </c>
      <c r="AV73" s="110">
        <v>2.9814596504697599</v>
      </c>
      <c r="AW73" s="110">
        <v>3101.9106203487377</v>
      </c>
      <c r="AX73" s="110">
        <v>7.3211211910066387</v>
      </c>
      <c r="AY73" s="110">
        <v>7616.8944871233061</v>
      </c>
      <c r="AZ73" s="110">
        <v>7</v>
      </c>
      <c r="BA73" s="110">
        <v>7282.7999999999993</v>
      </c>
      <c r="BB73" s="110">
        <v>8.3726609033063699</v>
      </c>
      <c r="BC73" s="110">
        <v>8710.9164037999453</v>
      </c>
      <c r="BD73" s="110">
        <v>0</v>
      </c>
      <c r="BE73" s="110">
        <v>0</v>
      </c>
      <c r="BF73" s="110">
        <v>2.0350774702490484</v>
      </c>
      <c r="BG73" s="110">
        <v>2117.2946000471097</v>
      </c>
      <c r="BH73" s="110">
        <v>6.0009190090218354</v>
      </c>
      <c r="BI73" s="110">
        <v>6243.3561369863164</v>
      </c>
      <c r="BJ73" s="110">
        <v>6</v>
      </c>
      <c r="BK73" s="110">
        <v>6242.4</v>
      </c>
      <c r="BL73" s="110">
        <v>4.2840302350429171</v>
      </c>
      <c r="BM73" s="110">
        <v>4457.1050565386504</v>
      </c>
      <c r="BN73" s="110">
        <v>8</v>
      </c>
      <c r="BO73" s="110">
        <v>8323.1999999999989</v>
      </c>
      <c r="BP73" s="110">
        <v>10</v>
      </c>
      <c r="BQ73" s="110">
        <v>10403.999999999998</v>
      </c>
      <c r="BR73" s="110">
        <v>6.9051817567473881</v>
      </c>
      <c r="BS73" s="110">
        <v>7184.1510997199821</v>
      </c>
      <c r="BT73" s="110">
        <v>8</v>
      </c>
      <c r="BU73" s="110">
        <v>8323.1999999999989</v>
      </c>
      <c r="BV73" s="110">
        <v>3.7839935444519002</v>
      </c>
      <c r="BW73" s="110">
        <v>3936.8668836477564</v>
      </c>
      <c r="BX73" s="110">
        <v>11.361536431288014</v>
      </c>
      <c r="BY73" s="110">
        <v>11820.542503112049</v>
      </c>
      <c r="BZ73" s="110">
        <v>0</v>
      </c>
      <c r="CA73" s="110">
        <v>0</v>
      </c>
      <c r="CB73" s="110">
        <v>16</v>
      </c>
      <c r="CC73" s="110">
        <v>16646.399999999998</v>
      </c>
      <c r="CD73" s="110">
        <v>2.4002053649197417</v>
      </c>
      <c r="CE73" s="110">
        <v>2497.1736616624989</v>
      </c>
      <c r="CF73" s="110">
        <v>8</v>
      </c>
      <c r="CG73" s="110">
        <v>8323.1999999999989</v>
      </c>
      <c r="CH73" s="110">
        <v>0.85210407600754046</v>
      </c>
      <c r="CI73" s="110">
        <v>886.52908067824501</v>
      </c>
      <c r="CJ73" s="110">
        <v>11.045938197085571</v>
      </c>
      <c r="CK73" s="110">
        <v>11492.194100247827</v>
      </c>
      <c r="CL73" s="110">
        <v>14</v>
      </c>
      <c r="CM73" s="110">
        <v>14565.599999999999</v>
      </c>
      <c r="CN73" s="110">
        <v>16</v>
      </c>
      <c r="CO73" s="110">
        <v>16646.399999999998</v>
      </c>
      <c r="CP73" s="110">
        <v>0.81416781072781663</v>
      </c>
      <c r="CQ73" s="110">
        <v>847.06019028122034</v>
      </c>
      <c r="CR73" s="110">
        <v>9.6302546893774608</v>
      </c>
      <c r="CS73" s="110">
        <v>10019.316978828308</v>
      </c>
      <c r="CT73" s="110">
        <v>3.0123556053969072</v>
      </c>
      <c r="CU73" s="110">
        <v>3134.0547718549419</v>
      </c>
    </row>
    <row r="74" spans="2:99" x14ac:dyDescent="0.2">
      <c r="C74" s="109" t="s">
        <v>242</v>
      </c>
      <c r="D74" s="110">
        <v>0</v>
      </c>
      <c r="E74" s="110">
        <v>0</v>
      </c>
      <c r="F74" s="110">
        <v>4.4422969514992534</v>
      </c>
      <c r="G74" s="110">
        <v>1689.8497603503158</v>
      </c>
      <c r="H74" s="110">
        <v>0</v>
      </c>
      <c r="I74" s="110">
        <v>0</v>
      </c>
      <c r="J74" s="110">
        <v>16</v>
      </c>
      <c r="K74" s="110">
        <v>6086.4</v>
      </c>
      <c r="L74" s="110">
        <v>5</v>
      </c>
      <c r="M74" s="110">
        <v>1902</v>
      </c>
      <c r="N74" s="110">
        <v>10.29529795428625</v>
      </c>
      <c r="O74" s="110">
        <v>3916.331341810489</v>
      </c>
      <c r="P74" s="110">
        <v>8</v>
      </c>
      <c r="Q74" s="110">
        <v>3043.2</v>
      </c>
      <c r="R74" s="110">
        <v>4.6411353895588032</v>
      </c>
      <c r="S74" s="110">
        <v>1765.4879021881686</v>
      </c>
      <c r="T74" s="110">
        <v>9.6840227394267711</v>
      </c>
      <c r="U74" s="110">
        <v>3683.8022500779434</v>
      </c>
      <c r="V74" s="110">
        <v>3.3999101277286732</v>
      </c>
      <c r="W74" s="110">
        <v>1293.3258125879872</v>
      </c>
      <c r="X74" s="110">
        <v>9.324572113727525</v>
      </c>
      <c r="Y74" s="110">
        <v>3547.0672320619501</v>
      </c>
      <c r="Z74" s="110">
        <v>19</v>
      </c>
      <c r="AA74" s="110">
        <v>7227.5999999999995</v>
      </c>
      <c r="AB74" s="110">
        <v>12</v>
      </c>
      <c r="AC74" s="110">
        <v>4564.7999999999993</v>
      </c>
      <c r="AD74" s="110">
        <v>9.1995750407617862</v>
      </c>
      <c r="AE74" s="110">
        <v>3499.5183455057831</v>
      </c>
      <c r="AF74" s="110">
        <v>0</v>
      </c>
      <c r="AG74" s="110">
        <v>0</v>
      </c>
      <c r="AH74" s="110">
        <v>16</v>
      </c>
      <c r="AI74" s="110">
        <v>6086.4</v>
      </c>
      <c r="AJ74" s="110">
        <v>8</v>
      </c>
      <c r="AK74" s="110">
        <v>3043.2</v>
      </c>
      <c r="AL74" s="110">
        <v>11</v>
      </c>
      <c r="AM74" s="110">
        <v>4184.3999999999996</v>
      </c>
      <c r="AN74" s="110">
        <v>9</v>
      </c>
      <c r="AO74" s="110">
        <v>3423.6</v>
      </c>
      <c r="AP74" s="110">
        <v>9</v>
      </c>
      <c r="AQ74" s="110">
        <v>3423.6</v>
      </c>
      <c r="AR74" s="110">
        <v>6</v>
      </c>
      <c r="AS74" s="110">
        <v>2282.3999999999996</v>
      </c>
      <c r="AT74" s="110">
        <v>5.0395117025814686</v>
      </c>
      <c r="AU74" s="110">
        <v>1917.0302516619906</v>
      </c>
      <c r="AV74" s="110">
        <v>3.2796056155167359</v>
      </c>
      <c r="AW74" s="110">
        <v>1247.5619761425662</v>
      </c>
      <c r="AX74" s="110">
        <v>8.1345791011184883</v>
      </c>
      <c r="AY74" s="110">
        <v>3094.3938900654725</v>
      </c>
      <c r="AZ74" s="110">
        <v>6</v>
      </c>
      <c r="BA74" s="110">
        <v>2282.3999999999996</v>
      </c>
      <c r="BB74" s="110">
        <v>9.2099269936370067</v>
      </c>
      <c r="BC74" s="110">
        <v>3503.4562283795171</v>
      </c>
      <c r="BD74" s="110">
        <v>0</v>
      </c>
      <c r="BE74" s="110">
        <v>0</v>
      </c>
      <c r="BF74" s="110">
        <v>2.2200845129989619</v>
      </c>
      <c r="BG74" s="110">
        <v>844.52014874480506</v>
      </c>
      <c r="BH74" s="110">
        <v>6.0009190090218354</v>
      </c>
      <c r="BI74" s="110">
        <v>2282.7495910319062</v>
      </c>
      <c r="BJ74" s="110">
        <v>7</v>
      </c>
      <c r="BK74" s="110">
        <v>2662.7999999999997</v>
      </c>
      <c r="BL74" s="110">
        <v>5.1408362820515014</v>
      </c>
      <c r="BM74" s="110">
        <v>1955.5741216923911</v>
      </c>
      <c r="BN74" s="110">
        <v>9</v>
      </c>
      <c r="BO74" s="110">
        <v>3423.6</v>
      </c>
      <c r="BP74" s="110">
        <v>11</v>
      </c>
      <c r="BQ74" s="110">
        <v>4184.3999999999996</v>
      </c>
      <c r="BR74" s="110">
        <v>6.9051817567473881</v>
      </c>
      <c r="BS74" s="110">
        <v>2626.7311402667065</v>
      </c>
      <c r="BT74" s="110">
        <v>10</v>
      </c>
      <c r="BU74" s="110">
        <v>3804</v>
      </c>
      <c r="BV74" s="110">
        <v>3.7839935444519002</v>
      </c>
      <c r="BW74" s="110">
        <v>1439.4311443095028</v>
      </c>
      <c r="BX74" s="110">
        <v>11.992732899692905</v>
      </c>
      <c r="BY74" s="110">
        <v>4562.0355950431813</v>
      </c>
      <c r="BZ74" s="110">
        <v>0</v>
      </c>
      <c r="CA74" s="110">
        <v>0</v>
      </c>
      <c r="CB74" s="110">
        <v>18</v>
      </c>
      <c r="CC74" s="110">
        <v>6847.2</v>
      </c>
      <c r="CD74" s="110">
        <v>2.1601848284277674</v>
      </c>
      <c r="CE74" s="110">
        <v>821.73430873392272</v>
      </c>
      <c r="CF74" s="110">
        <v>8</v>
      </c>
      <c r="CG74" s="110">
        <v>3043.2</v>
      </c>
      <c r="CH74" s="110">
        <v>0.78109540300691205</v>
      </c>
      <c r="CI74" s="110">
        <v>297.12869130382933</v>
      </c>
      <c r="CJ74" s="110">
        <v>11.045938197085571</v>
      </c>
      <c r="CK74" s="110">
        <v>4201.8748901713507</v>
      </c>
      <c r="CL74" s="110">
        <v>14</v>
      </c>
      <c r="CM74" s="110">
        <v>5325.5999999999995</v>
      </c>
      <c r="CN74" s="110">
        <v>16</v>
      </c>
      <c r="CO74" s="110">
        <v>6086.4</v>
      </c>
      <c r="CP74" s="110">
        <v>0.76627558656735673</v>
      </c>
      <c r="CQ74" s="110">
        <v>291.4912331302225</v>
      </c>
      <c r="CR74" s="110">
        <v>9.6302546893774608</v>
      </c>
      <c r="CS74" s="110">
        <v>3663.3488838391859</v>
      </c>
      <c r="CT74" s="110">
        <v>3.4140030194498281</v>
      </c>
      <c r="CU74" s="110">
        <v>1298.6867485987145</v>
      </c>
    </row>
    <row r="75" spans="2:99" x14ac:dyDescent="0.2">
      <c r="C75" s="109" t="s">
        <v>243</v>
      </c>
      <c r="D75" s="110">
        <v>0</v>
      </c>
      <c r="E75" s="110">
        <v>0</v>
      </c>
      <c r="F75" s="110">
        <v>4.4422969514992534</v>
      </c>
      <c r="G75" s="110">
        <v>1780.4726181609008</v>
      </c>
      <c r="H75" s="110">
        <v>0</v>
      </c>
      <c r="I75" s="110">
        <v>0</v>
      </c>
      <c r="J75" s="110">
        <v>19</v>
      </c>
      <c r="K75" s="110">
        <v>7615.2</v>
      </c>
      <c r="L75" s="110">
        <v>6</v>
      </c>
      <c r="M75" s="110">
        <v>2404.8000000000002</v>
      </c>
      <c r="N75" s="110">
        <v>9.3593617766238637</v>
      </c>
      <c r="O75" s="110">
        <v>3751.2322000708446</v>
      </c>
      <c r="P75" s="110">
        <v>9</v>
      </c>
      <c r="Q75" s="110">
        <v>3607.2000000000003</v>
      </c>
      <c r="R75" s="110">
        <v>5.5693624674705644</v>
      </c>
      <c r="S75" s="110">
        <v>2232.2004769622022</v>
      </c>
      <c r="T75" s="110">
        <v>10.193708146765022</v>
      </c>
      <c r="U75" s="110">
        <v>4085.6382252234212</v>
      </c>
      <c r="V75" s="110">
        <v>3.3999101277286732</v>
      </c>
      <c r="W75" s="110">
        <v>1362.6839791936522</v>
      </c>
      <c r="X75" s="110">
        <v>8.8805448702166903</v>
      </c>
      <c r="Y75" s="110">
        <v>3559.3223839828497</v>
      </c>
      <c r="Z75" s="110">
        <v>22</v>
      </c>
      <c r="AA75" s="110">
        <v>8817.6</v>
      </c>
      <c r="AB75" s="110">
        <v>11</v>
      </c>
      <c r="AC75" s="110">
        <v>4408.8</v>
      </c>
      <c r="AD75" s="110">
        <v>10.513800046584898</v>
      </c>
      <c r="AE75" s="110">
        <v>4213.9310586712272</v>
      </c>
      <c r="AF75" s="110">
        <v>0</v>
      </c>
      <c r="AG75" s="110">
        <v>0</v>
      </c>
      <c r="AH75" s="110">
        <v>19</v>
      </c>
      <c r="AI75" s="110">
        <v>7615.2</v>
      </c>
      <c r="AJ75" s="110">
        <v>9</v>
      </c>
      <c r="AK75" s="110">
        <v>3607.2000000000003</v>
      </c>
      <c r="AL75" s="110">
        <v>10</v>
      </c>
      <c r="AM75" s="110">
        <v>4008</v>
      </c>
      <c r="AN75" s="110">
        <v>11</v>
      </c>
      <c r="AO75" s="110">
        <v>4408.8</v>
      </c>
      <c r="AP75" s="110">
        <v>9</v>
      </c>
      <c r="AQ75" s="110">
        <v>3607.2000000000003</v>
      </c>
      <c r="AR75" s="110">
        <v>5</v>
      </c>
      <c r="AS75" s="110">
        <v>2004</v>
      </c>
      <c r="AT75" s="110">
        <v>4.4095727397587856</v>
      </c>
      <c r="AU75" s="110">
        <v>1767.3567540953213</v>
      </c>
      <c r="AV75" s="110">
        <v>2.9814596504697599</v>
      </c>
      <c r="AW75" s="110">
        <v>1194.9690279082797</v>
      </c>
      <c r="AX75" s="110">
        <v>8.1345791011184883</v>
      </c>
      <c r="AY75" s="110">
        <v>3260.3393037282904</v>
      </c>
      <c r="AZ75" s="110">
        <v>7</v>
      </c>
      <c r="BA75" s="110">
        <v>2805.6</v>
      </c>
      <c r="BB75" s="110">
        <v>8.3726609033063699</v>
      </c>
      <c r="BC75" s="110">
        <v>3355.7624900451933</v>
      </c>
      <c r="BD75" s="110">
        <v>0</v>
      </c>
      <c r="BE75" s="110">
        <v>0</v>
      </c>
      <c r="BF75" s="110">
        <v>2.5900985984987885</v>
      </c>
      <c r="BG75" s="110">
        <v>1038.1115182783144</v>
      </c>
      <c r="BH75" s="110">
        <v>5.3341502302416313</v>
      </c>
      <c r="BI75" s="110">
        <v>2137.9274122808461</v>
      </c>
      <c r="BJ75" s="110">
        <v>6</v>
      </c>
      <c r="BK75" s="110">
        <v>2404.8000000000002</v>
      </c>
      <c r="BL75" s="110">
        <v>5.1408362820515014</v>
      </c>
      <c r="BM75" s="110">
        <v>2060.4471818462416</v>
      </c>
      <c r="BN75" s="110">
        <v>8</v>
      </c>
      <c r="BO75" s="110">
        <v>3206.4</v>
      </c>
      <c r="BP75" s="110">
        <v>10</v>
      </c>
      <c r="BQ75" s="110">
        <v>4008</v>
      </c>
      <c r="BR75" s="110">
        <v>6.9051817567473881</v>
      </c>
      <c r="BS75" s="110">
        <v>2767.5968481043533</v>
      </c>
      <c r="BT75" s="110">
        <v>8</v>
      </c>
      <c r="BU75" s="110">
        <v>3206.4</v>
      </c>
      <c r="BV75" s="110">
        <v>3.7839935444519002</v>
      </c>
      <c r="BW75" s="110">
        <v>1516.6246126163217</v>
      </c>
      <c r="BX75" s="110">
        <v>11.361536431288014</v>
      </c>
      <c r="BY75" s="110">
        <v>4553.7038016602364</v>
      </c>
      <c r="BZ75" s="110">
        <v>0</v>
      </c>
      <c r="CA75" s="110">
        <v>0</v>
      </c>
      <c r="CB75" s="110">
        <v>19</v>
      </c>
      <c r="CC75" s="110">
        <v>7615.2</v>
      </c>
      <c r="CD75" s="110">
        <v>2.5202156331657286</v>
      </c>
      <c r="CE75" s="110">
        <v>1010.1024257728241</v>
      </c>
      <c r="CF75" s="110">
        <v>9</v>
      </c>
      <c r="CG75" s="110">
        <v>3607.2000000000003</v>
      </c>
      <c r="CH75" s="110">
        <v>0.78109540300691205</v>
      </c>
      <c r="CI75" s="110">
        <v>313.06303752517033</v>
      </c>
      <c r="CJ75" s="110">
        <v>12.623929368097794</v>
      </c>
      <c r="CK75" s="110">
        <v>5059.670890733596</v>
      </c>
      <c r="CL75" s="110">
        <v>15</v>
      </c>
      <c r="CM75" s="110">
        <v>6012</v>
      </c>
      <c r="CN75" s="110">
        <v>17</v>
      </c>
      <c r="CO75" s="110">
        <v>6813.6</v>
      </c>
      <c r="CP75" s="110">
        <v>0.71838336240689704</v>
      </c>
      <c r="CQ75" s="110">
        <v>287.92805165268436</v>
      </c>
      <c r="CR75" s="110">
        <v>8.8277334652626731</v>
      </c>
      <c r="CS75" s="110">
        <v>3538.1555728772796</v>
      </c>
      <c r="CT75" s="110">
        <v>3.0123556053969072</v>
      </c>
      <c r="CU75" s="110">
        <v>1207.3521266430805</v>
      </c>
    </row>
    <row r="76" spans="2:99" x14ac:dyDescent="0.2">
      <c r="C76" s="109" t="s">
        <v>244</v>
      </c>
      <c r="D76" s="110">
        <v>0</v>
      </c>
      <c r="E76" s="110">
        <v>0</v>
      </c>
      <c r="F76" s="110">
        <v>4.4422969514992534</v>
      </c>
      <c r="G76" s="110">
        <v>3081.1771655598823</v>
      </c>
      <c r="H76" s="110">
        <v>0</v>
      </c>
      <c r="I76" s="110">
        <v>0</v>
      </c>
      <c r="J76" s="110">
        <v>16</v>
      </c>
      <c r="K76" s="110">
        <v>11097.6</v>
      </c>
      <c r="L76" s="110">
        <v>6</v>
      </c>
      <c r="M76" s="110">
        <v>4161.6000000000004</v>
      </c>
      <c r="N76" s="110">
        <v>8.4234255989614759</v>
      </c>
      <c r="O76" s="110">
        <v>5842.4879954396802</v>
      </c>
      <c r="P76" s="110">
        <v>9</v>
      </c>
      <c r="Q76" s="110">
        <v>6242.4000000000005</v>
      </c>
      <c r="R76" s="110">
        <v>5.5693624674705644</v>
      </c>
      <c r="S76" s="110">
        <v>3862.9098074375838</v>
      </c>
      <c r="T76" s="110">
        <v>8.6646519247502685</v>
      </c>
      <c r="U76" s="110">
        <v>6009.8025750067864</v>
      </c>
      <c r="V76" s="110">
        <v>2.94658877736485</v>
      </c>
      <c r="W76" s="110">
        <v>2043.7539759802601</v>
      </c>
      <c r="X76" s="110">
        <v>7.9924903831950216</v>
      </c>
      <c r="Y76" s="110">
        <v>5543.5913297840671</v>
      </c>
      <c r="Z76" s="110">
        <v>21</v>
      </c>
      <c r="AA76" s="110">
        <v>14565.6</v>
      </c>
      <c r="AB76" s="110">
        <v>11</v>
      </c>
      <c r="AC76" s="110">
        <v>7629.6</v>
      </c>
      <c r="AD76" s="110">
        <v>9.8566875436733401</v>
      </c>
      <c r="AE76" s="110">
        <v>6836.5984802918292</v>
      </c>
      <c r="AF76" s="110">
        <v>0</v>
      </c>
      <c r="AG76" s="110">
        <v>0</v>
      </c>
      <c r="AH76" s="110">
        <v>18</v>
      </c>
      <c r="AI76" s="110">
        <v>12484.800000000001</v>
      </c>
      <c r="AJ76" s="110">
        <v>9</v>
      </c>
      <c r="AK76" s="110">
        <v>6242.4000000000005</v>
      </c>
      <c r="AL76" s="110">
        <v>9</v>
      </c>
      <c r="AM76" s="110">
        <v>6242.4000000000005</v>
      </c>
      <c r="AN76" s="110">
        <v>9</v>
      </c>
      <c r="AO76" s="110">
        <v>6242.4000000000005</v>
      </c>
      <c r="AP76" s="110">
        <v>8</v>
      </c>
      <c r="AQ76" s="110">
        <v>5548.8</v>
      </c>
      <c r="AR76" s="110">
        <v>6</v>
      </c>
      <c r="AS76" s="110">
        <v>4161.6000000000004</v>
      </c>
      <c r="AT76" s="110">
        <v>4.4095727397587856</v>
      </c>
      <c r="AU76" s="110">
        <v>3058.479652296694</v>
      </c>
      <c r="AV76" s="110">
        <v>2.6833136854227839</v>
      </c>
      <c r="AW76" s="110">
        <v>1861.1463722092431</v>
      </c>
      <c r="AX76" s="110">
        <v>7.3211211910066387</v>
      </c>
      <c r="AY76" s="110">
        <v>5077.9296580822047</v>
      </c>
      <c r="AZ76" s="110">
        <v>7</v>
      </c>
      <c r="BA76" s="110">
        <v>4855.2</v>
      </c>
      <c r="BB76" s="110">
        <v>8.3726609033063699</v>
      </c>
      <c r="BC76" s="110">
        <v>5807.2776025332987</v>
      </c>
      <c r="BD76" s="110">
        <v>0</v>
      </c>
      <c r="BE76" s="110">
        <v>0</v>
      </c>
      <c r="BF76" s="110">
        <v>2.405091555748875</v>
      </c>
      <c r="BG76" s="110">
        <v>1668.1715030674197</v>
      </c>
      <c r="BH76" s="110">
        <v>6.0009190090218354</v>
      </c>
      <c r="BI76" s="110">
        <v>4162.2374246575455</v>
      </c>
      <c r="BJ76" s="110">
        <v>6</v>
      </c>
      <c r="BK76" s="110">
        <v>4161.6000000000004</v>
      </c>
      <c r="BL76" s="110">
        <v>4.2840302350429171</v>
      </c>
      <c r="BM76" s="110">
        <v>2971.4033710257672</v>
      </c>
      <c r="BN76" s="110">
        <v>9</v>
      </c>
      <c r="BO76" s="110">
        <v>6242.4000000000005</v>
      </c>
      <c r="BP76" s="110">
        <v>9</v>
      </c>
      <c r="BQ76" s="110">
        <v>6242.4000000000005</v>
      </c>
      <c r="BR76" s="110">
        <v>6.9051817567473881</v>
      </c>
      <c r="BS76" s="110">
        <v>4789.4340664799884</v>
      </c>
      <c r="BT76" s="110">
        <v>9</v>
      </c>
      <c r="BU76" s="110">
        <v>6242.4000000000005</v>
      </c>
      <c r="BV76" s="110">
        <v>3.7839935444519002</v>
      </c>
      <c r="BW76" s="110">
        <v>2624.577922431838</v>
      </c>
      <c r="BX76" s="110">
        <v>11.992732899692905</v>
      </c>
      <c r="BY76" s="110">
        <v>8318.1595392269992</v>
      </c>
      <c r="BZ76" s="110">
        <v>0</v>
      </c>
      <c r="CA76" s="110">
        <v>0</v>
      </c>
      <c r="CB76" s="110">
        <v>16</v>
      </c>
      <c r="CC76" s="110">
        <v>11097.6</v>
      </c>
      <c r="CD76" s="110">
        <v>2.4002053649197417</v>
      </c>
      <c r="CE76" s="110">
        <v>1664.7824411083329</v>
      </c>
      <c r="CF76" s="110">
        <v>8</v>
      </c>
      <c r="CG76" s="110">
        <v>5548.8</v>
      </c>
      <c r="CH76" s="110">
        <v>0.85210407600754046</v>
      </c>
      <c r="CI76" s="110">
        <v>591.01938711883008</v>
      </c>
      <c r="CJ76" s="110">
        <v>11.834933782591683</v>
      </c>
      <c r="CK76" s="110">
        <v>8208.710071605592</v>
      </c>
      <c r="CL76" s="110">
        <v>13</v>
      </c>
      <c r="CM76" s="110">
        <v>9016.8000000000011</v>
      </c>
      <c r="CN76" s="110">
        <v>18</v>
      </c>
      <c r="CO76" s="110">
        <v>12484.800000000001</v>
      </c>
      <c r="CP76" s="110">
        <v>0.71838336240689704</v>
      </c>
      <c r="CQ76" s="110">
        <v>498.27070016542382</v>
      </c>
      <c r="CR76" s="110">
        <v>10.43277591349225</v>
      </c>
      <c r="CS76" s="110">
        <v>7236.1733735982252</v>
      </c>
      <c r="CT76" s="110">
        <v>3.2131793124233679</v>
      </c>
      <c r="CU76" s="110">
        <v>2228.6611710968482</v>
      </c>
    </row>
    <row r="77" spans="2:99" x14ac:dyDescent="0.2">
      <c r="C77" s="109" t="s">
        <v>245</v>
      </c>
      <c r="D77" s="110">
        <v>0</v>
      </c>
      <c r="E77" s="110">
        <v>0</v>
      </c>
      <c r="F77" s="110">
        <v>4.1249900263921635</v>
      </c>
      <c r="G77" s="110">
        <v>3964.9404133681473</v>
      </c>
      <c r="H77" s="110">
        <v>0</v>
      </c>
      <c r="I77" s="110">
        <v>0</v>
      </c>
      <c r="J77" s="110">
        <v>17</v>
      </c>
      <c r="K77" s="110">
        <v>16340.4</v>
      </c>
      <c r="L77" s="110">
        <v>6</v>
      </c>
      <c r="M77" s="110">
        <v>5767.2</v>
      </c>
      <c r="N77" s="110">
        <v>8.4234255989614759</v>
      </c>
      <c r="O77" s="110">
        <v>8096.59668572177</v>
      </c>
      <c r="P77" s="110">
        <v>8</v>
      </c>
      <c r="Q77" s="110">
        <v>7689.5999999999995</v>
      </c>
      <c r="R77" s="110">
        <v>4.6411353895588032</v>
      </c>
      <c r="S77" s="110">
        <v>4461.059336443921</v>
      </c>
      <c r="T77" s="110">
        <v>8.1549665174120172</v>
      </c>
      <c r="U77" s="110">
        <v>7838.5538165364305</v>
      </c>
      <c r="V77" s="110">
        <v>3.1732494525467616</v>
      </c>
      <c r="W77" s="110">
        <v>3050.1273737879469</v>
      </c>
      <c r="X77" s="110">
        <v>7.9924903831950216</v>
      </c>
      <c r="Y77" s="110">
        <v>7682.3817563270541</v>
      </c>
      <c r="Z77" s="110">
        <v>21</v>
      </c>
      <c r="AA77" s="110">
        <v>20185.199999999997</v>
      </c>
      <c r="AB77" s="110">
        <v>11</v>
      </c>
      <c r="AC77" s="110">
        <v>10573.199999999999</v>
      </c>
      <c r="AD77" s="110">
        <v>9.1995750407617862</v>
      </c>
      <c r="AE77" s="110">
        <v>8842.6315291802275</v>
      </c>
      <c r="AF77" s="110">
        <v>0</v>
      </c>
      <c r="AG77" s="110">
        <v>0</v>
      </c>
      <c r="AH77" s="110">
        <v>16</v>
      </c>
      <c r="AI77" s="110">
        <v>15379.199999999999</v>
      </c>
      <c r="AJ77" s="110">
        <v>8</v>
      </c>
      <c r="AK77" s="110">
        <v>7689.5999999999995</v>
      </c>
      <c r="AL77" s="110">
        <v>9</v>
      </c>
      <c r="AM77" s="110">
        <v>8650.7999999999993</v>
      </c>
      <c r="AN77" s="110">
        <v>9</v>
      </c>
      <c r="AO77" s="110">
        <v>8650.7999999999993</v>
      </c>
      <c r="AP77" s="110">
        <v>9</v>
      </c>
      <c r="AQ77" s="110">
        <v>8650.7999999999993</v>
      </c>
      <c r="AR77" s="110">
        <v>5</v>
      </c>
      <c r="AS77" s="110">
        <v>4806</v>
      </c>
      <c r="AT77" s="110">
        <v>4.4095727397587856</v>
      </c>
      <c r="AU77" s="110">
        <v>4238.4813174561441</v>
      </c>
      <c r="AV77" s="110">
        <v>2.6833136854227839</v>
      </c>
      <c r="AW77" s="110">
        <v>2579.2011144283797</v>
      </c>
      <c r="AX77" s="110">
        <v>6.507663280894791</v>
      </c>
      <c r="AY77" s="110">
        <v>6255.1659455960726</v>
      </c>
      <c r="AZ77" s="110">
        <v>7</v>
      </c>
      <c r="BA77" s="110">
        <v>6728.4</v>
      </c>
      <c r="BB77" s="110">
        <v>9.2099269936370067</v>
      </c>
      <c r="BC77" s="110">
        <v>8852.5818262838911</v>
      </c>
      <c r="BD77" s="110">
        <v>0</v>
      </c>
      <c r="BE77" s="110">
        <v>0</v>
      </c>
      <c r="BF77" s="110">
        <v>2.405091555748875</v>
      </c>
      <c r="BG77" s="110">
        <v>2311.7740033858186</v>
      </c>
      <c r="BH77" s="110">
        <v>5.3341502302416313</v>
      </c>
      <c r="BI77" s="110">
        <v>5127.1852013082553</v>
      </c>
      <c r="BJ77" s="110">
        <v>7</v>
      </c>
      <c r="BK77" s="110">
        <v>6728.4</v>
      </c>
      <c r="BL77" s="110">
        <v>5.1408362820515014</v>
      </c>
      <c r="BM77" s="110">
        <v>4941.3718343079026</v>
      </c>
      <c r="BN77" s="110">
        <v>8</v>
      </c>
      <c r="BO77" s="110">
        <v>7689.5999999999995</v>
      </c>
      <c r="BP77" s="110">
        <v>9</v>
      </c>
      <c r="BQ77" s="110">
        <v>8650.7999999999993</v>
      </c>
      <c r="BR77" s="110">
        <v>6.9051817567473881</v>
      </c>
      <c r="BS77" s="110">
        <v>6637.2607045855893</v>
      </c>
      <c r="BT77" s="110">
        <v>8</v>
      </c>
      <c r="BU77" s="110">
        <v>7689.5999999999995</v>
      </c>
      <c r="BV77" s="110">
        <v>3.7839935444519002</v>
      </c>
      <c r="BW77" s="110">
        <v>3637.1745949271663</v>
      </c>
      <c r="BX77" s="110">
        <v>11.992732899692905</v>
      </c>
      <c r="BY77" s="110">
        <v>11527.41486318482</v>
      </c>
      <c r="BZ77" s="110">
        <v>0</v>
      </c>
      <c r="CA77" s="110">
        <v>0</v>
      </c>
      <c r="CB77" s="110">
        <v>18</v>
      </c>
      <c r="CC77" s="110">
        <v>17301.599999999999</v>
      </c>
      <c r="CD77" s="110">
        <v>2.04017456018178</v>
      </c>
      <c r="CE77" s="110">
        <v>1961.0157872467269</v>
      </c>
      <c r="CF77" s="110">
        <v>8</v>
      </c>
      <c r="CG77" s="110">
        <v>7689.5999999999995</v>
      </c>
      <c r="CH77" s="110">
        <v>0.78109540300691205</v>
      </c>
      <c r="CI77" s="110">
        <v>750.78890137024382</v>
      </c>
      <c r="CJ77" s="110">
        <v>11.834933782591683</v>
      </c>
      <c r="CK77" s="110">
        <v>11375.738351827125</v>
      </c>
      <c r="CL77" s="110">
        <v>12</v>
      </c>
      <c r="CM77" s="110">
        <v>11534.4</v>
      </c>
      <c r="CN77" s="110">
        <v>16</v>
      </c>
      <c r="CO77" s="110">
        <v>15379.199999999999</v>
      </c>
      <c r="CP77" s="110">
        <v>0.76627558656735673</v>
      </c>
      <c r="CQ77" s="110">
        <v>736.54409380854327</v>
      </c>
      <c r="CR77" s="110">
        <v>8.8277334652626731</v>
      </c>
      <c r="CS77" s="110">
        <v>8485.2174068104814</v>
      </c>
      <c r="CT77" s="110">
        <v>3.0123556053969072</v>
      </c>
      <c r="CU77" s="110">
        <v>2895.4762079075072</v>
      </c>
    </row>
    <row r="78" spans="2:99" x14ac:dyDescent="0.2">
      <c r="C78" s="109" t="s">
        <v>246</v>
      </c>
      <c r="D78" s="110">
        <v>0</v>
      </c>
      <c r="E78" s="110">
        <v>0</v>
      </c>
      <c r="F78" s="110">
        <v>4.4422969514992534</v>
      </c>
      <c r="G78" s="110">
        <v>1935.0645520730745</v>
      </c>
      <c r="H78" s="110">
        <v>0</v>
      </c>
      <c r="I78" s="110">
        <v>0</v>
      </c>
      <c r="J78" s="110">
        <v>18</v>
      </c>
      <c r="K78" s="110">
        <v>7840.7999999999993</v>
      </c>
      <c r="L78" s="110">
        <v>6</v>
      </c>
      <c r="M78" s="110">
        <v>2613.6</v>
      </c>
      <c r="N78" s="110">
        <v>9.3593617766238637</v>
      </c>
      <c r="O78" s="110">
        <v>4076.9379898973548</v>
      </c>
      <c r="P78" s="110">
        <v>9</v>
      </c>
      <c r="Q78" s="110">
        <v>3920.3999999999996</v>
      </c>
      <c r="R78" s="110">
        <v>4.6411353895588032</v>
      </c>
      <c r="S78" s="110">
        <v>2021.6785756918146</v>
      </c>
      <c r="T78" s="110">
        <v>8.6646519247502685</v>
      </c>
      <c r="U78" s="110">
        <v>3774.3223784212169</v>
      </c>
      <c r="V78" s="110">
        <v>2.94658877736485</v>
      </c>
      <c r="W78" s="110">
        <v>1283.5340714201286</v>
      </c>
      <c r="X78" s="110">
        <v>9.324572113727525</v>
      </c>
      <c r="Y78" s="110">
        <v>4061.7836127397095</v>
      </c>
      <c r="Z78" s="110">
        <v>22</v>
      </c>
      <c r="AA78" s="110">
        <v>9583.1999999999989</v>
      </c>
      <c r="AB78" s="110">
        <v>13</v>
      </c>
      <c r="AC78" s="110">
        <v>5662.7999999999993</v>
      </c>
      <c r="AD78" s="110">
        <v>10.513800046584898</v>
      </c>
      <c r="AE78" s="110">
        <v>4579.811300292381</v>
      </c>
      <c r="AF78" s="110">
        <v>0</v>
      </c>
      <c r="AG78" s="110">
        <v>0</v>
      </c>
      <c r="AH78" s="110">
        <v>17</v>
      </c>
      <c r="AI78" s="110">
        <v>7405.2</v>
      </c>
      <c r="AJ78" s="110">
        <v>9</v>
      </c>
      <c r="AK78" s="110">
        <v>3920.3999999999996</v>
      </c>
      <c r="AL78" s="110">
        <v>10</v>
      </c>
      <c r="AM78" s="110">
        <v>4356</v>
      </c>
      <c r="AN78" s="110">
        <v>9</v>
      </c>
      <c r="AO78" s="110">
        <v>3920.3999999999996</v>
      </c>
      <c r="AP78" s="110">
        <v>8</v>
      </c>
      <c r="AQ78" s="110">
        <v>3484.7999999999997</v>
      </c>
      <c r="AR78" s="110">
        <v>6</v>
      </c>
      <c r="AS78" s="110">
        <v>2613.6</v>
      </c>
      <c r="AT78" s="110">
        <v>3.7796337769361017</v>
      </c>
      <c r="AU78" s="110">
        <v>1646.4084732333658</v>
      </c>
      <c r="AV78" s="110">
        <v>2.6833136854227839</v>
      </c>
      <c r="AW78" s="110">
        <v>1168.8514413701646</v>
      </c>
      <c r="AX78" s="110">
        <v>8.1345791011184883</v>
      </c>
      <c r="AY78" s="110">
        <v>3543.4226564472133</v>
      </c>
      <c r="AZ78" s="110">
        <v>6</v>
      </c>
      <c r="BA78" s="110">
        <v>2613.6</v>
      </c>
      <c r="BB78" s="110">
        <v>10.047193083967645</v>
      </c>
      <c r="BC78" s="110">
        <v>4376.5573073763062</v>
      </c>
      <c r="BD78" s="110">
        <v>0</v>
      </c>
      <c r="BE78" s="110">
        <v>0</v>
      </c>
      <c r="BF78" s="110">
        <v>2.405091555748875</v>
      </c>
      <c r="BG78" s="110">
        <v>1047.6578816842098</v>
      </c>
      <c r="BH78" s="110">
        <v>6.0009190090218354</v>
      </c>
      <c r="BI78" s="110">
        <v>2614.0003203299111</v>
      </c>
      <c r="BJ78" s="110">
        <v>7</v>
      </c>
      <c r="BK78" s="110">
        <v>3049.2</v>
      </c>
      <c r="BL78" s="110">
        <v>5.1408362820515014</v>
      </c>
      <c r="BM78" s="110">
        <v>2239.3482844616337</v>
      </c>
      <c r="BN78" s="110">
        <v>8</v>
      </c>
      <c r="BO78" s="110">
        <v>3484.7999999999997</v>
      </c>
      <c r="BP78" s="110">
        <v>10</v>
      </c>
      <c r="BQ78" s="110">
        <v>4356</v>
      </c>
      <c r="BR78" s="110">
        <v>6.9051817567473881</v>
      </c>
      <c r="BS78" s="110">
        <v>3007.8971732391619</v>
      </c>
      <c r="BT78" s="110">
        <v>9</v>
      </c>
      <c r="BU78" s="110">
        <v>3920.3999999999996</v>
      </c>
      <c r="BV78" s="110">
        <v>3.3635498172905778</v>
      </c>
      <c r="BW78" s="110">
        <v>1465.1623004117755</v>
      </c>
      <c r="BX78" s="110">
        <v>10.730339962883127</v>
      </c>
      <c r="BY78" s="110">
        <v>4674.1360878318901</v>
      </c>
      <c r="BZ78" s="110">
        <v>0</v>
      </c>
      <c r="CA78" s="110">
        <v>0</v>
      </c>
      <c r="CB78" s="110">
        <v>17</v>
      </c>
      <c r="CC78" s="110">
        <v>7405.2</v>
      </c>
      <c r="CD78" s="110">
        <v>2.2801950966737543</v>
      </c>
      <c r="CE78" s="110">
        <v>993.25298411108724</v>
      </c>
      <c r="CF78" s="110">
        <v>9</v>
      </c>
      <c r="CG78" s="110">
        <v>3920.3999999999996</v>
      </c>
      <c r="CH78" s="110">
        <v>0.85210407600754046</v>
      </c>
      <c r="CI78" s="110">
        <v>371.17653550888457</v>
      </c>
      <c r="CJ78" s="110">
        <v>11.045938197085571</v>
      </c>
      <c r="CK78" s="110">
        <v>4811.6106786504743</v>
      </c>
      <c r="CL78" s="110">
        <v>13</v>
      </c>
      <c r="CM78" s="110">
        <v>5662.7999999999993</v>
      </c>
      <c r="CN78" s="110">
        <v>16</v>
      </c>
      <c r="CO78" s="110">
        <v>6969.5999999999995</v>
      </c>
      <c r="CP78" s="110">
        <v>0.76627558656735673</v>
      </c>
      <c r="CQ78" s="110">
        <v>333.78964550874059</v>
      </c>
      <c r="CR78" s="110">
        <v>10.43277591349225</v>
      </c>
      <c r="CS78" s="110">
        <v>4544.517187917224</v>
      </c>
      <c r="CT78" s="110">
        <v>3.0123556053969072</v>
      </c>
      <c r="CU78" s="110">
        <v>1312.1821017108928</v>
      </c>
    </row>
    <row r="79" spans="2:99" x14ac:dyDescent="0.2">
      <c r="C79" s="109" t="s">
        <v>247</v>
      </c>
      <c r="D79" s="110">
        <v>0</v>
      </c>
      <c r="E79" s="110">
        <v>0</v>
      </c>
      <c r="F79" s="110">
        <v>4.4422969514992534</v>
      </c>
      <c r="G79" s="110">
        <v>143.9304212285758</v>
      </c>
      <c r="H79" s="110">
        <v>0</v>
      </c>
      <c r="I79" s="110">
        <v>0</v>
      </c>
      <c r="J79" s="110">
        <v>19</v>
      </c>
      <c r="K79" s="110">
        <v>615.6</v>
      </c>
      <c r="L79" s="110">
        <v>6</v>
      </c>
      <c r="M79" s="110">
        <v>194.39999999999998</v>
      </c>
      <c r="N79" s="110">
        <v>8.4234255989614759</v>
      </c>
      <c r="O79" s="110">
        <v>272.91898940635178</v>
      </c>
      <c r="P79" s="110">
        <v>8</v>
      </c>
      <c r="Q79" s="110">
        <v>259.2</v>
      </c>
      <c r="R79" s="110">
        <v>5.5693624674705644</v>
      </c>
      <c r="S79" s="110">
        <v>180.44734394604629</v>
      </c>
      <c r="T79" s="110">
        <v>9.6840227394267711</v>
      </c>
      <c r="U79" s="110">
        <v>313.76233675742736</v>
      </c>
      <c r="V79" s="110">
        <v>3.1732494525467616</v>
      </c>
      <c r="W79" s="110">
        <v>102.81328226251507</v>
      </c>
      <c r="X79" s="110">
        <v>9.324572113727525</v>
      </c>
      <c r="Y79" s="110">
        <v>302.1161364847718</v>
      </c>
      <c r="Z79" s="110">
        <v>20</v>
      </c>
      <c r="AA79" s="110">
        <v>648</v>
      </c>
      <c r="AB79" s="110">
        <v>12</v>
      </c>
      <c r="AC79" s="110">
        <v>388.79999999999995</v>
      </c>
      <c r="AD79" s="110">
        <v>11.170912549496453</v>
      </c>
      <c r="AE79" s="110">
        <v>361.93756660368507</v>
      </c>
      <c r="AF79" s="110">
        <v>0</v>
      </c>
      <c r="AG79" s="110">
        <v>0</v>
      </c>
      <c r="AH79" s="110">
        <v>19</v>
      </c>
      <c r="AI79" s="110">
        <v>615.6</v>
      </c>
      <c r="AJ79" s="110">
        <v>9</v>
      </c>
      <c r="AK79" s="110">
        <v>291.59999999999997</v>
      </c>
      <c r="AL79" s="110">
        <v>11</v>
      </c>
      <c r="AM79" s="110">
        <v>356.4</v>
      </c>
      <c r="AN79" s="110">
        <v>11</v>
      </c>
      <c r="AO79" s="110">
        <v>356.4</v>
      </c>
      <c r="AP79" s="110">
        <v>9</v>
      </c>
      <c r="AQ79" s="110">
        <v>291.59999999999997</v>
      </c>
      <c r="AR79" s="110">
        <v>5</v>
      </c>
      <c r="AS79" s="110">
        <v>162</v>
      </c>
      <c r="AT79" s="110">
        <v>5.0395117025814686</v>
      </c>
      <c r="AU79" s="110">
        <v>163.28017916363959</v>
      </c>
      <c r="AV79" s="110">
        <v>3.2796056155167359</v>
      </c>
      <c r="AW79" s="110">
        <v>106.25922194274224</v>
      </c>
      <c r="AX79" s="110">
        <v>8.1345791011184883</v>
      </c>
      <c r="AY79" s="110">
        <v>263.56036287623903</v>
      </c>
      <c r="AZ79" s="110">
        <v>7</v>
      </c>
      <c r="BA79" s="110">
        <v>226.79999999999998</v>
      </c>
      <c r="BB79" s="110">
        <v>9.2099269936370067</v>
      </c>
      <c r="BC79" s="110">
        <v>298.40163459383899</v>
      </c>
      <c r="BD79" s="110">
        <v>0</v>
      </c>
      <c r="BE79" s="110">
        <v>0</v>
      </c>
      <c r="BF79" s="110">
        <v>2.405091555748875</v>
      </c>
      <c r="BG79" s="110">
        <v>77.92496640626355</v>
      </c>
      <c r="BH79" s="110">
        <v>6.0009190090218354</v>
      </c>
      <c r="BI79" s="110">
        <v>194.42977589230745</v>
      </c>
      <c r="BJ79" s="110">
        <v>6</v>
      </c>
      <c r="BK79" s="110">
        <v>194.39999999999998</v>
      </c>
      <c r="BL79" s="110">
        <v>5.9976423290600849</v>
      </c>
      <c r="BM79" s="110">
        <v>194.32361146154673</v>
      </c>
      <c r="BN79" s="110">
        <v>9</v>
      </c>
      <c r="BO79" s="110">
        <v>291.59999999999997</v>
      </c>
      <c r="BP79" s="110">
        <v>9</v>
      </c>
      <c r="BQ79" s="110">
        <v>291.59999999999997</v>
      </c>
      <c r="BR79" s="110">
        <v>7.7683294763408117</v>
      </c>
      <c r="BS79" s="110">
        <v>251.69387503344228</v>
      </c>
      <c r="BT79" s="110">
        <v>10</v>
      </c>
      <c r="BU79" s="110">
        <v>324</v>
      </c>
      <c r="BV79" s="110">
        <v>3.3635498172905778</v>
      </c>
      <c r="BW79" s="110">
        <v>108.97901408021471</v>
      </c>
      <c r="BX79" s="110">
        <v>12.623929368097794</v>
      </c>
      <c r="BY79" s="110">
        <v>409.01531152636852</v>
      </c>
      <c r="BZ79" s="110">
        <v>0</v>
      </c>
      <c r="CA79" s="110">
        <v>0</v>
      </c>
      <c r="CB79" s="110">
        <v>18</v>
      </c>
      <c r="CC79" s="110">
        <v>583.19999999999993</v>
      </c>
      <c r="CD79" s="110">
        <v>2.5202156331657286</v>
      </c>
      <c r="CE79" s="110">
        <v>81.6549865145696</v>
      </c>
      <c r="CF79" s="110">
        <v>8</v>
      </c>
      <c r="CG79" s="110">
        <v>259.2</v>
      </c>
      <c r="CH79" s="110">
        <v>0.92311274900816875</v>
      </c>
      <c r="CI79" s="110">
        <v>29.908853067864666</v>
      </c>
      <c r="CJ79" s="110">
        <v>11.834933782591683</v>
      </c>
      <c r="CK79" s="110">
        <v>383.4518545559705</v>
      </c>
      <c r="CL79" s="110">
        <v>14</v>
      </c>
      <c r="CM79" s="110">
        <v>453.59999999999997</v>
      </c>
      <c r="CN79" s="110">
        <v>18</v>
      </c>
      <c r="CO79" s="110">
        <v>583.19999999999993</v>
      </c>
      <c r="CP79" s="110">
        <v>0.86206003488827632</v>
      </c>
      <c r="CQ79" s="110">
        <v>27.930745130380153</v>
      </c>
      <c r="CR79" s="110">
        <v>10.43277591349225</v>
      </c>
      <c r="CS79" s="110">
        <v>338.0219395971489</v>
      </c>
      <c r="CT79" s="110">
        <v>3.6148267264762888</v>
      </c>
      <c r="CU79" s="110">
        <v>117.12038593783176</v>
      </c>
    </row>
    <row r="80" spans="2:99" x14ac:dyDescent="0.2">
      <c r="C80" s="109" t="s">
        <v>248</v>
      </c>
      <c r="D80" s="110">
        <v>0</v>
      </c>
      <c r="E80" s="110">
        <v>0</v>
      </c>
      <c r="F80" s="110">
        <v>4.4422969514992534</v>
      </c>
      <c r="G80" s="110">
        <v>2142.9640494032396</v>
      </c>
      <c r="H80" s="110">
        <v>0</v>
      </c>
      <c r="I80" s="110">
        <v>0</v>
      </c>
      <c r="J80" s="110">
        <v>18</v>
      </c>
      <c r="K80" s="110">
        <v>8683.1999999999989</v>
      </c>
      <c r="L80" s="110">
        <v>6</v>
      </c>
      <c r="M80" s="110">
        <v>2894.3999999999996</v>
      </c>
      <c r="N80" s="110">
        <v>9.3593617766238637</v>
      </c>
      <c r="O80" s="110">
        <v>4514.9561210433512</v>
      </c>
      <c r="P80" s="110">
        <v>8</v>
      </c>
      <c r="Q80" s="110">
        <v>3859.2</v>
      </c>
      <c r="R80" s="110">
        <v>5.5693624674705644</v>
      </c>
      <c r="S80" s="110">
        <v>2686.6604543078001</v>
      </c>
      <c r="T80" s="110">
        <v>9.1743373320885198</v>
      </c>
      <c r="U80" s="110">
        <v>4425.7003289995018</v>
      </c>
      <c r="V80" s="110">
        <v>2.94658877736485</v>
      </c>
      <c r="W80" s="110">
        <v>1421.4344262008035</v>
      </c>
      <c r="X80" s="110">
        <v>7.5484631396841877</v>
      </c>
      <c r="Y80" s="110">
        <v>3641.378618583652</v>
      </c>
      <c r="Z80" s="110">
        <v>23</v>
      </c>
      <c r="AA80" s="110">
        <v>11095.199999999999</v>
      </c>
      <c r="AB80" s="110">
        <v>11</v>
      </c>
      <c r="AC80" s="110">
        <v>5306.4</v>
      </c>
      <c r="AD80" s="110">
        <v>11.170912549496453</v>
      </c>
      <c r="AE80" s="110">
        <v>5388.8482138770887</v>
      </c>
      <c r="AF80" s="110">
        <v>0</v>
      </c>
      <c r="AG80" s="110">
        <v>0</v>
      </c>
      <c r="AH80" s="110">
        <v>18</v>
      </c>
      <c r="AI80" s="110">
        <v>8683.1999999999989</v>
      </c>
      <c r="AJ80" s="110">
        <v>8</v>
      </c>
      <c r="AK80" s="110">
        <v>3859.2</v>
      </c>
      <c r="AL80" s="110">
        <v>10</v>
      </c>
      <c r="AM80" s="110">
        <v>4824</v>
      </c>
      <c r="AN80" s="110">
        <v>10</v>
      </c>
      <c r="AO80" s="110">
        <v>4824</v>
      </c>
      <c r="AP80" s="110">
        <v>9</v>
      </c>
      <c r="AQ80" s="110">
        <v>4341.5999999999995</v>
      </c>
      <c r="AR80" s="110">
        <v>5</v>
      </c>
      <c r="AS80" s="110">
        <v>2412</v>
      </c>
      <c r="AT80" s="110">
        <v>4.4095727397587856</v>
      </c>
      <c r="AU80" s="110">
        <v>2127.1778896596379</v>
      </c>
      <c r="AV80" s="110">
        <v>3.2796056155167359</v>
      </c>
      <c r="AW80" s="110">
        <v>1582.0817489252734</v>
      </c>
      <c r="AX80" s="110">
        <v>7.3211211910066387</v>
      </c>
      <c r="AY80" s="110">
        <v>3531.7088625416022</v>
      </c>
      <c r="AZ80" s="110">
        <v>7</v>
      </c>
      <c r="BA80" s="110">
        <v>3376.7999999999997</v>
      </c>
      <c r="BB80" s="110">
        <v>9.2099269936370067</v>
      </c>
      <c r="BC80" s="110">
        <v>4442.8687817304917</v>
      </c>
      <c r="BD80" s="110">
        <v>0</v>
      </c>
      <c r="BE80" s="110">
        <v>0</v>
      </c>
      <c r="BF80" s="110">
        <v>2.2200845129989619</v>
      </c>
      <c r="BG80" s="110">
        <v>1070.9687690706992</v>
      </c>
      <c r="BH80" s="110">
        <v>6.0009190090218354</v>
      </c>
      <c r="BI80" s="110">
        <v>2894.8433299521334</v>
      </c>
      <c r="BJ80" s="110">
        <v>7</v>
      </c>
      <c r="BK80" s="110">
        <v>3376.7999999999997</v>
      </c>
      <c r="BL80" s="110">
        <v>5.1408362820515014</v>
      </c>
      <c r="BM80" s="110">
        <v>2479.939422461644</v>
      </c>
      <c r="BN80" s="110">
        <v>8</v>
      </c>
      <c r="BO80" s="110">
        <v>3859.2</v>
      </c>
      <c r="BP80" s="110">
        <v>10</v>
      </c>
      <c r="BQ80" s="110">
        <v>4824</v>
      </c>
      <c r="BR80" s="110">
        <v>7.7683294763408117</v>
      </c>
      <c r="BS80" s="110">
        <v>3747.4421393868074</v>
      </c>
      <c r="BT80" s="110">
        <v>9</v>
      </c>
      <c r="BU80" s="110">
        <v>4341.5999999999995</v>
      </c>
      <c r="BV80" s="110">
        <v>3.3635498172905778</v>
      </c>
      <c r="BW80" s="110">
        <v>1622.5764318609747</v>
      </c>
      <c r="BX80" s="110">
        <v>11.361536431288014</v>
      </c>
      <c r="BY80" s="110">
        <v>5480.8051744533377</v>
      </c>
      <c r="BZ80" s="110">
        <v>0</v>
      </c>
      <c r="CA80" s="110">
        <v>0</v>
      </c>
      <c r="CB80" s="110">
        <v>16</v>
      </c>
      <c r="CC80" s="110">
        <v>7718.4</v>
      </c>
      <c r="CD80" s="110">
        <v>2.2801950966737543</v>
      </c>
      <c r="CE80" s="110">
        <v>1099.966114635419</v>
      </c>
      <c r="CF80" s="110">
        <v>9</v>
      </c>
      <c r="CG80" s="110">
        <v>4341.5999999999995</v>
      </c>
      <c r="CH80" s="110">
        <v>0.85210407600754046</v>
      </c>
      <c r="CI80" s="110">
        <v>411.05500626603748</v>
      </c>
      <c r="CJ80" s="110">
        <v>12.623929368097794</v>
      </c>
      <c r="CK80" s="110">
        <v>6089.7835271703761</v>
      </c>
      <c r="CL80" s="110">
        <v>13</v>
      </c>
      <c r="CM80" s="110">
        <v>6271.2</v>
      </c>
      <c r="CN80" s="110">
        <v>16</v>
      </c>
      <c r="CO80" s="110">
        <v>7718.4</v>
      </c>
      <c r="CP80" s="110">
        <v>0.71838336240689704</v>
      </c>
      <c r="CQ80" s="110">
        <v>346.54813402508711</v>
      </c>
      <c r="CR80" s="110">
        <v>10.43277591349225</v>
      </c>
      <c r="CS80" s="110">
        <v>5032.7711006686613</v>
      </c>
      <c r="CT80" s="110">
        <v>3.2131793124233679</v>
      </c>
      <c r="CU80" s="110">
        <v>1550.0377003130325</v>
      </c>
    </row>
    <row r="81" spans="2:99" x14ac:dyDescent="0.2">
      <c r="C81" s="109" t="s">
        <v>249</v>
      </c>
      <c r="D81" s="110">
        <v>0</v>
      </c>
      <c r="E81" s="110">
        <v>0</v>
      </c>
      <c r="F81" s="110">
        <v>4.1249900263921635</v>
      </c>
      <c r="G81" s="110">
        <v>1242.4469959493197</v>
      </c>
      <c r="H81" s="110">
        <v>0</v>
      </c>
      <c r="I81" s="110">
        <v>0</v>
      </c>
      <c r="J81" s="110">
        <v>18</v>
      </c>
      <c r="K81" s="110">
        <v>5421.5999999999995</v>
      </c>
      <c r="L81" s="110">
        <v>6</v>
      </c>
      <c r="M81" s="110">
        <v>1807.1999999999998</v>
      </c>
      <c r="N81" s="110">
        <v>8.4234255989614759</v>
      </c>
      <c r="O81" s="110">
        <v>2537.1357904071965</v>
      </c>
      <c r="P81" s="110">
        <v>8</v>
      </c>
      <c r="Q81" s="110">
        <v>2409.6</v>
      </c>
      <c r="R81" s="110">
        <v>5.5693624674705644</v>
      </c>
      <c r="S81" s="110">
        <v>1677.491975202134</v>
      </c>
      <c r="T81" s="110">
        <v>10.193708146765022</v>
      </c>
      <c r="U81" s="110">
        <v>3070.3448938056245</v>
      </c>
      <c r="V81" s="110">
        <v>2.94658877736485</v>
      </c>
      <c r="W81" s="110">
        <v>887.5125397422928</v>
      </c>
      <c r="X81" s="110">
        <v>8.8805448702166903</v>
      </c>
      <c r="Y81" s="110">
        <v>2674.820114909267</v>
      </c>
      <c r="Z81" s="110">
        <v>23</v>
      </c>
      <c r="AA81" s="110">
        <v>6927.5999999999995</v>
      </c>
      <c r="AB81" s="110">
        <v>12</v>
      </c>
      <c r="AC81" s="110">
        <v>3614.3999999999996</v>
      </c>
      <c r="AD81" s="110">
        <v>11.170912549496453</v>
      </c>
      <c r="AE81" s="110">
        <v>3364.6788599083316</v>
      </c>
      <c r="AF81" s="110">
        <v>0</v>
      </c>
      <c r="AG81" s="110">
        <v>0</v>
      </c>
      <c r="AH81" s="110">
        <v>19</v>
      </c>
      <c r="AI81" s="110">
        <v>5722.8</v>
      </c>
      <c r="AJ81" s="110">
        <v>8</v>
      </c>
      <c r="AK81" s="110">
        <v>2409.6</v>
      </c>
      <c r="AL81" s="110">
        <v>9</v>
      </c>
      <c r="AM81" s="110">
        <v>2710.7999999999997</v>
      </c>
      <c r="AN81" s="110">
        <v>10</v>
      </c>
      <c r="AO81" s="110">
        <v>3012</v>
      </c>
      <c r="AP81" s="110">
        <v>9</v>
      </c>
      <c r="AQ81" s="110">
        <v>2710.7999999999997</v>
      </c>
      <c r="AR81" s="110">
        <v>5</v>
      </c>
      <c r="AS81" s="110">
        <v>1506</v>
      </c>
      <c r="AT81" s="110">
        <v>4.4095727397587856</v>
      </c>
      <c r="AU81" s="110">
        <v>1328.1633092153461</v>
      </c>
      <c r="AV81" s="110">
        <v>2.9814596504697599</v>
      </c>
      <c r="AW81" s="110">
        <v>898.01564672149163</v>
      </c>
      <c r="AX81" s="110">
        <v>7.3211211910066387</v>
      </c>
      <c r="AY81" s="110">
        <v>2205.1217027311995</v>
      </c>
      <c r="AZ81" s="110">
        <v>8</v>
      </c>
      <c r="BA81" s="110">
        <v>2409.6</v>
      </c>
      <c r="BB81" s="110">
        <v>10.047193083967645</v>
      </c>
      <c r="BC81" s="110">
        <v>3026.2145568910546</v>
      </c>
      <c r="BD81" s="110">
        <v>0</v>
      </c>
      <c r="BE81" s="110">
        <v>0</v>
      </c>
      <c r="BF81" s="110">
        <v>2.405091555748875</v>
      </c>
      <c r="BG81" s="110">
        <v>724.41357659156108</v>
      </c>
      <c r="BH81" s="110">
        <v>5.3341502302416313</v>
      </c>
      <c r="BI81" s="110">
        <v>1606.6460493487793</v>
      </c>
      <c r="BJ81" s="110">
        <v>7</v>
      </c>
      <c r="BK81" s="110">
        <v>2108.4</v>
      </c>
      <c r="BL81" s="110">
        <v>5.1408362820515014</v>
      </c>
      <c r="BM81" s="110">
        <v>1548.4198881539121</v>
      </c>
      <c r="BN81" s="110">
        <v>8</v>
      </c>
      <c r="BO81" s="110">
        <v>2409.6</v>
      </c>
      <c r="BP81" s="110">
        <v>10</v>
      </c>
      <c r="BQ81" s="110">
        <v>3012</v>
      </c>
      <c r="BR81" s="110">
        <v>7.7683294763408117</v>
      </c>
      <c r="BS81" s="110">
        <v>2339.8208382738526</v>
      </c>
      <c r="BT81" s="110">
        <v>8</v>
      </c>
      <c r="BU81" s="110">
        <v>2409.6</v>
      </c>
      <c r="BV81" s="110">
        <v>3.7839935444519002</v>
      </c>
      <c r="BW81" s="110">
        <v>1139.7388555889122</v>
      </c>
      <c r="BX81" s="110">
        <v>11.992732899692905</v>
      </c>
      <c r="BY81" s="110">
        <v>3612.2111493875027</v>
      </c>
      <c r="BZ81" s="110">
        <v>0</v>
      </c>
      <c r="CA81" s="110">
        <v>0</v>
      </c>
      <c r="CB81" s="110">
        <v>18</v>
      </c>
      <c r="CC81" s="110">
        <v>5421.5999999999995</v>
      </c>
      <c r="CD81" s="110">
        <v>2.1601848284277674</v>
      </c>
      <c r="CE81" s="110">
        <v>650.64767032244356</v>
      </c>
      <c r="CF81" s="110">
        <v>8</v>
      </c>
      <c r="CG81" s="110">
        <v>2409.6</v>
      </c>
      <c r="CH81" s="110">
        <v>0.92311274900816875</v>
      </c>
      <c r="CI81" s="110">
        <v>278.04156000126039</v>
      </c>
      <c r="CJ81" s="110">
        <v>11.045938197085571</v>
      </c>
      <c r="CK81" s="110">
        <v>3327.0365849621739</v>
      </c>
      <c r="CL81" s="110">
        <v>14</v>
      </c>
      <c r="CM81" s="110">
        <v>4216.8</v>
      </c>
      <c r="CN81" s="110">
        <v>16</v>
      </c>
      <c r="CO81" s="110">
        <v>4819.2</v>
      </c>
      <c r="CP81" s="110">
        <v>0.81416781072781663</v>
      </c>
      <c r="CQ81" s="110">
        <v>245.22734459121835</v>
      </c>
      <c r="CR81" s="110">
        <v>10.43277591349225</v>
      </c>
      <c r="CS81" s="110">
        <v>3142.3521051438656</v>
      </c>
      <c r="CT81" s="110">
        <v>3.0123556053969072</v>
      </c>
      <c r="CU81" s="110">
        <v>907.32150834554841</v>
      </c>
    </row>
    <row r="82" spans="2:99" x14ac:dyDescent="0.2">
      <c r="C82" s="109" t="s">
        <v>250</v>
      </c>
      <c r="D82" s="110">
        <v>0</v>
      </c>
      <c r="E82" s="110">
        <v>0</v>
      </c>
      <c r="F82" s="110">
        <v>4.1249900263921635</v>
      </c>
      <c r="G82" s="110">
        <v>3385.7918136626877</v>
      </c>
      <c r="H82" s="110">
        <v>0</v>
      </c>
      <c r="I82" s="110">
        <v>0</v>
      </c>
      <c r="J82" s="110">
        <v>17</v>
      </c>
      <c r="K82" s="110">
        <v>13953.599999999999</v>
      </c>
      <c r="L82" s="110">
        <v>6</v>
      </c>
      <c r="M82" s="110">
        <v>4924.7999999999993</v>
      </c>
      <c r="N82" s="110">
        <v>8.4234255989614759</v>
      </c>
      <c r="O82" s="110">
        <v>6913.9477316275788</v>
      </c>
      <c r="P82" s="110">
        <v>8</v>
      </c>
      <c r="Q82" s="110">
        <v>6566.4</v>
      </c>
      <c r="R82" s="110">
        <v>4.6411353895588032</v>
      </c>
      <c r="S82" s="110">
        <v>3809.4439277498655</v>
      </c>
      <c r="T82" s="110">
        <v>8.6646519247502685</v>
      </c>
      <c r="U82" s="110">
        <v>7111.94629983502</v>
      </c>
      <c r="V82" s="110">
        <v>3.1732494525467616</v>
      </c>
      <c r="W82" s="110">
        <v>2604.6031506503818</v>
      </c>
      <c r="X82" s="110">
        <v>8.4365176267058555</v>
      </c>
      <c r="Y82" s="110">
        <v>6924.6936680001654</v>
      </c>
      <c r="Z82" s="110">
        <v>19</v>
      </c>
      <c r="AA82" s="110">
        <v>15595.199999999999</v>
      </c>
      <c r="AB82" s="110">
        <v>11</v>
      </c>
      <c r="AC82" s="110">
        <v>9028.7999999999993</v>
      </c>
      <c r="AD82" s="110">
        <v>9.1995750407617862</v>
      </c>
      <c r="AE82" s="110">
        <v>7551.0111934572733</v>
      </c>
      <c r="AF82" s="110">
        <v>0</v>
      </c>
      <c r="AG82" s="110">
        <v>0</v>
      </c>
      <c r="AH82" s="110">
        <v>16</v>
      </c>
      <c r="AI82" s="110">
        <v>13132.8</v>
      </c>
      <c r="AJ82" s="110">
        <v>9</v>
      </c>
      <c r="AK82" s="110">
        <v>7387.2</v>
      </c>
      <c r="AL82" s="110">
        <v>9</v>
      </c>
      <c r="AM82" s="110">
        <v>7387.2</v>
      </c>
      <c r="AN82" s="110">
        <v>9</v>
      </c>
      <c r="AO82" s="110">
        <v>7387.2</v>
      </c>
      <c r="AP82" s="110">
        <v>8</v>
      </c>
      <c r="AQ82" s="110">
        <v>6566.4</v>
      </c>
      <c r="AR82" s="110">
        <v>5</v>
      </c>
      <c r="AS82" s="110">
        <v>4104</v>
      </c>
      <c r="AT82" s="110">
        <v>4.4095727397587856</v>
      </c>
      <c r="AU82" s="110">
        <v>3619.3773047940113</v>
      </c>
      <c r="AV82" s="110">
        <v>2.6833136854227839</v>
      </c>
      <c r="AW82" s="110">
        <v>2202.4638729950211</v>
      </c>
      <c r="AX82" s="110">
        <v>7.3211211910066387</v>
      </c>
      <c r="AY82" s="110">
        <v>6009.1762735782486</v>
      </c>
      <c r="AZ82" s="110">
        <v>6</v>
      </c>
      <c r="BA82" s="110">
        <v>4924.7999999999993</v>
      </c>
      <c r="BB82" s="110">
        <v>10.047193083967645</v>
      </c>
      <c r="BC82" s="110">
        <v>8246.7360833206421</v>
      </c>
      <c r="BD82" s="110">
        <v>0</v>
      </c>
      <c r="BE82" s="110">
        <v>0</v>
      </c>
      <c r="BF82" s="110">
        <v>2.2200845129989619</v>
      </c>
      <c r="BG82" s="110">
        <v>1822.245368269548</v>
      </c>
      <c r="BH82" s="110">
        <v>6.0009190090218354</v>
      </c>
      <c r="BI82" s="110">
        <v>4925.5543226051223</v>
      </c>
      <c r="BJ82" s="110">
        <v>7</v>
      </c>
      <c r="BK82" s="110">
        <v>5745.5999999999995</v>
      </c>
      <c r="BL82" s="110">
        <v>5.1408362820515014</v>
      </c>
      <c r="BM82" s="110">
        <v>4219.5984203078724</v>
      </c>
      <c r="BN82" s="110">
        <v>8</v>
      </c>
      <c r="BO82" s="110">
        <v>6566.4</v>
      </c>
      <c r="BP82" s="110">
        <v>9</v>
      </c>
      <c r="BQ82" s="110">
        <v>7387.2</v>
      </c>
      <c r="BR82" s="110">
        <v>6.9051817567473881</v>
      </c>
      <c r="BS82" s="110">
        <v>5667.7731859382557</v>
      </c>
      <c r="BT82" s="110">
        <v>9</v>
      </c>
      <c r="BU82" s="110">
        <v>7387.2</v>
      </c>
      <c r="BV82" s="110">
        <v>3.7839935444519002</v>
      </c>
      <c r="BW82" s="110">
        <v>3105.9019012861195</v>
      </c>
      <c r="BX82" s="110">
        <v>11.361536431288014</v>
      </c>
      <c r="BY82" s="110">
        <v>9325.549102801202</v>
      </c>
      <c r="BZ82" s="110">
        <v>0</v>
      </c>
      <c r="CA82" s="110">
        <v>0</v>
      </c>
      <c r="CB82" s="110">
        <v>18</v>
      </c>
      <c r="CC82" s="110">
        <v>14774.4</v>
      </c>
      <c r="CD82" s="110">
        <v>2.4002053649197417</v>
      </c>
      <c r="CE82" s="110">
        <v>1970.0885635261238</v>
      </c>
      <c r="CF82" s="110">
        <v>9</v>
      </c>
      <c r="CG82" s="110">
        <v>7387.2</v>
      </c>
      <c r="CH82" s="110">
        <v>0.85210407600754046</v>
      </c>
      <c r="CI82" s="110">
        <v>699.40702558698922</v>
      </c>
      <c r="CJ82" s="110">
        <v>12.623929368097794</v>
      </c>
      <c r="CK82" s="110">
        <v>10361.72122533467</v>
      </c>
      <c r="CL82" s="110">
        <v>14</v>
      </c>
      <c r="CM82" s="110">
        <v>11491.199999999999</v>
      </c>
      <c r="CN82" s="110">
        <v>17</v>
      </c>
      <c r="CO82" s="110">
        <v>13953.599999999999</v>
      </c>
      <c r="CP82" s="110">
        <v>0.67049113824643713</v>
      </c>
      <c r="CQ82" s="110">
        <v>550.33912627267557</v>
      </c>
      <c r="CR82" s="110">
        <v>9.6302546893774608</v>
      </c>
      <c r="CS82" s="110">
        <v>7904.5130490410193</v>
      </c>
      <c r="CT82" s="110">
        <v>3.2131793124233679</v>
      </c>
      <c r="CU82" s="110">
        <v>2637.3775796371001</v>
      </c>
    </row>
    <row r="83" spans="2:99" x14ac:dyDescent="0.2">
      <c r="C83" s="109" t="s">
        <v>251</v>
      </c>
      <c r="D83" s="110">
        <v>0</v>
      </c>
      <c r="E83" s="110">
        <v>0</v>
      </c>
      <c r="F83" s="110">
        <v>4.1249900263921635</v>
      </c>
      <c r="G83" s="110">
        <v>524.69873135708315</v>
      </c>
      <c r="H83" s="110">
        <v>0</v>
      </c>
      <c r="I83" s="110">
        <v>0</v>
      </c>
      <c r="J83" s="110">
        <v>17</v>
      </c>
      <c r="K83" s="110">
        <v>2162.3999999999996</v>
      </c>
      <c r="L83" s="110">
        <v>5</v>
      </c>
      <c r="M83" s="110">
        <v>635.99999999999989</v>
      </c>
      <c r="N83" s="110">
        <v>8.4234255989614759</v>
      </c>
      <c r="O83" s="110">
        <v>1071.4597361878996</v>
      </c>
      <c r="P83" s="110">
        <v>8</v>
      </c>
      <c r="Q83" s="110">
        <v>1017.5999999999998</v>
      </c>
      <c r="R83" s="110">
        <v>5.5693624674705644</v>
      </c>
      <c r="S83" s="110">
        <v>708.42290586225567</v>
      </c>
      <c r="T83" s="110">
        <v>9.1743373320885198</v>
      </c>
      <c r="U83" s="110">
        <v>1166.9757086416594</v>
      </c>
      <c r="V83" s="110">
        <v>3.3999101277286732</v>
      </c>
      <c r="W83" s="110">
        <v>432.46856824708715</v>
      </c>
      <c r="X83" s="110">
        <v>8.8805448702166903</v>
      </c>
      <c r="Y83" s="110">
        <v>1129.6053074915628</v>
      </c>
      <c r="Z83" s="110">
        <v>22</v>
      </c>
      <c r="AA83" s="110">
        <v>2798.3999999999996</v>
      </c>
      <c r="AB83" s="110">
        <v>12</v>
      </c>
      <c r="AC83" s="110">
        <v>1526.3999999999996</v>
      </c>
      <c r="AD83" s="110">
        <v>11.170912549496453</v>
      </c>
      <c r="AE83" s="110">
        <v>1420.9400762959485</v>
      </c>
      <c r="AF83" s="110">
        <v>0</v>
      </c>
      <c r="AG83" s="110">
        <v>0</v>
      </c>
      <c r="AH83" s="110">
        <v>16</v>
      </c>
      <c r="AI83" s="110">
        <v>2035.1999999999996</v>
      </c>
      <c r="AJ83" s="110">
        <v>9</v>
      </c>
      <c r="AK83" s="110">
        <v>1144.7999999999997</v>
      </c>
      <c r="AL83" s="110">
        <v>10</v>
      </c>
      <c r="AM83" s="110">
        <v>1271.9999999999998</v>
      </c>
      <c r="AN83" s="110">
        <v>9</v>
      </c>
      <c r="AO83" s="110">
        <v>1144.7999999999997</v>
      </c>
      <c r="AP83" s="110">
        <v>10</v>
      </c>
      <c r="AQ83" s="110">
        <v>1271.9999999999998</v>
      </c>
      <c r="AR83" s="110">
        <v>6</v>
      </c>
      <c r="AS83" s="110">
        <v>763.19999999999982</v>
      </c>
      <c r="AT83" s="110">
        <v>4.4095727397587856</v>
      </c>
      <c r="AU83" s="110">
        <v>560.89765249731738</v>
      </c>
      <c r="AV83" s="110">
        <v>2.9814596504697599</v>
      </c>
      <c r="AW83" s="110">
        <v>379.24166753975339</v>
      </c>
      <c r="AX83" s="110">
        <v>7.3211211910066387</v>
      </c>
      <c r="AY83" s="110">
        <v>931.24661549604423</v>
      </c>
      <c r="AZ83" s="110">
        <v>7</v>
      </c>
      <c r="BA83" s="110">
        <v>890.39999999999986</v>
      </c>
      <c r="BB83" s="110">
        <v>10.047193083967645</v>
      </c>
      <c r="BC83" s="110">
        <v>1278.0029602806842</v>
      </c>
      <c r="BD83" s="110">
        <v>0</v>
      </c>
      <c r="BE83" s="110">
        <v>0</v>
      </c>
      <c r="BF83" s="110">
        <v>2.405091555748875</v>
      </c>
      <c r="BG83" s="110">
        <v>305.92764589125682</v>
      </c>
      <c r="BH83" s="110">
        <v>6.6676877878020395</v>
      </c>
      <c r="BI83" s="110">
        <v>848.12988660841927</v>
      </c>
      <c r="BJ83" s="110">
        <v>6</v>
      </c>
      <c r="BK83" s="110">
        <v>763.19999999999982</v>
      </c>
      <c r="BL83" s="110">
        <v>5.1408362820515014</v>
      </c>
      <c r="BM83" s="110">
        <v>653.91437507695082</v>
      </c>
      <c r="BN83" s="110">
        <v>9</v>
      </c>
      <c r="BO83" s="110">
        <v>1144.7999999999997</v>
      </c>
      <c r="BP83" s="110">
        <v>10</v>
      </c>
      <c r="BQ83" s="110">
        <v>1271.9999999999998</v>
      </c>
      <c r="BR83" s="110">
        <v>7.7683294763408117</v>
      </c>
      <c r="BS83" s="110">
        <v>988.13150939055106</v>
      </c>
      <c r="BT83" s="110">
        <v>9</v>
      </c>
      <c r="BU83" s="110">
        <v>1144.7999999999997</v>
      </c>
      <c r="BV83" s="110">
        <v>3.7839935444519002</v>
      </c>
      <c r="BW83" s="110">
        <v>481.32397885428162</v>
      </c>
      <c r="BX83" s="110">
        <v>11.361536431288014</v>
      </c>
      <c r="BY83" s="110">
        <v>1445.1874340598351</v>
      </c>
      <c r="BZ83" s="110">
        <v>0</v>
      </c>
      <c r="CA83" s="110">
        <v>0</v>
      </c>
      <c r="CB83" s="110">
        <v>18</v>
      </c>
      <c r="CC83" s="110">
        <v>2289.5999999999995</v>
      </c>
      <c r="CD83" s="110">
        <v>2.2801950966737543</v>
      </c>
      <c r="CE83" s="110">
        <v>290.04081629690148</v>
      </c>
      <c r="CF83" s="110">
        <v>9</v>
      </c>
      <c r="CG83" s="110">
        <v>1144.7999999999997</v>
      </c>
      <c r="CH83" s="110">
        <v>0.92311274900816875</v>
      </c>
      <c r="CI83" s="110">
        <v>117.41994167383905</v>
      </c>
      <c r="CJ83" s="110">
        <v>11.834933782591683</v>
      </c>
      <c r="CK83" s="110">
        <v>1505.4035771456618</v>
      </c>
      <c r="CL83" s="110">
        <v>15</v>
      </c>
      <c r="CM83" s="110">
        <v>1907.9999999999995</v>
      </c>
      <c r="CN83" s="110">
        <v>16</v>
      </c>
      <c r="CO83" s="110">
        <v>2035.1999999999996</v>
      </c>
      <c r="CP83" s="110">
        <v>0.81416781072781663</v>
      </c>
      <c r="CQ83" s="110">
        <v>103.56214552457826</v>
      </c>
      <c r="CR83" s="110">
        <v>10.43277591349225</v>
      </c>
      <c r="CS83" s="110">
        <v>1327.0490961962139</v>
      </c>
      <c r="CT83" s="110">
        <v>3.2131793124233679</v>
      </c>
      <c r="CU83" s="110">
        <v>408.7164085402523</v>
      </c>
    </row>
    <row r="84" spans="2:99" x14ac:dyDescent="0.2">
      <c r="C84" s="109" t="s">
        <v>252</v>
      </c>
      <c r="D84" s="110">
        <v>0</v>
      </c>
      <c r="E84" s="110">
        <v>0</v>
      </c>
      <c r="F84" s="110">
        <v>3.807683101285074</v>
      </c>
      <c r="G84" s="110">
        <v>3381.2225939411455</v>
      </c>
      <c r="H84" s="110">
        <v>0</v>
      </c>
      <c r="I84" s="110">
        <v>0</v>
      </c>
      <c r="J84" s="110">
        <v>17</v>
      </c>
      <c r="K84" s="110">
        <v>15096</v>
      </c>
      <c r="L84" s="110">
        <v>6</v>
      </c>
      <c r="M84" s="110">
        <v>5328</v>
      </c>
      <c r="N84" s="110">
        <v>8.4234255989614759</v>
      </c>
      <c r="O84" s="110">
        <v>7480.0019318777904</v>
      </c>
      <c r="P84" s="110">
        <v>8</v>
      </c>
      <c r="Q84" s="110">
        <v>7104</v>
      </c>
      <c r="R84" s="110">
        <v>5.5693624674705644</v>
      </c>
      <c r="S84" s="110">
        <v>4945.5938711138615</v>
      </c>
      <c r="T84" s="110">
        <v>9.6840227394267711</v>
      </c>
      <c r="U84" s="110">
        <v>8599.4121926109729</v>
      </c>
      <c r="V84" s="110">
        <v>3.3999101277286732</v>
      </c>
      <c r="W84" s="110">
        <v>3019.1201934230617</v>
      </c>
      <c r="X84" s="110">
        <v>7.9924903831950216</v>
      </c>
      <c r="Y84" s="110">
        <v>7097.3314602771788</v>
      </c>
      <c r="Z84" s="110">
        <v>22</v>
      </c>
      <c r="AA84" s="110">
        <v>19536</v>
      </c>
      <c r="AB84" s="110">
        <v>12</v>
      </c>
      <c r="AC84" s="110">
        <v>10656</v>
      </c>
      <c r="AD84" s="110">
        <v>10.513800046584898</v>
      </c>
      <c r="AE84" s="110">
        <v>9336.2544413673895</v>
      </c>
      <c r="AF84" s="110">
        <v>0</v>
      </c>
      <c r="AG84" s="110">
        <v>0</v>
      </c>
      <c r="AH84" s="110">
        <v>15</v>
      </c>
      <c r="AI84" s="110">
        <v>13320</v>
      </c>
      <c r="AJ84" s="110">
        <v>9</v>
      </c>
      <c r="AK84" s="110">
        <v>7992</v>
      </c>
      <c r="AL84" s="110">
        <v>9</v>
      </c>
      <c r="AM84" s="110">
        <v>7992</v>
      </c>
      <c r="AN84" s="110">
        <v>9</v>
      </c>
      <c r="AO84" s="110">
        <v>7992</v>
      </c>
      <c r="AP84" s="110">
        <v>8</v>
      </c>
      <c r="AQ84" s="110">
        <v>7104</v>
      </c>
      <c r="AR84" s="110">
        <v>6</v>
      </c>
      <c r="AS84" s="110">
        <v>5328</v>
      </c>
      <c r="AT84" s="110">
        <v>4.4095727397587856</v>
      </c>
      <c r="AU84" s="110">
        <v>3915.7005929058018</v>
      </c>
      <c r="AV84" s="110">
        <v>2.9814596504697599</v>
      </c>
      <c r="AW84" s="110">
        <v>2647.5361696171467</v>
      </c>
      <c r="AX84" s="110">
        <v>7.3211211910066387</v>
      </c>
      <c r="AY84" s="110">
        <v>6501.1556176138956</v>
      </c>
      <c r="AZ84" s="110">
        <v>7</v>
      </c>
      <c r="BA84" s="110">
        <v>6216</v>
      </c>
      <c r="BB84" s="110">
        <v>9.2099269936370067</v>
      </c>
      <c r="BC84" s="110">
        <v>8178.4151703496618</v>
      </c>
      <c r="BD84" s="110">
        <v>0</v>
      </c>
      <c r="BE84" s="110">
        <v>0</v>
      </c>
      <c r="BF84" s="110">
        <v>2.405091555748875</v>
      </c>
      <c r="BG84" s="110">
        <v>2135.7213015050011</v>
      </c>
      <c r="BH84" s="110">
        <v>5.3341502302416313</v>
      </c>
      <c r="BI84" s="110">
        <v>4736.7254044545689</v>
      </c>
      <c r="BJ84" s="110">
        <v>6</v>
      </c>
      <c r="BK84" s="110">
        <v>5328</v>
      </c>
      <c r="BL84" s="110">
        <v>5.1408362820515014</v>
      </c>
      <c r="BM84" s="110">
        <v>4565.0626184617331</v>
      </c>
      <c r="BN84" s="110">
        <v>8</v>
      </c>
      <c r="BO84" s="110">
        <v>7104</v>
      </c>
      <c r="BP84" s="110">
        <v>10</v>
      </c>
      <c r="BQ84" s="110">
        <v>8880</v>
      </c>
      <c r="BR84" s="110">
        <v>6.9051817567473881</v>
      </c>
      <c r="BS84" s="110">
        <v>6131.8013999916802</v>
      </c>
      <c r="BT84" s="110">
        <v>8</v>
      </c>
      <c r="BU84" s="110">
        <v>7104</v>
      </c>
      <c r="BV84" s="110">
        <v>3.3635498172905778</v>
      </c>
      <c r="BW84" s="110">
        <v>2986.832237754033</v>
      </c>
      <c r="BX84" s="110">
        <v>11.992732899692905</v>
      </c>
      <c r="BY84" s="110">
        <v>10649.5468149273</v>
      </c>
      <c r="BZ84" s="110">
        <v>0</v>
      </c>
      <c r="CA84" s="110">
        <v>0</v>
      </c>
      <c r="CB84" s="110">
        <v>17</v>
      </c>
      <c r="CC84" s="110">
        <v>15096</v>
      </c>
      <c r="CD84" s="110">
        <v>2.04017456018178</v>
      </c>
      <c r="CE84" s="110">
        <v>1811.6750094414206</v>
      </c>
      <c r="CF84" s="110">
        <v>8</v>
      </c>
      <c r="CG84" s="110">
        <v>7104</v>
      </c>
      <c r="CH84" s="110">
        <v>0.85210407600754046</v>
      </c>
      <c r="CI84" s="110">
        <v>756.66841949469597</v>
      </c>
      <c r="CJ84" s="110">
        <v>11.045938197085571</v>
      </c>
      <c r="CK84" s="110">
        <v>9808.7931190119871</v>
      </c>
      <c r="CL84" s="110">
        <v>13</v>
      </c>
      <c r="CM84" s="110">
        <v>11544</v>
      </c>
      <c r="CN84" s="110">
        <v>17</v>
      </c>
      <c r="CO84" s="110">
        <v>15096</v>
      </c>
      <c r="CP84" s="110">
        <v>0.71838336240689704</v>
      </c>
      <c r="CQ84" s="110">
        <v>637.92442581732462</v>
      </c>
      <c r="CR84" s="110">
        <v>8.8277334652626731</v>
      </c>
      <c r="CS84" s="110">
        <v>7839.0273171532535</v>
      </c>
      <c r="CT84" s="110">
        <v>2.8115318983704465</v>
      </c>
      <c r="CU84" s="110">
        <v>2496.6403257529564</v>
      </c>
    </row>
    <row r="85" spans="2:99" x14ac:dyDescent="0.2">
      <c r="C85" s="109" t="s">
        <v>253</v>
      </c>
      <c r="D85" s="110">
        <v>0</v>
      </c>
      <c r="E85" s="110">
        <v>0</v>
      </c>
      <c r="F85" s="110">
        <v>4.4422969514992534</v>
      </c>
      <c r="G85" s="110">
        <v>2905.2622062805117</v>
      </c>
      <c r="H85" s="110">
        <v>0</v>
      </c>
      <c r="I85" s="110">
        <v>0</v>
      </c>
      <c r="J85" s="110">
        <v>17</v>
      </c>
      <c r="K85" s="110">
        <v>11118</v>
      </c>
      <c r="L85" s="110">
        <v>6</v>
      </c>
      <c r="M85" s="110">
        <v>3924</v>
      </c>
      <c r="N85" s="110">
        <v>9.3593617766238637</v>
      </c>
      <c r="O85" s="110">
        <v>6121.0226019120073</v>
      </c>
      <c r="P85" s="110">
        <v>9</v>
      </c>
      <c r="Q85" s="110">
        <v>5886</v>
      </c>
      <c r="R85" s="110">
        <v>5.5693624674705644</v>
      </c>
      <c r="S85" s="110">
        <v>3642.3630537257491</v>
      </c>
      <c r="T85" s="110">
        <v>8.1549665174120172</v>
      </c>
      <c r="U85" s="110">
        <v>5333.3481023874592</v>
      </c>
      <c r="V85" s="110">
        <v>3.3999101277286732</v>
      </c>
      <c r="W85" s="110">
        <v>2223.541223534552</v>
      </c>
      <c r="X85" s="110">
        <v>8.4365176267058555</v>
      </c>
      <c r="Y85" s="110">
        <v>5517.4825278656299</v>
      </c>
      <c r="Z85" s="110">
        <v>19</v>
      </c>
      <c r="AA85" s="110">
        <v>12426</v>
      </c>
      <c r="AB85" s="110">
        <v>11</v>
      </c>
      <c r="AC85" s="110">
        <v>7194</v>
      </c>
      <c r="AD85" s="110">
        <v>11.170912549496453</v>
      </c>
      <c r="AE85" s="110">
        <v>7305.7768073706802</v>
      </c>
      <c r="AF85" s="110">
        <v>0</v>
      </c>
      <c r="AG85" s="110">
        <v>0</v>
      </c>
      <c r="AH85" s="110">
        <v>18</v>
      </c>
      <c r="AI85" s="110">
        <v>11772</v>
      </c>
      <c r="AJ85" s="110">
        <v>9</v>
      </c>
      <c r="AK85" s="110">
        <v>5886</v>
      </c>
      <c r="AL85" s="110">
        <v>10</v>
      </c>
      <c r="AM85" s="110">
        <v>6540</v>
      </c>
      <c r="AN85" s="110">
        <v>9</v>
      </c>
      <c r="AO85" s="110">
        <v>5886</v>
      </c>
      <c r="AP85" s="110">
        <v>9</v>
      </c>
      <c r="AQ85" s="110">
        <v>5886</v>
      </c>
      <c r="AR85" s="110">
        <v>5</v>
      </c>
      <c r="AS85" s="110">
        <v>3270</v>
      </c>
      <c r="AT85" s="110">
        <v>4.4095727397587856</v>
      </c>
      <c r="AU85" s="110">
        <v>2883.8605718022459</v>
      </c>
      <c r="AV85" s="110">
        <v>2.9814596504697599</v>
      </c>
      <c r="AW85" s="110">
        <v>1949.874611407223</v>
      </c>
      <c r="AX85" s="110">
        <v>7.3211211910066387</v>
      </c>
      <c r="AY85" s="110">
        <v>4788.0132589183413</v>
      </c>
      <c r="AZ85" s="110">
        <v>6</v>
      </c>
      <c r="BA85" s="110">
        <v>3924</v>
      </c>
      <c r="BB85" s="110">
        <v>9.2099269936370067</v>
      </c>
      <c r="BC85" s="110">
        <v>6023.2922538386028</v>
      </c>
      <c r="BD85" s="110">
        <v>0</v>
      </c>
      <c r="BE85" s="110">
        <v>0</v>
      </c>
      <c r="BF85" s="110">
        <v>2.2200845129989619</v>
      </c>
      <c r="BG85" s="110">
        <v>1451.935271501321</v>
      </c>
      <c r="BH85" s="110">
        <v>6.0009190090218354</v>
      </c>
      <c r="BI85" s="110">
        <v>3924.6010319002803</v>
      </c>
      <c r="BJ85" s="110">
        <v>6</v>
      </c>
      <c r="BK85" s="110">
        <v>3924</v>
      </c>
      <c r="BL85" s="110">
        <v>4.2840302350429171</v>
      </c>
      <c r="BM85" s="110">
        <v>2801.7557737180678</v>
      </c>
      <c r="BN85" s="110">
        <v>8</v>
      </c>
      <c r="BO85" s="110">
        <v>5232</v>
      </c>
      <c r="BP85" s="110">
        <v>10</v>
      </c>
      <c r="BQ85" s="110">
        <v>6540</v>
      </c>
      <c r="BR85" s="110">
        <v>7.7683294763408117</v>
      </c>
      <c r="BS85" s="110">
        <v>5080.4874775268909</v>
      </c>
      <c r="BT85" s="110">
        <v>8</v>
      </c>
      <c r="BU85" s="110">
        <v>5232</v>
      </c>
      <c r="BV85" s="110">
        <v>3.3635498172905778</v>
      </c>
      <c r="BW85" s="110">
        <v>2199.7615805080377</v>
      </c>
      <c r="BX85" s="110">
        <v>11.361536431288014</v>
      </c>
      <c r="BY85" s="110">
        <v>7430.4448260623612</v>
      </c>
      <c r="BZ85" s="110">
        <v>0</v>
      </c>
      <c r="CA85" s="110">
        <v>0</v>
      </c>
      <c r="CB85" s="110">
        <v>17</v>
      </c>
      <c r="CC85" s="110">
        <v>11118</v>
      </c>
      <c r="CD85" s="110">
        <v>2.2801950966737543</v>
      </c>
      <c r="CE85" s="110">
        <v>1491.2475932246352</v>
      </c>
      <c r="CF85" s="110">
        <v>8</v>
      </c>
      <c r="CG85" s="110">
        <v>5232</v>
      </c>
      <c r="CH85" s="110">
        <v>0.85210407600754046</v>
      </c>
      <c r="CI85" s="110">
        <v>557.27606570893147</v>
      </c>
      <c r="CJ85" s="110">
        <v>11.834933782591683</v>
      </c>
      <c r="CK85" s="110">
        <v>7740.0466938149611</v>
      </c>
      <c r="CL85" s="110">
        <v>13</v>
      </c>
      <c r="CM85" s="110">
        <v>8502</v>
      </c>
      <c r="CN85" s="110">
        <v>15</v>
      </c>
      <c r="CO85" s="110">
        <v>9810</v>
      </c>
      <c r="CP85" s="110">
        <v>0.81416781072781663</v>
      </c>
      <c r="CQ85" s="110">
        <v>532.46574821599211</v>
      </c>
      <c r="CR85" s="110">
        <v>9.6302546893774608</v>
      </c>
      <c r="CS85" s="110">
        <v>6298.186566852859</v>
      </c>
      <c r="CT85" s="110">
        <v>3.4140030194498281</v>
      </c>
      <c r="CU85" s="110">
        <v>2232.7579747201876</v>
      </c>
    </row>
    <row r="86" spans="2:99" x14ac:dyDescent="0.2">
      <c r="C86" s="109" t="s">
        <v>254</v>
      </c>
      <c r="D86" s="110">
        <v>0</v>
      </c>
      <c r="E86" s="110">
        <v>0</v>
      </c>
      <c r="F86" s="110">
        <v>4.1249900263921635</v>
      </c>
      <c r="G86" s="110">
        <v>1569.1462060395788</v>
      </c>
      <c r="H86" s="110">
        <v>0</v>
      </c>
      <c r="I86" s="110">
        <v>0</v>
      </c>
      <c r="J86" s="110">
        <v>16</v>
      </c>
      <c r="K86" s="110">
        <v>6086.4</v>
      </c>
      <c r="L86" s="110">
        <v>6</v>
      </c>
      <c r="M86" s="110">
        <v>2282.3999999999996</v>
      </c>
      <c r="N86" s="110">
        <v>9.3593617766238637</v>
      </c>
      <c r="O86" s="110">
        <v>3560.3012198277174</v>
      </c>
      <c r="P86" s="110">
        <v>8</v>
      </c>
      <c r="Q86" s="110">
        <v>3043.2</v>
      </c>
      <c r="R86" s="110">
        <v>5.5693624674705644</v>
      </c>
      <c r="S86" s="110">
        <v>2118.5854826258028</v>
      </c>
      <c r="T86" s="110">
        <v>9.1743373320885198</v>
      </c>
      <c r="U86" s="110">
        <v>3489.9179211264727</v>
      </c>
      <c r="V86" s="110">
        <v>3.1732494525467616</v>
      </c>
      <c r="W86" s="110">
        <v>1207.1040917487881</v>
      </c>
      <c r="X86" s="110">
        <v>8.4365176267058555</v>
      </c>
      <c r="Y86" s="110">
        <v>3209.2513051989072</v>
      </c>
      <c r="Z86" s="110">
        <v>22</v>
      </c>
      <c r="AA86" s="110">
        <v>8368.7999999999993</v>
      </c>
      <c r="AB86" s="110">
        <v>12</v>
      </c>
      <c r="AC86" s="110">
        <v>4564.7999999999993</v>
      </c>
      <c r="AD86" s="110">
        <v>11.170912549496453</v>
      </c>
      <c r="AE86" s="110">
        <v>4249.415133828451</v>
      </c>
      <c r="AF86" s="110">
        <v>0</v>
      </c>
      <c r="AG86" s="110">
        <v>0</v>
      </c>
      <c r="AH86" s="110">
        <v>18</v>
      </c>
      <c r="AI86" s="110">
        <v>6847.2</v>
      </c>
      <c r="AJ86" s="110">
        <v>9</v>
      </c>
      <c r="AK86" s="110">
        <v>3423.6</v>
      </c>
      <c r="AL86" s="110">
        <v>11</v>
      </c>
      <c r="AM86" s="110">
        <v>4184.3999999999996</v>
      </c>
      <c r="AN86" s="110">
        <v>11</v>
      </c>
      <c r="AO86" s="110">
        <v>4184.3999999999996</v>
      </c>
      <c r="AP86" s="110">
        <v>9</v>
      </c>
      <c r="AQ86" s="110">
        <v>3423.6</v>
      </c>
      <c r="AR86" s="110">
        <v>5</v>
      </c>
      <c r="AS86" s="110">
        <v>1902</v>
      </c>
      <c r="AT86" s="110">
        <v>4.4095727397587856</v>
      </c>
      <c r="AU86" s="110">
        <v>1677.4014702042418</v>
      </c>
      <c r="AV86" s="110">
        <v>3.2796056155167359</v>
      </c>
      <c r="AW86" s="110">
        <v>1247.5619761425662</v>
      </c>
      <c r="AX86" s="110">
        <v>8.1345791011184883</v>
      </c>
      <c r="AY86" s="110">
        <v>3094.3938900654725</v>
      </c>
      <c r="AZ86" s="110">
        <v>7</v>
      </c>
      <c r="BA86" s="110">
        <v>2662.7999999999997</v>
      </c>
      <c r="BB86" s="110">
        <v>9.2099269936370067</v>
      </c>
      <c r="BC86" s="110">
        <v>3503.4562283795171</v>
      </c>
      <c r="BD86" s="110">
        <v>0</v>
      </c>
      <c r="BE86" s="110">
        <v>0</v>
      </c>
      <c r="BF86" s="110">
        <v>2.0350774702490484</v>
      </c>
      <c r="BG86" s="110">
        <v>774.14346968273799</v>
      </c>
      <c r="BH86" s="110">
        <v>6.0009190090218354</v>
      </c>
      <c r="BI86" s="110">
        <v>2282.7495910319062</v>
      </c>
      <c r="BJ86" s="110">
        <v>6</v>
      </c>
      <c r="BK86" s="110">
        <v>2282.3999999999996</v>
      </c>
      <c r="BL86" s="110">
        <v>5.1408362820515014</v>
      </c>
      <c r="BM86" s="110">
        <v>1955.5741216923911</v>
      </c>
      <c r="BN86" s="110">
        <v>9</v>
      </c>
      <c r="BO86" s="110">
        <v>3423.6</v>
      </c>
      <c r="BP86" s="110">
        <v>9</v>
      </c>
      <c r="BQ86" s="110">
        <v>3423.6</v>
      </c>
      <c r="BR86" s="110">
        <v>7.7683294763408117</v>
      </c>
      <c r="BS86" s="110">
        <v>2955.0725328000444</v>
      </c>
      <c r="BT86" s="110">
        <v>9</v>
      </c>
      <c r="BU86" s="110">
        <v>3423.6</v>
      </c>
      <c r="BV86" s="110">
        <v>3.7839935444519002</v>
      </c>
      <c r="BW86" s="110">
        <v>1439.4311443095028</v>
      </c>
      <c r="BX86" s="110">
        <v>12.623929368097794</v>
      </c>
      <c r="BY86" s="110">
        <v>4802.1427316244008</v>
      </c>
      <c r="BZ86" s="110">
        <v>0</v>
      </c>
      <c r="CA86" s="110">
        <v>0</v>
      </c>
      <c r="CB86" s="110">
        <v>18</v>
      </c>
      <c r="CC86" s="110">
        <v>6847.2</v>
      </c>
      <c r="CD86" s="110">
        <v>2.1601848284277674</v>
      </c>
      <c r="CE86" s="110">
        <v>821.73430873392272</v>
      </c>
      <c r="CF86" s="110">
        <v>8</v>
      </c>
      <c r="CG86" s="110">
        <v>3043.2</v>
      </c>
      <c r="CH86" s="110">
        <v>0.78109540300691205</v>
      </c>
      <c r="CI86" s="110">
        <v>297.12869130382933</v>
      </c>
      <c r="CJ86" s="110">
        <v>13.412924953603907</v>
      </c>
      <c r="CK86" s="110">
        <v>5102.2766523509263</v>
      </c>
      <c r="CL86" s="110">
        <v>14</v>
      </c>
      <c r="CM86" s="110">
        <v>5325.5999999999995</v>
      </c>
      <c r="CN86" s="110">
        <v>17</v>
      </c>
      <c r="CO86" s="110">
        <v>6466.7999999999993</v>
      </c>
      <c r="CP86" s="110">
        <v>0.81416781072781663</v>
      </c>
      <c r="CQ86" s="110">
        <v>309.70943520086144</v>
      </c>
      <c r="CR86" s="110">
        <v>8.8277334652626731</v>
      </c>
      <c r="CS86" s="110">
        <v>3358.0698101859207</v>
      </c>
      <c r="CT86" s="110">
        <v>3.2131793124233679</v>
      </c>
      <c r="CU86" s="110">
        <v>1222.2934104458491</v>
      </c>
    </row>
    <row r="87" spans="2:99" x14ac:dyDescent="0.2">
      <c r="B87" s="109" t="s">
        <v>131</v>
      </c>
      <c r="C87" s="109" t="s">
        <v>255</v>
      </c>
      <c r="D87" s="110">
        <v>0</v>
      </c>
      <c r="E87" s="110">
        <v>0</v>
      </c>
      <c r="F87" s="110">
        <v>0.54205622266114695</v>
      </c>
      <c r="G87" s="110">
        <v>305.7197095808869</v>
      </c>
      <c r="H87" s="110">
        <v>1.4885581501304637</v>
      </c>
      <c r="I87" s="110">
        <v>839.54679667358153</v>
      </c>
      <c r="J87" s="110">
        <v>0</v>
      </c>
      <c r="K87" s="110">
        <v>0</v>
      </c>
      <c r="L87" s="110">
        <v>3.0879663752706428</v>
      </c>
      <c r="M87" s="110">
        <v>1741.6130356526426</v>
      </c>
      <c r="N87" s="110">
        <v>1.9265630925361088</v>
      </c>
      <c r="O87" s="110">
        <v>1086.5815841903654</v>
      </c>
      <c r="P87" s="110">
        <v>1.8141802454715024</v>
      </c>
      <c r="Q87" s="110">
        <v>1023.1976584459273</v>
      </c>
      <c r="R87" s="110">
        <v>2.009553502676126</v>
      </c>
      <c r="S87" s="110">
        <v>1133.388175509335</v>
      </c>
      <c r="T87" s="110">
        <v>0</v>
      </c>
      <c r="U87" s="110">
        <v>0</v>
      </c>
      <c r="V87" s="110">
        <v>1.8606976876630794</v>
      </c>
      <c r="W87" s="110">
        <v>1049.4334958419768</v>
      </c>
      <c r="X87" s="110">
        <v>0</v>
      </c>
      <c r="Y87" s="110">
        <v>0</v>
      </c>
      <c r="Z87" s="110">
        <v>2.6589511994696831</v>
      </c>
      <c r="AA87" s="110">
        <v>1499.6484765009013</v>
      </c>
      <c r="AB87" s="110">
        <v>0</v>
      </c>
      <c r="AC87" s="110">
        <v>0</v>
      </c>
      <c r="AD87" s="110">
        <v>2.0157558283016694</v>
      </c>
      <c r="AE87" s="110">
        <v>1136.8862871621416</v>
      </c>
      <c r="AF87" s="110">
        <v>0</v>
      </c>
      <c r="AG87" s="110">
        <v>0</v>
      </c>
      <c r="AH87" s="110">
        <v>1.9791057223325481</v>
      </c>
      <c r="AI87" s="110">
        <v>1116.215627395557</v>
      </c>
      <c r="AJ87" s="110">
        <v>4.4656744503913908</v>
      </c>
      <c r="AK87" s="110">
        <v>2518.6403900207442</v>
      </c>
      <c r="AL87" s="110">
        <v>2.5240768632646993</v>
      </c>
      <c r="AM87" s="110">
        <v>1423.5793508812903</v>
      </c>
      <c r="AN87" s="110">
        <v>2.6589511994696831</v>
      </c>
      <c r="AO87" s="110">
        <v>1499.6484765009013</v>
      </c>
      <c r="AP87" s="110">
        <v>1.9791057223325481</v>
      </c>
      <c r="AQ87" s="110">
        <v>1116.215627395557</v>
      </c>
      <c r="AR87" s="110">
        <v>1.9791057223325481</v>
      </c>
      <c r="AS87" s="110">
        <v>1116.215627395557</v>
      </c>
      <c r="AT87" s="110">
        <v>0</v>
      </c>
      <c r="AU87" s="110">
        <v>0</v>
      </c>
      <c r="AV87" s="110">
        <v>0</v>
      </c>
      <c r="AW87" s="110">
        <v>0</v>
      </c>
      <c r="AX87" s="110">
        <v>1.9942133996022622</v>
      </c>
      <c r="AY87" s="110">
        <v>1124.7363573756759</v>
      </c>
      <c r="AZ87" s="110">
        <v>1.9168696933283798</v>
      </c>
      <c r="BA87" s="110">
        <v>1081.1145070372063</v>
      </c>
      <c r="BB87" s="110">
        <v>1.882824903408262</v>
      </c>
      <c r="BC87" s="110">
        <v>1061.9132455222598</v>
      </c>
      <c r="BD87" s="110">
        <v>0</v>
      </c>
      <c r="BE87" s="110">
        <v>0</v>
      </c>
      <c r="BF87" s="110">
        <v>1.7317175070409796</v>
      </c>
      <c r="BG87" s="110">
        <v>976.68867397111251</v>
      </c>
      <c r="BH87" s="110">
        <v>0</v>
      </c>
      <c r="BI87" s="110">
        <v>0</v>
      </c>
      <c r="BJ87" s="110">
        <v>0</v>
      </c>
      <c r="BK87" s="110">
        <v>0</v>
      </c>
      <c r="BL87" s="110">
        <v>1.3294755997348415</v>
      </c>
      <c r="BM87" s="110">
        <v>749.82423825045066</v>
      </c>
      <c r="BN87" s="110">
        <v>5</v>
      </c>
      <c r="BO87" s="110">
        <v>2820</v>
      </c>
      <c r="BP87" s="110">
        <v>0.87973122869046494</v>
      </c>
      <c r="BQ87" s="110">
        <v>496.16841298142225</v>
      </c>
      <c r="BR87" s="110">
        <v>1.4045266416553568</v>
      </c>
      <c r="BS87" s="110">
        <v>792.15302589362125</v>
      </c>
      <c r="BT87" s="110">
        <v>1.7893284612869611</v>
      </c>
      <c r="BU87" s="110">
        <v>1009.1812521658461</v>
      </c>
      <c r="BV87" s="110">
        <v>2.009553502676126</v>
      </c>
      <c r="BW87" s="110">
        <v>1133.388175509335</v>
      </c>
      <c r="BX87" s="110">
        <v>0</v>
      </c>
      <c r="BY87" s="110">
        <v>0</v>
      </c>
      <c r="BZ87" s="110">
        <v>3.7168570882830783</v>
      </c>
      <c r="CA87" s="110">
        <v>2096.3073977916561</v>
      </c>
      <c r="CB87" s="110">
        <v>0</v>
      </c>
      <c r="CC87" s="110">
        <v>0</v>
      </c>
      <c r="CD87" s="110">
        <v>0</v>
      </c>
      <c r="CE87" s="110">
        <v>0</v>
      </c>
      <c r="CF87" s="110">
        <v>1.829425457618322</v>
      </c>
      <c r="CG87" s="110">
        <v>1031.7959580967336</v>
      </c>
      <c r="CH87" s="110">
        <v>1.2440093111804589</v>
      </c>
      <c r="CI87" s="110">
        <v>701.62125150577879</v>
      </c>
      <c r="CJ87" s="110">
        <v>1.3980838588954698</v>
      </c>
      <c r="CK87" s="110">
        <v>788.51929641704498</v>
      </c>
      <c r="CL87" s="110">
        <v>1.2805978203328252</v>
      </c>
      <c r="CM87" s="110">
        <v>722.25717066771347</v>
      </c>
      <c r="CN87" s="110">
        <v>1.9891519442733223</v>
      </c>
      <c r="CO87" s="110">
        <v>1121.8816965701537</v>
      </c>
      <c r="CP87" s="110">
        <v>0</v>
      </c>
      <c r="CQ87" s="110">
        <v>0</v>
      </c>
      <c r="CR87" s="110">
        <v>2.3408777360922612</v>
      </c>
      <c r="CS87" s="110">
        <v>1320.2550431560353</v>
      </c>
      <c r="CT87" s="110">
        <v>2.0843773033076838</v>
      </c>
      <c r="CU87" s="110">
        <v>1175.5887990655337</v>
      </c>
    </row>
    <row r="88" spans="2:99" x14ac:dyDescent="0.2">
      <c r="C88" s="109" t="s">
        <v>256</v>
      </c>
      <c r="D88" s="110">
        <v>0</v>
      </c>
      <c r="E88" s="110">
        <v>0</v>
      </c>
      <c r="F88" s="110">
        <v>0.65046746719337634</v>
      </c>
      <c r="G88" s="110">
        <v>316.12718905598092</v>
      </c>
      <c r="H88" s="110">
        <v>1.4885581501304637</v>
      </c>
      <c r="I88" s="110">
        <v>723.43926096340533</v>
      </c>
      <c r="J88" s="110">
        <v>0</v>
      </c>
      <c r="K88" s="110">
        <v>0</v>
      </c>
      <c r="L88" s="110">
        <v>3.705559650324771</v>
      </c>
      <c r="M88" s="110">
        <v>1800.9019900578387</v>
      </c>
      <c r="N88" s="110">
        <v>1.541250474028887</v>
      </c>
      <c r="O88" s="110">
        <v>749.04773037803909</v>
      </c>
      <c r="P88" s="110">
        <v>1.5118168712262521</v>
      </c>
      <c r="Q88" s="110">
        <v>734.74299941595848</v>
      </c>
      <c r="R88" s="110">
        <v>2.009553502676126</v>
      </c>
      <c r="S88" s="110">
        <v>976.64300230059723</v>
      </c>
      <c r="T88" s="110">
        <v>0</v>
      </c>
      <c r="U88" s="110">
        <v>0</v>
      </c>
      <c r="V88" s="110">
        <v>1.8606976876630794</v>
      </c>
      <c r="W88" s="110">
        <v>904.29907620425661</v>
      </c>
      <c r="X88" s="110">
        <v>0</v>
      </c>
      <c r="Y88" s="110">
        <v>0</v>
      </c>
      <c r="Z88" s="110">
        <v>2.6589511994696831</v>
      </c>
      <c r="AA88" s="110">
        <v>1292.250282942266</v>
      </c>
      <c r="AB88" s="110">
        <v>0</v>
      </c>
      <c r="AC88" s="110">
        <v>0</v>
      </c>
      <c r="AD88" s="110">
        <v>2.0157558283016694</v>
      </c>
      <c r="AE88" s="110">
        <v>979.65733255461134</v>
      </c>
      <c r="AF88" s="110">
        <v>0</v>
      </c>
      <c r="AG88" s="110">
        <v>0</v>
      </c>
      <c r="AH88" s="110">
        <v>1.9791057223325481</v>
      </c>
      <c r="AI88" s="110">
        <v>961.84538105361844</v>
      </c>
      <c r="AJ88" s="110">
        <v>5.2099535254566227</v>
      </c>
      <c r="AK88" s="110">
        <v>2532.0374133719188</v>
      </c>
      <c r="AL88" s="110">
        <v>2.2085672553566118</v>
      </c>
      <c r="AM88" s="110">
        <v>1073.3636861033133</v>
      </c>
      <c r="AN88" s="110">
        <v>2.6589511994696831</v>
      </c>
      <c r="AO88" s="110">
        <v>1292.250282942266</v>
      </c>
      <c r="AP88" s="110">
        <v>1.9791057223325481</v>
      </c>
      <c r="AQ88" s="110">
        <v>961.84538105361844</v>
      </c>
      <c r="AR88" s="110">
        <v>1.9791057223325481</v>
      </c>
      <c r="AS88" s="110">
        <v>961.84538105361844</v>
      </c>
      <c r="AT88" s="110">
        <v>0</v>
      </c>
      <c r="AU88" s="110">
        <v>0</v>
      </c>
      <c r="AV88" s="110">
        <v>0</v>
      </c>
      <c r="AW88" s="110">
        <v>0</v>
      </c>
      <c r="AX88" s="110">
        <v>1.661844499668552</v>
      </c>
      <c r="AY88" s="110">
        <v>807.65642683891622</v>
      </c>
      <c r="AZ88" s="110">
        <v>1.6430311657100398</v>
      </c>
      <c r="BA88" s="110">
        <v>798.51314653507939</v>
      </c>
      <c r="BB88" s="110">
        <v>1.6474717904822294</v>
      </c>
      <c r="BC88" s="110">
        <v>800.67129017436343</v>
      </c>
      <c r="BD88" s="110">
        <v>0</v>
      </c>
      <c r="BE88" s="110">
        <v>0</v>
      </c>
      <c r="BF88" s="110">
        <v>1.7317175070409796</v>
      </c>
      <c r="BG88" s="110">
        <v>841.61470842191613</v>
      </c>
      <c r="BH88" s="110">
        <v>0</v>
      </c>
      <c r="BI88" s="110">
        <v>0</v>
      </c>
      <c r="BJ88" s="110">
        <v>0</v>
      </c>
      <c r="BK88" s="110">
        <v>0</v>
      </c>
      <c r="BL88" s="110">
        <v>1.3294755997348415</v>
      </c>
      <c r="BM88" s="110">
        <v>646.12514147113302</v>
      </c>
      <c r="BN88" s="110">
        <v>5</v>
      </c>
      <c r="BO88" s="110">
        <v>2430</v>
      </c>
      <c r="BP88" s="110">
        <v>0.87973122869046494</v>
      </c>
      <c r="BQ88" s="110">
        <v>427.54937714356595</v>
      </c>
      <c r="BR88" s="110">
        <v>1.6854319699864282</v>
      </c>
      <c r="BS88" s="110">
        <v>819.11993741340405</v>
      </c>
      <c r="BT88" s="110">
        <v>1.4911070510724678</v>
      </c>
      <c r="BU88" s="110">
        <v>724.67802682121931</v>
      </c>
      <c r="BV88" s="110">
        <v>2.009553502676126</v>
      </c>
      <c r="BW88" s="110">
        <v>976.64300230059723</v>
      </c>
      <c r="BX88" s="110">
        <v>0</v>
      </c>
      <c r="BY88" s="110">
        <v>0</v>
      </c>
      <c r="BZ88" s="110">
        <v>4.2478366723235181</v>
      </c>
      <c r="CA88" s="110">
        <v>2064.4486227492298</v>
      </c>
      <c r="CB88" s="110">
        <v>0</v>
      </c>
      <c r="CC88" s="110">
        <v>0</v>
      </c>
      <c r="CD88" s="110">
        <v>0</v>
      </c>
      <c r="CE88" s="110">
        <v>0</v>
      </c>
      <c r="CF88" s="110">
        <v>1.829425457618322</v>
      </c>
      <c r="CG88" s="110">
        <v>889.1007724025045</v>
      </c>
      <c r="CH88" s="110">
        <v>1.2440093111804589</v>
      </c>
      <c r="CI88" s="110">
        <v>604.58852523370297</v>
      </c>
      <c r="CJ88" s="110">
        <v>1.3980838588954698</v>
      </c>
      <c r="CK88" s="110">
        <v>679.46875542319833</v>
      </c>
      <c r="CL88" s="110">
        <v>1.0244782562662602</v>
      </c>
      <c r="CM88" s="110">
        <v>497.89643254540249</v>
      </c>
      <c r="CN88" s="110">
        <v>1.7681350615762865</v>
      </c>
      <c r="CO88" s="110">
        <v>859.31363992607521</v>
      </c>
      <c r="CP88" s="110">
        <v>0</v>
      </c>
      <c r="CQ88" s="110">
        <v>0</v>
      </c>
      <c r="CR88" s="110">
        <v>2.1067899624830351</v>
      </c>
      <c r="CS88" s="110">
        <v>1023.899921766755</v>
      </c>
      <c r="CT88" s="110">
        <v>2.3159747814529816</v>
      </c>
      <c r="CU88" s="110">
        <v>1125.563743786149</v>
      </c>
    </row>
    <row r="89" spans="2:99" x14ac:dyDescent="0.2">
      <c r="C89" s="109" t="s">
        <v>257</v>
      </c>
      <c r="D89" s="110">
        <v>0</v>
      </c>
      <c r="E89" s="110">
        <v>0</v>
      </c>
      <c r="F89" s="110">
        <v>0.54205622266114695</v>
      </c>
      <c r="G89" s="110">
        <v>376.62066350496485</v>
      </c>
      <c r="H89" s="110">
        <v>1.4885581501304637</v>
      </c>
      <c r="I89" s="110">
        <v>1034.2502027106461</v>
      </c>
      <c r="J89" s="110">
        <v>0</v>
      </c>
      <c r="K89" s="110">
        <v>0</v>
      </c>
      <c r="L89" s="110">
        <v>3.0879663752706428</v>
      </c>
      <c r="M89" s="110">
        <v>2145.5190375380425</v>
      </c>
      <c r="N89" s="110">
        <v>1.9265630925361088</v>
      </c>
      <c r="O89" s="110">
        <v>1338.5760366940883</v>
      </c>
      <c r="P89" s="110">
        <v>1.8141802454715024</v>
      </c>
      <c r="Q89" s="110">
        <v>1260.4924345535997</v>
      </c>
      <c r="R89" s="110">
        <v>2.009553502676126</v>
      </c>
      <c r="S89" s="110">
        <v>1396.2377736593724</v>
      </c>
      <c r="T89" s="110">
        <v>0</v>
      </c>
      <c r="U89" s="110">
        <v>0</v>
      </c>
      <c r="V89" s="110">
        <v>1.8606976876630794</v>
      </c>
      <c r="W89" s="110">
        <v>1292.8127533883076</v>
      </c>
      <c r="X89" s="110">
        <v>0</v>
      </c>
      <c r="Y89" s="110">
        <v>0</v>
      </c>
      <c r="Z89" s="110">
        <v>2.6589511994696831</v>
      </c>
      <c r="AA89" s="110">
        <v>1847.4392933915356</v>
      </c>
      <c r="AB89" s="110">
        <v>0</v>
      </c>
      <c r="AC89" s="110">
        <v>0</v>
      </c>
      <c r="AD89" s="110">
        <v>2.0157558283016694</v>
      </c>
      <c r="AE89" s="110">
        <v>1400.5471495039999</v>
      </c>
      <c r="AF89" s="110">
        <v>0</v>
      </c>
      <c r="AG89" s="110">
        <v>0</v>
      </c>
      <c r="AH89" s="110">
        <v>1.9791057223325481</v>
      </c>
      <c r="AI89" s="110">
        <v>1375.0826558766544</v>
      </c>
      <c r="AJ89" s="110">
        <v>5.2099535254566227</v>
      </c>
      <c r="AK89" s="110">
        <v>3619.8757094872612</v>
      </c>
      <c r="AL89" s="110">
        <v>2.2085672553566118</v>
      </c>
      <c r="AM89" s="110">
        <v>1534.5125290217738</v>
      </c>
      <c r="AN89" s="110">
        <v>2.6589511994696831</v>
      </c>
      <c r="AO89" s="110">
        <v>1847.4392933915356</v>
      </c>
      <c r="AP89" s="110">
        <v>2.2618351112371982</v>
      </c>
      <c r="AQ89" s="110">
        <v>1571.5230352876051</v>
      </c>
      <c r="AR89" s="110">
        <v>1.6963763334278983</v>
      </c>
      <c r="AS89" s="110">
        <v>1178.6422764657036</v>
      </c>
      <c r="AT89" s="110">
        <v>0</v>
      </c>
      <c r="AU89" s="110">
        <v>0</v>
      </c>
      <c r="AV89" s="110">
        <v>0</v>
      </c>
      <c r="AW89" s="110">
        <v>0</v>
      </c>
      <c r="AX89" s="110">
        <v>1.661844499668552</v>
      </c>
      <c r="AY89" s="110">
        <v>1154.6495583697099</v>
      </c>
      <c r="AZ89" s="110">
        <v>1.9168696933283798</v>
      </c>
      <c r="BA89" s="110">
        <v>1331.8410629245582</v>
      </c>
      <c r="BB89" s="110">
        <v>1.6474717904822294</v>
      </c>
      <c r="BC89" s="110">
        <v>1144.6634000270528</v>
      </c>
      <c r="BD89" s="110">
        <v>0</v>
      </c>
      <c r="BE89" s="110">
        <v>0</v>
      </c>
      <c r="BF89" s="110">
        <v>1.4843292917494111</v>
      </c>
      <c r="BG89" s="110">
        <v>1031.3119919074907</v>
      </c>
      <c r="BH89" s="110">
        <v>0</v>
      </c>
      <c r="BI89" s="110">
        <v>0</v>
      </c>
      <c r="BJ89" s="110">
        <v>0</v>
      </c>
      <c r="BK89" s="110">
        <v>0</v>
      </c>
      <c r="BL89" s="110">
        <v>1.661844499668552</v>
      </c>
      <c r="BM89" s="110">
        <v>1154.6495583697099</v>
      </c>
      <c r="BN89" s="110">
        <v>5</v>
      </c>
      <c r="BO89" s="110">
        <v>3474</v>
      </c>
      <c r="BP89" s="110">
        <v>0.87973122869046494</v>
      </c>
      <c r="BQ89" s="110">
        <v>611.237257694135</v>
      </c>
      <c r="BR89" s="110">
        <v>1.4045266416553568</v>
      </c>
      <c r="BS89" s="110">
        <v>975.86511062214186</v>
      </c>
      <c r="BT89" s="110">
        <v>1.4911070510724678</v>
      </c>
      <c r="BU89" s="110">
        <v>1036.0211790851506</v>
      </c>
      <c r="BV89" s="110">
        <v>2.009553502676126</v>
      </c>
      <c r="BW89" s="110">
        <v>1396.2377736593724</v>
      </c>
      <c r="BX89" s="110">
        <v>0</v>
      </c>
      <c r="BY89" s="110">
        <v>0</v>
      </c>
      <c r="BZ89" s="110">
        <v>4.2478366723235181</v>
      </c>
      <c r="CA89" s="110">
        <v>2951.3969199303801</v>
      </c>
      <c r="CB89" s="110">
        <v>0</v>
      </c>
      <c r="CC89" s="110">
        <v>0</v>
      </c>
      <c r="CD89" s="110">
        <v>0</v>
      </c>
      <c r="CE89" s="110">
        <v>0</v>
      </c>
      <c r="CF89" s="110">
        <v>1.829425457618322</v>
      </c>
      <c r="CG89" s="110">
        <v>1271.08480795321</v>
      </c>
      <c r="CH89" s="110">
        <v>1.4928111734165506</v>
      </c>
      <c r="CI89" s="110">
        <v>1037.2052032898193</v>
      </c>
      <c r="CJ89" s="110">
        <v>1.3980838588954698</v>
      </c>
      <c r="CK89" s="110">
        <v>971.38866516057237</v>
      </c>
      <c r="CL89" s="110">
        <v>1.0244782562662602</v>
      </c>
      <c r="CM89" s="110">
        <v>711.80749245379752</v>
      </c>
      <c r="CN89" s="110">
        <v>1.7681350615762865</v>
      </c>
      <c r="CO89" s="110">
        <v>1228.5002407832037</v>
      </c>
      <c r="CP89" s="110">
        <v>0</v>
      </c>
      <c r="CQ89" s="110">
        <v>0</v>
      </c>
      <c r="CR89" s="110">
        <v>2.1067899624830351</v>
      </c>
      <c r="CS89" s="110">
        <v>1463.7976659332128</v>
      </c>
      <c r="CT89" s="110">
        <v>2.3159747814529816</v>
      </c>
      <c r="CU89" s="110">
        <v>1609.1392781535314</v>
      </c>
    </row>
    <row r="90" spans="2:99" x14ac:dyDescent="0.2">
      <c r="C90" s="109" t="s">
        <v>258</v>
      </c>
      <c r="D90" s="110">
        <v>0</v>
      </c>
      <c r="E90" s="110">
        <v>0</v>
      </c>
      <c r="F90" s="110">
        <v>0.54205622266114695</v>
      </c>
      <c r="G90" s="110">
        <v>319.37952639194776</v>
      </c>
      <c r="H90" s="110">
        <v>1.8606976876630794</v>
      </c>
      <c r="I90" s="110">
        <v>1096.3230775710863</v>
      </c>
      <c r="J90" s="110">
        <v>0</v>
      </c>
      <c r="K90" s="110">
        <v>0</v>
      </c>
      <c r="L90" s="110">
        <v>3.0879663752706428</v>
      </c>
      <c r="M90" s="110">
        <v>1819.4297883094625</v>
      </c>
      <c r="N90" s="110">
        <v>1.9265630925361088</v>
      </c>
      <c r="O90" s="110">
        <v>1135.1309741222751</v>
      </c>
      <c r="P90" s="110">
        <v>1.8141802454715024</v>
      </c>
      <c r="Q90" s="110">
        <v>1068.9150006318091</v>
      </c>
      <c r="R90" s="110">
        <v>1.6746279188967717</v>
      </c>
      <c r="S90" s="110">
        <v>986.69076981397779</v>
      </c>
      <c r="T90" s="110">
        <v>0</v>
      </c>
      <c r="U90" s="110">
        <v>0</v>
      </c>
      <c r="V90" s="110">
        <v>1.8606976876630794</v>
      </c>
      <c r="W90" s="110">
        <v>1096.3230775710863</v>
      </c>
      <c r="X90" s="110">
        <v>0</v>
      </c>
      <c r="Y90" s="110">
        <v>0</v>
      </c>
      <c r="Z90" s="110">
        <v>2.6589511994696831</v>
      </c>
      <c r="AA90" s="110">
        <v>1566.654046727537</v>
      </c>
      <c r="AB90" s="110">
        <v>0</v>
      </c>
      <c r="AC90" s="110">
        <v>0</v>
      </c>
      <c r="AD90" s="110">
        <v>2.0157558283016694</v>
      </c>
      <c r="AE90" s="110">
        <v>1187.6833340353435</v>
      </c>
      <c r="AF90" s="110">
        <v>0</v>
      </c>
      <c r="AG90" s="110">
        <v>0</v>
      </c>
      <c r="AH90" s="110">
        <v>1.9791057223325481</v>
      </c>
      <c r="AI90" s="110">
        <v>1166.0890915983373</v>
      </c>
      <c r="AJ90" s="110">
        <v>5.2099535254566227</v>
      </c>
      <c r="AK90" s="110">
        <v>3069.7046171990419</v>
      </c>
      <c r="AL90" s="110">
        <v>2.2085672553566118</v>
      </c>
      <c r="AM90" s="110">
        <v>1301.2878268561155</v>
      </c>
      <c r="AN90" s="110">
        <v>2.6589511994696831</v>
      </c>
      <c r="AO90" s="110">
        <v>1566.654046727537</v>
      </c>
      <c r="AP90" s="110">
        <v>2.2618351112371982</v>
      </c>
      <c r="AQ90" s="110">
        <v>1332.6732475409569</v>
      </c>
      <c r="AR90" s="110">
        <v>1.9791057223325481</v>
      </c>
      <c r="AS90" s="110">
        <v>1166.0890915983373</v>
      </c>
      <c r="AT90" s="110">
        <v>0</v>
      </c>
      <c r="AU90" s="110">
        <v>0</v>
      </c>
      <c r="AV90" s="110">
        <v>0</v>
      </c>
      <c r="AW90" s="110">
        <v>0</v>
      </c>
      <c r="AX90" s="110">
        <v>1.9942133996022622</v>
      </c>
      <c r="AY90" s="110">
        <v>1174.9905350456527</v>
      </c>
      <c r="AZ90" s="110">
        <v>1.6430311657100398</v>
      </c>
      <c r="BA90" s="110">
        <v>968.07396283635535</v>
      </c>
      <c r="BB90" s="110">
        <v>1.882824903408262</v>
      </c>
      <c r="BC90" s="110">
        <v>1109.3604330881478</v>
      </c>
      <c r="BD90" s="110">
        <v>0</v>
      </c>
      <c r="BE90" s="110">
        <v>0</v>
      </c>
      <c r="BF90" s="110">
        <v>1.7317175070409796</v>
      </c>
      <c r="BG90" s="110">
        <v>1020.327955148545</v>
      </c>
      <c r="BH90" s="110">
        <v>0</v>
      </c>
      <c r="BI90" s="110">
        <v>0</v>
      </c>
      <c r="BJ90" s="110">
        <v>0</v>
      </c>
      <c r="BK90" s="110">
        <v>0</v>
      </c>
      <c r="BL90" s="110">
        <v>1.661844499668552</v>
      </c>
      <c r="BM90" s="110">
        <v>979.15877920471075</v>
      </c>
      <c r="BN90" s="110">
        <v>5</v>
      </c>
      <c r="BO90" s="110">
        <v>2945.9999999999995</v>
      </c>
      <c r="BP90" s="110">
        <v>0.73310935724205417</v>
      </c>
      <c r="BQ90" s="110">
        <v>431.94803328701829</v>
      </c>
      <c r="BR90" s="110">
        <v>1.4045266416553568</v>
      </c>
      <c r="BS90" s="110">
        <v>827.54709726333613</v>
      </c>
      <c r="BT90" s="110">
        <v>1.4911070510724678</v>
      </c>
      <c r="BU90" s="110">
        <v>878.56027449189787</v>
      </c>
      <c r="BV90" s="110">
        <v>2.009553502676126</v>
      </c>
      <c r="BW90" s="110">
        <v>1184.0289237767734</v>
      </c>
      <c r="BX90" s="110">
        <v>0</v>
      </c>
      <c r="BY90" s="110">
        <v>0</v>
      </c>
      <c r="BZ90" s="110">
        <v>3.7168570882830783</v>
      </c>
      <c r="CA90" s="110">
        <v>2189.9721964163896</v>
      </c>
      <c r="CB90" s="110">
        <v>0</v>
      </c>
      <c r="CC90" s="110">
        <v>0</v>
      </c>
      <c r="CD90" s="110">
        <v>0</v>
      </c>
      <c r="CE90" s="110">
        <v>0</v>
      </c>
      <c r="CF90" s="110">
        <v>1.829425457618322</v>
      </c>
      <c r="CG90" s="110">
        <v>1077.8974796287152</v>
      </c>
      <c r="CH90" s="110">
        <v>1.4928111734165506</v>
      </c>
      <c r="CI90" s="110">
        <v>879.56434337703149</v>
      </c>
      <c r="CJ90" s="110">
        <v>1.3980838588954698</v>
      </c>
      <c r="CK90" s="110">
        <v>823.75100966121067</v>
      </c>
      <c r="CL90" s="110">
        <v>1.2805978203328252</v>
      </c>
      <c r="CM90" s="110">
        <v>754.52823574010051</v>
      </c>
      <c r="CN90" s="110">
        <v>1.547118178879251</v>
      </c>
      <c r="CO90" s="110">
        <v>911.5620309956546</v>
      </c>
      <c r="CP90" s="110">
        <v>0</v>
      </c>
      <c r="CQ90" s="110">
        <v>0</v>
      </c>
      <c r="CR90" s="110">
        <v>1.8727021888738091</v>
      </c>
      <c r="CS90" s="110">
        <v>1103.3961296844482</v>
      </c>
      <c r="CT90" s="110">
        <v>2.0843773033076838</v>
      </c>
      <c r="CU90" s="110">
        <v>1228.1151071088871</v>
      </c>
    </row>
    <row r="91" spans="2:99" x14ac:dyDescent="0.2">
      <c r="C91" s="109" t="s">
        <v>259</v>
      </c>
      <c r="D91" s="110">
        <v>0</v>
      </c>
      <c r="E91" s="110">
        <v>0</v>
      </c>
      <c r="F91" s="110">
        <v>0.54205622266114695</v>
      </c>
      <c r="G91" s="110">
        <v>346.04869254687623</v>
      </c>
      <c r="H91" s="110">
        <v>1.4885581501304637</v>
      </c>
      <c r="I91" s="110">
        <v>950.29552304328797</v>
      </c>
      <c r="J91" s="110">
        <v>0</v>
      </c>
      <c r="K91" s="110">
        <v>0</v>
      </c>
      <c r="L91" s="110">
        <v>3.705559650324771</v>
      </c>
      <c r="M91" s="110">
        <v>2365.6292807673335</v>
      </c>
      <c r="N91" s="110">
        <v>1.541250474028887</v>
      </c>
      <c r="O91" s="110">
        <v>983.93430262004142</v>
      </c>
      <c r="P91" s="110">
        <v>1.8141802454715024</v>
      </c>
      <c r="Q91" s="110">
        <v>1158.172668709007</v>
      </c>
      <c r="R91" s="110">
        <v>2.009553502676126</v>
      </c>
      <c r="S91" s="110">
        <v>1282.8989561084388</v>
      </c>
      <c r="T91" s="110">
        <v>0</v>
      </c>
      <c r="U91" s="110">
        <v>0</v>
      </c>
      <c r="V91" s="110">
        <v>1.8606976876630794</v>
      </c>
      <c r="W91" s="110">
        <v>1187.8694038041099</v>
      </c>
      <c r="X91" s="110">
        <v>0</v>
      </c>
      <c r="Y91" s="110">
        <v>0</v>
      </c>
      <c r="Z91" s="110">
        <v>2.6589511994696831</v>
      </c>
      <c r="AA91" s="110">
        <v>1697.4744457414456</v>
      </c>
      <c r="AB91" s="110">
        <v>0</v>
      </c>
      <c r="AC91" s="110">
        <v>0</v>
      </c>
      <c r="AD91" s="110">
        <v>2.0157558283016694</v>
      </c>
      <c r="AE91" s="110">
        <v>1286.8585207877857</v>
      </c>
      <c r="AF91" s="110">
        <v>0</v>
      </c>
      <c r="AG91" s="110">
        <v>0</v>
      </c>
      <c r="AH91" s="110">
        <v>1.6963763334278983</v>
      </c>
      <c r="AI91" s="110">
        <v>1082.9666512603703</v>
      </c>
      <c r="AJ91" s="110">
        <v>5.2099535254566227</v>
      </c>
      <c r="AK91" s="110">
        <v>3326.0343306515078</v>
      </c>
      <c r="AL91" s="110">
        <v>2.5240768632646993</v>
      </c>
      <c r="AM91" s="110">
        <v>1611.3706695081839</v>
      </c>
      <c r="AN91" s="110">
        <v>2.6589511994696831</v>
      </c>
      <c r="AO91" s="110">
        <v>1697.4744457414456</v>
      </c>
      <c r="AP91" s="110">
        <v>2.2618351112371982</v>
      </c>
      <c r="AQ91" s="110">
        <v>1443.9555350138273</v>
      </c>
      <c r="AR91" s="110">
        <v>1.9791057223325481</v>
      </c>
      <c r="AS91" s="110">
        <v>1263.4610931370987</v>
      </c>
      <c r="AT91" s="110">
        <v>0</v>
      </c>
      <c r="AU91" s="110">
        <v>0</v>
      </c>
      <c r="AV91" s="110">
        <v>0</v>
      </c>
      <c r="AW91" s="110">
        <v>0</v>
      </c>
      <c r="AX91" s="110">
        <v>1.9942133996022622</v>
      </c>
      <c r="AY91" s="110">
        <v>1273.105834306084</v>
      </c>
      <c r="AZ91" s="110">
        <v>1.6430311657100398</v>
      </c>
      <c r="BA91" s="110">
        <v>1048.9110961892893</v>
      </c>
      <c r="BB91" s="110">
        <v>1.6474717904822294</v>
      </c>
      <c r="BC91" s="110">
        <v>1051.7459910438552</v>
      </c>
      <c r="BD91" s="110">
        <v>0</v>
      </c>
      <c r="BE91" s="110">
        <v>0</v>
      </c>
      <c r="BF91" s="110">
        <v>1.4843292917494111</v>
      </c>
      <c r="BG91" s="110">
        <v>947.59581985282398</v>
      </c>
      <c r="BH91" s="110">
        <v>0</v>
      </c>
      <c r="BI91" s="110">
        <v>0</v>
      </c>
      <c r="BJ91" s="110">
        <v>0</v>
      </c>
      <c r="BK91" s="110">
        <v>0</v>
      </c>
      <c r="BL91" s="110">
        <v>1.661844499668552</v>
      </c>
      <c r="BM91" s="110">
        <v>1060.9215285884036</v>
      </c>
      <c r="BN91" s="110">
        <v>4</v>
      </c>
      <c r="BO91" s="110">
        <v>2553.6</v>
      </c>
      <c r="BP91" s="110">
        <v>0.87973122869046494</v>
      </c>
      <c r="BQ91" s="110">
        <v>561.62041639599283</v>
      </c>
      <c r="BR91" s="110">
        <v>1.4045266416553568</v>
      </c>
      <c r="BS91" s="110">
        <v>896.64980803277979</v>
      </c>
      <c r="BT91" s="110">
        <v>1.4911070510724678</v>
      </c>
      <c r="BU91" s="110">
        <v>951.92274140466338</v>
      </c>
      <c r="BV91" s="110">
        <v>1.6746279188967717</v>
      </c>
      <c r="BW91" s="110">
        <v>1069.082463423699</v>
      </c>
      <c r="BX91" s="110">
        <v>0</v>
      </c>
      <c r="BY91" s="110">
        <v>0</v>
      </c>
      <c r="BZ91" s="110">
        <v>4.2478366723235181</v>
      </c>
      <c r="CA91" s="110">
        <v>2711.8189316113339</v>
      </c>
      <c r="CB91" s="110">
        <v>0</v>
      </c>
      <c r="CC91" s="110">
        <v>0</v>
      </c>
      <c r="CD91" s="110">
        <v>0</v>
      </c>
      <c r="CE91" s="110">
        <v>0</v>
      </c>
      <c r="CF91" s="110">
        <v>1.829425457618322</v>
      </c>
      <c r="CG91" s="110">
        <v>1167.9052121435368</v>
      </c>
      <c r="CH91" s="110">
        <v>1.4928111734165506</v>
      </c>
      <c r="CI91" s="110">
        <v>953.01065310912588</v>
      </c>
      <c r="CJ91" s="110">
        <v>1.5978101244519656</v>
      </c>
      <c r="CK91" s="110">
        <v>1020.0419834501348</v>
      </c>
      <c r="CL91" s="110">
        <v>1.0244782562662602</v>
      </c>
      <c r="CM91" s="110">
        <v>654.02691880038049</v>
      </c>
      <c r="CN91" s="110">
        <v>1.9891519442733223</v>
      </c>
      <c r="CO91" s="110">
        <v>1269.874601224089</v>
      </c>
      <c r="CP91" s="110">
        <v>0</v>
      </c>
      <c r="CQ91" s="110">
        <v>0</v>
      </c>
      <c r="CR91" s="110">
        <v>2.1067899624830351</v>
      </c>
      <c r="CS91" s="110">
        <v>1344.9747120491695</v>
      </c>
      <c r="CT91" s="110">
        <v>2.0843773033076838</v>
      </c>
      <c r="CU91" s="110">
        <v>1330.6664704316254</v>
      </c>
    </row>
    <row r="92" spans="2:99" x14ac:dyDescent="0.2">
      <c r="C92" s="109" t="s">
        <v>260</v>
      </c>
      <c r="D92" s="110">
        <v>0</v>
      </c>
      <c r="E92" s="110">
        <v>0</v>
      </c>
      <c r="F92" s="110">
        <v>0.65046746719337634</v>
      </c>
      <c r="G92" s="110">
        <v>324.71335962293347</v>
      </c>
      <c r="H92" s="110">
        <v>1.4885581501304637</v>
      </c>
      <c r="I92" s="110">
        <v>743.08822854512744</v>
      </c>
      <c r="J92" s="110">
        <v>0</v>
      </c>
      <c r="K92" s="110">
        <v>0</v>
      </c>
      <c r="L92" s="110">
        <v>3.0879663752706428</v>
      </c>
      <c r="M92" s="110">
        <v>1541.5128145351048</v>
      </c>
      <c r="N92" s="110">
        <v>1.9265630925361088</v>
      </c>
      <c r="O92" s="110">
        <v>961.74029579402554</v>
      </c>
      <c r="P92" s="110">
        <v>1.8141802454715024</v>
      </c>
      <c r="Q92" s="110">
        <v>905.6387785393739</v>
      </c>
      <c r="R92" s="110">
        <v>1.6746279188967717</v>
      </c>
      <c r="S92" s="110">
        <v>835.97425711326844</v>
      </c>
      <c r="T92" s="110">
        <v>0</v>
      </c>
      <c r="U92" s="110">
        <v>0</v>
      </c>
      <c r="V92" s="110">
        <v>1.8606976876630794</v>
      </c>
      <c r="W92" s="110">
        <v>928.86028568140921</v>
      </c>
      <c r="X92" s="110">
        <v>0</v>
      </c>
      <c r="Y92" s="110">
        <v>0</v>
      </c>
      <c r="Z92" s="110">
        <v>2.6589511994696831</v>
      </c>
      <c r="AA92" s="110">
        <v>1327.3484387752658</v>
      </c>
      <c r="AB92" s="110">
        <v>0</v>
      </c>
      <c r="AC92" s="110">
        <v>0</v>
      </c>
      <c r="AD92" s="110">
        <v>2.0157558283016694</v>
      </c>
      <c r="AE92" s="110">
        <v>1006.2653094881933</v>
      </c>
      <c r="AF92" s="110">
        <v>0</v>
      </c>
      <c r="AG92" s="110">
        <v>0</v>
      </c>
      <c r="AH92" s="110">
        <v>1.9791057223325481</v>
      </c>
      <c r="AI92" s="110">
        <v>987.96957658840802</v>
      </c>
      <c r="AJ92" s="110">
        <v>4.4656744503913908</v>
      </c>
      <c r="AK92" s="110">
        <v>2229.2646856353822</v>
      </c>
      <c r="AL92" s="110">
        <v>2.5240768632646993</v>
      </c>
      <c r="AM92" s="110">
        <v>1260.0191701417377</v>
      </c>
      <c r="AN92" s="110">
        <v>2.6589511994696831</v>
      </c>
      <c r="AO92" s="110">
        <v>1327.3484387752658</v>
      </c>
      <c r="AP92" s="110">
        <v>2.2618351112371982</v>
      </c>
      <c r="AQ92" s="110">
        <v>1129.1080875296093</v>
      </c>
      <c r="AR92" s="110">
        <v>1.9791057223325481</v>
      </c>
      <c r="AS92" s="110">
        <v>987.96957658840802</v>
      </c>
      <c r="AT92" s="110">
        <v>0</v>
      </c>
      <c r="AU92" s="110">
        <v>0</v>
      </c>
      <c r="AV92" s="110">
        <v>0</v>
      </c>
      <c r="AW92" s="110">
        <v>0</v>
      </c>
      <c r="AX92" s="110">
        <v>1.661844499668552</v>
      </c>
      <c r="AY92" s="110">
        <v>829.59277423454114</v>
      </c>
      <c r="AZ92" s="110">
        <v>1.6430311657100398</v>
      </c>
      <c r="BA92" s="110">
        <v>820.2011579224519</v>
      </c>
      <c r="BB92" s="110">
        <v>1.6474717904822294</v>
      </c>
      <c r="BC92" s="110">
        <v>822.41791780872893</v>
      </c>
      <c r="BD92" s="110">
        <v>0</v>
      </c>
      <c r="BE92" s="110">
        <v>0</v>
      </c>
      <c r="BF92" s="110">
        <v>1.7317175070409796</v>
      </c>
      <c r="BG92" s="110">
        <v>864.47337951485702</v>
      </c>
      <c r="BH92" s="110">
        <v>0</v>
      </c>
      <c r="BI92" s="110">
        <v>0</v>
      </c>
      <c r="BJ92" s="110">
        <v>0</v>
      </c>
      <c r="BK92" s="110">
        <v>0</v>
      </c>
      <c r="BL92" s="110">
        <v>1.3294755997348415</v>
      </c>
      <c r="BM92" s="110">
        <v>663.67421938763289</v>
      </c>
      <c r="BN92" s="110">
        <v>4</v>
      </c>
      <c r="BO92" s="110">
        <v>1996.8</v>
      </c>
      <c r="BP92" s="110">
        <v>0.73310935724205417</v>
      </c>
      <c r="BQ92" s="110">
        <v>365.96819113523344</v>
      </c>
      <c r="BR92" s="110">
        <v>1.4045266416553568</v>
      </c>
      <c r="BS92" s="110">
        <v>701.13969951435411</v>
      </c>
      <c r="BT92" s="110">
        <v>1.4911070510724678</v>
      </c>
      <c r="BU92" s="110">
        <v>744.36063989537593</v>
      </c>
      <c r="BV92" s="110">
        <v>2.009553502676126</v>
      </c>
      <c r="BW92" s="110">
        <v>1003.1691085359221</v>
      </c>
      <c r="BX92" s="110">
        <v>0</v>
      </c>
      <c r="BY92" s="110">
        <v>0</v>
      </c>
      <c r="BZ92" s="110">
        <v>4.2478366723235181</v>
      </c>
      <c r="CA92" s="110">
        <v>2120.5200668239004</v>
      </c>
      <c r="CB92" s="110">
        <v>0</v>
      </c>
      <c r="CC92" s="110">
        <v>0</v>
      </c>
      <c r="CD92" s="110">
        <v>0</v>
      </c>
      <c r="CE92" s="110">
        <v>0</v>
      </c>
      <c r="CF92" s="110">
        <v>1.829425457618322</v>
      </c>
      <c r="CG92" s="110">
        <v>913.24918844306626</v>
      </c>
      <c r="CH92" s="110">
        <v>1.4928111734165506</v>
      </c>
      <c r="CI92" s="110">
        <v>745.21133776954207</v>
      </c>
      <c r="CJ92" s="110">
        <v>1.3980838588954698</v>
      </c>
      <c r="CK92" s="110">
        <v>697.92346236061849</v>
      </c>
      <c r="CL92" s="110">
        <v>1.2805978203328252</v>
      </c>
      <c r="CM92" s="110">
        <v>639.27443191014629</v>
      </c>
      <c r="CN92" s="110">
        <v>1.9891519442733223</v>
      </c>
      <c r="CO92" s="110">
        <v>992.98465058124248</v>
      </c>
      <c r="CP92" s="110">
        <v>0</v>
      </c>
      <c r="CQ92" s="110">
        <v>0</v>
      </c>
      <c r="CR92" s="110">
        <v>2.1067899624830351</v>
      </c>
      <c r="CS92" s="110">
        <v>1051.7095492715312</v>
      </c>
      <c r="CT92" s="110">
        <v>2.3159747814529816</v>
      </c>
      <c r="CU92" s="110">
        <v>1156.1346109013284</v>
      </c>
    </row>
    <row r="93" spans="2:99" x14ac:dyDescent="0.2">
      <c r="C93" s="109" t="s">
        <v>261</v>
      </c>
      <c r="D93" s="110">
        <v>0</v>
      </c>
      <c r="E93" s="110">
        <v>0</v>
      </c>
      <c r="F93" s="110">
        <v>0.65046746719337634</v>
      </c>
      <c r="G93" s="110">
        <v>113.18133929164748</v>
      </c>
      <c r="H93" s="110">
        <v>1.4885581501304637</v>
      </c>
      <c r="I93" s="110">
        <v>259.00911812270067</v>
      </c>
      <c r="J93" s="110">
        <v>0</v>
      </c>
      <c r="K93" s="110">
        <v>0</v>
      </c>
      <c r="L93" s="110">
        <v>3.705559650324771</v>
      </c>
      <c r="M93" s="110">
        <v>644.76737915651017</v>
      </c>
      <c r="N93" s="110">
        <v>1.9265630925361088</v>
      </c>
      <c r="O93" s="110">
        <v>335.22197810128296</v>
      </c>
      <c r="P93" s="110">
        <v>1.8141802454715024</v>
      </c>
      <c r="Q93" s="110">
        <v>315.66736271204144</v>
      </c>
      <c r="R93" s="110">
        <v>2.009553502676126</v>
      </c>
      <c r="S93" s="110">
        <v>349.66230946564593</v>
      </c>
      <c r="T93" s="110">
        <v>0</v>
      </c>
      <c r="U93" s="110">
        <v>0</v>
      </c>
      <c r="V93" s="110">
        <v>1.8606976876630794</v>
      </c>
      <c r="W93" s="110">
        <v>323.76139765337581</v>
      </c>
      <c r="X93" s="110">
        <v>0</v>
      </c>
      <c r="Y93" s="110">
        <v>0</v>
      </c>
      <c r="Z93" s="110">
        <v>2.6589511994696831</v>
      </c>
      <c r="AA93" s="110">
        <v>462.65750870772484</v>
      </c>
      <c r="AB93" s="110">
        <v>0</v>
      </c>
      <c r="AC93" s="110">
        <v>0</v>
      </c>
      <c r="AD93" s="110">
        <v>2.0157558283016694</v>
      </c>
      <c r="AE93" s="110">
        <v>350.74151412449049</v>
      </c>
      <c r="AF93" s="110">
        <v>0</v>
      </c>
      <c r="AG93" s="110">
        <v>0</v>
      </c>
      <c r="AH93" s="110">
        <v>1.9791057223325481</v>
      </c>
      <c r="AI93" s="110">
        <v>344.36439568586337</v>
      </c>
      <c r="AJ93" s="110">
        <v>5.2099535254566227</v>
      </c>
      <c r="AK93" s="110">
        <v>906.5319134294524</v>
      </c>
      <c r="AL93" s="110">
        <v>2.5240768632646993</v>
      </c>
      <c r="AM93" s="110">
        <v>439.1893742080577</v>
      </c>
      <c r="AN93" s="110">
        <v>2.6589511994696831</v>
      </c>
      <c r="AO93" s="110">
        <v>462.65750870772484</v>
      </c>
      <c r="AP93" s="110">
        <v>2.2618351112371982</v>
      </c>
      <c r="AQ93" s="110">
        <v>393.55930935527249</v>
      </c>
      <c r="AR93" s="110">
        <v>1.9791057223325481</v>
      </c>
      <c r="AS93" s="110">
        <v>344.36439568586337</v>
      </c>
      <c r="AT93" s="110">
        <v>0</v>
      </c>
      <c r="AU93" s="110">
        <v>0</v>
      </c>
      <c r="AV93" s="110">
        <v>0</v>
      </c>
      <c r="AW93" s="110">
        <v>0</v>
      </c>
      <c r="AX93" s="110">
        <v>1.9942133996022622</v>
      </c>
      <c r="AY93" s="110">
        <v>346.99313153079362</v>
      </c>
      <c r="AZ93" s="110">
        <v>1.6430311657100398</v>
      </c>
      <c r="BA93" s="110">
        <v>285.88742283354691</v>
      </c>
      <c r="BB93" s="110">
        <v>1.882824903408262</v>
      </c>
      <c r="BC93" s="110">
        <v>327.61153319303759</v>
      </c>
      <c r="BD93" s="110">
        <v>0</v>
      </c>
      <c r="BE93" s="110">
        <v>0</v>
      </c>
      <c r="BF93" s="110">
        <v>1.7317175070409796</v>
      </c>
      <c r="BG93" s="110">
        <v>301.31884622513047</v>
      </c>
      <c r="BH93" s="110">
        <v>0</v>
      </c>
      <c r="BI93" s="110">
        <v>0</v>
      </c>
      <c r="BJ93" s="110">
        <v>0</v>
      </c>
      <c r="BK93" s="110">
        <v>0</v>
      </c>
      <c r="BL93" s="110">
        <v>1.3294755997348415</v>
      </c>
      <c r="BM93" s="110">
        <v>231.32875435386242</v>
      </c>
      <c r="BN93" s="110">
        <v>5</v>
      </c>
      <c r="BO93" s="110">
        <v>870</v>
      </c>
      <c r="BP93" s="110">
        <v>0.87973122869046494</v>
      </c>
      <c r="BQ93" s="110">
        <v>153.07323379214091</v>
      </c>
      <c r="BR93" s="110">
        <v>1.4045266416553568</v>
      </c>
      <c r="BS93" s="110">
        <v>244.38763564803207</v>
      </c>
      <c r="BT93" s="110">
        <v>1.7893284612869611</v>
      </c>
      <c r="BU93" s="110">
        <v>311.34315226393124</v>
      </c>
      <c r="BV93" s="110">
        <v>2.009553502676126</v>
      </c>
      <c r="BW93" s="110">
        <v>349.66230946564593</v>
      </c>
      <c r="BX93" s="110">
        <v>0</v>
      </c>
      <c r="BY93" s="110">
        <v>0</v>
      </c>
      <c r="BZ93" s="110">
        <v>4.2478366723235181</v>
      </c>
      <c r="CA93" s="110">
        <v>739.12358098429218</v>
      </c>
      <c r="CB93" s="110">
        <v>0</v>
      </c>
      <c r="CC93" s="110">
        <v>0</v>
      </c>
      <c r="CD93" s="110">
        <v>0</v>
      </c>
      <c r="CE93" s="110">
        <v>0</v>
      </c>
      <c r="CF93" s="110">
        <v>1.829425457618322</v>
      </c>
      <c r="CG93" s="110">
        <v>318.32002962558801</v>
      </c>
      <c r="CH93" s="110">
        <v>1.4928111734165506</v>
      </c>
      <c r="CI93" s="110">
        <v>259.7491441744798</v>
      </c>
      <c r="CJ93" s="110">
        <v>1.3980838588954698</v>
      </c>
      <c r="CK93" s="110">
        <v>243.26659144781175</v>
      </c>
      <c r="CL93" s="110">
        <v>1.2805978203328252</v>
      </c>
      <c r="CM93" s="110">
        <v>222.82402073791158</v>
      </c>
      <c r="CN93" s="110">
        <v>1.7681350615762865</v>
      </c>
      <c r="CO93" s="110">
        <v>307.65550071427384</v>
      </c>
      <c r="CP93" s="110">
        <v>0</v>
      </c>
      <c r="CQ93" s="110">
        <v>0</v>
      </c>
      <c r="CR93" s="110">
        <v>2.1067899624830351</v>
      </c>
      <c r="CS93" s="110">
        <v>366.58145347204811</v>
      </c>
      <c r="CT93" s="110">
        <v>2.3159747814529816</v>
      </c>
      <c r="CU93" s="110">
        <v>402.97961197281882</v>
      </c>
    </row>
    <row r="94" spans="2:99" x14ac:dyDescent="0.2">
      <c r="C94" s="109" t="s">
        <v>262</v>
      </c>
      <c r="D94" s="110">
        <v>0</v>
      </c>
      <c r="E94" s="110">
        <v>0</v>
      </c>
      <c r="F94" s="110">
        <v>0.54205622266114695</v>
      </c>
      <c r="G94" s="110">
        <v>387.67861044725225</v>
      </c>
      <c r="H94" s="110">
        <v>1.4885581501304637</v>
      </c>
      <c r="I94" s="110">
        <v>1064.6167889733076</v>
      </c>
      <c r="J94" s="110">
        <v>0</v>
      </c>
      <c r="K94" s="110">
        <v>0</v>
      </c>
      <c r="L94" s="110">
        <v>3.0879663752706428</v>
      </c>
      <c r="M94" s="110">
        <v>2208.5135515935635</v>
      </c>
      <c r="N94" s="110">
        <v>1.9265630925361088</v>
      </c>
      <c r="O94" s="110">
        <v>1377.8779237818248</v>
      </c>
      <c r="P94" s="110">
        <v>1.5118168712262521</v>
      </c>
      <c r="Q94" s="110">
        <v>1081.2514263010153</v>
      </c>
      <c r="R94" s="110">
        <v>1.6746279188967717</v>
      </c>
      <c r="S94" s="110">
        <v>1197.6938875949709</v>
      </c>
      <c r="T94" s="110">
        <v>0</v>
      </c>
      <c r="U94" s="110">
        <v>0</v>
      </c>
      <c r="V94" s="110">
        <v>1.8606976876630794</v>
      </c>
      <c r="W94" s="110">
        <v>1330.7709862166344</v>
      </c>
      <c r="X94" s="110">
        <v>0</v>
      </c>
      <c r="Y94" s="110">
        <v>0</v>
      </c>
      <c r="Z94" s="110">
        <v>2.6589511994696831</v>
      </c>
      <c r="AA94" s="110">
        <v>1901.6818978607171</v>
      </c>
      <c r="AB94" s="110">
        <v>0</v>
      </c>
      <c r="AC94" s="110">
        <v>0</v>
      </c>
      <c r="AD94" s="110">
        <v>2.0157558283016694</v>
      </c>
      <c r="AE94" s="110">
        <v>1441.6685684013539</v>
      </c>
      <c r="AF94" s="110">
        <v>0</v>
      </c>
      <c r="AG94" s="110">
        <v>0</v>
      </c>
      <c r="AH94" s="110">
        <v>1.9791057223325481</v>
      </c>
      <c r="AI94" s="110">
        <v>1415.4564126122382</v>
      </c>
      <c r="AJ94" s="110">
        <v>4.4656744503913908</v>
      </c>
      <c r="AK94" s="110">
        <v>3193.8503669199222</v>
      </c>
      <c r="AL94" s="110">
        <v>2.2085672553566118</v>
      </c>
      <c r="AM94" s="110">
        <v>1579.5673010310486</v>
      </c>
      <c r="AN94" s="110">
        <v>2.6589511994696831</v>
      </c>
      <c r="AO94" s="110">
        <v>1901.6818978607171</v>
      </c>
      <c r="AP94" s="110">
        <v>1.9791057223325481</v>
      </c>
      <c r="AQ94" s="110">
        <v>1415.4564126122382</v>
      </c>
      <c r="AR94" s="110">
        <v>1.9791057223325481</v>
      </c>
      <c r="AS94" s="110">
        <v>1415.4564126122382</v>
      </c>
      <c r="AT94" s="110">
        <v>0</v>
      </c>
      <c r="AU94" s="110">
        <v>0</v>
      </c>
      <c r="AV94" s="110">
        <v>0</v>
      </c>
      <c r="AW94" s="110">
        <v>0</v>
      </c>
      <c r="AX94" s="110">
        <v>1.9942133996022622</v>
      </c>
      <c r="AY94" s="110">
        <v>1426.2614233955378</v>
      </c>
      <c r="AZ94" s="110">
        <v>1.6430311657100398</v>
      </c>
      <c r="BA94" s="110">
        <v>1175.0958897158205</v>
      </c>
      <c r="BB94" s="110">
        <v>1.6474717904822294</v>
      </c>
      <c r="BC94" s="110">
        <v>1178.2718245528904</v>
      </c>
      <c r="BD94" s="110">
        <v>0</v>
      </c>
      <c r="BE94" s="110">
        <v>0</v>
      </c>
      <c r="BF94" s="110">
        <v>1.4843292917494111</v>
      </c>
      <c r="BG94" s="110">
        <v>1061.5923094591788</v>
      </c>
      <c r="BH94" s="110">
        <v>0</v>
      </c>
      <c r="BI94" s="110">
        <v>0</v>
      </c>
      <c r="BJ94" s="110">
        <v>0</v>
      </c>
      <c r="BK94" s="110">
        <v>0</v>
      </c>
      <c r="BL94" s="110">
        <v>1.661844499668552</v>
      </c>
      <c r="BM94" s="110">
        <v>1188.5511861629482</v>
      </c>
      <c r="BN94" s="110">
        <v>4</v>
      </c>
      <c r="BO94" s="110">
        <v>2860.7999999999997</v>
      </c>
      <c r="BP94" s="110">
        <v>0.73310935724205417</v>
      </c>
      <c r="BQ94" s="110">
        <v>524.31981229951714</v>
      </c>
      <c r="BR94" s="110">
        <v>1.4045266416553568</v>
      </c>
      <c r="BS94" s="110">
        <v>1004.5174541119111</v>
      </c>
      <c r="BT94" s="110">
        <v>1.7893284612869611</v>
      </c>
      <c r="BU94" s="110">
        <v>1279.7277155124345</v>
      </c>
      <c r="BV94" s="110">
        <v>2.009553502676126</v>
      </c>
      <c r="BW94" s="110">
        <v>1437.2326651139651</v>
      </c>
      <c r="BX94" s="110">
        <v>0</v>
      </c>
      <c r="BY94" s="110">
        <v>0</v>
      </c>
      <c r="BZ94" s="110">
        <v>4.2478366723235181</v>
      </c>
      <c r="CA94" s="110">
        <v>3038.0527880457798</v>
      </c>
      <c r="CB94" s="110">
        <v>0</v>
      </c>
      <c r="CC94" s="110">
        <v>0</v>
      </c>
      <c r="CD94" s="110">
        <v>0</v>
      </c>
      <c r="CE94" s="110">
        <v>0</v>
      </c>
      <c r="CF94" s="110">
        <v>1.829425457618322</v>
      </c>
      <c r="CG94" s="110">
        <v>1308.4050872886237</v>
      </c>
      <c r="CH94" s="110">
        <v>1.4928111734165506</v>
      </c>
      <c r="CI94" s="110">
        <v>1067.6585512275169</v>
      </c>
      <c r="CJ94" s="110">
        <v>1.3980838588954698</v>
      </c>
      <c r="CK94" s="110">
        <v>999.90957588203992</v>
      </c>
      <c r="CL94" s="110">
        <v>1.0244782562662602</v>
      </c>
      <c r="CM94" s="110">
        <v>732.70684888162918</v>
      </c>
      <c r="CN94" s="110">
        <v>1.9891519442733223</v>
      </c>
      <c r="CO94" s="110">
        <v>1422.6414705442801</v>
      </c>
      <c r="CP94" s="110">
        <v>0</v>
      </c>
      <c r="CQ94" s="110">
        <v>0</v>
      </c>
      <c r="CR94" s="110">
        <v>1.8727021888738091</v>
      </c>
      <c r="CS94" s="110">
        <v>1339.356605482548</v>
      </c>
      <c r="CT94" s="110">
        <v>2.5475722595982799</v>
      </c>
      <c r="CU94" s="110">
        <v>1822.0236800646896</v>
      </c>
    </row>
    <row r="95" spans="2:99" x14ac:dyDescent="0.2">
      <c r="B95" s="109" t="s">
        <v>132</v>
      </c>
      <c r="C95" s="109" t="s">
        <v>263</v>
      </c>
      <c r="D95" s="110">
        <v>0</v>
      </c>
      <c r="E95" s="110">
        <v>0</v>
      </c>
      <c r="F95" s="110">
        <v>0.86728995625783512</v>
      </c>
      <c r="G95" s="110">
        <v>573.45211907768055</v>
      </c>
      <c r="H95" s="110">
        <v>2.2328372251956954</v>
      </c>
      <c r="I95" s="110">
        <v>1476.3519732993936</v>
      </c>
      <c r="J95" s="110">
        <v>0</v>
      </c>
      <c r="K95" s="110">
        <v>0</v>
      </c>
      <c r="L95" s="110">
        <v>3.705559650324771</v>
      </c>
      <c r="M95" s="110">
        <v>2450.1160407947382</v>
      </c>
      <c r="N95" s="110">
        <v>1.9265630925361088</v>
      </c>
      <c r="O95" s="110">
        <v>1273.843516784875</v>
      </c>
      <c r="P95" s="110">
        <v>2.1165436197167531</v>
      </c>
      <c r="Q95" s="110">
        <v>1399.458641356717</v>
      </c>
      <c r="R95" s="110">
        <v>1.6746279188967717</v>
      </c>
      <c r="S95" s="110">
        <v>1107.2639799745452</v>
      </c>
      <c r="T95" s="110">
        <v>0</v>
      </c>
      <c r="U95" s="110">
        <v>0</v>
      </c>
      <c r="V95" s="110">
        <v>2.2328372251956954</v>
      </c>
      <c r="W95" s="110">
        <v>1476.3519732993936</v>
      </c>
      <c r="X95" s="110">
        <v>0</v>
      </c>
      <c r="Y95" s="110">
        <v>0</v>
      </c>
      <c r="Z95" s="110">
        <v>4.6531645990719452</v>
      </c>
      <c r="AA95" s="110">
        <v>3076.67243290637</v>
      </c>
      <c r="AB95" s="110">
        <v>0</v>
      </c>
      <c r="AC95" s="110">
        <v>0</v>
      </c>
      <c r="AD95" s="110">
        <v>6.450418650565342</v>
      </c>
      <c r="AE95" s="110">
        <v>4265.0168117538033</v>
      </c>
      <c r="AF95" s="110">
        <v>0</v>
      </c>
      <c r="AG95" s="110">
        <v>0</v>
      </c>
      <c r="AH95" s="110">
        <v>2.2618351112371982</v>
      </c>
      <c r="AI95" s="110">
        <v>1495.5253755500353</v>
      </c>
      <c r="AJ95" s="110">
        <v>3.7213953753261588</v>
      </c>
      <c r="AK95" s="110">
        <v>2460.5866221656561</v>
      </c>
      <c r="AL95" s="110">
        <v>1.8930576474485243</v>
      </c>
      <c r="AM95" s="110">
        <v>1251.6897164929642</v>
      </c>
      <c r="AN95" s="110">
        <v>1.661844499668552</v>
      </c>
      <c r="AO95" s="110">
        <v>1098.8115831808464</v>
      </c>
      <c r="AP95" s="110">
        <v>1.9791057223325481</v>
      </c>
      <c r="AQ95" s="110">
        <v>1308.5847036062808</v>
      </c>
      <c r="AR95" s="110">
        <v>2.5445645001418473</v>
      </c>
      <c r="AS95" s="110">
        <v>1682.4660474937893</v>
      </c>
      <c r="AT95" s="110">
        <v>0</v>
      </c>
      <c r="AU95" s="110">
        <v>0</v>
      </c>
      <c r="AV95" s="110">
        <v>0</v>
      </c>
      <c r="AW95" s="110">
        <v>0</v>
      </c>
      <c r="AX95" s="110">
        <v>2.3265822995359726</v>
      </c>
      <c r="AY95" s="110">
        <v>1538.336216453185</v>
      </c>
      <c r="AZ95" s="110">
        <v>2.1907082209467199</v>
      </c>
      <c r="BA95" s="110">
        <v>1448.4962756899711</v>
      </c>
      <c r="BB95" s="110">
        <v>2.1181780163342947</v>
      </c>
      <c r="BC95" s="110">
        <v>1400.5393044002356</v>
      </c>
      <c r="BD95" s="110">
        <v>0</v>
      </c>
      <c r="BE95" s="110">
        <v>0</v>
      </c>
      <c r="BF95" s="110">
        <v>1.9791057223325481</v>
      </c>
      <c r="BG95" s="110">
        <v>1308.5847036062808</v>
      </c>
      <c r="BH95" s="110">
        <v>0</v>
      </c>
      <c r="BI95" s="110">
        <v>0</v>
      </c>
      <c r="BJ95" s="110">
        <v>0</v>
      </c>
      <c r="BK95" s="110">
        <v>0</v>
      </c>
      <c r="BL95" s="110">
        <v>2.3265822995359726</v>
      </c>
      <c r="BM95" s="110">
        <v>1538.336216453185</v>
      </c>
      <c r="BN95" s="110">
        <v>6</v>
      </c>
      <c r="BO95" s="110">
        <v>3967.2</v>
      </c>
      <c r="BP95" s="110">
        <v>1.0263531001388757</v>
      </c>
      <c r="BQ95" s="110">
        <v>678.62466981182456</v>
      </c>
      <c r="BR95" s="110">
        <v>2.5281479549796422</v>
      </c>
      <c r="BS95" s="110">
        <v>1671.6114278325392</v>
      </c>
      <c r="BT95" s="110">
        <v>2.3857712817159484</v>
      </c>
      <c r="BU95" s="110">
        <v>1577.471971470585</v>
      </c>
      <c r="BV95" s="110">
        <v>2.3444790864554803</v>
      </c>
      <c r="BW95" s="110">
        <v>1550.1695719643635</v>
      </c>
      <c r="BX95" s="110">
        <v>0</v>
      </c>
      <c r="BY95" s="110">
        <v>0</v>
      </c>
      <c r="BZ95" s="110">
        <v>4.2478366723235181</v>
      </c>
      <c r="CA95" s="110">
        <v>2808.6696077403099</v>
      </c>
      <c r="CB95" s="110">
        <v>0</v>
      </c>
      <c r="CC95" s="110">
        <v>0</v>
      </c>
      <c r="CD95" s="110">
        <v>0</v>
      </c>
      <c r="CE95" s="110">
        <v>0</v>
      </c>
      <c r="CF95" s="110">
        <v>5.4882763728549655</v>
      </c>
      <c r="CG95" s="110">
        <v>3628.8483377317029</v>
      </c>
      <c r="CH95" s="110">
        <v>2.4880186223609178</v>
      </c>
      <c r="CI95" s="110">
        <v>1645.0779131050388</v>
      </c>
      <c r="CJ95" s="110">
        <v>2.9958939833474352</v>
      </c>
      <c r="CK95" s="110">
        <v>1980.8851017893239</v>
      </c>
      <c r="CL95" s="110">
        <v>2.5611956406656504</v>
      </c>
      <c r="CM95" s="110">
        <v>1693.4625576081278</v>
      </c>
      <c r="CN95" s="110">
        <v>1.9891519442733223</v>
      </c>
      <c r="CO95" s="110">
        <v>1315.2272655535205</v>
      </c>
      <c r="CP95" s="110">
        <v>0</v>
      </c>
      <c r="CQ95" s="110">
        <v>0</v>
      </c>
      <c r="CR95" s="110">
        <v>2.1067899624830351</v>
      </c>
      <c r="CS95" s="110">
        <v>1393.0095231937826</v>
      </c>
      <c r="CT95" s="110">
        <v>1.8527798251623855</v>
      </c>
      <c r="CU95" s="110">
        <v>1225.0580203973691</v>
      </c>
    </row>
    <row r="96" spans="2:99" x14ac:dyDescent="0.2">
      <c r="C96" s="109" t="s">
        <v>264</v>
      </c>
      <c r="D96" s="110">
        <v>0</v>
      </c>
      <c r="E96" s="110">
        <v>0</v>
      </c>
      <c r="F96" s="110">
        <v>0.86728995625783512</v>
      </c>
      <c r="G96" s="110">
        <v>968.93633913125348</v>
      </c>
      <c r="H96" s="110">
        <v>2.2328372251956954</v>
      </c>
      <c r="I96" s="110">
        <v>2494.5257479886309</v>
      </c>
      <c r="J96" s="110">
        <v>0</v>
      </c>
      <c r="K96" s="110">
        <v>0</v>
      </c>
      <c r="L96" s="110">
        <v>3.705559650324771</v>
      </c>
      <c r="M96" s="110">
        <v>4139.8512413428343</v>
      </c>
      <c r="N96" s="110">
        <v>1.9265630925361088</v>
      </c>
      <c r="O96" s="110">
        <v>2152.3562869813409</v>
      </c>
      <c r="P96" s="110">
        <v>2.1165436197167531</v>
      </c>
      <c r="Q96" s="110">
        <v>2364.6025319475566</v>
      </c>
      <c r="R96" s="110">
        <v>1.6746279188967717</v>
      </c>
      <c r="S96" s="110">
        <v>1870.8943109914733</v>
      </c>
      <c r="T96" s="110">
        <v>0</v>
      </c>
      <c r="U96" s="110">
        <v>0</v>
      </c>
      <c r="V96" s="110">
        <v>2.2328372251956954</v>
      </c>
      <c r="W96" s="110">
        <v>2494.5257479886309</v>
      </c>
      <c r="X96" s="110">
        <v>0</v>
      </c>
      <c r="Y96" s="110">
        <v>0</v>
      </c>
      <c r="Z96" s="110">
        <v>4.6531645990719452</v>
      </c>
      <c r="AA96" s="110">
        <v>5198.5154900831776</v>
      </c>
      <c r="AB96" s="110">
        <v>0</v>
      </c>
      <c r="AC96" s="110">
        <v>0</v>
      </c>
      <c r="AD96" s="110">
        <v>6.0472674849050083</v>
      </c>
      <c r="AE96" s="110">
        <v>6756.0072341358755</v>
      </c>
      <c r="AF96" s="110">
        <v>0</v>
      </c>
      <c r="AG96" s="110">
        <v>0</v>
      </c>
      <c r="AH96" s="110">
        <v>2.2618351112371982</v>
      </c>
      <c r="AI96" s="110">
        <v>2526.9221862741979</v>
      </c>
      <c r="AJ96" s="110">
        <v>3.7213953753261588</v>
      </c>
      <c r="AK96" s="110">
        <v>4157.5429133143853</v>
      </c>
      <c r="AL96" s="110">
        <v>1.8930576474485243</v>
      </c>
      <c r="AM96" s="110">
        <v>2114.9240037294917</v>
      </c>
      <c r="AN96" s="110">
        <v>1.661844499668552</v>
      </c>
      <c r="AO96" s="110">
        <v>1856.6126750297062</v>
      </c>
      <c r="AP96" s="110">
        <v>2.2618351112371982</v>
      </c>
      <c r="AQ96" s="110">
        <v>2526.9221862741979</v>
      </c>
      <c r="AR96" s="110">
        <v>2.2618351112371982</v>
      </c>
      <c r="AS96" s="110">
        <v>2526.9221862741979</v>
      </c>
      <c r="AT96" s="110">
        <v>0</v>
      </c>
      <c r="AU96" s="110">
        <v>0</v>
      </c>
      <c r="AV96" s="110">
        <v>0</v>
      </c>
      <c r="AW96" s="110">
        <v>0</v>
      </c>
      <c r="AX96" s="110">
        <v>1.9942133996022622</v>
      </c>
      <c r="AY96" s="110">
        <v>2227.9352100356473</v>
      </c>
      <c r="AZ96" s="110">
        <v>2.1907082209467199</v>
      </c>
      <c r="BA96" s="110">
        <v>2447.4592244416754</v>
      </c>
      <c r="BB96" s="110">
        <v>2.1181780163342947</v>
      </c>
      <c r="BC96" s="110">
        <v>2366.4284798486742</v>
      </c>
      <c r="BD96" s="110">
        <v>0</v>
      </c>
      <c r="BE96" s="110">
        <v>0</v>
      </c>
      <c r="BF96" s="110">
        <v>2.2264939376241166</v>
      </c>
      <c r="BG96" s="110">
        <v>2487.4390271136631</v>
      </c>
      <c r="BH96" s="110">
        <v>0</v>
      </c>
      <c r="BI96" s="110">
        <v>0</v>
      </c>
      <c r="BJ96" s="110">
        <v>0</v>
      </c>
      <c r="BK96" s="110">
        <v>0</v>
      </c>
      <c r="BL96" s="110">
        <v>2.3265822995359726</v>
      </c>
      <c r="BM96" s="110">
        <v>2599.2577450415888</v>
      </c>
      <c r="BN96" s="110">
        <v>5</v>
      </c>
      <c r="BO96" s="110">
        <v>5586</v>
      </c>
      <c r="BP96" s="110">
        <v>1.0263531001388757</v>
      </c>
      <c r="BQ96" s="110">
        <v>1146.6416834751519</v>
      </c>
      <c r="BR96" s="110">
        <v>2.5281479549796422</v>
      </c>
      <c r="BS96" s="110">
        <v>2824.4468953032565</v>
      </c>
      <c r="BT96" s="110">
        <v>2.0875498715014547</v>
      </c>
      <c r="BU96" s="110">
        <v>2332.2107164414251</v>
      </c>
      <c r="BV96" s="110">
        <v>2.009553502676126</v>
      </c>
      <c r="BW96" s="110">
        <v>2245.0731731897681</v>
      </c>
      <c r="BX96" s="110">
        <v>0</v>
      </c>
      <c r="BY96" s="110">
        <v>0</v>
      </c>
      <c r="BZ96" s="110">
        <v>5.309795840404397</v>
      </c>
      <c r="CA96" s="110">
        <v>5932.1039128997927</v>
      </c>
      <c r="CB96" s="110">
        <v>0</v>
      </c>
      <c r="CC96" s="110">
        <v>0</v>
      </c>
      <c r="CD96" s="110">
        <v>0</v>
      </c>
      <c r="CE96" s="110">
        <v>0</v>
      </c>
      <c r="CF96" s="110">
        <v>5.8541614643786293</v>
      </c>
      <c r="CG96" s="110">
        <v>6540.2691880038046</v>
      </c>
      <c r="CH96" s="110">
        <v>2.7368204845970094</v>
      </c>
      <c r="CI96" s="110">
        <v>3057.5758453917792</v>
      </c>
      <c r="CJ96" s="110">
        <v>2.5964414522344441</v>
      </c>
      <c r="CK96" s="110">
        <v>2900.7443904363213</v>
      </c>
      <c r="CL96" s="110">
        <v>2.8173152047322159</v>
      </c>
      <c r="CM96" s="110">
        <v>3147.5045467268319</v>
      </c>
      <c r="CN96" s="110">
        <v>1.9891519442733223</v>
      </c>
      <c r="CO96" s="110">
        <v>2222.2805521421556</v>
      </c>
      <c r="CP96" s="110">
        <v>0</v>
      </c>
      <c r="CQ96" s="110">
        <v>0</v>
      </c>
      <c r="CR96" s="110">
        <v>1.8727021888738091</v>
      </c>
      <c r="CS96" s="110">
        <v>2092.1828854098198</v>
      </c>
      <c r="CT96" s="110">
        <v>2.0843773033076838</v>
      </c>
      <c r="CU96" s="110">
        <v>2328.6663232553442</v>
      </c>
    </row>
    <row r="97" spans="2:99" x14ac:dyDescent="0.2">
      <c r="C97" s="109" t="s">
        <v>265</v>
      </c>
      <c r="D97" s="110">
        <v>0</v>
      </c>
      <c r="E97" s="110">
        <v>0</v>
      </c>
      <c r="F97" s="110">
        <v>0.9757012007900645</v>
      </c>
      <c r="G97" s="110">
        <v>578.39567182835015</v>
      </c>
      <c r="H97" s="110">
        <v>2.6049767627283114</v>
      </c>
      <c r="I97" s="110">
        <v>1544.2302249453428</v>
      </c>
      <c r="J97" s="110">
        <v>0</v>
      </c>
      <c r="K97" s="110">
        <v>0</v>
      </c>
      <c r="L97" s="110">
        <v>4.3231529253789001</v>
      </c>
      <c r="M97" s="110">
        <v>2562.7650541646117</v>
      </c>
      <c r="N97" s="110">
        <v>1.9265630925361088</v>
      </c>
      <c r="O97" s="110">
        <v>1142.0666012554052</v>
      </c>
      <c r="P97" s="110">
        <v>2.1165436197167531</v>
      </c>
      <c r="Q97" s="110">
        <v>1254.6870577680911</v>
      </c>
      <c r="R97" s="110">
        <v>2.009553502676126</v>
      </c>
      <c r="S97" s="110">
        <v>1191.2633163864075</v>
      </c>
      <c r="T97" s="110">
        <v>0</v>
      </c>
      <c r="U97" s="110">
        <v>0</v>
      </c>
      <c r="V97" s="110">
        <v>2.2328372251956954</v>
      </c>
      <c r="W97" s="110">
        <v>1323.6259070960082</v>
      </c>
      <c r="X97" s="110">
        <v>0</v>
      </c>
      <c r="Y97" s="110">
        <v>0</v>
      </c>
      <c r="Z97" s="110">
        <v>4.6531645990719452</v>
      </c>
      <c r="AA97" s="110">
        <v>2758.3959743298487</v>
      </c>
      <c r="AB97" s="110">
        <v>0</v>
      </c>
      <c r="AC97" s="110">
        <v>0</v>
      </c>
      <c r="AD97" s="110">
        <v>5.24096515358434</v>
      </c>
      <c r="AE97" s="110">
        <v>3106.8441430447965</v>
      </c>
      <c r="AF97" s="110">
        <v>0</v>
      </c>
      <c r="AG97" s="110">
        <v>0</v>
      </c>
      <c r="AH97" s="110">
        <v>2.2618351112371982</v>
      </c>
      <c r="AI97" s="110">
        <v>1340.815853941411</v>
      </c>
      <c r="AJ97" s="110">
        <v>3.7213953753261588</v>
      </c>
      <c r="AK97" s="110">
        <v>2206.0431784933467</v>
      </c>
      <c r="AL97" s="110">
        <v>1.8930576474485243</v>
      </c>
      <c r="AM97" s="110">
        <v>1122.2045734074852</v>
      </c>
      <c r="AN97" s="110">
        <v>1.9942133996022622</v>
      </c>
      <c r="AO97" s="110">
        <v>1182.169703284221</v>
      </c>
      <c r="AP97" s="110">
        <v>2.2618351112371982</v>
      </c>
      <c r="AQ97" s="110">
        <v>1340.815853941411</v>
      </c>
      <c r="AR97" s="110">
        <v>2.5445645001418473</v>
      </c>
      <c r="AS97" s="110">
        <v>1508.4178356840869</v>
      </c>
      <c r="AT97" s="110">
        <v>0</v>
      </c>
      <c r="AU97" s="110">
        <v>0</v>
      </c>
      <c r="AV97" s="110">
        <v>0</v>
      </c>
      <c r="AW97" s="110">
        <v>0</v>
      </c>
      <c r="AX97" s="110">
        <v>2.3265822995359726</v>
      </c>
      <c r="AY97" s="110">
        <v>1379.1979871649244</v>
      </c>
      <c r="AZ97" s="110">
        <v>1.9168696933283798</v>
      </c>
      <c r="BA97" s="110">
        <v>1136.3203542050635</v>
      </c>
      <c r="BB97" s="110">
        <v>2.1181780163342947</v>
      </c>
      <c r="BC97" s="110">
        <v>1255.6559280829697</v>
      </c>
      <c r="BD97" s="110">
        <v>0</v>
      </c>
      <c r="BE97" s="110">
        <v>0</v>
      </c>
      <c r="BF97" s="110">
        <v>1.9791057223325481</v>
      </c>
      <c r="BG97" s="110">
        <v>1173.2138721987344</v>
      </c>
      <c r="BH97" s="110">
        <v>0</v>
      </c>
      <c r="BI97" s="110">
        <v>0</v>
      </c>
      <c r="BJ97" s="110">
        <v>0</v>
      </c>
      <c r="BK97" s="110">
        <v>0</v>
      </c>
      <c r="BL97" s="110">
        <v>2.3265822995359726</v>
      </c>
      <c r="BM97" s="110">
        <v>1379.1979871649244</v>
      </c>
      <c r="BN97" s="110">
        <v>6</v>
      </c>
      <c r="BO97" s="110">
        <v>3556.7999999999997</v>
      </c>
      <c r="BP97" s="110">
        <v>1.0263531001388757</v>
      </c>
      <c r="BQ97" s="110">
        <v>608.42211776232546</v>
      </c>
      <c r="BR97" s="110">
        <v>2.8090532833107136</v>
      </c>
      <c r="BS97" s="110">
        <v>1665.2067863465909</v>
      </c>
      <c r="BT97" s="110">
        <v>2.3857712817159484</v>
      </c>
      <c r="BU97" s="110">
        <v>1414.2852158012142</v>
      </c>
      <c r="BV97" s="110">
        <v>2.3444790864554803</v>
      </c>
      <c r="BW97" s="110">
        <v>1389.8072024508085</v>
      </c>
      <c r="BX97" s="110">
        <v>0</v>
      </c>
      <c r="BY97" s="110">
        <v>0</v>
      </c>
      <c r="BZ97" s="110">
        <v>4.7788162563639576</v>
      </c>
      <c r="CA97" s="110">
        <v>2832.8822767725537</v>
      </c>
      <c r="CB97" s="110">
        <v>0</v>
      </c>
      <c r="CC97" s="110">
        <v>0</v>
      </c>
      <c r="CD97" s="110">
        <v>0</v>
      </c>
      <c r="CE97" s="110">
        <v>0</v>
      </c>
      <c r="CF97" s="110">
        <v>6.2200465559022939</v>
      </c>
      <c r="CG97" s="110">
        <v>3687.2435983388796</v>
      </c>
      <c r="CH97" s="110">
        <v>2.4880186223609178</v>
      </c>
      <c r="CI97" s="110">
        <v>1474.897439335552</v>
      </c>
      <c r="CJ97" s="110">
        <v>2.5964414522344441</v>
      </c>
      <c r="CK97" s="110">
        <v>1539.1704928845784</v>
      </c>
      <c r="CL97" s="110">
        <v>2.8173152047322159</v>
      </c>
      <c r="CM97" s="110">
        <v>1670.1044533652575</v>
      </c>
      <c r="CN97" s="110">
        <v>2.2101688269703583</v>
      </c>
      <c r="CO97" s="110">
        <v>1310.1880806280283</v>
      </c>
      <c r="CP97" s="110">
        <v>0</v>
      </c>
      <c r="CQ97" s="110">
        <v>0</v>
      </c>
      <c r="CR97" s="110">
        <v>2.1067899624830351</v>
      </c>
      <c r="CS97" s="110">
        <v>1248.9050897599432</v>
      </c>
      <c r="CT97" s="110">
        <v>2.0843773033076838</v>
      </c>
      <c r="CU97" s="110">
        <v>1235.6188654007949</v>
      </c>
    </row>
    <row r="98" spans="2:99" x14ac:dyDescent="0.2">
      <c r="C98" s="109" t="s">
        <v>266</v>
      </c>
      <c r="D98" s="110">
        <v>0</v>
      </c>
      <c r="E98" s="110">
        <v>0</v>
      </c>
      <c r="F98" s="110">
        <v>0.86728995625783512</v>
      </c>
      <c r="G98" s="110">
        <v>397.56571594859162</v>
      </c>
      <c r="H98" s="110">
        <v>2.2328372251956954</v>
      </c>
      <c r="I98" s="110">
        <v>1023.5325840297068</v>
      </c>
      <c r="J98" s="110">
        <v>0</v>
      </c>
      <c r="K98" s="110">
        <v>0</v>
      </c>
      <c r="L98" s="110">
        <v>3.705559650324771</v>
      </c>
      <c r="M98" s="110">
        <v>1698.628543708875</v>
      </c>
      <c r="N98" s="110">
        <v>1.9265630925361088</v>
      </c>
      <c r="O98" s="110">
        <v>883.13652161855225</v>
      </c>
      <c r="P98" s="110">
        <v>1.8141802454715024</v>
      </c>
      <c r="Q98" s="110">
        <v>831.62022452413669</v>
      </c>
      <c r="R98" s="110">
        <v>2.009553502676126</v>
      </c>
      <c r="S98" s="110">
        <v>921.17932562673616</v>
      </c>
      <c r="T98" s="110">
        <v>0</v>
      </c>
      <c r="U98" s="110">
        <v>0</v>
      </c>
      <c r="V98" s="110">
        <v>2.2328372251956954</v>
      </c>
      <c r="W98" s="110">
        <v>1023.5325840297068</v>
      </c>
      <c r="X98" s="110">
        <v>0</v>
      </c>
      <c r="Y98" s="110">
        <v>0</v>
      </c>
      <c r="Z98" s="110">
        <v>4.6531645990719452</v>
      </c>
      <c r="AA98" s="110">
        <v>2133.0106522145797</v>
      </c>
      <c r="AB98" s="110">
        <v>0</v>
      </c>
      <c r="AC98" s="110">
        <v>0</v>
      </c>
      <c r="AD98" s="110">
        <v>6.450418650565342</v>
      </c>
      <c r="AE98" s="110">
        <v>2956.8719094191524</v>
      </c>
      <c r="AF98" s="110">
        <v>0</v>
      </c>
      <c r="AG98" s="110">
        <v>0</v>
      </c>
      <c r="AH98" s="110">
        <v>1.9791057223325481</v>
      </c>
      <c r="AI98" s="110">
        <v>907.22206311724005</v>
      </c>
      <c r="AJ98" s="110">
        <v>3.7213953753261588</v>
      </c>
      <c r="AK98" s="110">
        <v>1705.8876400495112</v>
      </c>
      <c r="AL98" s="110">
        <v>2.2085672553566118</v>
      </c>
      <c r="AM98" s="110">
        <v>1012.4072298554707</v>
      </c>
      <c r="AN98" s="110">
        <v>1.9942133996022622</v>
      </c>
      <c r="AO98" s="110">
        <v>914.14742237767689</v>
      </c>
      <c r="AP98" s="110">
        <v>2.2618351112371982</v>
      </c>
      <c r="AQ98" s="110">
        <v>1036.8252149911316</v>
      </c>
      <c r="AR98" s="110">
        <v>2.2618351112371982</v>
      </c>
      <c r="AS98" s="110">
        <v>1036.8252149911316</v>
      </c>
      <c r="AT98" s="110">
        <v>0</v>
      </c>
      <c r="AU98" s="110">
        <v>0</v>
      </c>
      <c r="AV98" s="110">
        <v>0</v>
      </c>
      <c r="AW98" s="110">
        <v>0</v>
      </c>
      <c r="AX98" s="110">
        <v>2.3265822995359726</v>
      </c>
      <c r="AY98" s="110">
        <v>1066.5053261072899</v>
      </c>
      <c r="AZ98" s="110">
        <v>2.1907082209467199</v>
      </c>
      <c r="BA98" s="110">
        <v>1004.2206484819764</v>
      </c>
      <c r="BB98" s="110">
        <v>2.1181780163342947</v>
      </c>
      <c r="BC98" s="110">
        <v>970.97280268764064</v>
      </c>
      <c r="BD98" s="110">
        <v>0</v>
      </c>
      <c r="BE98" s="110">
        <v>0</v>
      </c>
      <c r="BF98" s="110">
        <v>2.2264939376241166</v>
      </c>
      <c r="BG98" s="110">
        <v>1020.624821006895</v>
      </c>
      <c r="BH98" s="110">
        <v>0</v>
      </c>
      <c r="BI98" s="110">
        <v>0</v>
      </c>
      <c r="BJ98" s="110">
        <v>0</v>
      </c>
      <c r="BK98" s="110">
        <v>0</v>
      </c>
      <c r="BL98" s="110">
        <v>2.6589511994696831</v>
      </c>
      <c r="BM98" s="110">
        <v>1218.8632298369027</v>
      </c>
      <c r="BN98" s="110">
        <v>6</v>
      </c>
      <c r="BO98" s="110">
        <v>2750.3999999999996</v>
      </c>
      <c r="BP98" s="110">
        <v>1.0263531001388757</v>
      </c>
      <c r="BQ98" s="110">
        <v>470.48026110366061</v>
      </c>
      <c r="BR98" s="110">
        <v>2.2472426266485708</v>
      </c>
      <c r="BS98" s="110">
        <v>1030.1360200557049</v>
      </c>
      <c r="BT98" s="110">
        <v>2.6839926919304418</v>
      </c>
      <c r="BU98" s="110">
        <v>1230.3422499809144</v>
      </c>
      <c r="BV98" s="110">
        <v>2.3444790864554803</v>
      </c>
      <c r="BW98" s="110">
        <v>1074.7092132311921</v>
      </c>
      <c r="BX98" s="110">
        <v>0</v>
      </c>
      <c r="BY98" s="110">
        <v>0</v>
      </c>
      <c r="BZ98" s="110">
        <v>4.7788162563639576</v>
      </c>
      <c r="CA98" s="110">
        <v>2190.6093719172381</v>
      </c>
      <c r="CB98" s="110">
        <v>0</v>
      </c>
      <c r="CC98" s="110">
        <v>0</v>
      </c>
      <c r="CD98" s="110">
        <v>0</v>
      </c>
      <c r="CE98" s="110">
        <v>0</v>
      </c>
      <c r="CF98" s="110">
        <v>6.5859316474259577</v>
      </c>
      <c r="CG98" s="110">
        <v>3018.991067180059</v>
      </c>
      <c r="CH98" s="110">
        <v>2.9856223468331011</v>
      </c>
      <c r="CI98" s="110">
        <v>1368.6092837882934</v>
      </c>
      <c r="CJ98" s="110">
        <v>2.9958939833474352</v>
      </c>
      <c r="CK98" s="110">
        <v>1373.3178019664642</v>
      </c>
      <c r="CL98" s="110">
        <v>3.0734347687987804</v>
      </c>
      <c r="CM98" s="110">
        <v>1408.8624980173608</v>
      </c>
      <c r="CN98" s="110">
        <v>1.9891519442733223</v>
      </c>
      <c r="CO98" s="110">
        <v>911.82725125489094</v>
      </c>
      <c r="CP98" s="110">
        <v>0</v>
      </c>
      <c r="CQ98" s="110">
        <v>0</v>
      </c>
      <c r="CR98" s="110">
        <v>2.1067899624830351</v>
      </c>
      <c r="CS98" s="110">
        <v>965.75251880222322</v>
      </c>
      <c r="CT98" s="110">
        <v>2.0843773033076838</v>
      </c>
      <c r="CU98" s="110">
        <v>955.47855583624221</v>
      </c>
    </row>
    <row r="99" spans="2:99" x14ac:dyDescent="0.2">
      <c r="C99" s="109" t="s">
        <v>267</v>
      </c>
      <c r="D99" s="110">
        <v>0</v>
      </c>
      <c r="E99" s="110">
        <v>0</v>
      </c>
      <c r="F99" s="110">
        <v>0.75887871172560573</v>
      </c>
      <c r="G99" s="110">
        <v>3279.2666891086874</v>
      </c>
      <c r="H99" s="110">
        <v>2.2328372251956954</v>
      </c>
      <c r="I99" s="110">
        <v>9648.5362175156388</v>
      </c>
      <c r="J99" s="110">
        <v>0</v>
      </c>
      <c r="K99" s="110">
        <v>0</v>
      </c>
      <c r="L99" s="110">
        <v>3.705559650324771</v>
      </c>
      <c r="M99" s="110">
        <v>16012.4643609834</v>
      </c>
      <c r="N99" s="110">
        <v>1.541250474028887</v>
      </c>
      <c r="O99" s="110">
        <v>6660.0515483736262</v>
      </c>
      <c r="P99" s="110">
        <v>1.8141802454715024</v>
      </c>
      <c r="Q99" s="110">
        <v>7839.4356767314557</v>
      </c>
      <c r="R99" s="110">
        <v>1.6746279188967717</v>
      </c>
      <c r="S99" s="110">
        <v>7236.4021631367295</v>
      </c>
      <c r="T99" s="110">
        <v>0</v>
      </c>
      <c r="U99" s="110">
        <v>0</v>
      </c>
      <c r="V99" s="110">
        <v>1.4885581501304637</v>
      </c>
      <c r="W99" s="110">
        <v>6432.3574783437589</v>
      </c>
      <c r="X99" s="110">
        <v>0</v>
      </c>
      <c r="Y99" s="110">
        <v>0</v>
      </c>
      <c r="Z99" s="110">
        <v>3.9884267992045244</v>
      </c>
      <c r="AA99" s="110">
        <v>17234.789884722592</v>
      </c>
      <c r="AB99" s="110">
        <v>0</v>
      </c>
      <c r="AC99" s="110">
        <v>0</v>
      </c>
      <c r="AD99" s="110">
        <v>4.8378139879240063</v>
      </c>
      <c r="AE99" s="110">
        <v>20905.161804617215</v>
      </c>
      <c r="AF99" s="110">
        <v>0</v>
      </c>
      <c r="AG99" s="110">
        <v>0</v>
      </c>
      <c r="AH99" s="110">
        <v>1.9791057223325481</v>
      </c>
      <c r="AI99" s="110">
        <v>8552.1116473434067</v>
      </c>
      <c r="AJ99" s="110">
        <v>2.9771163002609273</v>
      </c>
      <c r="AK99" s="110">
        <v>12864.714956687518</v>
      </c>
      <c r="AL99" s="110">
        <v>1.5775480395404369</v>
      </c>
      <c r="AM99" s="110">
        <v>6816.9005884621356</v>
      </c>
      <c r="AN99" s="110">
        <v>1.3294755997348415</v>
      </c>
      <c r="AO99" s="110">
        <v>5744.9299615741966</v>
      </c>
      <c r="AP99" s="110">
        <v>1.9791057223325481</v>
      </c>
      <c r="AQ99" s="110">
        <v>8552.1116473434067</v>
      </c>
      <c r="AR99" s="110">
        <v>1.9791057223325481</v>
      </c>
      <c r="AS99" s="110">
        <v>8552.1116473434067</v>
      </c>
      <c r="AT99" s="110">
        <v>0</v>
      </c>
      <c r="AU99" s="110">
        <v>0</v>
      </c>
      <c r="AV99" s="110">
        <v>0</v>
      </c>
      <c r="AW99" s="110">
        <v>0</v>
      </c>
      <c r="AX99" s="110">
        <v>1.661844499668552</v>
      </c>
      <c r="AY99" s="110">
        <v>7181.1624519677462</v>
      </c>
      <c r="AZ99" s="110">
        <v>1.9168696933283798</v>
      </c>
      <c r="BA99" s="110">
        <v>8283.1773188105944</v>
      </c>
      <c r="BB99" s="110">
        <v>1.6474717904822294</v>
      </c>
      <c r="BC99" s="110">
        <v>7119.0551010318095</v>
      </c>
      <c r="BD99" s="110">
        <v>0</v>
      </c>
      <c r="BE99" s="110">
        <v>0</v>
      </c>
      <c r="BF99" s="110">
        <v>1.7317175070409796</v>
      </c>
      <c r="BG99" s="110">
        <v>7483.0976914254807</v>
      </c>
      <c r="BH99" s="110">
        <v>0</v>
      </c>
      <c r="BI99" s="110">
        <v>0</v>
      </c>
      <c r="BJ99" s="110">
        <v>0</v>
      </c>
      <c r="BK99" s="110">
        <v>0</v>
      </c>
      <c r="BL99" s="110">
        <v>2.3265822995359726</v>
      </c>
      <c r="BM99" s="110">
        <v>10053.627432754845</v>
      </c>
      <c r="BN99" s="110">
        <v>5</v>
      </c>
      <c r="BO99" s="110">
        <v>21606</v>
      </c>
      <c r="BP99" s="110">
        <v>0.87973122869046494</v>
      </c>
      <c r="BQ99" s="110">
        <v>3801.494585417237</v>
      </c>
      <c r="BR99" s="110">
        <v>2.2472426266485708</v>
      </c>
      <c r="BS99" s="110">
        <v>9710.784838273803</v>
      </c>
      <c r="BT99" s="110">
        <v>2.0875498715014547</v>
      </c>
      <c r="BU99" s="110">
        <v>9020.7205047320858</v>
      </c>
      <c r="BV99" s="110">
        <v>1.6746279188967717</v>
      </c>
      <c r="BW99" s="110">
        <v>7236.4021631367295</v>
      </c>
      <c r="BX99" s="110">
        <v>0</v>
      </c>
      <c r="BY99" s="110">
        <v>0</v>
      </c>
      <c r="BZ99" s="110">
        <v>3.7168570882830783</v>
      </c>
      <c r="CA99" s="110">
        <v>16061.282849888838</v>
      </c>
      <c r="CB99" s="110">
        <v>0</v>
      </c>
      <c r="CC99" s="110">
        <v>0</v>
      </c>
      <c r="CD99" s="110">
        <v>0</v>
      </c>
      <c r="CE99" s="110">
        <v>0</v>
      </c>
      <c r="CF99" s="110">
        <v>4.7565061898076371</v>
      </c>
      <c r="CG99" s="110">
        <v>20553.81454739676</v>
      </c>
      <c r="CH99" s="110">
        <v>2.4880186223609178</v>
      </c>
      <c r="CI99" s="110">
        <v>10751.226070945997</v>
      </c>
      <c r="CJ99" s="110">
        <v>2.3967151866779481</v>
      </c>
      <c r="CK99" s="110">
        <v>10356.685664672748</v>
      </c>
      <c r="CL99" s="110">
        <v>2.0489565125325204</v>
      </c>
      <c r="CM99" s="110">
        <v>8853.9508819555267</v>
      </c>
      <c r="CN99" s="110">
        <v>1.7681350615762865</v>
      </c>
      <c r="CO99" s="110">
        <v>7640.4652280834489</v>
      </c>
      <c r="CP99" s="110">
        <v>0</v>
      </c>
      <c r="CQ99" s="110">
        <v>0</v>
      </c>
      <c r="CR99" s="110">
        <v>1.8727021888738091</v>
      </c>
      <c r="CS99" s="110">
        <v>8092.3206985615034</v>
      </c>
      <c r="CT99" s="110">
        <v>1.6211823470170872</v>
      </c>
      <c r="CU99" s="110">
        <v>7005.4531579302366</v>
      </c>
    </row>
    <row r="100" spans="2:99" x14ac:dyDescent="0.2">
      <c r="C100" s="109" t="s">
        <v>268</v>
      </c>
      <c r="D100" s="110">
        <v>0</v>
      </c>
      <c r="E100" s="110">
        <v>0</v>
      </c>
      <c r="F100" s="110">
        <v>0.9757012007900645</v>
      </c>
      <c r="G100" s="110">
        <v>756.36357085245788</v>
      </c>
      <c r="H100" s="110">
        <v>2.6049767627283114</v>
      </c>
      <c r="I100" s="110">
        <v>2019.3779864669868</v>
      </c>
      <c r="J100" s="110">
        <v>0</v>
      </c>
      <c r="K100" s="110">
        <v>0</v>
      </c>
      <c r="L100" s="110">
        <v>4.3231529253789001</v>
      </c>
      <c r="M100" s="110">
        <v>3351.308147753723</v>
      </c>
      <c r="N100" s="110">
        <v>1.9265630925361088</v>
      </c>
      <c r="O100" s="110">
        <v>1493.4717093339914</v>
      </c>
      <c r="P100" s="110">
        <v>1.8141802454715024</v>
      </c>
      <c r="Q100" s="110">
        <v>1406.3525262895084</v>
      </c>
      <c r="R100" s="110">
        <v>2.009553502676126</v>
      </c>
      <c r="S100" s="110">
        <v>1557.8058752745328</v>
      </c>
      <c r="T100" s="110">
        <v>0</v>
      </c>
      <c r="U100" s="110">
        <v>0</v>
      </c>
      <c r="V100" s="110">
        <v>2.2328372251956954</v>
      </c>
      <c r="W100" s="110">
        <v>1730.8954169717028</v>
      </c>
      <c r="X100" s="110">
        <v>0</v>
      </c>
      <c r="Y100" s="110">
        <v>0</v>
      </c>
      <c r="Z100" s="110">
        <v>4.6531645990719452</v>
      </c>
      <c r="AA100" s="110">
        <v>3607.1331972005714</v>
      </c>
      <c r="AB100" s="110">
        <v>0</v>
      </c>
      <c r="AC100" s="110">
        <v>0</v>
      </c>
      <c r="AD100" s="110">
        <v>5.24096515358434</v>
      </c>
      <c r="AE100" s="110">
        <v>4062.79618705858</v>
      </c>
      <c r="AF100" s="110">
        <v>0</v>
      </c>
      <c r="AG100" s="110">
        <v>0</v>
      </c>
      <c r="AH100" s="110">
        <v>2.2618351112371982</v>
      </c>
      <c r="AI100" s="110">
        <v>1753.3745782310759</v>
      </c>
      <c r="AJ100" s="110">
        <v>3.7213953753261588</v>
      </c>
      <c r="AK100" s="110">
        <v>2884.8256949528381</v>
      </c>
      <c r="AL100" s="110">
        <v>2.2085672553566118</v>
      </c>
      <c r="AM100" s="110">
        <v>1712.0813363524453</v>
      </c>
      <c r="AN100" s="110">
        <v>1.661844499668552</v>
      </c>
      <c r="AO100" s="110">
        <v>1288.2618561430613</v>
      </c>
      <c r="AP100" s="110">
        <v>2.2618351112371982</v>
      </c>
      <c r="AQ100" s="110">
        <v>1753.3745782310759</v>
      </c>
      <c r="AR100" s="110">
        <v>1.9791057223325481</v>
      </c>
      <c r="AS100" s="110">
        <v>1534.2027559521912</v>
      </c>
      <c r="AT100" s="110">
        <v>0</v>
      </c>
      <c r="AU100" s="110">
        <v>0</v>
      </c>
      <c r="AV100" s="110">
        <v>0</v>
      </c>
      <c r="AW100" s="110">
        <v>0</v>
      </c>
      <c r="AX100" s="110">
        <v>2.3265822995359726</v>
      </c>
      <c r="AY100" s="110">
        <v>1803.5665986002857</v>
      </c>
      <c r="AZ100" s="110">
        <v>2.1907082209467199</v>
      </c>
      <c r="BA100" s="110">
        <v>1698.2370128778971</v>
      </c>
      <c r="BB100" s="110">
        <v>2.1181780163342947</v>
      </c>
      <c r="BC100" s="110">
        <v>1642.0115982623452</v>
      </c>
      <c r="BD100" s="110">
        <v>0</v>
      </c>
      <c r="BE100" s="110">
        <v>0</v>
      </c>
      <c r="BF100" s="110">
        <v>1.9791057223325481</v>
      </c>
      <c r="BG100" s="110">
        <v>1534.2027559521912</v>
      </c>
      <c r="BH100" s="110">
        <v>0</v>
      </c>
      <c r="BI100" s="110">
        <v>0</v>
      </c>
      <c r="BJ100" s="110">
        <v>0</v>
      </c>
      <c r="BK100" s="110">
        <v>0</v>
      </c>
      <c r="BL100" s="110">
        <v>2.3265822995359726</v>
      </c>
      <c r="BM100" s="110">
        <v>1803.5665986002857</v>
      </c>
      <c r="BN100" s="110">
        <v>5</v>
      </c>
      <c r="BO100" s="110">
        <v>3875.9999999999995</v>
      </c>
      <c r="BP100" s="110">
        <v>0.87973122869046494</v>
      </c>
      <c r="BQ100" s="110">
        <v>681.96764848084831</v>
      </c>
      <c r="BR100" s="110">
        <v>2.5281479549796422</v>
      </c>
      <c r="BS100" s="110">
        <v>1959.8202947002185</v>
      </c>
      <c r="BT100" s="110">
        <v>2.3857712817159484</v>
      </c>
      <c r="BU100" s="110">
        <v>1849.449897586203</v>
      </c>
      <c r="BV100" s="110">
        <v>2.009553502676126</v>
      </c>
      <c r="BW100" s="110">
        <v>1557.8058752745328</v>
      </c>
      <c r="BX100" s="110">
        <v>0</v>
      </c>
      <c r="BY100" s="110">
        <v>0</v>
      </c>
      <c r="BZ100" s="110">
        <v>4.2478366723235181</v>
      </c>
      <c r="CA100" s="110">
        <v>3292.9229883851908</v>
      </c>
      <c r="CB100" s="110">
        <v>0</v>
      </c>
      <c r="CC100" s="110">
        <v>0</v>
      </c>
      <c r="CD100" s="110">
        <v>0</v>
      </c>
      <c r="CE100" s="110">
        <v>0</v>
      </c>
      <c r="CF100" s="110">
        <v>6.5859316474259577</v>
      </c>
      <c r="CG100" s="110">
        <v>5105.4142130846021</v>
      </c>
      <c r="CH100" s="110">
        <v>2.4880186223609178</v>
      </c>
      <c r="CI100" s="110">
        <v>1928.7120360541833</v>
      </c>
      <c r="CJ100" s="110">
        <v>2.7961677177909396</v>
      </c>
      <c r="CK100" s="110">
        <v>2167.5892148315361</v>
      </c>
      <c r="CL100" s="110">
        <v>2.5611956406656504</v>
      </c>
      <c r="CM100" s="110">
        <v>1985.438860644012</v>
      </c>
      <c r="CN100" s="110">
        <v>1.9891519442733223</v>
      </c>
      <c r="CO100" s="110">
        <v>1541.9905872006793</v>
      </c>
      <c r="CP100" s="110">
        <v>0</v>
      </c>
      <c r="CQ100" s="110">
        <v>0</v>
      </c>
      <c r="CR100" s="110">
        <v>1.8727021888738091</v>
      </c>
      <c r="CS100" s="110">
        <v>1451.7187368149766</v>
      </c>
      <c r="CT100" s="110">
        <v>2.0843773033076838</v>
      </c>
      <c r="CU100" s="110">
        <v>1615.8092855241164</v>
      </c>
    </row>
    <row r="101" spans="2:99" x14ac:dyDescent="0.2">
      <c r="C101" s="109" t="s">
        <v>269</v>
      </c>
      <c r="D101" s="110">
        <v>0</v>
      </c>
      <c r="E101" s="110">
        <v>0</v>
      </c>
      <c r="F101" s="110">
        <v>0.86728995625783512</v>
      </c>
      <c r="G101" s="110">
        <v>531.82220117730446</v>
      </c>
      <c r="H101" s="110">
        <v>2.2328372251956954</v>
      </c>
      <c r="I101" s="110">
        <v>1369.1757864900003</v>
      </c>
      <c r="J101" s="110">
        <v>0</v>
      </c>
      <c r="K101" s="110">
        <v>0</v>
      </c>
      <c r="L101" s="110">
        <v>3.705559650324771</v>
      </c>
      <c r="M101" s="110">
        <v>2272.2491775791491</v>
      </c>
      <c r="N101" s="110">
        <v>1.9265630925361088</v>
      </c>
      <c r="O101" s="110">
        <v>1181.3684883431417</v>
      </c>
      <c r="P101" s="110">
        <v>2.1165436197167531</v>
      </c>
      <c r="Q101" s="110">
        <v>1297.8645476103129</v>
      </c>
      <c r="R101" s="110">
        <v>1.6746279188967717</v>
      </c>
      <c r="S101" s="110">
        <v>1026.8818398675003</v>
      </c>
      <c r="T101" s="110">
        <v>0</v>
      </c>
      <c r="U101" s="110">
        <v>0</v>
      </c>
      <c r="V101" s="110">
        <v>2.2328372251956954</v>
      </c>
      <c r="W101" s="110">
        <v>1369.1757864900003</v>
      </c>
      <c r="X101" s="110">
        <v>0</v>
      </c>
      <c r="Y101" s="110">
        <v>0</v>
      </c>
      <c r="Z101" s="110">
        <v>4.6531645990719452</v>
      </c>
      <c r="AA101" s="110">
        <v>2853.3205321509163</v>
      </c>
      <c r="AB101" s="110">
        <v>0</v>
      </c>
      <c r="AC101" s="110">
        <v>0</v>
      </c>
      <c r="AD101" s="110">
        <v>5.24096515358434</v>
      </c>
      <c r="AE101" s="110">
        <v>3213.7598321779169</v>
      </c>
      <c r="AF101" s="110">
        <v>0</v>
      </c>
      <c r="AG101" s="110">
        <v>0</v>
      </c>
      <c r="AH101" s="110">
        <v>1.9791057223325481</v>
      </c>
      <c r="AI101" s="110">
        <v>1213.5876289343184</v>
      </c>
      <c r="AJ101" s="110">
        <v>3.7213953753261588</v>
      </c>
      <c r="AK101" s="110">
        <v>2281.9596441500003</v>
      </c>
      <c r="AL101" s="110">
        <v>1.8930576474485243</v>
      </c>
      <c r="AM101" s="110">
        <v>1160.822949415435</v>
      </c>
      <c r="AN101" s="110">
        <v>1.661844499668552</v>
      </c>
      <c r="AO101" s="110">
        <v>1019.043047196756</v>
      </c>
      <c r="AP101" s="110">
        <v>1.9791057223325481</v>
      </c>
      <c r="AQ101" s="110">
        <v>1213.5876289343184</v>
      </c>
      <c r="AR101" s="110">
        <v>2.5445645001418473</v>
      </c>
      <c r="AS101" s="110">
        <v>1560.3269514869805</v>
      </c>
      <c r="AT101" s="110">
        <v>0</v>
      </c>
      <c r="AU101" s="110">
        <v>0</v>
      </c>
      <c r="AV101" s="110">
        <v>0</v>
      </c>
      <c r="AW101" s="110">
        <v>0</v>
      </c>
      <c r="AX101" s="110">
        <v>2.3265822995359726</v>
      </c>
      <c r="AY101" s="110">
        <v>1426.6602660754581</v>
      </c>
      <c r="AZ101" s="110">
        <v>2.1907082209467199</v>
      </c>
      <c r="BA101" s="110">
        <v>1343.3422810845284</v>
      </c>
      <c r="BB101" s="110">
        <v>2.1181780163342947</v>
      </c>
      <c r="BC101" s="110">
        <v>1298.8667596161893</v>
      </c>
      <c r="BD101" s="110">
        <v>0</v>
      </c>
      <c r="BE101" s="110">
        <v>0</v>
      </c>
      <c r="BF101" s="110">
        <v>2.2264939376241166</v>
      </c>
      <c r="BG101" s="110">
        <v>1365.2860825511082</v>
      </c>
      <c r="BH101" s="110">
        <v>0</v>
      </c>
      <c r="BI101" s="110">
        <v>0</v>
      </c>
      <c r="BJ101" s="110">
        <v>0</v>
      </c>
      <c r="BK101" s="110">
        <v>0</v>
      </c>
      <c r="BL101" s="110">
        <v>2.6589511994696831</v>
      </c>
      <c r="BM101" s="110">
        <v>1630.4688755148095</v>
      </c>
      <c r="BN101" s="110">
        <v>6</v>
      </c>
      <c r="BO101" s="110">
        <v>3679.2</v>
      </c>
      <c r="BP101" s="110">
        <v>0.87973122869046494</v>
      </c>
      <c r="BQ101" s="110">
        <v>539.45118943299303</v>
      </c>
      <c r="BR101" s="110">
        <v>2.2472426266485708</v>
      </c>
      <c r="BS101" s="110">
        <v>1378.0091786609034</v>
      </c>
      <c r="BT101" s="110">
        <v>2.6839926919304418</v>
      </c>
      <c r="BU101" s="110">
        <v>1645.8243186917466</v>
      </c>
      <c r="BV101" s="110">
        <v>2.3444790864554803</v>
      </c>
      <c r="BW101" s="110">
        <v>1437.6345758145003</v>
      </c>
      <c r="BX101" s="110">
        <v>0</v>
      </c>
      <c r="BY101" s="110">
        <v>0</v>
      </c>
      <c r="BZ101" s="110">
        <v>4.2478366723235181</v>
      </c>
      <c r="CA101" s="110">
        <v>2604.7734474687809</v>
      </c>
      <c r="CB101" s="110">
        <v>0</v>
      </c>
      <c r="CC101" s="110">
        <v>0</v>
      </c>
      <c r="CD101" s="110">
        <v>0</v>
      </c>
      <c r="CE101" s="110">
        <v>0</v>
      </c>
      <c r="CF101" s="110">
        <v>6.2200465559022939</v>
      </c>
      <c r="CG101" s="110">
        <v>3814.1325480792862</v>
      </c>
      <c r="CH101" s="110">
        <v>2.7368204845970094</v>
      </c>
      <c r="CI101" s="110">
        <v>1678.2183211548861</v>
      </c>
      <c r="CJ101" s="110">
        <v>2.5964414522344441</v>
      </c>
      <c r="CK101" s="110">
        <v>1592.137898510161</v>
      </c>
      <c r="CL101" s="110">
        <v>2.8173152047322159</v>
      </c>
      <c r="CM101" s="110">
        <v>1727.5776835417946</v>
      </c>
      <c r="CN101" s="110">
        <v>1.9891519442733223</v>
      </c>
      <c r="CO101" s="110">
        <v>1219.7479722284011</v>
      </c>
      <c r="CP101" s="110">
        <v>0</v>
      </c>
      <c r="CQ101" s="110">
        <v>0</v>
      </c>
      <c r="CR101" s="110">
        <v>2.1067899624830351</v>
      </c>
      <c r="CS101" s="110">
        <v>1291.8836049945969</v>
      </c>
      <c r="CT101" s="110">
        <v>2.0843773033076838</v>
      </c>
      <c r="CU101" s="110">
        <v>1278.1401623882716</v>
      </c>
    </row>
    <row r="102" spans="2:99" x14ac:dyDescent="0.2">
      <c r="C102" s="109" t="s">
        <v>270</v>
      </c>
      <c r="D102" s="110">
        <v>0</v>
      </c>
      <c r="E102" s="110">
        <v>0</v>
      </c>
      <c r="F102" s="110">
        <v>0.9757012007900645</v>
      </c>
      <c r="G102" s="110">
        <v>388.71935839476168</v>
      </c>
      <c r="H102" s="110">
        <v>2.6049767627283114</v>
      </c>
      <c r="I102" s="110">
        <v>1037.8227422709592</v>
      </c>
      <c r="J102" s="110">
        <v>0</v>
      </c>
      <c r="K102" s="110">
        <v>0</v>
      </c>
      <c r="L102" s="110">
        <v>4.3231529253789001</v>
      </c>
      <c r="M102" s="110">
        <v>1722.3441254709537</v>
      </c>
      <c r="N102" s="110">
        <v>1.9265630925361088</v>
      </c>
      <c r="O102" s="110">
        <v>767.54273606638571</v>
      </c>
      <c r="P102" s="110">
        <v>2.1165436197167531</v>
      </c>
      <c r="Q102" s="110">
        <v>843.23097809515434</v>
      </c>
      <c r="R102" s="110">
        <v>2.009553502676126</v>
      </c>
      <c r="S102" s="110">
        <v>800.60611546616849</v>
      </c>
      <c r="T102" s="110">
        <v>0</v>
      </c>
      <c r="U102" s="110">
        <v>0</v>
      </c>
      <c r="V102" s="110">
        <v>1.8606976876630794</v>
      </c>
      <c r="W102" s="110">
        <v>741.30195876497078</v>
      </c>
      <c r="X102" s="110">
        <v>0</v>
      </c>
      <c r="Y102" s="110">
        <v>0</v>
      </c>
      <c r="Z102" s="110">
        <v>4.6531645990719452</v>
      </c>
      <c r="AA102" s="110">
        <v>1853.820776270263</v>
      </c>
      <c r="AB102" s="110">
        <v>0</v>
      </c>
      <c r="AC102" s="110">
        <v>0</v>
      </c>
      <c r="AD102" s="110">
        <v>6.450418650565342</v>
      </c>
      <c r="AE102" s="110">
        <v>2569.846790385232</v>
      </c>
      <c r="AF102" s="110">
        <v>0</v>
      </c>
      <c r="AG102" s="110">
        <v>0</v>
      </c>
      <c r="AH102" s="110">
        <v>1.9791057223325481</v>
      </c>
      <c r="AI102" s="110">
        <v>788.47571977728717</v>
      </c>
      <c r="AJ102" s="110">
        <v>3.7213953753261588</v>
      </c>
      <c r="AK102" s="110">
        <v>1482.6039175299416</v>
      </c>
      <c r="AL102" s="110">
        <v>2.2085672553566118</v>
      </c>
      <c r="AM102" s="110">
        <v>879.89319453407404</v>
      </c>
      <c r="AN102" s="110">
        <v>1.661844499668552</v>
      </c>
      <c r="AO102" s="110">
        <v>662.07884866795109</v>
      </c>
      <c r="AP102" s="110">
        <v>2.2618351112371982</v>
      </c>
      <c r="AQ102" s="110">
        <v>901.11510831689975</v>
      </c>
      <c r="AR102" s="110">
        <v>2.5445645001418473</v>
      </c>
      <c r="AS102" s="110">
        <v>1013.7544968565119</v>
      </c>
      <c r="AT102" s="110">
        <v>0</v>
      </c>
      <c r="AU102" s="110">
        <v>0</v>
      </c>
      <c r="AV102" s="110">
        <v>0</v>
      </c>
      <c r="AW102" s="110">
        <v>0</v>
      </c>
      <c r="AX102" s="110">
        <v>2.3265822995359726</v>
      </c>
      <c r="AY102" s="110">
        <v>926.91038813513148</v>
      </c>
      <c r="AZ102" s="110">
        <v>2.1907082209467199</v>
      </c>
      <c r="BA102" s="110">
        <v>872.77815522517312</v>
      </c>
      <c r="BB102" s="110">
        <v>2.3535311292603276</v>
      </c>
      <c r="BC102" s="110">
        <v>937.6468018973145</v>
      </c>
      <c r="BD102" s="110">
        <v>0</v>
      </c>
      <c r="BE102" s="110">
        <v>0</v>
      </c>
      <c r="BF102" s="110">
        <v>2.4738821529156851</v>
      </c>
      <c r="BG102" s="110">
        <v>985.5946497216089</v>
      </c>
      <c r="BH102" s="110">
        <v>0</v>
      </c>
      <c r="BI102" s="110">
        <v>0</v>
      </c>
      <c r="BJ102" s="110">
        <v>0</v>
      </c>
      <c r="BK102" s="110">
        <v>0</v>
      </c>
      <c r="BL102" s="110">
        <v>2.6589511994696831</v>
      </c>
      <c r="BM102" s="110">
        <v>1059.3261578687216</v>
      </c>
      <c r="BN102" s="110">
        <v>6</v>
      </c>
      <c r="BO102" s="110">
        <v>2390.3999999999996</v>
      </c>
      <c r="BP102" s="110">
        <v>1.0263531001388757</v>
      </c>
      <c r="BQ102" s="110">
        <v>408.89907509532804</v>
      </c>
      <c r="BR102" s="110">
        <v>2.8090532833107136</v>
      </c>
      <c r="BS102" s="110">
        <v>1119.1268280709883</v>
      </c>
      <c r="BT102" s="110">
        <v>2.6839926919304418</v>
      </c>
      <c r="BU102" s="110">
        <v>1069.3026884650878</v>
      </c>
      <c r="BV102" s="110">
        <v>2.3444790864554803</v>
      </c>
      <c r="BW102" s="110">
        <v>934.04046804386326</v>
      </c>
      <c r="BX102" s="110">
        <v>0</v>
      </c>
      <c r="BY102" s="110">
        <v>0</v>
      </c>
      <c r="BZ102" s="110">
        <v>4.7788162563639576</v>
      </c>
      <c r="CA102" s="110">
        <v>1903.8803965354007</v>
      </c>
      <c r="CB102" s="110">
        <v>0</v>
      </c>
      <c r="CC102" s="110">
        <v>0</v>
      </c>
      <c r="CD102" s="110">
        <v>0</v>
      </c>
      <c r="CE102" s="110">
        <v>0</v>
      </c>
      <c r="CF102" s="110">
        <v>6.2200465559022939</v>
      </c>
      <c r="CG102" s="110">
        <v>2478.0665478714736</v>
      </c>
      <c r="CH102" s="110">
        <v>2.4880186223609178</v>
      </c>
      <c r="CI102" s="110">
        <v>991.22661914858952</v>
      </c>
      <c r="CJ102" s="110">
        <v>2.3967151866779481</v>
      </c>
      <c r="CK102" s="110">
        <v>954.85133037249443</v>
      </c>
      <c r="CL102" s="110">
        <v>3.0734347687987804</v>
      </c>
      <c r="CM102" s="110">
        <v>1224.4564118894341</v>
      </c>
      <c r="CN102" s="110">
        <v>1.9891519442733223</v>
      </c>
      <c r="CO102" s="110">
        <v>792.47813459849158</v>
      </c>
      <c r="CP102" s="110">
        <v>0</v>
      </c>
      <c r="CQ102" s="110">
        <v>0</v>
      </c>
      <c r="CR102" s="110">
        <v>1.8727021888738091</v>
      </c>
      <c r="CS102" s="110">
        <v>746.08455204732547</v>
      </c>
      <c r="CT102" s="110">
        <v>1.8527798251623855</v>
      </c>
      <c r="CU102" s="110">
        <v>738.14748234469437</v>
      </c>
    </row>
    <row r="103" spans="2:99" x14ac:dyDescent="0.2">
      <c r="C103" s="109" t="s">
        <v>271</v>
      </c>
      <c r="D103" s="110">
        <v>0</v>
      </c>
      <c r="E103" s="110">
        <v>0</v>
      </c>
      <c r="F103" s="110">
        <v>0.86728995625783512</v>
      </c>
      <c r="G103" s="110">
        <v>497.47751890949422</v>
      </c>
      <c r="H103" s="110">
        <v>2.6049767627283114</v>
      </c>
      <c r="I103" s="110">
        <v>1494.2146711009595</v>
      </c>
      <c r="J103" s="110">
        <v>0</v>
      </c>
      <c r="K103" s="110">
        <v>0</v>
      </c>
      <c r="L103" s="110">
        <v>4.3231529253789001</v>
      </c>
      <c r="M103" s="110">
        <v>2479.760517997337</v>
      </c>
      <c r="N103" s="110">
        <v>1.9265630925361088</v>
      </c>
      <c r="O103" s="110">
        <v>1105.076589878712</v>
      </c>
      <c r="P103" s="110">
        <v>2.1165436197167531</v>
      </c>
      <c r="Q103" s="110">
        <v>1214.0494202695297</v>
      </c>
      <c r="R103" s="110">
        <v>1.6746279188967717</v>
      </c>
      <c r="S103" s="110">
        <v>960.56657427918822</v>
      </c>
      <c r="T103" s="110">
        <v>0</v>
      </c>
      <c r="U103" s="110">
        <v>0</v>
      </c>
      <c r="V103" s="110">
        <v>2.2328372251956954</v>
      </c>
      <c r="W103" s="110">
        <v>1280.7554323722509</v>
      </c>
      <c r="X103" s="110">
        <v>0</v>
      </c>
      <c r="Y103" s="110">
        <v>0</v>
      </c>
      <c r="Z103" s="110">
        <v>4.6531645990719452</v>
      </c>
      <c r="AA103" s="110">
        <v>2669.0552140276677</v>
      </c>
      <c r="AB103" s="110">
        <v>0</v>
      </c>
      <c r="AC103" s="110">
        <v>0</v>
      </c>
      <c r="AD103" s="110">
        <v>6.450418650565342</v>
      </c>
      <c r="AE103" s="110">
        <v>3699.9601379642804</v>
      </c>
      <c r="AF103" s="110">
        <v>0</v>
      </c>
      <c r="AG103" s="110">
        <v>0</v>
      </c>
      <c r="AH103" s="110">
        <v>2.2618351112371982</v>
      </c>
      <c r="AI103" s="110">
        <v>1297.3886198056568</v>
      </c>
      <c r="AJ103" s="110">
        <v>3.7213953753261588</v>
      </c>
      <c r="AK103" s="110">
        <v>2134.5923872870849</v>
      </c>
      <c r="AL103" s="110">
        <v>1.8930576474485243</v>
      </c>
      <c r="AM103" s="110">
        <v>1085.8578665764735</v>
      </c>
      <c r="AN103" s="110">
        <v>1.661844499668552</v>
      </c>
      <c r="AO103" s="110">
        <v>953.23400500988146</v>
      </c>
      <c r="AP103" s="110">
        <v>2.2618351112371982</v>
      </c>
      <c r="AQ103" s="110">
        <v>1297.3886198056568</v>
      </c>
      <c r="AR103" s="110">
        <v>2.5445645001418473</v>
      </c>
      <c r="AS103" s="110">
        <v>1459.5621972813638</v>
      </c>
      <c r="AT103" s="110">
        <v>0</v>
      </c>
      <c r="AU103" s="110">
        <v>0</v>
      </c>
      <c r="AV103" s="110">
        <v>0</v>
      </c>
      <c r="AW103" s="110">
        <v>0</v>
      </c>
      <c r="AX103" s="110">
        <v>2.3265822995359726</v>
      </c>
      <c r="AY103" s="110">
        <v>1334.5276070138339</v>
      </c>
      <c r="AZ103" s="110">
        <v>2.1907082209467199</v>
      </c>
      <c r="BA103" s="110">
        <v>1256.5902355350386</v>
      </c>
      <c r="BB103" s="110">
        <v>2.3535311292603276</v>
      </c>
      <c r="BC103" s="110">
        <v>1349.9854557437241</v>
      </c>
      <c r="BD103" s="110">
        <v>0</v>
      </c>
      <c r="BE103" s="110">
        <v>0</v>
      </c>
      <c r="BF103" s="110">
        <v>1.9791057223325481</v>
      </c>
      <c r="BG103" s="110">
        <v>1135.2150423299497</v>
      </c>
      <c r="BH103" s="110">
        <v>0</v>
      </c>
      <c r="BI103" s="110">
        <v>0</v>
      </c>
      <c r="BJ103" s="110">
        <v>0</v>
      </c>
      <c r="BK103" s="110">
        <v>0</v>
      </c>
      <c r="BL103" s="110">
        <v>2.6589511994696831</v>
      </c>
      <c r="BM103" s="110">
        <v>1525.1744080158103</v>
      </c>
      <c r="BN103" s="110">
        <v>6</v>
      </c>
      <c r="BO103" s="110">
        <v>3441.6000000000004</v>
      </c>
      <c r="BP103" s="110">
        <v>1.0263531001388757</v>
      </c>
      <c r="BQ103" s="110">
        <v>588.71613823965913</v>
      </c>
      <c r="BR103" s="110">
        <v>2.5281479549796422</v>
      </c>
      <c r="BS103" s="110">
        <v>1450.1456669763229</v>
      </c>
      <c r="BT103" s="110">
        <v>2.3857712817159484</v>
      </c>
      <c r="BU103" s="110">
        <v>1368.4784071922682</v>
      </c>
      <c r="BV103" s="110">
        <v>2.3444790864554803</v>
      </c>
      <c r="BW103" s="110">
        <v>1344.7932039908635</v>
      </c>
      <c r="BX103" s="110">
        <v>0</v>
      </c>
      <c r="BY103" s="110">
        <v>0</v>
      </c>
      <c r="BZ103" s="110">
        <v>4.2478366723235181</v>
      </c>
      <c r="CA103" s="110">
        <v>2436.5591152447701</v>
      </c>
      <c r="CB103" s="110">
        <v>0</v>
      </c>
      <c r="CC103" s="110">
        <v>0</v>
      </c>
      <c r="CD103" s="110">
        <v>0</v>
      </c>
      <c r="CE103" s="110">
        <v>0</v>
      </c>
      <c r="CF103" s="110">
        <v>6.2200465559022939</v>
      </c>
      <c r="CG103" s="110">
        <v>3567.818704465556</v>
      </c>
      <c r="CH103" s="110">
        <v>2.7368204845970094</v>
      </c>
      <c r="CI103" s="110">
        <v>1569.8402299648446</v>
      </c>
      <c r="CJ103" s="110">
        <v>2.5964414522344441</v>
      </c>
      <c r="CK103" s="110">
        <v>1489.3188170016772</v>
      </c>
      <c r="CL103" s="110">
        <v>2.5611956406656504</v>
      </c>
      <c r="CM103" s="110">
        <v>1469.101819485817</v>
      </c>
      <c r="CN103" s="110">
        <v>1.9891519442733223</v>
      </c>
      <c r="CO103" s="110">
        <v>1140.9775552351778</v>
      </c>
      <c r="CP103" s="110">
        <v>0</v>
      </c>
      <c r="CQ103" s="110">
        <v>0</v>
      </c>
      <c r="CR103" s="110">
        <v>1.8727021888738091</v>
      </c>
      <c r="CS103" s="110">
        <v>1074.181975538017</v>
      </c>
      <c r="CT103" s="110">
        <v>1.8527798251623855</v>
      </c>
      <c r="CU103" s="110">
        <v>1062.7545077131444</v>
      </c>
    </row>
    <row r="104" spans="2:99" x14ac:dyDescent="0.2">
      <c r="C104" s="109" t="s">
        <v>272</v>
      </c>
      <c r="D104" s="110">
        <v>0</v>
      </c>
      <c r="E104" s="110">
        <v>0</v>
      </c>
      <c r="F104" s="110">
        <v>0.9757012007900645</v>
      </c>
      <c r="G104" s="110">
        <v>667.37962134040413</v>
      </c>
      <c r="H104" s="110">
        <v>2.2328372251956954</v>
      </c>
      <c r="I104" s="110">
        <v>1527.2606620338556</v>
      </c>
      <c r="J104" s="110">
        <v>0</v>
      </c>
      <c r="K104" s="110">
        <v>0</v>
      </c>
      <c r="L104" s="110">
        <v>4.3231529253789001</v>
      </c>
      <c r="M104" s="110">
        <v>2957.0366009591676</v>
      </c>
      <c r="N104" s="110">
        <v>1.9265630925361088</v>
      </c>
      <c r="O104" s="110">
        <v>1317.7691552946985</v>
      </c>
      <c r="P104" s="110">
        <v>1.8141802454715024</v>
      </c>
      <c r="Q104" s="110">
        <v>1240.8992879025077</v>
      </c>
      <c r="R104" s="110">
        <v>1.6746279188967717</v>
      </c>
      <c r="S104" s="110">
        <v>1145.4454965253917</v>
      </c>
      <c r="T104" s="110">
        <v>0</v>
      </c>
      <c r="U104" s="110">
        <v>0</v>
      </c>
      <c r="V104" s="110">
        <v>1.8606976876630794</v>
      </c>
      <c r="W104" s="110">
        <v>1272.7172183615464</v>
      </c>
      <c r="X104" s="110">
        <v>0</v>
      </c>
      <c r="Y104" s="110">
        <v>0</v>
      </c>
      <c r="Z104" s="110">
        <v>4.6531645990719452</v>
      </c>
      <c r="AA104" s="110">
        <v>3182.7645857652105</v>
      </c>
      <c r="AB104" s="110">
        <v>0</v>
      </c>
      <c r="AC104" s="110">
        <v>0</v>
      </c>
      <c r="AD104" s="110">
        <v>5.6441163192446737</v>
      </c>
      <c r="AE104" s="110">
        <v>3860.5755623633568</v>
      </c>
      <c r="AF104" s="110">
        <v>0</v>
      </c>
      <c r="AG104" s="110">
        <v>0</v>
      </c>
      <c r="AH104" s="110">
        <v>2.2618351112371982</v>
      </c>
      <c r="AI104" s="110">
        <v>1547.0952160862435</v>
      </c>
      <c r="AJ104" s="110">
        <v>3.7213953753261588</v>
      </c>
      <c r="AK104" s="110">
        <v>2545.4344367230929</v>
      </c>
      <c r="AL104" s="110">
        <v>1.8930576474485243</v>
      </c>
      <c r="AM104" s="110">
        <v>1294.8514308547906</v>
      </c>
      <c r="AN104" s="110">
        <v>1.661844499668552</v>
      </c>
      <c r="AO104" s="110">
        <v>1136.7016377732896</v>
      </c>
      <c r="AP104" s="110">
        <v>2.2618351112371982</v>
      </c>
      <c r="AQ104" s="110">
        <v>1547.0952160862435</v>
      </c>
      <c r="AR104" s="110">
        <v>2.2618351112371982</v>
      </c>
      <c r="AS104" s="110">
        <v>1547.0952160862435</v>
      </c>
      <c r="AT104" s="110">
        <v>0</v>
      </c>
      <c r="AU104" s="110">
        <v>0</v>
      </c>
      <c r="AV104" s="110">
        <v>0</v>
      </c>
      <c r="AW104" s="110">
        <v>0</v>
      </c>
      <c r="AX104" s="110">
        <v>1.9942133996022622</v>
      </c>
      <c r="AY104" s="110">
        <v>1364.0419653279473</v>
      </c>
      <c r="AZ104" s="110">
        <v>2.1907082209467199</v>
      </c>
      <c r="BA104" s="110">
        <v>1498.4444231275563</v>
      </c>
      <c r="BB104" s="110">
        <v>2.1181780163342947</v>
      </c>
      <c r="BC104" s="110">
        <v>1448.8337631726577</v>
      </c>
      <c r="BD104" s="110">
        <v>0</v>
      </c>
      <c r="BE104" s="110">
        <v>0</v>
      </c>
      <c r="BF104" s="110">
        <v>1.9791057223325481</v>
      </c>
      <c r="BG104" s="110">
        <v>1353.708314075463</v>
      </c>
      <c r="BH104" s="110">
        <v>0</v>
      </c>
      <c r="BI104" s="110">
        <v>0</v>
      </c>
      <c r="BJ104" s="110">
        <v>0</v>
      </c>
      <c r="BK104" s="110">
        <v>0</v>
      </c>
      <c r="BL104" s="110">
        <v>2.3265822995359726</v>
      </c>
      <c r="BM104" s="110">
        <v>1591.3822928826053</v>
      </c>
      <c r="BN104" s="110">
        <v>6</v>
      </c>
      <c r="BO104" s="110">
        <v>4104</v>
      </c>
      <c r="BP104" s="110">
        <v>1.0263531001388757</v>
      </c>
      <c r="BQ104" s="110">
        <v>702.02552049499093</v>
      </c>
      <c r="BR104" s="110">
        <v>2.5281479549796422</v>
      </c>
      <c r="BS104" s="110">
        <v>1729.2532012060753</v>
      </c>
      <c r="BT104" s="110">
        <v>2.3857712817159484</v>
      </c>
      <c r="BU104" s="110">
        <v>1631.8675566937088</v>
      </c>
      <c r="BV104" s="110">
        <v>2.009553502676126</v>
      </c>
      <c r="BW104" s="110">
        <v>1374.5345958304702</v>
      </c>
      <c r="BX104" s="110">
        <v>0</v>
      </c>
      <c r="BY104" s="110">
        <v>0</v>
      </c>
      <c r="BZ104" s="110">
        <v>4.7788162563639576</v>
      </c>
      <c r="CA104" s="110">
        <v>3268.710319352947</v>
      </c>
      <c r="CB104" s="110">
        <v>0</v>
      </c>
      <c r="CC104" s="110">
        <v>0</v>
      </c>
      <c r="CD104" s="110">
        <v>0</v>
      </c>
      <c r="CE104" s="110">
        <v>0</v>
      </c>
      <c r="CF104" s="110">
        <v>6.5859316474259577</v>
      </c>
      <c r="CG104" s="110">
        <v>4504.777246839355</v>
      </c>
      <c r="CH104" s="110">
        <v>2.7368204845970094</v>
      </c>
      <c r="CI104" s="110">
        <v>1871.9852114643545</v>
      </c>
      <c r="CJ104" s="110">
        <v>2.5964414522344441</v>
      </c>
      <c r="CK104" s="110">
        <v>1775.9659533283598</v>
      </c>
      <c r="CL104" s="110">
        <v>2.8173152047322159</v>
      </c>
      <c r="CM104" s="110">
        <v>1927.0436000368356</v>
      </c>
      <c r="CN104" s="110">
        <v>1.9891519442733223</v>
      </c>
      <c r="CO104" s="110">
        <v>1360.5799298829525</v>
      </c>
      <c r="CP104" s="110">
        <v>0</v>
      </c>
      <c r="CQ104" s="110">
        <v>0</v>
      </c>
      <c r="CR104" s="110">
        <v>1.8727021888738091</v>
      </c>
      <c r="CS104" s="110">
        <v>1280.9282971896855</v>
      </c>
      <c r="CT104" s="110">
        <v>2.0843773033076838</v>
      </c>
      <c r="CU104" s="110">
        <v>1425.7140754624556</v>
      </c>
    </row>
    <row r="105" spans="2:99" x14ac:dyDescent="0.2">
      <c r="C105" s="109" t="s">
        <v>273</v>
      </c>
      <c r="D105" s="110">
        <v>0</v>
      </c>
      <c r="E105" s="110">
        <v>0</v>
      </c>
      <c r="F105" s="110">
        <v>0.86728995625783512</v>
      </c>
      <c r="G105" s="110">
        <v>531.82220117730446</v>
      </c>
      <c r="H105" s="110">
        <v>2.2328372251956954</v>
      </c>
      <c r="I105" s="110">
        <v>1369.1757864900003</v>
      </c>
      <c r="J105" s="110">
        <v>0</v>
      </c>
      <c r="K105" s="110">
        <v>0</v>
      </c>
      <c r="L105" s="110">
        <v>4.3231529253789001</v>
      </c>
      <c r="M105" s="110">
        <v>2650.9573738423414</v>
      </c>
      <c r="N105" s="110">
        <v>1.9265630925361088</v>
      </c>
      <c r="O105" s="110">
        <v>1181.3684883431417</v>
      </c>
      <c r="P105" s="110">
        <v>2.1165436197167531</v>
      </c>
      <c r="Q105" s="110">
        <v>1297.8645476103129</v>
      </c>
      <c r="R105" s="110">
        <v>2.009553502676126</v>
      </c>
      <c r="S105" s="110">
        <v>1232.2582078410003</v>
      </c>
      <c r="T105" s="110">
        <v>0</v>
      </c>
      <c r="U105" s="110">
        <v>0</v>
      </c>
      <c r="V105" s="110">
        <v>2.2328372251956954</v>
      </c>
      <c r="W105" s="110">
        <v>1369.1757864900003</v>
      </c>
      <c r="X105" s="110">
        <v>0</v>
      </c>
      <c r="Y105" s="110">
        <v>0</v>
      </c>
      <c r="Z105" s="110">
        <v>3.9884267992045244</v>
      </c>
      <c r="AA105" s="110">
        <v>2445.703313272214</v>
      </c>
      <c r="AB105" s="110">
        <v>0</v>
      </c>
      <c r="AC105" s="110">
        <v>0</v>
      </c>
      <c r="AD105" s="110">
        <v>5.6441163192446737</v>
      </c>
      <c r="AE105" s="110">
        <v>3460.9721269608335</v>
      </c>
      <c r="AF105" s="110">
        <v>0</v>
      </c>
      <c r="AG105" s="110">
        <v>0</v>
      </c>
      <c r="AH105" s="110">
        <v>2.2618351112371982</v>
      </c>
      <c r="AI105" s="110">
        <v>1386.9572902106497</v>
      </c>
      <c r="AJ105" s="110">
        <v>3.7213953753261588</v>
      </c>
      <c r="AK105" s="110">
        <v>2281.9596441500003</v>
      </c>
      <c r="AL105" s="110">
        <v>2.2085672553566118</v>
      </c>
      <c r="AM105" s="110">
        <v>1354.2934409846741</v>
      </c>
      <c r="AN105" s="110">
        <v>1.9942133996022622</v>
      </c>
      <c r="AO105" s="110">
        <v>1222.851656636107</v>
      </c>
      <c r="AP105" s="110">
        <v>2.2618351112371982</v>
      </c>
      <c r="AQ105" s="110">
        <v>1386.9572902106497</v>
      </c>
      <c r="AR105" s="110">
        <v>2.2618351112371982</v>
      </c>
      <c r="AS105" s="110">
        <v>1386.9572902106497</v>
      </c>
      <c r="AT105" s="110">
        <v>0</v>
      </c>
      <c r="AU105" s="110">
        <v>0</v>
      </c>
      <c r="AV105" s="110">
        <v>0</v>
      </c>
      <c r="AW105" s="110">
        <v>0</v>
      </c>
      <c r="AX105" s="110">
        <v>2.3265822995359726</v>
      </c>
      <c r="AY105" s="110">
        <v>1426.6602660754581</v>
      </c>
      <c r="AZ105" s="110">
        <v>2.1907082209467199</v>
      </c>
      <c r="BA105" s="110">
        <v>1343.3422810845284</v>
      </c>
      <c r="BB105" s="110">
        <v>2.1181780163342947</v>
      </c>
      <c r="BC105" s="110">
        <v>1298.8667596161893</v>
      </c>
      <c r="BD105" s="110">
        <v>0</v>
      </c>
      <c r="BE105" s="110">
        <v>0</v>
      </c>
      <c r="BF105" s="110">
        <v>2.2264939376241166</v>
      </c>
      <c r="BG105" s="110">
        <v>1365.2860825511082</v>
      </c>
      <c r="BH105" s="110">
        <v>0</v>
      </c>
      <c r="BI105" s="110">
        <v>0</v>
      </c>
      <c r="BJ105" s="110">
        <v>0</v>
      </c>
      <c r="BK105" s="110">
        <v>0</v>
      </c>
      <c r="BL105" s="110">
        <v>2.6589511994696831</v>
      </c>
      <c r="BM105" s="110">
        <v>1630.4688755148095</v>
      </c>
      <c r="BN105" s="110">
        <v>7</v>
      </c>
      <c r="BO105" s="110">
        <v>4292.3999999999996</v>
      </c>
      <c r="BP105" s="110">
        <v>0.87973122869046494</v>
      </c>
      <c r="BQ105" s="110">
        <v>539.45118943299303</v>
      </c>
      <c r="BR105" s="110">
        <v>2.8090532833107136</v>
      </c>
      <c r="BS105" s="110">
        <v>1722.5114733261294</v>
      </c>
      <c r="BT105" s="110">
        <v>2.6839926919304418</v>
      </c>
      <c r="BU105" s="110">
        <v>1645.8243186917466</v>
      </c>
      <c r="BV105" s="110">
        <v>2.3444790864554803</v>
      </c>
      <c r="BW105" s="110">
        <v>1437.6345758145003</v>
      </c>
      <c r="BX105" s="110">
        <v>0</v>
      </c>
      <c r="BY105" s="110">
        <v>0</v>
      </c>
      <c r="BZ105" s="110">
        <v>4.7788162563639576</v>
      </c>
      <c r="CA105" s="110">
        <v>2930.3701284023787</v>
      </c>
      <c r="CB105" s="110">
        <v>0</v>
      </c>
      <c r="CC105" s="110">
        <v>0</v>
      </c>
      <c r="CD105" s="110">
        <v>0</v>
      </c>
      <c r="CE105" s="110">
        <v>0</v>
      </c>
      <c r="CF105" s="110">
        <v>6.5859316474259577</v>
      </c>
      <c r="CG105" s="110">
        <v>4038.4932862015967</v>
      </c>
      <c r="CH105" s="110">
        <v>2.9856223468331011</v>
      </c>
      <c r="CI105" s="110">
        <v>1830.7836230780574</v>
      </c>
      <c r="CJ105" s="110">
        <v>2.5964414522344441</v>
      </c>
      <c r="CK105" s="110">
        <v>1592.137898510161</v>
      </c>
      <c r="CL105" s="110">
        <v>3.0734347687987804</v>
      </c>
      <c r="CM105" s="110">
        <v>1884.6302002274119</v>
      </c>
      <c r="CN105" s="110">
        <v>1.7681350615762865</v>
      </c>
      <c r="CO105" s="110">
        <v>1084.2204197585788</v>
      </c>
      <c r="CP105" s="110">
        <v>0</v>
      </c>
      <c r="CQ105" s="110">
        <v>0</v>
      </c>
      <c r="CR105" s="110">
        <v>1.8727021888738091</v>
      </c>
      <c r="CS105" s="110">
        <v>1148.3409822174197</v>
      </c>
      <c r="CT105" s="110">
        <v>1.8527798251623855</v>
      </c>
      <c r="CU105" s="110">
        <v>1136.1245887895745</v>
      </c>
    </row>
    <row r="107" spans="2:99" x14ac:dyDescent="0.2">
      <c r="B107" s="114" t="s">
        <v>278</v>
      </c>
    </row>
    <row r="108" spans="2:99" x14ac:dyDescent="0.2">
      <c r="C108" s="109" t="s">
        <v>279</v>
      </c>
      <c r="D108" s="109" t="s">
        <v>92</v>
      </c>
      <c r="E108" s="109" t="s">
        <v>93</v>
      </c>
      <c r="F108" s="109" t="s">
        <v>94</v>
      </c>
      <c r="G108" s="109" t="s">
        <v>95</v>
      </c>
      <c r="H108" s="109" t="s">
        <v>96</v>
      </c>
      <c r="I108" s="109" t="s">
        <v>97</v>
      </c>
      <c r="J108" s="109" t="s">
        <v>98</v>
      </c>
      <c r="K108" s="109" t="s">
        <v>99</v>
      </c>
      <c r="L108" s="109" t="s">
        <v>100</v>
      </c>
      <c r="M108" s="109" t="s">
        <v>101</v>
      </c>
      <c r="N108" s="109" t="s">
        <v>102</v>
      </c>
      <c r="O108" s="109" t="s">
        <v>103</v>
      </c>
    </row>
    <row r="109" spans="2:99" x14ac:dyDescent="0.2">
      <c r="C109" s="109" t="s">
        <v>126</v>
      </c>
      <c r="D109" s="110">
        <f>SUM(D$6:D$19)+SUM(F$6:F$19)+SUM(H$6:H$19)+SUM(J$6:J$19)</f>
        <v>38.795169775961689</v>
      </c>
      <c r="E109" s="110">
        <f>SUM(L$6:L$19)+SUM(N$6:N$19)+SUM(P$6:P$19)+SUM(R$6:R$19)</f>
        <v>50.363987116754046</v>
      </c>
      <c r="F109" s="110">
        <f>SUM(T$6:T$19)+SUM(V$6:V$19)+SUM(X$6:X$19)+SUM(Z$6:Z$19)</f>
        <v>113.0900665338998</v>
      </c>
      <c r="G109" s="110">
        <f>SUM(AB$6:AB$19)+SUM(AD$6:AD$19)+SUM(AF$6:AF$19)+SUM(AH$6:AH$19)</f>
        <v>34.746637661705002</v>
      </c>
      <c r="H109" s="110">
        <f>SUM(AJ$6:AJ$19)+SUM(AL$6:AL$19)+SUM(AN$6:AN$19)+SUM(AP$6:AP$19)</f>
        <v>97.832279727340676</v>
      </c>
      <c r="I109" s="110">
        <f>SUM(AR$6:AR$19)+SUM(AT$6:AT$19)+SUM(AV$6:AV$19)+SUM(AX$6:AX$19)</f>
        <v>26.701386749089281</v>
      </c>
      <c r="J109" s="110">
        <f>SUM(AZ$6:AZ$19)+SUM(BB$6:BB$19)+SUM(BD$6:BD$19)+SUM(BF$6:BF$19)</f>
        <v>44.232585886177141</v>
      </c>
      <c r="K109" s="110">
        <f>SUM(BH$6:BH$19)+SUM(BJ$6:BJ$19)+SUM(BL$6:BL$19)+SUM(BN$6:BN$19)</f>
        <v>34.762089281359977</v>
      </c>
      <c r="L109" s="110">
        <f>SUM(BP$6:BP$19)+SUM(BR$6:BR$19)+SUM(BT$6:BT$19)+SUM(BV$6:BV$19)</f>
        <v>34.251999737650138</v>
      </c>
      <c r="M109" s="110">
        <f>SUM(BX$6:BX$19)+SUM(BZ$6:BZ$19)+SUM(CB$6:CB$19)+SUM(CD$6:CD$19)</f>
        <v>28.746661479043816</v>
      </c>
      <c r="N109" s="110">
        <f>SUM(CF$6:CF$19)+SUM(CH$6:CH$19)+SUM(CJ$6:CJ$19)+SUM(CL$6:CL$19)</f>
        <v>67.62653661587197</v>
      </c>
      <c r="O109" s="110">
        <f>SUM(CN$6:CN$19)+SUM(CP$6:CP$19)+SUM(CR$6:CR$19)+SUM(CT$6:CT$19)</f>
        <v>49.024988713730153</v>
      </c>
    </row>
    <row r="110" spans="2:99" x14ac:dyDescent="0.2">
      <c r="C110" s="109" t="s">
        <v>127</v>
      </c>
      <c r="D110" s="110">
        <f>SUM(D$20:D$36)+SUM(F$20:F$36)+SUM(H$20:H$36)+SUM(J$20:J$36)</f>
        <v>110.85793646860137</v>
      </c>
      <c r="E110" s="110">
        <f>SUM(L$20:L$36)+SUM(N$20:N$36)+SUM(P$20:P$36)+SUM(R$20:R$36)</f>
        <v>212.11784501422466</v>
      </c>
      <c r="F110" s="110">
        <f>SUM(T$20:T$36)+SUM(V$20:V$36)+SUM(X$20:X$36)+SUM(Z$20:Z$36)</f>
        <v>153.51959169207268</v>
      </c>
      <c r="G110" s="110">
        <f>SUM(AB$20:AB$36)+SUM(AD$20:AD$36)+SUM(AF$20:AF$36)+SUM(AH$20:AH$36)</f>
        <v>390.39086292736994</v>
      </c>
      <c r="H110" s="110">
        <f>SUM(AJ$20:AJ$36)+SUM(AL$20:AL$36)+SUM(AN$20:AN$36)+SUM(AP$20:AP$36)</f>
        <v>613.0733032053522</v>
      </c>
      <c r="I110" s="110">
        <f>SUM(AR$20:AR$36)+SUM(AT$20:AT$36)+SUM(AV$20:AV$36)+SUM(AX$20:AX$36)</f>
        <v>123.13457028616703</v>
      </c>
      <c r="J110" s="110">
        <f>SUM(AZ$20:AZ$36)+SUM(BB$20:BB$36)+SUM(BD$20:BD$36)+SUM(BF$20:BF$36)</f>
        <v>149.03184101538682</v>
      </c>
      <c r="K110" s="110">
        <f>SUM(BH$20:BH$36)+SUM(BJ$20:BJ$36)+SUM(BL$20:BL$36)+SUM(BN$20:BN$36)</f>
        <v>634.17102917524505</v>
      </c>
      <c r="L110" s="110">
        <f>SUM(BP$20:BP$36)+SUM(BR$20:BR$36)+SUM(BT$20:BT$36)+SUM(BV$20:BV$36)</f>
        <v>547.33741451776154</v>
      </c>
      <c r="M110" s="110">
        <f>SUM(BX$20:BX$36)+SUM(BZ$20:BZ$36)+SUM(CB$20:CB$36)+SUM(CD$20:CD$36)</f>
        <v>376.29070128495397</v>
      </c>
      <c r="N110" s="110">
        <f>SUM(CF$20:CF$36)+SUM(CH$20:CH$36)+SUM(CJ$20:CJ$36)+SUM(CL$20:CL$36)</f>
        <v>241.62100967831429</v>
      </c>
      <c r="O110" s="110">
        <f>SUM(CN$20:CN$36)+SUM(CP$20:CP$36)+SUM(CR$20:CR$36)+SUM(CT$20:CT$36)</f>
        <v>146.00714925939215</v>
      </c>
    </row>
    <row r="111" spans="2:99" x14ac:dyDescent="0.2">
      <c r="C111" s="109" t="s">
        <v>128</v>
      </c>
      <c r="D111" s="110">
        <f>SUM(D$37:D$48)+SUM(F$37:F$48)+SUM(H$37:H$48)+SUM(J$37:J$48)</f>
        <v>40.616977399368139</v>
      </c>
      <c r="E111" s="110">
        <f>SUM(L$37:L$48)+SUM(N$37:N$48)+SUM(P$37:P$48)+SUM(R$37:R$48)</f>
        <v>61.528693264074505</v>
      </c>
      <c r="F111" s="110">
        <f>SUM(T$37:T$48)+SUM(V$37:V$48)+SUM(X$37:X$48)+SUM(Z$37:Z$48)</f>
        <v>44.251745299703316</v>
      </c>
      <c r="G111" s="110">
        <f>SUM(AB$37:AB$48)+SUM(AD$37:AD$48)+SUM(AF$37:AF$48)+SUM(AH$37:AH$48)</f>
        <v>33.091824884638761</v>
      </c>
      <c r="H111" s="110">
        <f>SUM(AJ$37:AJ$48)+SUM(AL$37:AL$48)+SUM(AN$37:AN$48)+SUM(AP$37:AP$48)</f>
        <v>61.722535054264853</v>
      </c>
      <c r="I111" s="110">
        <f>SUM(AR$37:AR$48)+SUM(AT$37:AT$48)+SUM(AV$37:AV$48)+SUM(AX$37:AX$48)</f>
        <v>28.702344944787527</v>
      </c>
      <c r="J111" s="110">
        <f>SUM(AZ$37:AZ$48)+SUM(BB$37:BB$48)+SUM(BD$37:BD$48)+SUM(BF$37:BF$48)</f>
        <v>41.830479801325296</v>
      </c>
      <c r="K111" s="110">
        <f>SUM(BH$37:BH$48)+SUM(BJ$37:BJ$48)+SUM(BL$37:BL$48)+SUM(BN$37:BN$48)</f>
        <v>35.441647091085507</v>
      </c>
      <c r="L111" s="110">
        <f>SUM(BP$37:BP$48)+SUM(BR$37:BR$48)+SUM(BT$37:BT$48)+SUM(BV$37:BV$48)</f>
        <v>41.204793857288877</v>
      </c>
      <c r="M111" s="110">
        <f>SUM(BX$37:BX$48)+SUM(BZ$37:BZ$48)+SUM(CB$37:CB$48)+SUM(CD$37:CD$48)</f>
        <v>21.504068623524258</v>
      </c>
      <c r="N111" s="110">
        <f>SUM(CF$37:CF$48)+SUM(CH$37:CH$48)+SUM(CJ$37:CJ$48)+SUM(CL$37:CL$48)</f>
        <v>66.606180768344274</v>
      </c>
      <c r="O111" s="110">
        <f>SUM(CN$37:CN$48)+SUM(CP$37:CP$48)+SUM(CR$37:CR$48)+SUM(CT$37:CT$48)</f>
        <v>49.159786881714965</v>
      </c>
    </row>
    <row r="112" spans="2:99" x14ac:dyDescent="0.2">
      <c r="C112" s="109" t="s">
        <v>129</v>
      </c>
      <c r="D112" s="110">
        <f>SUM(D$49:D$70)+SUM(F$49:F$70)+SUM(H$49:H$70)+SUM(J$49:J$70)</f>
        <v>114.86390992532765</v>
      </c>
      <c r="E112" s="110">
        <f>SUM(L$49:L$70)+SUM(N$49:N$70)+SUM(P$49:P$70)+SUM(R$49:R$70)</f>
        <v>654.54980987852502</v>
      </c>
      <c r="F112" s="110">
        <f>SUM(T$49:T$70)+SUM(V$49:V$70)+SUM(X$49:X$70)+SUM(Z$49:Z$70)</f>
        <v>303.51172006523694</v>
      </c>
      <c r="G112" s="110">
        <f>SUM(AB$49:AB$70)+SUM(AD$49:AD$70)+SUM(AF$49:AF$70)+SUM(AH$49:AH$70)</f>
        <v>256.17146552737415</v>
      </c>
      <c r="H112" s="110">
        <f>SUM(AJ$49:AJ$70)+SUM(AL$49:AL$70)+SUM(AN$49:AN$70)+SUM(AP$49:AP$70)</f>
        <v>235.40595442847246</v>
      </c>
      <c r="I112" s="110">
        <f>SUM(AR$49:AR$70)+SUM(AT$49:AT$70)+SUM(AV$49:AV$70)+SUM(AX$49:AX$70)</f>
        <v>186.41520919611935</v>
      </c>
      <c r="J112" s="110">
        <f>SUM(AZ$49:AZ$70)+SUM(BB$49:BB$70)+SUM(BD$49:BD$70)+SUM(BF$49:BF$70)</f>
        <v>363.79217907970292</v>
      </c>
      <c r="K112" s="110">
        <f>SUM(BH$49:BH$70)+SUM(BJ$49:BJ$70)+SUM(BL$49:BL$70)+SUM(BN$49:BN$70)</f>
        <v>300.76785428248229</v>
      </c>
      <c r="L112" s="110">
        <f>SUM(BP$49:BP$70)+SUM(BR$49:BR$70)+SUM(BT$49:BT$70)+SUM(BV$49:BV$70)</f>
        <v>271.01454263885489</v>
      </c>
      <c r="M112" s="110">
        <f>SUM(BX$49:BX$70)+SUM(BZ$49:BZ$70)+SUM(CB$49:CB$70)+SUM(CD$49:CD$70)</f>
        <v>150.20992172191717</v>
      </c>
      <c r="N112" s="110">
        <f>SUM(CF$49:CF$70)+SUM(CH$49:CH$70)+SUM(CJ$49:CJ$70)+SUM(CL$49:CL$70)</f>
        <v>284.94764573881696</v>
      </c>
      <c r="O112" s="110">
        <f>SUM(CN$49:CN$70)+SUM(CP$49:CP$70)+SUM(CR$49:CR$70)+SUM(CT$49:CT$70)</f>
        <v>391.83636331175171</v>
      </c>
    </row>
    <row r="113" spans="2:15" x14ac:dyDescent="0.2">
      <c r="C113" s="109" t="s">
        <v>130</v>
      </c>
      <c r="D113" s="110">
        <f>SUM(D$71:D$86)+SUM(F$71:F$86)+SUM(H$71:H$86)+SUM(J$71:J$86)</f>
        <v>343.90368197291713</v>
      </c>
      <c r="E113" s="110">
        <f>SUM(L$71:L$86)+SUM(N$71:N$86)+SUM(P$71:P$86)+SUM(R$71:R$86)</f>
        <v>454.73096309465296</v>
      </c>
      <c r="F113" s="110">
        <f>SUM(T$71:T$86)+SUM(V$71:V$86)+SUM(X$71:X$86)+SUM(Z$71:Z$86)</f>
        <v>668.39498343912692</v>
      </c>
      <c r="G113" s="110">
        <f>SUM(AB$71:AB$86)+SUM(AD$71:AD$86)+SUM(AF$71:AF$86)+SUM(AH$71:AH$86)</f>
        <v>627.90657573953524</v>
      </c>
      <c r="H113" s="110">
        <f>SUM(AJ$71:AJ$86)+SUM(AL$71:AL$86)+SUM(AN$71:AN$86)+SUM(AP$71:AP$86)</f>
        <v>589</v>
      </c>
      <c r="I113" s="110">
        <f>SUM(AR$71:AR$86)+SUM(AT$71:AT$86)+SUM(AV$71:AV$86)+SUM(AX$71:AX$86)</f>
        <v>326.60699775820979</v>
      </c>
      <c r="J113" s="110">
        <f>SUM(AZ$71:AZ$86)+SUM(BB$71:BB$86)+SUM(BD$71:BD$86)+SUM(BF$71:BF$86)</f>
        <v>292.01249949575549</v>
      </c>
      <c r="K113" s="110">
        <f>SUM(BH$71:BH$86)+SUM(BJ$71:BJ$86)+SUM(BL$71:BL$86)+SUM(BN$71:BN$86)</f>
        <v>410.03059140102681</v>
      </c>
      <c r="L113" s="110">
        <f>SUM(BP$71:BP$86)+SUM(BR$71:BR$86)+SUM(BT$71:BT$86)+SUM(BV$71:BV$86)</f>
        <v>469.68302877378119</v>
      </c>
      <c r="M113" s="110">
        <f>SUM(BX$71:BX$86)+SUM(BZ$71:BZ$86)+SUM(CB$71:CB$86)+SUM(CD$71:CD$86)</f>
        <v>501.68607972622254</v>
      </c>
      <c r="N113" s="110">
        <f>SUM(CF$71:CF$86)+SUM(CH$71:CH$86)+SUM(CJ$71:CJ$86)+SUM(CL$71:CL$86)</f>
        <v>555.63958397709246</v>
      </c>
      <c r="O113" s="110">
        <f>SUM(CN$71:CN$86)+SUM(CP$71:CP$86)+SUM(CR$71:CR$86)+SUM(CT$71:CT$86)</f>
        <v>481.95540351692642</v>
      </c>
    </row>
    <row r="114" spans="2:15" x14ac:dyDescent="0.2">
      <c r="C114" s="109" t="s">
        <v>131</v>
      </c>
      <c r="D114" s="110">
        <f>SUM(D$87:D$94)+SUM(F$87:F$94)+SUM(H$87:H$94)+SUM(J$87:J$94)</f>
        <v>16.942288253462188</v>
      </c>
      <c r="E114" s="110">
        <f>SUM(L$87:L$94)+SUM(N$87:N$94)+SUM(P$87:P$94)+SUM(R$87:R$94)</f>
        <v>70.178756815954415</v>
      </c>
      <c r="F114" s="110">
        <f>SUM(T$87:T$94)+SUM(V$87:V$94)+SUM(X$87:X$94)+SUM(Z$87:Z$94)</f>
        <v>36.157191097062103</v>
      </c>
      <c r="G114" s="110">
        <f>SUM(AB$87:AB$94)+SUM(AD$87:AD$94)+SUM(AF$87:AF$94)+SUM(AH$87:AH$94)</f>
        <v>31.676163016169092</v>
      </c>
      <c r="H114" s="110">
        <f>SUM(AJ$87:AJ$94)+SUM(AL$87:AL$94)+SUM(AN$87:AN$94)+SUM(AP$87:AP$94)</f>
        <v>96.89546977188364</v>
      </c>
      <c r="I114" s="110">
        <f>SUM(AR$87:AR$94)+SUM(AT$87:AT$94)+SUM(AV$87:AV$94)+SUM(AX$87:AX$94)</f>
        <v>30.506716886772704</v>
      </c>
      <c r="J114" s="110">
        <f>SUM(AZ$87:AZ$94)+SUM(BB$87:BB$94)+SUM(BD$87:BD$94)+SUM(BF$87:BF$94)</f>
        <v>40.689335454006063</v>
      </c>
      <c r="K114" s="110">
        <f>SUM(BH$87:BH$94)+SUM(BJ$87:BJ$94)+SUM(BL$87:BL$94)+SUM(BN$87:BN$94)</f>
        <v>48.965280397613576</v>
      </c>
      <c r="L114" s="110">
        <f>SUM(BP$87:BP$94)+SUM(BR$87:BR$94)+SUM(BT$87:BT$94)+SUM(BV$87:BV$94)</f>
        <v>46.680125753605296</v>
      </c>
      <c r="M114" s="110">
        <f>SUM(BX$87:BX$94)+SUM(BZ$87:BZ$94)+SUM(CB$87:CB$94)+SUM(CD$87:CD$94)</f>
        <v>32.92073421050727</v>
      </c>
      <c r="N114" s="110">
        <f>SUM(CF$87:CF$94)+SUM(CH$87:CH$94)+SUM(CJ$87:CJ$94)+SUM(CL$87:CL$94)</f>
        <v>46.684990766923391</v>
      </c>
      <c r="O114" s="110">
        <f>SUM(CN$87:CN$94)+SUM(CP$87:CP$94)+SUM(CR$87:CR$94)+SUM(CT$87:CT$94)</f>
        <v>49.492966362289707</v>
      </c>
    </row>
    <row r="115" spans="2:15" x14ac:dyDescent="0.2">
      <c r="C115" s="109" t="s">
        <v>132</v>
      </c>
      <c r="D115" s="110">
        <f>SUM(D$95:D$105)+SUM(F$95:F$105)+SUM(H$95:H$105)+SUM(J$95:J$105)</f>
        <v>35.915190879715993</v>
      </c>
      <c r="E115" s="110">
        <f>SUM(L$95:L$105)+SUM(N$95:N$105)+SUM(P$95:P$105)+SUM(R$95:R$105)</f>
        <v>107.44165854995177</v>
      </c>
      <c r="F115" s="110">
        <f>SUM(T$95:T$105)+SUM(V$95:V$105)+SUM(X$95:X$105)+SUM(Z$95:Z$105)</f>
        <v>72.927986317078734</v>
      </c>
      <c r="G115" s="110">
        <f>SUM(AB$95:AB$105)+SUM(AD$95:AD$105)+SUM(AF$95:AF$105)+SUM(AH$95:AH$105)</f>
        <v>87.447152842323334</v>
      </c>
      <c r="H115" s="110">
        <f>SUM(AJ$95:AJ$105)+SUM(AL$95:AL$105)+SUM(AN$95:AN$105)+SUM(AP$95:AP$105)</f>
        <v>104.93825835229728</v>
      </c>
      <c r="I115" s="110">
        <f>SUM(AR$95:AR$105)+SUM(AT$95:AT$105)+SUM(AV$95:AV$105)+SUM(AX$95:AX$105)</f>
        <v>49.991304085483975</v>
      </c>
      <c r="J115" s="110">
        <f>SUM(AZ$95:AZ$105)+SUM(BB$95:BB$105)+SUM(BD$95:BD$105)+SUM(BF$95:BF$105)</f>
        <v>69.857175576970363</v>
      </c>
      <c r="K115" s="110">
        <f>SUM(BH$95:BH$105)+SUM(BJ$95:BJ$105)+SUM(BL$95:BL$105)+SUM(BN$95:BN$105)</f>
        <v>91.254249794564259</v>
      </c>
      <c r="L115" s="110">
        <f>SUM(BP$95:BP$105)+SUM(BR$95:BR$105)+SUM(BT$95:BT$105)+SUM(BV$95:BV$105)</f>
        <v>89.467593071927979</v>
      </c>
      <c r="M115" s="110">
        <f>SUM(BX$95:BX$105)+SUM(BZ$95:BZ$105)+SUM(CB$95:CB$105)+SUM(CD$95:CD$105)</f>
        <v>49.912080899801339</v>
      </c>
      <c r="N115" s="110">
        <f>SUM(CF$95:CF$105)+SUM(CH$95:CH$105)+SUM(CJ$95:CJ$105)+SUM(CL$95:CL$105)</f>
        <v>156.06361991531611</v>
      </c>
      <c r="O115" s="110">
        <f>SUM(CN$95:CN$105)+SUM(CP$95:CP$105)+SUM(CR$95:CR$105)+SUM(CT$95:CT$105)</f>
        <v>64.734295143871051</v>
      </c>
    </row>
    <row r="116" spans="2:15" x14ac:dyDescent="0.2">
      <c r="C116" s="109" t="s">
        <v>280</v>
      </c>
      <c r="D116" s="110">
        <f t="shared" ref="D116:O116" si="0">SUM(D$109:D$115)</f>
        <v>701.89515467535409</v>
      </c>
      <c r="E116" s="110">
        <f t="shared" si="0"/>
        <v>1610.9117137341373</v>
      </c>
      <c r="F116" s="110">
        <f t="shared" si="0"/>
        <v>1391.8532844441804</v>
      </c>
      <c r="G116" s="110">
        <f t="shared" si="0"/>
        <v>1461.4306825991152</v>
      </c>
      <c r="H116" s="110">
        <f t="shared" si="0"/>
        <v>1798.8678005396112</v>
      </c>
      <c r="I116" s="110">
        <f t="shared" si="0"/>
        <v>772.0585299066297</v>
      </c>
      <c r="J116" s="110">
        <f t="shared" si="0"/>
        <v>1001.446096309324</v>
      </c>
      <c r="K116" s="110">
        <f t="shared" si="0"/>
        <v>1555.3927414233774</v>
      </c>
      <c r="L116" s="110">
        <f t="shared" si="0"/>
        <v>1499.6394983508701</v>
      </c>
      <c r="M116" s="110">
        <f t="shared" si="0"/>
        <v>1161.2702479459704</v>
      </c>
      <c r="N116" s="110">
        <f t="shared" si="0"/>
        <v>1419.1895674606797</v>
      </c>
      <c r="O116" s="110">
        <f t="shared" si="0"/>
        <v>1232.2109531896763</v>
      </c>
    </row>
    <row r="118" spans="2:15" x14ac:dyDescent="0.2">
      <c r="B118" s="113" t="s">
        <v>281</v>
      </c>
    </row>
    <row r="119" spans="2:15" x14ac:dyDescent="0.2">
      <c r="C119" s="109" t="s">
        <v>279</v>
      </c>
      <c r="D119" s="109" t="s">
        <v>92</v>
      </c>
      <c r="E119" s="109" t="s">
        <v>93</v>
      </c>
      <c r="F119" s="109" t="s">
        <v>94</v>
      </c>
      <c r="G119" s="109" t="s">
        <v>95</v>
      </c>
      <c r="H119" s="109" t="s">
        <v>96</v>
      </c>
      <c r="I119" s="109" t="s">
        <v>97</v>
      </c>
      <c r="J119" s="109" t="s">
        <v>98</v>
      </c>
      <c r="K119" s="109" t="s">
        <v>99</v>
      </c>
      <c r="L119" s="109" t="s">
        <v>100</v>
      </c>
      <c r="M119" s="109" t="s">
        <v>101</v>
      </c>
      <c r="N119" s="109" t="s">
        <v>102</v>
      </c>
      <c r="O119" s="109" t="s">
        <v>103</v>
      </c>
    </row>
    <row r="120" spans="2:15" x14ac:dyDescent="0.2">
      <c r="C120" s="109" t="s">
        <v>126</v>
      </c>
      <c r="D120" s="110">
        <f>D109*pricing!D15*2000</f>
        <v>310361.3582076935</v>
      </c>
      <c r="E120" s="110">
        <f>E109*pricing!E15*2000</f>
        <v>402911.89693403238</v>
      </c>
      <c r="F120" s="110">
        <f>F109*pricing!F15*2000</f>
        <v>523878.42421163735</v>
      </c>
      <c r="G120" s="110">
        <f>G109*pricing!G15*2000</f>
        <v>277973.10129364004</v>
      </c>
      <c r="H120" s="110">
        <f>H109*pricing!H15*2000</f>
        <v>439005.77181714284</v>
      </c>
      <c r="I120" s="110">
        <f>I109*pricing!I15*2000</f>
        <v>213611.09399271425</v>
      </c>
      <c r="J120" s="110">
        <f>J109*pricing!J15*2000</f>
        <v>353860.68708941713</v>
      </c>
      <c r="K120" s="110">
        <f>K109*pricing!K15*2000</f>
        <v>278096.71425087983</v>
      </c>
      <c r="L120" s="110">
        <f>L109*pricing!L15*2000</f>
        <v>274015.99790120113</v>
      </c>
      <c r="M120" s="110">
        <f>M109*pricing!M15*2000</f>
        <v>229973.29183235051</v>
      </c>
      <c r="N120" s="110">
        <f>N109*pricing!N15*2000</f>
        <v>541012.29292697576</v>
      </c>
      <c r="O120" s="110">
        <f>O109*pricing!O15*2000</f>
        <v>392199.90970984125</v>
      </c>
    </row>
    <row r="121" spans="2:15" x14ac:dyDescent="0.2">
      <c r="C121" s="109" t="s">
        <v>127</v>
      </c>
      <c r="D121" s="110">
        <f>D110*pricing!D16*2000</f>
        <v>886863.49174881098</v>
      </c>
      <c r="E121" s="110">
        <f>E110*pricing!E16*2000</f>
        <v>1696942.7601137972</v>
      </c>
      <c r="F121" s="110">
        <f>F110*pricing!F16*2000</f>
        <v>1228156.7335365815</v>
      </c>
      <c r="G121" s="110">
        <f>G110*pricing!G16*2000</f>
        <v>1776918.2198247146</v>
      </c>
      <c r="H121" s="110">
        <f>H110*pricing!H16*2000</f>
        <v>2658818.5865056575</v>
      </c>
      <c r="I121" s="110">
        <f>I110*pricing!I16*2000</f>
        <v>985076.56228933623</v>
      </c>
      <c r="J121" s="110">
        <f>J110*pricing!J16*2000</f>
        <v>1192254.7281230944</v>
      </c>
      <c r="K121" s="110">
        <f>K110*pricing!K16*2000</f>
        <v>2839437.3660292421</v>
      </c>
      <c r="L121" s="110">
        <f>L110*pricing!L16*2000</f>
        <v>2445722.5030311658</v>
      </c>
      <c r="M121" s="110">
        <f>M110*pricing!M16*2000</f>
        <v>1778801.4031142343</v>
      </c>
      <c r="N121" s="110">
        <f>N110*pricing!N16*2000</f>
        <v>1932968.0774265144</v>
      </c>
      <c r="O121" s="110">
        <f>O110*pricing!O16*2000</f>
        <v>1168057.1940751371</v>
      </c>
    </row>
    <row r="122" spans="2:15" x14ac:dyDescent="0.2">
      <c r="C122" s="109" t="s">
        <v>128</v>
      </c>
      <c r="D122" s="110">
        <f>D111*pricing!D17*2000</f>
        <v>324935.8191949451</v>
      </c>
      <c r="E122" s="110">
        <f>E111*pricing!E17*2000</f>
        <v>492229.54611259606</v>
      </c>
      <c r="F122" s="110">
        <f>F111*pricing!F17*2000</f>
        <v>354013.96239762654</v>
      </c>
      <c r="G122" s="110">
        <f>G111*pricing!G17*2000</f>
        <v>264734.59907711006</v>
      </c>
      <c r="H122" s="110">
        <f>H111*pricing!H17*2000</f>
        <v>344207.26472462085</v>
      </c>
      <c r="I122" s="110">
        <f>I111*pricing!I17*2000</f>
        <v>229618.75955830023</v>
      </c>
      <c r="J122" s="110">
        <f>J111*pricing!J17*2000</f>
        <v>334643.83841060236</v>
      </c>
      <c r="K122" s="110">
        <f>K111*pricing!K17*2000</f>
        <v>283533.17672868405</v>
      </c>
      <c r="L122" s="110">
        <f>L111*pricing!L17*2000</f>
        <v>329638.35085831099</v>
      </c>
      <c r="M122" s="110">
        <f>M111*pricing!M17*2000</f>
        <v>172032.54898819406</v>
      </c>
      <c r="N122" s="110">
        <f>N111*pricing!N17*2000</f>
        <v>532849.4461467542</v>
      </c>
      <c r="O122" s="110">
        <f>O111*pricing!O17*2000</f>
        <v>393278.29505371972</v>
      </c>
    </row>
    <row r="123" spans="2:15" x14ac:dyDescent="0.2">
      <c r="C123" s="109" t="s">
        <v>129</v>
      </c>
      <c r="D123" s="110">
        <f>D112*pricing!D18*2000</f>
        <v>918911.27940262121</v>
      </c>
      <c r="E123" s="110">
        <f>E112*pricing!E18*2000</f>
        <v>3590696.2608478228</v>
      </c>
      <c r="F123" s="110">
        <f>F112*pricing!F18*2000</f>
        <v>1908751.545612426</v>
      </c>
      <c r="G123" s="110">
        <f>G112*pricing!G18*2000</f>
        <v>1790625.5991798493</v>
      </c>
      <c r="H123" s="110">
        <f>H112*pricing!H18*2000</f>
        <v>1883247.6354277798</v>
      </c>
      <c r="I123" s="110">
        <f>I112*pricing!I18*2000</f>
        <v>1491321.6735689547</v>
      </c>
      <c r="J123" s="110">
        <f>J112*pricing!J18*2000</f>
        <v>1849504.7761612241</v>
      </c>
      <c r="K123" s="110">
        <f>K112*pricing!K18*2000</f>
        <v>2406142.8342598584</v>
      </c>
      <c r="L123" s="110">
        <f>L112*pricing!L18*2000</f>
        <v>2168116.341110839</v>
      </c>
      <c r="M123" s="110">
        <f>M112*pricing!M18*2000</f>
        <v>1201679.3737753374</v>
      </c>
      <c r="N123" s="110">
        <f>N112*pricing!N18*2000</f>
        <v>2279581.1659105355</v>
      </c>
      <c r="O123" s="110">
        <f>O112*pricing!O18*2000</f>
        <v>1995614.5147625764</v>
      </c>
    </row>
    <row r="124" spans="2:15" x14ac:dyDescent="0.2">
      <c r="C124" s="109" t="s">
        <v>130</v>
      </c>
      <c r="D124" s="110">
        <f>D113*pricing!D19*2000</f>
        <v>1683847.9186747756</v>
      </c>
      <c r="E124" s="110">
        <f>E113*pricing!E19*2000</f>
        <v>3637847.7047572238</v>
      </c>
      <c r="F124" s="110">
        <f>F113*pricing!F19*2000</f>
        <v>3429191.9645606214</v>
      </c>
      <c r="G124" s="110">
        <f>G113*pricing!G19*2000</f>
        <v>3661743.6768222139</v>
      </c>
      <c r="H124" s="110">
        <f>H113*pricing!H19*2000</f>
        <v>4089393.847546</v>
      </c>
      <c r="I124" s="110">
        <f>I113*pricing!I19*2000</f>
        <v>2612855.9820656781</v>
      </c>
      <c r="J124" s="110">
        <f>J113*pricing!J19*2000</f>
        <v>2097954.7455675704</v>
      </c>
      <c r="K124" s="110">
        <f>K113*pricing!K19*2000</f>
        <v>3280244.7312082145</v>
      </c>
      <c r="L124" s="110">
        <f>L113*pricing!L19*2000</f>
        <v>3237443.1604672507</v>
      </c>
      <c r="M124" s="110">
        <f>M113*pricing!M19*2000</f>
        <v>2752495.106699063</v>
      </c>
      <c r="N124" s="110">
        <f>N113*pricing!N19*2000</f>
        <v>3697496.638298783</v>
      </c>
      <c r="O124" s="110">
        <f>O113*pricing!O19*2000</f>
        <v>2833823.0859784656</v>
      </c>
    </row>
    <row r="125" spans="2:15" x14ac:dyDescent="0.2">
      <c r="C125" s="109" t="s">
        <v>131</v>
      </c>
      <c r="D125" s="110">
        <f>D114*pricing!D20*2000</f>
        <v>135538.30602769752</v>
      </c>
      <c r="E125" s="110">
        <f>E114*pricing!E20*2000</f>
        <v>561430.05452763534</v>
      </c>
      <c r="F125" s="110">
        <f>F114*pricing!F20*2000</f>
        <v>289257.52877649682</v>
      </c>
      <c r="G125" s="110">
        <f>G114*pricing!G20*2000</f>
        <v>253409.30412935273</v>
      </c>
      <c r="H125" s="110">
        <f>H114*pricing!H20*2000</f>
        <v>775163.75817506912</v>
      </c>
      <c r="I125" s="110">
        <f>I114*pricing!I20*2000</f>
        <v>244053.73509418164</v>
      </c>
      <c r="J125" s="110">
        <f>J114*pricing!J20*2000</f>
        <v>325514.68363204849</v>
      </c>
      <c r="K125" s="110">
        <f>K114*pricing!K20*2000</f>
        <v>391722.24318090861</v>
      </c>
      <c r="L125" s="110">
        <f>L114*pricing!L20*2000</f>
        <v>373441.00602884236</v>
      </c>
      <c r="M125" s="110">
        <f>M114*pricing!M20*2000</f>
        <v>263365.87368405814</v>
      </c>
      <c r="N125" s="110">
        <f>N114*pricing!N20*2000</f>
        <v>373479.92613538716</v>
      </c>
      <c r="O125" s="110">
        <f>O114*pricing!O20*2000</f>
        <v>340862.99497366673</v>
      </c>
    </row>
    <row r="126" spans="2:15" x14ac:dyDescent="0.2">
      <c r="C126" s="109" t="s">
        <v>132</v>
      </c>
      <c r="D126" s="110">
        <f>D115*pricing!D21*2000</f>
        <v>287321.52703772794</v>
      </c>
      <c r="E126" s="110">
        <f>E115*pricing!E21*2000</f>
        <v>859533.26839961414</v>
      </c>
      <c r="F126" s="110">
        <f>F115*pricing!F21*2000</f>
        <v>583423.89053662983</v>
      </c>
      <c r="G126" s="110">
        <f>G115*pricing!G21*2000</f>
        <v>549949.31429858576</v>
      </c>
      <c r="H126" s="110">
        <f>H115*pricing!H21*2000</f>
        <v>839506.06681837828</v>
      </c>
      <c r="I126" s="110">
        <f>I115*pricing!I21*2000</f>
        <v>399930.43268387183</v>
      </c>
      <c r="J126" s="110">
        <f>J115*pricing!J21*2000</f>
        <v>558857.40461576288</v>
      </c>
      <c r="K126" s="110">
        <f>K115*pricing!K21*2000</f>
        <v>730033.99835651403</v>
      </c>
      <c r="L126" s="110">
        <f>L115*pricing!L21*2000</f>
        <v>715740.74457542389</v>
      </c>
      <c r="M126" s="110">
        <f>M115*pricing!M21*2000</f>
        <v>399296.6471984107</v>
      </c>
      <c r="N126" s="110">
        <f>N115*pricing!N21*2000</f>
        <v>891074.95148334745</v>
      </c>
      <c r="O126" s="110">
        <f>O115*pricing!O21*2000</f>
        <v>517874.36115096841</v>
      </c>
    </row>
    <row r="127" spans="2:15" x14ac:dyDescent="0.2">
      <c r="C127" s="109" t="s">
        <v>280</v>
      </c>
      <c r="D127" s="110">
        <f t="shared" ref="D127:O127" si="1">SUM(D$120:D$126)</f>
        <v>4547779.7002942711</v>
      </c>
      <c r="E127" s="110">
        <f t="shared" si="1"/>
        <v>11241591.491692722</v>
      </c>
      <c r="F127" s="110">
        <f t="shared" si="1"/>
        <v>8316674.0496320194</v>
      </c>
      <c r="G127" s="110">
        <f t="shared" si="1"/>
        <v>8575353.8146254662</v>
      </c>
      <c r="H127" s="110">
        <f t="shared" si="1"/>
        <v>11029342.931014648</v>
      </c>
      <c r="I127" s="110">
        <f t="shared" si="1"/>
        <v>6176468.2392530376</v>
      </c>
      <c r="J127" s="110">
        <f t="shared" si="1"/>
        <v>6712590.8635997195</v>
      </c>
      <c r="K127" s="110">
        <f t="shared" si="1"/>
        <v>10209211.064014301</v>
      </c>
      <c r="L127" s="110">
        <f t="shared" si="1"/>
        <v>9544118.1039730348</v>
      </c>
      <c r="M127" s="110">
        <f t="shared" si="1"/>
        <v>6797644.2452916484</v>
      </c>
      <c r="N127" s="110">
        <f t="shared" si="1"/>
        <v>10248462.498328298</v>
      </c>
      <c r="O127" s="110">
        <f t="shared" si="1"/>
        <v>7641710.3557043765</v>
      </c>
    </row>
    <row r="129" spans="2:15" x14ac:dyDescent="0.2">
      <c r="B129" s="113" t="s">
        <v>282</v>
      </c>
    </row>
    <row r="130" spans="2:15" x14ac:dyDescent="0.2">
      <c r="C130" s="115" t="s">
        <v>279</v>
      </c>
      <c r="D130" s="115" t="s">
        <v>92</v>
      </c>
      <c r="E130" s="115" t="s">
        <v>93</v>
      </c>
      <c r="F130" s="115" t="s">
        <v>94</v>
      </c>
      <c r="G130" s="115" t="s">
        <v>95</v>
      </c>
      <c r="H130" s="115" t="s">
        <v>96</v>
      </c>
      <c r="I130" s="115" t="s">
        <v>97</v>
      </c>
      <c r="J130" s="115" t="s">
        <v>98</v>
      </c>
      <c r="K130" s="115" t="s">
        <v>99</v>
      </c>
      <c r="L130" s="115" t="s">
        <v>100</v>
      </c>
      <c r="M130" s="115" t="s">
        <v>101</v>
      </c>
      <c r="N130" s="115" t="s">
        <v>102</v>
      </c>
      <c r="O130" s="115" t="s">
        <v>103</v>
      </c>
    </row>
    <row r="131" spans="2:15" x14ac:dyDescent="0.2">
      <c r="C131" s="115" t="s">
        <v>126</v>
      </c>
      <c r="D131" s="116">
        <f>SUM(E$6:E$19)+SUM(G$6:G$19)+SUM(I$6:I$19)+SUM(K$6:K$19)</f>
        <v>22174.133933942623</v>
      </c>
      <c r="E131" s="116">
        <f>SUM(M$6:M$19)+SUM(O$6:O$19)+SUM(Q$6:Q$19)+SUM(S$6:S$19)</f>
        <v>28883.287546275144</v>
      </c>
      <c r="F131" s="116">
        <f>SUM(U$6:U$19)+SUM(W$6:W$19)+SUM(Y$6:Y$19)+SUM(AA$6:AA$19)</f>
        <v>64687.019882853645</v>
      </c>
      <c r="G131" s="116">
        <f>SUM(AC$6:AC$19)+SUM(AE$6:AE$19)+SUM(AG$6:AG$19)+SUM(AI$6:AI$19)</f>
        <v>19785.678260104345</v>
      </c>
      <c r="H131" s="116">
        <f>SUM(AK$6:AK$19)+SUM(AM$6:AM$19)+SUM(AO$6:AO$19)+SUM(AQ$6:AQ$19)</f>
        <v>55812.421843472839</v>
      </c>
      <c r="I131" s="116">
        <f>SUM(AS$6:AS$19)+SUM(AU$6:AU$19)+SUM(AW$6:AW$19)+SUM(AY$6:AY$19)</f>
        <v>15158.515763585136</v>
      </c>
      <c r="J131" s="116">
        <f>SUM(BA$6:BA$19)+SUM(BC$6:BC$19)+SUM(BE$6:BE$19)+SUM(BG$6:BG$19)</f>
        <v>25424.653493154296</v>
      </c>
      <c r="K131" s="116">
        <f>SUM(BI$6:BI$19)+SUM(BK$6:BK$19)+SUM(BM$6:BM$19)+SUM(BO$6:BO$19)</f>
        <v>19934.971050894499</v>
      </c>
      <c r="L131" s="116">
        <f>SUM(BQ$6:BQ$19)+SUM(BS$6:BS$19)+SUM(BU$6:BU$19)+SUM(BW$6:BW$19)</f>
        <v>19481.214293949066</v>
      </c>
      <c r="M131" s="116">
        <f>SUM(BY$6:BY$19)+SUM(CA$6:CA$19)+SUM(CC$6:CC$19)+SUM(CE$6:CE$19)</f>
        <v>16384.923284067165</v>
      </c>
      <c r="N131" s="116">
        <f>SUM(CG$6:CG$19)+SUM(CI$6:CI$19)+SUM(CK$6:CK$19)+SUM(CM$6:CM$19)</f>
        <v>38715.774459333094</v>
      </c>
      <c r="O131" s="116">
        <f>SUM(CO$6:CO$19)+SUM(CQ$6:CQ$19)+SUM(CS$6:CS$19)+SUM(CU$6:CU$19)</f>
        <v>28173.845385407934</v>
      </c>
    </row>
    <row r="132" spans="2:15" x14ac:dyDescent="0.2">
      <c r="C132" s="115" t="s">
        <v>127</v>
      </c>
      <c r="D132" s="116">
        <f>SUM(E$20:E$36)+SUM(G$20:G$36)+SUM(I$20:I$36)+SUM(K$20:K$36)</f>
        <v>40047.246457276313</v>
      </c>
      <c r="E132" s="116">
        <f>SUM(M$20:M$36)+SUM(O$20:O$36)+SUM(Q$20:Q$36)+SUM(S$20:S$36)</f>
        <v>92807.298206651118</v>
      </c>
      <c r="F132" s="116">
        <f>SUM(U$20:U$36)+SUM(W$20:W$36)+SUM(Y$20:Y$36)+SUM(AA$20:AA$36)</f>
        <v>63607.069959820656</v>
      </c>
      <c r="G132" s="116">
        <f>SUM(AC$20:AC$36)+SUM(AE$20:AE$36)+SUM(AG$20:AG$36)+SUM(AI$20:AI$36)</f>
        <v>166202.16986655444</v>
      </c>
      <c r="H132" s="116">
        <f>SUM(AK$20:AK$36)+SUM(AM$20:AM$36)+SUM(AO$20:AO$36)+SUM(AQ$20:AQ$36)</f>
        <v>289245.77298127429</v>
      </c>
      <c r="I132" s="116">
        <f>SUM(AS$20:AS$36)+SUM(AU$20:AU$36)+SUM(AW$20:AW$36)+SUM(AY$20:AY$36)</f>
        <v>55990.92367955728</v>
      </c>
      <c r="J132" s="116">
        <f>SUM(BA$20:BA$36)+SUM(BC$20:BC$36)+SUM(BE$20:BE$36)+SUM(BG$20:BG$36)</f>
        <v>57941.552646717195</v>
      </c>
      <c r="K132" s="116">
        <f>SUM(BI$20:BI$36)+SUM(BK$20:BK$36)+SUM(BM$20:BM$36)+SUM(BO$20:BO$36)</f>
        <v>288763.00167081301</v>
      </c>
      <c r="L132" s="116">
        <f>SUM(BQ$20:BQ$36)+SUM(BS$20:BS$36)+SUM(BU$20:BU$36)+SUM(BW$20:BW$36)</f>
        <v>253412.46412239288</v>
      </c>
      <c r="M132" s="116">
        <f>SUM(BY$20:BY$36)+SUM(CA$20:CA$36)+SUM(CC$20:CC$36)+SUM(CE$20:CE$36)</f>
        <v>160291.93789587499</v>
      </c>
      <c r="N132" s="116">
        <f>SUM(CG$20:CG$36)+SUM(CI$20:CI$36)+SUM(CK$20:CK$36)+SUM(CM$20:CM$36)</f>
        <v>96740.138518014515</v>
      </c>
      <c r="O132" s="116">
        <f>SUM(CO$20:CO$36)+SUM(CQ$20:CQ$36)+SUM(CS$20:CS$36)+SUM(CU$20:CU$36)</f>
        <v>59782.277861733113</v>
      </c>
    </row>
    <row r="133" spans="2:15" x14ac:dyDescent="0.2">
      <c r="C133" s="115" t="s">
        <v>128</v>
      </c>
      <c r="D133" s="116">
        <f>SUM(E$37:E$48)+SUM(G$37:G$48)+SUM(I$37:I$48)+SUM(K$37:K$48)</f>
        <v>34696.193958675765</v>
      </c>
      <c r="E133" s="116">
        <f>SUM(M$37:M$48)+SUM(O$37:O$48)+SUM(Q$37:Q$48)+SUM(S$37:S$48)</f>
        <v>52516.53923032029</v>
      </c>
      <c r="F133" s="116">
        <f>SUM(U$37:U$48)+SUM(W$37:W$48)+SUM(Y$37:Y$48)+SUM(AA$37:AA$48)</f>
        <v>37689.340843387115</v>
      </c>
      <c r="G133" s="116">
        <f>SUM(AC$37:AC$48)+SUM(AE$37:AE$48)+SUM(AG$37:AG$48)+SUM(AI$37:AI$48)</f>
        <v>28119.011729786609</v>
      </c>
      <c r="H133" s="116">
        <f>SUM(AK$37:AK$48)+SUM(AM$37:AM$48)+SUM(AO$37:AO$48)+SUM(AQ$37:AQ$48)</f>
        <v>52543.763453873493</v>
      </c>
      <c r="I133" s="116">
        <f>SUM(AS$37:AS$48)+SUM(AU$37:AU$48)+SUM(AW$37:AW$48)+SUM(AY$37:AY$48)</f>
        <v>24246.97585624619</v>
      </c>
      <c r="J133" s="116">
        <f>SUM(BA$37:BA$48)+SUM(BC$37:BC$48)+SUM(BE$37:BE$48)+SUM(BG$37:BG$48)</f>
        <v>35627.648855288237</v>
      </c>
      <c r="K133" s="116">
        <f>SUM(BI$37:BI$48)+SUM(BK$37:BK$48)+SUM(BM$37:BM$48)+SUM(BO$37:BO$48)</f>
        <v>30255.548142074913</v>
      </c>
      <c r="L133" s="116">
        <f>SUM(BQ$37:BQ$48)+SUM(BS$37:BS$48)+SUM(BU$37:BU$48)+SUM(BW$37:BW$48)</f>
        <v>35280.377449974098</v>
      </c>
      <c r="M133" s="116">
        <f>SUM(BY$37:BY$48)+SUM(CA$37:CA$48)+SUM(CC$37:CC$48)+SUM(CE$37:CE$48)</f>
        <v>18311.835717626134</v>
      </c>
      <c r="N133" s="116">
        <f>SUM(CG$37:CG$48)+SUM(CI$37:CI$48)+SUM(CK$37:CK$48)+SUM(CM$37:CM$48)</f>
        <v>56685.237608566931</v>
      </c>
      <c r="O133" s="116">
        <f>SUM(CO$37:CO$48)+SUM(CQ$37:CQ$48)+SUM(CS$37:CS$48)+SUM(CU$37:CU$48)</f>
        <v>41799.184234633605</v>
      </c>
    </row>
    <row r="134" spans="2:15" x14ac:dyDescent="0.2">
      <c r="C134" s="115" t="s">
        <v>129</v>
      </c>
      <c r="D134" s="116">
        <f>SUM(E$49:E$70)+SUM(G$49:G$70)+SUM(I$49:I$70)+SUM(K$49:K$70)</f>
        <v>81024.677817729142</v>
      </c>
      <c r="E134" s="116">
        <f>SUM(M$49:M$70)+SUM(O$49:O$70)+SUM(Q$49:Q$70)+SUM(S$49:S$70)</f>
        <v>469444.64280151558</v>
      </c>
      <c r="F134" s="116">
        <f>SUM(U$49:U$70)+SUM(W$49:W$70)+SUM(Y$49:Y$70)+SUM(AA$49:AA$70)</f>
        <v>219076.88286094362</v>
      </c>
      <c r="G134" s="116">
        <f>SUM(AC$49:AC$70)+SUM(AE$49:AE$70)+SUM(AG$49:AG$70)+SUM(AI$49:AI$70)</f>
        <v>183697.36620108213</v>
      </c>
      <c r="H134" s="116">
        <f>SUM(AK$49:AK$70)+SUM(AM$49:AM$70)+SUM(AO$49:AO$70)+SUM(AQ$49:AQ$70)</f>
        <v>170812.04217752538</v>
      </c>
      <c r="I134" s="116">
        <f>SUM(AS$49:AS$70)+SUM(AU$49:AU$70)+SUM(AW$49:AW$70)+SUM(AY$49:AY$70)</f>
        <v>133394.91590552393</v>
      </c>
      <c r="J134" s="116">
        <f>SUM(BA$49:BA$70)+SUM(BC$49:BC$70)+SUM(BE$49:BE$70)+SUM(BG$49:BG$70)</f>
        <v>260340.9639754633</v>
      </c>
      <c r="K134" s="116">
        <f>SUM(BI$49:BI$70)+SUM(BK$49:BK$70)+SUM(BM$49:BM$70)+SUM(BO$49:BO$70)</f>
        <v>217776.09391426563</v>
      </c>
      <c r="L134" s="116">
        <f>SUM(BQ$49:BQ$70)+SUM(BS$49:BS$70)+SUM(BU$49:BU$70)+SUM(BW$49:BW$70)</f>
        <v>194323.51160651952</v>
      </c>
      <c r="M134" s="116">
        <f>SUM(BY$49:BY$70)+SUM(CA$49:CA$70)+SUM(CC$49:CC$70)+SUM(CE$49:CE$70)</f>
        <v>106538.03062415567</v>
      </c>
      <c r="N134" s="116">
        <f>SUM(CG$49:CG$70)+SUM(CI$49:CI$70)+SUM(CK$49:CK$70)+SUM(CM$49:CM$70)</f>
        <v>202290.18308627568</v>
      </c>
      <c r="O134" s="116">
        <f>SUM(CO$49:CO$70)+SUM(CQ$49:CQ$70)+SUM(CS$49:CS$70)+SUM(CU$49:CU$70)</f>
        <v>276034.71226704802</v>
      </c>
    </row>
    <row r="135" spans="2:15" x14ac:dyDescent="0.2">
      <c r="C135" s="115" t="s">
        <v>130</v>
      </c>
      <c r="D135" s="116">
        <f>SUM(E$71:E$86)+SUM(G$71:G$86)+SUM(I$71:I$86)+SUM(K$71:K$86)</f>
        <v>191018.28584777273</v>
      </c>
      <c r="E135" s="116">
        <f>SUM(M$71:M$86)+SUM(O$71:O$86)+SUM(Q$71:Q$86)+SUM(S$71:S$86)</f>
        <v>255723.2844540948</v>
      </c>
      <c r="F135" s="116">
        <f>SUM(U$71:U$86)+SUM(W$71:W$86)+SUM(Y$71:Y$86)+SUM(AA$71:AA$86)</f>
        <v>371950.4781919833</v>
      </c>
      <c r="G135" s="116">
        <f>SUM(AC$71:AC$86)+SUM(AE$71:AE$86)+SUM(AG$71:AG$86)+SUM(AI$71:AI$86)</f>
        <v>346137.19287238142</v>
      </c>
      <c r="H135" s="116">
        <f>SUM(AK$71:AK$86)+SUM(AM$71:AM$86)+SUM(AO$71:AO$86)+SUM(AQ$71:AQ$86)</f>
        <v>326102.40000000002</v>
      </c>
      <c r="I135" s="116">
        <f>SUM(AS$71:AS$86)+SUM(AU$71:AU$86)+SUM(AW$71:AW$86)+SUM(AY$71:AY$86)</f>
        <v>181706.42957046747</v>
      </c>
      <c r="J135" s="116">
        <f>SUM(BA$71:BA$86)+SUM(BC$71:BC$86)+SUM(BE$71:BE$86)+SUM(BG$71:BG$86)</f>
        <v>162623.85367962968</v>
      </c>
      <c r="K135" s="116">
        <f>SUM(BI$71:BI$86)+SUM(BK$71:BK$86)+SUM(BM$71:BM$86)+SUM(BO$71:BO$86)</f>
        <v>227944.05530519134</v>
      </c>
      <c r="L135" s="116">
        <f>SUM(BQ$71:BQ$86)+SUM(BS$71:BS$86)+SUM(BU$71:BU$86)+SUM(BW$71:BW$86)</f>
        <v>261167.14743219662</v>
      </c>
      <c r="M135" s="116">
        <f>SUM(BY$71:BY$86)+SUM(CA$71:CA$86)+SUM(CC$71:CC$86)+SUM(CE$71:CE$86)</f>
        <v>279377.24113160593</v>
      </c>
      <c r="N135" s="116">
        <f>SUM(CG$71:CG$86)+SUM(CI$71:CI$86)+SUM(CK$71:CK$86)+SUM(CM$71:CM$86)</f>
        <v>309486.74634678336</v>
      </c>
      <c r="O135" s="116">
        <f>SUM(CO$71:CO$86)+SUM(CQ$71:CQ$86)+SUM(CS$71:CS$86)+SUM(CU$71:CU$86)</f>
        <v>268135.07856592862</v>
      </c>
    </row>
    <row r="136" spans="2:15" x14ac:dyDescent="0.2">
      <c r="C136" s="115" t="s">
        <v>131</v>
      </c>
      <c r="D136" s="116">
        <f>SUM(E$87:E$94)+SUM(G$87:G$94)+SUM(I$87:I$94)+SUM(K$87:K$94)</f>
        <v>9200.038087045632</v>
      </c>
      <c r="E136" s="116">
        <f>SUM(M$87:M$94)+SUM(O$87:O$94)+SUM(Q$87:Q$94)+SUM(S$87:S$94)</f>
        <v>37943.265164166784</v>
      </c>
      <c r="F136" s="116">
        <f>SUM(U$87:U$94)+SUM(W$87:W$94)+SUM(Y$87:Y$94)+SUM(AA$87:AA$94)</f>
        <v>19709.284867008551</v>
      </c>
      <c r="G136" s="116">
        <f>SUM(AC$87:AC$94)+SUM(AE$87:AE$94)+SUM(AG$87:AG$94)+SUM(AI$87:AI$94)</f>
        <v>17240.297808128969</v>
      </c>
      <c r="H136" s="116">
        <f>SUM(AK$87:AK$94)+SUM(AM$87:AM$94)+SUM(AO$87:AO$94)+SUM(AQ$87:AQ$94)</f>
        <v>52578.320360902828</v>
      </c>
      <c r="I136" s="116">
        <f>SUM(AS$87:AS$94)+SUM(AU$87:AU$94)+SUM(AW$87:AW$94)+SUM(AY$87:AY$94)</f>
        <v>16572.029895633736</v>
      </c>
      <c r="J136" s="116">
        <f>SUM(BA$87:BA$94)+SUM(BC$87:BC$94)+SUM(BE$87:BE$94)+SUM(BG$87:BG$94)</f>
        <v>22051.217565905696</v>
      </c>
      <c r="K136" s="116">
        <f>SUM(BI$87:BI$94)+SUM(BK$87:BK$94)+SUM(BM$87:BM$94)+SUM(BO$87:BO$94)</f>
        <v>26625.433405788852</v>
      </c>
      <c r="L136" s="116">
        <f>SUM(BQ$87:BQ$94)+SUM(BS$87:BS$94)+SUM(BU$87:BU$94)+SUM(BW$87:BW$94)</f>
        <v>25318.503906654434</v>
      </c>
      <c r="M136" s="116">
        <f>SUM(BY$87:BY$94)+SUM(CA$87:CA$94)+SUM(CC$87:CC$94)+SUM(CE$87:CE$94)</f>
        <v>17911.640504352963</v>
      </c>
      <c r="N136" s="116">
        <f>SUM(CG$87:CG$94)+SUM(CI$87:CI$94)+SUM(CK$87:CK$94)+SUM(CM$87:CM$94)</f>
        <v>25385.958436808687</v>
      </c>
      <c r="O136" s="116">
        <f>SUM(CO$87:CO$94)+SUM(CQ$87:CQ$94)+SUM(CS$87:CS$94)+SUM(CU$87:CU$94)</f>
        <v>26978.596213639288</v>
      </c>
    </row>
    <row r="137" spans="2:15" x14ac:dyDescent="0.2">
      <c r="C137" s="115" t="s">
        <v>132</v>
      </c>
      <c r="D137" s="116">
        <f>SUM(E$95:E$105)+SUM(G$95:G$105)+SUM(I$95:I$105)+SUM(K$95:K$105)</f>
        <v>34175.405389577762</v>
      </c>
      <c r="E137" s="116">
        <f>SUM(M$95:M$105)+SUM(O$95:O$105)+SUM(Q$95:Q$105)+SUM(S$95:S$105)</f>
        <v>101496.16547234595</v>
      </c>
      <c r="F137" s="116">
        <f>SUM(U$95:U$105)+SUM(W$95:W$105)+SUM(Y$95:Y$105)+SUM(AA$95:AA$105)</f>
        <v>67527.597343151385</v>
      </c>
      <c r="G137" s="116">
        <f>SUM(AC$95:AC$105)+SUM(AE$95:AE$105)+SUM(AG$95:AG$105)+SUM(AI$95:AI$105)</f>
        <v>81667.288719152566</v>
      </c>
      <c r="H137" s="116">
        <f>SUM(AK$95:AK$105)+SUM(AM$95:AM$105)+SUM(AO$95:AO$105)+SUM(AQ$95:AQ$105)</f>
        <v>96755.697810783779</v>
      </c>
      <c r="I137" s="116">
        <f>SUM(AS$95:AS$105)+SUM(AU$95:AU$105)+SUM(AW$95:AW$105)+SUM(AY$95:AY$105)</f>
        <v>45484.146122617458</v>
      </c>
      <c r="J137" s="116">
        <f>SUM(BA$95:BA$105)+SUM(BC$95:BC$105)+SUM(BE$95:BE$105)+SUM(BG$95:BG$105)</f>
        <v>64633.524007456232</v>
      </c>
      <c r="K137" s="116">
        <f>SUM(BI$95:BI$105)+SUM(BK$95:BK$105)+SUM(BM$95:BM$105)+SUM(BO$95:BO$105)</f>
        <v>85279.669819648494</v>
      </c>
      <c r="L137" s="116">
        <f>SUM(BQ$95:BQ$105)+SUM(BS$95:BS$105)+SUM(BU$95:BU$105)+SUM(BW$95:BW$105)</f>
        <v>82795.609153988116</v>
      </c>
      <c r="M137" s="116">
        <f>SUM(BY$95:BY$105)+SUM(CA$95:CA$105)+SUM(CC$95:CC$105)+SUM(CE$95:CE$105)</f>
        <v>46262.764414608195</v>
      </c>
      <c r="N137" s="116">
        <f>SUM(CG$95:CG$105)+SUM(CI$95:CI$105)+SUM(CK$95:CK$105)+SUM(CM$95:CM$105)</f>
        <v>143820.9599564269</v>
      </c>
      <c r="O137" s="116">
        <f>SUM(CO$95:CO$105)+SUM(CQ$95:CQ$105)+SUM(CS$95:CS$105)+SUM(CU$95:CU$105)</f>
        <v>61332.256866137861</v>
      </c>
    </row>
    <row r="138" spans="2:15" x14ac:dyDescent="0.2">
      <c r="C138" s="115" t="s">
        <v>280</v>
      </c>
      <c r="D138" s="110">
        <f t="shared" ref="D138:O138" si="2">SUM(D$131:D$137)</f>
        <v>412335.98149201996</v>
      </c>
      <c r="E138" s="110">
        <f t="shared" si="2"/>
        <v>1038814.4828753697</v>
      </c>
      <c r="F138" s="110">
        <f t="shared" si="2"/>
        <v>844247.67394914827</v>
      </c>
      <c r="G138" s="110">
        <f t="shared" si="2"/>
        <v>842849.00545719045</v>
      </c>
      <c r="H138" s="110">
        <f t="shared" si="2"/>
        <v>1043850.4186278327</v>
      </c>
      <c r="I138" s="110">
        <f t="shared" si="2"/>
        <v>472553.93679363123</v>
      </c>
      <c r="J138" s="110">
        <f t="shared" si="2"/>
        <v>628643.41422361461</v>
      </c>
      <c r="K138" s="110">
        <f t="shared" si="2"/>
        <v>896578.77330867678</v>
      </c>
      <c r="L138" s="110">
        <f t="shared" si="2"/>
        <v>871778.82796567469</v>
      </c>
      <c r="M138" s="110">
        <f t="shared" si="2"/>
        <v>645078.37357229111</v>
      </c>
      <c r="N138" s="110">
        <f t="shared" si="2"/>
        <v>873124.9984122091</v>
      </c>
      <c r="O138" s="110">
        <f t="shared" si="2"/>
        <v>762235.95139452838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10"/>
  </cols>
  <sheetData>
    <row r="2" spans="1:99" x14ac:dyDescent="0.2">
      <c r="B2" s="112" t="s">
        <v>274</v>
      </c>
    </row>
    <row r="3" spans="1:99" x14ac:dyDescent="0.2">
      <c r="B3" s="113" t="s">
        <v>283</v>
      </c>
    </row>
    <row r="4" spans="1:99" x14ac:dyDescent="0.2">
      <c r="A4" s="111"/>
      <c r="B4" s="111"/>
      <c r="C4" s="109" t="s">
        <v>276</v>
      </c>
      <c r="D4" s="109" t="s">
        <v>92</v>
      </c>
      <c r="E4" s="111"/>
      <c r="F4" s="111"/>
      <c r="G4" s="111"/>
      <c r="H4" s="111"/>
      <c r="I4" s="111"/>
      <c r="J4" s="111"/>
      <c r="K4" s="111"/>
      <c r="L4" s="109" t="s">
        <v>93</v>
      </c>
      <c r="M4" s="111"/>
      <c r="N4" s="111"/>
      <c r="O4" s="111"/>
      <c r="P4" s="111"/>
      <c r="Q4" s="111"/>
      <c r="R4" s="111"/>
      <c r="S4" s="111"/>
      <c r="T4" s="109" t="s">
        <v>94</v>
      </c>
      <c r="U4" s="111"/>
      <c r="V4" s="111"/>
      <c r="W4" s="111"/>
      <c r="X4" s="111"/>
      <c r="Y4" s="111"/>
      <c r="Z4" s="111"/>
      <c r="AA4" s="111"/>
      <c r="AB4" s="109" t="s">
        <v>95</v>
      </c>
      <c r="AC4" s="111"/>
      <c r="AD4" s="111"/>
      <c r="AE4" s="111"/>
      <c r="AF4" s="111"/>
      <c r="AG4" s="111"/>
      <c r="AH4" s="111"/>
      <c r="AI4" s="111"/>
      <c r="AJ4" s="109" t="s">
        <v>96</v>
      </c>
      <c r="AK4" s="111"/>
      <c r="AL4" s="111"/>
      <c r="AM4" s="111"/>
      <c r="AN4" s="111"/>
      <c r="AO4" s="111"/>
      <c r="AP4" s="111"/>
      <c r="AQ4" s="111"/>
      <c r="AR4" s="109" t="s">
        <v>97</v>
      </c>
      <c r="AS4" s="111"/>
      <c r="AT4" s="111"/>
      <c r="AU4" s="111"/>
      <c r="AV4" s="111"/>
      <c r="AW4" s="111"/>
      <c r="AX4" s="111"/>
      <c r="AY4" s="111"/>
      <c r="AZ4" s="109" t="s">
        <v>98</v>
      </c>
      <c r="BA4" s="111"/>
      <c r="BB4" s="111"/>
      <c r="BC4" s="111"/>
      <c r="BD4" s="111"/>
      <c r="BE4" s="111"/>
      <c r="BF4" s="111"/>
      <c r="BG4" s="111"/>
      <c r="BH4" s="109" t="s">
        <v>99</v>
      </c>
      <c r="BI4" s="111"/>
      <c r="BJ4" s="111"/>
      <c r="BK4" s="111"/>
      <c r="BL4" s="111"/>
      <c r="BM4" s="111"/>
      <c r="BN4" s="111"/>
      <c r="BO4" s="111"/>
      <c r="BP4" s="109" t="s">
        <v>100</v>
      </c>
      <c r="BQ4" s="111"/>
      <c r="BR4" s="111"/>
      <c r="BS4" s="111"/>
      <c r="BT4" s="111"/>
      <c r="BU4" s="111"/>
      <c r="BV4" s="111"/>
      <c r="BW4" s="111"/>
      <c r="BX4" s="109" t="s">
        <v>101</v>
      </c>
      <c r="BY4" s="111"/>
      <c r="BZ4" s="111"/>
      <c r="CA4" s="111"/>
      <c r="CB4" s="111"/>
      <c r="CC4" s="111"/>
      <c r="CD4" s="111"/>
      <c r="CE4" s="111"/>
      <c r="CF4" s="109" t="s">
        <v>102</v>
      </c>
      <c r="CG4" s="111"/>
      <c r="CH4" s="111"/>
      <c r="CI4" s="111"/>
      <c r="CJ4" s="111"/>
      <c r="CK4" s="111"/>
      <c r="CL4" s="111"/>
      <c r="CM4" s="111"/>
      <c r="CN4" s="109" t="s">
        <v>103</v>
      </c>
      <c r="CO4" s="111"/>
      <c r="CP4" s="111"/>
      <c r="CQ4" s="111"/>
      <c r="CR4" s="111"/>
      <c r="CS4" s="111"/>
      <c r="CT4" s="111"/>
      <c r="CU4" s="111"/>
    </row>
    <row r="5" spans="1:99" x14ac:dyDescent="0.2">
      <c r="B5" s="109" t="s">
        <v>169</v>
      </c>
      <c r="C5" s="109" t="s">
        <v>277</v>
      </c>
      <c r="D5" s="109">
        <v>1</v>
      </c>
      <c r="E5" s="109"/>
      <c r="F5" s="109">
        <v>2</v>
      </c>
      <c r="G5" s="109"/>
      <c r="H5" s="109">
        <v>3</v>
      </c>
      <c r="I5" s="109"/>
      <c r="J5" s="109">
        <v>4</v>
      </c>
      <c r="K5" s="109"/>
      <c r="L5" s="109">
        <v>1</v>
      </c>
      <c r="M5" s="109"/>
      <c r="N5" s="109">
        <v>2</v>
      </c>
      <c r="O5" s="109"/>
      <c r="P5" s="109">
        <v>3</v>
      </c>
      <c r="Q5" s="109"/>
      <c r="R5" s="109">
        <v>4</v>
      </c>
      <c r="S5" s="109"/>
      <c r="T5" s="109">
        <v>1</v>
      </c>
      <c r="U5" s="109"/>
      <c r="V5" s="109">
        <v>2</v>
      </c>
      <c r="W5" s="109"/>
      <c r="X5" s="109">
        <v>3</v>
      </c>
      <c r="Y5" s="109"/>
      <c r="Z5" s="109">
        <v>4</v>
      </c>
      <c r="AA5" s="109"/>
      <c r="AB5" s="109">
        <v>1</v>
      </c>
      <c r="AC5" s="109"/>
      <c r="AD5" s="109">
        <v>2</v>
      </c>
      <c r="AE5" s="109"/>
      <c r="AF5" s="109">
        <v>3</v>
      </c>
      <c r="AG5" s="109"/>
      <c r="AH5" s="109">
        <v>4</v>
      </c>
      <c r="AI5" s="109"/>
      <c r="AJ5" s="109">
        <v>1</v>
      </c>
      <c r="AK5" s="109"/>
      <c r="AL5" s="109">
        <v>2</v>
      </c>
      <c r="AM5" s="109"/>
      <c r="AN5" s="109">
        <v>3</v>
      </c>
      <c r="AO5" s="109"/>
      <c r="AP5" s="109">
        <v>4</v>
      </c>
      <c r="AQ5" s="109"/>
      <c r="AR5" s="109">
        <v>1</v>
      </c>
      <c r="AS5" s="109"/>
      <c r="AT5" s="109">
        <v>2</v>
      </c>
      <c r="AU5" s="109"/>
      <c r="AV5" s="109">
        <v>3</v>
      </c>
      <c r="AW5" s="109"/>
      <c r="AX5" s="109">
        <v>4</v>
      </c>
      <c r="AY5" s="109"/>
      <c r="AZ5" s="109">
        <v>1</v>
      </c>
      <c r="BA5" s="109"/>
      <c r="BB5" s="109">
        <v>2</v>
      </c>
      <c r="BC5" s="109"/>
      <c r="BD5" s="109">
        <v>3</v>
      </c>
      <c r="BE5" s="109"/>
      <c r="BF5" s="109">
        <v>4</v>
      </c>
      <c r="BG5" s="109"/>
      <c r="BH5" s="109">
        <v>1</v>
      </c>
      <c r="BI5" s="109"/>
      <c r="BJ5" s="109">
        <v>2</v>
      </c>
      <c r="BK5" s="109"/>
      <c r="BL5" s="109">
        <v>3</v>
      </c>
      <c r="BM5" s="109"/>
      <c r="BN5" s="109">
        <v>4</v>
      </c>
      <c r="BO5" s="109"/>
      <c r="BP5" s="109">
        <v>1</v>
      </c>
      <c r="BQ5" s="109"/>
      <c r="BR5" s="109">
        <v>2</v>
      </c>
      <c r="BS5" s="109"/>
      <c r="BT5" s="109">
        <v>3</v>
      </c>
      <c r="BU5" s="109"/>
      <c r="BV5" s="109">
        <v>4</v>
      </c>
      <c r="BW5" s="109"/>
      <c r="BX5" s="109">
        <v>1</v>
      </c>
      <c r="BY5" s="109"/>
      <c r="BZ5" s="109">
        <v>2</v>
      </c>
      <c r="CA5" s="109"/>
      <c r="CB5" s="109">
        <v>3</v>
      </c>
      <c r="CC5" s="109"/>
      <c r="CD5" s="109">
        <v>4</v>
      </c>
      <c r="CE5" s="109"/>
      <c r="CF5" s="109">
        <v>1</v>
      </c>
      <c r="CG5" s="109"/>
      <c r="CH5" s="109">
        <v>2</v>
      </c>
      <c r="CI5" s="109"/>
      <c r="CJ5" s="109">
        <v>3</v>
      </c>
      <c r="CK5" s="109"/>
      <c r="CL5" s="109">
        <v>4</v>
      </c>
      <c r="CM5" s="109"/>
      <c r="CN5" s="109">
        <v>1</v>
      </c>
      <c r="CO5" s="109"/>
      <c r="CP5" s="109">
        <v>2</v>
      </c>
      <c r="CQ5" s="109"/>
      <c r="CR5" s="109">
        <v>3</v>
      </c>
      <c r="CS5" s="109"/>
      <c r="CT5" s="109">
        <v>4</v>
      </c>
      <c r="CU5" s="109"/>
    </row>
    <row r="6" spans="1:99" x14ac:dyDescent="0.2">
      <c r="B6" s="109" t="s">
        <v>126</v>
      </c>
      <c r="C6" s="109" t="s">
        <v>174</v>
      </c>
      <c r="D6" s="110">
        <v>0</v>
      </c>
      <c r="E6" s="110">
        <v>0</v>
      </c>
      <c r="F6" s="110">
        <v>0.13709365149322947</v>
      </c>
      <c r="G6" s="110">
        <v>93.607545239577078</v>
      </c>
      <c r="H6" s="110">
        <v>0.36448348633493644</v>
      </c>
      <c r="I6" s="110">
        <v>248.86932446949459</v>
      </c>
      <c r="J6" s="110">
        <v>0.9417903879770203</v>
      </c>
      <c r="K6" s="110">
        <v>643.05447691070947</v>
      </c>
      <c r="L6" s="110">
        <v>1.3992347399725675</v>
      </c>
      <c r="M6" s="110">
        <v>955.39748045326905</v>
      </c>
      <c r="N6" s="110">
        <v>0.80760007733393058</v>
      </c>
      <c r="O6" s="110">
        <v>551.42933280360774</v>
      </c>
      <c r="P6" s="110">
        <v>1.5450035650159639</v>
      </c>
      <c r="Q6" s="110">
        <v>1054.9284341929001</v>
      </c>
      <c r="R6" s="110">
        <v>1.9017500107256065</v>
      </c>
      <c r="S6" s="110">
        <v>1298.514907323444</v>
      </c>
      <c r="T6" s="110">
        <v>5.7903208925520424</v>
      </c>
      <c r="U6" s="110">
        <v>3953.6311054345342</v>
      </c>
      <c r="V6" s="110">
        <v>5.572825911295177</v>
      </c>
      <c r="W6" s="110">
        <v>3805.1255322323468</v>
      </c>
      <c r="X6" s="110">
        <v>9.7833966244872457</v>
      </c>
      <c r="Y6" s="110">
        <v>6680.1032151998907</v>
      </c>
      <c r="Z6" s="110">
        <v>7.0764509865593146</v>
      </c>
      <c r="AA6" s="110">
        <v>4831.8007336227001</v>
      </c>
      <c r="AB6" s="110">
        <v>7.9271977031053078</v>
      </c>
      <c r="AC6" s="110">
        <v>5412.6905916803034</v>
      </c>
      <c r="AD6" s="110">
        <v>7.6902443756478558</v>
      </c>
      <c r="AE6" s="110">
        <v>5250.8988596923555</v>
      </c>
      <c r="AF6" s="110">
        <v>11.186435406944668</v>
      </c>
      <c r="AG6" s="110">
        <v>7638.0980958618184</v>
      </c>
      <c r="AH6" s="110">
        <v>9.5975975560620697</v>
      </c>
      <c r="AI6" s="110">
        <v>6553.2396112791803</v>
      </c>
      <c r="AJ6" s="110">
        <v>4.4151184430369073</v>
      </c>
      <c r="AK6" s="110">
        <v>3014.6428729056001</v>
      </c>
      <c r="AL6" s="110">
        <v>3.9670558335003285</v>
      </c>
      <c r="AM6" s="110">
        <v>2708.7057231140243</v>
      </c>
      <c r="AN6" s="110">
        <v>7.4726883362489298</v>
      </c>
      <c r="AO6" s="110">
        <v>5102.3515959907691</v>
      </c>
      <c r="AP6" s="110">
        <v>5.0851966546646299</v>
      </c>
      <c r="AQ6" s="110">
        <v>3472.1722758050091</v>
      </c>
      <c r="AR6" s="110">
        <v>7.4667497788771762</v>
      </c>
      <c r="AS6" s="110">
        <v>5098.296749017336</v>
      </c>
      <c r="AT6" s="110">
        <v>6</v>
      </c>
      <c r="AU6" s="110">
        <v>4096.7999999999993</v>
      </c>
      <c r="AV6" s="110">
        <v>8.7502791803455136</v>
      </c>
      <c r="AW6" s="110">
        <v>5974.6906243399162</v>
      </c>
      <c r="AX6" s="110">
        <v>7.887255085336192</v>
      </c>
      <c r="AY6" s="110">
        <v>5385.4177722675513</v>
      </c>
      <c r="AZ6" s="110">
        <v>3.2324563780973548</v>
      </c>
      <c r="BA6" s="110">
        <v>2207.1212149648736</v>
      </c>
      <c r="BB6" s="110">
        <v>4.2586763399012284</v>
      </c>
      <c r="BC6" s="110">
        <v>2907.8242048845586</v>
      </c>
      <c r="BD6" s="110">
        <v>1.9795392744558571</v>
      </c>
      <c r="BE6" s="110">
        <v>1351.6294165984591</v>
      </c>
      <c r="BF6" s="110">
        <v>2.2847857677496357</v>
      </c>
      <c r="BG6" s="110">
        <v>1560.0517222194512</v>
      </c>
      <c r="BH6" s="110">
        <v>3.1532565379280828</v>
      </c>
      <c r="BI6" s="110">
        <v>2153.0435640972946</v>
      </c>
      <c r="BJ6" s="110">
        <v>3.3155125607050375</v>
      </c>
      <c r="BK6" s="110">
        <v>2263.8319764493995</v>
      </c>
      <c r="BL6" s="110">
        <v>3.5907024788830011</v>
      </c>
      <c r="BM6" s="110">
        <v>2451.731652581313</v>
      </c>
      <c r="BN6" s="110">
        <v>2.8174001656185572</v>
      </c>
      <c r="BO6" s="110">
        <v>1923.7208330843507</v>
      </c>
      <c r="BP6" s="110">
        <v>8.729596905779351</v>
      </c>
      <c r="BQ6" s="110">
        <v>5960.5687672661406</v>
      </c>
      <c r="BR6" s="110">
        <v>7.3645417724315267</v>
      </c>
      <c r="BS6" s="110">
        <v>5028.5091222162464</v>
      </c>
      <c r="BT6" s="110">
        <v>7</v>
      </c>
      <c r="BU6" s="110">
        <v>4779.5999999999995</v>
      </c>
      <c r="BV6" s="110">
        <v>9.1423257884661169</v>
      </c>
      <c r="BW6" s="110">
        <v>6242.3800483646646</v>
      </c>
      <c r="BX6" s="110">
        <v>3.1423068638736011</v>
      </c>
      <c r="BY6" s="110">
        <v>2145.5671266528948</v>
      </c>
      <c r="BZ6" s="110">
        <v>4.4311746280136148</v>
      </c>
      <c r="CA6" s="110">
        <v>3025.6060360076958</v>
      </c>
      <c r="CB6" s="110">
        <v>4.1357896313989952</v>
      </c>
      <c r="CC6" s="110">
        <v>2823.917160319234</v>
      </c>
      <c r="CD6" s="110">
        <v>4</v>
      </c>
      <c r="CE6" s="110">
        <v>2731.2</v>
      </c>
      <c r="CF6" s="110">
        <v>14.130461927005181</v>
      </c>
      <c r="CG6" s="110">
        <v>9648.2794037591375</v>
      </c>
      <c r="CH6" s="110">
        <v>9.7110190369565963</v>
      </c>
      <c r="CI6" s="110">
        <v>6630.6837984339636</v>
      </c>
      <c r="CJ6" s="110">
        <v>5.4082111802810058</v>
      </c>
      <c r="CK6" s="110">
        <v>3692.7265938958703</v>
      </c>
      <c r="CL6" s="110">
        <v>9.1382772135635228</v>
      </c>
      <c r="CM6" s="110">
        <v>6239.6156814211727</v>
      </c>
      <c r="CN6" s="110">
        <v>5.0304976560746466</v>
      </c>
      <c r="CO6" s="110">
        <v>3434.8237995677687</v>
      </c>
      <c r="CP6" s="110">
        <v>9.0034339299720934</v>
      </c>
      <c r="CQ6" s="110">
        <v>6147.5446873849451</v>
      </c>
      <c r="CR6" s="110">
        <v>7.1473086068771057</v>
      </c>
      <c r="CS6" s="110">
        <v>4880.1823167756875</v>
      </c>
      <c r="CT6" s="110">
        <v>6.9524720103252466</v>
      </c>
      <c r="CU6" s="110">
        <v>4747.1478886500781</v>
      </c>
    </row>
    <row r="7" spans="1:99" x14ac:dyDescent="0.2">
      <c r="C7" s="109" t="s">
        <v>175</v>
      </c>
      <c r="D7" s="110">
        <v>0</v>
      </c>
      <c r="E7" s="110">
        <v>0</v>
      </c>
      <c r="F7" s="110">
        <v>0.13663904129293122</v>
      </c>
      <c r="G7" s="110">
        <v>117.89216482754105</v>
      </c>
      <c r="H7" s="110">
        <v>0.36218600516526134</v>
      </c>
      <c r="I7" s="110">
        <v>312.49408525658748</v>
      </c>
      <c r="J7" s="110">
        <v>0.75466634326378101</v>
      </c>
      <c r="K7" s="110">
        <v>651.12612096799023</v>
      </c>
      <c r="L7" s="110">
        <v>1.3992347399725675</v>
      </c>
      <c r="M7" s="110">
        <v>1207.2597336483311</v>
      </c>
      <c r="N7" s="110">
        <v>0.80760007733393058</v>
      </c>
      <c r="O7" s="110">
        <v>696.79734672371524</v>
      </c>
      <c r="P7" s="110">
        <v>1.8507690337031066</v>
      </c>
      <c r="Q7" s="110">
        <v>1596.8435222790404</v>
      </c>
      <c r="R7" s="110">
        <v>1.8897677535947477</v>
      </c>
      <c r="S7" s="110">
        <v>1630.4916178015483</v>
      </c>
      <c r="T7" s="110">
        <v>5.3643550630021526</v>
      </c>
      <c r="U7" s="110">
        <v>4628.365548358257</v>
      </c>
      <c r="V7" s="110">
        <v>4.8941566669955945</v>
      </c>
      <c r="W7" s="110">
        <v>4222.678372283799</v>
      </c>
      <c r="X7" s="110">
        <v>9.7673389960720289</v>
      </c>
      <c r="Y7" s="110">
        <v>8427.2600858109454</v>
      </c>
      <c r="Z7" s="110">
        <v>7.7282612766922716</v>
      </c>
      <c r="AA7" s="110">
        <v>6667.9438295300915</v>
      </c>
      <c r="AB7" s="110">
        <v>7.9271977031053078</v>
      </c>
      <c r="AC7" s="110">
        <v>6839.5861782392594</v>
      </c>
      <c r="AD7" s="110">
        <v>7.1450654462457033</v>
      </c>
      <c r="AE7" s="110">
        <v>6164.7624670207924</v>
      </c>
      <c r="AF7" s="110">
        <v>10.392809747698335</v>
      </c>
      <c r="AG7" s="110">
        <v>8966.9162503141233</v>
      </c>
      <c r="AH7" s="110">
        <v>8.8563506214364889</v>
      </c>
      <c r="AI7" s="110">
        <v>7641.2593161754021</v>
      </c>
      <c r="AJ7" s="110">
        <v>4.4285466391983421</v>
      </c>
      <c r="AK7" s="110">
        <v>3820.9500403003294</v>
      </c>
      <c r="AL7" s="110">
        <v>3.9989689090838874</v>
      </c>
      <c r="AM7" s="110">
        <v>3450.3103747575778</v>
      </c>
      <c r="AN7" s="110">
        <v>6.7120138899267978</v>
      </c>
      <c r="AO7" s="110">
        <v>5791.125584228841</v>
      </c>
      <c r="AP7" s="110">
        <v>6.051447439054451</v>
      </c>
      <c r="AQ7" s="110">
        <v>5221.1888504161798</v>
      </c>
      <c r="AR7" s="110">
        <v>7.4667497788771762</v>
      </c>
      <c r="AS7" s="110">
        <v>6442.311709215227</v>
      </c>
      <c r="AT7" s="110">
        <v>6</v>
      </c>
      <c r="AU7" s="110">
        <v>5176.7999999999993</v>
      </c>
      <c r="AV7" s="110">
        <v>9.6919288324271982</v>
      </c>
      <c r="AW7" s="110">
        <v>8362.1961966181861</v>
      </c>
      <c r="AX7" s="110">
        <v>7.887255085336192</v>
      </c>
      <c r="AY7" s="110">
        <v>6805.1236876280664</v>
      </c>
      <c r="AZ7" s="110">
        <v>3.2324563780973548</v>
      </c>
      <c r="BA7" s="110">
        <v>2788.9633630223975</v>
      </c>
      <c r="BB7" s="110">
        <v>3.5488969499176903</v>
      </c>
      <c r="BC7" s="110">
        <v>3061.9882883889832</v>
      </c>
      <c r="BD7" s="110">
        <v>1.9795392744558571</v>
      </c>
      <c r="BE7" s="110">
        <v>1707.9464860005135</v>
      </c>
      <c r="BF7" s="110">
        <v>2.2847857677496357</v>
      </c>
      <c r="BG7" s="110">
        <v>1971.3131604143855</v>
      </c>
      <c r="BH7" s="110">
        <v>3.1532565379280828</v>
      </c>
      <c r="BI7" s="110">
        <v>2720.6297409243498</v>
      </c>
      <c r="BJ7" s="110">
        <v>2.7679192123134482</v>
      </c>
      <c r="BK7" s="110">
        <v>2388.1606963840431</v>
      </c>
      <c r="BL7" s="110">
        <v>3.5907024788830011</v>
      </c>
      <c r="BM7" s="110">
        <v>3098.0580987802532</v>
      </c>
      <c r="BN7" s="110">
        <v>2.263775800145841</v>
      </c>
      <c r="BO7" s="110">
        <v>1953.1857603658316</v>
      </c>
      <c r="BP7" s="110">
        <v>8.0133504496079713</v>
      </c>
      <c r="BQ7" s="110">
        <v>6913.9187679217575</v>
      </c>
      <c r="BR7" s="110">
        <v>6.6183029874691979</v>
      </c>
      <c r="BS7" s="110">
        <v>5710.2718175884238</v>
      </c>
      <c r="BT7" s="110">
        <v>7</v>
      </c>
      <c r="BU7" s="110">
        <v>6039.5999999999995</v>
      </c>
      <c r="BV7" s="110">
        <v>9.1423257884661169</v>
      </c>
      <c r="BW7" s="110">
        <v>7887.9986902885648</v>
      </c>
      <c r="BX7" s="110">
        <v>3.1423068638736011</v>
      </c>
      <c r="BY7" s="110">
        <v>2711.182362150143</v>
      </c>
      <c r="BZ7" s="110">
        <v>5.3043425097602572</v>
      </c>
      <c r="CA7" s="110">
        <v>4576.5867174211498</v>
      </c>
      <c r="CB7" s="110">
        <v>4.1357896313989952</v>
      </c>
      <c r="CC7" s="110">
        <v>3568.3592939710529</v>
      </c>
      <c r="CD7" s="110">
        <v>4</v>
      </c>
      <c r="CE7" s="110">
        <v>3451.2</v>
      </c>
      <c r="CF7" s="110">
        <v>15.130461927005181</v>
      </c>
      <c r="CG7" s="110">
        <v>13054.562550620069</v>
      </c>
      <c r="CH7" s="110">
        <v>9.1715179793478967</v>
      </c>
      <c r="CI7" s="110">
        <v>7913.1857125813649</v>
      </c>
      <c r="CJ7" s="110">
        <v>5.9978530423898233</v>
      </c>
      <c r="CK7" s="110">
        <v>5174.9476049739396</v>
      </c>
      <c r="CL7" s="110">
        <v>10.044488773778468</v>
      </c>
      <c r="CM7" s="110">
        <v>8666.3849140160619</v>
      </c>
      <c r="CN7" s="110">
        <v>5.0304976560746466</v>
      </c>
      <c r="CO7" s="110">
        <v>4340.3133776612049</v>
      </c>
      <c r="CP7" s="110">
        <v>9.0210046750426827</v>
      </c>
      <c r="CQ7" s="110">
        <v>7783.3228336268257</v>
      </c>
      <c r="CR7" s="110">
        <v>7.7429176574501977</v>
      </c>
      <c r="CS7" s="110">
        <v>6680.5893548480299</v>
      </c>
      <c r="CT7" s="110">
        <v>6.9370617237447094</v>
      </c>
      <c r="CU7" s="110">
        <v>5985.2968552469347</v>
      </c>
    </row>
    <row r="8" spans="1:99" x14ac:dyDescent="0.2">
      <c r="C8" s="109" t="s">
        <v>176</v>
      </c>
      <c r="D8" s="110">
        <v>0</v>
      </c>
      <c r="E8" s="110">
        <v>0</v>
      </c>
      <c r="F8" s="110">
        <v>0.13709365149322947</v>
      </c>
      <c r="G8" s="110">
        <v>44.911880229181968</v>
      </c>
      <c r="H8" s="110">
        <v>0.36448348633493644</v>
      </c>
      <c r="I8" s="110">
        <v>119.40479012332517</v>
      </c>
      <c r="J8" s="110">
        <v>0.75466634326378101</v>
      </c>
      <c r="K8" s="110">
        <v>247.22869405321464</v>
      </c>
      <c r="L8" s="110">
        <v>1.3992347399725675</v>
      </c>
      <c r="M8" s="110">
        <v>458.38930081501309</v>
      </c>
      <c r="N8" s="110">
        <v>1.0010078247780816</v>
      </c>
      <c r="O8" s="110">
        <v>327.93016339729951</v>
      </c>
      <c r="P8" s="110">
        <v>1.8507690337031066</v>
      </c>
      <c r="Q8" s="110">
        <v>606.31193544113762</v>
      </c>
      <c r="R8" s="110">
        <v>1.8777854964638891</v>
      </c>
      <c r="S8" s="110">
        <v>615.16252864157002</v>
      </c>
      <c r="T8" s="110">
        <v>5.8023573262855423</v>
      </c>
      <c r="U8" s="110">
        <v>1900.8522600911435</v>
      </c>
      <c r="V8" s="110">
        <v>5.5887672398394566</v>
      </c>
      <c r="W8" s="110">
        <v>1830.8801477714057</v>
      </c>
      <c r="X8" s="110">
        <v>9.0839413473616339</v>
      </c>
      <c r="Y8" s="110">
        <v>2975.8991853956709</v>
      </c>
      <c r="Z8" s="110">
        <v>8.4516546546751972</v>
      </c>
      <c r="AA8" s="110">
        <v>2768.7620648715942</v>
      </c>
      <c r="AB8" s="110">
        <v>7.9423398999467114</v>
      </c>
      <c r="AC8" s="110">
        <v>2601.9105512225424</v>
      </c>
      <c r="AD8" s="110">
        <v>7.6902443756478558</v>
      </c>
      <c r="AE8" s="110">
        <v>2519.3240574622373</v>
      </c>
      <c r="AF8" s="110">
        <v>11.980061066191</v>
      </c>
      <c r="AG8" s="110">
        <v>3924.6680052841712</v>
      </c>
      <c r="AH8" s="110">
        <v>9.5975975560620697</v>
      </c>
      <c r="AI8" s="110">
        <v>3144.1729593659338</v>
      </c>
      <c r="AJ8" s="110">
        <v>4.4352607372790587</v>
      </c>
      <c r="AK8" s="110">
        <v>1452.9914175326194</v>
      </c>
      <c r="AL8" s="110">
        <v>4.5428961170242497</v>
      </c>
      <c r="AM8" s="110">
        <v>1488.252767937144</v>
      </c>
      <c r="AN8" s="110">
        <v>7.5196847102001607</v>
      </c>
      <c r="AO8" s="110">
        <v>2463.4487110615723</v>
      </c>
      <c r="AP8" s="110">
        <v>6.0380820320694237</v>
      </c>
      <c r="AQ8" s="110">
        <v>1978.075673705943</v>
      </c>
      <c r="AR8" s="110">
        <v>9.3252921153435526</v>
      </c>
      <c r="AS8" s="110">
        <v>3054.9656969865473</v>
      </c>
      <c r="AT8" s="110">
        <v>6</v>
      </c>
      <c r="AU8" s="110">
        <v>1965.6</v>
      </c>
      <c r="AV8" s="110">
        <v>9.7102909865345559</v>
      </c>
      <c r="AW8" s="110">
        <v>3181.0913271887202</v>
      </c>
      <c r="AX8" s="110">
        <v>8.6759805938698111</v>
      </c>
      <c r="AY8" s="110">
        <v>2842.2512425517498</v>
      </c>
      <c r="AZ8" s="110">
        <v>4.0094947449938205</v>
      </c>
      <c r="BA8" s="110">
        <v>1313.5104784599755</v>
      </c>
      <c r="BB8" s="110">
        <v>4.2586763399012284</v>
      </c>
      <c r="BC8" s="110">
        <v>1395.1423689516423</v>
      </c>
      <c r="BD8" s="110">
        <v>1.9733962129018672</v>
      </c>
      <c r="BE8" s="110">
        <v>646.48459934665163</v>
      </c>
      <c r="BF8" s="110">
        <v>2.2847857677496357</v>
      </c>
      <c r="BG8" s="110">
        <v>748.49581751478058</v>
      </c>
      <c r="BH8" s="110">
        <v>3.1532565379280828</v>
      </c>
      <c r="BI8" s="110">
        <v>1033.0068418252399</v>
      </c>
      <c r="BJ8" s="110">
        <v>2.7636402879769482</v>
      </c>
      <c r="BK8" s="110">
        <v>905.3685583412481</v>
      </c>
      <c r="BL8" s="110">
        <v>3.5907024788830011</v>
      </c>
      <c r="BM8" s="110">
        <v>1176.314132082071</v>
      </c>
      <c r="BN8" s="110">
        <v>2.2760953847095866</v>
      </c>
      <c r="BO8" s="110">
        <v>745.64884803086045</v>
      </c>
      <c r="BP8" s="110">
        <v>8.0204367354881168</v>
      </c>
      <c r="BQ8" s="110">
        <v>2627.4950745459068</v>
      </c>
      <c r="BR8" s="110">
        <v>6.6183029874691979</v>
      </c>
      <c r="BS8" s="110">
        <v>2168.156058694909</v>
      </c>
      <c r="BT8" s="110">
        <v>7</v>
      </c>
      <c r="BU8" s="110">
        <v>2293.1999999999998</v>
      </c>
      <c r="BV8" s="110">
        <v>9.1626580439612777</v>
      </c>
      <c r="BW8" s="110">
        <v>3001.6867752017142</v>
      </c>
      <c r="BX8" s="110">
        <v>3.8969945940472064</v>
      </c>
      <c r="BY8" s="110">
        <v>1276.6554290098647</v>
      </c>
      <c r="BZ8" s="110">
        <v>5.3206763145803571</v>
      </c>
      <c r="CA8" s="110">
        <v>1743.0535606565247</v>
      </c>
      <c r="CB8" s="110">
        <v>4.1508773682211064</v>
      </c>
      <c r="CC8" s="110">
        <v>1359.8274258292342</v>
      </c>
      <c r="CD8" s="110">
        <v>5</v>
      </c>
      <c r="CE8" s="110">
        <v>1637.9999999999998</v>
      </c>
      <c r="CF8" s="110">
        <v>14.115966157337938</v>
      </c>
      <c r="CG8" s="110">
        <v>4624.3905131439078</v>
      </c>
      <c r="CH8" s="110">
        <v>11.869023267391396</v>
      </c>
      <c r="CI8" s="110">
        <v>3888.2920223974211</v>
      </c>
      <c r="CJ8" s="110">
        <v>5.7030321113354141</v>
      </c>
      <c r="CK8" s="110">
        <v>1868.3133196734814</v>
      </c>
      <c r="CL8" s="110">
        <v>9.1382772135635228</v>
      </c>
      <c r="CM8" s="110">
        <v>2993.6996151634098</v>
      </c>
      <c r="CN8" s="110">
        <v>5.0304976560746466</v>
      </c>
      <c r="CO8" s="110">
        <v>1647.991032130054</v>
      </c>
      <c r="CP8" s="110">
        <v>9.0210046750426827</v>
      </c>
      <c r="CQ8" s="110">
        <v>2955.2811315439826</v>
      </c>
      <c r="CR8" s="110">
        <v>7.7429176574501977</v>
      </c>
      <c r="CS8" s="110">
        <v>2536.5798245806845</v>
      </c>
      <c r="CT8" s="110">
        <v>8.0007457689560795</v>
      </c>
      <c r="CU8" s="110">
        <v>2621.0443139100112</v>
      </c>
    </row>
    <row r="9" spans="1:99" x14ac:dyDescent="0.2">
      <c r="C9" s="109" t="s">
        <v>177</v>
      </c>
      <c r="D9" s="110">
        <v>0</v>
      </c>
      <c r="E9" s="110">
        <v>0</v>
      </c>
      <c r="F9" s="110">
        <v>0.13663904129293122</v>
      </c>
      <c r="G9" s="110">
        <v>109.69382234996517</v>
      </c>
      <c r="H9" s="110">
        <v>0.36448348633493644</v>
      </c>
      <c r="I9" s="110">
        <v>292.60734282968696</v>
      </c>
      <c r="J9" s="110">
        <v>0.7608365076746052</v>
      </c>
      <c r="K9" s="110">
        <v>610.79954836117304</v>
      </c>
      <c r="L9" s="110">
        <v>1.3992347399725675</v>
      </c>
      <c r="M9" s="110">
        <v>1123.3056492499773</v>
      </c>
      <c r="N9" s="110">
        <v>0.80760007733393058</v>
      </c>
      <c r="O9" s="110">
        <v>648.34134208367948</v>
      </c>
      <c r="P9" s="110">
        <v>1.5450035650159639</v>
      </c>
      <c r="Q9" s="110">
        <v>1240.3288619948157</v>
      </c>
      <c r="R9" s="110">
        <v>1.8777854964638891</v>
      </c>
      <c r="S9" s="110">
        <v>1507.4861965612101</v>
      </c>
      <c r="T9" s="110">
        <v>5.8023573262855423</v>
      </c>
      <c r="U9" s="110">
        <v>4658.1324615420335</v>
      </c>
      <c r="V9" s="110">
        <v>6.2196124985062022</v>
      </c>
      <c r="W9" s="110">
        <v>4993.1049138007793</v>
      </c>
      <c r="X9" s="110">
        <v>9.7833966244872457</v>
      </c>
      <c r="Y9" s="110">
        <v>7854.1108101383606</v>
      </c>
      <c r="Z9" s="110">
        <v>6.4103240788563634</v>
      </c>
      <c r="AA9" s="110">
        <v>5146.2081705058881</v>
      </c>
      <c r="AB9" s="110">
        <v>8.6382160963067154</v>
      </c>
      <c r="AC9" s="110">
        <v>6934.7598821150305</v>
      </c>
      <c r="AD9" s="110">
        <v>6.0547075874413983</v>
      </c>
      <c r="AE9" s="110">
        <v>4860.7192511979547</v>
      </c>
      <c r="AF9" s="110">
        <v>11.186435406944668</v>
      </c>
      <c r="AG9" s="110">
        <v>8980.4703446951789</v>
      </c>
      <c r="AH9" s="110">
        <v>8.8640731402505875</v>
      </c>
      <c r="AI9" s="110">
        <v>7116.0779169931711</v>
      </c>
      <c r="AJ9" s="110">
        <v>5.2927708531797162</v>
      </c>
      <c r="AK9" s="110">
        <v>4249.0364409326758</v>
      </c>
      <c r="AL9" s="110">
        <v>3.9670558335003285</v>
      </c>
      <c r="AM9" s="110">
        <v>3184.7524231340635</v>
      </c>
      <c r="AN9" s="110">
        <v>6.7276793479105406</v>
      </c>
      <c r="AO9" s="110">
        <v>5400.9809805025816</v>
      </c>
      <c r="AP9" s="110">
        <v>6.0113512180993682</v>
      </c>
      <c r="AQ9" s="110">
        <v>4825.9127578901725</v>
      </c>
      <c r="AR9" s="110">
        <v>7.4667497788771762</v>
      </c>
      <c r="AS9" s="110">
        <v>5994.3067224825963</v>
      </c>
      <c r="AT9" s="110">
        <v>6</v>
      </c>
      <c r="AU9" s="110">
        <v>4816.7999999999993</v>
      </c>
      <c r="AV9" s="110">
        <v>8.7319170262381576</v>
      </c>
      <c r="AW9" s="110">
        <v>7009.9829886639927</v>
      </c>
      <c r="AX9" s="110">
        <v>7.0985295768025729</v>
      </c>
      <c r="AY9" s="110">
        <v>5698.6995442571051</v>
      </c>
      <c r="AZ9" s="110">
        <v>4.0094947449938205</v>
      </c>
      <c r="BA9" s="110">
        <v>3218.8223812810388</v>
      </c>
      <c r="BB9" s="110">
        <v>3.5488969499176903</v>
      </c>
      <c r="BC9" s="110">
        <v>2849.0544713939216</v>
      </c>
      <c r="BD9" s="110">
        <v>1.9733962129018672</v>
      </c>
      <c r="BE9" s="110">
        <v>1584.2424797176188</v>
      </c>
      <c r="BF9" s="110">
        <v>2.2995115011233147</v>
      </c>
      <c r="BG9" s="110">
        <v>1846.0478331017969</v>
      </c>
      <c r="BH9" s="110">
        <v>3.1404513954090936</v>
      </c>
      <c r="BI9" s="110">
        <v>2521.1543802344204</v>
      </c>
      <c r="BJ9" s="110">
        <v>3.3155125607050375</v>
      </c>
      <c r="BK9" s="110">
        <v>2661.6934837340041</v>
      </c>
      <c r="BL9" s="110">
        <v>3.5907024788830011</v>
      </c>
      <c r="BM9" s="110">
        <v>2882.6159500472731</v>
      </c>
      <c r="BN9" s="110">
        <v>2.8050805810548116</v>
      </c>
      <c r="BO9" s="110">
        <v>2251.9186904708026</v>
      </c>
      <c r="BP9" s="110">
        <v>7.2971039934365907</v>
      </c>
      <c r="BQ9" s="110">
        <v>5858.1150859308946</v>
      </c>
      <c r="BR9" s="110">
        <v>6.6183029874691979</v>
      </c>
      <c r="BS9" s="110">
        <v>5313.1736383402722</v>
      </c>
      <c r="BT9" s="110">
        <v>7</v>
      </c>
      <c r="BU9" s="110">
        <v>5619.5999999999995</v>
      </c>
      <c r="BV9" s="110">
        <v>10.142325788466117</v>
      </c>
      <c r="BW9" s="110">
        <v>8142.259142980598</v>
      </c>
      <c r="BX9" s="110">
        <v>3.1268623709762036</v>
      </c>
      <c r="BY9" s="110">
        <v>2510.2451114196961</v>
      </c>
      <c r="BZ9" s="110">
        <v>5.3043425097602572</v>
      </c>
      <c r="CA9" s="110">
        <v>4258.3261668355344</v>
      </c>
      <c r="CB9" s="110">
        <v>4.120701894576885</v>
      </c>
      <c r="CC9" s="110">
        <v>3308.099480966323</v>
      </c>
      <c r="CD9" s="110">
        <v>5</v>
      </c>
      <c r="CE9" s="110">
        <v>4014</v>
      </c>
      <c r="CF9" s="110">
        <v>15.144957696672423</v>
      </c>
      <c r="CG9" s="110">
        <v>12158.372038888619</v>
      </c>
      <c r="CH9" s="110">
        <v>11.329522209782695</v>
      </c>
      <c r="CI9" s="110">
        <v>9095.3404300135462</v>
      </c>
      <c r="CJ9" s="110">
        <v>5.9978530423898233</v>
      </c>
      <c r="CK9" s="110">
        <v>4815.0764224305494</v>
      </c>
      <c r="CL9" s="110">
        <v>10.044488773778468</v>
      </c>
      <c r="CM9" s="110">
        <v>8063.7155875893541</v>
      </c>
      <c r="CN9" s="110">
        <v>5.0180604298511291</v>
      </c>
      <c r="CO9" s="110">
        <v>4028.498913084486</v>
      </c>
      <c r="CP9" s="110">
        <v>9.6402610874448875</v>
      </c>
      <c r="CQ9" s="110">
        <v>7739.2016010007555</v>
      </c>
      <c r="CR9" s="110">
        <v>7.1473086068771057</v>
      </c>
      <c r="CS9" s="110">
        <v>5737.8593496009398</v>
      </c>
      <c r="CT9" s="110">
        <v>6.9524720103252466</v>
      </c>
      <c r="CU9" s="110">
        <v>5581.4445298891078</v>
      </c>
    </row>
    <row r="10" spans="1:99" x14ac:dyDescent="0.2">
      <c r="C10" s="109" t="s">
        <v>178</v>
      </c>
      <c r="D10" s="110">
        <v>0</v>
      </c>
      <c r="E10" s="110">
        <v>0</v>
      </c>
      <c r="F10" s="110">
        <v>0.13709365149322947</v>
      </c>
      <c r="G10" s="110">
        <v>76.333745151430165</v>
      </c>
      <c r="H10" s="110">
        <v>0.36448348633493644</v>
      </c>
      <c r="I10" s="110">
        <v>202.94440519129259</v>
      </c>
      <c r="J10" s="110">
        <v>0.9417903879770203</v>
      </c>
      <c r="K10" s="110">
        <v>524.38888802560484</v>
      </c>
      <c r="L10" s="110">
        <v>1.3992347399725675</v>
      </c>
      <c r="M10" s="110">
        <v>779.09390321672549</v>
      </c>
      <c r="N10" s="110">
        <v>0.80760007733393058</v>
      </c>
      <c r="O10" s="110">
        <v>449.6717230595325</v>
      </c>
      <c r="P10" s="110">
        <v>1.8426809229129812</v>
      </c>
      <c r="Q10" s="110">
        <v>1026.0047378779479</v>
      </c>
      <c r="R10" s="110">
        <v>1.8897677535947477</v>
      </c>
      <c r="S10" s="110">
        <v>1052.2226852015554</v>
      </c>
      <c r="T10" s="110">
        <v>5.7903208925520424</v>
      </c>
      <c r="U10" s="110">
        <v>3224.0506729729768</v>
      </c>
      <c r="V10" s="110">
        <v>6.2036711699619218</v>
      </c>
      <c r="W10" s="110">
        <v>3454.2041074347976</v>
      </c>
      <c r="X10" s="110">
        <v>9.0357684621159855</v>
      </c>
      <c r="Y10" s="110">
        <v>5031.1158797061807</v>
      </c>
      <c r="Z10" s="110">
        <v>7.1050842216993013</v>
      </c>
      <c r="AA10" s="110">
        <v>3956.1108946421705</v>
      </c>
      <c r="AB10" s="110">
        <v>7.9423398999467114</v>
      </c>
      <c r="AC10" s="110">
        <v>4422.2948562903284</v>
      </c>
      <c r="AD10" s="110">
        <v>6.5998865168435499</v>
      </c>
      <c r="AE10" s="110">
        <v>3674.8168125784882</v>
      </c>
      <c r="AF10" s="110">
        <v>11.186435406944668</v>
      </c>
      <c r="AG10" s="110">
        <v>6228.6072345867906</v>
      </c>
      <c r="AH10" s="110">
        <v>9.5898750372479711</v>
      </c>
      <c r="AI10" s="110">
        <v>5339.6424207396694</v>
      </c>
      <c r="AJ10" s="110">
        <v>5.2927708531797162</v>
      </c>
      <c r="AK10" s="110">
        <v>2947.0148110504656</v>
      </c>
      <c r="AL10" s="110">
        <v>3.9776935253615151</v>
      </c>
      <c r="AM10" s="110">
        <v>2214.7797549212914</v>
      </c>
      <c r="AN10" s="110">
        <v>6.6650175159755669</v>
      </c>
      <c r="AO10" s="110">
        <v>3711.0817528951952</v>
      </c>
      <c r="AP10" s="110">
        <v>6.9909674094742176</v>
      </c>
      <c r="AQ10" s="110">
        <v>3892.570653595244</v>
      </c>
      <c r="AR10" s="110">
        <v>7.4667497788771762</v>
      </c>
      <c r="AS10" s="110">
        <v>4157.4862768788116</v>
      </c>
      <c r="AT10" s="110">
        <v>6</v>
      </c>
      <c r="AU10" s="110">
        <v>3340.7999999999997</v>
      </c>
      <c r="AV10" s="110">
        <v>8.7502791803455136</v>
      </c>
      <c r="AW10" s="110">
        <v>4872.1554476163819</v>
      </c>
      <c r="AX10" s="110">
        <v>7.887255085336192</v>
      </c>
      <c r="AY10" s="110">
        <v>4391.6236315151909</v>
      </c>
      <c r="AZ10" s="110">
        <v>4.0094947449938205</v>
      </c>
      <c r="BA10" s="110">
        <v>2232.486674012559</v>
      </c>
      <c r="BB10" s="110">
        <v>3.5488969499176903</v>
      </c>
      <c r="BC10" s="110">
        <v>1976.0258217141698</v>
      </c>
      <c r="BD10" s="110">
        <v>1.9795392744558571</v>
      </c>
      <c r="BE10" s="110">
        <v>1102.207468017021</v>
      </c>
      <c r="BF10" s="110">
        <v>2.2847857677496357</v>
      </c>
      <c r="BG10" s="110">
        <v>1272.168715482997</v>
      </c>
      <c r="BH10" s="110">
        <v>3.1532565379280828</v>
      </c>
      <c r="BI10" s="110">
        <v>1755.7332403183564</v>
      </c>
      <c r="BJ10" s="110">
        <v>2.7721981366499491</v>
      </c>
      <c r="BK10" s="110">
        <v>1543.5599224866914</v>
      </c>
      <c r="BL10" s="110">
        <v>4.2997143465129897</v>
      </c>
      <c r="BM10" s="110">
        <v>2394.0809481384326</v>
      </c>
      <c r="BN10" s="110">
        <v>2.263775800145841</v>
      </c>
      <c r="BO10" s="110">
        <v>1260.4703655212043</v>
      </c>
      <c r="BP10" s="110">
        <v>8.0133504496079713</v>
      </c>
      <c r="BQ10" s="110">
        <v>4461.833530341718</v>
      </c>
      <c r="BR10" s="110">
        <v>6.6427645067671408</v>
      </c>
      <c r="BS10" s="110">
        <v>3698.6912773679437</v>
      </c>
      <c r="BT10" s="110">
        <v>7</v>
      </c>
      <c r="BU10" s="110">
        <v>3897.5999999999995</v>
      </c>
      <c r="BV10" s="110">
        <v>8.1626580439612777</v>
      </c>
      <c r="BW10" s="110">
        <v>4544.9679988776388</v>
      </c>
      <c r="BX10" s="110">
        <v>3.8969945940472064</v>
      </c>
      <c r="BY10" s="110">
        <v>2169.8465899654843</v>
      </c>
      <c r="BZ10" s="110">
        <v>5.3206763145803571</v>
      </c>
      <c r="CA10" s="110">
        <v>2962.5525719583425</v>
      </c>
      <c r="CB10" s="110">
        <v>4.1357896313989952</v>
      </c>
      <c r="CC10" s="110">
        <v>2302.8076667629603</v>
      </c>
      <c r="CD10" s="110">
        <v>4</v>
      </c>
      <c r="CE10" s="110">
        <v>2227.1999999999998</v>
      </c>
      <c r="CF10" s="110">
        <v>15.130461927005181</v>
      </c>
      <c r="CG10" s="110">
        <v>8424.6412009564847</v>
      </c>
      <c r="CH10" s="110">
        <v>11.329522209782695</v>
      </c>
      <c r="CI10" s="110">
        <v>6308.277966407004</v>
      </c>
      <c r="CJ10" s="110">
        <v>5.9978530423898233</v>
      </c>
      <c r="CK10" s="110">
        <v>3339.6045740026534</v>
      </c>
      <c r="CL10" s="110">
        <v>9.1382772135635228</v>
      </c>
      <c r="CM10" s="110">
        <v>5088.1927525121691</v>
      </c>
      <c r="CN10" s="110">
        <v>4.5361539488236442</v>
      </c>
      <c r="CO10" s="110">
        <v>2525.7305187050047</v>
      </c>
      <c r="CP10" s="110">
        <v>9.0034339299720934</v>
      </c>
      <c r="CQ10" s="110">
        <v>5013.1120122084612</v>
      </c>
      <c r="CR10" s="110">
        <v>8.3385267080232897</v>
      </c>
      <c r="CS10" s="110">
        <v>4642.891671027367</v>
      </c>
      <c r="CT10" s="110">
        <v>6.9524720103252466</v>
      </c>
      <c r="CU10" s="110">
        <v>3871.1364153490972</v>
      </c>
    </row>
    <row r="11" spans="1:99" x14ac:dyDescent="0.2">
      <c r="C11" s="109" t="s">
        <v>179</v>
      </c>
      <c r="D11" s="110">
        <v>0</v>
      </c>
      <c r="E11" s="110">
        <v>0</v>
      </c>
      <c r="F11" s="110">
        <v>0.13663904129293122</v>
      </c>
      <c r="G11" s="110">
        <v>81.819457926207207</v>
      </c>
      <c r="H11" s="110">
        <v>0.36218600516526134</v>
      </c>
      <c r="I11" s="110">
        <v>216.87697989295847</v>
      </c>
      <c r="J11" s="110">
        <v>0.75466634326378101</v>
      </c>
      <c r="K11" s="110">
        <v>451.89420634635206</v>
      </c>
      <c r="L11" s="110">
        <v>1.3992347399725675</v>
      </c>
      <c r="M11" s="110">
        <v>837.86176229557339</v>
      </c>
      <c r="N11" s="110">
        <v>1.0010078247780816</v>
      </c>
      <c r="O11" s="110">
        <v>599.40348547711517</v>
      </c>
      <c r="P11" s="110">
        <v>1.5450035650159639</v>
      </c>
      <c r="Q11" s="110">
        <v>925.14813473155914</v>
      </c>
      <c r="R11" s="110">
        <v>1.4382947651750633</v>
      </c>
      <c r="S11" s="110">
        <v>861.25090538682787</v>
      </c>
      <c r="T11" s="110">
        <v>5.7903208925520424</v>
      </c>
      <c r="U11" s="110">
        <v>3467.2441504601629</v>
      </c>
      <c r="V11" s="110">
        <v>5.5568845827508984</v>
      </c>
      <c r="W11" s="110">
        <v>3327.4624881512377</v>
      </c>
      <c r="X11" s="110">
        <v>9.7994542529024606</v>
      </c>
      <c r="Y11" s="110">
        <v>5867.9132066379934</v>
      </c>
      <c r="Z11" s="110">
        <v>7.1050842216993013</v>
      </c>
      <c r="AA11" s="110">
        <v>4254.5244319535414</v>
      </c>
      <c r="AB11" s="110">
        <v>8.6533582931481199</v>
      </c>
      <c r="AC11" s="110">
        <v>5181.6309459370941</v>
      </c>
      <c r="AD11" s="110">
        <v>7.1450654462457033</v>
      </c>
      <c r="AE11" s="110">
        <v>4278.4651892119264</v>
      </c>
      <c r="AF11" s="110">
        <v>9.5991840884520023</v>
      </c>
      <c r="AG11" s="110">
        <v>5747.9914321650585</v>
      </c>
      <c r="AH11" s="110">
        <v>10.323399453059455</v>
      </c>
      <c r="AI11" s="110">
        <v>6181.6515924920013</v>
      </c>
      <c r="AJ11" s="110">
        <v>4.4285466391983421</v>
      </c>
      <c r="AK11" s="110">
        <v>2651.8137275519671</v>
      </c>
      <c r="AL11" s="110">
        <v>3.9989689090838874</v>
      </c>
      <c r="AM11" s="110">
        <v>2394.5825827594317</v>
      </c>
      <c r="AN11" s="110">
        <v>7.5196847102001607</v>
      </c>
      <c r="AO11" s="110">
        <v>4502.7872044678561</v>
      </c>
      <c r="AP11" s="110">
        <v>6.0648128460394783</v>
      </c>
      <c r="AQ11" s="110">
        <v>3631.6099322084392</v>
      </c>
      <c r="AR11" s="110">
        <v>7.4993302118888412</v>
      </c>
      <c r="AS11" s="110">
        <v>4490.5989308790377</v>
      </c>
      <c r="AT11" s="110">
        <v>5</v>
      </c>
      <c r="AU11" s="110">
        <v>2994</v>
      </c>
      <c r="AV11" s="110">
        <v>9.7102909865345559</v>
      </c>
      <c r="AW11" s="110">
        <v>5814.5222427368917</v>
      </c>
      <c r="AX11" s="110">
        <v>7.887255085336192</v>
      </c>
      <c r="AY11" s="110">
        <v>4722.8883450993117</v>
      </c>
      <c r="AZ11" s="110">
        <v>4.0094947449938205</v>
      </c>
      <c r="BA11" s="110">
        <v>2400.8854533022995</v>
      </c>
      <c r="BB11" s="110">
        <v>3.5488969499176903</v>
      </c>
      <c r="BC11" s="110">
        <v>2125.0794936107127</v>
      </c>
      <c r="BD11" s="110">
        <v>1.9733962129018672</v>
      </c>
      <c r="BE11" s="110">
        <v>1181.669652285638</v>
      </c>
      <c r="BF11" s="110">
        <v>2.2847857677496357</v>
      </c>
      <c r="BG11" s="110">
        <v>1368.1297177284819</v>
      </c>
      <c r="BH11" s="110">
        <v>3.1404513954090936</v>
      </c>
      <c r="BI11" s="110">
        <v>1880.5022955709651</v>
      </c>
      <c r="BJ11" s="110">
        <v>3.3155125607050375</v>
      </c>
      <c r="BK11" s="110">
        <v>1985.3289213501764</v>
      </c>
      <c r="BL11" s="110">
        <v>3.5907024788830011</v>
      </c>
      <c r="BM11" s="110">
        <v>2150.1126443551407</v>
      </c>
      <c r="BN11" s="110">
        <v>2.8050805810548116</v>
      </c>
      <c r="BO11" s="110">
        <v>1679.682251935621</v>
      </c>
      <c r="BP11" s="110">
        <v>8.7437694775396437</v>
      </c>
      <c r="BQ11" s="110">
        <v>5235.7691631507387</v>
      </c>
      <c r="BR11" s="110">
        <v>6.6427645067671408</v>
      </c>
      <c r="BS11" s="110">
        <v>3977.6873866521637</v>
      </c>
      <c r="BT11" s="110">
        <v>7</v>
      </c>
      <c r="BU11" s="110">
        <v>4191.5999999999995</v>
      </c>
      <c r="BV11" s="110">
        <v>10.142325788466117</v>
      </c>
      <c r="BW11" s="110">
        <v>6073.2246821335102</v>
      </c>
      <c r="BX11" s="110">
        <v>3.8969945940472064</v>
      </c>
      <c r="BY11" s="110">
        <v>2333.5203629154671</v>
      </c>
      <c r="BZ11" s="110">
        <v>5.3043425097602572</v>
      </c>
      <c r="CA11" s="110">
        <v>3176.2402948444419</v>
      </c>
      <c r="CB11" s="110">
        <v>4.120701894576885</v>
      </c>
      <c r="CC11" s="110">
        <v>2467.4762944726385</v>
      </c>
      <c r="CD11" s="110">
        <v>4</v>
      </c>
      <c r="CE11" s="110">
        <v>2395.1999999999998</v>
      </c>
      <c r="CF11" s="110">
        <v>14.130461927005181</v>
      </c>
      <c r="CG11" s="110">
        <v>8461.3206018907022</v>
      </c>
      <c r="CH11" s="110">
        <v>10.250520094565298</v>
      </c>
      <c r="CI11" s="110">
        <v>6138.0114326256999</v>
      </c>
      <c r="CJ11" s="110">
        <v>5.9978530423898233</v>
      </c>
      <c r="CK11" s="110">
        <v>3591.5144017830257</v>
      </c>
      <c r="CL11" s="110">
        <v>8.6851714334560519</v>
      </c>
      <c r="CM11" s="110">
        <v>5200.6806543534831</v>
      </c>
      <c r="CN11" s="110">
        <v>5.0304976560746466</v>
      </c>
      <c r="CO11" s="110">
        <v>3012.2619964574983</v>
      </c>
      <c r="CP11" s="110">
        <v>8.3841775175698885</v>
      </c>
      <c r="CQ11" s="110">
        <v>5020.4454975208491</v>
      </c>
      <c r="CR11" s="110">
        <v>7.7429176574501977</v>
      </c>
      <c r="CS11" s="110">
        <v>4636.459093281178</v>
      </c>
      <c r="CT11" s="110">
        <v>7.4611986030601258</v>
      </c>
      <c r="CU11" s="110">
        <v>4467.7657235124034</v>
      </c>
    </row>
    <row r="12" spans="1:99" x14ac:dyDescent="0.2">
      <c r="C12" s="109" t="s">
        <v>180</v>
      </c>
      <c r="D12" s="110">
        <v>0</v>
      </c>
      <c r="E12" s="110">
        <v>0</v>
      </c>
      <c r="F12" s="110">
        <v>0.13663904129293122</v>
      </c>
      <c r="G12" s="110">
        <v>82.639292173964805</v>
      </c>
      <c r="H12" s="110">
        <v>0.36448348633493644</v>
      </c>
      <c r="I12" s="110">
        <v>220.43961253536955</v>
      </c>
      <c r="J12" s="110">
        <v>0.7608365076746052</v>
      </c>
      <c r="K12" s="110">
        <v>460.15391984160118</v>
      </c>
      <c r="L12" s="110">
        <v>1.3992347399725675</v>
      </c>
      <c r="M12" s="110">
        <v>846.25717073540875</v>
      </c>
      <c r="N12" s="110">
        <v>1.0010078247780816</v>
      </c>
      <c r="O12" s="110">
        <v>605.40953242578371</v>
      </c>
      <c r="P12" s="110">
        <v>1.8426809229129812</v>
      </c>
      <c r="Q12" s="110">
        <v>1114.453422177771</v>
      </c>
      <c r="R12" s="110">
        <v>1.8897677535947477</v>
      </c>
      <c r="S12" s="110">
        <v>1142.9315373741033</v>
      </c>
      <c r="T12" s="110">
        <v>5.7903208925520424</v>
      </c>
      <c r="U12" s="110">
        <v>3501.986075815475</v>
      </c>
      <c r="V12" s="110">
        <v>6.2355538270504809</v>
      </c>
      <c r="W12" s="110">
        <v>3771.2629546001303</v>
      </c>
      <c r="X12" s="110">
        <v>8.3523708134055905</v>
      </c>
      <c r="Y12" s="110">
        <v>5051.5138679477004</v>
      </c>
      <c r="Z12" s="110">
        <v>7.0764509865593146</v>
      </c>
      <c r="AA12" s="110">
        <v>4279.8375566710729</v>
      </c>
      <c r="AB12" s="110">
        <v>7.9423398999467114</v>
      </c>
      <c r="AC12" s="110">
        <v>4803.5271714877708</v>
      </c>
      <c r="AD12" s="110">
        <v>7.6902443756478558</v>
      </c>
      <c r="AE12" s="110">
        <v>4651.0597983918233</v>
      </c>
      <c r="AF12" s="110">
        <v>9.5991840884520023</v>
      </c>
      <c r="AG12" s="110">
        <v>5805.5865366957705</v>
      </c>
      <c r="AH12" s="110">
        <v>8.8640731402505875</v>
      </c>
      <c r="AI12" s="110">
        <v>5360.9914352235546</v>
      </c>
      <c r="AJ12" s="110">
        <v>4.4285466391983421</v>
      </c>
      <c r="AK12" s="110">
        <v>2678.3850073871572</v>
      </c>
      <c r="AL12" s="110">
        <v>3.9989689090838874</v>
      </c>
      <c r="AM12" s="110">
        <v>2418.5763962139349</v>
      </c>
      <c r="AN12" s="110">
        <v>7.4726883362489298</v>
      </c>
      <c r="AO12" s="110">
        <v>4519.4819057633522</v>
      </c>
      <c r="AP12" s="110">
        <v>6.977602002489192</v>
      </c>
      <c r="AQ12" s="110">
        <v>4220.0536911054633</v>
      </c>
      <c r="AR12" s="110">
        <v>8.3797307306045301</v>
      </c>
      <c r="AS12" s="110">
        <v>5068.0611458696194</v>
      </c>
      <c r="AT12" s="110">
        <v>6</v>
      </c>
      <c r="AU12" s="110">
        <v>3628.7999999999997</v>
      </c>
      <c r="AV12" s="110">
        <v>8.7502791803455136</v>
      </c>
      <c r="AW12" s="110">
        <v>5292.168848272966</v>
      </c>
      <c r="AX12" s="110">
        <v>7.887255085336192</v>
      </c>
      <c r="AY12" s="110">
        <v>4770.2118756113287</v>
      </c>
      <c r="AZ12" s="110">
        <v>3.2573169601996534</v>
      </c>
      <c r="BA12" s="110">
        <v>1970.0252975287503</v>
      </c>
      <c r="BB12" s="110">
        <v>3.5488969499176903</v>
      </c>
      <c r="BC12" s="110">
        <v>2146.3728753102191</v>
      </c>
      <c r="BD12" s="110">
        <v>1.9795392744558571</v>
      </c>
      <c r="BE12" s="110">
        <v>1197.2253531909023</v>
      </c>
      <c r="BF12" s="110">
        <v>2.2847857677496357</v>
      </c>
      <c r="BG12" s="110">
        <v>1381.8384323349796</v>
      </c>
      <c r="BH12" s="110">
        <v>3.1404513954090936</v>
      </c>
      <c r="BI12" s="110">
        <v>1899.3450039434197</v>
      </c>
      <c r="BJ12" s="110">
        <v>3.3155125607050375</v>
      </c>
      <c r="BK12" s="110">
        <v>2005.2219967144065</v>
      </c>
      <c r="BL12" s="110">
        <v>3.5907024788830011</v>
      </c>
      <c r="BM12" s="110">
        <v>2171.6568592284389</v>
      </c>
      <c r="BN12" s="110">
        <v>2.2760953847095866</v>
      </c>
      <c r="BO12" s="110">
        <v>1376.5824886723578</v>
      </c>
      <c r="BP12" s="110">
        <v>8.0133504496079713</v>
      </c>
      <c r="BQ12" s="110">
        <v>4846.4743519229005</v>
      </c>
      <c r="BR12" s="110">
        <v>8.0618575187979715</v>
      </c>
      <c r="BS12" s="110">
        <v>4875.8114273690126</v>
      </c>
      <c r="BT12" s="110">
        <v>8</v>
      </c>
      <c r="BU12" s="110">
        <v>4838.3999999999996</v>
      </c>
      <c r="BV12" s="110">
        <v>8.1423257884661169</v>
      </c>
      <c r="BW12" s="110">
        <v>4924.4786368643072</v>
      </c>
      <c r="BX12" s="110">
        <v>3.1423068638736011</v>
      </c>
      <c r="BY12" s="110">
        <v>1900.4671912707538</v>
      </c>
      <c r="BZ12" s="110">
        <v>5.3043425097602572</v>
      </c>
      <c r="CA12" s="110">
        <v>3208.0663499030034</v>
      </c>
      <c r="CB12" s="110">
        <v>4.1357896313989952</v>
      </c>
      <c r="CC12" s="110">
        <v>2501.3255690701121</v>
      </c>
      <c r="CD12" s="110">
        <v>5</v>
      </c>
      <c r="CE12" s="110">
        <v>3024</v>
      </c>
      <c r="CF12" s="110">
        <v>14.130461927005181</v>
      </c>
      <c r="CG12" s="110">
        <v>8546.1033734527318</v>
      </c>
      <c r="CH12" s="110">
        <v>9.7110190369565963</v>
      </c>
      <c r="CI12" s="110">
        <v>5873.224313551349</v>
      </c>
      <c r="CJ12" s="110">
        <v>5.4082111802810058</v>
      </c>
      <c r="CK12" s="110">
        <v>3270.8861218339521</v>
      </c>
      <c r="CL12" s="110">
        <v>10.044488773778468</v>
      </c>
      <c r="CM12" s="110">
        <v>6074.9068103812169</v>
      </c>
      <c r="CN12" s="110">
        <v>5.0304976560746466</v>
      </c>
      <c r="CO12" s="110">
        <v>3042.4449823939462</v>
      </c>
      <c r="CP12" s="110">
        <v>9.0034339299720934</v>
      </c>
      <c r="CQ12" s="110">
        <v>5445.276840847122</v>
      </c>
      <c r="CR12" s="110">
        <v>8.3385267080232897</v>
      </c>
      <c r="CS12" s="110">
        <v>5043.1409530124856</v>
      </c>
      <c r="CT12" s="110">
        <v>6.9524720103252466</v>
      </c>
      <c r="CU12" s="110">
        <v>4204.8550718447086</v>
      </c>
    </row>
    <row r="13" spans="1:99" x14ac:dyDescent="0.2">
      <c r="C13" s="109" t="s">
        <v>181</v>
      </c>
      <c r="D13" s="110">
        <v>0</v>
      </c>
      <c r="E13" s="110">
        <v>0</v>
      </c>
      <c r="F13" s="110">
        <v>0.13709365149322947</v>
      </c>
      <c r="G13" s="110">
        <v>22.867221069070673</v>
      </c>
      <c r="H13" s="110">
        <v>0.43232572502863842</v>
      </c>
      <c r="I13" s="110">
        <v>72.111930934776879</v>
      </c>
      <c r="J13" s="110">
        <v>0.9417903879770203</v>
      </c>
      <c r="K13" s="110">
        <v>157.09063671456698</v>
      </c>
      <c r="L13" s="110">
        <v>1.3992347399725675</v>
      </c>
      <c r="M13" s="110">
        <v>233.39235462742425</v>
      </c>
      <c r="N13" s="110">
        <v>0.80760007733393058</v>
      </c>
      <c r="O13" s="110">
        <v>134.70769289929962</v>
      </c>
      <c r="P13" s="110">
        <v>1.8507690337031066</v>
      </c>
      <c r="Q13" s="110">
        <v>308.70827482167817</v>
      </c>
      <c r="R13" s="110">
        <v>1.8897677535947477</v>
      </c>
      <c r="S13" s="110">
        <v>315.21326129960386</v>
      </c>
      <c r="T13" s="110">
        <v>6.6843800697190678</v>
      </c>
      <c r="U13" s="110">
        <v>1114.9545956291404</v>
      </c>
      <c r="V13" s="110">
        <v>5.572825911295177</v>
      </c>
      <c r="W13" s="110">
        <v>929.54736200403545</v>
      </c>
      <c r="X13" s="110">
        <v>9.7673389960720289</v>
      </c>
      <c r="Y13" s="110">
        <v>1629.1921445448143</v>
      </c>
      <c r="Z13" s="110">
        <v>7.785527746972245</v>
      </c>
      <c r="AA13" s="110">
        <v>1298.6260281949703</v>
      </c>
      <c r="AB13" s="110">
        <v>9.3643766863495284</v>
      </c>
      <c r="AC13" s="110">
        <v>1561.9780312831012</v>
      </c>
      <c r="AD13" s="110">
        <v>7.6902443756478558</v>
      </c>
      <c r="AE13" s="110">
        <v>1282.7327618580623</v>
      </c>
      <c r="AF13" s="110">
        <v>10.407944983197536</v>
      </c>
      <c r="AG13" s="110">
        <v>1736.0452231973488</v>
      </c>
      <c r="AH13" s="110">
        <v>10.331121971873554</v>
      </c>
      <c r="AI13" s="110">
        <v>1723.2311449085087</v>
      </c>
      <c r="AJ13" s="110">
        <v>5.3061990493411502</v>
      </c>
      <c r="AK13" s="110">
        <v>885.07400143010375</v>
      </c>
      <c r="AL13" s="110">
        <v>4.5216207333018765</v>
      </c>
      <c r="AM13" s="110">
        <v>754.20633831475288</v>
      </c>
      <c r="AN13" s="110">
        <v>8.3273555304735236</v>
      </c>
      <c r="AO13" s="110">
        <v>1389.0029024829837</v>
      </c>
      <c r="AP13" s="110">
        <v>6.051447439054451</v>
      </c>
      <c r="AQ13" s="110">
        <v>1009.3814328342824</v>
      </c>
      <c r="AR13" s="110">
        <v>8.4123111636161951</v>
      </c>
      <c r="AS13" s="110">
        <v>1403.1735020911813</v>
      </c>
      <c r="AT13" s="110">
        <v>6</v>
      </c>
      <c r="AU13" s="110">
        <v>1000.8</v>
      </c>
      <c r="AV13" s="110">
        <v>7.7902673741564739</v>
      </c>
      <c r="AW13" s="110">
        <v>1299.4165980092996</v>
      </c>
      <c r="AX13" s="110">
        <v>7.887255085336192</v>
      </c>
      <c r="AY13" s="110">
        <v>1315.5941482340768</v>
      </c>
      <c r="AZ13" s="110">
        <v>4.0343553270961188</v>
      </c>
      <c r="BA13" s="110">
        <v>672.93046855963257</v>
      </c>
      <c r="BB13" s="110">
        <v>3.5488969499176903</v>
      </c>
      <c r="BC13" s="110">
        <v>591.95601124627069</v>
      </c>
      <c r="BD13" s="110">
        <v>1.9795392744558571</v>
      </c>
      <c r="BE13" s="110">
        <v>330.18715097923695</v>
      </c>
      <c r="BF13" s="110">
        <v>2.2847857677496357</v>
      </c>
      <c r="BG13" s="110">
        <v>381.10226606063918</v>
      </c>
      <c r="BH13" s="110">
        <v>3.581770084742399</v>
      </c>
      <c r="BI13" s="110">
        <v>597.43925013503213</v>
      </c>
      <c r="BJ13" s="110">
        <v>3.319791485041538</v>
      </c>
      <c r="BK13" s="110">
        <v>553.74121970492843</v>
      </c>
      <c r="BL13" s="110">
        <v>4.2997143465129897</v>
      </c>
      <c r="BM13" s="110">
        <v>717.19235299836657</v>
      </c>
      <c r="BN13" s="110">
        <v>2.8050805810548116</v>
      </c>
      <c r="BO13" s="110">
        <v>467.88744091994255</v>
      </c>
      <c r="BP13" s="110">
        <v>8.7366831916594982</v>
      </c>
      <c r="BQ13" s="110">
        <v>1457.2787563688041</v>
      </c>
      <c r="BR13" s="110">
        <v>8.0863190380959153</v>
      </c>
      <c r="BS13" s="110">
        <v>1348.7980155543985</v>
      </c>
      <c r="BT13" s="110">
        <v>7</v>
      </c>
      <c r="BU13" s="110">
        <v>1167.5999999999999</v>
      </c>
      <c r="BV13" s="110">
        <v>10.162658043961278</v>
      </c>
      <c r="BW13" s="110">
        <v>1695.131361732741</v>
      </c>
      <c r="BX13" s="110">
        <v>3.8815501011498088</v>
      </c>
      <c r="BY13" s="110">
        <v>647.44255687178804</v>
      </c>
      <c r="BZ13" s="110">
        <v>5.3043425097602572</v>
      </c>
      <c r="CA13" s="110">
        <v>884.76433062801084</v>
      </c>
      <c r="CB13" s="110">
        <v>4.1357896313989952</v>
      </c>
      <c r="CC13" s="110">
        <v>689.84971051735238</v>
      </c>
      <c r="CD13" s="110">
        <v>5</v>
      </c>
      <c r="CE13" s="110">
        <v>833.99999999999989</v>
      </c>
      <c r="CF13" s="110">
        <v>16.130461927005182</v>
      </c>
      <c r="CG13" s="110">
        <v>2690.5610494244643</v>
      </c>
      <c r="CH13" s="110">
        <v>10.250520094565298</v>
      </c>
      <c r="CI13" s="110">
        <v>1709.7867517734915</v>
      </c>
      <c r="CJ13" s="110">
        <v>6.2926739734442316</v>
      </c>
      <c r="CK13" s="110">
        <v>1049.6180187704977</v>
      </c>
      <c r="CL13" s="110">
        <v>10.044488773778468</v>
      </c>
      <c r="CM13" s="110">
        <v>1675.4207274662483</v>
      </c>
      <c r="CN13" s="110">
        <v>5.0304976560746466</v>
      </c>
      <c r="CO13" s="110">
        <v>839.08700903325098</v>
      </c>
      <c r="CP13" s="110">
        <v>9.6578318325154786</v>
      </c>
      <c r="CQ13" s="110">
        <v>1610.9263496635817</v>
      </c>
      <c r="CR13" s="110">
        <v>8.9341357585963816</v>
      </c>
      <c r="CS13" s="110">
        <v>1490.2138445338762</v>
      </c>
      <c r="CT13" s="110">
        <v>7.9853354823755414</v>
      </c>
      <c r="CU13" s="110">
        <v>1331.9539584602401</v>
      </c>
    </row>
    <row r="14" spans="1:99" x14ac:dyDescent="0.2">
      <c r="C14" s="109" t="s">
        <v>182</v>
      </c>
      <c r="D14" s="110">
        <v>0</v>
      </c>
      <c r="E14" s="110">
        <v>0</v>
      </c>
      <c r="F14" s="110">
        <v>0.13663904129293122</v>
      </c>
      <c r="G14" s="110">
        <v>68.210209413431272</v>
      </c>
      <c r="H14" s="110">
        <v>0.36218600516526134</v>
      </c>
      <c r="I14" s="110">
        <v>180.80325377849846</v>
      </c>
      <c r="J14" s="110">
        <v>0.7608365076746052</v>
      </c>
      <c r="K14" s="110">
        <v>379.80958463116292</v>
      </c>
      <c r="L14" s="110">
        <v>1.3992347399725675</v>
      </c>
      <c r="M14" s="110">
        <v>698.49798219430568</v>
      </c>
      <c r="N14" s="110">
        <v>0.80760007733393058</v>
      </c>
      <c r="O14" s="110">
        <v>403.15395860509813</v>
      </c>
      <c r="P14" s="110">
        <v>1.5530916758060891</v>
      </c>
      <c r="Q14" s="110">
        <v>775.30336456239968</v>
      </c>
      <c r="R14" s="110">
        <v>1.9017500107256065</v>
      </c>
      <c r="S14" s="110">
        <v>949.35360535422274</v>
      </c>
      <c r="T14" s="110">
        <v>5.7903208925520424</v>
      </c>
      <c r="U14" s="110">
        <v>2890.5281895619796</v>
      </c>
      <c r="V14" s="110">
        <v>5.5409432542066179</v>
      </c>
      <c r="W14" s="110">
        <v>2766.0388724999434</v>
      </c>
      <c r="X14" s="110">
        <v>9.0518260905312005</v>
      </c>
      <c r="Y14" s="110">
        <v>4518.6715843931752</v>
      </c>
      <c r="Z14" s="110">
        <v>7.0764509865593146</v>
      </c>
      <c r="AA14" s="110">
        <v>3532.5643324904099</v>
      </c>
      <c r="AB14" s="110">
        <v>8.6382160963067154</v>
      </c>
      <c r="AC14" s="110">
        <v>4312.1974752763126</v>
      </c>
      <c r="AD14" s="110">
        <v>6.5998865168435499</v>
      </c>
      <c r="AE14" s="110">
        <v>3294.6633492083001</v>
      </c>
      <c r="AF14" s="110">
        <v>11.186435406944668</v>
      </c>
      <c r="AG14" s="110">
        <v>5584.2685551467775</v>
      </c>
      <c r="AH14" s="110">
        <v>9.5898750372479711</v>
      </c>
      <c r="AI14" s="110">
        <v>4787.2656185941869</v>
      </c>
      <c r="AJ14" s="110">
        <v>4.4285466391983421</v>
      </c>
      <c r="AK14" s="110">
        <v>2210.7304822878123</v>
      </c>
      <c r="AL14" s="110">
        <v>4.5109830414406895</v>
      </c>
      <c r="AM14" s="110">
        <v>2251.8827342871923</v>
      </c>
      <c r="AN14" s="110">
        <v>6.6963484319430551</v>
      </c>
      <c r="AO14" s="110">
        <v>3342.8171372259731</v>
      </c>
      <c r="AP14" s="110">
        <v>6.0648128460394783</v>
      </c>
      <c r="AQ14" s="110">
        <v>3027.5545727429076</v>
      </c>
      <c r="AR14" s="110">
        <v>8.4123111636161951</v>
      </c>
      <c r="AS14" s="110">
        <v>4199.4257328772046</v>
      </c>
      <c r="AT14" s="110">
        <v>6</v>
      </c>
      <c r="AU14" s="110">
        <v>2995.2</v>
      </c>
      <c r="AV14" s="110">
        <v>7.7902673741564739</v>
      </c>
      <c r="AW14" s="110">
        <v>3888.9014731789116</v>
      </c>
      <c r="AX14" s="110">
        <v>7.0985295768025729</v>
      </c>
      <c r="AY14" s="110">
        <v>3543.5859647398443</v>
      </c>
      <c r="AZ14" s="110">
        <v>4.0094947449938205</v>
      </c>
      <c r="BA14" s="110">
        <v>2001.5397767009151</v>
      </c>
      <c r="BB14" s="110">
        <v>3.5488969499176903</v>
      </c>
      <c r="BC14" s="110">
        <v>1771.609357398911</v>
      </c>
      <c r="BD14" s="110">
        <v>1.9733962129018672</v>
      </c>
      <c r="BE14" s="110">
        <v>985.11938948061209</v>
      </c>
      <c r="BF14" s="110">
        <v>2.2847857677496357</v>
      </c>
      <c r="BG14" s="110">
        <v>1140.565055260618</v>
      </c>
      <c r="BH14" s="110">
        <v>3.1404513954090936</v>
      </c>
      <c r="BI14" s="110">
        <v>1567.7133365882194</v>
      </c>
      <c r="BJ14" s="110">
        <v>2.7679192123134482</v>
      </c>
      <c r="BK14" s="110">
        <v>1381.7452707868733</v>
      </c>
      <c r="BL14" s="110">
        <v>3.5907024788830011</v>
      </c>
      <c r="BM14" s="110">
        <v>1792.478677458394</v>
      </c>
      <c r="BN14" s="110">
        <v>2.8050805810548116</v>
      </c>
      <c r="BO14" s="110">
        <v>1400.296226062562</v>
      </c>
      <c r="BP14" s="110">
        <v>8.0204367354881168</v>
      </c>
      <c r="BQ14" s="110">
        <v>4003.8020183556678</v>
      </c>
      <c r="BR14" s="110">
        <v>7.3400802531335847</v>
      </c>
      <c r="BS14" s="110">
        <v>3664.1680623642856</v>
      </c>
      <c r="BT14" s="110">
        <v>8</v>
      </c>
      <c r="BU14" s="110">
        <v>3993.6</v>
      </c>
      <c r="BV14" s="110">
        <v>10.142325788466117</v>
      </c>
      <c r="BW14" s="110">
        <v>5063.0490336022858</v>
      </c>
      <c r="BX14" s="110">
        <v>3.1423068638736011</v>
      </c>
      <c r="BY14" s="110">
        <v>1568.6395864457018</v>
      </c>
      <c r="BZ14" s="110">
        <v>5.3043425097602572</v>
      </c>
      <c r="CA14" s="110">
        <v>2647.9277808723205</v>
      </c>
      <c r="CB14" s="110">
        <v>4.1357896313989952</v>
      </c>
      <c r="CC14" s="110">
        <v>2064.5861839943782</v>
      </c>
      <c r="CD14" s="110">
        <v>5</v>
      </c>
      <c r="CE14" s="110">
        <v>2496</v>
      </c>
      <c r="CF14" s="110">
        <v>13.130461927005181</v>
      </c>
      <c r="CG14" s="110">
        <v>6554.7265939609861</v>
      </c>
      <c r="CH14" s="110">
        <v>11.329522209782695</v>
      </c>
      <c r="CI14" s="110">
        <v>5655.6974871235216</v>
      </c>
      <c r="CJ14" s="110">
        <v>5.9978530423898233</v>
      </c>
      <c r="CK14" s="110">
        <v>2994.1282387609999</v>
      </c>
      <c r="CL14" s="110">
        <v>10.044488773778468</v>
      </c>
      <c r="CM14" s="110">
        <v>5014.2087958702114</v>
      </c>
      <c r="CN14" s="110">
        <v>5.0304976560746466</v>
      </c>
      <c r="CO14" s="110">
        <v>2511.2244299124636</v>
      </c>
      <c r="CP14" s="110">
        <v>8.3841775175698885</v>
      </c>
      <c r="CQ14" s="110">
        <v>4185.3814167708879</v>
      </c>
      <c r="CR14" s="110">
        <v>7.7429176574501977</v>
      </c>
      <c r="CS14" s="110">
        <v>3865.2644945991387</v>
      </c>
      <c r="CT14" s="110">
        <v>7.4766088896406622</v>
      </c>
      <c r="CU14" s="110">
        <v>3732.3231577086185</v>
      </c>
    </row>
    <row r="15" spans="1:99" x14ac:dyDescent="0.2">
      <c r="C15" s="109" t="s">
        <v>183</v>
      </c>
      <c r="D15" s="110">
        <v>0</v>
      </c>
      <c r="E15" s="110">
        <v>0</v>
      </c>
      <c r="F15" s="110">
        <v>0.13663904129293122</v>
      </c>
      <c r="G15" s="110">
        <v>112.64522564189249</v>
      </c>
      <c r="H15" s="110">
        <v>0.36218600516526134</v>
      </c>
      <c r="I15" s="110">
        <v>298.58614265824144</v>
      </c>
      <c r="J15" s="110">
        <v>0.75466634326378101</v>
      </c>
      <c r="K15" s="110">
        <v>622.14693338666109</v>
      </c>
      <c r="L15" s="110">
        <v>1.3992347399725675</v>
      </c>
      <c r="M15" s="110">
        <v>1153.5291196333847</v>
      </c>
      <c r="N15" s="110">
        <v>0.80760007733393058</v>
      </c>
      <c r="O15" s="110">
        <v>665.78550375409236</v>
      </c>
      <c r="P15" s="110">
        <v>1.8426809229129812</v>
      </c>
      <c r="Q15" s="110">
        <v>1519.1061528494618</v>
      </c>
      <c r="R15" s="110">
        <v>1.4382947651750633</v>
      </c>
      <c r="S15" s="110">
        <v>1185.7302044103221</v>
      </c>
      <c r="T15" s="110">
        <v>5.8023573262855423</v>
      </c>
      <c r="U15" s="110">
        <v>4783.4633797898014</v>
      </c>
      <c r="V15" s="110">
        <v>5.572825911295177</v>
      </c>
      <c r="W15" s="110">
        <v>4594.2376812717439</v>
      </c>
      <c r="X15" s="110">
        <v>9.7673389960720289</v>
      </c>
      <c r="Y15" s="110">
        <v>8052.1942683617808</v>
      </c>
      <c r="Z15" s="110">
        <v>7.1050842216993013</v>
      </c>
      <c r="AA15" s="110">
        <v>5857.4314323689041</v>
      </c>
      <c r="AB15" s="110">
        <v>8.6533582931481199</v>
      </c>
      <c r="AC15" s="110">
        <v>7133.8285768713095</v>
      </c>
      <c r="AD15" s="110">
        <v>7.6786965028443115</v>
      </c>
      <c r="AE15" s="110">
        <v>6330.3173969448499</v>
      </c>
      <c r="AF15" s="110">
        <v>9.5991840884520023</v>
      </c>
      <c r="AG15" s="110">
        <v>7913.5673625198306</v>
      </c>
      <c r="AH15" s="110">
        <v>9.5898750372479711</v>
      </c>
      <c r="AI15" s="110">
        <v>7905.8929807072273</v>
      </c>
      <c r="AJ15" s="110">
        <v>4.4285466391983421</v>
      </c>
      <c r="AK15" s="110">
        <v>3650.8938493551132</v>
      </c>
      <c r="AL15" s="110">
        <v>4.5109830414406895</v>
      </c>
      <c r="AM15" s="110">
        <v>3718.8544193637044</v>
      </c>
      <c r="AN15" s="110">
        <v>6.6963484319430551</v>
      </c>
      <c r="AO15" s="110">
        <v>5520.469647293854</v>
      </c>
      <c r="AP15" s="110">
        <v>6.0247166250843964</v>
      </c>
      <c r="AQ15" s="110">
        <v>4966.776385719576</v>
      </c>
      <c r="AR15" s="110">
        <v>8.4123111636161951</v>
      </c>
      <c r="AS15" s="110">
        <v>6935.1093232851908</v>
      </c>
      <c r="AT15" s="110">
        <v>6</v>
      </c>
      <c r="AU15" s="110">
        <v>4946.3999999999996</v>
      </c>
      <c r="AV15" s="110">
        <v>9.6919288324271982</v>
      </c>
      <c r="AW15" s="110">
        <v>7990.0261294529819</v>
      </c>
      <c r="AX15" s="110">
        <v>7.887255085336192</v>
      </c>
      <c r="AY15" s="110">
        <v>6502.2530923511567</v>
      </c>
      <c r="AZ15" s="110">
        <v>4.0343553270961188</v>
      </c>
      <c r="BA15" s="110">
        <v>3325.92253165804</v>
      </c>
      <c r="BB15" s="110">
        <v>3.5488969499176903</v>
      </c>
      <c r="BC15" s="110">
        <v>2925.7106455121439</v>
      </c>
      <c r="BD15" s="110">
        <v>1.9795392744558571</v>
      </c>
      <c r="BE15" s="110">
        <v>1631.9321778614085</v>
      </c>
      <c r="BF15" s="110">
        <v>2.2847857677496357</v>
      </c>
      <c r="BG15" s="110">
        <v>1883.5773869327995</v>
      </c>
      <c r="BH15" s="110">
        <v>3.581770084742399</v>
      </c>
      <c r="BI15" s="110">
        <v>2952.8112578616337</v>
      </c>
      <c r="BJ15" s="110">
        <v>3.3112336363685371</v>
      </c>
      <c r="BK15" s="110">
        <v>2729.7810098222217</v>
      </c>
      <c r="BL15" s="110">
        <v>3.5830952887608238</v>
      </c>
      <c r="BM15" s="110">
        <v>2953.903756054423</v>
      </c>
      <c r="BN15" s="110">
        <v>2.263775800145841</v>
      </c>
      <c r="BO15" s="110">
        <v>1866.2567696402314</v>
      </c>
      <c r="BP15" s="110">
        <v>8.729596905779351</v>
      </c>
      <c r="BQ15" s="110">
        <v>7196.6796891244967</v>
      </c>
      <c r="BR15" s="110">
        <v>6.6183029874691979</v>
      </c>
      <c r="BS15" s="110">
        <v>5456.1289828696063</v>
      </c>
      <c r="BT15" s="110">
        <v>7</v>
      </c>
      <c r="BU15" s="110">
        <v>5770.8</v>
      </c>
      <c r="BV15" s="110">
        <v>8.1423257884661169</v>
      </c>
      <c r="BW15" s="110">
        <v>6712.5333800114668</v>
      </c>
      <c r="BX15" s="110">
        <v>3.8815501011498088</v>
      </c>
      <c r="BY15" s="110">
        <v>3199.9499033879024</v>
      </c>
      <c r="BZ15" s="110">
        <v>5.3043425097602572</v>
      </c>
      <c r="CA15" s="110">
        <v>4372.8999650463556</v>
      </c>
      <c r="CB15" s="110">
        <v>4.120701894576885</v>
      </c>
      <c r="CC15" s="110">
        <v>3397.1066418891837</v>
      </c>
      <c r="CD15" s="110">
        <v>4</v>
      </c>
      <c r="CE15" s="110">
        <v>3297.6</v>
      </c>
      <c r="CF15" s="110">
        <v>14.115966157337938</v>
      </c>
      <c r="CG15" s="110">
        <v>11637.202500109395</v>
      </c>
      <c r="CH15" s="110">
        <v>10.250520094565298</v>
      </c>
      <c r="CI15" s="110">
        <v>8450.5287659596306</v>
      </c>
      <c r="CJ15" s="110">
        <v>5.6885414797208931</v>
      </c>
      <c r="CK15" s="110">
        <v>4689.6335958819045</v>
      </c>
      <c r="CL15" s="110">
        <v>9.5913829936709956</v>
      </c>
      <c r="CM15" s="110">
        <v>7907.1361399823681</v>
      </c>
      <c r="CN15" s="110">
        <v>5.0304976560746466</v>
      </c>
      <c r="CO15" s="110">
        <v>4147.1422676679385</v>
      </c>
      <c r="CP15" s="110">
        <v>9.0210046750426827</v>
      </c>
      <c r="CQ15" s="110">
        <v>7436.9162541051874</v>
      </c>
      <c r="CR15" s="110">
        <v>7.7429176574501977</v>
      </c>
      <c r="CS15" s="110">
        <v>6383.2613168019425</v>
      </c>
      <c r="CT15" s="110">
        <v>7.4766088896406622</v>
      </c>
      <c r="CU15" s="110">
        <v>6163.7163686197619</v>
      </c>
    </row>
    <row r="16" spans="1:99" x14ac:dyDescent="0.2">
      <c r="C16" s="109" t="s">
        <v>184</v>
      </c>
      <c r="D16" s="110">
        <v>0</v>
      </c>
      <c r="E16" s="110">
        <v>0</v>
      </c>
      <c r="F16" s="110">
        <v>0.13663904129293122</v>
      </c>
      <c r="G16" s="110">
        <v>69.521944209843397</v>
      </c>
      <c r="H16" s="110">
        <v>0.36448348633493644</v>
      </c>
      <c r="I16" s="110">
        <v>185.44919784721563</v>
      </c>
      <c r="J16" s="110">
        <v>0.75466634326378101</v>
      </c>
      <c r="K16" s="110">
        <v>383.97423545261171</v>
      </c>
      <c r="L16" s="110">
        <v>1.3992347399725675</v>
      </c>
      <c r="M16" s="110">
        <v>711.93063569804224</v>
      </c>
      <c r="N16" s="110">
        <v>0.80760007733393058</v>
      </c>
      <c r="O16" s="110">
        <v>410.90691934750379</v>
      </c>
      <c r="P16" s="110">
        <v>1.8426809229129812</v>
      </c>
      <c r="Q16" s="110">
        <v>937.55605357812465</v>
      </c>
      <c r="R16" s="110">
        <v>1.4502770223059216</v>
      </c>
      <c r="S16" s="110">
        <v>737.90094894925278</v>
      </c>
      <c r="T16" s="110">
        <v>5.358336846135404</v>
      </c>
      <c r="U16" s="110">
        <v>2726.3217873136928</v>
      </c>
      <c r="V16" s="110">
        <v>5.572825911295177</v>
      </c>
      <c r="W16" s="110">
        <v>2835.4538236669855</v>
      </c>
      <c r="X16" s="110">
        <v>9.7994542529024606</v>
      </c>
      <c r="Y16" s="110">
        <v>4985.9623238767708</v>
      </c>
      <c r="Z16" s="110">
        <v>8.4659712722451896</v>
      </c>
      <c r="AA16" s="110">
        <v>4307.4861833183513</v>
      </c>
      <c r="AB16" s="110">
        <v>8.6382160963067154</v>
      </c>
      <c r="AC16" s="110">
        <v>4395.1243498008562</v>
      </c>
      <c r="AD16" s="110">
        <v>7.6902443756478558</v>
      </c>
      <c r="AE16" s="110">
        <v>3912.7963383296283</v>
      </c>
      <c r="AF16" s="110">
        <v>9.5991840884520023</v>
      </c>
      <c r="AG16" s="110">
        <v>4884.064864204378</v>
      </c>
      <c r="AH16" s="110">
        <v>8.8640731402505875</v>
      </c>
      <c r="AI16" s="110">
        <v>4510.0404137594978</v>
      </c>
      <c r="AJ16" s="110">
        <v>4.4285466391983421</v>
      </c>
      <c r="AK16" s="110">
        <v>2253.2445300241161</v>
      </c>
      <c r="AL16" s="110">
        <v>4.5216207333018765</v>
      </c>
      <c r="AM16" s="110">
        <v>2300.6006291039944</v>
      </c>
      <c r="AN16" s="110">
        <v>7.5196847102001607</v>
      </c>
      <c r="AO16" s="110">
        <v>3826.0155805498412</v>
      </c>
      <c r="AP16" s="110">
        <v>6.051447439054451</v>
      </c>
      <c r="AQ16" s="110">
        <v>3078.9764569909039</v>
      </c>
      <c r="AR16" s="110">
        <v>8.3797307306045301</v>
      </c>
      <c r="AS16" s="110">
        <v>4263.606995731584</v>
      </c>
      <c r="AT16" s="110">
        <v>5</v>
      </c>
      <c r="AU16" s="110">
        <v>2543.9999999999995</v>
      </c>
      <c r="AV16" s="110">
        <v>7.7902673741564739</v>
      </c>
      <c r="AW16" s="110">
        <v>3963.688039970813</v>
      </c>
      <c r="AX16" s="110">
        <v>7.887255085336192</v>
      </c>
      <c r="AY16" s="110">
        <v>4013.0353874190537</v>
      </c>
      <c r="AZ16" s="110">
        <v>3.2324563780973548</v>
      </c>
      <c r="BA16" s="110">
        <v>1644.6738051759337</v>
      </c>
      <c r="BB16" s="110">
        <v>3.5488969499176903</v>
      </c>
      <c r="BC16" s="110">
        <v>1805.6787681181204</v>
      </c>
      <c r="BD16" s="110">
        <v>1.9733962129018672</v>
      </c>
      <c r="BE16" s="110">
        <v>1004.0639931244698</v>
      </c>
      <c r="BF16" s="110">
        <v>2.2995115011233147</v>
      </c>
      <c r="BG16" s="110">
        <v>1169.9914517715422</v>
      </c>
      <c r="BH16" s="110">
        <v>3.1532565379280828</v>
      </c>
      <c r="BI16" s="110">
        <v>1604.3769264978082</v>
      </c>
      <c r="BJ16" s="110">
        <v>2.7721981366499491</v>
      </c>
      <c r="BK16" s="110">
        <v>1410.4944119274937</v>
      </c>
      <c r="BL16" s="110">
        <v>4.2997143465129897</v>
      </c>
      <c r="BM16" s="110">
        <v>2187.6946595058089</v>
      </c>
      <c r="BN16" s="110">
        <v>2.8174001656185572</v>
      </c>
      <c r="BO16" s="110">
        <v>1433.4932042667217</v>
      </c>
      <c r="BP16" s="110">
        <v>8.7366831916594982</v>
      </c>
      <c r="BQ16" s="110">
        <v>4445.224407916352</v>
      </c>
      <c r="BR16" s="110">
        <v>6.6427645067671408</v>
      </c>
      <c r="BS16" s="110">
        <v>3379.8385810431205</v>
      </c>
      <c r="BT16" s="110">
        <v>8</v>
      </c>
      <c r="BU16" s="110">
        <v>4070.3999999999992</v>
      </c>
      <c r="BV16" s="110">
        <v>9.1626580439612777</v>
      </c>
      <c r="BW16" s="110">
        <v>4661.9604127674975</v>
      </c>
      <c r="BX16" s="110">
        <v>3.1423068638736011</v>
      </c>
      <c r="BY16" s="110">
        <v>1598.805732338888</v>
      </c>
      <c r="BZ16" s="110">
        <v>5.3043425097602572</v>
      </c>
      <c r="CA16" s="110">
        <v>2698.8494689660183</v>
      </c>
      <c r="CB16" s="110">
        <v>4.1357896313989952</v>
      </c>
      <c r="CC16" s="110">
        <v>2104.2897644558084</v>
      </c>
      <c r="CD16" s="110">
        <v>5</v>
      </c>
      <c r="CE16" s="110">
        <v>2543.9999999999995</v>
      </c>
      <c r="CF16" s="110">
        <v>13.144957696672423</v>
      </c>
      <c r="CG16" s="110">
        <v>6688.1544760669276</v>
      </c>
      <c r="CH16" s="110">
        <v>10.250520094565298</v>
      </c>
      <c r="CI16" s="110">
        <v>5215.4646241148221</v>
      </c>
      <c r="CJ16" s="110">
        <v>6.2926739734442316</v>
      </c>
      <c r="CK16" s="110">
        <v>3201.7125176884242</v>
      </c>
      <c r="CL16" s="110">
        <v>8.6851714334560519</v>
      </c>
      <c r="CM16" s="110">
        <v>4419.0152253424385</v>
      </c>
      <c r="CN16" s="110">
        <v>5.0304976560746466</v>
      </c>
      <c r="CO16" s="110">
        <v>2559.5172074107795</v>
      </c>
      <c r="CP16" s="110">
        <v>8.3841775175698885</v>
      </c>
      <c r="CQ16" s="110">
        <v>4265.8695209395582</v>
      </c>
      <c r="CR16" s="110">
        <v>8.3385267080232897</v>
      </c>
      <c r="CS16" s="110">
        <v>4242.6423890422493</v>
      </c>
      <c r="CT16" s="110">
        <v>7.4611986030601258</v>
      </c>
      <c r="CU16" s="110">
        <v>3796.2578492369912</v>
      </c>
    </row>
    <row r="17" spans="2:99" x14ac:dyDescent="0.2">
      <c r="C17" s="109" t="s">
        <v>185</v>
      </c>
      <c r="D17" s="110">
        <v>0</v>
      </c>
      <c r="E17" s="110">
        <v>0</v>
      </c>
      <c r="F17" s="110">
        <v>0.13663904129293122</v>
      </c>
      <c r="G17" s="110">
        <v>67.88227571432823</v>
      </c>
      <c r="H17" s="110">
        <v>0.36448348633493644</v>
      </c>
      <c r="I17" s="110">
        <v>181.0753960111964</v>
      </c>
      <c r="J17" s="110">
        <v>0.9417903879770203</v>
      </c>
      <c r="K17" s="110">
        <v>467.88146474698362</v>
      </c>
      <c r="L17" s="110">
        <v>1.3992347399725675</v>
      </c>
      <c r="M17" s="110">
        <v>695.13981881837151</v>
      </c>
      <c r="N17" s="110">
        <v>0.80760007733393058</v>
      </c>
      <c r="O17" s="110">
        <v>401.21571841949668</v>
      </c>
      <c r="P17" s="110">
        <v>1.5530916758060891</v>
      </c>
      <c r="Q17" s="110">
        <v>771.575944540465</v>
      </c>
      <c r="R17" s="110">
        <v>1.4263125080442045</v>
      </c>
      <c r="S17" s="110">
        <v>708.59205399636073</v>
      </c>
      <c r="T17" s="110">
        <v>5.3523186292686544</v>
      </c>
      <c r="U17" s="110">
        <v>2659.0318950206674</v>
      </c>
      <c r="V17" s="110">
        <v>5.5409432542066179</v>
      </c>
      <c r="W17" s="110">
        <v>2752.7406086898477</v>
      </c>
      <c r="X17" s="110">
        <v>8.3363131849903738</v>
      </c>
      <c r="Y17" s="110">
        <v>4141.4803903032171</v>
      </c>
      <c r="Z17" s="110">
        <v>7.1050842216993013</v>
      </c>
      <c r="AA17" s="110">
        <v>3529.8058413402127</v>
      </c>
      <c r="AB17" s="110">
        <v>7.9423398999467114</v>
      </c>
      <c r="AC17" s="110">
        <v>3945.7544622935256</v>
      </c>
      <c r="AD17" s="110">
        <v>6.5998865168435499</v>
      </c>
      <c r="AE17" s="110">
        <v>3278.8236215678753</v>
      </c>
      <c r="AF17" s="110">
        <v>10.392809747698335</v>
      </c>
      <c r="AG17" s="110">
        <v>5163.1478826565326</v>
      </c>
      <c r="AH17" s="110">
        <v>9.5898750372479711</v>
      </c>
      <c r="AI17" s="110">
        <v>4764.2499185047918</v>
      </c>
      <c r="AJ17" s="110">
        <v>4.4285466391983421</v>
      </c>
      <c r="AK17" s="110">
        <v>2200.1019703537363</v>
      </c>
      <c r="AL17" s="110">
        <v>3.9989689090838874</v>
      </c>
      <c r="AM17" s="110">
        <v>1986.6877540328751</v>
      </c>
      <c r="AN17" s="110">
        <v>7.4883537942326743</v>
      </c>
      <c r="AO17" s="110">
        <v>3720.2141649747923</v>
      </c>
      <c r="AP17" s="110">
        <v>6.0781782530245057</v>
      </c>
      <c r="AQ17" s="110">
        <v>3019.638956102574</v>
      </c>
      <c r="AR17" s="110">
        <v>7.4993302118888412</v>
      </c>
      <c r="AS17" s="110">
        <v>3725.6672492663761</v>
      </c>
      <c r="AT17" s="110">
        <v>5</v>
      </c>
      <c r="AU17" s="110">
        <v>2484</v>
      </c>
      <c r="AV17" s="110">
        <v>8.7502791803455136</v>
      </c>
      <c r="AW17" s="110">
        <v>4347.1386967956505</v>
      </c>
      <c r="AX17" s="110">
        <v>8.6759805938698111</v>
      </c>
      <c r="AY17" s="110">
        <v>4310.2271590345217</v>
      </c>
      <c r="AZ17" s="110">
        <v>4.0094947449938205</v>
      </c>
      <c r="BA17" s="110">
        <v>1991.9169893129299</v>
      </c>
      <c r="BB17" s="110">
        <v>3.5488969499176903</v>
      </c>
      <c r="BC17" s="110">
        <v>1763.0920047191084</v>
      </c>
      <c r="BD17" s="110">
        <v>1.9733962129018672</v>
      </c>
      <c r="BE17" s="110">
        <v>980.38323856964757</v>
      </c>
      <c r="BF17" s="110">
        <v>2.2700600343759563</v>
      </c>
      <c r="BG17" s="110">
        <v>1127.765825077975</v>
      </c>
      <c r="BH17" s="110">
        <v>3.1532565379280828</v>
      </c>
      <c r="BI17" s="110">
        <v>1566.5378480426714</v>
      </c>
      <c r="BJ17" s="110">
        <v>3.3112336363685371</v>
      </c>
      <c r="BK17" s="110">
        <v>1645.020870547889</v>
      </c>
      <c r="BL17" s="110">
        <v>3.5830952887608238</v>
      </c>
      <c r="BM17" s="110">
        <v>1780.0817394563771</v>
      </c>
      <c r="BN17" s="110">
        <v>2.263775800145841</v>
      </c>
      <c r="BO17" s="110">
        <v>1124.6438175124538</v>
      </c>
      <c r="BP17" s="110">
        <v>8.0133504496079713</v>
      </c>
      <c r="BQ17" s="110">
        <v>3981.0325033652398</v>
      </c>
      <c r="BR17" s="110">
        <v>7.3645417724315267</v>
      </c>
      <c r="BS17" s="110">
        <v>3658.7043525439822</v>
      </c>
      <c r="BT17" s="110">
        <v>8</v>
      </c>
      <c r="BU17" s="110">
        <v>3974.3999999999996</v>
      </c>
      <c r="BV17" s="110">
        <v>9.1626580439612777</v>
      </c>
      <c r="BW17" s="110">
        <v>4552.0085162399628</v>
      </c>
      <c r="BX17" s="110">
        <v>3.8969945940472064</v>
      </c>
      <c r="BY17" s="110">
        <v>1936.0269143226519</v>
      </c>
      <c r="BZ17" s="110">
        <v>5.3043425097602572</v>
      </c>
      <c r="CA17" s="110">
        <v>2635.1973588488954</v>
      </c>
      <c r="CB17" s="110">
        <v>4.1357896313989952</v>
      </c>
      <c r="CC17" s="110">
        <v>2054.6602888790208</v>
      </c>
      <c r="CD17" s="110">
        <v>4</v>
      </c>
      <c r="CE17" s="110">
        <v>1987.1999999999998</v>
      </c>
      <c r="CF17" s="110">
        <v>15.115966157337938</v>
      </c>
      <c r="CG17" s="110">
        <v>7509.6119869654867</v>
      </c>
      <c r="CH17" s="110">
        <v>9.7110190369565963</v>
      </c>
      <c r="CI17" s="110">
        <v>4824.4342575600367</v>
      </c>
      <c r="CJ17" s="110">
        <v>6.6019855361131619</v>
      </c>
      <c r="CK17" s="110">
        <v>3279.8664143410183</v>
      </c>
      <c r="CL17" s="110">
        <v>8.7004037557388685</v>
      </c>
      <c r="CM17" s="110">
        <v>4322.3605858510691</v>
      </c>
      <c r="CN17" s="110">
        <v>5.0304976560746466</v>
      </c>
      <c r="CO17" s="110">
        <v>2499.1512355378841</v>
      </c>
      <c r="CP17" s="110">
        <v>8.3841775175698885</v>
      </c>
      <c r="CQ17" s="110">
        <v>4165.2593907287201</v>
      </c>
      <c r="CR17" s="110">
        <v>7.7429176574501977</v>
      </c>
      <c r="CS17" s="110">
        <v>3846.6814922212579</v>
      </c>
      <c r="CT17" s="110">
        <v>6.9370617237447094</v>
      </c>
      <c r="CU17" s="110">
        <v>3446.3322643563715</v>
      </c>
    </row>
    <row r="18" spans="2:99" x14ac:dyDescent="0.2">
      <c r="C18" s="109" t="s">
        <v>186</v>
      </c>
      <c r="D18" s="110">
        <v>0</v>
      </c>
      <c r="E18" s="110">
        <v>0</v>
      </c>
      <c r="F18" s="110">
        <v>0.13709365149322947</v>
      </c>
      <c r="G18" s="110">
        <v>100.18804051125208</v>
      </c>
      <c r="H18" s="110">
        <v>0.36218600516526134</v>
      </c>
      <c r="I18" s="110">
        <v>264.68553257477299</v>
      </c>
      <c r="J18" s="110">
        <v>0.7608365076746052</v>
      </c>
      <c r="K18" s="110">
        <v>556.01931980860149</v>
      </c>
      <c r="L18" s="110">
        <v>1.3992347399725675</v>
      </c>
      <c r="M18" s="110">
        <v>1022.5607479719523</v>
      </c>
      <c r="N18" s="110">
        <v>1.0010078247780816</v>
      </c>
      <c r="O18" s="110">
        <v>731.53651834782193</v>
      </c>
      <c r="P18" s="110">
        <v>1.8426809229129812</v>
      </c>
      <c r="Q18" s="110">
        <v>1346.6312184648066</v>
      </c>
      <c r="R18" s="110">
        <v>1.4382947651750633</v>
      </c>
      <c r="S18" s="110">
        <v>1051.1058143899361</v>
      </c>
      <c r="T18" s="110">
        <v>6.2223049389686818</v>
      </c>
      <c r="U18" s="110">
        <v>4547.2604493983126</v>
      </c>
      <c r="V18" s="110">
        <v>5.5409432542066179</v>
      </c>
      <c r="W18" s="110">
        <v>4049.3213301741962</v>
      </c>
      <c r="X18" s="110">
        <v>9.0678837189464172</v>
      </c>
      <c r="Y18" s="110">
        <v>6626.8094218060414</v>
      </c>
      <c r="Z18" s="110">
        <v>6.4103240788563634</v>
      </c>
      <c r="AA18" s="110">
        <v>4684.6648368282304</v>
      </c>
      <c r="AB18" s="110">
        <v>7.9271977031053078</v>
      </c>
      <c r="AC18" s="110">
        <v>5793.1960814293589</v>
      </c>
      <c r="AD18" s="110">
        <v>6.5998865168435499</v>
      </c>
      <c r="AE18" s="110">
        <v>4823.1970665092658</v>
      </c>
      <c r="AF18" s="110">
        <v>10.392809747698335</v>
      </c>
      <c r="AG18" s="110">
        <v>7595.0653636179431</v>
      </c>
      <c r="AH18" s="110">
        <v>10.331121971873554</v>
      </c>
      <c r="AI18" s="110">
        <v>7549.9839370451928</v>
      </c>
      <c r="AJ18" s="110">
        <v>5.2860567550989979</v>
      </c>
      <c r="AK18" s="110">
        <v>3863.0502766263476</v>
      </c>
      <c r="AL18" s="110">
        <v>3.9883312172227012</v>
      </c>
      <c r="AM18" s="110">
        <v>2914.67245354635</v>
      </c>
      <c r="AN18" s="110">
        <v>6.6806829739593105</v>
      </c>
      <c r="AO18" s="110">
        <v>4882.243117369464</v>
      </c>
      <c r="AP18" s="110">
        <v>6.0648128460394783</v>
      </c>
      <c r="AQ18" s="110">
        <v>4432.1652278856509</v>
      </c>
      <c r="AR18" s="110">
        <v>8.4123111636161951</v>
      </c>
      <c r="AS18" s="110">
        <v>6147.7169983707154</v>
      </c>
      <c r="AT18" s="110">
        <v>5</v>
      </c>
      <c r="AU18" s="110">
        <v>3654</v>
      </c>
      <c r="AV18" s="110">
        <v>8.7502791803455136</v>
      </c>
      <c r="AW18" s="110">
        <v>6394.7040249965012</v>
      </c>
      <c r="AX18" s="110">
        <v>7.887255085336192</v>
      </c>
      <c r="AY18" s="110">
        <v>5764.006016363689</v>
      </c>
      <c r="AZ18" s="110">
        <v>3.2324563780973548</v>
      </c>
      <c r="BA18" s="110">
        <v>2362.2791211135468</v>
      </c>
      <c r="BB18" s="110">
        <v>3.5488969499176903</v>
      </c>
      <c r="BC18" s="110">
        <v>2593.5338909998482</v>
      </c>
      <c r="BD18" s="110">
        <v>1.9733962129018672</v>
      </c>
      <c r="BE18" s="110">
        <v>1442.1579523886844</v>
      </c>
      <c r="BF18" s="110">
        <v>1.8484446409228594</v>
      </c>
      <c r="BG18" s="110">
        <v>1350.8433435864256</v>
      </c>
      <c r="BH18" s="110">
        <v>3.1404513954090936</v>
      </c>
      <c r="BI18" s="110">
        <v>2295.0418797649654</v>
      </c>
      <c r="BJ18" s="110">
        <v>3.3155125607050375</v>
      </c>
      <c r="BK18" s="110">
        <v>2422.9765793632414</v>
      </c>
      <c r="BL18" s="110">
        <v>3.5907024788830011</v>
      </c>
      <c r="BM18" s="110">
        <v>2624.0853715676972</v>
      </c>
      <c r="BN18" s="110">
        <v>2.8050805810548116</v>
      </c>
      <c r="BO18" s="110">
        <v>2049.9528886348562</v>
      </c>
      <c r="BP18" s="110">
        <v>8.0204367354881168</v>
      </c>
      <c r="BQ18" s="110">
        <v>5861.3351662947152</v>
      </c>
      <c r="BR18" s="110">
        <v>7.3400802531335847</v>
      </c>
      <c r="BS18" s="110">
        <v>5364.1306489900235</v>
      </c>
      <c r="BT18" s="110">
        <v>7</v>
      </c>
      <c r="BU18" s="110">
        <v>5115.5999999999995</v>
      </c>
      <c r="BV18" s="110">
        <v>8.1423257884661169</v>
      </c>
      <c r="BW18" s="110">
        <v>5950.4116862110377</v>
      </c>
      <c r="BX18" s="110">
        <v>3.1268623709762036</v>
      </c>
      <c r="BY18" s="110">
        <v>2285.1110207094093</v>
      </c>
      <c r="BZ18" s="110">
        <v>5.3043425097602572</v>
      </c>
      <c r="CA18" s="110">
        <v>3876.4135061327956</v>
      </c>
      <c r="CB18" s="110">
        <v>4.120701894576885</v>
      </c>
      <c r="CC18" s="110">
        <v>3011.4089445567874</v>
      </c>
      <c r="CD18" s="110">
        <v>5</v>
      </c>
      <c r="CE18" s="110">
        <v>3654</v>
      </c>
      <c r="CF18" s="110">
        <v>13.115966157337938</v>
      </c>
      <c r="CG18" s="110">
        <v>9585.1480677825657</v>
      </c>
      <c r="CH18" s="110">
        <v>10.250520094565298</v>
      </c>
      <c r="CI18" s="110">
        <v>7491.0800851083195</v>
      </c>
      <c r="CJ18" s="110">
        <v>5.4082111802810058</v>
      </c>
      <c r="CK18" s="110">
        <v>3952.3207305493588</v>
      </c>
      <c r="CL18" s="110">
        <v>9.1382772135635228</v>
      </c>
      <c r="CM18" s="110">
        <v>6678.2529876722219</v>
      </c>
      <c r="CN18" s="110">
        <v>5.0304976560746466</v>
      </c>
      <c r="CO18" s="110">
        <v>3676.2876870593514</v>
      </c>
      <c r="CP18" s="110">
        <v>9.0210046750426827</v>
      </c>
      <c r="CQ18" s="110">
        <v>6592.5502165211919</v>
      </c>
      <c r="CR18" s="110">
        <v>8.3385267080232897</v>
      </c>
      <c r="CS18" s="110">
        <v>6093.7953182234196</v>
      </c>
      <c r="CT18" s="110">
        <v>6.9524720103252466</v>
      </c>
      <c r="CU18" s="110">
        <v>5080.86654514569</v>
      </c>
    </row>
    <row r="19" spans="2:99" x14ac:dyDescent="0.2">
      <c r="C19" s="109" t="s">
        <v>187</v>
      </c>
      <c r="D19" s="110">
        <v>0</v>
      </c>
      <c r="E19" s="110">
        <v>0</v>
      </c>
      <c r="F19" s="110">
        <v>0.13663904129293122</v>
      </c>
      <c r="G19" s="110">
        <v>52.797325555588621</v>
      </c>
      <c r="H19" s="110">
        <v>0.36448348633493644</v>
      </c>
      <c r="I19" s="110">
        <v>140.83641911981942</v>
      </c>
      <c r="J19" s="110">
        <v>0.9417903879770203</v>
      </c>
      <c r="K19" s="110">
        <v>363.90780591432065</v>
      </c>
      <c r="L19" s="110">
        <v>1.3992347399725675</v>
      </c>
      <c r="M19" s="110">
        <v>540.6643035254001</v>
      </c>
      <c r="N19" s="110">
        <v>0.80760007733393058</v>
      </c>
      <c r="O19" s="110">
        <v>312.05666988183077</v>
      </c>
      <c r="P19" s="110">
        <v>1.5450035650159639</v>
      </c>
      <c r="Q19" s="110">
        <v>596.98937752216841</v>
      </c>
      <c r="R19" s="110">
        <v>1.8897677535947477</v>
      </c>
      <c r="S19" s="110">
        <v>730.2062599890105</v>
      </c>
      <c r="T19" s="110">
        <v>5.8083755431522901</v>
      </c>
      <c r="U19" s="110">
        <v>2244.3563098740447</v>
      </c>
      <c r="V19" s="110">
        <v>6.2036711699619218</v>
      </c>
      <c r="W19" s="110">
        <v>2397.0985400732866</v>
      </c>
      <c r="X19" s="110">
        <v>9.7994542529024606</v>
      </c>
      <c r="Y19" s="110">
        <v>3786.5091233215107</v>
      </c>
      <c r="Z19" s="110">
        <v>7.0764509865593146</v>
      </c>
      <c r="AA19" s="110">
        <v>2734.3406612065191</v>
      </c>
      <c r="AB19" s="110">
        <v>7.9423398999467114</v>
      </c>
      <c r="AC19" s="110">
        <v>3068.9201373394089</v>
      </c>
      <c r="AD19" s="110">
        <v>7.1450654462457033</v>
      </c>
      <c r="AE19" s="110">
        <v>2760.8532884293395</v>
      </c>
      <c r="AF19" s="110">
        <v>10.407944983197536</v>
      </c>
      <c r="AG19" s="110">
        <v>4021.6299415075277</v>
      </c>
      <c r="AH19" s="110">
        <v>9.5975975560620697</v>
      </c>
      <c r="AI19" s="110">
        <v>3708.5116956623833</v>
      </c>
      <c r="AJ19" s="110">
        <v>5.2927708531797162</v>
      </c>
      <c r="AK19" s="110">
        <v>2045.1266576686421</v>
      </c>
      <c r="AL19" s="110">
        <v>3.9989689090838874</v>
      </c>
      <c r="AM19" s="110">
        <v>1545.201586470014</v>
      </c>
      <c r="AN19" s="110">
        <v>6.7276793479105406</v>
      </c>
      <c r="AO19" s="110">
        <v>2599.5753000326326</v>
      </c>
      <c r="AP19" s="110">
        <v>6.0781782530245057</v>
      </c>
      <c r="AQ19" s="110">
        <v>2348.6080769686687</v>
      </c>
      <c r="AR19" s="110">
        <v>9.3252921153435526</v>
      </c>
      <c r="AS19" s="110">
        <v>3603.2928733687486</v>
      </c>
      <c r="AT19" s="110">
        <v>5</v>
      </c>
      <c r="AU19" s="110">
        <v>1932</v>
      </c>
      <c r="AV19" s="110">
        <v>7.7719052200491152</v>
      </c>
      <c r="AW19" s="110">
        <v>3003.0641770269781</v>
      </c>
      <c r="AX19" s="110">
        <v>7.887255085336192</v>
      </c>
      <c r="AY19" s="110">
        <v>3047.6353649739044</v>
      </c>
      <c r="AZ19" s="110">
        <v>4.0343553270961188</v>
      </c>
      <c r="BA19" s="110">
        <v>1558.8748983899402</v>
      </c>
      <c r="BB19" s="110">
        <v>4.2586763399012284</v>
      </c>
      <c r="BC19" s="110">
        <v>1645.5525377378347</v>
      </c>
      <c r="BD19" s="110">
        <v>1.9795392744558571</v>
      </c>
      <c r="BE19" s="110">
        <v>764.89397564974308</v>
      </c>
      <c r="BF19" s="110">
        <v>2.2847857677496357</v>
      </c>
      <c r="BG19" s="110">
        <v>882.84122065845918</v>
      </c>
      <c r="BH19" s="110">
        <v>3.1404513954090936</v>
      </c>
      <c r="BI19" s="110">
        <v>1213.4704191860737</v>
      </c>
      <c r="BJ19" s="110">
        <v>3.3155125607050375</v>
      </c>
      <c r="BK19" s="110">
        <v>1281.1140534564265</v>
      </c>
      <c r="BL19" s="110">
        <v>3.5907024788830011</v>
      </c>
      <c r="BM19" s="110">
        <v>1387.4474378403916</v>
      </c>
      <c r="BN19" s="110">
        <v>2.263775800145841</v>
      </c>
      <c r="BO19" s="110">
        <v>874.72296917635288</v>
      </c>
      <c r="BP19" s="110">
        <v>8.7437694775396437</v>
      </c>
      <c r="BQ19" s="110">
        <v>3378.5925261213183</v>
      </c>
      <c r="BR19" s="110">
        <v>7.3400802531335847</v>
      </c>
      <c r="BS19" s="110">
        <v>2836.207009810817</v>
      </c>
      <c r="BT19" s="110">
        <v>8</v>
      </c>
      <c r="BU19" s="110">
        <v>3091.2</v>
      </c>
      <c r="BV19" s="110">
        <v>9.1423257884661169</v>
      </c>
      <c r="BW19" s="110">
        <v>3532.5946846633074</v>
      </c>
      <c r="BX19" s="110">
        <v>3.1423068638736011</v>
      </c>
      <c r="BY19" s="110">
        <v>1214.1873722007595</v>
      </c>
      <c r="BZ19" s="110">
        <v>5.3043425097602572</v>
      </c>
      <c r="CA19" s="110">
        <v>2049.5979457713634</v>
      </c>
      <c r="CB19" s="110">
        <v>3.150877368221106</v>
      </c>
      <c r="CC19" s="110">
        <v>1217.4990150806352</v>
      </c>
      <c r="CD19" s="110">
        <v>5</v>
      </c>
      <c r="CE19" s="110">
        <v>1932</v>
      </c>
      <c r="CF19" s="110">
        <v>14.144957696672423</v>
      </c>
      <c r="CG19" s="110">
        <v>5465.6116539942241</v>
      </c>
      <c r="CH19" s="110">
        <v>11.869023267391396</v>
      </c>
      <c r="CI19" s="110">
        <v>4586.1905905200356</v>
      </c>
      <c r="CJ19" s="110">
        <v>5.7030321113354141</v>
      </c>
      <c r="CK19" s="110">
        <v>2203.6516078200038</v>
      </c>
      <c r="CL19" s="110">
        <v>9.5913829936709956</v>
      </c>
      <c r="CM19" s="110">
        <v>3706.1103887544723</v>
      </c>
      <c r="CN19" s="110">
        <v>5.5248413633256499</v>
      </c>
      <c r="CO19" s="110">
        <v>2134.7987027890308</v>
      </c>
      <c r="CP19" s="110">
        <v>9.0210046750426827</v>
      </c>
      <c r="CQ19" s="110">
        <v>3485.7162064364925</v>
      </c>
      <c r="CR19" s="110">
        <v>7.7429176574501977</v>
      </c>
      <c r="CS19" s="110">
        <v>2991.863382838756</v>
      </c>
      <c r="CT19" s="110">
        <v>6.9370617237447094</v>
      </c>
      <c r="CU19" s="110">
        <v>2680.4806500549557</v>
      </c>
    </row>
    <row r="20" spans="2:99" x14ac:dyDescent="0.2">
      <c r="B20" s="109" t="s">
        <v>127</v>
      </c>
      <c r="C20" s="109" t="s">
        <v>188</v>
      </c>
      <c r="D20" s="110">
        <v>0</v>
      </c>
      <c r="E20" s="110">
        <v>0</v>
      </c>
      <c r="F20" s="110">
        <v>1.0132002495893784</v>
      </c>
      <c r="G20" s="110">
        <v>97.267223960580324</v>
      </c>
      <c r="H20" s="110">
        <v>2.2019010898007925</v>
      </c>
      <c r="I20" s="110">
        <v>211.38250462087609</v>
      </c>
      <c r="J20" s="110">
        <v>5.3093641728782792</v>
      </c>
      <c r="K20" s="110">
        <v>509.69896059631481</v>
      </c>
      <c r="L20" s="110">
        <v>7.6957910698491219</v>
      </c>
      <c r="M20" s="110">
        <v>738.7959427055157</v>
      </c>
      <c r="N20" s="110">
        <v>7.6193325973258785</v>
      </c>
      <c r="O20" s="110">
        <v>731.45592934328431</v>
      </c>
      <c r="P20" s="110">
        <v>10.507676745086991</v>
      </c>
      <c r="Q20" s="110">
        <v>1008.7369675283512</v>
      </c>
      <c r="R20" s="110">
        <v>13.224521492610297</v>
      </c>
      <c r="S20" s="110">
        <v>1269.5540632905886</v>
      </c>
      <c r="T20" s="110">
        <v>9.6962319609020433</v>
      </c>
      <c r="U20" s="110">
        <v>930.83826824659616</v>
      </c>
      <c r="V20" s="110">
        <v>14.060758187759884</v>
      </c>
      <c r="W20" s="110">
        <v>1349.8327860249487</v>
      </c>
      <c r="X20" s="110">
        <v>11.166249550323252</v>
      </c>
      <c r="Y20" s="110">
        <v>1071.9599568310323</v>
      </c>
      <c r="Z20" s="110">
        <v>11.101845667917008</v>
      </c>
      <c r="AA20" s="110">
        <v>1065.7771841200329</v>
      </c>
      <c r="AB20" s="110">
        <v>12.496151999141814</v>
      </c>
      <c r="AC20" s="110">
        <v>1199.6305919176141</v>
      </c>
      <c r="AD20" s="110">
        <v>9.57983436553228</v>
      </c>
      <c r="AE20" s="110">
        <v>919.66409909109893</v>
      </c>
      <c r="AF20" s="110">
        <v>7.6723641756890313</v>
      </c>
      <c r="AG20" s="110">
        <v>736.54696086614695</v>
      </c>
      <c r="AH20" s="110">
        <v>10.516462423411944</v>
      </c>
      <c r="AI20" s="110">
        <v>1009.5803926475467</v>
      </c>
      <c r="AJ20" s="110">
        <v>9.7817443751045126</v>
      </c>
      <c r="AK20" s="110">
        <v>939.04746001003321</v>
      </c>
      <c r="AL20" s="110">
        <v>8.6482419447200023</v>
      </c>
      <c r="AM20" s="110">
        <v>830.23122669312022</v>
      </c>
      <c r="AN20" s="110">
        <v>9.2290190986493474</v>
      </c>
      <c r="AO20" s="110">
        <v>885.98583347033741</v>
      </c>
      <c r="AP20" s="110">
        <v>9.0170268271490528</v>
      </c>
      <c r="AQ20" s="110">
        <v>865.63457540630907</v>
      </c>
      <c r="AR20" s="110">
        <v>13.074957221287971</v>
      </c>
      <c r="AS20" s="110">
        <v>1255.1958932436451</v>
      </c>
      <c r="AT20" s="110">
        <v>10</v>
      </c>
      <c r="AU20" s="110">
        <v>960</v>
      </c>
      <c r="AV20" s="110">
        <v>10.707027100938314</v>
      </c>
      <c r="AW20" s="110">
        <v>1027.8746016900782</v>
      </c>
      <c r="AX20" s="110">
        <v>7.887255085336192</v>
      </c>
      <c r="AY20" s="110">
        <v>757.17648819227441</v>
      </c>
      <c r="AZ20" s="110">
        <v>10.350104590677034</v>
      </c>
      <c r="BA20" s="110">
        <v>993.6100407049953</v>
      </c>
      <c r="BB20" s="110">
        <v>7.8075732898189187</v>
      </c>
      <c r="BC20" s="110">
        <v>749.5270358226162</v>
      </c>
      <c r="BD20" s="110">
        <v>8.2763587968611141</v>
      </c>
      <c r="BE20" s="110">
        <v>794.53044449866695</v>
      </c>
      <c r="BF20" s="110">
        <v>6.7807286363805117</v>
      </c>
      <c r="BG20" s="110">
        <v>650.9499490925291</v>
      </c>
      <c r="BH20" s="110">
        <v>11.014218247125971</v>
      </c>
      <c r="BI20" s="110">
        <v>1057.3649517240933</v>
      </c>
      <c r="BJ20" s="110">
        <v>25.411798091511123</v>
      </c>
      <c r="BK20" s="110">
        <v>2439.5326167850681</v>
      </c>
      <c r="BL20" s="110">
        <v>18.708167402778056</v>
      </c>
      <c r="BM20" s="110">
        <v>1795.9840706666932</v>
      </c>
      <c r="BN20" s="110">
        <v>21.136282564473149</v>
      </c>
      <c r="BO20" s="110">
        <v>2029.0831261894223</v>
      </c>
      <c r="BP20" s="110">
        <v>17.643437244442531</v>
      </c>
      <c r="BQ20" s="110">
        <v>1693.7699754664829</v>
      </c>
      <c r="BR20" s="110">
        <v>17.359184208517135</v>
      </c>
      <c r="BS20" s="110">
        <v>1666.481684017645</v>
      </c>
      <c r="BT20" s="110">
        <v>18</v>
      </c>
      <c r="BU20" s="110">
        <v>1728</v>
      </c>
      <c r="BV20" s="110">
        <v>20.548970898369308</v>
      </c>
      <c r="BW20" s="110">
        <v>1972.7012062434537</v>
      </c>
      <c r="BX20" s="110">
        <v>27.923446016423394</v>
      </c>
      <c r="BY20" s="110">
        <v>2680.6508175766457</v>
      </c>
      <c r="BZ20" s="110">
        <v>27.941372215892571</v>
      </c>
      <c r="CA20" s="110">
        <v>2682.3717327256868</v>
      </c>
      <c r="CB20" s="110">
        <v>27</v>
      </c>
      <c r="CC20" s="110">
        <v>2592</v>
      </c>
      <c r="CD20" s="110">
        <v>22</v>
      </c>
      <c r="CE20" s="110">
        <v>2112</v>
      </c>
      <c r="CF20" s="110">
        <v>11.217436545008635</v>
      </c>
      <c r="CG20" s="110">
        <v>1076.8739083208288</v>
      </c>
      <c r="CH20" s="110">
        <v>5.9345116336956982</v>
      </c>
      <c r="CI20" s="110">
        <v>569.713116834787</v>
      </c>
      <c r="CJ20" s="110">
        <v>3.2430302415984951</v>
      </c>
      <c r="CK20" s="110">
        <v>311.33090319345553</v>
      </c>
      <c r="CL20" s="110">
        <v>3.6248462408597777</v>
      </c>
      <c r="CM20" s="110">
        <v>347.98523912253864</v>
      </c>
      <c r="CN20" s="110">
        <v>5.129995465862784</v>
      </c>
      <c r="CO20" s="110">
        <v>492.47956472282726</v>
      </c>
      <c r="CP20" s="110">
        <v>6.5088375352926855</v>
      </c>
      <c r="CQ20" s="110">
        <v>624.84840338809784</v>
      </c>
      <c r="CR20" s="110">
        <v>5.3604814551578288</v>
      </c>
      <c r="CS20" s="110">
        <v>514.60621969515159</v>
      </c>
      <c r="CT20" s="110">
        <v>3.2835138551173317</v>
      </c>
      <c r="CU20" s="110">
        <v>315.21733009126388</v>
      </c>
    </row>
    <row r="21" spans="2:99" x14ac:dyDescent="0.2">
      <c r="C21" s="109" t="s">
        <v>189</v>
      </c>
      <c r="D21" s="110">
        <v>0</v>
      </c>
      <c r="E21" s="110">
        <v>0</v>
      </c>
      <c r="F21" s="110">
        <v>0.98006336221681656</v>
      </c>
      <c r="G21" s="110">
        <v>237.56735900135632</v>
      </c>
      <c r="H21" s="110">
        <v>2.0616216500740379</v>
      </c>
      <c r="I21" s="110">
        <v>499.73708797794671</v>
      </c>
      <c r="J21" s="110">
        <v>6.201793245568707</v>
      </c>
      <c r="K21" s="110">
        <v>1503.3146827258545</v>
      </c>
      <c r="L21" s="110">
        <v>7.6957910698491219</v>
      </c>
      <c r="M21" s="110">
        <v>1865.459755331427</v>
      </c>
      <c r="N21" s="110">
        <v>6.6438015882157906</v>
      </c>
      <c r="O21" s="110">
        <v>1610.4575049835075</v>
      </c>
      <c r="P21" s="110">
        <v>10.805354102984008</v>
      </c>
      <c r="Q21" s="110">
        <v>2619.2178345633233</v>
      </c>
      <c r="R21" s="110">
        <v>12.785030761321471</v>
      </c>
      <c r="S21" s="110">
        <v>3099.091456544324</v>
      </c>
      <c r="T21" s="110">
        <v>9.6962319609020433</v>
      </c>
      <c r="U21" s="110">
        <v>2350.3666273226549</v>
      </c>
      <c r="V21" s="110">
        <v>11.425787853282952</v>
      </c>
      <c r="W21" s="110">
        <v>2769.6109756357873</v>
      </c>
      <c r="X21" s="110">
        <v>9.7191661108263805</v>
      </c>
      <c r="Y21" s="110">
        <v>2355.9258652643143</v>
      </c>
      <c r="Z21" s="110">
        <v>11.753655958049967</v>
      </c>
      <c r="AA21" s="110">
        <v>2849.0862042313115</v>
      </c>
      <c r="AB21" s="110">
        <v>12.526436392824621</v>
      </c>
      <c r="AC21" s="110">
        <v>3036.4081816206881</v>
      </c>
      <c r="AD21" s="110">
        <v>11.226919026542282</v>
      </c>
      <c r="AE21" s="110">
        <v>2721.4051720338489</v>
      </c>
      <c r="AF21" s="110">
        <v>8.435719363936963</v>
      </c>
      <c r="AG21" s="110">
        <v>2044.8183738183197</v>
      </c>
      <c r="AH21" s="110">
        <v>9.7520479323440625</v>
      </c>
      <c r="AI21" s="110">
        <v>2363.8964188002005</v>
      </c>
      <c r="AJ21" s="110">
        <v>10.619112196763016</v>
      </c>
      <c r="AK21" s="110">
        <v>2574.0727964953549</v>
      </c>
      <c r="AL21" s="110">
        <v>9.6829079012947918</v>
      </c>
      <c r="AM21" s="110">
        <v>2347.1368752738572</v>
      </c>
      <c r="AN21" s="110">
        <v>9.2603500146168347</v>
      </c>
      <c r="AO21" s="110">
        <v>2244.7088435431206</v>
      </c>
      <c r="AP21" s="110">
        <v>9.0036614201640273</v>
      </c>
      <c r="AQ21" s="110">
        <v>2182.4875282477601</v>
      </c>
      <c r="AR21" s="110">
        <v>11.281575750844928</v>
      </c>
      <c r="AS21" s="110">
        <v>2734.6539620048102</v>
      </c>
      <c r="AT21" s="110">
        <v>11</v>
      </c>
      <c r="AU21" s="110">
        <v>2666.3999999999996</v>
      </c>
      <c r="AV21" s="110">
        <v>10.707027100938314</v>
      </c>
      <c r="AW21" s="110">
        <v>2595.3833692674471</v>
      </c>
      <c r="AX21" s="110">
        <v>8.6759805938698111</v>
      </c>
      <c r="AY21" s="110">
        <v>2103.0576959540422</v>
      </c>
      <c r="AZ21" s="110">
        <v>8.7711672747818064</v>
      </c>
      <c r="BA21" s="110">
        <v>2126.1309474071095</v>
      </c>
      <c r="BB21" s="110">
        <v>8.5173526798024568</v>
      </c>
      <c r="BC21" s="110">
        <v>2064.6062895841155</v>
      </c>
      <c r="BD21" s="110">
        <v>8.7512786654246106</v>
      </c>
      <c r="BE21" s="110">
        <v>2121.3099484989252</v>
      </c>
      <c r="BF21" s="110">
        <v>6.3149360428063757</v>
      </c>
      <c r="BG21" s="110">
        <v>1530.7404967762652</v>
      </c>
      <c r="BH21" s="110">
        <v>10.547289272754687</v>
      </c>
      <c r="BI21" s="110">
        <v>2556.6629197157358</v>
      </c>
      <c r="BJ21" s="110">
        <v>23.217145773608266</v>
      </c>
      <c r="BK21" s="110">
        <v>5627.8361355226434</v>
      </c>
      <c r="BL21" s="110">
        <v>18.708167402778056</v>
      </c>
      <c r="BM21" s="110">
        <v>4534.8597784334006</v>
      </c>
      <c r="BN21" s="110">
        <v>21.652948176254629</v>
      </c>
      <c r="BO21" s="110">
        <v>5248.6746379241213</v>
      </c>
      <c r="BP21" s="110">
        <v>17.629264672682236</v>
      </c>
      <c r="BQ21" s="110">
        <v>4273.333756658174</v>
      </c>
      <c r="BR21" s="110">
        <v>17.457030285708907</v>
      </c>
      <c r="BS21" s="110">
        <v>4231.5841412558384</v>
      </c>
      <c r="BT21" s="110">
        <v>18</v>
      </c>
      <c r="BU21" s="110">
        <v>4363.2</v>
      </c>
      <c r="BV21" s="110">
        <v>23.630299920349948</v>
      </c>
      <c r="BW21" s="110">
        <v>5727.9847006928267</v>
      </c>
      <c r="BX21" s="110">
        <v>23.395319635381764</v>
      </c>
      <c r="BY21" s="110">
        <v>5671.0254796165391</v>
      </c>
      <c r="BZ21" s="110">
        <v>27.941372215892571</v>
      </c>
      <c r="CA21" s="110">
        <v>6772.9886251323587</v>
      </c>
      <c r="CB21" s="110">
        <v>30</v>
      </c>
      <c r="CC21" s="110">
        <v>7271.9999999999991</v>
      </c>
      <c r="CD21" s="110">
        <v>23</v>
      </c>
      <c r="CE21" s="110">
        <v>5575.2</v>
      </c>
      <c r="CF21" s="110">
        <v>12.217436545008635</v>
      </c>
      <c r="CG21" s="110">
        <v>2961.5066185100927</v>
      </c>
      <c r="CH21" s="110">
        <v>6.4740126913043987</v>
      </c>
      <c r="CI21" s="110">
        <v>1569.300676372186</v>
      </c>
      <c r="CJ21" s="110">
        <v>3.5378511726529038</v>
      </c>
      <c r="CK21" s="110">
        <v>857.57512425106381</v>
      </c>
      <c r="CL21" s="110">
        <v>4.0779520209672491</v>
      </c>
      <c r="CM21" s="110">
        <v>988.49556988246104</v>
      </c>
      <c r="CN21" s="110">
        <v>5.1175582396392665</v>
      </c>
      <c r="CO21" s="110">
        <v>1240.496117288558</v>
      </c>
      <c r="CP21" s="110">
        <v>5.8895811228904806</v>
      </c>
      <c r="CQ21" s="110">
        <v>1427.6344641886524</v>
      </c>
      <c r="CR21" s="110">
        <v>5.3604814551578288</v>
      </c>
      <c r="CS21" s="110">
        <v>1299.3807047302575</v>
      </c>
      <c r="CT21" s="110">
        <v>3.2835138551173317</v>
      </c>
      <c r="CU21" s="110">
        <v>795.92375848044117</v>
      </c>
    </row>
    <row r="22" spans="2:99" x14ac:dyDescent="0.2">
      <c r="C22" s="109" t="s">
        <v>190</v>
      </c>
      <c r="D22" s="110">
        <v>0</v>
      </c>
      <c r="E22" s="110">
        <v>0</v>
      </c>
      <c r="F22" s="110">
        <v>1.0803832447350983</v>
      </c>
      <c r="G22" s="110">
        <v>67.415914471470131</v>
      </c>
      <c r="H22" s="110">
        <v>2.1294638887677402</v>
      </c>
      <c r="I22" s="110">
        <v>132.87854665910697</v>
      </c>
      <c r="J22" s="110">
        <v>5.4841478887698702</v>
      </c>
      <c r="K22" s="110">
        <v>342.21082825923992</v>
      </c>
      <c r="L22" s="110">
        <v>7.6957910698491219</v>
      </c>
      <c r="M22" s="110">
        <v>480.21736275858518</v>
      </c>
      <c r="N22" s="110">
        <v>7.4089403061030641</v>
      </c>
      <c r="O22" s="110">
        <v>462.3178751008312</v>
      </c>
      <c r="P22" s="110">
        <v>12.285652781678969</v>
      </c>
      <c r="Q22" s="110">
        <v>766.62473357676765</v>
      </c>
      <c r="R22" s="110">
        <v>13.68797673816084</v>
      </c>
      <c r="S22" s="110">
        <v>854.12974846123643</v>
      </c>
      <c r="T22" s="110">
        <v>8.8262456512020151</v>
      </c>
      <c r="U22" s="110">
        <v>550.75772863500572</v>
      </c>
      <c r="V22" s="110">
        <v>13.413971600548861</v>
      </c>
      <c r="W22" s="110">
        <v>837.03182787424885</v>
      </c>
      <c r="X22" s="110">
        <v>10.450736644782426</v>
      </c>
      <c r="Y22" s="110">
        <v>652.12596663442332</v>
      </c>
      <c r="Z22" s="110">
        <v>11.073212432777021</v>
      </c>
      <c r="AA22" s="110">
        <v>690.96845580528611</v>
      </c>
      <c r="AB22" s="110">
        <v>13.903046588703228</v>
      </c>
      <c r="AC22" s="110">
        <v>867.55010713508148</v>
      </c>
      <c r="AD22" s="110">
        <v>11.273110517756457</v>
      </c>
      <c r="AE22" s="110">
        <v>703.44209630800287</v>
      </c>
      <c r="AF22" s="110">
        <v>7.6874994111882327</v>
      </c>
      <c r="AG22" s="110">
        <v>479.69996325814571</v>
      </c>
      <c r="AH22" s="110">
        <v>10.501017385783744</v>
      </c>
      <c r="AI22" s="110">
        <v>655.26348487290556</v>
      </c>
      <c r="AJ22" s="110">
        <v>11.496764606905824</v>
      </c>
      <c r="AK22" s="110">
        <v>717.39811147092337</v>
      </c>
      <c r="AL22" s="110">
        <v>8.6482419447200023</v>
      </c>
      <c r="AM22" s="110">
        <v>539.65029735052815</v>
      </c>
      <c r="AN22" s="110">
        <v>9.2603500146168347</v>
      </c>
      <c r="AO22" s="110">
        <v>577.84584091209047</v>
      </c>
      <c r="AP22" s="110">
        <v>8.9902960131789982</v>
      </c>
      <c r="AQ22" s="110">
        <v>560.9944712223695</v>
      </c>
      <c r="AR22" s="110">
        <v>12.194556702572283</v>
      </c>
      <c r="AS22" s="110">
        <v>760.94033824051041</v>
      </c>
      <c r="AT22" s="110">
        <v>9</v>
      </c>
      <c r="AU22" s="110">
        <v>561.6</v>
      </c>
      <c r="AV22" s="110">
        <v>11.667038907127353</v>
      </c>
      <c r="AW22" s="110">
        <v>728.02322780474674</v>
      </c>
      <c r="AX22" s="110">
        <v>7.887255085336192</v>
      </c>
      <c r="AY22" s="110">
        <v>492.16471732497837</v>
      </c>
      <c r="AZ22" s="110">
        <v>9.5730662237805717</v>
      </c>
      <c r="BA22" s="110">
        <v>597.3593323639077</v>
      </c>
      <c r="BB22" s="110">
        <v>7.8075732898189187</v>
      </c>
      <c r="BC22" s="110">
        <v>487.19257328470053</v>
      </c>
      <c r="BD22" s="110">
        <v>8.7574217269786008</v>
      </c>
      <c r="BE22" s="110">
        <v>546.46311576346466</v>
      </c>
      <c r="BF22" s="110">
        <v>7.2170697632072862</v>
      </c>
      <c r="BG22" s="110">
        <v>450.34515322413466</v>
      </c>
      <c r="BH22" s="110">
        <v>11.468342078978266</v>
      </c>
      <c r="BI22" s="110">
        <v>715.62454572824379</v>
      </c>
      <c r="BJ22" s="110">
        <v>24.859925818783033</v>
      </c>
      <c r="BK22" s="110">
        <v>1551.2593710920612</v>
      </c>
      <c r="BL22" s="110">
        <v>20.819988625423665</v>
      </c>
      <c r="BM22" s="110">
        <v>1299.1672902264368</v>
      </c>
      <c r="BN22" s="110">
        <v>24.384111249926967</v>
      </c>
      <c r="BO22" s="110">
        <v>1521.5685419954427</v>
      </c>
      <c r="BP22" s="110">
        <v>17.636350958562385</v>
      </c>
      <c r="BQ22" s="110">
        <v>1100.5082998142927</v>
      </c>
      <c r="BR22" s="110">
        <v>16.637406942852749</v>
      </c>
      <c r="BS22" s="110">
        <v>1038.1741932340115</v>
      </c>
      <c r="BT22" s="110">
        <v>17</v>
      </c>
      <c r="BU22" s="110">
        <v>1060.8</v>
      </c>
      <c r="BV22" s="110">
        <v>21.569303153864468</v>
      </c>
      <c r="BW22" s="110">
        <v>1345.9245168011428</v>
      </c>
      <c r="BX22" s="110">
        <v>24.150007365555364</v>
      </c>
      <c r="BY22" s="110">
        <v>1506.9604596106547</v>
      </c>
      <c r="BZ22" s="110">
        <v>28.814540097639217</v>
      </c>
      <c r="CA22" s="110">
        <v>1798.027302092687</v>
      </c>
      <c r="CB22" s="110">
        <v>25</v>
      </c>
      <c r="CC22" s="110">
        <v>1560</v>
      </c>
      <c r="CD22" s="110">
        <v>23</v>
      </c>
      <c r="CE22" s="110">
        <v>1435.2</v>
      </c>
      <c r="CF22" s="110">
        <v>10.202940775341393</v>
      </c>
      <c r="CG22" s="110">
        <v>636.66350438130291</v>
      </c>
      <c r="CH22" s="110">
        <v>5.3950105760869986</v>
      </c>
      <c r="CI22" s="110">
        <v>336.64865994782872</v>
      </c>
      <c r="CJ22" s="110">
        <v>3.2430302415984951</v>
      </c>
      <c r="CK22" s="110">
        <v>202.36508707574609</v>
      </c>
      <c r="CL22" s="110">
        <v>4.0779520209672491</v>
      </c>
      <c r="CM22" s="110">
        <v>254.46420610835634</v>
      </c>
      <c r="CN22" s="110">
        <v>5.1175582396392665</v>
      </c>
      <c r="CO22" s="110">
        <v>319.33563415349022</v>
      </c>
      <c r="CP22" s="110">
        <v>6.5264082803632766</v>
      </c>
      <c r="CQ22" s="110">
        <v>407.24787669466843</v>
      </c>
      <c r="CR22" s="110">
        <v>5.3604814551578288</v>
      </c>
      <c r="CS22" s="110">
        <v>334.49404280184854</v>
      </c>
      <c r="CT22" s="110">
        <v>3.8230610210132849</v>
      </c>
      <c r="CU22" s="110">
        <v>238.55900771122899</v>
      </c>
    </row>
    <row r="23" spans="2:99" x14ac:dyDescent="0.2">
      <c r="C23" s="109" t="s">
        <v>191</v>
      </c>
      <c r="D23" s="110">
        <v>0</v>
      </c>
      <c r="E23" s="110">
        <v>0</v>
      </c>
      <c r="F23" s="110">
        <v>1.0136548597896766</v>
      </c>
      <c r="G23" s="110">
        <v>283.41789879719357</v>
      </c>
      <c r="H23" s="110">
        <v>2.1996036086311173</v>
      </c>
      <c r="I23" s="110">
        <v>615.00916897326033</v>
      </c>
      <c r="J23" s="110">
        <v>5.12224012816504</v>
      </c>
      <c r="K23" s="110">
        <v>1432.1783398349451</v>
      </c>
      <c r="L23" s="110">
        <v>6.9961736998628377</v>
      </c>
      <c r="M23" s="110">
        <v>1956.1301664816492</v>
      </c>
      <c r="N23" s="110">
        <v>7.0391093549934256</v>
      </c>
      <c r="O23" s="110">
        <v>1968.1349756561615</v>
      </c>
      <c r="P23" s="110">
        <v>11.392620707987916</v>
      </c>
      <c r="Q23" s="110">
        <v>3185.376749953421</v>
      </c>
      <c r="R23" s="110">
        <v>11.870102527351245</v>
      </c>
      <c r="S23" s="110">
        <v>3318.8806666474075</v>
      </c>
      <c r="T23" s="110">
        <v>8.3762069541851272</v>
      </c>
      <c r="U23" s="110">
        <v>2341.9874643901612</v>
      </c>
      <c r="V23" s="110">
        <v>11.425787853282952</v>
      </c>
      <c r="W23" s="110">
        <v>3194.650283777913</v>
      </c>
      <c r="X23" s="110">
        <v>10.434679016367209</v>
      </c>
      <c r="Y23" s="110">
        <v>2917.536252976271</v>
      </c>
      <c r="Z23" s="110">
        <v>10.392768907504077</v>
      </c>
      <c r="AA23" s="110">
        <v>2905.8181865381398</v>
      </c>
      <c r="AB23" s="110">
        <v>11.769991409099003</v>
      </c>
      <c r="AC23" s="110">
        <v>3290.8895979840809</v>
      </c>
      <c r="AD23" s="110">
        <v>10.71638371555076</v>
      </c>
      <c r="AE23" s="110">
        <v>2996.3008868679922</v>
      </c>
      <c r="AF23" s="110">
        <v>8.4508545994361643</v>
      </c>
      <c r="AG23" s="110">
        <v>2362.8589460023513</v>
      </c>
      <c r="AH23" s="110">
        <v>9.7520479323440625</v>
      </c>
      <c r="AI23" s="110">
        <v>2726.6726018833997</v>
      </c>
      <c r="AJ23" s="110">
        <v>11.476622312663673</v>
      </c>
      <c r="AK23" s="110">
        <v>3208.8635986207628</v>
      </c>
      <c r="AL23" s="110">
        <v>8.605691177275256</v>
      </c>
      <c r="AM23" s="110">
        <v>2406.1512531661615</v>
      </c>
      <c r="AN23" s="110">
        <v>8.3900173624084964</v>
      </c>
      <c r="AO23" s="110">
        <v>2345.8488545294153</v>
      </c>
      <c r="AP23" s="110">
        <v>9.0303922341340819</v>
      </c>
      <c r="AQ23" s="110">
        <v>2524.8976686638889</v>
      </c>
      <c r="AR23" s="110">
        <v>13.074957221287971</v>
      </c>
      <c r="AS23" s="110">
        <v>3655.7580390721159</v>
      </c>
      <c r="AT23" s="110">
        <v>9</v>
      </c>
      <c r="AU23" s="110">
        <v>2516.3999999999996</v>
      </c>
      <c r="AV23" s="110">
        <v>10.688664946830954</v>
      </c>
      <c r="AW23" s="110">
        <v>2988.5507191339343</v>
      </c>
      <c r="AX23" s="110">
        <v>7.0985295768025729</v>
      </c>
      <c r="AY23" s="110">
        <v>1984.7488696739993</v>
      </c>
      <c r="AZ23" s="110">
        <v>8.7960278568841055</v>
      </c>
      <c r="BA23" s="110">
        <v>2459.3693887847958</v>
      </c>
      <c r="BB23" s="110">
        <v>7.8075732898189187</v>
      </c>
      <c r="BC23" s="110">
        <v>2182.9974918333696</v>
      </c>
      <c r="BD23" s="110">
        <v>7.7830097436356462</v>
      </c>
      <c r="BE23" s="110">
        <v>2176.1295243205263</v>
      </c>
      <c r="BF23" s="110">
        <v>6.7512771696331519</v>
      </c>
      <c r="BG23" s="110">
        <v>1887.6570966294291</v>
      </c>
      <c r="BH23" s="110">
        <v>11.417121508902309</v>
      </c>
      <c r="BI23" s="110">
        <v>3192.227173889085</v>
      </c>
      <c r="BJ23" s="110">
        <v>21.565807879760499</v>
      </c>
      <c r="BK23" s="110">
        <v>6029.7998831810346</v>
      </c>
      <c r="BL23" s="110">
        <v>20.819988625423665</v>
      </c>
      <c r="BM23" s="110">
        <v>5821.2688196684558</v>
      </c>
      <c r="BN23" s="110">
        <v>21.677587345382118</v>
      </c>
      <c r="BO23" s="110">
        <v>6061.0534217688391</v>
      </c>
      <c r="BP23" s="110">
        <v>19.827608042357404</v>
      </c>
      <c r="BQ23" s="110">
        <v>5543.7992086431295</v>
      </c>
      <c r="BR23" s="110">
        <v>17.359184208517135</v>
      </c>
      <c r="BS23" s="110">
        <v>4853.6279047013904</v>
      </c>
      <c r="BT23" s="110">
        <v>16</v>
      </c>
      <c r="BU23" s="110">
        <v>4473.5999999999995</v>
      </c>
      <c r="BV23" s="110">
        <v>21.548970898369308</v>
      </c>
      <c r="BW23" s="110">
        <v>6025.0922631840576</v>
      </c>
      <c r="BX23" s="110">
        <v>26.414070556076179</v>
      </c>
      <c r="BY23" s="110">
        <v>7385.374127478899</v>
      </c>
      <c r="BZ23" s="110">
        <v>24.448700688906001</v>
      </c>
      <c r="CA23" s="110">
        <v>6835.8567126181169</v>
      </c>
      <c r="CB23" s="110">
        <v>27</v>
      </c>
      <c r="CC23" s="110">
        <v>7549.1999999999989</v>
      </c>
      <c r="CD23" s="110">
        <v>20</v>
      </c>
      <c r="CE23" s="110">
        <v>5591.9999999999991</v>
      </c>
      <c r="CF23" s="110">
        <v>11.217436545008635</v>
      </c>
      <c r="CG23" s="110">
        <v>3136.395257984414</v>
      </c>
      <c r="CH23" s="110">
        <v>6.4740126913043987</v>
      </c>
      <c r="CI23" s="110">
        <v>1810.1339484887096</v>
      </c>
      <c r="CJ23" s="110">
        <v>3.2430302415984951</v>
      </c>
      <c r="CK23" s="110">
        <v>906.75125555093916</v>
      </c>
      <c r="CL23" s="110">
        <v>4.245507566078226</v>
      </c>
      <c r="CM23" s="110">
        <v>1187.0439154754717</v>
      </c>
      <c r="CN23" s="110">
        <v>4.6107773061647466</v>
      </c>
      <c r="CO23" s="110">
        <v>1289.173334803663</v>
      </c>
      <c r="CP23" s="110">
        <v>5.2527539654176856</v>
      </c>
      <c r="CQ23" s="110">
        <v>1468.6700087307847</v>
      </c>
      <c r="CR23" s="110">
        <v>4.7648724045847368</v>
      </c>
      <c r="CS23" s="110">
        <v>1332.2583243218924</v>
      </c>
      <c r="CT23" s="110">
        <v>3.2989241416978685</v>
      </c>
      <c r="CU23" s="110">
        <v>922.37919001872388</v>
      </c>
    </row>
    <row r="24" spans="2:99" x14ac:dyDescent="0.2">
      <c r="C24" s="109" t="s">
        <v>192</v>
      </c>
      <c r="D24" s="110">
        <v>0</v>
      </c>
      <c r="E24" s="110">
        <v>0</v>
      </c>
      <c r="F24" s="110">
        <v>0.97960875201651842</v>
      </c>
      <c r="G24" s="110">
        <v>298.58474761463481</v>
      </c>
      <c r="H24" s="110">
        <v>2.1996036086311173</v>
      </c>
      <c r="I24" s="110">
        <v>670.43917991076455</v>
      </c>
      <c r="J24" s="110">
        <v>5.3093641728782792</v>
      </c>
      <c r="K24" s="110">
        <v>1618.2941998932995</v>
      </c>
      <c r="L24" s="110">
        <v>8.7452171248285477</v>
      </c>
      <c r="M24" s="110">
        <v>2665.5421796477412</v>
      </c>
      <c r="N24" s="110">
        <v>6.2569860933274883</v>
      </c>
      <c r="O24" s="110">
        <v>1907.1293612462184</v>
      </c>
      <c r="P24" s="110">
        <v>10.805354102984008</v>
      </c>
      <c r="Q24" s="110">
        <v>3293.471930589526</v>
      </c>
      <c r="R24" s="110">
        <v>12.333557772901786</v>
      </c>
      <c r="S24" s="110">
        <v>3759.2684091804645</v>
      </c>
      <c r="T24" s="110">
        <v>9.2522114807519049</v>
      </c>
      <c r="U24" s="110">
        <v>2820.0740593331807</v>
      </c>
      <c r="V24" s="110">
        <v>12.751243684793558</v>
      </c>
      <c r="W24" s="110">
        <v>3886.5790751250765</v>
      </c>
      <c r="X24" s="110">
        <v>11.166249550323252</v>
      </c>
      <c r="Y24" s="110">
        <v>3403.4728629385277</v>
      </c>
      <c r="Z24" s="110">
        <v>11.073212432777021</v>
      </c>
      <c r="AA24" s="110">
        <v>3375.1151495104364</v>
      </c>
      <c r="AB24" s="110">
        <v>11.104399606421802</v>
      </c>
      <c r="AC24" s="110">
        <v>3384.6210000373653</v>
      </c>
      <c r="AD24" s="110">
        <v>9.57983436553228</v>
      </c>
      <c r="AE24" s="110">
        <v>2919.9335146142389</v>
      </c>
      <c r="AF24" s="110">
        <v>8.4962603059337667</v>
      </c>
      <c r="AG24" s="110">
        <v>2589.660141248612</v>
      </c>
      <c r="AH24" s="110">
        <v>11.249986839223427</v>
      </c>
      <c r="AI24" s="110">
        <v>3428.9959885953003</v>
      </c>
      <c r="AJ24" s="110">
        <v>10.639254491005168</v>
      </c>
      <c r="AK24" s="110">
        <v>3242.8447688583756</v>
      </c>
      <c r="AL24" s="110">
        <v>8.6695173284423745</v>
      </c>
      <c r="AM24" s="110">
        <v>2642.468881709236</v>
      </c>
      <c r="AN24" s="110">
        <v>9.2133536406656038</v>
      </c>
      <c r="AO24" s="110">
        <v>2808.2301896748763</v>
      </c>
      <c r="AP24" s="110">
        <v>9.0036614201640273</v>
      </c>
      <c r="AQ24" s="110">
        <v>2744.3160008659956</v>
      </c>
      <c r="AR24" s="110">
        <v>12.161976269560615</v>
      </c>
      <c r="AS24" s="110">
        <v>3706.9703669620753</v>
      </c>
      <c r="AT24" s="110">
        <v>9</v>
      </c>
      <c r="AU24" s="110">
        <v>2743.2000000000003</v>
      </c>
      <c r="AV24" s="110">
        <v>9.7286531406419137</v>
      </c>
      <c r="AW24" s="110">
        <v>2965.2934772676554</v>
      </c>
      <c r="AX24" s="110">
        <v>7.0985295768025729</v>
      </c>
      <c r="AY24" s="110">
        <v>2163.6318150094244</v>
      </c>
      <c r="AZ24" s="110">
        <v>9.5233450595759734</v>
      </c>
      <c r="BA24" s="110">
        <v>2902.7155741587567</v>
      </c>
      <c r="BB24" s="110">
        <v>9.2271320697859949</v>
      </c>
      <c r="BC24" s="110">
        <v>2812.4298548707711</v>
      </c>
      <c r="BD24" s="110">
        <v>8.2702157353071222</v>
      </c>
      <c r="BE24" s="110">
        <v>2520.7617561216111</v>
      </c>
      <c r="BF24" s="110">
        <v>7.1876182964599291</v>
      </c>
      <c r="BG24" s="110">
        <v>2190.7860567609864</v>
      </c>
      <c r="BH24" s="110">
        <v>11.481147221497256</v>
      </c>
      <c r="BI24" s="110">
        <v>3499.453673112364</v>
      </c>
      <c r="BJ24" s="110">
        <v>24.278101075699439</v>
      </c>
      <c r="BK24" s="110">
        <v>7399.9652078731897</v>
      </c>
      <c r="BL24" s="110">
        <v>20.141405518282383</v>
      </c>
      <c r="BM24" s="110">
        <v>6139.1004019724705</v>
      </c>
      <c r="BN24" s="110">
        <v>21.62830900712714</v>
      </c>
      <c r="BO24" s="110">
        <v>6592.3085853723524</v>
      </c>
      <c r="BP24" s="110">
        <v>16.934277074151296</v>
      </c>
      <c r="BQ24" s="110">
        <v>5161.5676522013155</v>
      </c>
      <c r="BR24" s="110">
        <v>18.154346032075349</v>
      </c>
      <c r="BS24" s="110">
        <v>5533.4446705765668</v>
      </c>
      <c r="BT24" s="110">
        <v>17</v>
      </c>
      <c r="BU24" s="110">
        <v>5181.6000000000004</v>
      </c>
      <c r="BV24" s="110">
        <v>20.609967664854789</v>
      </c>
      <c r="BW24" s="110">
        <v>6281.9181442477402</v>
      </c>
      <c r="BX24" s="110">
        <v>25.659382825902579</v>
      </c>
      <c r="BY24" s="110">
        <v>7820.9798853351067</v>
      </c>
      <c r="BZ24" s="110">
        <v>24.448700688906001</v>
      </c>
      <c r="CA24" s="110">
        <v>7451.9639699785494</v>
      </c>
      <c r="CB24" s="110">
        <v>30</v>
      </c>
      <c r="CC24" s="110">
        <v>9144</v>
      </c>
      <c r="CD24" s="110">
        <v>22</v>
      </c>
      <c r="CE24" s="110">
        <v>6705.6</v>
      </c>
      <c r="CF24" s="110">
        <v>11.231932314675877</v>
      </c>
      <c r="CG24" s="110">
        <v>3423.4929695132073</v>
      </c>
      <c r="CH24" s="110">
        <v>6.4740126913043987</v>
      </c>
      <c r="CI24" s="110">
        <v>1973.2790683095809</v>
      </c>
      <c r="CJ24" s="110">
        <v>3.2430302415984951</v>
      </c>
      <c r="CK24" s="110">
        <v>988.47561763922135</v>
      </c>
      <c r="CL24" s="110">
        <v>4.0779520209672491</v>
      </c>
      <c r="CM24" s="110">
        <v>1242.9597759908177</v>
      </c>
      <c r="CN24" s="110">
        <v>4.6356517586117807</v>
      </c>
      <c r="CO24" s="110">
        <v>1412.9466560248709</v>
      </c>
      <c r="CP24" s="110">
        <v>6.5439790254338668</v>
      </c>
      <c r="CQ24" s="110">
        <v>1994.6048069522426</v>
      </c>
      <c r="CR24" s="110">
        <v>5.3604814551578288</v>
      </c>
      <c r="CS24" s="110">
        <v>1633.8747475321063</v>
      </c>
      <c r="CT24" s="110">
        <v>3.2989241416978685</v>
      </c>
      <c r="CU24" s="110">
        <v>1005.5120783895104</v>
      </c>
    </row>
    <row r="25" spans="2:99" x14ac:dyDescent="0.2">
      <c r="C25" s="109" t="s">
        <v>193</v>
      </c>
      <c r="D25" s="110">
        <v>0</v>
      </c>
      <c r="E25" s="110">
        <v>0</v>
      </c>
      <c r="F25" s="110">
        <v>1.0808378549353965</v>
      </c>
      <c r="G25" s="110">
        <v>351.48847042499096</v>
      </c>
      <c r="H25" s="110">
        <v>2.2720408096641695</v>
      </c>
      <c r="I25" s="110">
        <v>738.86767130278793</v>
      </c>
      <c r="J25" s="110">
        <v>6.0208393652662924</v>
      </c>
      <c r="K25" s="110">
        <v>1957.9769615845983</v>
      </c>
      <c r="L25" s="110">
        <v>7.6957910698491219</v>
      </c>
      <c r="M25" s="110">
        <v>2502.6712559149341</v>
      </c>
      <c r="N25" s="110">
        <v>7.0221248112147618</v>
      </c>
      <c r="O25" s="110">
        <v>2283.5949886070402</v>
      </c>
      <c r="P25" s="110">
        <v>10.507676745086991</v>
      </c>
      <c r="Q25" s="110">
        <v>3417.0964775022894</v>
      </c>
      <c r="R25" s="110">
        <v>12.321575515770927</v>
      </c>
      <c r="S25" s="110">
        <v>4006.9763577287054</v>
      </c>
      <c r="T25" s="110">
        <v>9.2582296976186544</v>
      </c>
      <c r="U25" s="110">
        <v>3010.7762976655863</v>
      </c>
      <c r="V25" s="110">
        <v>11.409846524738672</v>
      </c>
      <c r="W25" s="110">
        <v>3710.4820898450162</v>
      </c>
      <c r="X25" s="110">
        <v>9.7352237392415955</v>
      </c>
      <c r="Y25" s="110">
        <v>3165.8947600013666</v>
      </c>
      <c r="Z25" s="110">
        <v>11.087529050347014</v>
      </c>
      <c r="AA25" s="110">
        <v>3605.6644471728487</v>
      </c>
      <c r="AB25" s="110">
        <v>12.511294195983217</v>
      </c>
      <c r="AC25" s="110">
        <v>4068.6728725337421</v>
      </c>
      <c r="AD25" s="110">
        <v>10.670192224336585</v>
      </c>
      <c r="AE25" s="110">
        <v>3469.9465113542574</v>
      </c>
      <c r="AF25" s="110">
        <v>7.6572289401898317</v>
      </c>
      <c r="AG25" s="110">
        <v>2490.1308513497333</v>
      </c>
      <c r="AH25" s="110">
        <v>10.508739904597844</v>
      </c>
      <c r="AI25" s="110">
        <v>3417.4422169752188</v>
      </c>
      <c r="AJ25" s="110">
        <v>10.632540392924451</v>
      </c>
      <c r="AK25" s="110">
        <v>3457.7021357790313</v>
      </c>
      <c r="AL25" s="110">
        <v>9.2240822282439225</v>
      </c>
      <c r="AM25" s="110">
        <v>2999.6715406249236</v>
      </c>
      <c r="AN25" s="110">
        <v>8.4840101103109564</v>
      </c>
      <c r="AO25" s="110">
        <v>2759.000087873123</v>
      </c>
      <c r="AP25" s="110">
        <v>8.0908722637143136</v>
      </c>
      <c r="AQ25" s="110">
        <v>2631.1516601598946</v>
      </c>
      <c r="AR25" s="110">
        <v>12.194556702572283</v>
      </c>
      <c r="AS25" s="110">
        <v>3965.6698396765064</v>
      </c>
      <c r="AT25" s="110">
        <v>9</v>
      </c>
      <c r="AU25" s="110">
        <v>2926.7999999999997</v>
      </c>
      <c r="AV25" s="110">
        <v>10.72538925504567</v>
      </c>
      <c r="AW25" s="110">
        <v>3487.8965857408516</v>
      </c>
      <c r="AX25" s="110">
        <v>7.0985295768025729</v>
      </c>
      <c r="AY25" s="110">
        <v>2308.4418183761968</v>
      </c>
      <c r="AZ25" s="110">
        <v>9.5482056416782726</v>
      </c>
      <c r="BA25" s="110">
        <v>3105.0764746737741</v>
      </c>
      <c r="BB25" s="110">
        <v>8.5173526798024568</v>
      </c>
      <c r="BC25" s="110">
        <v>2769.8430914717587</v>
      </c>
      <c r="BD25" s="110">
        <v>8.2702157353071222</v>
      </c>
      <c r="BE25" s="110">
        <v>2689.474157121876</v>
      </c>
      <c r="BF25" s="110">
        <v>6.7365514362594734</v>
      </c>
      <c r="BG25" s="110">
        <v>2190.7265270715807</v>
      </c>
      <c r="BH25" s="110">
        <v>10.585704700311657</v>
      </c>
      <c r="BI25" s="110">
        <v>3442.4711685413508</v>
      </c>
      <c r="BJ25" s="110">
        <v>23.760460197663352</v>
      </c>
      <c r="BK25" s="110">
        <v>7726.9016562801216</v>
      </c>
      <c r="BL25" s="110">
        <v>20.110976757793679</v>
      </c>
      <c r="BM25" s="110">
        <v>6540.089641634504</v>
      </c>
      <c r="BN25" s="110">
        <v>23.793528130763018</v>
      </c>
      <c r="BO25" s="110">
        <v>7737.6553481241335</v>
      </c>
      <c r="BP25" s="110">
        <v>17.615092100921942</v>
      </c>
      <c r="BQ25" s="110">
        <v>5728.4279512198154</v>
      </c>
      <c r="BR25" s="110">
        <v>18.129884512777409</v>
      </c>
      <c r="BS25" s="110">
        <v>5895.8384435552134</v>
      </c>
      <c r="BT25" s="110">
        <v>16</v>
      </c>
      <c r="BU25" s="110">
        <v>5203.2</v>
      </c>
      <c r="BV25" s="110">
        <v>20.650632175845107</v>
      </c>
      <c r="BW25" s="110">
        <v>6715.5855835848288</v>
      </c>
      <c r="BX25" s="110">
        <v>25.659382825902579</v>
      </c>
      <c r="BY25" s="110">
        <v>8344.4312949835185</v>
      </c>
      <c r="BZ25" s="110">
        <v>25.321868570652647</v>
      </c>
      <c r="CA25" s="110">
        <v>8234.6716591762397</v>
      </c>
      <c r="CB25" s="110">
        <v>29</v>
      </c>
      <c r="CC25" s="110">
        <v>9430.7999999999993</v>
      </c>
      <c r="CD25" s="110">
        <v>20</v>
      </c>
      <c r="CE25" s="110">
        <v>6504</v>
      </c>
      <c r="CF25" s="110">
        <v>10.231932314675877</v>
      </c>
      <c r="CG25" s="110">
        <v>3327.4243887325952</v>
      </c>
      <c r="CH25" s="110">
        <v>6.4740126913043987</v>
      </c>
      <c r="CI25" s="110">
        <v>2105.3489272121906</v>
      </c>
      <c r="CJ25" s="110">
        <v>3.2430302415984951</v>
      </c>
      <c r="CK25" s="110">
        <v>1054.6334345678306</v>
      </c>
      <c r="CL25" s="110">
        <v>3.6248462408597777</v>
      </c>
      <c r="CM25" s="110">
        <v>1178.7999975275998</v>
      </c>
      <c r="CN25" s="110">
        <v>5.1051210134157499</v>
      </c>
      <c r="CO25" s="110">
        <v>1660.1853535628018</v>
      </c>
      <c r="CP25" s="110">
        <v>5.8895811228904806</v>
      </c>
      <c r="CQ25" s="110">
        <v>1915.2917811639843</v>
      </c>
      <c r="CR25" s="110">
        <v>5.3604814551578288</v>
      </c>
      <c r="CS25" s="110">
        <v>1743.2285692173259</v>
      </c>
      <c r="CT25" s="110">
        <v>3.2835138551173317</v>
      </c>
      <c r="CU25" s="110">
        <v>1067.7987056841562</v>
      </c>
    </row>
    <row r="26" spans="2:99" x14ac:dyDescent="0.2">
      <c r="C26" s="109" t="s">
        <v>194</v>
      </c>
      <c r="D26" s="110">
        <v>0</v>
      </c>
      <c r="E26" s="110">
        <v>0</v>
      </c>
      <c r="F26" s="110">
        <v>0.98006336221681656</v>
      </c>
      <c r="G26" s="110">
        <v>281.082172283783</v>
      </c>
      <c r="H26" s="110">
        <v>2.3421805295275466</v>
      </c>
      <c r="I26" s="110">
        <v>671.73737586850041</v>
      </c>
      <c r="J26" s="110">
        <v>5.1160699637542155</v>
      </c>
      <c r="K26" s="110">
        <v>1467.2888656047091</v>
      </c>
      <c r="L26" s="110">
        <v>7.6957910698491219</v>
      </c>
      <c r="M26" s="110">
        <v>2207.1528788327282</v>
      </c>
      <c r="N26" s="110">
        <v>6.2569860933274883</v>
      </c>
      <c r="O26" s="110">
        <v>1794.5036115663238</v>
      </c>
      <c r="P26" s="110">
        <v>11.698386176675061</v>
      </c>
      <c r="Q26" s="110">
        <v>3355.0971554704079</v>
      </c>
      <c r="R26" s="110">
        <v>13.68797673816084</v>
      </c>
      <c r="S26" s="110">
        <v>3925.7117285045292</v>
      </c>
      <c r="T26" s="110">
        <v>8.8202274343352656</v>
      </c>
      <c r="U26" s="110">
        <v>2529.6412281673543</v>
      </c>
      <c r="V26" s="110">
        <v>12.072574440493975</v>
      </c>
      <c r="W26" s="110">
        <v>3462.4143495336721</v>
      </c>
      <c r="X26" s="110">
        <v>11.182307178738469</v>
      </c>
      <c r="Y26" s="110">
        <v>3207.0856988621931</v>
      </c>
      <c r="Z26" s="110">
        <v>11.767972575619959</v>
      </c>
      <c r="AA26" s="110">
        <v>3375.0545346878043</v>
      </c>
      <c r="AB26" s="110">
        <v>12.496151999141814</v>
      </c>
      <c r="AC26" s="110">
        <v>3583.8963933538726</v>
      </c>
      <c r="AD26" s="110">
        <v>10.125013294934432</v>
      </c>
      <c r="AE26" s="110">
        <v>2903.8538129871949</v>
      </c>
      <c r="AF26" s="110">
        <v>8.4962603059337667</v>
      </c>
      <c r="AG26" s="110">
        <v>2436.7274557418045</v>
      </c>
      <c r="AH26" s="110">
        <v>10.508739904597844</v>
      </c>
      <c r="AI26" s="110">
        <v>3013.906604638662</v>
      </c>
      <c r="AJ26" s="110">
        <v>10.6123980986823</v>
      </c>
      <c r="AK26" s="110">
        <v>3043.6357747020838</v>
      </c>
      <c r="AL26" s="110">
        <v>8.0617639693348941</v>
      </c>
      <c r="AM26" s="110">
        <v>2312.1139064052477</v>
      </c>
      <c r="AN26" s="110">
        <v>9.2760154726005766</v>
      </c>
      <c r="AO26" s="110">
        <v>2660.3612375418456</v>
      </c>
      <c r="AP26" s="110">
        <v>8.0641414497442589</v>
      </c>
      <c r="AQ26" s="110">
        <v>2312.7957677866534</v>
      </c>
      <c r="AR26" s="110">
        <v>12.194556702572283</v>
      </c>
      <c r="AS26" s="110">
        <v>3497.3988622977308</v>
      </c>
      <c r="AT26" s="110">
        <v>9</v>
      </c>
      <c r="AU26" s="110">
        <v>2581.2000000000003</v>
      </c>
      <c r="AV26" s="110">
        <v>11.685401061234712</v>
      </c>
      <c r="AW26" s="110">
        <v>3351.3730243621158</v>
      </c>
      <c r="AX26" s="110">
        <v>7.0985295768025729</v>
      </c>
      <c r="AY26" s="110">
        <v>2035.8582826269781</v>
      </c>
      <c r="AZ26" s="110">
        <v>8.7711672747818064</v>
      </c>
      <c r="BA26" s="110">
        <v>2515.570774407422</v>
      </c>
      <c r="BB26" s="110">
        <v>9.2271320697859949</v>
      </c>
      <c r="BC26" s="110">
        <v>2646.3414776146233</v>
      </c>
      <c r="BD26" s="110">
        <v>8.2702157353071222</v>
      </c>
      <c r="BE26" s="110">
        <v>2371.897872886083</v>
      </c>
      <c r="BF26" s="110">
        <v>6.7660029030068314</v>
      </c>
      <c r="BG26" s="110">
        <v>1940.4896325823593</v>
      </c>
      <c r="BH26" s="110">
        <v>10.131580868459361</v>
      </c>
      <c r="BI26" s="110">
        <v>2905.7373930741446</v>
      </c>
      <c r="BJ26" s="110">
        <v>20.992540985349905</v>
      </c>
      <c r="BK26" s="110">
        <v>6020.6607545983534</v>
      </c>
      <c r="BL26" s="110">
        <v>19.417179270408042</v>
      </c>
      <c r="BM26" s="110">
        <v>5568.847014753027</v>
      </c>
      <c r="BN26" s="110">
        <v>22.18193337259985</v>
      </c>
      <c r="BO26" s="110">
        <v>6361.7784912616371</v>
      </c>
      <c r="BP26" s="110">
        <v>16.189685474459331</v>
      </c>
      <c r="BQ26" s="110">
        <v>4643.2017940749365</v>
      </c>
      <c r="BR26" s="110">
        <v>16.661868462150693</v>
      </c>
      <c r="BS26" s="110">
        <v>4778.6238749448194</v>
      </c>
      <c r="BT26" s="110">
        <v>16</v>
      </c>
      <c r="BU26" s="110">
        <v>4588.8</v>
      </c>
      <c r="BV26" s="110">
        <v>23.58963540935963</v>
      </c>
      <c r="BW26" s="110">
        <v>6765.5074354043418</v>
      </c>
      <c r="BX26" s="110">
        <v>24.904695095728972</v>
      </c>
      <c r="BY26" s="110">
        <v>7142.6665534550693</v>
      </c>
      <c r="BZ26" s="110">
        <v>27.068204334145928</v>
      </c>
      <c r="CA26" s="110">
        <v>7763.161003033053</v>
      </c>
      <c r="CB26" s="110">
        <v>26</v>
      </c>
      <c r="CC26" s="110">
        <v>7456.8</v>
      </c>
      <c r="CD26" s="110">
        <v>20</v>
      </c>
      <c r="CE26" s="110">
        <v>5736</v>
      </c>
      <c r="CF26" s="110">
        <v>10.217436545008635</v>
      </c>
      <c r="CG26" s="110">
        <v>2930.3608011084766</v>
      </c>
      <c r="CH26" s="110">
        <v>5.9345116336956982</v>
      </c>
      <c r="CI26" s="110">
        <v>1702.0179365439262</v>
      </c>
      <c r="CJ26" s="110">
        <v>2.9482093105440867</v>
      </c>
      <c r="CK26" s="110">
        <v>845.54643026404415</v>
      </c>
      <c r="CL26" s="110">
        <v>4.0779520209672491</v>
      </c>
      <c r="CM26" s="110">
        <v>1169.556639613407</v>
      </c>
      <c r="CN26" s="110">
        <v>4.1164335989137442</v>
      </c>
      <c r="CO26" s="110">
        <v>1180.593156168462</v>
      </c>
      <c r="CP26" s="110">
        <v>6.5264082803632766</v>
      </c>
      <c r="CQ26" s="110">
        <v>1871.7738948081878</v>
      </c>
      <c r="CR26" s="110">
        <v>5.3604814551578288</v>
      </c>
      <c r="CS26" s="110">
        <v>1537.3860813392653</v>
      </c>
      <c r="CT26" s="110">
        <v>3.8076507344327482</v>
      </c>
      <c r="CU26" s="110">
        <v>1092.0342306353123</v>
      </c>
    </row>
    <row r="27" spans="2:99" x14ac:dyDescent="0.2">
      <c r="C27" s="109" t="s">
        <v>195</v>
      </c>
      <c r="D27" s="110">
        <v>0</v>
      </c>
      <c r="E27" s="110">
        <v>0</v>
      </c>
      <c r="F27" s="110">
        <v>1.0472463573625366</v>
      </c>
      <c r="G27" s="110">
        <v>330.51095038361649</v>
      </c>
      <c r="H27" s="110">
        <v>2.4801624880846256</v>
      </c>
      <c r="I27" s="110">
        <v>782.7392812395077</v>
      </c>
      <c r="J27" s="110">
        <v>5.12224012816504</v>
      </c>
      <c r="K27" s="110">
        <v>1616.5789844488866</v>
      </c>
      <c r="L27" s="110">
        <v>7.6957910698491219</v>
      </c>
      <c r="M27" s="110">
        <v>2428.7916616443827</v>
      </c>
      <c r="N27" s="110">
        <v>7.4089403061030641</v>
      </c>
      <c r="O27" s="110">
        <v>2338.2615606061267</v>
      </c>
      <c r="P27" s="110">
        <v>9.904233918502829</v>
      </c>
      <c r="Q27" s="110">
        <v>3125.7762246794923</v>
      </c>
      <c r="R27" s="110">
        <v>12.321575515770927</v>
      </c>
      <c r="S27" s="110">
        <v>3888.6892327773044</v>
      </c>
      <c r="T27" s="110">
        <v>8.814209217468516</v>
      </c>
      <c r="U27" s="110">
        <v>2781.7644290330632</v>
      </c>
      <c r="V27" s="110">
        <v>14.076699516304165</v>
      </c>
      <c r="W27" s="110">
        <v>4442.6063673455938</v>
      </c>
      <c r="X27" s="110">
        <v>11.182307178738469</v>
      </c>
      <c r="Y27" s="110">
        <v>3529.1361456098603</v>
      </c>
      <c r="Z27" s="110">
        <v>10.40708552507407</v>
      </c>
      <c r="AA27" s="110">
        <v>3284.476191713376</v>
      </c>
      <c r="AB27" s="110">
        <v>11.769991409099003</v>
      </c>
      <c r="AC27" s="110">
        <v>3714.6092887116447</v>
      </c>
      <c r="AD27" s="110">
        <v>11.261562644952914</v>
      </c>
      <c r="AE27" s="110">
        <v>3554.1491707471391</v>
      </c>
      <c r="AF27" s="110">
        <v>7.6572289401898317</v>
      </c>
      <c r="AG27" s="110">
        <v>2416.6214535239105</v>
      </c>
      <c r="AH27" s="110">
        <v>11.226819282781127</v>
      </c>
      <c r="AI27" s="110">
        <v>3543.1841656457232</v>
      </c>
      <c r="AJ27" s="110">
        <v>9.7481738847009272</v>
      </c>
      <c r="AK27" s="110">
        <v>3076.5236780116124</v>
      </c>
      <c r="AL27" s="110">
        <v>9.1283430014932438</v>
      </c>
      <c r="AM27" s="110">
        <v>2880.9050512712674</v>
      </c>
      <c r="AN27" s="110">
        <v>9.2603500146168347</v>
      </c>
      <c r="AO27" s="110">
        <v>2922.5664646130726</v>
      </c>
      <c r="AP27" s="110">
        <v>8.0240452287891753</v>
      </c>
      <c r="AQ27" s="110">
        <v>2532.3886742058635</v>
      </c>
      <c r="AR27" s="110">
        <v>10.368594799117572</v>
      </c>
      <c r="AS27" s="110">
        <v>3272.3285186015055</v>
      </c>
      <c r="AT27" s="110">
        <v>9</v>
      </c>
      <c r="AU27" s="110">
        <v>2840.3999999999996</v>
      </c>
      <c r="AV27" s="110">
        <v>10.688664946830954</v>
      </c>
      <c r="AW27" s="110">
        <v>3373.3426572198487</v>
      </c>
      <c r="AX27" s="110">
        <v>7.0985295768025729</v>
      </c>
      <c r="AY27" s="110">
        <v>2240.2959344388919</v>
      </c>
      <c r="AZ27" s="110">
        <v>8.7711672747818064</v>
      </c>
      <c r="BA27" s="110">
        <v>2768.1803919211379</v>
      </c>
      <c r="BB27" s="110">
        <v>9.2271320697859949</v>
      </c>
      <c r="BC27" s="110">
        <v>2912.0828812244595</v>
      </c>
      <c r="BD27" s="110">
        <v>7.7830097436356462</v>
      </c>
      <c r="BE27" s="110">
        <v>2456.3178750914099</v>
      </c>
      <c r="BF27" s="110">
        <v>6.7512771696331519</v>
      </c>
      <c r="BG27" s="110">
        <v>2130.7030747362223</v>
      </c>
      <c r="BH27" s="110">
        <v>10.093165440902393</v>
      </c>
      <c r="BI27" s="110">
        <v>3185.4030131487948</v>
      </c>
      <c r="BJ27" s="110">
        <v>21.565807879760499</v>
      </c>
      <c r="BK27" s="110">
        <v>6806.1689668524123</v>
      </c>
      <c r="BL27" s="110">
        <v>20.835203005668017</v>
      </c>
      <c r="BM27" s="110">
        <v>6575.5900685888255</v>
      </c>
      <c r="BN27" s="110">
        <v>20.545699445309197</v>
      </c>
      <c r="BO27" s="110">
        <v>6484.2227449395814</v>
      </c>
      <c r="BP27" s="110">
        <v>16.196771760339477</v>
      </c>
      <c r="BQ27" s="110">
        <v>5111.7011675631384</v>
      </c>
      <c r="BR27" s="110">
        <v>16.588483904256861</v>
      </c>
      <c r="BS27" s="110">
        <v>5235.3255201834645</v>
      </c>
      <c r="BT27" s="110">
        <v>16</v>
      </c>
      <c r="BU27" s="110">
        <v>5049.5999999999995</v>
      </c>
      <c r="BV27" s="110">
        <v>20.630299920349948</v>
      </c>
      <c r="BW27" s="110">
        <v>6510.9226548624429</v>
      </c>
      <c r="BX27" s="110">
        <v>24.150007365555364</v>
      </c>
      <c r="BY27" s="110">
        <v>7621.7423245692726</v>
      </c>
      <c r="BZ27" s="110">
        <v>27.941372215892571</v>
      </c>
      <c r="CA27" s="110">
        <v>8818.2970713356935</v>
      </c>
      <c r="CB27" s="110">
        <v>29</v>
      </c>
      <c r="CC27" s="110">
        <v>9152.4</v>
      </c>
      <c r="CD27" s="110">
        <v>24</v>
      </c>
      <c r="CE27" s="110">
        <v>7574.4</v>
      </c>
      <c r="CF27" s="110">
        <v>10.217436545008635</v>
      </c>
      <c r="CG27" s="110">
        <v>3224.6229736047248</v>
      </c>
      <c r="CH27" s="110">
        <v>6.4740126913043987</v>
      </c>
      <c r="CI27" s="110">
        <v>2043.198405375668</v>
      </c>
      <c r="CJ27" s="110">
        <v>3.5378511726529038</v>
      </c>
      <c r="CK27" s="110">
        <v>1116.5458300892562</v>
      </c>
      <c r="CL27" s="110">
        <v>4.0779520209672491</v>
      </c>
      <c r="CM27" s="110">
        <v>1287.0016578172638</v>
      </c>
      <c r="CN27" s="110">
        <v>4.1288708251372608</v>
      </c>
      <c r="CO27" s="110">
        <v>1303.0716324133193</v>
      </c>
      <c r="CP27" s="110">
        <v>5.9071518679610717</v>
      </c>
      <c r="CQ27" s="110">
        <v>1864.297129528514</v>
      </c>
      <c r="CR27" s="110">
        <v>4.7648724045847368</v>
      </c>
      <c r="CS27" s="110">
        <v>1503.7937308869427</v>
      </c>
      <c r="CT27" s="110">
        <v>3.8230610210132849</v>
      </c>
      <c r="CU27" s="110">
        <v>1206.5580582317925</v>
      </c>
    </row>
    <row r="28" spans="2:99" x14ac:dyDescent="0.2">
      <c r="C28" s="109" t="s">
        <v>196</v>
      </c>
      <c r="D28" s="110">
        <v>0</v>
      </c>
      <c r="E28" s="110">
        <v>0</v>
      </c>
      <c r="F28" s="110">
        <v>0.97344088033938481</v>
      </c>
      <c r="G28" s="110">
        <v>574.71949575237272</v>
      </c>
      <c r="H28" s="110">
        <v>2.0857832162132905</v>
      </c>
      <c r="I28" s="110">
        <v>1231.4464108523266</v>
      </c>
      <c r="J28" s="110">
        <v>2.0893696293925563</v>
      </c>
      <c r="K28" s="110">
        <v>1233.5638291933651</v>
      </c>
      <c r="L28" s="110">
        <v>8.2385415607669437</v>
      </c>
      <c r="M28" s="110">
        <v>4864.034937476803</v>
      </c>
      <c r="N28" s="110">
        <v>7.4468983260724597</v>
      </c>
      <c r="O28" s="110">
        <v>4396.6487717131804</v>
      </c>
      <c r="P28" s="110">
        <v>6.3622603270946776</v>
      </c>
      <c r="Q28" s="110">
        <v>3756.2784971166975</v>
      </c>
      <c r="R28" s="110">
        <v>7.4526706415819515</v>
      </c>
      <c r="S28" s="110">
        <v>4400.0567467899837</v>
      </c>
      <c r="T28" s="110">
        <v>5.6420863716578191</v>
      </c>
      <c r="U28" s="110">
        <v>3331.0877938267763</v>
      </c>
      <c r="V28" s="110">
        <v>0</v>
      </c>
      <c r="W28" s="110">
        <v>0</v>
      </c>
      <c r="X28" s="110">
        <v>0</v>
      </c>
      <c r="Y28" s="110">
        <v>0</v>
      </c>
      <c r="Z28" s="110">
        <v>0</v>
      </c>
      <c r="AA28" s="110">
        <v>0</v>
      </c>
      <c r="AB28" s="110">
        <v>0</v>
      </c>
      <c r="AC28" s="110">
        <v>0</v>
      </c>
      <c r="AD28" s="110">
        <v>12.000804166927557</v>
      </c>
      <c r="AE28" s="110">
        <v>7085.274780154029</v>
      </c>
      <c r="AF28" s="110">
        <v>10</v>
      </c>
      <c r="AG28" s="110">
        <v>5904</v>
      </c>
      <c r="AH28" s="110">
        <v>8.7878846846867678</v>
      </c>
      <c r="AI28" s="110">
        <v>5188.3671178390678</v>
      </c>
      <c r="AJ28" s="110">
        <v>3.7068644433898483</v>
      </c>
      <c r="AK28" s="110">
        <v>2188.5327673773663</v>
      </c>
      <c r="AL28" s="110">
        <v>14</v>
      </c>
      <c r="AM28" s="110">
        <v>8265.6</v>
      </c>
      <c r="AN28" s="110">
        <v>10</v>
      </c>
      <c r="AO28" s="110">
        <v>5904</v>
      </c>
      <c r="AP28" s="110">
        <v>9</v>
      </c>
      <c r="AQ28" s="110">
        <v>5313.5999999999995</v>
      </c>
      <c r="AR28" s="110">
        <v>13</v>
      </c>
      <c r="AS28" s="110">
        <v>7675.2</v>
      </c>
      <c r="AT28" s="110">
        <v>9.6527244246335826</v>
      </c>
      <c r="AU28" s="110">
        <v>5698.9685003036666</v>
      </c>
      <c r="AV28" s="110">
        <v>11.334807917717093</v>
      </c>
      <c r="AW28" s="110">
        <v>6692.0705946201715</v>
      </c>
      <c r="AX28" s="110">
        <v>9.2731394494589612</v>
      </c>
      <c r="AY28" s="110">
        <v>5474.8615309605702</v>
      </c>
      <c r="AZ28" s="110">
        <v>11</v>
      </c>
      <c r="BA28" s="110">
        <v>6494.4</v>
      </c>
      <c r="BB28" s="110">
        <v>13.29975348548879</v>
      </c>
      <c r="BC28" s="110">
        <v>7852.1744578325806</v>
      </c>
      <c r="BD28" s="110">
        <v>17</v>
      </c>
      <c r="BE28" s="110">
        <v>10036.799999999999</v>
      </c>
      <c r="BF28" s="110">
        <v>16.392026535895397</v>
      </c>
      <c r="BG28" s="110">
        <v>9677.8524667926413</v>
      </c>
      <c r="BH28" s="110">
        <v>16.265832097522484</v>
      </c>
      <c r="BI28" s="110">
        <v>9603.347270377275</v>
      </c>
      <c r="BJ28" s="110">
        <v>17.634587496681032</v>
      </c>
      <c r="BK28" s="110">
        <v>10411.460458040481</v>
      </c>
      <c r="BL28" s="110">
        <v>19.619420122462714</v>
      </c>
      <c r="BM28" s="110">
        <v>11583.305640301985</v>
      </c>
      <c r="BN28" s="110">
        <v>22.496478840198058</v>
      </c>
      <c r="BO28" s="110">
        <v>13281.921107252932</v>
      </c>
      <c r="BP28" s="110">
        <v>12.97000616701958</v>
      </c>
      <c r="BQ28" s="110">
        <v>7657.4916410083597</v>
      </c>
      <c r="BR28" s="110">
        <v>23</v>
      </c>
      <c r="BS28" s="110">
        <v>13579.199999999999</v>
      </c>
      <c r="BT28" s="110">
        <v>16</v>
      </c>
      <c r="BU28" s="110">
        <v>9446.4</v>
      </c>
      <c r="BV28" s="110">
        <v>20.315822317040897</v>
      </c>
      <c r="BW28" s="110">
        <v>11994.461495980946</v>
      </c>
      <c r="BX28" s="110">
        <v>36</v>
      </c>
      <c r="BY28" s="110">
        <v>21254.399999999998</v>
      </c>
      <c r="BZ28" s="110">
        <v>30</v>
      </c>
      <c r="CA28" s="110">
        <v>17712</v>
      </c>
      <c r="CB28" s="110">
        <v>26</v>
      </c>
      <c r="CC28" s="110">
        <v>15350.4</v>
      </c>
      <c r="CD28" s="110">
        <v>23</v>
      </c>
      <c r="CE28" s="110">
        <v>13579.199999999999</v>
      </c>
      <c r="CF28" s="110">
        <v>10</v>
      </c>
      <c r="CG28" s="110">
        <v>5904</v>
      </c>
      <c r="CH28" s="110">
        <v>11.118739594446772</v>
      </c>
      <c r="CI28" s="110">
        <v>6564.5038565613741</v>
      </c>
      <c r="CJ28" s="110">
        <v>10</v>
      </c>
      <c r="CK28" s="110">
        <v>5904</v>
      </c>
      <c r="CL28" s="110">
        <v>8</v>
      </c>
      <c r="CM28" s="110">
        <v>4723.2</v>
      </c>
      <c r="CN28" s="110">
        <v>9</v>
      </c>
      <c r="CO28" s="110">
        <v>5313.5999999999995</v>
      </c>
      <c r="CP28" s="110">
        <v>8.072957694440678</v>
      </c>
      <c r="CQ28" s="110">
        <v>4766.274222797776</v>
      </c>
      <c r="CR28" s="110">
        <v>9.3486579997121986</v>
      </c>
      <c r="CS28" s="110">
        <v>5519.4476830300819</v>
      </c>
      <c r="CT28" s="110">
        <v>6.2888883823006996</v>
      </c>
      <c r="CU28" s="110">
        <v>3712.9597009103327</v>
      </c>
    </row>
    <row r="29" spans="2:99" x14ac:dyDescent="0.2">
      <c r="C29" s="109" t="s">
        <v>197</v>
      </c>
      <c r="D29" s="110">
        <v>0</v>
      </c>
      <c r="E29" s="110">
        <v>0</v>
      </c>
      <c r="F29" s="110">
        <v>1.1148839627085547</v>
      </c>
      <c r="G29" s="110">
        <v>262.22070802905205</v>
      </c>
      <c r="H29" s="110">
        <v>2.2720408096641695</v>
      </c>
      <c r="I29" s="110">
        <v>534.38399843301261</v>
      </c>
      <c r="J29" s="110">
        <v>5.852225813785525</v>
      </c>
      <c r="K29" s="110">
        <v>1376.4435114023554</v>
      </c>
      <c r="L29" s="110">
        <v>7.3459823848559802</v>
      </c>
      <c r="M29" s="110">
        <v>1727.7750569181264</v>
      </c>
      <c r="N29" s="110">
        <v>6.4588861126609718</v>
      </c>
      <c r="O29" s="110">
        <v>1519.1300136978605</v>
      </c>
      <c r="P29" s="110">
        <v>10.805354102984008</v>
      </c>
      <c r="Q29" s="110">
        <v>2541.4192850218387</v>
      </c>
      <c r="R29" s="110">
        <v>13.675994481029983</v>
      </c>
      <c r="S29" s="110">
        <v>3216.5939019382517</v>
      </c>
      <c r="T29" s="110">
        <v>9.2582296976186544</v>
      </c>
      <c r="U29" s="110">
        <v>2177.5356248799076</v>
      </c>
      <c r="V29" s="110">
        <v>14.060758187759884</v>
      </c>
      <c r="W29" s="110">
        <v>3307.0903257611244</v>
      </c>
      <c r="X29" s="110">
        <v>9.7191661108263805</v>
      </c>
      <c r="Y29" s="110">
        <v>2285.9478692663647</v>
      </c>
      <c r="Z29" s="110">
        <v>10.40708552507407</v>
      </c>
      <c r="AA29" s="110">
        <v>2447.7465154974211</v>
      </c>
      <c r="AB29" s="110">
        <v>13.237454786026028</v>
      </c>
      <c r="AC29" s="110">
        <v>3113.4493656733216</v>
      </c>
      <c r="AD29" s="110">
        <v>10.704835842747215</v>
      </c>
      <c r="AE29" s="110">
        <v>2517.7773902141448</v>
      </c>
      <c r="AF29" s="110">
        <v>7.6723641756890313</v>
      </c>
      <c r="AG29" s="110">
        <v>1804.5400541220602</v>
      </c>
      <c r="AH29" s="110">
        <v>10.477849829341444</v>
      </c>
      <c r="AI29" s="110">
        <v>2464.3902798611075</v>
      </c>
      <c r="AJ29" s="110">
        <v>9.7683161789430777</v>
      </c>
      <c r="AK29" s="110">
        <v>2297.5079652874119</v>
      </c>
      <c r="AL29" s="110">
        <v>9.693545593155978</v>
      </c>
      <c r="AM29" s="110">
        <v>2279.921923510286</v>
      </c>
      <c r="AN29" s="110">
        <v>9.1976881826818602</v>
      </c>
      <c r="AO29" s="110">
        <v>2163.2962605667735</v>
      </c>
      <c r="AP29" s="110">
        <v>9.9832776115388757</v>
      </c>
      <c r="AQ29" s="110">
        <v>2348.0668942339435</v>
      </c>
      <c r="AR29" s="110">
        <v>11.248995317833261</v>
      </c>
      <c r="AS29" s="110">
        <v>2645.7636987543829</v>
      </c>
      <c r="AT29" s="110">
        <v>11</v>
      </c>
      <c r="AU29" s="110">
        <v>2587.1999999999998</v>
      </c>
      <c r="AV29" s="110">
        <v>10.688664946830954</v>
      </c>
      <c r="AW29" s="110">
        <v>2513.9739954946403</v>
      </c>
      <c r="AX29" s="110">
        <v>7.0985295768025729</v>
      </c>
      <c r="AY29" s="110">
        <v>1669.574156463965</v>
      </c>
      <c r="AZ29" s="110">
        <v>9.5482056416782726</v>
      </c>
      <c r="BA29" s="110">
        <v>2245.7379669227298</v>
      </c>
      <c r="BB29" s="110">
        <v>8.5173526798024568</v>
      </c>
      <c r="BC29" s="110">
        <v>2003.2813502895378</v>
      </c>
      <c r="BD29" s="110">
        <v>8.7451356038706187</v>
      </c>
      <c r="BE29" s="110">
        <v>2056.8558940303692</v>
      </c>
      <c r="BF29" s="110">
        <v>7.1876182964599291</v>
      </c>
      <c r="BG29" s="110">
        <v>1690.5278233273752</v>
      </c>
      <c r="BH29" s="110">
        <v>10.131580868459361</v>
      </c>
      <c r="BI29" s="110">
        <v>2382.9478202616415</v>
      </c>
      <c r="BJ29" s="110">
        <v>20.444947636958315</v>
      </c>
      <c r="BK29" s="110">
        <v>4808.6516842125957</v>
      </c>
      <c r="BL29" s="110">
        <v>18.708167402778056</v>
      </c>
      <c r="BM29" s="110">
        <v>4400.1609731333983</v>
      </c>
      <c r="BN29" s="110">
        <v>20.533379860745448</v>
      </c>
      <c r="BO29" s="110">
        <v>4829.4509432473296</v>
      </c>
      <c r="BP29" s="110">
        <v>18.366769986494056</v>
      </c>
      <c r="BQ29" s="110">
        <v>4319.8643008234021</v>
      </c>
      <c r="BR29" s="110">
        <v>18.778277220547967</v>
      </c>
      <c r="BS29" s="110">
        <v>4416.6508022728813</v>
      </c>
      <c r="BT29" s="110">
        <v>16</v>
      </c>
      <c r="BU29" s="110">
        <v>3763.2</v>
      </c>
      <c r="BV29" s="110">
        <v>21.650632175845107</v>
      </c>
      <c r="BW29" s="110">
        <v>5092.2286877587694</v>
      </c>
      <c r="BX29" s="110">
        <v>24.904695095728972</v>
      </c>
      <c r="BY29" s="110">
        <v>5857.5842865154536</v>
      </c>
      <c r="BZ29" s="110">
        <v>24.448700688906001</v>
      </c>
      <c r="CA29" s="110">
        <v>5750.3344020306913</v>
      </c>
      <c r="CB29" s="110">
        <v>27</v>
      </c>
      <c r="CC29" s="110">
        <v>6350.4</v>
      </c>
      <c r="CD29" s="110">
        <v>23</v>
      </c>
      <c r="CE29" s="110">
        <v>5409.5999999999995</v>
      </c>
      <c r="CF29" s="110">
        <v>10.217436545008635</v>
      </c>
      <c r="CG29" s="110">
        <v>2403.1410753860309</v>
      </c>
      <c r="CH29" s="110">
        <v>5.9345116336956982</v>
      </c>
      <c r="CI29" s="110">
        <v>1395.7971362452281</v>
      </c>
      <c r="CJ29" s="110">
        <v>2.9482093105440867</v>
      </c>
      <c r="CK29" s="110">
        <v>693.41882983996913</v>
      </c>
      <c r="CL29" s="110">
        <v>4.0779520209672491</v>
      </c>
      <c r="CM29" s="110">
        <v>959.13431533149696</v>
      </c>
      <c r="CN29" s="110">
        <v>5.1051210134157499</v>
      </c>
      <c r="CO29" s="110">
        <v>1200.7244623553843</v>
      </c>
      <c r="CP29" s="110">
        <v>5.8895811228904806</v>
      </c>
      <c r="CQ29" s="110">
        <v>1385.2294801038411</v>
      </c>
      <c r="CR29" s="110">
        <v>5.3604814551578288</v>
      </c>
      <c r="CS29" s="110">
        <v>1260.7852382531212</v>
      </c>
      <c r="CT29" s="110">
        <v>3.2835138551173317</v>
      </c>
      <c r="CU29" s="110">
        <v>772.28245872359639</v>
      </c>
    </row>
    <row r="30" spans="2:99" x14ac:dyDescent="0.2">
      <c r="C30" s="109" t="s">
        <v>198</v>
      </c>
      <c r="D30" s="110">
        <v>0</v>
      </c>
      <c r="E30" s="110">
        <v>0</v>
      </c>
      <c r="F30" s="110">
        <v>1.1144293525082563</v>
      </c>
      <c r="G30" s="110">
        <v>258.10183804091213</v>
      </c>
      <c r="H30" s="110">
        <v>2.4123202493909237</v>
      </c>
      <c r="I30" s="110">
        <v>558.69336975893793</v>
      </c>
      <c r="J30" s="110">
        <v>5.4779777243590457</v>
      </c>
      <c r="K30" s="110">
        <v>1268.6996409615549</v>
      </c>
      <c r="L30" s="110">
        <v>8.7452171248285477</v>
      </c>
      <c r="M30" s="110">
        <v>2025.3922861102917</v>
      </c>
      <c r="N30" s="110">
        <v>6.4503938407716399</v>
      </c>
      <c r="O30" s="110">
        <v>1493.9112135227117</v>
      </c>
      <c r="P30" s="110">
        <v>10.797265992193882</v>
      </c>
      <c r="Q30" s="110">
        <v>2500.6468037921031</v>
      </c>
      <c r="R30" s="110">
        <v>12.333557772901786</v>
      </c>
      <c r="S30" s="110">
        <v>2856.4519802040536</v>
      </c>
      <c r="T30" s="110">
        <v>8.8202274343352656</v>
      </c>
      <c r="U30" s="110">
        <v>2042.7646737920475</v>
      </c>
      <c r="V30" s="110">
        <v>12.735302356249278</v>
      </c>
      <c r="W30" s="110">
        <v>2949.4960257073326</v>
      </c>
      <c r="X30" s="110">
        <v>10.434679016367209</v>
      </c>
      <c r="Y30" s="110">
        <v>2416.6716601906455</v>
      </c>
      <c r="Z30" s="110">
        <v>11.782289193189953</v>
      </c>
      <c r="AA30" s="110">
        <v>2728.7781771427931</v>
      </c>
      <c r="AB30" s="110">
        <v>11.104399606421802</v>
      </c>
      <c r="AC30" s="110">
        <v>2571.7789488472895</v>
      </c>
      <c r="AD30" s="110">
        <v>9.6375737295500006</v>
      </c>
      <c r="AE30" s="110">
        <v>2232.0620757637803</v>
      </c>
      <c r="AF30" s="110">
        <v>7.6723641756890313</v>
      </c>
      <c r="AG30" s="110">
        <v>1776.9195430895795</v>
      </c>
      <c r="AH30" s="110">
        <v>9.7443254135299622</v>
      </c>
      <c r="AI30" s="110">
        <v>2256.785765773539</v>
      </c>
      <c r="AJ30" s="110">
        <v>11.490050508825108</v>
      </c>
      <c r="AK30" s="110">
        <v>2661.0956978438949</v>
      </c>
      <c r="AL30" s="110">
        <v>9.714820976878352</v>
      </c>
      <c r="AM30" s="110">
        <v>2249.9525382450261</v>
      </c>
      <c r="AN30" s="110">
        <v>9.2446845566330893</v>
      </c>
      <c r="AO30" s="110">
        <v>2141.0689433162233</v>
      </c>
      <c r="AP30" s="110">
        <v>9.0170268271490528</v>
      </c>
      <c r="AQ30" s="110">
        <v>2088.3434131677204</v>
      </c>
      <c r="AR30" s="110">
        <v>11.248995317833261</v>
      </c>
      <c r="AS30" s="110">
        <v>2605.2673156101832</v>
      </c>
      <c r="AT30" s="110">
        <v>9</v>
      </c>
      <c r="AU30" s="110">
        <v>2084.4</v>
      </c>
      <c r="AV30" s="110">
        <v>11.648676753019997</v>
      </c>
      <c r="AW30" s="110">
        <v>2697.8335359994312</v>
      </c>
      <c r="AX30" s="110">
        <v>7.0985295768025729</v>
      </c>
      <c r="AY30" s="110">
        <v>1644.0194499874758</v>
      </c>
      <c r="AZ30" s="110">
        <v>9.5730662237805717</v>
      </c>
      <c r="BA30" s="110">
        <v>2217.1221374275801</v>
      </c>
      <c r="BB30" s="110">
        <v>8.5173526798024568</v>
      </c>
      <c r="BC30" s="110">
        <v>1972.618880642249</v>
      </c>
      <c r="BD30" s="110">
        <v>8.2763587968611141</v>
      </c>
      <c r="BE30" s="110">
        <v>1916.804697353034</v>
      </c>
      <c r="BF30" s="110">
        <v>7.2170697632072862</v>
      </c>
      <c r="BG30" s="110">
        <v>1671.4733571588074</v>
      </c>
      <c r="BH30" s="110">
        <v>12.338174315125888</v>
      </c>
      <c r="BI30" s="110">
        <v>2857.5211713831559</v>
      </c>
      <c r="BJ30" s="110">
        <v>21.548692182414495</v>
      </c>
      <c r="BK30" s="110">
        <v>4990.6771094471969</v>
      </c>
      <c r="BL30" s="110">
        <v>20.1033695676715</v>
      </c>
      <c r="BM30" s="110">
        <v>4655.9403918727194</v>
      </c>
      <c r="BN30" s="110">
        <v>24.396430834490712</v>
      </c>
      <c r="BO30" s="110">
        <v>5650.2133812680486</v>
      </c>
      <c r="BP30" s="110">
        <v>19.785090327076521</v>
      </c>
      <c r="BQ30" s="110">
        <v>4582.2269197509222</v>
      </c>
      <c r="BR30" s="110">
        <v>18.827200259143851</v>
      </c>
      <c r="BS30" s="110">
        <v>4360.3795800177159</v>
      </c>
      <c r="BT30" s="110">
        <v>18</v>
      </c>
      <c r="BU30" s="110">
        <v>4168.8</v>
      </c>
      <c r="BV30" s="110">
        <v>21.58963540935963</v>
      </c>
      <c r="BW30" s="110">
        <v>5000.1595608076905</v>
      </c>
      <c r="BX30" s="110">
        <v>24.904695095728972</v>
      </c>
      <c r="BY30" s="110">
        <v>5767.92738417083</v>
      </c>
      <c r="BZ30" s="110">
        <v>27.941372215892571</v>
      </c>
      <c r="CA30" s="110">
        <v>6471.2218052007192</v>
      </c>
      <c r="CB30" s="110">
        <v>30</v>
      </c>
      <c r="CC30" s="110">
        <v>6948</v>
      </c>
      <c r="CD30" s="110">
        <v>22</v>
      </c>
      <c r="CE30" s="110">
        <v>5095.2</v>
      </c>
      <c r="CF30" s="110">
        <v>11.202940775341393</v>
      </c>
      <c r="CG30" s="110">
        <v>2594.6010835690663</v>
      </c>
      <c r="CH30" s="110">
        <v>5.9345116336956982</v>
      </c>
      <c r="CI30" s="110">
        <v>1374.4328943639237</v>
      </c>
      <c r="CJ30" s="110">
        <v>3.2430302415984951</v>
      </c>
      <c r="CK30" s="110">
        <v>751.08580395421143</v>
      </c>
      <c r="CL30" s="110">
        <v>4.0779520209672491</v>
      </c>
      <c r="CM30" s="110">
        <v>944.45368805601481</v>
      </c>
      <c r="CN30" s="110">
        <v>4.6107773061647466</v>
      </c>
      <c r="CO30" s="110">
        <v>1067.8560241077553</v>
      </c>
      <c r="CP30" s="110">
        <v>5.8895811228904806</v>
      </c>
      <c r="CQ30" s="110">
        <v>1364.0269880614353</v>
      </c>
      <c r="CR30" s="110">
        <v>4.7648724045847368</v>
      </c>
      <c r="CS30" s="110">
        <v>1103.544448901825</v>
      </c>
      <c r="CT30" s="110">
        <v>3.2835138551173317</v>
      </c>
      <c r="CU30" s="110">
        <v>760.46180884517401</v>
      </c>
    </row>
    <row r="31" spans="2:99" x14ac:dyDescent="0.2">
      <c r="C31" s="109" t="s">
        <v>199</v>
      </c>
      <c r="D31" s="110">
        <v>0</v>
      </c>
      <c r="E31" s="110">
        <v>0</v>
      </c>
      <c r="F31" s="110">
        <v>1.0808378549353965</v>
      </c>
      <c r="G31" s="110">
        <v>191.95680303652642</v>
      </c>
      <c r="H31" s="110">
        <v>2.3398830483578714</v>
      </c>
      <c r="I31" s="110">
        <v>415.56322938835797</v>
      </c>
      <c r="J31" s="110">
        <v>5.1160699637542155</v>
      </c>
      <c r="K31" s="110">
        <v>908.61402556274868</v>
      </c>
      <c r="L31" s="110">
        <v>8.7452171248285477</v>
      </c>
      <c r="M31" s="110">
        <v>1553.1505613695501</v>
      </c>
      <c r="N31" s="110">
        <v>6.8287170637706112</v>
      </c>
      <c r="O31" s="110">
        <v>1212.7801505256605</v>
      </c>
      <c r="P31" s="110">
        <v>11.392620707987916</v>
      </c>
      <c r="Q31" s="110">
        <v>2023.329437738654</v>
      </c>
      <c r="R31" s="110">
        <v>12.333557772901786</v>
      </c>
      <c r="S31" s="110">
        <v>2190.439860467357</v>
      </c>
      <c r="T31" s="110">
        <v>9.2582296976186544</v>
      </c>
      <c r="U31" s="110">
        <v>1644.2615942970731</v>
      </c>
      <c r="V31" s="110">
        <v>12.088515769038255</v>
      </c>
      <c r="W31" s="110">
        <v>2146.9204005811939</v>
      </c>
      <c r="X31" s="110">
        <v>9.7031084824111655</v>
      </c>
      <c r="Y31" s="110">
        <v>1723.272066476223</v>
      </c>
      <c r="Z31" s="110">
        <v>11.073212432777021</v>
      </c>
      <c r="AA31" s="110">
        <v>1966.6025280611989</v>
      </c>
      <c r="AB31" s="110">
        <v>11.119541803263207</v>
      </c>
      <c r="AC31" s="110">
        <v>1974.8306242595454</v>
      </c>
      <c r="AD31" s="110">
        <v>10.14810904054152</v>
      </c>
      <c r="AE31" s="110">
        <v>1802.304165600174</v>
      </c>
      <c r="AF31" s="110">
        <v>7.7480403531850364</v>
      </c>
      <c r="AG31" s="110">
        <v>1376.0519667256624</v>
      </c>
      <c r="AH31" s="110">
        <v>9.7674929699722615</v>
      </c>
      <c r="AI31" s="110">
        <v>1734.7067514670737</v>
      </c>
      <c r="AJ31" s="110">
        <v>10.632540392924451</v>
      </c>
      <c r="AK31" s="110">
        <v>1888.3391737833824</v>
      </c>
      <c r="AL31" s="110">
        <v>9.7467340524619122</v>
      </c>
      <c r="AM31" s="110">
        <v>1731.0199677172354</v>
      </c>
      <c r="AN31" s="110">
        <v>8.40568282039224</v>
      </c>
      <c r="AO31" s="110">
        <v>1492.8492689016618</v>
      </c>
      <c r="AP31" s="110">
        <v>8.9902960131789982</v>
      </c>
      <c r="AQ31" s="110">
        <v>1596.6765719405901</v>
      </c>
      <c r="AR31" s="110">
        <v>12.161976269560615</v>
      </c>
      <c r="AS31" s="110">
        <v>2159.966985473965</v>
      </c>
      <c r="AT31" s="110">
        <v>10</v>
      </c>
      <c r="AU31" s="110">
        <v>1776</v>
      </c>
      <c r="AV31" s="110">
        <v>9.7286531406419137</v>
      </c>
      <c r="AW31" s="110">
        <v>1727.8087977780037</v>
      </c>
      <c r="AX31" s="110">
        <v>7.887255085336192</v>
      </c>
      <c r="AY31" s="110">
        <v>1400.7765031557076</v>
      </c>
      <c r="AZ31" s="110">
        <v>9.5233450595759734</v>
      </c>
      <c r="BA31" s="110">
        <v>1691.3460825806928</v>
      </c>
      <c r="BB31" s="110">
        <v>9.2271320697859949</v>
      </c>
      <c r="BC31" s="110">
        <v>1638.7386555939927</v>
      </c>
      <c r="BD31" s="110">
        <v>8.7512786654246106</v>
      </c>
      <c r="BE31" s="110">
        <v>1554.2270909794108</v>
      </c>
      <c r="BF31" s="110">
        <v>7.1876182964599291</v>
      </c>
      <c r="BG31" s="110">
        <v>1276.5210094512834</v>
      </c>
      <c r="BH31" s="110">
        <v>12.350979457644877</v>
      </c>
      <c r="BI31" s="110">
        <v>2193.5339516777303</v>
      </c>
      <c r="BJ31" s="110">
        <v>20.992540985349905</v>
      </c>
      <c r="BK31" s="110">
        <v>3728.2752789981428</v>
      </c>
      <c r="BL31" s="110">
        <v>20.133798328160207</v>
      </c>
      <c r="BM31" s="110">
        <v>3575.7625830812526</v>
      </c>
      <c r="BN31" s="110">
        <v>20.545699445309197</v>
      </c>
      <c r="BO31" s="110">
        <v>3648.9162214869134</v>
      </c>
      <c r="BP31" s="110">
        <v>19.090102728545585</v>
      </c>
      <c r="BQ31" s="110">
        <v>3390.4022445896958</v>
      </c>
      <c r="BR31" s="110">
        <v>17.432568766410963</v>
      </c>
      <c r="BS31" s="110">
        <v>3096.0242129145868</v>
      </c>
      <c r="BT31" s="110">
        <v>17</v>
      </c>
      <c r="BU31" s="110">
        <v>3019.2</v>
      </c>
      <c r="BV31" s="110">
        <v>22.58963540935963</v>
      </c>
      <c r="BW31" s="110">
        <v>4011.9192487022701</v>
      </c>
      <c r="BX31" s="110">
        <v>23.395319635381764</v>
      </c>
      <c r="BY31" s="110">
        <v>4155.0087672438012</v>
      </c>
      <c r="BZ31" s="110">
        <v>27.068204334145928</v>
      </c>
      <c r="CA31" s="110">
        <v>4807.313089744317</v>
      </c>
      <c r="CB31" s="110">
        <v>27</v>
      </c>
      <c r="CC31" s="110">
        <v>4795.2</v>
      </c>
      <c r="CD31" s="110">
        <v>22</v>
      </c>
      <c r="CE31" s="110">
        <v>3907.2</v>
      </c>
      <c r="CF31" s="110">
        <v>11.231932314675877</v>
      </c>
      <c r="CG31" s="110">
        <v>1994.7911790864357</v>
      </c>
      <c r="CH31" s="110">
        <v>6.4740126913043987</v>
      </c>
      <c r="CI31" s="110">
        <v>1149.7846539756613</v>
      </c>
      <c r="CJ31" s="110">
        <v>3.2430302415984951</v>
      </c>
      <c r="CK31" s="110">
        <v>575.96217090789276</v>
      </c>
      <c r="CL31" s="110">
        <v>3.6248462408597777</v>
      </c>
      <c r="CM31" s="110">
        <v>643.77269237669645</v>
      </c>
      <c r="CN31" s="110">
        <v>4.1413080513607774</v>
      </c>
      <c r="CO31" s="110">
        <v>735.49630992167408</v>
      </c>
      <c r="CP31" s="110">
        <v>5.9071518679610717</v>
      </c>
      <c r="CQ31" s="110">
        <v>1049.1101717498864</v>
      </c>
      <c r="CR31" s="110">
        <v>5.3604814551578288</v>
      </c>
      <c r="CS31" s="110">
        <v>952.02150643603034</v>
      </c>
      <c r="CT31" s="110">
        <v>3.8076507344327482</v>
      </c>
      <c r="CU31" s="110">
        <v>676.23877043525601</v>
      </c>
    </row>
    <row r="32" spans="2:99" x14ac:dyDescent="0.2">
      <c r="C32" s="109" t="s">
        <v>200</v>
      </c>
      <c r="D32" s="110">
        <v>0</v>
      </c>
      <c r="E32" s="110">
        <v>0</v>
      </c>
      <c r="F32" s="110">
        <v>1.0090516298262653</v>
      </c>
      <c r="G32" s="110">
        <v>519.45977903456128</v>
      </c>
      <c r="H32" s="110">
        <v>2.0225776642068274</v>
      </c>
      <c r="I32" s="110">
        <v>1041.2229815336746</v>
      </c>
      <c r="J32" s="110">
        <v>2.3055113151917865</v>
      </c>
      <c r="K32" s="110">
        <v>1186.8772250607317</v>
      </c>
      <c r="L32" s="110">
        <v>9.474322794881985</v>
      </c>
      <c r="M32" s="110">
        <v>4877.3813748052453</v>
      </c>
      <c r="N32" s="110">
        <v>7.4468983260724597</v>
      </c>
      <c r="O32" s="110">
        <v>3833.6632582621019</v>
      </c>
      <c r="P32" s="110">
        <v>5.8464013816545695</v>
      </c>
      <c r="Q32" s="110">
        <v>3009.7274312757722</v>
      </c>
      <c r="R32" s="110">
        <v>7.1746145863647026</v>
      </c>
      <c r="S32" s="110">
        <v>3693.4915890605484</v>
      </c>
      <c r="T32" s="110">
        <v>5.359982053074928</v>
      </c>
      <c r="U32" s="110">
        <v>2759.3187609229726</v>
      </c>
      <c r="V32" s="110">
        <v>0</v>
      </c>
      <c r="W32" s="110">
        <v>0</v>
      </c>
      <c r="X32" s="110">
        <v>0</v>
      </c>
      <c r="Y32" s="110">
        <v>0</v>
      </c>
      <c r="Z32" s="110">
        <v>0</v>
      </c>
      <c r="AA32" s="110">
        <v>0</v>
      </c>
      <c r="AB32" s="110">
        <v>0</v>
      </c>
      <c r="AC32" s="110">
        <v>0</v>
      </c>
      <c r="AD32" s="110">
        <v>13.407424651445368</v>
      </c>
      <c r="AE32" s="110">
        <v>6902.142210564075</v>
      </c>
      <c r="AF32" s="110">
        <v>10</v>
      </c>
      <c r="AG32" s="110">
        <v>5148</v>
      </c>
      <c r="AH32" s="110">
        <v>8.7878846846867678</v>
      </c>
      <c r="AI32" s="110">
        <v>4524.0030356767475</v>
      </c>
      <c r="AJ32" s="110">
        <v>3.7068644433898483</v>
      </c>
      <c r="AK32" s="110">
        <v>1908.2938154570938</v>
      </c>
      <c r="AL32" s="110">
        <v>16</v>
      </c>
      <c r="AM32" s="110">
        <v>8236.7999999999993</v>
      </c>
      <c r="AN32" s="110">
        <v>9</v>
      </c>
      <c r="AO32" s="110">
        <v>4633.2</v>
      </c>
      <c r="AP32" s="110">
        <v>9</v>
      </c>
      <c r="AQ32" s="110">
        <v>4633.2</v>
      </c>
      <c r="AR32" s="110">
        <v>11</v>
      </c>
      <c r="AS32" s="110">
        <v>5662.7999999999993</v>
      </c>
      <c r="AT32" s="110">
        <v>9.6061012514454696</v>
      </c>
      <c r="AU32" s="110">
        <v>4945.2209242441277</v>
      </c>
      <c r="AV32" s="110">
        <v>10.292956928002457</v>
      </c>
      <c r="AW32" s="110">
        <v>5298.8142265356646</v>
      </c>
      <c r="AX32" s="110">
        <v>9.2731394494589612</v>
      </c>
      <c r="AY32" s="110">
        <v>4773.8121885814726</v>
      </c>
      <c r="AZ32" s="110">
        <v>11</v>
      </c>
      <c r="BA32" s="110">
        <v>5662.7999999999993</v>
      </c>
      <c r="BB32" s="110">
        <v>11.354254119214024</v>
      </c>
      <c r="BC32" s="110">
        <v>5845.1700205713796</v>
      </c>
      <c r="BD32" s="110">
        <v>16</v>
      </c>
      <c r="BE32" s="110">
        <v>8236.7999999999993</v>
      </c>
      <c r="BF32" s="110">
        <v>16.422182423271966</v>
      </c>
      <c r="BG32" s="110">
        <v>8454.139511500407</v>
      </c>
      <c r="BH32" s="110">
        <v>18.483900110821004</v>
      </c>
      <c r="BI32" s="110">
        <v>9515.5117770506513</v>
      </c>
      <c r="BJ32" s="110">
        <v>18.064699386843984</v>
      </c>
      <c r="BK32" s="110">
        <v>9299.7072443472825</v>
      </c>
      <c r="BL32" s="110">
        <v>21.128606285729077</v>
      </c>
      <c r="BM32" s="110">
        <v>10877.006515893328</v>
      </c>
      <c r="BN32" s="110">
        <v>20.889587494469623</v>
      </c>
      <c r="BO32" s="110">
        <v>10753.95964215296</v>
      </c>
      <c r="BP32" s="110">
        <v>13.559551901884106</v>
      </c>
      <c r="BQ32" s="110">
        <v>6980.4573190899373</v>
      </c>
      <c r="BR32" s="110">
        <v>23</v>
      </c>
      <c r="BS32" s="110">
        <v>11840.4</v>
      </c>
      <c r="BT32" s="110">
        <v>15</v>
      </c>
      <c r="BU32" s="110">
        <v>7721.9999999999991</v>
      </c>
      <c r="BV32" s="110">
        <v>20.315822317040897</v>
      </c>
      <c r="BW32" s="110">
        <v>10458.585328812653</v>
      </c>
      <c r="BX32" s="110">
        <v>31</v>
      </c>
      <c r="BY32" s="110">
        <v>15958.8</v>
      </c>
      <c r="BZ32" s="110">
        <v>28</v>
      </c>
      <c r="CA32" s="110">
        <v>14414.399999999998</v>
      </c>
      <c r="CB32" s="110">
        <v>24</v>
      </c>
      <c r="CC32" s="110">
        <v>12355.199999999999</v>
      </c>
      <c r="CD32" s="110">
        <v>21</v>
      </c>
      <c r="CE32" s="110">
        <v>10810.8</v>
      </c>
      <c r="CF32" s="110">
        <v>11</v>
      </c>
      <c r="CG32" s="110">
        <v>5662.7999999999993</v>
      </c>
      <c r="CH32" s="110">
        <v>10.118739594446772</v>
      </c>
      <c r="CI32" s="110">
        <v>5209.1271432211979</v>
      </c>
      <c r="CJ32" s="110">
        <v>11</v>
      </c>
      <c r="CK32" s="110">
        <v>5662.7999999999993</v>
      </c>
      <c r="CL32" s="110">
        <v>9</v>
      </c>
      <c r="CM32" s="110">
        <v>4633.2</v>
      </c>
      <c r="CN32" s="110">
        <v>8</v>
      </c>
      <c r="CO32" s="110">
        <v>4118.3999999999996</v>
      </c>
      <c r="CP32" s="110">
        <v>9.0911971180508484</v>
      </c>
      <c r="CQ32" s="110">
        <v>4680.1482763725762</v>
      </c>
      <c r="CR32" s="110">
        <v>9.3169618179201805</v>
      </c>
      <c r="CS32" s="110">
        <v>4796.3719438653088</v>
      </c>
      <c r="CT32" s="110">
        <v>6.3209870914452218</v>
      </c>
      <c r="CU32" s="110">
        <v>3254.0441546759998</v>
      </c>
    </row>
    <row r="33" spans="2:99" x14ac:dyDescent="0.2">
      <c r="C33" s="109" t="s">
        <v>201</v>
      </c>
      <c r="D33" s="110">
        <v>0</v>
      </c>
      <c r="E33" s="110">
        <v>0</v>
      </c>
      <c r="F33" s="110">
        <v>1.1148839627085547</v>
      </c>
      <c r="G33" s="110">
        <v>373.26315071482412</v>
      </c>
      <c r="H33" s="110">
        <v>2.1317613699374149</v>
      </c>
      <c r="I33" s="110">
        <v>713.71370665504651</v>
      </c>
      <c r="J33" s="110">
        <v>5.6651017690722849</v>
      </c>
      <c r="K33" s="110">
        <v>1896.676072285401</v>
      </c>
      <c r="L33" s="110">
        <v>8.3954084398354052</v>
      </c>
      <c r="M33" s="110">
        <v>2810.7827456568939</v>
      </c>
      <c r="N33" s="110">
        <v>7.2240248305482435</v>
      </c>
      <c r="O33" s="110">
        <v>2418.603513267552</v>
      </c>
      <c r="P33" s="110">
        <v>11.103031460881025</v>
      </c>
      <c r="Q33" s="110">
        <v>3717.2949331029677</v>
      </c>
      <c r="R33" s="110">
        <v>12.773048504190614</v>
      </c>
      <c r="S33" s="110">
        <v>4276.4166392030174</v>
      </c>
      <c r="T33" s="110">
        <v>8.8202274343352656</v>
      </c>
      <c r="U33" s="110">
        <v>2953.012145015447</v>
      </c>
      <c r="V33" s="110">
        <v>12.735302356249278</v>
      </c>
      <c r="W33" s="110">
        <v>4263.7792288722585</v>
      </c>
      <c r="X33" s="110">
        <v>9.7031084824111655</v>
      </c>
      <c r="Y33" s="110">
        <v>3248.6007199112582</v>
      </c>
      <c r="Z33" s="110">
        <v>10.421402142644064</v>
      </c>
      <c r="AA33" s="110">
        <v>3489.0854373572329</v>
      </c>
      <c r="AB33" s="110">
        <v>12.541578589666022</v>
      </c>
      <c r="AC33" s="110">
        <v>4198.9205118201844</v>
      </c>
      <c r="AD33" s="110">
        <v>11.250014772149369</v>
      </c>
      <c r="AE33" s="110">
        <v>3766.5049457156088</v>
      </c>
      <c r="AF33" s="110">
        <v>8.5113955414329663</v>
      </c>
      <c r="AG33" s="110">
        <v>2849.6152272717572</v>
      </c>
      <c r="AH33" s="110">
        <v>9.7674929699722615</v>
      </c>
      <c r="AI33" s="110">
        <v>3270.1566463467134</v>
      </c>
      <c r="AJ33" s="110">
        <v>11.483336410744391</v>
      </c>
      <c r="AK33" s="110">
        <v>3844.621030317222</v>
      </c>
      <c r="AL33" s="110">
        <v>8.5950534854140699</v>
      </c>
      <c r="AM33" s="110">
        <v>2877.6239069166309</v>
      </c>
      <c r="AN33" s="110">
        <v>8.4526791943434691</v>
      </c>
      <c r="AO33" s="110">
        <v>2829.9569942661938</v>
      </c>
      <c r="AP33" s="110">
        <v>8.0240452287891753</v>
      </c>
      <c r="AQ33" s="110">
        <v>2686.4503425986159</v>
      </c>
      <c r="AR33" s="110">
        <v>12.194556702572283</v>
      </c>
      <c r="AS33" s="110">
        <v>4082.7375840212007</v>
      </c>
      <c r="AT33" s="110">
        <v>9</v>
      </c>
      <c r="AU33" s="110">
        <v>3013.2000000000003</v>
      </c>
      <c r="AV33" s="110">
        <v>10.72538925504567</v>
      </c>
      <c r="AW33" s="110">
        <v>3590.8603225892903</v>
      </c>
      <c r="AX33" s="110">
        <v>7.887255085336192</v>
      </c>
      <c r="AY33" s="110">
        <v>2640.653002570557</v>
      </c>
      <c r="AZ33" s="110">
        <v>9.5482056416782726</v>
      </c>
      <c r="BA33" s="110">
        <v>3196.7392488338855</v>
      </c>
      <c r="BB33" s="110">
        <v>8.5173526798024568</v>
      </c>
      <c r="BC33" s="110">
        <v>2851.6096771978628</v>
      </c>
      <c r="BD33" s="110">
        <v>8.7574217269786008</v>
      </c>
      <c r="BE33" s="110">
        <v>2931.9847941924359</v>
      </c>
      <c r="BF33" s="110">
        <v>7.6386851566603831</v>
      </c>
      <c r="BG33" s="110">
        <v>2557.4317904498962</v>
      </c>
      <c r="BH33" s="110">
        <v>11.871245340754603</v>
      </c>
      <c r="BI33" s="110">
        <v>3974.4929400846413</v>
      </c>
      <c r="BJ33" s="110">
        <v>22.096285530806085</v>
      </c>
      <c r="BK33" s="110">
        <v>7397.8363957138772</v>
      </c>
      <c r="BL33" s="110">
        <v>19.40196489016369</v>
      </c>
      <c r="BM33" s="110">
        <v>6495.7778452268039</v>
      </c>
      <c r="BN33" s="110">
        <v>23.289182103545283</v>
      </c>
      <c r="BO33" s="110">
        <v>7797.2181682669607</v>
      </c>
      <c r="BP33" s="110">
        <v>16.175512902699037</v>
      </c>
      <c r="BQ33" s="110">
        <v>5415.5617198236378</v>
      </c>
      <c r="BR33" s="110">
        <v>16.686329981448633</v>
      </c>
      <c r="BS33" s="110">
        <v>5586.5832777890028</v>
      </c>
      <c r="BT33" s="110">
        <v>16</v>
      </c>
      <c r="BU33" s="110">
        <v>5356.8</v>
      </c>
      <c r="BV33" s="110">
        <v>22.630299920349948</v>
      </c>
      <c r="BW33" s="110">
        <v>7576.6244133331629</v>
      </c>
      <c r="BX33" s="110">
        <v>24.150007365555364</v>
      </c>
      <c r="BY33" s="110">
        <v>8085.4224659879364</v>
      </c>
      <c r="BZ33" s="110">
        <v>25.321868570652647</v>
      </c>
      <c r="CA33" s="110">
        <v>8477.761597454506</v>
      </c>
      <c r="CB33" s="110">
        <v>26</v>
      </c>
      <c r="CC33" s="110">
        <v>8704.8000000000011</v>
      </c>
      <c r="CD33" s="110">
        <v>20</v>
      </c>
      <c r="CE33" s="110">
        <v>6696</v>
      </c>
      <c r="CF33" s="110">
        <v>10.217436545008635</v>
      </c>
      <c r="CG33" s="110">
        <v>3420.7977552688913</v>
      </c>
      <c r="CH33" s="110">
        <v>5.3950105760869986</v>
      </c>
      <c r="CI33" s="110">
        <v>1806.2495408739271</v>
      </c>
      <c r="CJ33" s="110">
        <v>2.9482093105440867</v>
      </c>
      <c r="CK33" s="110">
        <v>987.06047717016031</v>
      </c>
      <c r="CL33" s="110">
        <v>4.245507566078226</v>
      </c>
      <c r="CM33" s="110">
        <v>1421.3959331229901</v>
      </c>
      <c r="CN33" s="110">
        <v>5.129995465862784</v>
      </c>
      <c r="CO33" s="110">
        <v>1717.5224819708601</v>
      </c>
      <c r="CP33" s="110">
        <v>6.5088375352926855</v>
      </c>
      <c r="CQ33" s="110">
        <v>2179.1588068159913</v>
      </c>
      <c r="CR33" s="110">
        <v>4.7648724045847368</v>
      </c>
      <c r="CS33" s="110">
        <v>1595.2792810549699</v>
      </c>
      <c r="CT33" s="110">
        <v>3.2835138551173317</v>
      </c>
      <c r="CU33" s="110">
        <v>1099.3204386932828</v>
      </c>
    </row>
    <row r="34" spans="2:99" x14ac:dyDescent="0.2">
      <c r="C34" s="109" t="s">
        <v>202</v>
      </c>
      <c r="D34" s="110">
        <v>0</v>
      </c>
      <c r="E34" s="110">
        <v>0</v>
      </c>
      <c r="F34" s="110">
        <v>0.94647186464395672</v>
      </c>
      <c r="G34" s="110">
        <v>360.03789731056111</v>
      </c>
      <c r="H34" s="110">
        <v>2.2720408096641695</v>
      </c>
      <c r="I34" s="110">
        <v>864.28432399625001</v>
      </c>
      <c r="J34" s="110">
        <v>5.8398854849638768</v>
      </c>
      <c r="K34" s="110">
        <v>2221.4924384802584</v>
      </c>
      <c r="L34" s="110">
        <v>7.3459823848559802</v>
      </c>
      <c r="M34" s="110">
        <v>2794.4116991992146</v>
      </c>
      <c r="N34" s="110">
        <v>7.0221248112147618</v>
      </c>
      <c r="O34" s="110">
        <v>2671.2162781860952</v>
      </c>
      <c r="P34" s="110">
        <v>11.987975423781952</v>
      </c>
      <c r="Q34" s="110">
        <v>4560.2258512066546</v>
      </c>
      <c r="R34" s="110">
        <v>12.785030761321471</v>
      </c>
      <c r="S34" s="110">
        <v>4863.4257016066867</v>
      </c>
      <c r="T34" s="110">
        <v>8.8202274343352656</v>
      </c>
      <c r="U34" s="110">
        <v>3355.2145160211348</v>
      </c>
      <c r="V34" s="110">
        <v>11.425787853282952</v>
      </c>
      <c r="W34" s="110">
        <v>4346.3696993888343</v>
      </c>
      <c r="X34" s="110">
        <v>10.434679016367209</v>
      </c>
      <c r="Y34" s="110">
        <v>3969.3518978260859</v>
      </c>
      <c r="Z34" s="110">
        <v>11.087529050347014</v>
      </c>
      <c r="AA34" s="110">
        <v>4217.6960507520034</v>
      </c>
      <c r="AB34" s="110">
        <v>13.222312589184627</v>
      </c>
      <c r="AC34" s="110">
        <v>5029.7677089258314</v>
      </c>
      <c r="AD34" s="110">
        <v>10.182752658952152</v>
      </c>
      <c r="AE34" s="110">
        <v>3873.5191114653985</v>
      </c>
      <c r="AF34" s="110">
        <v>7.7480403531850364</v>
      </c>
      <c r="AG34" s="110">
        <v>2947.3545503515875</v>
      </c>
      <c r="AH34" s="110">
        <v>9.0339685541607775</v>
      </c>
      <c r="AI34" s="110">
        <v>3436.5216380027596</v>
      </c>
      <c r="AJ34" s="110">
        <v>9.7616020808623603</v>
      </c>
      <c r="AK34" s="110">
        <v>3713.3134315600414</v>
      </c>
      <c r="AL34" s="110">
        <v>9.160256077076804</v>
      </c>
      <c r="AM34" s="110">
        <v>3484.5614117200162</v>
      </c>
      <c r="AN34" s="110">
        <v>7.6293429160863635</v>
      </c>
      <c r="AO34" s="110">
        <v>2902.2020452792526</v>
      </c>
      <c r="AP34" s="110">
        <v>9.0036614201640273</v>
      </c>
      <c r="AQ34" s="110">
        <v>3424.9928042303959</v>
      </c>
      <c r="AR34" s="110">
        <v>10.336014366105905</v>
      </c>
      <c r="AS34" s="110">
        <v>3931.8198648666862</v>
      </c>
      <c r="AT34" s="110">
        <v>10</v>
      </c>
      <c r="AU34" s="110">
        <v>3804</v>
      </c>
      <c r="AV34" s="110">
        <v>10.707027100938314</v>
      </c>
      <c r="AW34" s="110">
        <v>4072.9531091969343</v>
      </c>
      <c r="AX34" s="110">
        <v>8.6759805938698111</v>
      </c>
      <c r="AY34" s="110">
        <v>3300.343017908076</v>
      </c>
      <c r="AZ34" s="110">
        <v>9.5482056416782726</v>
      </c>
      <c r="BA34" s="110">
        <v>3632.1374260944149</v>
      </c>
      <c r="BB34" s="110">
        <v>7.8075732898189187</v>
      </c>
      <c r="BC34" s="110">
        <v>2970.0008794471164</v>
      </c>
      <c r="BD34" s="110">
        <v>7.3142329366261407</v>
      </c>
      <c r="BE34" s="110">
        <v>2782.3342090925839</v>
      </c>
      <c r="BF34" s="110">
        <v>6.3296617761800542</v>
      </c>
      <c r="BG34" s="110">
        <v>2407.8033396588926</v>
      </c>
      <c r="BH34" s="110">
        <v>11.858440198235613</v>
      </c>
      <c r="BI34" s="110">
        <v>4510.9506514088271</v>
      </c>
      <c r="BJ34" s="110">
        <v>20.462063334304318</v>
      </c>
      <c r="BK34" s="110">
        <v>7783.7688923693622</v>
      </c>
      <c r="BL34" s="110">
        <v>18.723381783022408</v>
      </c>
      <c r="BM34" s="110">
        <v>7122.3744302617233</v>
      </c>
      <c r="BN34" s="110">
        <v>21.160921733600638</v>
      </c>
      <c r="BO34" s="110">
        <v>8049.6146274616822</v>
      </c>
      <c r="BP34" s="110">
        <v>16.905931930630711</v>
      </c>
      <c r="BQ34" s="110">
        <v>6431.0165064119219</v>
      </c>
      <c r="BR34" s="110">
        <v>18.876123297739738</v>
      </c>
      <c r="BS34" s="110">
        <v>7180.4773024601964</v>
      </c>
      <c r="BT34" s="110">
        <v>16</v>
      </c>
      <c r="BU34" s="110">
        <v>6086.4</v>
      </c>
      <c r="BV34" s="110">
        <v>21.58963540935963</v>
      </c>
      <c r="BW34" s="110">
        <v>8212.6973097204027</v>
      </c>
      <c r="BX34" s="110">
        <v>23.395319635381764</v>
      </c>
      <c r="BY34" s="110">
        <v>8899.5795892992228</v>
      </c>
      <c r="BZ34" s="110">
        <v>25.321868570652647</v>
      </c>
      <c r="CA34" s="110">
        <v>9632.4388042762657</v>
      </c>
      <c r="CB34" s="110">
        <v>26</v>
      </c>
      <c r="CC34" s="110">
        <v>9890.4</v>
      </c>
      <c r="CD34" s="110">
        <v>22</v>
      </c>
      <c r="CE34" s="110">
        <v>8368.7999999999993</v>
      </c>
      <c r="CF34" s="110">
        <v>11.217436545008635</v>
      </c>
      <c r="CG34" s="110">
        <v>4267.1128617212844</v>
      </c>
      <c r="CH34" s="110">
        <v>5.3950105760869986</v>
      </c>
      <c r="CI34" s="110">
        <v>2052.2620231434939</v>
      </c>
      <c r="CJ34" s="110">
        <v>3.5378511726529038</v>
      </c>
      <c r="CK34" s="110">
        <v>1345.7985860771646</v>
      </c>
      <c r="CL34" s="110">
        <v>3.6248462408597777</v>
      </c>
      <c r="CM34" s="110">
        <v>1378.8915100230593</v>
      </c>
      <c r="CN34" s="110">
        <v>4.1164335989137442</v>
      </c>
      <c r="CO34" s="110">
        <v>1565.8913410267883</v>
      </c>
      <c r="CP34" s="110">
        <v>5.9071518679610717</v>
      </c>
      <c r="CQ34" s="110">
        <v>2247.0805705723915</v>
      </c>
      <c r="CR34" s="110">
        <v>5.3604814551578288</v>
      </c>
      <c r="CS34" s="110">
        <v>2039.1271455420379</v>
      </c>
      <c r="CT34" s="110">
        <v>3.2835138551173317</v>
      </c>
      <c r="CU34" s="110">
        <v>1249.048670486633</v>
      </c>
    </row>
    <row r="35" spans="2:99" x14ac:dyDescent="0.2">
      <c r="C35" s="109" t="s">
        <v>203</v>
      </c>
      <c r="D35" s="110">
        <v>0</v>
      </c>
      <c r="E35" s="110">
        <v>0</v>
      </c>
      <c r="F35" s="110">
        <v>1.0467917471622383</v>
      </c>
      <c r="G35" s="110">
        <v>429.6033330353826</v>
      </c>
      <c r="H35" s="110">
        <v>2.4146177305605989</v>
      </c>
      <c r="I35" s="110">
        <v>990.9591166220697</v>
      </c>
      <c r="J35" s="110">
        <v>5.8460556493747005</v>
      </c>
      <c r="K35" s="110">
        <v>2399.2212385033768</v>
      </c>
      <c r="L35" s="110">
        <v>6.9961736998628377</v>
      </c>
      <c r="M35" s="110">
        <v>2871.2296864237082</v>
      </c>
      <c r="N35" s="110">
        <v>6.8372093356599422</v>
      </c>
      <c r="O35" s="110">
        <v>2805.9907113548402</v>
      </c>
      <c r="P35" s="110">
        <v>9.9123220292929552</v>
      </c>
      <c r="Q35" s="110">
        <v>4068.0169608218284</v>
      </c>
      <c r="R35" s="110">
        <v>13.675994481029983</v>
      </c>
      <c r="S35" s="110">
        <v>5612.6281350147046</v>
      </c>
      <c r="T35" s="110">
        <v>9.2582296976186544</v>
      </c>
      <c r="U35" s="110">
        <v>3799.5774679026954</v>
      </c>
      <c r="V35" s="110">
        <v>12.088515769038255</v>
      </c>
      <c r="W35" s="110">
        <v>4961.126871613299</v>
      </c>
      <c r="X35" s="110">
        <v>11.166249550323252</v>
      </c>
      <c r="Y35" s="110">
        <v>4582.6288154526628</v>
      </c>
      <c r="Z35" s="110">
        <v>11.101845667917008</v>
      </c>
      <c r="AA35" s="110">
        <v>4556.1974621131394</v>
      </c>
      <c r="AB35" s="110">
        <v>11.074115212738997</v>
      </c>
      <c r="AC35" s="110">
        <v>4544.8168833080845</v>
      </c>
      <c r="AD35" s="110">
        <v>9.5913822383358251</v>
      </c>
      <c r="AE35" s="110">
        <v>3936.3032706130225</v>
      </c>
      <c r="AF35" s="110">
        <v>7.702634646687434</v>
      </c>
      <c r="AG35" s="110">
        <v>3161.1612590005229</v>
      </c>
      <c r="AH35" s="110">
        <v>9.7597704511581629</v>
      </c>
      <c r="AI35" s="110">
        <v>4005.4097931553097</v>
      </c>
      <c r="AJ35" s="110">
        <v>9.7683161789430777</v>
      </c>
      <c r="AK35" s="110">
        <v>4008.9169598382387</v>
      </c>
      <c r="AL35" s="110">
        <v>9.1815314607991763</v>
      </c>
      <c r="AM35" s="110">
        <v>3768.1005115119819</v>
      </c>
      <c r="AN35" s="110">
        <v>8.3900173624084964</v>
      </c>
      <c r="AO35" s="110">
        <v>3443.2631255324468</v>
      </c>
      <c r="AP35" s="110">
        <v>9.9298159835987647</v>
      </c>
      <c r="AQ35" s="110">
        <v>4075.1964796689326</v>
      </c>
      <c r="AR35" s="110">
        <v>12.194556702572283</v>
      </c>
      <c r="AS35" s="110">
        <v>5004.6460707356646</v>
      </c>
      <c r="AT35" s="110">
        <v>11</v>
      </c>
      <c r="AU35" s="110">
        <v>4514.3999999999996</v>
      </c>
      <c r="AV35" s="110">
        <v>9.7286531406419137</v>
      </c>
      <c r="AW35" s="110">
        <v>3992.6392489194413</v>
      </c>
      <c r="AX35" s="110">
        <v>7.887255085336192</v>
      </c>
      <c r="AY35" s="110">
        <v>3236.9294870219728</v>
      </c>
      <c r="AZ35" s="110">
        <v>9.5482056416782726</v>
      </c>
      <c r="BA35" s="110">
        <v>3918.5835953447627</v>
      </c>
      <c r="BB35" s="110">
        <v>8.5173526798024568</v>
      </c>
      <c r="BC35" s="110">
        <v>3495.5215397909283</v>
      </c>
      <c r="BD35" s="110">
        <v>8.7451356038706187</v>
      </c>
      <c r="BE35" s="110">
        <v>3589.0036518285019</v>
      </c>
      <c r="BF35" s="110">
        <v>6.7660029030068314</v>
      </c>
      <c r="BG35" s="110">
        <v>2776.7675913940034</v>
      </c>
      <c r="BH35" s="110">
        <v>11.871245340754603</v>
      </c>
      <c r="BI35" s="110">
        <v>4871.9590878456893</v>
      </c>
      <c r="BJ35" s="110">
        <v>23.760460197663352</v>
      </c>
      <c r="BK35" s="110">
        <v>9751.2928651210386</v>
      </c>
      <c r="BL35" s="110">
        <v>17.976333964781535</v>
      </c>
      <c r="BM35" s="110">
        <v>7377.4874591463413</v>
      </c>
      <c r="BN35" s="110">
        <v>20.533379860745448</v>
      </c>
      <c r="BO35" s="110">
        <v>8426.8990948499322</v>
      </c>
      <c r="BP35" s="110">
        <v>17.629264672682236</v>
      </c>
      <c r="BQ35" s="110">
        <v>7235.0502216687892</v>
      </c>
      <c r="BR35" s="110">
        <v>17.334722689219191</v>
      </c>
      <c r="BS35" s="110">
        <v>7114.1701916555558</v>
      </c>
      <c r="BT35" s="110">
        <v>16</v>
      </c>
      <c r="BU35" s="110">
        <v>6566.4</v>
      </c>
      <c r="BV35" s="110">
        <v>22.609967664854789</v>
      </c>
      <c r="BW35" s="110">
        <v>9279.1307296564046</v>
      </c>
      <c r="BX35" s="110">
        <v>22.640631905208156</v>
      </c>
      <c r="BY35" s="110">
        <v>9291.7153338974276</v>
      </c>
      <c r="BZ35" s="110">
        <v>27.068204334145928</v>
      </c>
      <c r="CA35" s="110">
        <v>11108.791058733488</v>
      </c>
      <c r="CB35" s="110">
        <v>26</v>
      </c>
      <c r="CC35" s="110">
        <v>10670.4</v>
      </c>
      <c r="CD35" s="110">
        <v>22</v>
      </c>
      <c r="CE35" s="110">
        <v>9028.7999999999993</v>
      </c>
      <c r="CF35" s="110">
        <v>11.231932314675877</v>
      </c>
      <c r="CG35" s="110">
        <v>4609.5850219429794</v>
      </c>
      <c r="CH35" s="110">
        <v>5.3950105760869986</v>
      </c>
      <c r="CI35" s="110">
        <v>2214.1123404261043</v>
      </c>
      <c r="CJ35" s="110">
        <v>3.2430302415984951</v>
      </c>
      <c r="CK35" s="110">
        <v>1330.9396111520223</v>
      </c>
      <c r="CL35" s="110">
        <v>3.6248462408597777</v>
      </c>
      <c r="CM35" s="110">
        <v>1487.6368972488526</v>
      </c>
      <c r="CN35" s="110">
        <v>4.6232145323882632</v>
      </c>
      <c r="CO35" s="110">
        <v>1897.3672440921432</v>
      </c>
      <c r="CP35" s="110">
        <v>5.8895811228904806</v>
      </c>
      <c r="CQ35" s="110">
        <v>2417.0840928342532</v>
      </c>
      <c r="CR35" s="110">
        <v>4.7648724045847368</v>
      </c>
      <c r="CS35" s="110">
        <v>1955.5036348415758</v>
      </c>
      <c r="CT35" s="110">
        <v>3.2835138551173317</v>
      </c>
      <c r="CU35" s="110">
        <v>1347.5540861401528</v>
      </c>
    </row>
    <row r="36" spans="2:99" x14ac:dyDescent="0.2">
      <c r="C36" s="109" t="s">
        <v>204</v>
      </c>
      <c r="D36" s="110">
        <v>0</v>
      </c>
      <c r="E36" s="110">
        <v>0</v>
      </c>
      <c r="F36" s="110">
        <v>0.94078764401416293</v>
      </c>
      <c r="G36" s="110">
        <v>527.21739570553689</v>
      </c>
      <c r="H36" s="110">
        <v>1.9593721122003638</v>
      </c>
      <c r="I36" s="110">
        <v>1098.0321316770837</v>
      </c>
      <c r="J36" s="110">
        <v>2.0893696293925563</v>
      </c>
      <c r="K36" s="110">
        <v>1170.8827403115886</v>
      </c>
      <c r="L36" s="110">
        <v>9.474322794881985</v>
      </c>
      <c r="M36" s="110">
        <v>5309.4104942518643</v>
      </c>
      <c r="N36" s="110">
        <v>7.4496806933953552</v>
      </c>
      <c r="O36" s="110">
        <v>4174.8010605787567</v>
      </c>
      <c r="P36" s="110">
        <v>6.5342133089080479</v>
      </c>
      <c r="Q36" s="110">
        <v>3661.7731383120699</v>
      </c>
      <c r="R36" s="110">
        <v>7.449014451629699</v>
      </c>
      <c r="S36" s="110">
        <v>4174.4276986932828</v>
      </c>
      <c r="T36" s="110">
        <v>5.359982053074928</v>
      </c>
      <c r="U36" s="110">
        <v>3003.7339425431896</v>
      </c>
      <c r="V36" s="110">
        <v>0</v>
      </c>
      <c r="W36" s="110">
        <v>0</v>
      </c>
      <c r="X36" s="110">
        <v>0</v>
      </c>
      <c r="Y36" s="110">
        <v>0</v>
      </c>
      <c r="Z36" s="110">
        <v>0</v>
      </c>
      <c r="AA36" s="110">
        <v>0</v>
      </c>
      <c r="AB36" s="110">
        <v>0</v>
      </c>
      <c r="AC36" s="110">
        <v>0</v>
      </c>
      <c r="AD36" s="110">
        <v>11.971117467910128</v>
      </c>
      <c r="AE36" s="110">
        <v>6708.6142290168355</v>
      </c>
      <c r="AF36" s="110">
        <v>10</v>
      </c>
      <c r="AG36" s="110">
        <v>5604</v>
      </c>
      <c r="AH36" s="110">
        <v>7.5324725868743716</v>
      </c>
      <c r="AI36" s="110">
        <v>4221.1976376843977</v>
      </c>
      <c r="AJ36" s="110">
        <v>4.0438521200616524</v>
      </c>
      <c r="AK36" s="110">
        <v>2266.1747280825498</v>
      </c>
      <c r="AL36" s="110">
        <v>14</v>
      </c>
      <c r="AM36" s="110">
        <v>7845.5999999999995</v>
      </c>
      <c r="AN36" s="110">
        <v>9</v>
      </c>
      <c r="AO36" s="110">
        <v>5043.5999999999995</v>
      </c>
      <c r="AP36" s="110">
        <v>9</v>
      </c>
      <c r="AQ36" s="110">
        <v>5043.5999999999995</v>
      </c>
      <c r="AR36" s="110">
        <v>13</v>
      </c>
      <c r="AS36" s="110">
        <v>7285.2</v>
      </c>
      <c r="AT36" s="110">
        <v>9.6527244246335826</v>
      </c>
      <c r="AU36" s="110">
        <v>5409.3867675646597</v>
      </c>
      <c r="AV36" s="110">
        <v>11.334807917717093</v>
      </c>
      <c r="AW36" s="110">
        <v>6352.0263570886591</v>
      </c>
      <c r="AX36" s="110">
        <v>9.2731394494589612</v>
      </c>
      <c r="AY36" s="110">
        <v>5196.6673474768013</v>
      </c>
      <c r="AZ36" s="110">
        <v>11</v>
      </c>
      <c r="BA36" s="110">
        <v>6164.4</v>
      </c>
      <c r="BB36" s="110">
        <v>11.327003802351408</v>
      </c>
      <c r="BC36" s="110">
        <v>6347.6529308377285</v>
      </c>
      <c r="BD36" s="110">
        <v>15</v>
      </c>
      <c r="BE36" s="110">
        <v>8406</v>
      </c>
      <c r="BF36" s="110">
        <v>16.452338310648535</v>
      </c>
      <c r="BG36" s="110">
        <v>9219.8903892874387</v>
      </c>
      <c r="BH36" s="110">
        <v>17.744544106388165</v>
      </c>
      <c r="BI36" s="110">
        <v>9944.0425172199266</v>
      </c>
      <c r="BJ36" s="110">
        <v>18.494811277006935</v>
      </c>
      <c r="BK36" s="110">
        <v>10364.492239634686</v>
      </c>
      <c r="BL36" s="110">
        <v>19.475859042073992</v>
      </c>
      <c r="BM36" s="110">
        <v>10914.271407178265</v>
      </c>
      <c r="BN36" s="110">
        <v>22.496478840198058</v>
      </c>
      <c r="BO36" s="110">
        <v>12607.026742046992</v>
      </c>
      <c r="BP36" s="110">
        <v>14.73864337161316</v>
      </c>
      <c r="BQ36" s="110">
        <v>8259.5357454520145</v>
      </c>
      <c r="BR36" s="110">
        <v>21</v>
      </c>
      <c r="BS36" s="110">
        <v>11768.4</v>
      </c>
      <c r="BT36" s="110">
        <v>15</v>
      </c>
      <c r="BU36" s="110">
        <v>8406</v>
      </c>
      <c r="BV36" s="110">
        <v>21.462024796712107</v>
      </c>
      <c r="BW36" s="110">
        <v>12027.318696077464</v>
      </c>
      <c r="BX36" s="110">
        <v>32</v>
      </c>
      <c r="BY36" s="110">
        <v>17932.8</v>
      </c>
      <c r="BZ36" s="110">
        <v>27</v>
      </c>
      <c r="CA36" s="110">
        <v>15130.8</v>
      </c>
      <c r="CB36" s="110">
        <v>26</v>
      </c>
      <c r="CC36" s="110">
        <v>14570.4</v>
      </c>
      <c r="CD36" s="110">
        <v>23</v>
      </c>
      <c r="CE36" s="110">
        <v>12889.199999999999</v>
      </c>
      <c r="CF36" s="110">
        <v>11</v>
      </c>
      <c r="CG36" s="110">
        <v>6164.4</v>
      </c>
      <c r="CH36" s="110">
        <v>10.131932882718637</v>
      </c>
      <c r="CI36" s="110">
        <v>5677.9351874755239</v>
      </c>
      <c r="CJ36" s="110">
        <v>10</v>
      </c>
      <c r="CK36" s="110">
        <v>5604</v>
      </c>
      <c r="CL36" s="110">
        <v>9</v>
      </c>
      <c r="CM36" s="110">
        <v>5043.5999999999995</v>
      </c>
      <c r="CN36" s="110">
        <v>9</v>
      </c>
      <c r="CO36" s="110">
        <v>5043.5999999999995</v>
      </c>
      <c r="CP36" s="110">
        <v>9.072957694440678</v>
      </c>
      <c r="CQ36" s="110">
        <v>5084.4854919645559</v>
      </c>
      <c r="CR36" s="110">
        <v>9.2852656361281625</v>
      </c>
      <c r="CS36" s="110">
        <v>5203.4628624862216</v>
      </c>
      <c r="CT36" s="110">
        <v>6.2888883823006996</v>
      </c>
      <c r="CU36" s="110">
        <v>3524.2930494413117</v>
      </c>
    </row>
    <row r="37" spans="2:99" x14ac:dyDescent="0.2">
      <c r="B37" s="109" t="s">
        <v>128</v>
      </c>
      <c r="C37" s="109" t="s">
        <v>205</v>
      </c>
      <c r="D37" s="110">
        <v>0</v>
      </c>
      <c r="E37" s="110">
        <v>0</v>
      </c>
      <c r="F37" s="110">
        <v>0.20427664663894943</v>
      </c>
      <c r="G37" s="110">
        <v>133.10666294993945</v>
      </c>
      <c r="H37" s="110">
        <v>0.36218600516526134</v>
      </c>
      <c r="I37" s="110">
        <v>236.00040096568429</v>
      </c>
      <c r="J37" s="110">
        <v>0.77317683649625335</v>
      </c>
      <c r="K37" s="110">
        <v>503.80202666095869</v>
      </c>
      <c r="L37" s="110">
        <v>1.7490434249657094</v>
      </c>
      <c r="M37" s="110">
        <v>1139.6766957076563</v>
      </c>
      <c r="N37" s="110">
        <v>1.2283846597795589</v>
      </c>
      <c r="O37" s="110">
        <v>800.41544431236059</v>
      </c>
      <c r="P37" s="110">
        <v>1.8507690337031066</v>
      </c>
      <c r="Q37" s="110">
        <v>1205.9611023609443</v>
      </c>
      <c r="R37" s="110">
        <v>2.8166782446958338</v>
      </c>
      <c r="S37" s="110">
        <v>1835.3475442438055</v>
      </c>
      <c r="T37" s="110">
        <v>5.3101911112014077</v>
      </c>
      <c r="U37" s="110">
        <v>3460.1205280588374</v>
      </c>
      <c r="V37" s="110">
        <v>7.449420358751131</v>
      </c>
      <c r="W37" s="110">
        <v>4854.0423057622374</v>
      </c>
      <c r="X37" s="110">
        <v>5.9810252989700805</v>
      </c>
      <c r="Y37" s="110">
        <v>3897.2360848089047</v>
      </c>
      <c r="Z37" s="110">
        <v>8.2512220086952901</v>
      </c>
      <c r="AA37" s="110">
        <v>5376.4962608658516</v>
      </c>
      <c r="AB37" s="110">
        <v>5.7941425235010842</v>
      </c>
      <c r="AC37" s="110">
        <v>3775.4632683133068</v>
      </c>
      <c r="AD37" s="110">
        <v>7.1566133190492476</v>
      </c>
      <c r="AE37" s="110">
        <v>4663.2492386924896</v>
      </c>
      <c r="AF37" s="110">
        <v>8.850964135703272</v>
      </c>
      <c r="AG37" s="110">
        <v>5767.2882308242524</v>
      </c>
      <c r="AH37" s="110">
        <v>6.648054855187941</v>
      </c>
      <c r="AI37" s="110">
        <v>4331.8725436404629</v>
      </c>
      <c r="AJ37" s="110">
        <v>8.7563818071859263</v>
      </c>
      <c r="AK37" s="110">
        <v>5705.6583855623494</v>
      </c>
      <c r="AL37" s="110">
        <v>7.2093436974201257</v>
      </c>
      <c r="AM37" s="110">
        <v>4697.6083532389539</v>
      </c>
      <c r="AN37" s="110">
        <v>5.8260157797347185</v>
      </c>
      <c r="AO37" s="110">
        <v>3796.2318820751425</v>
      </c>
      <c r="AP37" s="110">
        <v>9.7293348788233551</v>
      </c>
      <c r="AQ37" s="110">
        <v>6339.6346070412983</v>
      </c>
      <c r="AR37" s="110">
        <v>3.9125672710027488</v>
      </c>
      <c r="AS37" s="110">
        <v>2549.4288337853914</v>
      </c>
      <c r="AT37" s="110">
        <v>5</v>
      </c>
      <c r="AU37" s="110">
        <v>3258</v>
      </c>
      <c r="AV37" s="110">
        <v>7.8269916823711903</v>
      </c>
      <c r="AW37" s="110">
        <v>5100.0677802330674</v>
      </c>
      <c r="AX37" s="110">
        <v>4.7323530512017156</v>
      </c>
      <c r="AY37" s="110">
        <v>3083.6012481630378</v>
      </c>
      <c r="AZ37" s="110">
        <v>7.1673693767842792</v>
      </c>
      <c r="BA37" s="110">
        <v>4670.2578859126361</v>
      </c>
      <c r="BB37" s="110">
        <v>7.0977938998353807</v>
      </c>
      <c r="BC37" s="110">
        <v>4624.9225051327339</v>
      </c>
      <c r="BD37" s="110">
        <v>4.8597737936067871</v>
      </c>
      <c r="BE37" s="110">
        <v>3166.6286039141823</v>
      </c>
      <c r="BF37" s="110">
        <v>4.917558262083972</v>
      </c>
      <c r="BG37" s="110">
        <v>3204.2809635739163</v>
      </c>
      <c r="BH37" s="110">
        <v>2.3090345868184405</v>
      </c>
      <c r="BI37" s="110">
        <v>1504.5669367708958</v>
      </c>
      <c r="BJ37" s="110">
        <v>2.7679192123134482</v>
      </c>
      <c r="BK37" s="110">
        <v>1803.5761587434429</v>
      </c>
      <c r="BL37" s="110">
        <v>3.5907024788830011</v>
      </c>
      <c r="BM37" s="110">
        <v>2339.7017352401635</v>
      </c>
      <c r="BN37" s="110">
        <v>2.2514562155820963</v>
      </c>
      <c r="BO37" s="110">
        <v>1467.048870073294</v>
      </c>
      <c r="BP37" s="110">
        <v>4.3896004534701909</v>
      </c>
      <c r="BQ37" s="110">
        <v>2860.2636554811766</v>
      </c>
      <c r="BR37" s="110">
        <v>3.8290400020034223</v>
      </c>
      <c r="BS37" s="110">
        <v>2495.0024653054302</v>
      </c>
      <c r="BT37" s="110">
        <v>5</v>
      </c>
      <c r="BU37" s="110">
        <v>3258</v>
      </c>
      <c r="BV37" s="110">
        <v>6.1626580439612768</v>
      </c>
      <c r="BW37" s="110">
        <v>4015.5879814451682</v>
      </c>
      <c r="BX37" s="110">
        <v>4.620793338426016</v>
      </c>
      <c r="BY37" s="110">
        <v>3010.9089393183922</v>
      </c>
      <c r="BZ37" s="110">
        <v>7.9565137646403858</v>
      </c>
      <c r="CA37" s="110">
        <v>5184.4643690396751</v>
      </c>
      <c r="CB37" s="110">
        <v>9.0905264209326635</v>
      </c>
      <c r="CC37" s="110">
        <v>5923.3870158797235</v>
      </c>
      <c r="CD37" s="110">
        <v>8</v>
      </c>
      <c r="CE37" s="110">
        <v>5212.8</v>
      </c>
      <c r="CF37" s="110">
        <v>5.0869746180034534</v>
      </c>
      <c r="CG37" s="110">
        <v>3314.6726610910505</v>
      </c>
      <c r="CH37" s="110">
        <v>3.2370063456521994</v>
      </c>
      <c r="CI37" s="110">
        <v>2109.2333348269731</v>
      </c>
      <c r="CJ37" s="110">
        <v>1.7689255863264519</v>
      </c>
      <c r="CK37" s="110">
        <v>1152.631912050316</v>
      </c>
      <c r="CL37" s="110">
        <v>2.3569228342342572</v>
      </c>
      <c r="CM37" s="110">
        <v>1535.7709187870421</v>
      </c>
      <c r="CN37" s="110">
        <v>8.4784663806081486</v>
      </c>
      <c r="CO37" s="110">
        <v>5524.5686936042703</v>
      </c>
      <c r="CP37" s="110">
        <v>7.1983769279772538</v>
      </c>
      <c r="CQ37" s="110">
        <v>4690.4624062699786</v>
      </c>
      <c r="CR37" s="110">
        <v>9.5297448091694736</v>
      </c>
      <c r="CS37" s="110">
        <v>6209.5817176548289</v>
      </c>
      <c r="CT37" s="110">
        <v>8.5094723616909587</v>
      </c>
      <c r="CU37" s="110">
        <v>5544.7721908778285</v>
      </c>
    </row>
    <row r="38" spans="2:99" x14ac:dyDescent="0.2">
      <c r="C38" s="109" t="s">
        <v>206</v>
      </c>
      <c r="D38" s="110">
        <v>0</v>
      </c>
      <c r="E38" s="110">
        <v>0</v>
      </c>
      <c r="F38" s="110">
        <v>0.17068514906608945</v>
      </c>
      <c r="G38" s="110">
        <v>176.1470738362043</v>
      </c>
      <c r="H38" s="110">
        <v>0.43232572502863842</v>
      </c>
      <c r="I38" s="110">
        <v>446.16014822955486</v>
      </c>
      <c r="J38" s="110">
        <v>0.77934700090707754</v>
      </c>
      <c r="K38" s="110">
        <v>804.28610493610404</v>
      </c>
      <c r="L38" s="110">
        <v>1.3992347399725675</v>
      </c>
      <c r="M38" s="110">
        <v>1444.0102516516897</v>
      </c>
      <c r="N38" s="110">
        <v>1.2198923878902275</v>
      </c>
      <c r="O38" s="110">
        <v>1258.9289443027149</v>
      </c>
      <c r="P38" s="110">
        <v>1.8588571444932316</v>
      </c>
      <c r="Q38" s="110">
        <v>1918.3405731170151</v>
      </c>
      <c r="R38" s="110">
        <v>2.3771875134070077</v>
      </c>
      <c r="S38" s="110">
        <v>2453.2575138360321</v>
      </c>
      <c r="T38" s="110">
        <v>5.7481933744847966</v>
      </c>
      <c r="U38" s="110">
        <v>5932.1355624683101</v>
      </c>
      <c r="V38" s="110">
        <v>6.786692442995828</v>
      </c>
      <c r="W38" s="110">
        <v>7003.8666011716941</v>
      </c>
      <c r="X38" s="110">
        <v>5.265512393429252</v>
      </c>
      <c r="Y38" s="110">
        <v>5434.0087900189883</v>
      </c>
      <c r="Z38" s="110">
        <v>7.5564618658523539</v>
      </c>
      <c r="AA38" s="110">
        <v>7798.2686455596295</v>
      </c>
      <c r="AB38" s="110">
        <v>5.7790003266596814</v>
      </c>
      <c r="AC38" s="110">
        <v>5963.9283371127913</v>
      </c>
      <c r="AD38" s="110">
        <v>7.168161191852791</v>
      </c>
      <c r="AE38" s="110">
        <v>7397.5423499920807</v>
      </c>
      <c r="AF38" s="110">
        <v>8.042203240957738</v>
      </c>
      <c r="AG38" s="110">
        <v>8299.5537446683848</v>
      </c>
      <c r="AH38" s="110">
        <v>6.648054855187941</v>
      </c>
      <c r="AI38" s="110">
        <v>6860.7926105539555</v>
      </c>
      <c r="AJ38" s="110">
        <v>9.6071778250058664</v>
      </c>
      <c r="AK38" s="110">
        <v>9914.6075154060545</v>
      </c>
      <c r="AL38" s="110">
        <v>6.6441411057573916</v>
      </c>
      <c r="AM38" s="110">
        <v>6856.7536211416282</v>
      </c>
      <c r="AN38" s="110">
        <v>5.0340104174450984</v>
      </c>
      <c r="AO38" s="110">
        <v>5195.0987508033413</v>
      </c>
      <c r="AP38" s="110">
        <v>8.7764495014185613</v>
      </c>
      <c r="AQ38" s="110">
        <v>9057.2958854639546</v>
      </c>
      <c r="AR38" s="110">
        <v>3.8799868379910833</v>
      </c>
      <c r="AS38" s="110">
        <v>4004.1464168067978</v>
      </c>
      <c r="AT38" s="110">
        <v>5</v>
      </c>
      <c r="AU38" s="110">
        <v>5160</v>
      </c>
      <c r="AV38" s="110">
        <v>7.8086295282638316</v>
      </c>
      <c r="AW38" s="110">
        <v>8058.5056731682744</v>
      </c>
      <c r="AX38" s="110">
        <v>5.5210785597353347</v>
      </c>
      <c r="AY38" s="110">
        <v>5697.7530736468652</v>
      </c>
      <c r="AZ38" s="110">
        <v>7.9444077436807436</v>
      </c>
      <c r="BA38" s="110">
        <v>8198.628791478528</v>
      </c>
      <c r="BB38" s="110">
        <v>7.0977938998353807</v>
      </c>
      <c r="BC38" s="110">
        <v>7324.9233046301124</v>
      </c>
      <c r="BD38" s="110">
        <v>4.8597737936067871</v>
      </c>
      <c r="BE38" s="110">
        <v>5015.2865550022043</v>
      </c>
      <c r="BF38" s="110">
        <v>5.3391736555370697</v>
      </c>
      <c r="BG38" s="110">
        <v>5510.0272125142556</v>
      </c>
      <c r="BH38" s="110">
        <v>2.2962294442994513</v>
      </c>
      <c r="BI38" s="110">
        <v>2369.7087865170338</v>
      </c>
      <c r="BJ38" s="110">
        <v>3.3155125607050375</v>
      </c>
      <c r="BK38" s="110">
        <v>3421.6089626475987</v>
      </c>
      <c r="BL38" s="110">
        <v>4.2997143465129897</v>
      </c>
      <c r="BM38" s="110">
        <v>4437.3052056014058</v>
      </c>
      <c r="BN38" s="110">
        <v>2.263775800145841</v>
      </c>
      <c r="BO38" s="110">
        <v>2336.2166257505078</v>
      </c>
      <c r="BP38" s="110">
        <v>4.3896004534701909</v>
      </c>
      <c r="BQ38" s="110">
        <v>4530.0676679812368</v>
      </c>
      <c r="BR38" s="110">
        <v>3.8535015213013653</v>
      </c>
      <c r="BS38" s="110">
        <v>3976.8135699830091</v>
      </c>
      <c r="BT38" s="110">
        <v>5</v>
      </c>
      <c r="BU38" s="110">
        <v>5160</v>
      </c>
      <c r="BV38" s="110">
        <v>5.2033225549515958</v>
      </c>
      <c r="BW38" s="110">
        <v>5369.8288767100466</v>
      </c>
      <c r="BX38" s="110">
        <v>4.6053488455286189</v>
      </c>
      <c r="BY38" s="110">
        <v>4752.7200085855347</v>
      </c>
      <c r="BZ38" s="110">
        <v>8.8296816463870282</v>
      </c>
      <c r="CA38" s="110">
        <v>9112.2314590714122</v>
      </c>
      <c r="CB38" s="110">
        <v>9.0905264209326635</v>
      </c>
      <c r="CC38" s="110">
        <v>9381.4232664025094</v>
      </c>
      <c r="CD38" s="110">
        <v>8</v>
      </c>
      <c r="CE38" s="110">
        <v>8256</v>
      </c>
      <c r="CF38" s="110">
        <v>6.0869746180034534</v>
      </c>
      <c r="CG38" s="110">
        <v>6281.7578057795636</v>
      </c>
      <c r="CH38" s="110">
        <v>2.6975052880434993</v>
      </c>
      <c r="CI38" s="110">
        <v>2783.8254572608912</v>
      </c>
      <c r="CJ38" s="110">
        <v>2.0637465173808605</v>
      </c>
      <c r="CK38" s="110">
        <v>2129.7864059370481</v>
      </c>
      <c r="CL38" s="110">
        <v>2.3569228342342572</v>
      </c>
      <c r="CM38" s="110">
        <v>2432.3443649297533</v>
      </c>
      <c r="CN38" s="110">
        <v>9.9739347285846733</v>
      </c>
      <c r="CO38" s="110">
        <v>10293.100639899383</v>
      </c>
      <c r="CP38" s="110">
        <v>7.8352040854500489</v>
      </c>
      <c r="CQ38" s="110">
        <v>8085.9306161844506</v>
      </c>
      <c r="CR38" s="110">
        <v>9.5297448091694736</v>
      </c>
      <c r="CS38" s="110">
        <v>9834.6966430628963</v>
      </c>
      <c r="CT38" s="110">
        <v>9.0336092410063742</v>
      </c>
      <c r="CU38" s="110">
        <v>9322.6847367185783</v>
      </c>
    </row>
    <row r="39" spans="2:99" x14ac:dyDescent="0.2">
      <c r="C39" s="109" t="s">
        <v>207</v>
      </c>
      <c r="D39" s="110">
        <v>0</v>
      </c>
      <c r="E39" s="110">
        <v>0</v>
      </c>
      <c r="F39" s="110">
        <v>0.20427664663894943</v>
      </c>
      <c r="G39" s="110">
        <v>247.5832957264067</v>
      </c>
      <c r="H39" s="110">
        <v>0.36218600516526134</v>
      </c>
      <c r="I39" s="110">
        <v>438.96943826029673</v>
      </c>
      <c r="J39" s="110">
        <v>0.96030088120949275</v>
      </c>
      <c r="K39" s="110">
        <v>1163.8846680259053</v>
      </c>
      <c r="L39" s="110">
        <v>1.7490434249657094</v>
      </c>
      <c r="M39" s="110">
        <v>2119.8406310584396</v>
      </c>
      <c r="N39" s="110">
        <v>1.2198923878902275</v>
      </c>
      <c r="O39" s="110">
        <v>1478.5095741229557</v>
      </c>
      <c r="P39" s="110">
        <v>1.8426809229129812</v>
      </c>
      <c r="Q39" s="110">
        <v>2233.3292785705335</v>
      </c>
      <c r="R39" s="110">
        <v>2.8166782446958338</v>
      </c>
      <c r="S39" s="110">
        <v>3413.8140325713507</v>
      </c>
      <c r="T39" s="110">
        <v>4.8661706310512702</v>
      </c>
      <c r="U39" s="110">
        <v>5897.7988048341394</v>
      </c>
      <c r="V39" s="110">
        <v>6.7707511144515484</v>
      </c>
      <c r="W39" s="110">
        <v>8206.1503507152775</v>
      </c>
      <c r="X39" s="110">
        <v>5.265512393429252</v>
      </c>
      <c r="Y39" s="110">
        <v>6381.8010208362539</v>
      </c>
      <c r="Z39" s="110">
        <v>7.5564618658523539</v>
      </c>
      <c r="AA39" s="110">
        <v>9158.4317814130536</v>
      </c>
      <c r="AB39" s="110">
        <v>5.7941425235010842</v>
      </c>
      <c r="AC39" s="110">
        <v>7022.5007384833143</v>
      </c>
      <c r="AD39" s="110">
        <v>7.7017922484514001</v>
      </c>
      <c r="AE39" s="110">
        <v>9334.5722051230969</v>
      </c>
      <c r="AF39" s="110">
        <v>8.0573384764569376</v>
      </c>
      <c r="AG39" s="110">
        <v>9765.4942334658081</v>
      </c>
      <c r="AH39" s="110">
        <v>6.648054855187941</v>
      </c>
      <c r="AI39" s="110">
        <v>8057.4424844877849</v>
      </c>
      <c r="AJ39" s="110">
        <v>8.7496677091052089</v>
      </c>
      <c r="AK39" s="110">
        <v>10604.597263435513</v>
      </c>
      <c r="AL39" s="110">
        <v>6.1108515896782158</v>
      </c>
      <c r="AM39" s="110">
        <v>7406.3521266899979</v>
      </c>
      <c r="AN39" s="110">
        <v>5.0496758754288411</v>
      </c>
      <c r="AO39" s="110">
        <v>6120.2071610197554</v>
      </c>
      <c r="AP39" s="110">
        <v>8.7898149084035868</v>
      </c>
      <c r="AQ39" s="110">
        <v>10653.255668985148</v>
      </c>
      <c r="AR39" s="110">
        <v>3.8474064049794179</v>
      </c>
      <c r="AS39" s="110">
        <v>4663.0565628350541</v>
      </c>
      <c r="AT39" s="110">
        <v>6</v>
      </c>
      <c r="AU39" s="110">
        <v>7272</v>
      </c>
      <c r="AV39" s="110">
        <v>7.8086295282638316</v>
      </c>
      <c r="AW39" s="110">
        <v>9464.0589882557633</v>
      </c>
      <c r="AX39" s="110">
        <v>3.943627542668096</v>
      </c>
      <c r="AY39" s="110">
        <v>4779.676581713732</v>
      </c>
      <c r="AZ39" s="110">
        <v>7.1425087946819792</v>
      </c>
      <c r="BA39" s="110">
        <v>8656.7206591545582</v>
      </c>
      <c r="BB39" s="110">
        <v>6.3880145098518426</v>
      </c>
      <c r="BC39" s="110">
        <v>7742.2735859404329</v>
      </c>
      <c r="BD39" s="110">
        <v>4.3848539250432905</v>
      </c>
      <c r="BE39" s="110">
        <v>5314.4429571524679</v>
      </c>
      <c r="BF39" s="110">
        <v>4.9028325287102925</v>
      </c>
      <c r="BG39" s="110">
        <v>5942.2330247968748</v>
      </c>
      <c r="BH39" s="110">
        <v>1.8677158974851351</v>
      </c>
      <c r="BI39" s="110">
        <v>2263.6716677519839</v>
      </c>
      <c r="BJ39" s="110">
        <v>2.7636402879769482</v>
      </c>
      <c r="BK39" s="110">
        <v>3349.5320290280611</v>
      </c>
      <c r="BL39" s="110">
        <v>3.5907024788830011</v>
      </c>
      <c r="BM39" s="110">
        <v>4351.9314044061975</v>
      </c>
      <c r="BN39" s="110">
        <v>2.2514562155820963</v>
      </c>
      <c r="BO39" s="110">
        <v>2728.7649332855008</v>
      </c>
      <c r="BP39" s="110">
        <v>3.6662677114186639</v>
      </c>
      <c r="BQ39" s="110">
        <v>4443.5164662394209</v>
      </c>
      <c r="BR39" s="110">
        <v>3.8535015213013653</v>
      </c>
      <c r="BS39" s="110">
        <v>4670.4438438172547</v>
      </c>
      <c r="BT39" s="110">
        <v>5</v>
      </c>
      <c r="BU39" s="110">
        <v>6060</v>
      </c>
      <c r="BV39" s="110">
        <v>6.1829902994564367</v>
      </c>
      <c r="BW39" s="110">
        <v>7493.7842429412012</v>
      </c>
      <c r="BX39" s="110">
        <v>4.620793338426016</v>
      </c>
      <c r="BY39" s="110">
        <v>5600.4015261723316</v>
      </c>
      <c r="BZ39" s="110">
        <v>7.0833458828937426</v>
      </c>
      <c r="CA39" s="110">
        <v>8585.0152100672167</v>
      </c>
      <c r="CB39" s="110">
        <v>8.0905264209326635</v>
      </c>
      <c r="CC39" s="110">
        <v>9805.7180221703875</v>
      </c>
      <c r="CD39" s="110">
        <v>7</v>
      </c>
      <c r="CE39" s="110">
        <v>8484</v>
      </c>
      <c r="CF39" s="110">
        <v>6.0869746180034534</v>
      </c>
      <c r="CG39" s="110">
        <v>7377.4132370201851</v>
      </c>
      <c r="CH39" s="110">
        <v>3.2370063456521994</v>
      </c>
      <c r="CI39" s="110">
        <v>3923.2516909304654</v>
      </c>
      <c r="CJ39" s="110">
        <v>1.7689255863264519</v>
      </c>
      <c r="CK39" s="110">
        <v>2143.9378106276599</v>
      </c>
      <c r="CL39" s="110">
        <v>2.3569228342342572</v>
      </c>
      <c r="CM39" s="110">
        <v>2856.5904750919199</v>
      </c>
      <c r="CN39" s="110">
        <v>9.9739347285846733</v>
      </c>
      <c r="CO39" s="110">
        <v>12088.408891044624</v>
      </c>
      <c r="CP39" s="110">
        <v>6.5264082803632766</v>
      </c>
      <c r="CQ39" s="110">
        <v>7910.0068358002909</v>
      </c>
      <c r="CR39" s="110">
        <v>10.125353859742566</v>
      </c>
      <c r="CS39" s="110">
        <v>12271.92887800799</v>
      </c>
      <c r="CT39" s="110">
        <v>7.969925195795005</v>
      </c>
      <c r="CU39" s="110">
        <v>9659.5493373035461</v>
      </c>
    </row>
    <row r="40" spans="2:99" x14ac:dyDescent="0.2">
      <c r="C40" s="109" t="s">
        <v>208</v>
      </c>
      <c r="D40" s="110">
        <v>0</v>
      </c>
      <c r="E40" s="110">
        <v>0</v>
      </c>
      <c r="F40" s="110">
        <v>0.20427664663894943</v>
      </c>
      <c r="G40" s="110">
        <v>105.65188164166463</v>
      </c>
      <c r="H40" s="110">
        <v>0.43232572502863842</v>
      </c>
      <c r="I40" s="110">
        <v>223.59886498481177</v>
      </c>
      <c r="J40" s="110">
        <v>0.96030088120949275</v>
      </c>
      <c r="K40" s="110">
        <v>496.6676157615496</v>
      </c>
      <c r="L40" s="110">
        <v>1.7490434249657094</v>
      </c>
      <c r="M40" s="110">
        <v>904.60525939226477</v>
      </c>
      <c r="N40" s="110">
        <v>1.2198923878902275</v>
      </c>
      <c r="O40" s="110">
        <v>630.92834301682558</v>
      </c>
      <c r="P40" s="110">
        <v>1.8426809229129812</v>
      </c>
      <c r="Q40" s="110">
        <v>953.03457333059373</v>
      </c>
      <c r="R40" s="110">
        <v>2.3652052562761492</v>
      </c>
      <c r="S40" s="110">
        <v>1223.2841585460242</v>
      </c>
      <c r="T40" s="110">
        <v>5.7421751576180471</v>
      </c>
      <c r="U40" s="110">
        <v>2969.8529915200534</v>
      </c>
      <c r="V40" s="110">
        <v>7.449420358751131</v>
      </c>
      <c r="W40" s="110">
        <v>3852.8402095460842</v>
      </c>
      <c r="X40" s="110">
        <v>5.265512393429252</v>
      </c>
      <c r="Y40" s="110">
        <v>2723.3230098816089</v>
      </c>
      <c r="Z40" s="110">
        <v>8.2512220086952901</v>
      </c>
      <c r="AA40" s="110">
        <v>4267.5320228972032</v>
      </c>
      <c r="AB40" s="110">
        <v>6.5051609167024926</v>
      </c>
      <c r="AC40" s="110">
        <v>3364.4692261185287</v>
      </c>
      <c r="AD40" s="110">
        <v>7.168161191852791</v>
      </c>
      <c r="AE40" s="110">
        <v>3707.372968426263</v>
      </c>
      <c r="AF40" s="110">
        <v>8.0724737119561389</v>
      </c>
      <c r="AG40" s="110">
        <v>4175.0834038237144</v>
      </c>
      <c r="AH40" s="110">
        <v>5.9145304393764588</v>
      </c>
      <c r="AI40" s="110">
        <v>3058.9951432455041</v>
      </c>
      <c r="AJ40" s="110">
        <v>8.7496677091052089</v>
      </c>
      <c r="AK40" s="110">
        <v>4525.3281391492137</v>
      </c>
      <c r="AL40" s="110">
        <v>7.2093436974201257</v>
      </c>
      <c r="AM40" s="110">
        <v>3728.6725603056884</v>
      </c>
      <c r="AN40" s="110">
        <v>5.8260157797347185</v>
      </c>
      <c r="AO40" s="110">
        <v>3013.2153612787961</v>
      </c>
      <c r="AP40" s="110">
        <v>9.7293348788233551</v>
      </c>
      <c r="AQ40" s="110">
        <v>5032.0119993274384</v>
      </c>
      <c r="AR40" s="110">
        <v>4.7929677897184382</v>
      </c>
      <c r="AS40" s="110">
        <v>2478.9229408423757</v>
      </c>
      <c r="AT40" s="110">
        <v>6</v>
      </c>
      <c r="AU40" s="110">
        <v>3103.2</v>
      </c>
      <c r="AV40" s="110">
        <v>7.8269916823711903</v>
      </c>
      <c r="AW40" s="110">
        <v>4048.1200981223792</v>
      </c>
      <c r="AX40" s="110">
        <v>5.5210785597353347</v>
      </c>
      <c r="AY40" s="110">
        <v>2855.5018310951145</v>
      </c>
      <c r="AZ40" s="110">
        <v>7.1673693767842792</v>
      </c>
      <c r="BA40" s="110">
        <v>3706.9634416728286</v>
      </c>
      <c r="BB40" s="110">
        <v>5.6782351198683045</v>
      </c>
      <c r="BC40" s="110">
        <v>2936.7832039958867</v>
      </c>
      <c r="BD40" s="110">
        <v>4.8659168551607772</v>
      </c>
      <c r="BE40" s="110">
        <v>2516.6521974891534</v>
      </c>
      <c r="BF40" s="110">
        <v>5.7902405157375245</v>
      </c>
      <c r="BG40" s="110">
        <v>2994.7123947394471</v>
      </c>
      <c r="BH40" s="110">
        <v>2.3090345868184405</v>
      </c>
      <c r="BI40" s="110">
        <v>1194.2326883024973</v>
      </c>
      <c r="BJ40" s="110">
        <v>3.3112336363685371</v>
      </c>
      <c r="BK40" s="110">
        <v>1712.570036729807</v>
      </c>
      <c r="BL40" s="110">
        <v>3.5907024788830011</v>
      </c>
      <c r="BM40" s="110">
        <v>1857.1113220782879</v>
      </c>
      <c r="BN40" s="110">
        <v>2.263775800145841</v>
      </c>
      <c r="BO40" s="110">
        <v>1170.8248438354287</v>
      </c>
      <c r="BP40" s="110">
        <v>4.3825141675900428</v>
      </c>
      <c r="BQ40" s="110">
        <v>2266.6363274775699</v>
      </c>
      <c r="BR40" s="110">
        <v>3.8535015213013653</v>
      </c>
      <c r="BS40" s="110">
        <v>1993.0309868170659</v>
      </c>
      <c r="BT40" s="110">
        <v>5</v>
      </c>
      <c r="BU40" s="110">
        <v>2585.9999999999995</v>
      </c>
      <c r="BV40" s="110">
        <v>5.1829902994564367</v>
      </c>
      <c r="BW40" s="110">
        <v>2680.6425828788688</v>
      </c>
      <c r="BX40" s="110">
        <v>5.3600365757022237</v>
      </c>
      <c r="BY40" s="110">
        <v>2772.2109169531896</v>
      </c>
      <c r="BZ40" s="110">
        <v>7.9565137646403858</v>
      </c>
      <c r="CA40" s="110">
        <v>4115.1089190720068</v>
      </c>
      <c r="CB40" s="110">
        <v>9.0905264209326635</v>
      </c>
      <c r="CC40" s="110">
        <v>4701.6202649063725</v>
      </c>
      <c r="CD40" s="110">
        <v>8</v>
      </c>
      <c r="CE40" s="110">
        <v>4137.5999999999995</v>
      </c>
      <c r="CF40" s="110">
        <v>6.0724788483362113</v>
      </c>
      <c r="CG40" s="110">
        <v>3140.6860603594882</v>
      </c>
      <c r="CH40" s="110">
        <v>3.2370063456521994</v>
      </c>
      <c r="CI40" s="110">
        <v>1674.1796819713172</v>
      </c>
      <c r="CJ40" s="110">
        <v>1.7689255863264519</v>
      </c>
      <c r="CK40" s="110">
        <v>914.88831324804084</v>
      </c>
      <c r="CL40" s="110">
        <v>2.8100286143417295</v>
      </c>
      <c r="CM40" s="110">
        <v>1453.3467993375423</v>
      </c>
      <c r="CN40" s="110">
        <v>9.9614975023611549</v>
      </c>
      <c r="CO40" s="110">
        <v>5152.0865082211885</v>
      </c>
      <c r="CP40" s="110">
        <v>7.8176333403794578</v>
      </c>
      <c r="CQ40" s="110">
        <v>4043.2799636442551</v>
      </c>
      <c r="CR40" s="110">
        <v>11.316571960888751</v>
      </c>
      <c r="CS40" s="110">
        <v>5852.9310181716619</v>
      </c>
      <c r="CT40" s="110">
        <v>8.5094723616909587</v>
      </c>
      <c r="CU40" s="110">
        <v>4401.0991054665628</v>
      </c>
    </row>
    <row r="41" spans="2:99" x14ac:dyDescent="0.2">
      <c r="C41" s="109" t="s">
        <v>209</v>
      </c>
      <c r="D41" s="110">
        <v>0</v>
      </c>
      <c r="E41" s="110">
        <v>0</v>
      </c>
      <c r="F41" s="110">
        <v>0.20427664663894943</v>
      </c>
      <c r="G41" s="110">
        <v>92.905018891394207</v>
      </c>
      <c r="H41" s="110">
        <v>0.43462320619831352</v>
      </c>
      <c r="I41" s="110">
        <v>197.66663417899298</v>
      </c>
      <c r="J41" s="110">
        <v>0.96030088120949275</v>
      </c>
      <c r="K41" s="110">
        <v>436.74484077407732</v>
      </c>
      <c r="L41" s="110">
        <v>1.7490434249657094</v>
      </c>
      <c r="M41" s="110">
        <v>795.46494967440469</v>
      </c>
      <c r="N41" s="110">
        <v>1.2198923878902275</v>
      </c>
      <c r="O41" s="110">
        <v>554.80705801247552</v>
      </c>
      <c r="P41" s="110">
        <v>1.8588571444932316</v>
      </c>
      <c r="Q41" s="110">
        <v>845.40822931552179</v>
      </c>
      <c r="R41" s="110">
        <v>2.8166782446958338</v>
      </c>
      <c r="S41" s="110">
        <v>1281.0252656876653</v>
      </c>
      <c r="T41" s="110">
        <v>5.3041728943346582</v>
      </c>
      <c r="U41" s="110">
        <v>2412.3378323434026</v>
      </c>
      <c r="V41" s="110">
        <v>7.4334790302068514</v>
      </c>
      <c r="W41" s="110">
        <v>3380.7462629380761</v>
      </c>
      <c r="X41" s="110">
        <v>5.2494547650140362</v>
      </c>
      <c r="Y41" s="110">
        <v>2387.4520271283836</v>
      </c>
      <c r="Z41" s="110">
        <v>7.5707784834223473</v>
      </c>
      <c r="AA41" s="110">
        <v>3443.1900542604835</v>
      </c>
      <c r="AB41" s="110">
        <v>6.4900187198610881</v>
      </c>
      <c r="AC41" s="110">
        <v>2951.6605137928232</v>
      </c>
      <c r="AD41" s="110">
        <v>7.7017922484514001</v>
      </c>
      <c r="AE41" s="110">
        <v>3502.7751145956968</v>
      </c>
      <c r="AF41" s="110">
        <v>8.850964135703272</v>
      </c>
      <c r="AG41" s="110">
        <v>4025.4184889178482</v>
      </c>
      <c r="AH41" s="110">
        <v>6.6557773740020414</v>
      </c>
      <c r="AI41" s="110">
        <v>3027.0475496961285</v>
      </c>
      <c r="AJ41" s="110">
        <v>8.7698100033473612</v>
      </c>
      <c r="AK41" s="110">
        <v>3988.5095895223799</v>
      </c>
      <c r="AL41" s="110">
        <v>6.6547787976185768</v>
      </c>
      <c r="AM41" s="110">
        <v>3026.5933971569289</v>
      </c>
      <c r="AN41" s="110">
        <v>5.0183449594613547</v>
      </c>
      <c r="AO41" s="110">
        <v>2282.3432875630242</v>
      </c>
      <c r="AP41" s="110">
        <v>8.7898149084035868</v>
      </c>
      <c r="AQ41" s="110">
        <v>3997.6078203419515</v>
      </c>
      <c r="AR41" s="110">
        <v>4.7929677897184382</v>
      </c>
      <c r="AS41" s="110">
        <v>2179.8417507639456</v>
      </c>
      <c r="AT41" s="110">
        <v>6</v>
      </c>
      <c r="AU41" s="110">
        <v>2728.8</v>
      </c>
      <c r="AV41" s="110">
        <v>7.8269916823711903</v>
      </c>
      <c r="AW41" s="110">
        <v>3559.7158171424176</v>
      </c>
      <c r="AX41" s="110">
        <v>4.7323530512017156</v>
      </c>
      <c r="AY41" s="110">
        <v>2152.2741676865403</v>
      </c>
      <c r="AZ41" s="110">
        <v>7.9444077436807436</v>
      </c>
      <c r="BA41" s="110">
        <v>3613.1166418260023</v>
      </c>
      <c r="BB41" s="110">
        <v>6.3880145098518426</v>
      </c>
      <c r="BC41" s="110">
        <v>2905.268999080618</v>
      </c>
      <c r="BD41" s="110">
        <v>4.3909969865972798</v>
      </c>
      <c r="BE41" s="110">
        <v>1997.0254295044429</v>
      </c>
      <c r="BF41" s="110">
        <v>4.9028325287102925</v>
      </c>
      <c r="BG41" s="110">
        <v>2229.808234057441</v>
      </c>
      <c r="BH41" s="110">
        <v>2.3090345868184405</v>
      </c>
      <c r="BI41" s="110">
        <v>1050.1489300850267</v>
      </c>
      <c r="BJ41" s="110">
        <v>3.3112336363685371</v>
      </c>
      <c r="BK41" s="110">
        <v>1505.9490578204106</v>
      </c>
      <c r="BL41" s="110">
        <v>3.5907024788830011</v>
      </c>
      <c r="BM41" s="110">
        <v>1633.0514873959889</v>
      </c>
      <c r="BN41" s="110">
        <v>2.2514562155820963</v>
      </c>
      <c r="BO41" s="110">
        <v>1023.9622868467375</v>
      </c>
      <c r="BP41" s="110">
        <v>3.6662677114186639</v>
      </c>
      <c r="BQ41" s="110">
        <v>1667.4185551532084</v>
      </c>
      <c r="BR41" s="110">
        <v>3.107262736339035</v>
      </c>
      <c r="BS41" s="110">
        <v>1413.1830924869932</v>
      </c>
      <c r="BT41" s="110">
        <v>4</v>
      </c>
      <c r="BU41" s="110">
        <v>1819.2</v>
      </c>
      <c r="BV41" s="110">
        <v>6.1829902994564367</v>
      </c>
      <c r="BW41" s="110">
        <v>2812.0239881927873</v>
      </c>
      <c r="BX41" s="110">
        <v>4.620793338426016</v>
      </c>
      <c r="BY41" s="110">
        <v>2101.5368103161522</v>
      </c>
      <c r="BZ41" s="110">
        <v>8.8296816463870282</v>
      </c>
      <c r="CA41" s="110">
        <v>4015.7392127768208</v>
      </c>
      <c r="CB41" s="110">
        <v>9.1056141577547738</v>
      </c>
      <c r="CC41" s="110">
        <v>4141.2333189468709</v>
      </c>
      <c r="CD41" s="110">
        <v>8</v>
      </c>
      <c r="CE41" s="110">
        <v>3638.4</v>
      </c>
      <c r="CF41" s="110">
        <v>6.0724788483362113</v>
      </c>
      <c r="CG41" s="110">
        <v>2761.763380223309</v>
      </c>
      <c r="CH41" s="110">
        <v>2.6975052880434993</v>
      </c>
      <c r="CI41" s="110">
        <v>1226.8254050021835</v>
      </c>
      <c r="CJ41" s="110">
        <v>1.7689255863264519</v>
      </c>
      <c r="CK41" s="110">
        <v>804.50735666127036</v>
      </c>
      <c r="CL41" s="110">
        <v>2.8100286143417295</v>
      </c>
      <c r="CM41" s="110">
        <v>1278.0010138026187</v>
      </c>
      <c r="CN41" s="110">
        <v>8.9728100878591501</v>
      </c>
      <c r="CO41" s="110">
        <v>4080.8340279583417</v>
      </c>
      <c r="CP41" s="110">
        <v>8.4720312429228439</v>
      </c>
      <c r="CQ41" s="110">
        <v>3853.0798092813097</v>
      </c>
      <c r="CR41" s="110">
        <v>11.316571960888751</v>
      </c>
      <c r="CS41" s="110">
        <v>5146.7769278122041</v>
      </c>
      <c r="CT41" s="110">
        <v>8.524882648271495</v>
      </c>
      <c r="CU41" s="110">
        <v>3877.116628433876</v>
      </c>
    </row>
    <row r="42" spans="2:99" x14ac:dyDescent="0.2">
      <c r="C42" s="109" t="s">
        <v>210</v>
      </c>
      <c r="D42" s="110">
        <v>0</v>
      </c>
      <c r="E42" s="110">
        <v>0</v>
      </c>
      <c r="F42" s="110">
        <v>0.20427664663894943</v>
      </c>
      <c r="G42" s="110">
        <v>142.1765460607088</v>
      </c>
      <c r="H42" s="110">
        <v>0.43232572502863842</v>
      </c>
      <c r="I42" s="110">
        <v>300.89870461993235</v>
      </c>
      <c r="J42" s="110">
        <v>0.95413071679866845</v>
      </c>
      <c r="K42" s="110">
        <v>664.07497889187323</v>
      </c>
      <c r="L42" s="110">
        <v>1.7490434249657094</v>
      </c>
      <c r="M42" s="110">
        <v>1217.3342237761337</v>
      </c>
      <c r="N42" s="110">
        <v>1.2283846597795589</v>
      </c>
      <c r="O42" s="110">
        <v>854.955723206573</v>
      </c>
      <c r="P42" s="110">
        <v>1.8507690337031066</v>
      </c>
      <c r="Q42" s="110">
        <v>1288.1352474573623</v>
      </c>
      <c r="R42" s="110">
        <v>2.3652052562761492</v>
      </c>
      <c r="S42" s="110">
        <v>1646.1828583681997</v>
      </c>
      <c r="T42" s="110">
        <v>5.7421751576180471</v>
      </c>
      <c r="U42" s="110">
        <v>3996.5539097021606</v>
      </c>
      <c r="V42" s="110">
        <v>7.449420358751131</v>
      </c>
      <c r="W42" s="110">
        <v>5184.7965696907868</v>
      </c>
      <c r="X42" s="110">
        <v>5.9970829273852964</v>
      </c>
      <c r="Y42" s="110">
        <v>4173.9697174601661</v>
      </c>
      <c r="Z42" s="110">
        <v>6.8903349581494018</v>
      </c>
      <c r="AA42" s="110">
        <v>4795.6731308719836</v>
      </c>
      <c r="AB42" s="110">
        <v>6.5051609167024926</v>
      </c>
      <c r="AC42" s="110">
        <v>4527.5919980249346</v>
      </c>
      <c r="AD42" s="110">
        <v>7.7017922484514001</v>
      </c>
      <c r="AE42" s="110">
        <v>5360.4474049221744</v>
      </c>
      <c r="AF42" s="110">
        <v>8.0573384764569376</v>
      </c>
      <c r="AG42" s="110">
        <v>5607.9075796140287</v>
      </c>
      <c r="AH42" s="110">
        <v>6.648054855187941</v>
      </c>
      <c r="AI42" s="110">
        <v>4627.0461792108072</v>
      </c>
      <c r="AJ42" s="110">
        <v>7.8988716912852706</v>
      </c>
      <c r="AK42" s="110">
        <v>5497.6146971345479</v>
      </c>
      <c r="AL42" s="110">
        <v>6.6654164894797647</v>
      </c>
      <c r="AM42" s="110">
        <v>4639.1298766779164</v>
      </c>
      <c r="AN42" s="110">
        <v>5.857346695702204</v>
      </c>
      <c r="AO42" s="110">
        <v>4076.7133002087339</v>
      </c>
      <c r="AP42" s="110">
        <v>9.7293348788233551</v>
      </c>
      <c r="AQ42" s="110">
        <v>6771.6170756610554</v>
      </c>
      <c r="AR42" s="110">
        <v>4.7929677897184382</v>
      </c>
      <c r="AS42" s="110">
        <v>3335.9055816440332</v>
      </c>
      <c r="AT42" s="110">
        <v>5</v>
      </c>
      <c r="AU42" s="110">
        <v>3480</v>
      </c>
      <c r="AV42" s="110">
        <v>7.8269916823711903</v>
      </c>
      <c r="AW42" s="110">
        <v>5447.586210930348</v>
      </c>
      <c r="AX42" s="110">
        <v>5.5210785597353347</v>
      </c>
      <c r="AY42" s="110">
        <v>3842.670677575793</v>
      </c>
      <c r="AZ42" s="110">
        <v>7.1673693767842792</v>
      </c>
      <c r="BA42" s="110">
        <v>4988.4890862418579</v>
      </c>
      <c r="BB42" s="110">
        <v>6.3880145098518426</v>
      </c>
      <c r="BC42" s="110">
        <v>4446.0580988568827</v>
      </c>
      <c r="BD42" s="110">
        <v>4.8659168551607772</v>
      </c>
      <c r="BE42" s="110">
        <v>3386.6781311919008</v>
      </c>
      <c r="BF42" s="110">
        <v>5.7755147823638451</v>
      </c>
      <c r="BG42" s="110">
        <v>4019.7582885252364</v>
      </c>
      <c r="BH42" s="110">
        <v>2.3090345868184405</v>
      </c>
      <c r="BI42" s="110">
        <v>1607.0880724256347</v>
      </c>
      <c r="BJ42" s="110">
        <v>2.7679192123134482</v>
      </c>
      <c r="BK42" s="110">
        <v>1926.4717717701599</v>
      </c>
      <c r="BL42" s="110">
        <v>4.2997143465129897</v>
      </c>
      <c r="BM42" s="110">
        <v>2992.6011851730409</v>
      </c>
      <c r="BN42" s="110">
        <v>2.2514562155820963</v>
      </c>
      <c r="BO42" s="110">
        <v>1567.0135260451391</v>
      </c>
      <c r="BP42" s="110">
        <v>4.3896004534701909</v>
      </c>
      <c r="BQ42" s="110">
        <v>3055.1619156152528</v>
      </c>
      <c r="BR42" s="110">
        <v>3.8290400020034223</v>
      </c>
      <c r="BS42" s="110">
        <v>2665.0118413943819</v>
      </c>
      <c r="BT42" s="110">
        <v>4</v>
      </c>
      <c r="BU42" s="110">
        <v>2784</v>
      </c>
      <c r="BV42" s="110">
        <v>6.2033225549515958</v>
      </c>
      <c r="BW42" s="110">
        <v>4317.5124982463103</v>
      </c>
      <c r="BX42" s="110">
        <v>4.620793338426016</v>
      </c>
      <c r="BY42" s="110">
        <v>3216.072163544507</v>
      </c>
      <c r="BZ42" s="110">
        <v>7.9565137646403858</v>
      </c>
      <c r="CA42" s="110">
        <v>5537.7335801897088</v>
      </c>
      <c r="CB42" s="110">
        <v>10.090526420932663</v>
      </c>
      <c r="CC42" s="110">
        <v>7023.0063889691337</v>
      </c>
      <c r="CD42" s="110">
        <v>8</v>
      </c>
      <c r="CE42" s="110">
        <v>5568</v>
      </c>
      <c r="CF42" s="110">
        <v>5.0724788483362113</v>
      </c>
      <c r="CG42" s="110">
        <v>3530.4452784420032</v>
      </c>
      <c r="CH42" s="110">
        <v>2.6975052880434993</v>
      </c>
      <c r="CI42" s="110">
        <v>1877.4636804782756</v>
      </c>
      <c r="CJ42" s="110">
        <v>1.7689255863264519</v>
      </c>
      <c r="CK42" s="110">
        <v>1231.1722080832105</v>
      </c>
      <c r="CL42" s="110">
        <v>2.3569228342342572</v>
      </c>
      <c r="CM42" s="110">
        <v>1640.418292627043</v>
      </c>
      <c r="CN42" s="110">
        <v>9.4795910213336718</v>
      </c>
      <c r="CO42" s="110">
        <v>6597.795350848236</v>
      </c>
      <c r="CP42" s="110">
        <v>7.1808061829066627</v>
      </c>
      <c r="CQ42" s="110">
        <v>4997.841103303037</v>
      </c>
      <c r="CR42" s="110">
        <v>11.316571960888751</v>
      </c>
      <c r="CS42" s="110">
        <v>7876.3340847785712</v>
      </c>
      <c r="CT42" s="110">
        <v>8.5094723616909587</v>
      </c>
      <c r="CU42" s="110">
        <v>5922.5927637369068</v>
      </c>
    </row>
    <row r="43" spans="2:99" x14ac:dyDescent="0.2">
      <c r="C43" s="109" t="s">
        <v>211</v>
      </c>
      <c r="D43" s="110">
        <v>0</v>
      </c>
      <c r="E43" s="110">
        <v>0</v>
      </c>
      <c r="F43" s="110">
        <v>0.17068514906608945</v>
      </c>
      <c r="G43" s="110">
        <v>139.07425945904967</v>
      </c>
      <c r="H43" s="110">
        <v>0.43462320619831352</v>
      </c>
      <c r="I43" s="110">
        <v>354.13098841038584</v>
      </c>
      <c r="J43" s="110">
        <v>0.77317683649625335</v>
      </c>
      <c r="K43" s="110">
        <v>629.98448637714716</v>
      </c>
      <c r="L43" s="110">
        <v>1.7490434249657094</v>
      </c>
      <c r="M43" s="110">
        <v>1425.1205826620599</v>
      </c>
      <c r="N43" s="110">
        <v>1.2114001160008958</v>
      </c>
      <c r="O43" s="110">
        <v>987.04881451752988</v>
      </c>
      <c r="P43" s="110">
        <v>1.5611797865962143</v>
      </c>
      <c r="Q43" s="110">
        <v>1272.0492901185953</v>
      </c>
      <c r="R43" s="110">
        <v>2.3771875134070077</v>
      </c>
      <c r="S43" s="110">
        <v>1936.9323859240299</v>
      </c>
      <c r="T43" s="110">
        <v>4.8721888479180198</v>
      </c>
      <c r="U43" s="110">
        <v>3969.8594732836023</v>
      </c>
      <c r="V43" s="110">
        <v>8.0962069459621553</v>
      </c>
      <c r="W43" s="110">
        <v>6596.7894195699637</v>
      </c>
      <c r="X43" s="110">
        <v>5.9970829273852964</v>
      </c>
      <c r="Y43" s="110">
        <v>4886.4231692335388</v>
      </c>
      <c r="Z43" s="110">
        <v>8.2512220086952901</v>
      </c>
      <c r="AA43" s="110">
        <v>6723.0956926849221</v>
      </c>
      <c r="AB43" s="110">
        <v>6.5051609167024926</v>
      </c>
      <c r="AC43" s="110">
        <v>5300.4051149291909</v>
      </c>
      <c r="AD43" s="110">
        <v>7.7133401212549435</v>
      </c>
      <c r="AE43" s="110">
        <v>6284.8295307985272</v>
      </c>
      <c r="AF43" s="110">
        <v>7.2637128172106058</v>
      </c>
      <c r="AG43" s="110">
        <v>5918.4732034632016</v>
      </c>
      <c r="AH43" s="110">
        <v>6.648054855187941</v>
      </c>
      <c r="AI43" s="110">
        <v>5416.8350960071339</v>
      </c>
      <c r="AJ43" s="110">
        <v>9.6206060211673012</v>
      </c>
      <c r="AK43" s="110">
        <v>7838.8697860471166</v>
      </c>
      <c r="AL43" s="110">
        <v>7.1880683136977535</v>
      </c>
      <c r="AM43" s="110">
        <v>5856.8380620009293</v>
      </c>
      <c r="AN43" s="110">
        <v>5.8416812377184604</v>
      </c>
      <c r="AO43" s="110">
        <v>4759.8018724930016</v>
      </c>
      <c r="AP43" s="110">
        <v>8.7764495014185613</v>
      </c>
      <c r="AQ43" s="110">
        <v>7151.051053755843</v>
      </c>
      <c r="AR43" s="110">
        <v>3.8474064049794179</v>
      </c>
      <c r="AS43" s="110">
        <v>3134.8667387772293</v>
      </c>
      <c r="AT43" s="110">
        <v>5</v>
      </c>
      <c r="AU43" s="110">
        <v>4074</v>
      </c>
      <c r="AV43" s="110">
        <v>6.8669798761821488</v>
      </c>
      <c r="AW43" s="110">
        <v>5595.2152031132146</v>
      </c>
      <c r="AX43" s="110">
        <v>4.7323530512017156</v>
      </c>
      <c r="AY43" s="110">
        <v>3855.9212661191577</v>
      </c>
      <c r="AZ43" s="110">
        <v>7.9195471615784454</v>
      </c>
      <c r="BA43" s="110">
        <v>6452.8470272541172</v>
      </c>
      <c r="BB43" s="110">
        <v>6.3880145098518426</v>
      </c>
      <c r="BC43" s="110">
        <v>5204.9542226272806</v>
      </c>
      <c r="BD43" s="110">
        <v>4.3787108634893004</v>
      </c>
      <c r="BE43" s="110">
        <v>3567.7736115710818</v>
      </c>
      <c r="BF43" s="110">
        <v>4.9028325287102925</v>
      </c>
      <c r="BG43" s="110">
        <v>3994.827944393146</v>
      </c>
      <c r="BH43" s="110">
        <v>2.3090345868184405</v>
      </c>
      <c r="BI43" s="110">
        <v>1881.4013813396652</v>
      </c>
      <c r="BJ43" s="110">
        <v>2.7636402879769482</v>
      </c>
      <c r="BK43" s="110">
        <v>2251.8141066436174</v>
      </c>
      <c r="BL43" s="110">
        <v>3.5907024788830011</v>
      </c>
      <c r="BM43" s="110">
        <v>2925.7043797938691</v>
      </c>
      <c r="BN43" s="110">
        <v>2.2514562155820963</v>
      </c>
      <c r="BO43" s="110">
        <v>1834.486524456292</v>
      </c>
      <c r="BP43" s="110">
        <v>3.6591814255385162</v>
      </c>
      <c r="BQ43" s="110">
        <v>2981.501025528783</v>
      </c>
      <c r="BR43" s="110">
        <v>3.8535015213013653</v>
      </c>
      <c r="BS43" s="110">
        <v>3139.8330395563521</v>
      </c>
      <c r="BT43" s="110">
        <v>4</v>
      </c>
      <c r="BU43" s="110">
        <v>3259.2</v>
      </c>
      <c r="BV43" s="110">
        <v>5.1626580439612768</v>
      </c>
      <c r="BW43" s="110">
        <v>4206.533774219648</v>
      </c>
      <c r="BX43" s="110">
        <v>4.620793338426016</v>
      </c>
      <c r="BY43" s="110">
        <v>3765.0224121495175</v>
      </c>
      <c r="BZ43" s="110">
        <v>7.9565137646403858</v>
      </c>
      <c r="CA43" s="110">
        <v>6482.967415428986</v>
      </c>
      <c r="CB43" s="110">
        <v>9.0905264209326635</v>
      </c>
      <c r="CC43" s="110">
        <v>7406.9609277759337</v>
      </c>
      <c r="CD43" s="110">
        <v>8</v>
      </c>
      <c r="CE43" s="110">
        <v>6518.4</v>
      </c>
      <c r="CF43" s="110">
        <v>6.0869746180034534</v>
      </c>
      <c r="CG43" s="110">
        <v>4959.6669187492134</v>
      </c>
      <c r="CH43" s="110">
        <v>2.6975052880434993</v>
      </c>
      <c r="CI43" s="110">
        <v>2197.9273086978433</v>
      </c>
      <c r="CJ43" s="110">
        <v>1.7689255863264519</v>
      </c>
      <c r="CK43" s="110">
        <v>1441.320567738793</v>
      </c>
      <c r="CL43" s="110">
        <v>2.7947962920589129</v>
      </c>
      <c r="CM43" s="110">
        <v>2277.2000187696021</v>
      </c>
      <c r="CN43" s="110">
        <v>8.9852473140826685</v>
      </c>
      <c r="CO43" s="110">
        <v>7321.1795115145578</v>
      </c>
      <c r="CP43" s="110">
        <v>7.8352040854500489</v>
      </c>
      <c r="CQ43" s="110">
        <v>6384.1242888246998</v>
      </c>
      <c r="CR43" s="110">
        <v>9.5297448091694736</v>
      </c>
      <c r="CS43" s="110">
        <v>7764.8360705112864</v>
      </c>
      <c r="CT43" s="110">
        <v>9.0336092410063742</v>
      </c>
      <c r="CU43" s="110">
        <v>7360.584809571993</v>
      </c>
    </row>
    <row r="44" spans="2:99" x14ac:dyDescent="0.2">
      <c r="C44" s="109" t="s">
        <v>212</v>
      </c>
      <c r="D44" s="110">
        <v>0</v>
      </c>
      <c r="E44" s="110">
        <v>0</v>
      </c>
      <c r="F44" s="110">
        <v>0.17068514906608945</v>
      </c>
      <c r="G44" s="110">
        <v>143.98999175215306</v>
      </c>
      <c r="H44" s="110">
        <v>0.36448348633493644</v>
      </c>
      <c r="I44" s="110">
        <v>307.47826907215239</v>
      </c>
      <c r="J44" s="110">
        <v>0.95413071679866845</v>
      </c>
      <c r="K44" s="110">
        <v>804.90467269135672</v>
      </c>
      <c r="L44" s="110">
        <v>1.3992347399725675</v>
      </c>
      <c r="M44" s="110">
        <v>1180.394426640858</v>
      </c>
      <c r="N44" s="110">
        <v>1.2283846597795589</v>
      </c>
      <c r="O44" s="110">
        <v>1036.2652989900359</v>
      </c>
      <c r="P44" s="110">
        <v>1.8588571444932316</v>
      </c>
      <c r="Q44" s="110">
        <v>1568.1318870944901</v>
      </c>
      <c r="R44" s="110">
        <v>2.3532229991452911</v>
      </c>
      <c r="S44" s="110">
        <v>1985.1789220789676</v>
      </c>
      <c r="T44" s="110">
        <v>5.7421751576180471</v>
      </c>
      <c r="U44" s="110">
        <v>4844.0989629665846</v>
      </c>
      <c r="V44" s="110">
        <v>7.4334790302068514</v>
      </c>
      <c r="W44" s="110">
        <v>6270.8829098824999</v>
      </c>
      <c r="X44" s="110">
        <v>5.9810252989700805</v>
      </c>
      <c r="Y44" s="110">
        <v>5045.5929422111603</v>
      </c>
      <c r="Z44" s="110">
        <v>8.2369053911252976</v>
      </c>
      <c r="AA44" s="110">
        <v>6948.6533879533017</v>
      </c>
      <c r="AB44" s="110">
        <v>6.5051609167024926</v>
      </c>
      <c r="AC44" s="110">
        <v>5487.7537493302225</v>
      </c>
      <c r="AD44" s="110">
        <v>7.1566133190492476</v>
      </c>
      <c r="AE44" s="110">
        <v>6037.318995949945</v>
      </c>
      <c r="AF44" s="110">
        <v>8.0573384764569376</v>
      </c>
      <c r="AG44" s="110">
        <v>6797.1707387390725</v>
      </c>
      <c r="AH44" s="110">
        <v>7.3815792709994241</v>
      </c>
      <c r="AI44" s="110">
        <v>6227.100273015114</v>
      </c>
      <c r="AJ44" s="110">
        <v>8.7429536110244932</v>
      </c>
      <c r="AK44" s="110">
        <v>7375.555666260263</v>
      </c>
      <c r="AL44" s="110">
        <v>6.1214892815394029</v>
      </c>
      <c r="AM44" s="110">
        <v>5164.0883579066403</v>
      </c>
      <c r="AN44" s="110">
        <v>5.0183449594613547</v>
      </c>
      <c r="AO44" s="110">
        <v>4233.4758078015993</v>
      </c>
      <c r="AP44" s="110">
        <v>8.763084094433534</v>
      </c>
      <c r="AQ44" s="110">
        <v>7392.5377420641298</v>
      </c>
      <c r="AR44" s="110">
        <v>3.8799868379910833</v>
      </c>
      <c r="AS44" s="110">
        <v>3273.1568965292781</v>
      </c>
      <c r="AT44" s="110">
        <v>6</v>
      </c>
      <c r="AU44" s="110">
        <v>5061.6000000000004</v>
      </c>
      <c r="AV44" s="110">
        <v>6.8669798761821488</v>
      </c>
      <c r="AW44" s="110">
        <v>5792.9842235472606</v>
      </c>
      <c r="AX44" s="110">
        <v>4.7323530512017156</v>
      </c>
      <c r="AY44" s="110">
        <v>3992.2130339937676</v>
      </c>
      <c r="AZ44" s="110">
        <v>7.9444077436807436</v>
      </c>
      <c r="BA44" s="110">
        <v>6701.9023725690759</v>
      </c>
      <c r="BB44" s="110">
        <v>7.0977938998353807</v>
      </c>
      <c r="BC44" s="110">
        <v>5987.698933901127</v>
      </c>
      <c r="BD44" s="110">
        <v>4.3848539250432905</v>
      </c>
      <c r="BE44" s="110">
        <v>3699.0627711665202</v>
      </c>
      <c r="BF44" s="110">
        <v>5.7755147823638451</v>
      </c>
      <c r="BG44" s="110">
        <v>4872.2242704021401</v>
      </c>
      <c r="BH44" s="110">
        <v>2.3090345868184405</v>
      </c>
      <c r="BI44" s="110">
        <v>1947.9015774400366</v>
      </c>
      <c r="BJ44" s="110">
        <v>2.7636402879769482</v>
      </c>
      <c r="BK44" s="110">
        <v>2331.4069469373535</v>
      </c>
      <c r="BL44" s="110">
        <v>4.2997143465129897</v>
      </c>
      <c r="BM44" s="110">
        <v>3627.2390227183582</v>
      </c>
      <c r="BN44" s="110">
        <v>2.2514562155820963</v>
      </c>
      <c r="BO44" s="110">
        <v>1899.3284634650565</v>
      </c>
      <c r="BP44" s="110">
        <v>4.3825141675900428</v>
      </c>
      <c r="BQ44" s="110">
        <v>3697.0889517789601</v>
      </c>
      <c r="BR44" s="110">
        <v>3.8535015213013653</v>
      </c>
      <c r="BS44" s="110">
        <v>3250.8138833698317</v>
      </c>
      <c r="BT44" s="110">
        <v>5</v>
      </c>
      <c r="BU44" s="110">
        <v>4218</v>
      </c>
      <c r="BV44" s="110">
        <v>6.1626580439612768</v>
      </c>
      <c r="BW44" s="110">
        <v>5198.8183258857334</v>
      </c>
      <c r="BX44" s="110">
        <v>4.620793338426016</v>
      </c>
      <c r="BY44" s="110">
        <v>3898.1012602961873</v>
      </c>
      <c r="BZ44" s="110">
        <v>7.9565137646403858</v>
      </c>
      <c r="CA44" s="110">
        <v>6712.1150118506293</v>
      </c>
      <c r="CB44" s="110">
        <v>9.0905264209326635</v>
      </c>
      <c r="CC44" s="110">
        <v>7668.7680886987955</v>
      </c>
      <c r="CD44" s="110">
        <v>8</v>
      </c>
      <c r="CE44" s="110">
        <v>6748.8</v>
      </c>
      <c r="CF44" s="110">
        <v>6.0724788483362113</v>
      </c>
      <c r="CG44" s="110">
        <v>5122.7431564564276</v>
      </c>
      <c r="CH44" s="110">
        <v>3.2370063456521994</v>
      </c>
      <c r="CI44" s="110">
        <v>2730.7385531921955</v>
      </c>
      <c r="CJ44" s="110">
        <v>2.0637465173808605</v>
      </c>
      <c r="CK44" s="110">
        <v>1740.9765620624939</v>
      </c>
      <c r="CL44" s="110">
        <v>2.3569228342342572</v>
      </c>
      <c r="CM44" s="110">
        <v>1988.3001029600193</v>
      </c>
      <c r="CN44" s="110">
        <v>9.4795910213336718</v>
      </c>
      <c r="CO44" s="110">
        <v>7996.9829855970856</v>
      </c>
      <c r="CP44" s="110">
        <v>7.8352040854500489</v>
      </c>
      <c r="CQ44" s="110">
        <v>6609.7781664856611</v>
      </c>
      <c r="CR44" s="110">
        <v>9.5297448091694736</v>
      </c>
      <c r="CS44" s="110">
        <v>8039.2927210153684</v>
      </c>
      <c r="CT44" s="110">
        <v>9.0336092410063742</v>
      </c>
      <c r="CU44" s="110">
        <v>7620.7527557129779</v>
      </c>
    </row>
    <row r="45" spans="2:99" x14ac:dyDescent="0.2">
      <c r="C45" s="109" t="s">
        <v>213</v>
      </c>
      <c r="D45" s="110">
        <v>0</v>
      </c>
      <c r="E45" s="110">
        <v>0</v>
      </c>
      <c r="F45" s="110">
        <v>0.20427664663894943</v>
      </c>
      <c r="G45" s="110">
        <v>212.52942316316296</v>
      </c>
      <c r="H45" s="110">
        <v>0.43232572502863842</v>
      </c>
      <c r="I45" s="110">
        <v>449.79168431979537</v>
      </c>
      <c r="J45" s="110">
        <v>0.77317683649625335</v>
      </c>
      <c r="K45" s="110">
        <v>804.41318069070189</v>
      </c>
      <c r="L45" s="110">
        <v>1.7490434249657094</v>
      </c>
      <c r="M45" s="110">
        <v>1819.7047793343238</v>
      </c>
      <c r="N45" s="110">
        <v>1.2198923878902275</v>
      </c>
      <c r="O45" s="110">
        <v>1269.1760403609926</v>
      </c>
      <c r="P45" s="110">
        <v>1.5450035650159639</v>
      </c>
      <c r="Q45" s="110">
        <v>1607.4217090426087</v>
      </c>
      <c r="R45" s="110">
        <v>2.3652052562761492</v>
      </c>
      <c r="S45" s="110">
        <v>2460.7595486297055</v>
      </c>
      <c r="T45" s="110">
        <v>5.7421751576180471</v>
      </c>
      <c r="U45" s="110">
        <v>5974.1590339858158</v>
      </c>
      <c r="V45" s="110">
        <v>7.449420358751131</v>
      </c>
      <c r="W45" s="110">
        <v>7750.3769412446754</v>
      </c>
      <c r="X45" s="110">
        <v>5.9970829273852964</v>
      </c>
      <c r="Y45" s="110">
        <v>6239.3650776516615</v>
      </c>
      <c r="Z45" s="110">
        <v>7.5564618658523539</v>
      </c>
      <c r="AA45" s="110">
        <v>7861.7429252327884</v>
      </c>
      <c r="AB45" s="110">
        <v>5.7941425235010842</v>
      </c>
      <c r="AC45" s="110">
        <v>6028.2258814505276</v>
      </c>
      <c r="AD45" s="110">
        <v>7.168161191852791</v>
      </c>
      <c r="AE45" s="110">
        <v>7457.7549040036429</v>
      </c>
      <c r="AF45" s="110">
        <v>7.2485775817114044</v>
      </c>
      <c r="AG45" s="110">
        <v>7541.420116012544</v>
      </c>
      <c r="AH45" s="110">
        <v>5.9145304393764588</v>
      </c>
      <c r="AI45" s="110">
        <v>6153.4774691272669</v>
      </c>
      <c r="AJ45" s="110">
        <v>9.613891923086582</v>
      </c>
      <c r="AK45" s="110">
        <v>10002.293156779278</v>
      </c>
      <c r="AL45" s="110">
        <v>7.1880683136977535</v>
      </c>
      <c r="AM45" s="110">
        <v>7478.4662735711418</v>
      </c>
      <c r="AN45" s="110">
        <v>5.7946848637672312</v>
      </c>
      <c r="AO45" s="110">
        <v>6028.790132263427</v>
      </c>
      <c r="AP45" s="110">
        <v>8.7898149084035868</v>
      </c>
      <c r="AQ45" s="110">
        <v>9144.9234307030911</v>
      </c>
      <c r="AR45" s="110">
        <v>3.8799868379910833</v>
      </c>
      <c r="AS45" s="110">
        <v>4036.7383062459226</v>
      </c>
      <c r="AT45" s="110">
        <v>5</v>
      </c>
      <c r="AU45" s="110">
        <v>5201.9999999999991</v>
      </c>
      <c r="AV45" s="110">
        <v>7.8086295282638316</v>
      </c>
      <c r="AW45" s="110">
        <v>8124.0981612056894</v>
      </c>
      <c r="AX45" s="110">
        <v>4.7323530512017156</v>
      </c>
      <c r="AY45" s="110">
        <v>4923.5401144702646</v>
      </c>
      <c r="AZ45" s="110">
        <v>7.9195471615784454</v>
      </c>
      <c r="BA45" s="110">
        <v>8239.4968669062127</v>
      </c>
      <c r="BB45" s="110">
        <v>6.3880145098518426</v>
      </c>
      <c r="BC45" s="110">
        <v>6646.0902960498561</v>
      </c>
      <c r="BD45" s="110">
        <v>4.3909969865972798</v>
      </c>
      <c r="BE45" s="110">
        <v>4568.3932648558093</v>
      </c>
      <c r="BF45" s="110">
        <v>5.3391736555370697</v>
      </c>
      <c r="BG45" s="110">
        <v>5554.8762712207663</v>
      </c>
      <c r="BH45" s="110">
        <v>2.3090345868184405</v>
      </c>
      <c r="BI45" s="110">
        <v>2402.3195841259053</v>
      </c>
      <c r="BJ45" s="110">
        <v>3.3112336363685371</v>
      </c>
      <c r="BK45" s="110">
        <v>3445.0074752778255</v>
      </c>
      <c r="BL45" s="110">
        <v>4.2997143465129897</v>
      </c>
      <c r="BM45" s="110">
        <v>4473.4228061121139</v>
      </c>
      <c r="BN45" s="110">
        <v>2.2514562155820963</v>
      </c>
      <c r="BO45" s="110">
        <v>2342.4150466916126</v>
      </c>
      <c r="BP45" s="110">
        <v>3.6662677114186639</v>
      </c>
      <c r="BQ45" s="110">
        <v>3814.3849269599773</v>
      </c>
      <c r="BR45" s="110">
        <v>3.8535015213013653</v>
      </c>
      <c r="BS45" s="110">
        <v>4009.1829827619399</v>
      </c>
      <c r="BT45" s="110">
        <v>4</v>
      </c>
      <c r="BU45" s="110">
        <v>4161.5999999999995</v>
      </c>
      <c r="BV45" s="110">
        <v>5.1626580439612768</v>
      </c>
      <c r="BW45" s="110">
        <v>5371.2294289373112</v>
      </c>
      <c r="BX45" s="110">
        <v>3.8661056082524108</v>
      </c>
      <c r="BY45" s="110">
        <v>4022.2962748258078</v>
      </c>
      <c r="BZ45" s="110">
        <v>7.9728475694604857</v>
      </c>
      <c r="CA45" s="110">
        <v>8294.9506112666877</v>
      </c>
      <c r="CB45" s="110">
        <v>9.0905264209326635</v>
      </c>
      <c r="CC45" s="110">
        <v>9457.7836883383425</v>
      </c>
      <c r="CD45" s="110">
        <v>7</v>
      </c>
      <c r="CE45" s="110">
        <v>7282.7999999999993</v>
      </c>
      <c r="CF45" s="110">
        <v>6.0724788483362113</v>
      </c>
      <c r="CG45" s="110">
        <v>6317.8069938089939</v>
      </c>
      <c r="CH45" s="110">
        <v>3.2370063456521994</v>
      </c>
      <c r="CI45" s="110">
        <v>3367.7814020165479</v>
      </c>
      <c r="CJ45" s="110">
        <v>2.0637465173808605</v>
      </c>
      <c r="CK45" s="110">
        <v>2147.121876683047</v>
      </c>
      <c r="CL45" s="110">
        <v>2.3416905119514411</v>
      </c>
      <c r="CM45" s="110">
        <v>2436.294808634279</v>
      </c>
      <c r="CN45" s="110">
        <v>8.490903606831667</v>
      </c>
      <c r="CO45" s="110">
        <v>8833.9361125476644</v>
      </c>
      <c r="CP45" s="110">
        <v>7.8000625953088676</v>
      </c>
      <c r="CQ45" s="110">
        <v>8115.1851241593449</v>
      </c>
      <c r="CR45" s="110">
        <v>9.5297448091694736</v>
      </c>
      <c r="CS45" s="110">
        <v>9914.7464994599195</v>
      </c>
      <c r="CT45" s="110">
        <v>7.9853354823755414</v>
      </c>
      <c r="CU45" s="110">
        <v>8307.9430358635127</v>
      </c>
    </row>
    <row r="46" spans="2:99" x14ac:dyDescent="0.2">
      <c r="C46" s="109" t="s">
        <v>214</v>
      </c>
      <c r="D46" s="110">
        <v>0</v>
      </c>
      <c r="E46" s="110">
        <v>0</v>
      </c>
      <c r="F46" s="110">
        <v>0.20427664663894943</v>
      </c>
      <c r="G46" s="110">
        <v>207.87191561979489</v>
      </c>
      <c r="H46" s="110">
        <v>0.36218600516526134</v>
      </c>
      <c r="I46" s="110">
        <v>368.56047885616988</v>
      </c>
      <c r="J46" s="110">
        <v>0.95413071679866845</v>
      </c>
      <c r="K46" s="110">
        <v>970.92341741432483</v>
      </c>
      <c r="L46" s="110">
        <v>1.7490434249657094</v>
      </c>
      <c r="M46" s="110">
        <v>1779.8265892451057</v>
      </c>
      <c r="N46" s="110">
        <v>1.2198923878902275</v>
      </c>
      <c r="O46" s="110">
        <v>1241.3624939170952</v>
      </c>
      <c r="P46" s="110">
        <v>1.5611797865962143</v>
      </c>
      <c r="Q46" s="110">
        <v>1588.6565508403073</v>
      </c>
      <c r="R46" s="110">
        <v>2.8286605018266924</v>
      </c>
      <c r="S46" s="110">
        <v>2878.4449266588417</v>
      </c>
      <c r="T46" s="110">
        <v>4.8661706310512702</v>
      </c>
      <c r="U46" s="110">
        <v>4951.8152341577716</v>
      </c>
      <c r="V46" s="110">
        <v>7.449420358751131</v>
      </c>
      <c r="W46" s="110">
        <v>7580.5301570651491</v>
      </c>
      <c r="X46" s="110">
        <v>5.2494547650140362</v>
      </c>
      <c r="Y46" s="110">
        <v>5341.8451688782825</v>
      </c>
      <c r="Z46" s="110">
        <v>7.5564618658523539</v>
      </c>
      <c r="AA46" s="110">
        <v>7689.4555946913542</v>
      </c>
      <c r="AB46" s="110">
        <v>5.7790003266596814</v>
      </c>
      <c r="AC46" s="110">
        <v>5880.7107324088911</v>
      </c>
      <c r="AD46" s="110">
        <v>7.1566133190492476</v>
      </c>
      <c r="AE46" s="110">
        <v>7282.5697134645125</v>
      </c>
      <c r="AF46" s="110">
        <v>8.8358289002040706</v>
      </c>
      <c r="AG46" s="110">
        <v>8991.3394888476596</v>
      </c>
      <c r="AH46" s="110">
        <v>6.6403323363738407</v>
      </c>
      <c r="AI46" s="110">
        <v>6757.2021854940185</v>
      </c>
      <c r="AJ46" s="110">
        <v>8.7429536110244932</v>
      </c>
      <c r="AK46" s="110">
        <v>8896.829594578523</v>
      </c>
      <c r="AL46" s="110">
        <v>7.1987060055589387</v>
      </c>
      <c r="AM46" s="110">
        <v>7325.4032312567742</v>
      </c>
      <c r="AN46" s="110">
        <v>5.0340104174450984</v>
      </c>
      <c r="AO46" s="110">
        <v>5122.6090007921312</v>
      </c>
      <c r="AP46" s="110">
        <v>8.7898149084035868</v>
      </c>
      <c r="AQ46" s="110">
        <v>8944.515650791489</v>
      </c>
      <c r="AR46" s="110">
        <v>4.7603873567067732</v>
      </c>
      <c r="AS46" s="110">
        <v>4844.170174184811</v>
      </c>
      <c r="AT46" s="110">
        <v>5</v>
      </c>
      <c r="AU46" s="110">
        <v>5087.9999999999991</v>
      </c>
      <c r="AV46" s="110">
        <v>7.8086295282638316</v>
      </c>
      <c r="AW46" s="110">
        <v>7946.0614079612733</v>
      </c>
      <c r="AX46" s="110">
        <v>4.7323530512017156</v>
      </c>
      <c r="AY46" s="110">
        <v>4815.642464902865</v>
      </c>
      <c r="AZ46" s="110">
        <v>7.1425087946819792</v>
      </c>
      <c r="BA46" s="110">
        <v>7268.2169494683803</v>
      </c>
      <c r="BB46" s="110">
        <v>6.3880145098518426</v>
      </c>
      <c r="BC46" s="110">
        <v>6500.4435652252341</v>
      </c>
      <c r="BD46" s="110">
        <v>4.8659168551607772</v>
      </c>
      <c r="BE46" s="110">
        <v>4951.5569918116062</v>
      </c>
      <c r="BF46" s="110">
        <v>4.9028325287102925</v>
      </c>
      <c r="BG46" s="110">
        <v>4989.1223812155922</v>
      </c>
      <c r="BH46" s="110">
        <v>2.3090345868184405</v>
      </c>
      <c r="BI46" s="110">
        <v>2349.6735955464446</v>
      </c>
      <c r="BJ46" s="110">
        <v>2.7636402879769482</v>
      </c>
      <c r="BK46" s="110">
        <v>2812.280357045342</v>
      </c>
      <c r="BL46" s="110">
        <v>3.5907024788830011</v>
      </c>
      <c r="BM46" s="110">
        <v>3653.8988425113412</v>
      </c>
      <c r="BN46" s="110">
        <v>2.2514562155820963</v>
      </c>
      <c r="BO46" s="110">
        <v>2291.0818449763406</v>
      </c>
      <c r="BP46" s="110">
        <v>3.6662677114186639</v>
      </c>
      <c r="BQ46" s="110">
        <v>3730.7940231396315</v>
      </c>
      <c r="BR46" s="110">
        <v>3.8779630405993086</v>
      </c>
      <c r="BS46" s="110">
        <v>3946.2151901138554</v>
      </c>
      <c r="BT46" s="110">
        <v>4</v>
      </c>
      <c r="BU46" s="110">
        <v>4070.3999999999992</v>
      </c>
      <c r="BV46" s="110">
        <v>6.1626580439612768</v>
      </c>
      <c r="BW46" s="110">
        <v>6271.1208255349939</v>
      </c>
      <c r="BX46" s="110">
        <v>4.620793338426016</v>
      </c>
      <c r="BY46" s="110">
        <v>4702.1193011823134</v>
      </c>
      <c r="BZ46" s="110">
        <v>8.8133478415669302</v>
      </c>
      <c r="CA46" s="110">
        <v>8968.4627635785055</v>
      </c>
      <c r="CB46" s="110">
        <v>9.0905264209326635</v>
      </c>
      <c r="CC46" s="110">
        <v>9250.5196859410771</v>
      </c>
      <c r="CD46" s="110">
        <v>8</v>
      </c>
      <c r="CE46" s="110">
        <v>8140.7999999999984</v>
      </c>
      <c r="CF46" s="110">
        <v>5.0869746180034534</v>
      </c>
      <c r="CG46" s="110">
        <v>5176.5053712803128</v>
      </c>
      <c r="CH46" s="110">
        <v>2.6975052880434993</v>
      </c>
      <c r="CI46" s="110">
        <v>2744.9813811130643</v>
      </c>
      <c r="CJ46" s="110">
        <v>2.0637465173808605</v>
      </c>
      <c r="CK46" s="110">
        <v>2100.068456086763</v>
      </c>
      <c r="CL46" s="110">
        <v>2.3569228342342572</v>
      </c>
      <c r="CM46" s="110">
        <v>2398.4046761167797</v>
      </c>
      <c r="CN46" s="110">
        <v>9.4795910213336718</v>
      </c>
      <c r="CO46" s="110">
        <v>9646.4318233091417</v>
      </c>
      <c r="CP46" s="110">
        <v>7.8176333403794578</v>
      </c>
      <c r="CQ46" s="110">
        <v>7955.2236871701343</v>
      </c>
      <c r="CR46" s="110">
        <v>10.720962910315658</v>
      </c>
      <c r="CS46" s="110">
        <v>10909.65185753721</v>
      </c>
      <c r="CT46" s="110">
        <v>9.5577461203217897</v>
      </c>
      <c r="CU46" s="110">
        <v>9725.9624520394518</v>
      </c>
    </row>
    <row r="47" spans="2:99" x14ac:dyDescent="0.2">
      <c r="C47" s="109" t="s">
        <v>215</v>
      </c>
      <c r="D47" s="110">
        <v>0</v>
      </c>
      <c r="E47" s="110">
        <v>0</v>
      </c>
      <c r="F47" s="110">
        <v>0.17023053886579118</v>
      </c>
      <c r="G47" s="110">
        <v>224.29575800956644</v>
      </c>
      <c r="H47" s="110">
        <v>0.43462320619831352</v>
      </c>
      <c r="I47" s="110">
        <v>572.65953648689788</v>
      </c>
      <c r="J47" s="110">
        <v>0.96030088120949275</v>
      </c>
      <c r="K47" s="110">
        <v>1265.2924410816277</v>
      </c>
      <c r="L47" s="110">
        <v>1.7490434249657094</v>
      </c>
      <c r="M47" s="110">
        <v>2304.5396167348185</v>
      </c>
      <c r="N47" s="110">
        <v>1.2283846597795589</v>
      </c>
      <c r="O47" s="110">
        <v>1618.5196277255468</v>
      </c>
      <c r="P47" s="110">
        <v>1.5450035650159639</v>
      </c>
      <c r="Q47" s="110">
        <v>2035.6966972650339</v>
      </c>
      <c r="R47" s="110">
        <v>2.3652052562761492</v>
      </c>
      <c r="S47" s="110">
        <v>3116.3944456694539</v>
      </c>
      <c r="T47" s="110">
        <v>5.3041728943346582</v>
      </c>
      <c r="U47" s="110">
        <v>6988.7782055753451</v>
      </c>
      <c r="V47" s="110">
        <v>7.449420358751131</v>
      </c>
      <c r="W47" s="110">
        <v>9815.3562646904902</v>
      </c>
      <c r="X47" s="110">
        <v>5.2494547650140362</v>
      </c>
      <c r="Y47" s="110">
        <v>6916.6815983824936</v>
      </c>
      <c r="Z47" s="110">
        <v>6.8760183405794084</v>
      </c>
      <c r="AA47" s="110">
        <v>9059.8417655474277</v>
      </c>
      <c r="AB47" s="110">
        <v>5.7941425235010842</v>
      </c>
      <c r="AC47" s="110">
        <v>7634.3621889650276</v>
      </c>
      <c r="AD47" s="110">
        <v>6.6229822624506376</v>
      </c>
      <c r="AE47" s="110">
        <v>8726.441429004959</v>
      </c>
      <c r="AF47" s="110">
        <v>8.042203240957738</v>
      </c>
      <c r="AG47" s="110">
        <v>10596.406990285916</v>
      </c>
      <c r="AH47" s="110">
        <v>6.6403323363738407</v>
      </c>
      <c r="AI47" s="110">
        <v>8749.3018864061723</v>
      </c>
      <c r="AJ47" s="110">
        <v>8.7563818071859263</v>
      </c>
      <c r="AK47" s="110">
        <v>11537.408669148175</v>
      </c>
      <c r="AL47" s="110">
        <v>6.6654164894797647</v>
      </c>
      <c r="AM47" s="110">
        <v>8782.3527665385373</v>
      </c>
      <c r="AN47" s="110">
        <v>5.7946848637672312</v>
      </c>
      <c r="AO47" s="110">
        <v>7635.0767764997036</v>
      </c>
      <c r="AP47" s="110">
        <v>9.7293348788233551</v>
      </c>
      <c r="AQ47" s="110">
        <v>12819.371636337652</v>
      </c>
      <c r="AR47" s="110">
        <v>4.7929677897184382</v>
      </c>
      <c r="AS47" s="110">
        <v>6315.2143597330141</v>
      </c>
      <c r="AT47" s="110">
        <v>5</v>
      </c>
      <c r="AU47" s="110">
        <v>6588</v>
      </c>
      <c r="AV47" s="110">
        <v>6.8486177220747901</v>
      </c>
      <c r="AW47" s="110">
        <v>9023.7387106057431</v>
      </c>
      <c r="AX47" s="110">
        <v>4.7323530512017156</v>
      </c>
      <c r="AY47" s="110">
        <v>6235.34838026338</v>
      </c>
      <c r="AZ47" s="110">
        <v>7.1673693767842792</v>
      </c>
      <c r="BA47" s="110">
        <v>9443.7258908509648</v>
      </c>
      <c r="BB47" s="110">
        <v>6.3880145098518426</v>
      </c>
      <c r="BC47" s="110">
        <v>8416.847918180787</v>
      </c>
      <c r="BD47" s="110">
        <v>4.3848539250432905</v>
      </c>
      <c r="BE47" s="110">
        <v>5777.4835316370391</v>
      </c>
      <c r="BF47" s="110">
        <v>4.4812171352571957</v>
      </c>
      <c r="BG47" s="110">
        <v>5904.451697414881</v>
      </c>
      <c r="BH47" s="110">
        <v>1.8677158974851351</v>
      </c>
      <c r="BI47" s="110">
        <v>2460.9024665264137</v>
      </c>
      <c r="BJ47" s="110">
        <v>2.7636402879769482</v>
      </c>
      <c r="BK47" s="110">
        <v>3641.3724434384267</v>
      </c>
      <c r="BL47" s="110">
        <v>4.2997143465129897</v>
      </c>
      <c r="BM47" s="110">
        <v>5665.3036229655145</v>
      </c>
      <c r="BN47" s="110">
        <v>2.263775800145841</v>
      </c>
      <c r="BO47" s="110">
        <v>2982.7509942721599</v>
      </c>
      <c r="BP47" s="110">
        <v>3.6591814255385162</v>
      </c>
      <c r="BQ47" s="110">
        <v>4821.337446289549</v>
      </c>
      <c r="BR47" s="110">
        <v>3.107262736339035</v>
      </c>
      <c r="BS47" s="110">
        <v>4094.1293814003125</v>
      </c>
      <c r="BT47" s="110">
        <v>5</v>
      </c>
      <c r="BU47" s="110">
        <v>6588</v>
      </c>
      <c r="BV47" s="110">
        <v>5.1626580439612768</v>
      </c>
      <c r="BW47" s="110">
        <v>6802.3182387233783</v>
      </c>
      <c r="BX47" s="110">
        <v>3.8506611153550137</v>
      </c>
      <c r="BY47" s="110">
        <v>5073.6310855917654</v>
      </c>
      <c r="BZ47" s="110">
        <v>7.9565137646403858</v>
      </c>
      <c r="CA47" s="110">
        <v>10483.502536290172</v>
      </c>
      <c r="CB47" s="110">
        <v>9.0905264209326635</v>
      </c>
      <c r="CC47" s="110">
        <v>11977.677612220876</v>
      </c>
      <c r="CD47" s="110">
        <v>7</v>
      </c>
      <c r="CE47" s="110">
        <v>9223.1999999999989</v>
      </c>
      <c r="CF47" s="110">
        <v>6.0724788483362113</v>
      </c>
      <c r="CG47" s="110">
        <v>8001.0981305677915</v>
      </c>
      <c r="CH47" s="110">
        <v>2.6975052880434993</v>
      </c>
      <c r="CI47" s="110">
        <v>3554.2329675261144</v>
      </c>
      <c r="CJ47" s="110">
        <v>1.7689255863264519</v>
      </c>
      <c r="CK47" s="110">
        <v>2330.7363525437327</v>
      </c>
      <c r="CL47" s="110">
        <v>2.3569228342342572</v>
      </c>
      <c r="CM47" s="110">
        <v>3105.4815263870569</v>
      </c>
      <c r="CN47" s="110">
        <v>8.490903606831667</v>
      </c>
      <c r="CO47" s="110">
        <v>11187.614592361404</v>
      </c>
      <c r="CP47" s="110">
        <v>6.5264082803632766</v>
      </c>
      <c r="CQ47" s="110">
        <v>8599.1955502066521</v>
      </c>
      <c r="CR47" s="110">
        <v>9.5297448091694736</v>
      </c>
      <c r="CS47" s="110">
        <v>12556.391760561697</v>
      </c>
      <c r="CT47" s="110">
        <v>7.9853354823755414</v>
      </c>
      <c r="CU47" s="110">
        <v>10521.478031578012</v>
      </c>
    </row>
    <row r="48" spans="2:99" x14ac:dyDescent="0.2">
      <c r="C48" s="109" t="s">
        <v>216</v>
      </c>
      <c r="D48" s="110">
        <v>0</v>
      </c>
      <c r="E48" s="110">
        <v>0</v>
      </c>
      <c r="F48" s="110">
        <v>0.17068514906608945</v>
      </c>
      <c r="G48" s="110">
        <v>112.24255402586043</v>
      </c>
      <c r="H48" s="110">
        <v>0.43462320619831352</v>
      </c>
      <c r="I48" s="110">
        <v>285.808220396011</v>
      </c>
      <c r="J48" s="110">
        <v>0.95413071679866845</v>
      </c>
      <c r="K48" s="110">
        <v>627.43635936680437</v>
      </c>
      <c r="L48" s="110">
        <v>1.7490434249657094</v>
      </c>
      <c r="M48" s="110">
        <v>1150.1709562574506</v>
      </c>
      <c r="N48" s="110">
        <v>1.0264846404460761</v>
      </c>
      <c r="O48" s="110">
        <v>675.01629955733972</v>
      </c>
      <c r="P48" s="110">
        <v>1.8507690337031066</v>
      </c>
      <c r="Q48" s="110">
        <v>1217.0657165631631</v>
      </c>
      <c r="R48" s="110">
        <v>2.8286605018266924</v>
      </c>
      <c r="S48" s="110">
        <v>1860.1271460012329</v>
      </c>
      <c r="T48" s="110">
        <v>5.7421751576180471</v>
      </c>
      <c r="U48" s="110">
        <v>3776.0543836496281</v>
      </c>
      <c r="V48" s="110">
        <v>6.786692442995828</v>
      </c>
      <c r="W48" s="110">
        <v>4462.9289505140569</v>
      </c>
      <c r="X48" s="110">
        <v>5.9810252989700805</v>
      </c>
      <c r="Y48" s="110">
        <v>3933.122236602725</v>
      </c>
      <c r="Z48" s="110">
        <v>8.2512220086952901</v>
      </c>
      <c r="AA48" s="110">
        <v>5426.0035929180231</v>
      </c>
      <c r="AB48" s="110">
        <v>6.5051609167024926</v>
      </c>
      <c r="AC48" s="110">
        <v>4277.7938188235594</v>
      </c>
      <c r="AD48" s="110">
        <v>6.6229822624506376</v>
      </c>
      <c r="AE48" s="110">
        <v>4355.2731357875391</v>
      </c>
      <c r="AF48" s="110">
        <v>8.0573384764569376</v>
      </c>
      <c r="AG48" s="110">
        <v>5298.5057821180826</v>
      </c>
      <c r="AH48" s="110">
        <v>7.3815792709994241</v>
      </c>
      <c r="AI48" s="110">
        <v>4854.1265286092212</v>
      </c>
      <c r="AJ48" s="110">
        <v>9.6206060211673012</v>
      </c>
      <c r="AK48" s="110">
        <v>6326.5105195196174</v>
      </c>
      <c r="AL48" s="110">
        <v>6.6441411057573916</v>
      </c>
      <c r="AM48" s="110">
        <v>4369.1871911460612</v>
      </c>
      <c r="AN48" s="110">
        <v>5.8260157797347185</v>
      </c>
      <c r="AO48" s="110">
        <v>3831.1879767535511</v>
      </c>
      <c r="AP48" s="110">
        <v>9.7427002858083807</v>
      </c>
      <c r="AQ48" s="110">
        <v>6406.7997079475917</v>
      </c>
      <c r="AR48" s="110">
        <v>4.7929677897184382</v>
      </c>
      <c r="AS48" s="110">
        <v>3151.8556185188449</v>
      </c>
      <c r="AT48" s="110">
        <v>5</v>
      </c>
      <c r="AU48" s="110">
        <v>3288</v>
      </c>
      <c r="AV48" s="110">
        <v>6.8486177220747901</v>
      </c>
      <c r="AW48" s="110">
        <v>4503.6510140363825</v>
      </c>
      <c r="AX48" s="110">
        <v>4.7323530512017156</v>
      </c>
      <c r="AY48" s="110">
        <v>3111.9953664702484</v>
      </c>
      <c r="AZ48" s="110">
        <v>7.1425087946819792</v>
      </c>
      <c r="BA48" s="110">
        <v>4696.91378338287</v>
      </c>
      <c r="BB48" s="110">
        <v>7.0977938998353807</v>
      </c>
      <c r="BC48" s="110">
        <v>4667.5092685317468</v>
      </c>
      <c r="BD48" s="110">
        <v>4.3848539250432905</v>
      </c>
      <c r="BE48" s="110">
        <v>2883.4799411084678</v>
      </c>
      <c r="BF48" s="110">
        <v>5.3391736555370697</v>
      </c>
      <c r="BG48" s="110">
        <v>3511.0405958811771</v>
      </c>
      <c r="BH48" s="110">
        <v>1.8677158974851351</v>
      </c>
      <c r="BI48" s="110">
        <v>1228.2099741862248</v>
      </c>
      <c r="BJ48" s="110">
        <v>2.7679192123134482</v>
      </c>
      <c r="BK48" s="110">
        <v>1820.1836740173235</v>
      </c>
      <c r="BL48" s="110">
        <v>3.5907024788830011</v>
      </c>
      <c r="BM48" s="110">
        <v>2361.2459501134617</v>
      </c>
      <c r="BN48" s="110">
        <v>2.263775800145841</v>
      </c>
      <c r="BO48" s="110">
        <v>1488.6589661759051</v>
      </c>
      <c r="BP48" s="110">
        <v>3.6591814255385162</v>
      </c>
      <c r="BQ48" s="110">
        <v>2406.2777054341282</v>
      </c>
      <c r="BR48" s="110">
        <v>3.8535015213013653</v>
      </c>
      <c r="BS48" s="110">
        <v>2534.0626004077781</v>
      </c>
      <c r="BT48" s="110">
        <v>5</v>
      </c>
      <c r="BU48" s="110">
        <v>3288</v>
      </c>
      <c r="BV48" s="110">
        <v>5.1626580439612768</v>
      </c>
      <c r="BW48" s="110">
        <v>3394.9639297089357</v>
      </c>
      <c r="BX48" s="110">
        <v>4.620793338426016</v>
      </c>
      <c r="BY48" s="110">
        <v>3038.6336993489481</v>
      </c>
      <c r="BZ48" s="110">
        <v>7.9565137646403858</v>
      </c>
      <c r="CA48" s="110">
        <v>5232.203451627518</v>
      </c>
      <c r="CB48" s="110">
        <v>9.0905264209326635</v>
      </c>
      <c r="CC48" s="110">
        <v>5977.93017440532</v>
      </c>
      <c r="CD48" s="110">
        <v>8</v>
      </c>
      <c r="CE48" s="110">
        <v>5260.8</v>
      </c>
      <c r="CF48" s="110">
        <v>6.0724788483362113</v>
      </c>
      <c r="CG48" s="110">
        <v>3993.2620906658926</v>
      </c>
      <c r="CH48" s="110">
        <v>2.6975052880434993</v>
      </c>
      <c r="CI48" s="110">
        <v>1773.8794774174053</v>
      </c>
      <c r="CJ48" s="110">
        <v>2.0637465173808605</v>
      </c>
      <c r="CK48" s="110">
        <v>1357.1197098296539</v>
      </c>
      <c r="CL48" s="110">
        <v>2.8100286143417295</v>
      </c>
      <c r="CM48" s="110">
        <v>1847.8748167911212</v>
      </c>
      <c r="CN48" s="110">
        <v>8.9728100878591501</v>
      </c>
      <c r="CO48" s="110">
        <v>5900.5199137761774</v>
      </c>
      <c r="CP48" s="110">
        <v>8.4544604978522528</v>
      </c>
      <c r="CQ48" s="110">
        <v>5559.6532233876414</v>
      </c>
      <c r="CR48" s="110">
        <v>10.720962910315658</v>
      </c>
      <c r="CS48" s="110">
        <v>7050.1052098235768</v>
      </c>
      <c r="CT48" s="110">
        <v>9.0336092410063742</v>
      </c>
      <c r="CU48" s="110">
        <v>5940.5014368857919</v>
      </c>
    </row>
    <row r="49" spans="2:99" x14ac:dyDescent="0.2">
      <c r="B49" s="109" t="s">
        <v>129</v>
      </c>
      <c r="C49" s="109" t="s">
        <v>217</v>
      </c>
      <c r="D49" s="110">
        <v>0</v>
      </c>
      <c r="E49" s="110">
        <v>0</v>
      </c>
      <c r="F49" s="110">
        <v>0.14687926769001003</v>
      </c>
      <c r="G49" s="110">
        <v>49.527689065071378</v>
      </c>
      <c r="H49" s="110">
        <v>0.25282220802585342</v>
      </c>
      <c r="I49" s="110">
        <v>85.251648546317767</v>
      </c>
      <c r="J49" s="110">
        <v>0.28818891439897332</v>
      </c>
      <c r="K49" s="110">
        <v>97.177301935333801</v>
      </c>
      <c r="L49" s="110">
        <v>1.2357812341150416</v>
      </c>
      <c r="M49" s="110">
        <v>416.70543214359202</v>
      </c>
      <c r="N49" s="110">
        <v>0.92807992343616141</v>
      </c>
      <c r="O49" s="110">
        <v>312.94855018267361</v>
      </c>
      <c r="P49" s="110">
        <v>0.51585894544010902</v>
      </c>
      <c r="Q49" s="110">
        <v>173.94763640240475</v>
      </c>
      <c r="R49" s="110">
        <v>1.0975994610599877</v>
      </c>
      <c r="S49" s="110">
        <v>370.11053826942788</v>
      </c>
      <c r="T49" s="110">
        <v>1.1284172743315637</v>
      </c>
      <c r="U49" s="110">
        <v>380.50230490460325</v>
      </c>
      <c r="V49" s="110">
        <v>0</v>
      </c>
      <c r="W49" s="110">
        <v>0</v>
      </c>
      <c r="X49" s="110">
        <v>0</v>
      </c>
      <c r="Y49" s="110">
        <v>0</v>
      </c>
      <c r="Z49" s="110">
        <v>0</v>
      </c>
      <c r="AA49" s="110">
        <v>0</v>
      </c>
      <c r="AB49" s="110">
        <v>0</v>
      </c>
      <c r="AC49" s="110">
        <v>0</v>
      </c>
      <c r="AD49" s="110">
        <v>4.2198614535534409</v>
      </c>
      <c r="AE49" s="110">
        <v>1422.9372821382203</v>
      </c>
      <c r="AF49" s="110">
        <v>4</v>
      </c>
      <c r="AG49" s="110">
        <v>1348.8</v>
      </c>
      <c r="AH49" s="110">
        <v>3.7662362934371858</v>
      </c>
      <c r="AI49" s="110">
        <v>1269.9748781470189</v>
      </c>
      <c r="AJ49" s="110">
        <v>2.6959014133744352</v>
      </c>
      <c r="AK49" s="110">
        <v>909.05795658985949</v>
      </c>
      <c r="AL49" s="110">
        <v>5</v>
      </c>
      <c r="AM49" s="110">
        <v>1686</v>
      </c>
      <c r="AN49" s="110">
        <v>8</v>
      </c>
      <c r="AO49" s="110">
        <v>2697.6</v>
      </c>
      <c r="AP49" s="110">
        <v>9</v>
      </c>
      <c r="AQ49" s="110">
        <v>3034.7999999999997</v>
      </c>
      <c r="AR49" s="110">
        <v>8</v>
      </c>
      <c r="AS49" s="110">
        <v>2697.6</v>
      </c>
      <c r="AT49" s="110">
        <v>6.2331158659405652</v>
      </c>
      <c r="AU49" s="110">
        <v>2101.8066699951587</v>
      </c>
      <c r="AV49" s="110">
        <v>10.334807917717093</v>
      </c>
      <c r="AW49" s="110">
        <v>3484.8972298542035</v>
      </c>
      <c r="AX49" s="110">
        <v>10.212441794023636</v>
      </c>
      <c r="AY49" s="110">
        <v>3443.6353729447701</v>
      </c>
      <c r="AZ49" s="110">
        <v>2</v>
      </c>
      <c r="BA49" s="110">
        <v>674.4</v>
      </c>
      <c r="BB49" s="110">
        <v>3</v>
      </c>
      <c r="BC49" s="110">
        <v>1011.5999999999999</v>
      </c>
      <c r="BD49" s="110">
        <v>4</v>
      </c>
      <c r="BE49" s="110">
        <v>1348.8</v>
      </c>
      <c r="BF49" s="110">
        <v>4.512650085401674</v>
      </c>
      <c r="BG49" s="110">
        <v>1521.6656087974445</v>
      </c>
      <c r="BH49" s="110">
        <v>3.1874106429556233</v>
      </c>
      <c r="BI49" s="110">
        <v>1074.7948688046361</v>
      </c>
      <c r="BJ49" s="110">
        <v>1.7204475606518079</v>
      </c>
      <c r="BK49" s="110">
        <v>580.13491745178965</v>
      </c>
      <c r="BL49" s="110">
        <v>3.14798517528155</v>
      </c>
      <c r="BM49" s="110">
        <v>1061.5006011049386</v>
      </c>
      <c r="BN49" s="110">
        <v>2.6781522428807212</v>
      </c>
      <c r="BO49" s="110">
        <v>903.07293629937919</v>
      </c>
      <c r="BP49" s="110">
        <v>4.1268201440516847</v>
      </c>
      <c r="BQ49" s="110">
        <v>1391.5637525742281</v>
      </c>
      <c r="BR49" s="110">
        <v>4.1653732272557349</v>
      </c>
      <c r="BS49" s="110">
        <v>1404.5638522306338</v>
      </c>
      <c r="BT49" s="110">
        <v>6</v>
      </c>
      <c r="BU49" s="110">
        <v>2023.1999999999998</v>
      </c>
      <c r="BV49" s="110">
        <v>5.2924049593424218</v>
      </c>
      <c r="BW49" s="110">
        <v>1784.5989522902646</v>
      </c>
      <c r="BX49" s="110">
        <v>6.2327874866780846</v>
      </c>
      <c r="BY49" s="110">
        <v>2101.6959405078501</v>
      </c>
      <c r="BZ49" s="110">
        <v>10</v>
      </c>
      <c r="CA49" s="110">
        <v>3372</v>
      </c>
      <c r="CB49" s="110">
        <v>6</v>
      </c>
      <c r="CC49" s="110">
        <v>2023.1999999999998</v>
      </c>
      <c r="CD49" s="110">
        <v>8.147850925266118</v>
      </c>
      <c r="CE49" s="110">
        <v>2747.4553319997349</v>
      </c>
      <c r="CF49" s="110">
        <v>10</v>
      </c>
      <c r="CG49" s="110">
        <v>3372</v>
      </c>
      <c r="CH49" s="110">
        <v>9.079159729631181</v>
      </c>
      <c r="CI49" s="110">
        <v>3061.4926608316341</v>
      </c>
      <c r="CJ49" s="110">
        <v>9</v>
      </c>
      <c r="CK49" s="110">
        <v>3034.7999999999997</v>
      </c>
      <c r="CL49" s="110">
        <v>8</v>
      </c>
      <c r="CM49" s="110">
        <v>2697.6</v>
      </c>
      <c r="CN49" s="110">
        <v>3</v>
      </c>
      <c r="CO49" s="110">
        <v>1011.5999999999999</v>
      </c>
      <c r="CP49" s="110">
        <v>4.1367956770762726</v>
      </c>
      <c r="CQ49" s="110">
        <v>1394.9275023101191</v>
      </c>
      <c r="CR49" s="110">
        <v>3.4120503632962338</v>
      </c>
      <c r="CS49" s="110">
        <v>1150.54338250349</v>
      </c>
      <c r="CT49" s="110">
        <v>3.3530858005897439</v>
      </c>
      <c r="CU49" s="110">
        <v>1130.6605319588616</v>
      </c>
    </row>
    <row r="50" spans="2:99" x14ac:dyDescent="0.2">
      <c r="C50" s="109" t="s">
        <v>218</v>
      </c>
      <c r="D50" s="110">
        <v>0</v>
      </c>
      <c r="E50" s="110">
        <v>0</v>
      </c>
      <c r="F50" s="110">
        <v>0.1039567641206678</v>
      </c>
      <c r="G50" s="110">
        <v>40.168893656226039</v>
      </c>
      <c r="H50" s="110">
        <v>0.36678096750461153</v>
      </c>
      <c r="I50" s="110">
        <v>141.72416584378189</v>
      </c>
      <c r="J50" s="110">
        <v>0.7608365076746052</v>
      </c>
      <c r="K50" s="110">
        <v>293.98722656546744</v>
      </c>
      <c r="L50" s="110">
        <v>1.0494260549794256</v>
      </c>
      <c r="M50" s="110">
        <v>405.49822764405002</v>
      </c>
      <c r="N50" s="110">
        <v>0.67363823311509996</v>
      </c>
      <c r="O50" s="110">
        <v>260.29381327567461</v>
      </c>
      <c r="P50" s="110">
        <v>1.3120310934399475</v>
      </c>
      <c r="Q50" s="110">
        <v>506.96881450519567</v>
      </c>
      <c r="R50" s="110">
        <v>1.9736435535107573</v>
      </c>
      <c r="S50" s="110">
        <v>762.61586907655658</v>
      </c>
      <c r="T50" s="110">
        <v>1.8001547880675499</v>
      </c>
      <c r="U50" s="110">
        <v>695.57981010930121</v>
      </c>
      <c r="V50" s="110">
        <v>2.1157143756201457</v>
      </c>
      <c r="W50" s="110">
        <v>817.51203473962426</v>
      </c>
      <c r="X50" s="110">
        <v>2.3713455144355091</v>
      </c>
      <c r="Y50" s="110">
        <v>916.28790677788072</v>
      </c>
      <c r="Z50" s="110">
        <v>3.5740170372046407</v>
      </c>
      <c r="AA50" s="110">
        <v>1381.0001831758732</v>
      </c>
      <c r="AB50" s="110">
        <v>5.0831241302996766</v>
      </c>
      <c r="AC50" s="110">
        <v>1964.119163947795</v>
      </c>
      <c r="AD50" s="110">
        <v>3.3750044316448107</v>
      </c>
      <c r="AE50" s="110">
        <v>1304.1017123875547</v>
      </c>
      <c r="AF50" s="110">
        <v>3.2653140499805375</v>
      </c>
      <c r="AG50" s="110">
        <v>1261.7173489124796</v>
      </c>
      <c r="AH50" s="110">
        <v>5.1964510611931756</v>
      </c>
      <c r="AI50" s="110">
        <v>2007.9086900450429</v>
      </c>
      <c r="AJ50" s="110">
        <v>6.9473642022545752</v>
      </c>
      <c r="AK50" s="110">
        <v>2684.4615277511675</v>
      </c>
      <c r="AL50" s="110">
        <v>2.2182595992061924</v>
      </c>
      <c r="AM50" s="110">
        <v>857.13550913327265</v>
      </c>
      <c r="AN50" s="110">
        <v>5.6380302839297984</v>
      </c>
      <c r="AO50" s="110">
        <v>2178.5349017104741</v>
      </c>
      <c r="AP50" s="110">
        <v>7.6765446471784653</v>
      </c>
      <c r="AQ50" s="110">
        <v>2966.2168516697589</v>
      </c>
      <c r="AR50" s="110">
        <v>7.4667497788771762</v>
      </c>
      <c r="AS50" s="110">
        <v>2885.1521145581405</v>
      </c>
      <c r="AT50" s="110">
        <v>6</v>
      </c>
      <c r="AU50" s="110">
        <v>2318.3999999999996</v>
      </c>
      <c r="AV50" s="110">
        <v>9.7470152947492714</v>
      </c>
      <c r="AW50" s="110">
        <v>3766.2467098911184</v>
      </c>
      <c r="AX50" s="110">
        <v>7.887255085336192</v>
      </c>
      <c r="AY50" s="110">
        <v>3047.6353649739044</v>
      </c>
      <c r="AZ50" s="110">
        <v>2.6294420859169816</v>
      </c>
      <c r="BA50" s="110">
        <v>1016.0164219983217</v>
      </c>
      <c r="BB50" s="110">
        <v>2.1293381699506142</v>
      </c>
      <c r="BC50" s="110">
        <v>822.77626886891733</v>
      </c>
      <c r="BD50" s="110">
        <v>2.5158897585592546</v>
      </c>
      <c r="BE50" s="110">
        <v>972.13980270729587</v>
      </c>
      <c r="BF50" s="110">
        <v>1.9515247745386142</v>
      </c>
      <c r="BG50" s="110">
        <v>754.06917288172042</v>
      </c>
      <c r="BH50" s="110">
        <v>1.8549107549661459</v>
      </c>
      <c r="BI50" s="110">
        <v>716.73751571891876</v>
      </c>
      <c r="BJ50" s="110">
        <v>2.7721981366499491</v>
      </c>
      <c r="BK50" s="110">
        <v>1071.1773600015404</v>
      </c>
      <c r="BL50" s="110">
        <v>2.881690611253013</v>
      </c>
      <c r="BM50" s="110">
        <v>1113.4852521881642</v>
      </c>
      <c r="BN50" s="110">
        <v>2.2268170464546064</v>
      </c>
      <c r="BO50" s="110">
        <v>860.44210675005991</v>
      </c>
      <c r="BP50" s="110">
        <v>5.0987606237614225</v>
      </c>
      <c r="BQ50" s="110">
        <v>1970.1611050214135</v>
      </c>
      <c r="BR50" s="110">
        <v>3.0828012170410921</v>
      </c>
      <c r="BS50" s="110">
        <v>1191.1943902646778</v>
      </c>
      <c r="BT50" s="110">
        <v>5</v>
      </c>
      <c r="BU50" s="110">
        <v>1932</v>
      </c>
      <c r="BV50" s="110">
        <v>6.1219935329709578</v>
      </c>
      <c r="BW50" s="110">
        <v>2365.5383011399781</v>
      </c>
      <c r="BX50" s="110">
        <v>4.6053488455286189</v>
      </c>
      <c r="BY50" s="110">
        <v>1779.5067939122582</v>
      </c>
      <c r="BZ50" s="110">
        <v>7.9238461550001862</v>
      </c>
      <c r="CA50" s="110">
        <v>3061.7741542920717</v>
      </c>
      <c r="CB50" s="110">
        <v>6.120701894576885</v>
      </c>
      <c r="CC50" s="110">
        <v>2365.0392120645083</v>
      </c>
      <c r="CD50" s="110">
        <v>7</v>
      </c>
      <c r="CE50" s="110">
        <v>2704.7999999999997</v>
      </c>
      <c r="CF50" s="110">
        <v>9.1014703876706964</v>
      </c>
      <c r="CG50" s="110">
        <v>3516.808157795957</v>
      </c>
      <c r="CH50" s="110">
        <v>4.8555095184782981</v>
      </c>
      <c r="CI50" s="110">
        <v>1876.1688779400142</v>
      </c>
      <c r="CJ50" s="110">
        <v>2.653388379489678</v>
      </c>
      <c r="CK50" s="110">
        <v>1025.2692698348114</v>
      </c>
      <c r="CL50" s="110">
        <v>3.7314724968394897</v>
      </c>
      <c r="CM50" s="110">
        <v>1441.8409727787787</v>
      </c>
      <c r="CN50" s="110">
        <v>1.682026741329282</v>
      </c>
      <c r="CO50" s="110">
        <v>649.93513284963456</v>
      </c>
      <c r="CP50" s="110">
        <v>2.1740426484772555</v>
      </c>
      <c r="CQ50" s="110">
        <v>840.05007937161145</v>
      </c>
      <c r="CR50" s="110">
        <v>1.7868271517192764</v>
      </c>
      <c r="CS50" s="110">
        <v>690.43001142432831</v>
      </c>
      <c r="CT50" s="110">
        <v>1.7111032171710825</v>
      </c>
      <c r="CU50" s="110">
        <v>661.17028311490628</v>
      </c>
    </row>
    <row r="51" spans="2:99" x14ac:dyDescent="0.2">
      <c r="C51" s="109" t="s">
        <v>219</v>
      </c>
      <c r="D51" s="110">
        <v>0</v>
      </c>
      <c r="E51" s="110">
        <v>0</v>
      </c>
      <c r="F51" s="110">
        <v>0.1454005111091807</v>
      </c>
      <c r="G51" s="110">
        <v>102.24563941197586</v>
      </c>
      <c r="H51" s="110">
        <v>0.25282220802585342</v>
      </c>
      <c r="I51" s="110">
        <v>177.7845766837801</v>
      </c>
      <c r="J51" s="110">
        <v>0.36023614299871659</v>
      </c>
      <c r="K51" s="110">
        <v>253.31805575669748</v>
      </c>
      <c r="L51" s="110">
        <v>1.2357812341150416</v>
      </c>
      <c r="M51" s="110">
        <v>869.0013638296972</v>
      </c>
      <c r="N51" s="110">
        <v>0.92807992343616141</v>
      </c>
      <c r="O51" s="110">
        <v>652.62580216030869</v>
      </c>
      <c r="P51" s="110">
        <v>0.68781192725347873</v>
      </c>
      <c r="Q51" s="110">
        <v>483.66934724464619</v>
      </c>
      <c r="R51" s="110">
        <v>1.0975994610599877</v>
      </c>
      <c r="S51" s="110">
        <v>771.83194101738331</v>
      </c>
      <c r="T51" s="110">
        <v>0.84631295574867271</v>
      </c>
      <c r="U51" s="110">
        <v>595.12727048246654</v>
      </c>
      <c r="V51" s="110">
        <v>0</v>
      </c>
      <c r="W51" s="110">
        <v>0</v>
      </c>
      <c r="X51" s="110">
        <v>0</v>
      </c>
      <c r="Y51" s="110">
        <v>0</v>
      </c>
      <c r="Z51" s="110">
        <v>0</v>
      </c>
      <c r="AA51" s="110">
        <v>0</v>
      </c>
      <c r="AB51" s="110">
        <v>0</v>
      </c>
      <c r="AC51" s="110">
        <v>0</v>
      </c>
      <c r="AD51" s="110">
        <v>4.8489549482687799</v>
      </c>
      <c r="AE51" s="110">
        <v>3409.7851196226056</v>
      </c>
      <c r="AF51" s="110">
        <v>4</v>
      </c>
      <c r="AG51" s="110">
        <v>2812.7999999999997</v>
      </c>
      <c r="AH51" s="110">
        <v>3.7662362934371858</v>
      </c>
      <c r="AI51" s="110">
        <v>2648.4173615450286</v>
      </c>
      <c r="AJ51" s="110">
        <v>2.6959014133744352</v>
      </c>
      <c r="AK51" s="110">
        <v>1895.7578738849027</v>
      </c>
      <c r="AL51" s="110">
        <v>4</v>
      </c>
      <c r="AM51" s="110">
        <v>2812.7999999999997</v>
      </c>
      <c r="AN51" s="110">
        <v>7</v>
      </c>
      <c r="AO51" s="110">
        <v>4922.3999999999996</v>
      </c>
      <c r="AP51" s="110">
        <v>7</v>
      </c>
      <c r="AQ51" s="110">
        <v>4922.3999999999996</v>
      </c>
      <c r="AR51" s="110">
        <v>8</v>
      </c>
      <c r="AS51" s="110">
        <v>5625.5999999999995</v>
      </c>
      <c r="AT51" s="110">
        <v>6.2331158659405652</v>
      </c>
      <c r="AU51" s="110">
        <v>4383.1270769294051</v>
      </c>
      <c r="AV51" s="110">
        <v>9.2929569280024573</v>
      </c>
      <c r="AW51" s="110">
        <v>6534.8073117713275</v>
      </c>
      <c r="AX51" s="110">
        <v>9.2124417940236363</v>
      </c>
      <c r="AY51" s="110">
        <v>6478.1890695574202</v>
      </c>
      <c r="AZ51" s="110">
        <v>2</v>
      </c>
      <c r="BA51" s="110">
        <v>1406.3999999999999</v>
      </c>
      <c r="BB51" s="110">
        <v>2.3815044360766424</v>
      </c>
      <c r="BC51" s="110">
        <v>1674.6739194490947</v>
      </c>
      <c r="BD51" s="110">
        <v>5</v>
      </c>
      <c r="BE51" s="110">
        <v>3515.9999999999995</v>
      </c>
      <c r="BF51" s="110">
        <v>4.512650085401674</v>
      </c>
      <c r="BG51" s="110">
        <v>3173.295540054457</v>
      </c>
      <c r="BH51" s="110">
        <v>3.1874106429556233</v>
      </c>
      <c r="BI51" s="110">
        <v>2241.3871641263941</v>
      </c>
      <c r="BJ51" s="110">
        <v>1.7204475606518079</v>
      </c>
      <c r="BK51" s="110">
        <v>1209.8187246503512</v>
      </c>
      <c r="BL51" s="110">
        <v>3.129469054031718</v>
      </c>
      <c r="BM51" s="110">
        <v>2200.6426387951037</v>
      </c>
      <c r="BN51" s="110">
        <v>2.1425217943045767</v>
      </c>
      <c r="BO51" s="110">
        <v>1506.6213257549782</v>
      </c>
      <c r="BP51" s="110">
        <v>3.537274409187158</v>
      </c>
      <c r="BQ51" s="110">
        <v>2487.4113645404091</v>
      </c>
      <c r="BR51" s="110">
        <v>4.1889979740065542</v>
      </c>
      <c r="BS51" s="110">
        <v>2945.7033753214087</v>
      </c>
      <c r="BT51" s="110">
        <v>6</v>
      </c>
      <c r="BU51" s="110">
        <v>4219.2</v>
      </c>
      <c r="BV51" s="110">
        <v>5.2924049593424218</v>
      </c>
      <c r="BW51" s="110">
        <v>3721.6191674095908</v>
      </c>
      <c r="BX51" s="110">
        <v>6.2327874866780846</v>
      </c>
      <c r="BY51" s="110">
        <v>4382.896160632029</v>
      </c>
      <c r="BZ51" s="110">
        <v>9</v>
      </c>
      <c r="CA51" s="110">
        <v>6328.7999999999993</v>
      </c>
      <c r="CB51" s="110">
        <v>6</v>
      </c>
      <c r="CC51" s="110">
        <v>4219.2</v>
      </c>
      <c r="CD51" s="110">
        <v>8.1267293645138157</v>
      </c>
      <c r="CE51" s="110">
        <v>5714.7160891261146</v>
      </c>
      <c r="CF51" s="110">
        <v>9</v>
      </c>
      <c r="CG51" s="110">
        <v>6328.7999999999993</v>
      </c>
      <c r="CH51" s="110">
        <v>9.0659664413593184</v>
      </c>
      <c r="CI51" s="110">
        <v>6375.1876015638718</v>
      </c>
      <c r="CJ51" s="110">
        <v>8</v>
      </c>
      <c r="CK51" s="110">
        <v>5625.5999999999995</v>
      </c>
      <c r="CL51" s="110">
        <v>9</v>
      </c>
      <c r="CM51" s="110">
        <v>6328.7999999999993</v>
      </c>
      <c r="CN51" s="110">
        <v>3</v>
      </c>
      <c r="CO51" s="110">
        <v>2109.6</v>
      </c>
      <c r="CP51" s="110">
        <v>3.1550351006864417</v>
      </c>
      <c r="CQ51" s="110">
        <v>2218.6206828027057</v>
      </c>
      <c r="CR51" s="110">
        <v>3.3486579997121981</v>
      </c>
      <c r="CS51" s="110">
        <v>2354.7763053976173</v>
      </c>
      <c r="CT51" s="110">
        <v>3.2888883823006996</v>
      </c>
      <c r="CU51" s="110">
        <v>2312.7463104338517</v>
      </c>
    </row>
    <row r="52" spans="2:99" x14ac:dyDescent="0.2">
      <c r="C52" s="109" t="s">
        <v>220</v>
      </c>
      <c r="D52" s="110">
        <v>0</v>
      </c>
      <c r="E52" s="110">
        <v>0</v>
      </c>
      <c r="F52" s="110">
        <v>0.13754826169352777</v>
      </c>
      <c r="G52" s="110">
        <v>85.00482572660016</v>
      </c>
      <c r="H52" s="110">
        <v>0.36907844867428674</v>
      </c>
      <c r="I52" s="110">
        <v>228.09048128070921</v>
      </c>
      <c r="J52" s="110">
        <v>0.93562022356619601</v>
      </c>
      <c r="K52" s="110">
        <v>578.21329816390914</v>
      </c>
      <c r="L52" s="110">
        <v>1.0494260549794256</v>
      </c>
      <c r="M52" s="110">
        <v>648.54530197728502</v>
      </c>
      <c r="N52" s="110">
        <v>0.86704598055925108</v>
      </c>
      <c r="O52" s="110">
        <v>535.83441598561717</v>
      </c>
      <c r="P52" s="110">
        <v>1.3039429826498223</v>
      </c>
      <c r="Q52" s="110">
        <v>805.83676327759019</v>
      </c>
      <c r="R52" s="110">
        <v>1.94967903924904</v>
      </c>
      <c r="S52" s="110">
        <v>1204.9016462559066</v>
      </c>
      <c r="T52" s="110">
        <v>1.3621525247841615</v>
      </c>
      <c r="U52" s="110">
        <v>841.81026031661179</v>
      </c>
      <c r="V52" s="110">
        <v>2.1157143756201457</v>
      </c>
      <c r="W52" s="110">
        <v>1307.5114841332502</v>
      </c>
      <c r="X52" s="110">
        <v>2.3713455144355091</v>
      </c>
      <c r="Y52" s="110">
        <v>1465.4915279211446</v>
      </c>
      <c r="Z52" s="110">
        <v>3.5740170372046407</v>
      </c>
      <c r="AA52" s="110">
        <v>2208.7425289924681</v>
      </c>
      <c r="AB52" s="110">
        <v>4.3721057370982681</v>
      </c>
      <c r="AC52" s="110">
        <v>2701.9613455267295</v>
      </c>
      <c r="AD52" s="110">
        <v>3.3865523044483545</v>
      </c>
      <c r="AE52" s="110">
        <v>2092.8893241490832</v>
      </c>
      <c r="AF52" s="110">
        <v>3.2653140499805375</v>
      </c>
      <c r="AG52" s="110">
        <v>2017.9640828879722</v>
      </c>
      <c r="AH52" s="110">
        <v>4.4629266453816925</v>
      </c>
      <c r="AI52" s="110">
        <v>2758.0886668458861</v>
      </c>
      <c r="AJ52" s="110">
        <v>6.0831399882732002</v>
      </c>
      <c r="AK52" s="110">
        <v>3759.3805127528376</v>
      </c>
      <c r="AL52" s="110">
        <v>2.7728244990077409</v>
      </c>
      <c r="AM52" s="110">
        <v>1713.6055403867838</v>
      </c>
      <c r="AN52" s="110">
        <v>5.6223648259460548</v>
      </c>
      <c r="AO52" s="110">
        <v>3474.6214624346617</v>
      </c>
      <c r="AP52" s="110">
        <v>6.7236592697736697</v>
      </c>
      <c r="AQ52" s="110">
        <v>4155.2214287201277</v>
      </c>
      <c r="AR52" s="110">
        <v>6.5537688271498196</v>
      </c>
      <c r="AS52" s="110">
        <v>4050.2291351785884</v>
      </c>
      <c r="AT52" s="110">
        <v>6</v>
      </c>
      <c r="AU52" s="110">
        <v>3708</v>
      </c>
      <c r="AV52" s="110">
        <v>9.7286531406419137</v>
      </c>
      <c r="AW52" s="110">
        <v>6012.3076409167024</v>
      </c>
      <c r="AX52" s="110">
        <v>6.3098040682689538</v>
      </c>
      <c r="AY52" s="110">
        <v>3899.4589141902134</v>
      </c>
      <c r="AZ52" s="110">
        <v>1.8524037190205167</v>
      </c>
      <c r="BA52" s="110">
        <v>1144.7854983546792</v>
      </c>
      <c r="BB52" s="110">
        <v>1.4195587799670761</v>
      </c>
      <c r="BC52" s="110">
        <v>877.28732601965305</v>
      </c>
      <c r="BD52" s="110">
        <v>2.0348268284417679</v>
      </c>
      <c r="BE52" s="110">
        <v>1257.5229799770125</v>
      </c>
      <c r="BF52" s="110">
        <v>1.9515247745386142</v>
      </c>
      <c r="BG52" s="110">
        <v>1206.0423106648636</v>
      </c>
      <c r="BH52" s="110">
        <v>1.8421056124471569</v>
      </c>
      <c r="BI52" s="110">
        <v>1138.421268492343</v>
      </c>
      <c r="BJ52" s="110">
        <v>2.2246047882583597</v>
      </c>
      <c r="BK52" s="110">
        <v>1374.8057591436664</v>
      </c>
      <c r="BL52" s="110">
        <v>2.8892978013751893</v>
      </c>
      <c r="BM52" s="110">
        <v>1785.5860412498671</v>
      </c>
      <c r="BN52" s="110">
        <v>2.7804414119273222</v>
      </c>
      <c r="BO52" s="110">
        <v>1718.3127925710851</v>
      </c>
      <c r="BP52" s="110">
        <v>5.0987606237614225</v>
      </c>
      <c r="BQ52" s="110">
        <v>3151.0340654845591</v>
      </c>
      <c r="BR52" s="110">
        <v>3.0828012170410921</v>
      </c>
      <c r="BS52" s="110">
        <v>1905.1711521313948</v>
      </c>
      <c r="BT52" s="110">
        <v>6</v>
      </c>
      <c r="BU52" s="110">
        <v>3708</v>
      </c>
      <c r="BV52" s="110">
        <v>6.1219935329709578</v>
      </c>
      <c r="BW52" s="110">
        <v>3783.3920033760519</v>
      </c>
      <c r="BX52" s="110">
        <v>5.3600365757022237</v>
      </c>
      <c r="BY52" s="110">
        <v>3312.5026037839743</v>
      </c>
      <c r="BZ52" s="110">
        <v>7.9238461550001862</v>
      </c>
      <c r="CA52" s="110">
        <v>4896.9369237901146</v>
      </c>
      <c r="CB52" s="110">
        <v>6.120701894576885</v>
      </c>
      <c r="CC52" s="110">
        <v>3782.5937708485149</v>
      </c>
      <c r="CD52" s="110">
        <v>7</v>
      </c>
      <c r="CE52" s="110">
        <v>4326</v>
      </c>
      <c r="CF52" s="110">
        <v>9.1014703876706964</v>
      </c>
      <c r="CG52" s="110">
        <v>5624.7086995804902</v>
      </c>
      <c r="CH52" s="110">
        <v>4.8555095184782981</v>
      </c>
      <c r="CI52" s="110">
        <v>3000.7048824195881</v>
      </c>
      <c r="CJ52" s="110">
        <v>2.3585674484352692</v>
      </c>
      <c r="CK52" s="110">
        <v>1457.5946831329964</v>
      </c>
      <c r="CL52" s="110">
        <v>3.7467048191223054</v>
      </c>
      <c r="CM52" s="110">
        <v>2315.4635782175847</v>
      </c>
      <c r="CN52" s="110">
        <v>1.7069011937763161</v>
      </c>
      <c r="CO52" s="110">
        <v>1054.8649377537633</v>
      </c>
      <c r="CP52" s="110">
        <v>2.1740426484772555</v>
      </c>
      <c r="CQ52" s="110">
        <v>1343.5583567589438</v>
      </c>
      <c r="CR52" s="110">
        <v>1.7868271517192764</v>
      </c>
      <c r="CS52" s="110">
        <v>1104.2591797625128</v>
      </c>
      <c r="CT52" s="110">
        <v>1.7265135037516195</v>
      </c>
      <c r="CU52" s="110">
        <v>1066.9853453185008</v>
      </c>
    </row>
    <row r="53" spans="2:99" x14ac:dyDescent="0.2">
      <c r="C53" s="109" t="s">
        <v>221</v>
      </c>
      <c r="D53" s="110">
        <v>0</v>
      </c>
      <c r="E53" s="110">
        <v>0</v>
      </c>
      <c r="F53" s="110">
        <v>0.13754826169352777</v>
      </c>
      <c r="G53" s="110">
        <v>68.168918495312354</v>
      </c>
      <c r="H53" s="110">
        <v>0.36678096750461153</v>
      </c>
      <c r="I53" s="110">
        <v>181.77664749528546</v>
      </c>
      <c r="J53" s="110">
        <v>0.7608365076746052</v>
      </c>
      <c r="K53" s="110">
        <v>377.07057320353431</v>
      </c>
      <c r="L53" s="110">
        <v>1.0494260549794256</v>
      </c>
      <c r="M53" s="110">
        <v>520.09555284780333</v>
      </c>
      <c r="N53" s="110">
        <v>0.87553825244858274</v>
      </c>
      <c r="O53" s="110">
        <v>433.91675791351759</v>
      </c>
      <c r="P53" s="110">
        <v>0.99817751396267962</v>
      </c>
      <c r="Q53" s="110">
        <v>494.69677591990398</v>
      </c>
      <c r="R53" s="110">
        <v>1.94967903924904</v>
      </c>
      <c r="S53" s="110">
        <v>966.26093185182413</v>
      </c>
      <c r="T53" s="110">
        <v>1.8001547880675499</v>
      </c>
      <c r="U53" s="110">
        <v>892.15671296627772</v>
      </c>
      <c r="V53" s="110">
        <v>2.1316557041644253</v>
      </c>
      <c r="W53" s="110">
        <v>1056.4485669838891</v>
      </c>
      <c r="X53" s="110">
        <v>2.3713455144355091</v>
      </c>
      <c r="Y53" s="110">
        <v>1175.2388369542382</v>
      </c>
      <c r="Z53" s="110">
        <v>3.5597004196346473</v>
      </c>
      <c r="AA53" s="110">
        <v>1764.1875279709311</v>
      </c>
      <c r="AB53" s="110">
        <v>5.067981933458273</v>
      </c>
      <c r="AC53" s="110">
        <v>2511.6918462219201</v>
      </c>
      <c r="AD53" s="110">
        <v>3.3865523044483545</v>
      </c>
      <c r="AE53" s="110">
        <v>1678.3753220846045</v>
      </c>
      <c r="AF53" s="110">
        <v>3.2653140499805375</v>
      </c>
      <c r="AG53" s="110">
        <v>1618.2896431703543</v>
      </c>
      <c r="AH53" s="110">
        <v>5.1964510611931756</v>
      </c>
      <c r="AI53" s="110">
        <v>2575.3611459273375</v>
      </c>
      <c r="AJ53" s="110">
        <v>6.9473642022545752</v>
      </c>
      <c r="AK53" s="110">
        <v>3443.1136986373672</v>
      </c>
      <c r="AL53" s="110">
        <v>2.7728244990077409</v>
      </c>
      <c r="AM53" s="110">
        <v>1374.2118217082364</v>
      </c>
      <c r="AN53" s="110">
        <v>5.6223648259460548</v>
      </c>
      <c r="AO53" s="110">
        <v>2786.4440077388645</v>
      </c>
      <c r="AP53" s="110">
        <v>6.7236592697736697</v>
      </c>
      <c r="AQ53" s="110">
        <v>3332.2455340998304</v>
      </c>
      <c r="AR53" s="110">
        <v>8.3471502975928651</v>
      </c>
      <c r="AS53" s="110">
        <v>4136.8476874870239</v>
      </c>
      <c r="AT53" s="110">
        <v>6</v>
      </c>
      <c r="AU53" s="110">
        <v>2973.6</v>
      </c>
      <c r="AV53" s="110">
        <v>8.7686413344528731</v>
      </c>
      <c r="AW53" s="110">
        <v>4345.7386453548434</v>
      </c>
      <c r="AX53" s="110">
        <v>7.0985295768025729</v>
      </c>
      <c r="AY53" s="110">
        <v>3518.0312582633551</v>
      </c>
      <c r="AZ53" s="110">
        <v>2.6294420859169816</v>
      </c>
      <c r="BA53" s="110">
        <v>1303.1514977804559</v>
      </c>
      <c r="BB53" s="110">
        <v>1.4195587799670761</v>
      </c>
      <c r="BC53" s="110">
        <v>703.53333135168293</v>
      </c>
      <c r="BD53" s="110">
        <v>2.5097466970052644</v>
      </c>
      <c r="BE53" s="110">
        <v>1243.8304630358089</v>
      </c>
      <c r="BF53" s="110">
        <v>1.9809762412859728</v>
      </c>
      <c r="BG53" s="110">
        <v>981.77182518132804</v>
      </c>
      <c r="BH53" s="110">
        <v>1.8549107549661459</v>
      </c>
      <c r="BI53" s="110">
        <v>919.2937701612218</v>
      </c>
      <c r="BJ53" s="110">
        <v>2.7679192123134482</v>
      </c>
      <c r="BK53" s="110">
        <v>1371.7807616225448</v>
      </c>
      <c r="BL53" s="110">
        <v>2.8892978013751893</v>
      </c>
      <c r="BM53" s="110">
        <v>1431.9359903615436</v>
      </c>
      <c r="BN53" s="110">
        <v>2.7681218273635766</v>
      </c>
      <c r="BO53" s="110">
        <v>1371.8811776413884</v>
      </c>
      <c r="BP53" s="110">
        <v>5.0916743378812752</v>
      </c>
      <c r="BQ53" s="110">
        <v>2523.4338018539597</v>
      </c>
      <c r="BR53" s="110">
        <v>3.0828012170410921</v>
      </c>
      <c r="BS53" s="110">
        <v>1527.8362831655652</v>
      </c>
      <c r="BT53" s="110">
        <v>5</v>
      </c>
      <c r="BU53" s="110">
        <v>2478</v>
      </c>
      <c r="BV53" s="110">
        <v>5.1219935329709578</v>
      </c>
      <c r="BW53" s="110">
        <v>2538.4599949404064</v>
      </c>
      <c r="BX53" s="110">
        <v>4.620793338426016</v>
      </c>
      <c r="BY53" s="110">
        <v>2290.0651785239334</v>
      </c>
      <c r="BZ53" s="110">
        <v>9.6701819184934728</v>
      </c>
      <c r="CA53" s="110">
        <v>4792.542158805365</v>
      </c>
      <c r="CB53" s="110">
        <v>6.120701894576885</v>
      </c>
      <c r="CC53" s="110">
        <v>3033.4198589523039</v>
      </c>
      <c r="CD53" s="110">
        <v>7</v>
      </c>
      <c r="CE53" s="110">
        <v>3469.2</v>
      </c>
      <c r="CF53" s="110">
        <v>9.1014703876706964</v>
      </c>
      <c r="CG53" s="110">
        <v>4510.6887241295972</v>
      </c>
      <c r="CH53" s="110">
        <v>5.3950105760869986</v>
      </c>
      <c r="CI53" s="110">
        <v>2673.7672415087163</v>
      </c>
      <c r="CJ53" s="110">
        <v>2.653388379489678</v>
      </c>
      <c r="CK53" s="110">
        <v>1315.0192808750844</v>
      </c>
      <c r="CL53" s="110">
        <v>3.7314724968394897</v>
      </c>
      <c r="CM53" s="110">
        <v>1849.3177694336509</v>
      </c>
      <c r="CN53" s="110">
        <v>1.7193384199998334</v>
      </c>
      <c r="CO53" s="110">
        <v>852.10412095191737</v>
      </c>
      <c r="CP53" s="110">
        <v>2.8460112960912332</v>
      </c>
      <c r="CQ53" s="110">
        <v>1410.4831983428151</v>
      </c>
      <c r="CR53" s="110">
        <v>1.7868271517192764</v>
      </c>
      <c r="CS53" s="110">
        <v>885.55153639207333</v>
      </c>
      <c r="CT53" s="110">
        <v>1.7265135037516195</v>
      </c>
      <c r="CU53" s="110">
        <v>855.66009245930252</v>
      </c>
    </row>
    <row r="54" spans="2:99" x14ac:dyDescent="0.2">
      <c r="C54" s="109" t="s">
        <v>222</v>
      </c>
      <c r="D54" s="110">
        <v>0</v>
      </c>
      <c r="E54" s="110">
        <v>0</v>
      </c>
      <c r="F54" s="110">
        <v>0.1039567641206678</v>
      </c>
      <c r="G54" s="110">
        <v>42.414359761232461</v>
      </c>
      <c r="H54" s="110">
        <v>0.36907844867428674</v>
      </c>
      <c r="I54" s="110">
        <v>150.58400705910898</v>
      </c>
      <c r="J54" s="110">
        <v>0.7608365076746052</v>
      </c>
      <c r="K54" s="110">
        <v>310.42129513123894</v>
      </c>
      <c r="L54" s="110">
        <v>1.0494260549794256</v>
      </c>
      <c r="M54" s="110">
        <v>428.16583043160568</v>
      </c>
      <c r="N54" s="110">
        <v>0.86704598055925108</v>
      </c>
      <c r="O54" s="110">
        <v>353.75476006817445</v>
      </c>
      <c r="P54" s="110">
        <v>1.2958548718596972</v>
      </c>
      <c r="Q54" s="110">
        <v>528.70878771875641</v>
      </c>
      <c r="R54" s="110">
        <v>1.9856258106416158</v>
      </c>
      <c r="S54" s="110">
        <v>810.13533074177928</v>
      </c>
      <c r="T54" s="110">
        <v>1.3621525247841615</v>
      </c>
      <c r="U54" s="110">
        <v>555.75823011193791</v>
      </c>
      <c r="V54" s="110">
        <v>2.1316557041644253</v>
      </c>
      <c r="W54" s="110">
        <v>869.71552729908547</v>
      </c>
      <c r="X54" s="110">
        <v>2.3552878860202933</v>
      </c>
      <c r="Y54" s="110">
        <v>960.95745749627963</v>
      </c>
      <c r="Z54" s="110">
        <v>2.8792568943617032</v>
      </c>
      <c r="AA54" s="110">
        <v>1174.7368128995749</v>
      </c>
      <c r="AB54" s="110">
        <v>5.0831241302996766</v>
      </c>
      <c r="AC54" s="110">
        <v>2073.9146451622682</v>
      </c>
      <c r="AD54" s="110">
        <v>3.3750044316448107</v>
      </c>
      <c r="AE54" s="110">
        <v>1377.0018081110827</v>
      </c>
      <c r="AF54" s="110">
        <v>3.2653140499805375</v>
      </c>
      <c r="AG54" s="110">
        <v>1332.2481323920592</v>
      </c>
      <c r="AH54" s="110">
        <v>5.1887285423790752</v>
      </c>
      <c r="AI54" s="110">
        <v>2117.0012452906626</v>
      </c>
      <c r="AJ54" s="110">
        <v>6.0831399882732002</v>
      </c>
      <c r="AK54" s="110">
        <v>2481.9211152154658</v>
      </c>
      <c r="AL54" s="110">
        <v>2.7728244990077409</v>
      </c>
      <c r="AM54" s="110">
        <v>1131.3123955951583</v>
      </c>
      <c r="AN54" s="110">
        <v>6.4300356462194177</v>
      </c>
      <c r="AO54" s="110">
        <v>2623.4545436575222</v>
      </c>
      <c r="AP54" s="110">
        <v>7.6765446471784653</v>
      </c>
      <c r="AQ54" s="110">
        <v>3132.0302160488141</v>
      </c>
      <c r="AR54" s="110">
        <v>8.3471502975928651</v>
      </c>
      <c r="AS54" s="110">
        <v>3405.6373214178889</v>
      </c>
      <c r="AT54" s="110">
        <v>6</v>
      </c>
      <c r="AU54" s="110">
        <v>2448</v>
      </c>
      <c r="AV54" s="110">
        <v>9.7286531406419137</v>
      </c>
      <c r="AW54" s="110">
        <v>3969.2904813819009</v>
      </c>
      <c r="AX54" s="110">
        <v>7.0985295768025729</v>
      </c>
      <c r="AY54" s="110">
        <v>2896.2000673354496</v>
      </c>
      <c r="AZ54" s="110">
        <v>1.8524037190205167</v>
      </c>
      <c r="BA54" s="110">
        <v>755.78071736037077</v>
      </c>
      <c r="BB54" s="110">
        <v>2.1293381699506142</v>
      </c>
      <c r="BC54" s="110">
        <v>868.76997333985059</v>
      </c>
      <c r="BD54" s="110">
        <v>2.0348268284417679</v>
      </c>
      <c r="BE54" s="110">
        <v>830.2093460042413</v>
      </c>
      <c r="BF54" s="110">
        <v>1.9662505079122934</v>
      </c>
      <c r="BG54" s="110">
        <v>802.2302072282157</v>
      </c>
      <c r="BH54" s="110">
        <v>1.8421056124471569</v>
      </c>
      <c r="BI54" s="110">
        <v>751.57908987843996</v>
      </c>
      <c r="BJ54" s="110">
        <v>2.7721981366499491</v>
      </c>
      <c r="BK54" s="110">
        <v>1131.0568397531792</v>
      </c>
      <c r="BL54" s="110">
        <v>2.8892978013751893</v>
      </c>
      <c r="BM54" s="110">
        <v>1178.8335029610773</v>
      </c>
      <c r="BN54" s="110">
        <v>2.2268170464546064</v>
      </c>
      <c r="BO54" s="110">
        <v>908.54135495347941</v>
      </c>
      <c r="BP54" s="110">
        <v>5.0916743378812752</v>
      </c>
      <c r="BQ54" s="110">
        <v>2077.4031298555601</v>
      </c>
      <c r="BR54" s="110">
        <v>3.0828012170410921</v>
      </c>
      <c r="BS54" s="110">
        <v>1257.7828965527656</v>
      </c>
      <c r="BT54" s="110">
        <v>6</v>
      </c>
      <c r="BU54" s="110">
        <v>2448</v>
      </c>
      <c r="BV54" s="110">
        <v>5.1219935329709578</v>
      </c>
      <c r="BW54" s="110">
        <v>2089.7733614521508</v>
      </c>
      <c r="BX54" s="110">
        <v>4.6053488455286189</v>
      </c>
      <c r="BY54" s="110">
        <v>1878.9823289756764</v>
      </c>
      <c r="BZ54" s="110">
        <v>8.7970140367468286</v>
      </c>
      <c r="CA54" s="110">
        <v>3589.181726992706</v>
      </c>
      <c r="CB54" s="110">
        <v>6.120701894576885</v>
      </c>
      <c r="CC54" s="110">
        <v>2497.2463729873689</v>
      </c>
      <c r="CD54" s="110">
        <v>7</v>
      </c>
      <c r="CE54" s="110">
        <v>2856</v>
      </c>
      <c r="CF54" s="110">
        <v>8.1159661573379385</v>
      </c>
      <c r="CG54" s="110">
        <v>3311.3141921938791</v>
      </c>
      <c r="CH54" s="110">
        <v>4.3160084608695986</v>
      </c>
      <c r="CI54" s="110">
        <v>1760.9314520347962</v>
      </c>
      <c r="CJ54" s="110">
        <v>2.3585674484352692</v>
      </c>
      <c r="CK54" s="110">
        <v>962.29551896158989</v>
      </c>
      <c r="CL54" s="110">
        <v>3.7314724968394897</v>
      </c>
      <c r="CM54" s="110">
        <v>1522.4407787105117</v>
      </c>
      <c r="CN54" s="110">
        <v>1.694463967552799</v>
      </c>
      <c r="CO54" s="110">
        <v>691.34129876154202</v>
      </c>
      <c r="CP54" s="110">
        <v>2.8284405510206421</v>
      </c>
      <c r="CQ54" s="110">
        <v>1154.0037448164219</v>
      </c>
      <c r="CR54" s="110">
        <v>1.7868271517192764</v>
      </c>
      <c r="CS54" s="110">
        <v>729.0254779014648</v>
      </c>
      <c r="CT54" s="110">
        <v>1.7111032171710825</v>
      </c>
      <c r="CU54" s="110">
        <v>698.13011260580163</v>
      </c>
    </row>
    <row r="55" spans="2:99" x14ac:dyDescent="0.2">
      <c r="C55" s="109" t="s">
        <v>223</v>
      </c>
      <c r="D55" s="110">
        <v>0</v>
      </c>
      <c r="E55" s="110">
        <v>0</v>
      </c>
      <c r="F55" s="110">
        <v>0.13754826169352777</v>
      </c>
      <c r="G55" s="110">
        <v>110.75386031562854</v>
      </c>
      <c r="H55" s="110">
        <v>0.36678096750461153</v>
      </c>
      <c r="I55" s="110">
        <v>295.33203503471316</v>
      </c>
      <c r="J55" s="110">
        <v>0.75466634326378101</v>
      </c>
      <c r="K55" s="110">
        <v>607.6573395959964</v>
      </c>
      <c r="L55" s="110">
        <v>1.3992347399725675</v>
      </c>
      <c r="M55" s="110">
        <v>1126.6638126259113</v>
      </c>
      <c r="N55" s="110">
        <v>0.66514596122576841</v>
      </c>
      <c r="O55" s="110">
        <v>535.5755279789887</v>
      </c>
      <c r="P55" s="110">
        <v>1.01435373554293</v>
      </c>
      <c r="Q55" s="110">
        <v>816.75762785916709</v>
      </c>
      <c r="R55" s="110">
        <v>1.4982060508293555</v>
      </c>
      <c r="S55" s="110">
        <v>1206.3555121277971</v>
      </c>
      <c r="T55" s="110">
        <v>1.8001547880675499</v>
      </c>
      <c r="U55" s="110">
        <v>1449.4846353519911</v>
      </c>
      <c r="V55" s="110">
        <v>2.1157143756201457</v>
      </c>
      <c r="W55" s="110">
        <v>1703.5732152493413</v>
      </c>
      <c r="X55" s="110">
        <v>2.3552878860202933</v>
      </c>
      <c r="Y55" s="110">
        <v>1896.4778058235399</v>
      </c>
      <c r="Z55" s="110">
        <v>2.8792568943617032</v>
      </c>
      <c r="AA55" s="110">
        <v>2318.377651340043</v>
      </c>
      <c r="AB55" s="110">
        <v>5.067981933458273</v>
      </c>
      <c r="AC55" s="110">
        <v>4080.739052820601</v>
      </c>
      <c r="AD55" s="110">
        <v>3.3634565588412668</v>
      </c>
      <c r="AE55" s="110">
        <v>2708.255221178988</v>
      </c>
      <c r="AF55" s="110">
        <v>3.2501788144813371</v>
      </c>
      <c r="AG55" s="110">
        <v>2617.0439814203723</v>
      </c>
      <c r="AH55" s="110">
        <v>4.455204126567593</v>
      </c>
      <c r="AI55" s="110">
        <v>3587.3303627122255</v>
      </c>
      <c r="AJ55" s="110">
        <v>6.0831399882732002</v>
      </c>
      <c r="AK55" s="110">
        <v>4898.1443185575808</v>
      </c>
      <c r="AL55" s="110">
        <v>2.7728244990077409</v>
      </c>
      <c r="AM55" s="110">
        <v>2232.6782866010326</v>
      </c>
      <c r="AN55" s="110">
        <v>5.6380302839297984</v>
      </c>
      <c r="AO55" s="110">
        <v>4539.7419846202729</v>
      </c>
      <c r="AP55" s="110">
        <v>6.7236592697736697</v>
      </c>
      <c r="AQ55" s="110">
        <v>5413.8904440217584</v>
      </c>
      <c r="AR55" s="110">
        <v>7.4341693458655085</v>
      </c>
      <c r="AS55" s="110">
        <v>5985.9931572909072</v>
      </c>
      <c r="AT55" s="110">
        <v>6</v>
      </c>
      <c r="AU55" s="110">
        <v>4831.2</v>
      </c>
      <c r="AV55" s="110">
        <v>8.7686413344528731</v>
      </c>
      <c r="AW55" s="110">
        <v>7060.5100025014526</v>
      </c>
      <c r="AX55" s="110">
        <v>7.0985295768025729</v>
      </c>
      <c r="AY55" s="110">
        <v>5715.7360152414312</v>
      </c>
      <c r="AZ55" s="110">
        <v>1.8524037190205167</v>
      </c>
      <c r="BA55" s="110">
        <v>1491.55547455532</v>
      </c>
      <c r="BB55" s="110">
        <v>2.1293381699506142</v>
      </c>
      <c r="BC55" s="110">
        <v>1714.5430944442344</v>
      </c>
      <c r="BD55" s="110">
        <v>2.5036036354512743</v>
      </c>
      <c r="BE55" s="110">
        <v>2015.9016472653659</v>
      </c>
      <c r="BF55" s="110">
        <v>1.9957019746596516</v>
      </c>
      <c r="BG55" s="110">
        <v>1606.9392299959513</v>
      </c>
      <c r="BH55" s="110">
        <v>1.8421056124471569</v>
      </c>
      <c r="BI55" s="110">
        <v>1483.2634391424506</v>
      </c>
      <c r="BJ55" s="110">
        <v>2.2246047882583597</v>
      </c>
      <c r="BK55" s="110">
        <v>1791.251775505631</v>
      </c>
      <c r="BL55" s="110">
        <v>2.8892978013751893</v>
      </c>
      <c r="BM55" s="110">
        <v>2326.4625896673024</v>
      </c>
      <c r="BN55" s="110">
        <v>2.2391366310183516</v>
      </c>
      <c r="BO55" s="110">
        <v>1802.9528152959765</v>
      </c>
      <c r="BP55" s="110">
        <v>5.0987606237614225</v>
      </c>
      <c r="BQ55" s="110">
        <v>4105.5220542526968</v>
      </c>
      <c r="BR55" s="110">
        <v>3.0828012170410921</v>
      </c>
      <c r="BS55" s="110">
        <v>2482.2715399614872</v>
      </c>
      <c r="BT55" s="110">
        <v>5</v>
      </c>
      <c r="BU55" s="110">
        <v>4025.9999999999995</v>
      </c>
      <c r="BV55" s="110">
        <v>5.1016612774757979</v>
      </c>
      <c r="BW55" s="110">
        <v>4107.8576606235119</v>
      </c>
      <c r="BX55" s="110">
        <v>4.6053488455286189</v>
      </c>
      <c r="BY55" s="110">
        <v>3708.2268904196435</v>
      </c>
      <c r="BZ55" s="110">
        <v>8.7970140367468286</v>
      </c>
      <c r="CA55" s="110">
        <v>7083.355702388546</v>
      </c>
      <c r="CB55" s="110">
        <v>6.1056141577547738</v>
      </c>
      <c r="CC55" s="110">
        <v>4916.2405198241431</v>
      </c>
      <c r="CD55" s="110">
        <v>7</v>
      </c>
      <c r="CE55" s="110">
        <v>5636.4</v>
      </c>
      <c r="CF55" s="110">
        <v>8.1159661573379385</v>
      </c>
      <c r="CG55" s="110">
        <v>6534.9759498885078</v>
      </c>
      <c r="CH55" s="110">
        <v>4.8555095184782981</v>
      </c>
      <c r="CI55" s="110">
        <v>3909.6562642787253</v>
      </c>
      <c r="CJ55" s="110">
        <v>2.653388379489678</v>
      </c>
      <c r="CK55" s="110">
        <v>2136.5083231650883</v>
      </c>
      <c r="CL55" s="110">
        <v>3.7314724968394897</v>
      </c>
      <c r="CM55" s="110">
        <v>3004.5816544551567</v>
      </c>
      <c r="CN55" s="110">
        <v>1.682026741329282</v>
      </c>
      <c r="CO55" s="110">
        <v>1354.3679321183376</v>
      </c>
      <c r="CP55" s="110">
        <v>2.1740426484772555</v>
      </c>
      <c r="CQ55" s="110">
        <v>1750.539140553886</v>
      </c>
      <c r="CR55" s="110">
        <v>1.7868271517192764</v>
      </c>
      <c r="CS55" s="110">
        <v>1438.7532225643613</v>
      </c>
      <c r="CT55" s="110">
        <v>1.7111032171710825</v>
      </c>
      <c r="CU55" s="110">
        <v>1377.7803104661555</v>
      </c>
    </row>
    <row r="56" spans="2:99" x14ac:dyDescent="0.2">
      <c r="C56" s="109" t="s">
        <v>224</v>
      </c>
      <c r="D56" s="110">
        <v>0</v>
      </c>
      <c r="E56" s="110">
        <v>0</v>
      </c>
      <c r="F56" s="110">
        <v>0.41829546867715911</v>
      </c>
      <c r="G56" s="110">
        <v>351.36819368881368</v>
      </c>
      <c r="H56" s="110">
        <v>1.0430384406886886</v>
      </c>
      <c r="I56" s="110">
        <v>876.15229017849845</v>
      </c>
      <c r="J56" s="110">
        <v>2.1666058199913478</v>
      </c>
      <c r="K56" s="110">
        <v>1819.9488887927321</v>
      </c>
      <c r="L56" s="110">
        <v>0.60380764753667837</v>
      </c>
      <c r="M56" s="110">
        <v>507.19842393080984</v>
      </c>
      <c r="N56" s="110">
        <v>3.0422440127653512</v>
      </c>
      <c r="O56" s="110">
        <v>2555.484970722895</v>
      </c>
      <c r="P56" s="110">
        <v>1.6878422463829028</v>
      </c>
      <c r="Q56" s="110">
        <v>1417.7874869616383</v>
      </c>
      <c r="R56" s="110">
        <v>2.6687878948211194</v>
      </c>
      <c r="S56" s="110">
        <v>2241.7818316497405</v>
      </c>
      <c r="T56" s="110">
        <v>3.2830857576650838</v>
      </c>
      <c r="U56" s="110">
        <v>2757.7920364386705</v>
      </c>
      <c r="V56" s="110">
        <v>0</v>
      </c>
      <c r="W56" s="110">
        <v>0</v>
      </c>
      <c r="X56" s="110">
        <v>0</v>
      </c>
      <c r="Y56" s="110">
        <v>0</v>
      </c>
      <c r="Z56" s="110">
        <v>0</v>
      </c>
      <c r="AA56" s="110">
        <v>0</v>
      </c>
      <c r="AB56" s="110">
        <v>0</v>
      </c>
      <c r="AC56" s="110">
        <v>0</v>
      </c>
      <c r="AD56" s="110">
        <v>6.6818230618601324E-3</v>
      </c>
      <c r="AE56" s="110">
        <v>5.6127313719625116</v>
      </c>
      <c r="AF56" s="110">
        <v>9.1743197675146996E-3</v>
      </c>
      <c r="AG56" s="110">
        <v>7.7064286047123476</v>
      </c>
      <c r="AH56" s="110">
        <v>1.0992786408433049E-2</v>
      </c>
      <c r="AI56" s="110">
        <v>9.2339405830837613</v>
      </c>
      <c r="AJ56" s="110">
        <v>1.2337951509182515E-2</v>
      </c>
      <c r="AK56" s="110">
        <v>10.363879267713314</v>
      </c>
      <c r="AL56" s="110">
        <v>3.3130973971899538</v>
      </c>
      <c r="AM56" s="110">
        <v>2783.0018136395611</v>
      </c>
      <c r="AN56" s="110">
        <v>5.4918773582536655</v>
      </c>
      <c r="AO56" s="110">
        <v>4613.176980933079</v>
      </c>
      <c r="AP56" s="110">
        <v>5.0665156575031611</v>
      </c>
      <c r="AQ56" s="110">
        <v>4255.8731523026554</v>
      </c>
      <c r="AR56" s="110">
        <v>7.1622347852434025</v>
      </c>
      <c r="AS56" s="110">
        <v>6016.277219604458</v>
      </c>
      <c r="AT56" s="110">
        <v>5.1461569730269794</v>
      </c>
      <c r="AU56" s="110">
        <v>4322.7718573426628</v>
      </c>
      <c r="AV56" s="110">
        <v>4.4437314589901886</v>
      </c>
      <c r="AW56" s="110">
        <v>3732.7344255517582</v>
      </c>
      <c r="AX56" s="110">
        <v>3.9964157305505355</v>
      </c>
      <c r="AY56" s="110">
        <v>3356.9892136624499</v>
      </c>
      <c r="AZ56" s="110">
        <v>0.97298490066422672</v>
      </c>
      <c r="BA56" s="110">
        <v>817.30731655795046</v>
      </c>
      <c r="BB56" s="110">
        <v>3.0499097879178829</v>
      </c>
      <c r="BC56" s="110">
        <v>2561.9242218510217</v>
      </c>
      <c r="BD56" s="110">
        <v>4.0662946537167981</v>
      </c>
      <c r="BE56" s="110">
        <v>3415.6875091221104</v>
      </c>
      <c r="BF56" s="110">
        <v>2.2356035920500008</v>
      </c>
      <c r="BG56" s="110">
        <v>1877.9070173220007</v>
      </c>
      <c r="BH56" s="110">
        <v>3.8762343902346843</v>
      </c>
      <c r="BI56" s="110">
        <v>3256.036887797135</v>
      </c>
      <c r="BJ56" s="110">
        <v>0</v>
      </c>
      <c r="BK56" s="110">
        <v>0</v>
      </c>
      <c r="BL56" s="110">
        <v>0</v>
      </c>
      <c r="BM56" s="110">
        <v>0</v>
      </c>
      <c r="BN56" s="110">
        <v>0</v>
      </c>
      <c r="BO56" s="110">
        <v>0</v>
      </c>
      <c r="BP56" s="110">
        <v>0</v>
      </c>
      <c r="BQ56" s="110">
        <v>0</v>
      </c>
      <c r="BR56" s="110">
        <v>0</v>
      </c>
      <c r="BS56" s="110">
        <v>0</v>
      </c>
      <c r="BT56" s="110">
        <v>0</v>
      </c>
      <c r="BU56" s="110">
        <v>0</v>
      </c>
      <c r="BV56" s="110">
        <v>0</v>
      </c>
      <c r="BW56" s="110">
        <v>0</v>
      </c>
      <c r="BX56" s="110">
        <v>0</v>
      </c>
      <c r="BY56" s="110">
        <v>0</v>
      </c>
      <c r="BZ56" s="110">
        <v>0</v>
      </c>
      <c r="CA56" s="110">
        <v>0</v>
      </c>
      <c r="CB56" s="110">
        <v>0</v>
      </c>
      <c r="CC56" s="110">
        <v>0</v>
      </c>
      <c r="CD56" s="110">
        <v>0</v>
      </c>
      <c r="CE56" s="110">
        <v>0</v>
      </c>
      <c r="CF56" s="110">
        <v>0</v>
      </c>
      <c r="CG56" s="110">
        <v>0</v>
      </c>
      <c r="CH56" s="110">
        <v>0.11280986561915504</v>
      </c>
      <c r="CI56" s="110">
        <v>94.76028712009024</v>
      </c>
      <c r="CJ56" s="110">
        <v>0.13353250831843771</v>
      </c>
      <c r="CK56" s="110">
        <v>112.16730698748768</v>
      </c>
      <c r="CL56" s="110">
        <v>0.15310168841649202</v>
      </c>
      <c r="CM56" s="110">
        <v>128.60541826985329</v>
      </c>
      <c r="CN56" s="110">
        <v>9.8203888701052136E-2</v>
      </c>
      <c r="CO56" s="110">
        <v>82.491266508883797</v>
      </c>
      <c r="CP56" s="110">
        <v>4</v>
      </c>
      <c r="CQ56" s="110">
        <v>3360</v>
      </c>
      <c r="CR56" s="110">
        <v>3.4302976508541643</v>
      </c>
      <c r="CS56" s="110">
        <v>2881.4500267174981</v>
      </c>
      <c r="CT56" s="110">
        <v>3.3203281552716652</v>
      </c>
      <c r="CU56" s="110">
        <v>2789.075650428199</v>
      </c>
    </row>
    <row r="57" spans="2:99" x14ac:dyDescent="0.2">
      <c r="C57" s="109" t="s">
        <v>225</v>
      </c>
      <c r="D57" s="110">
        <v>0</v>
      </c>
      <c r="E57" s="110">
        <v>0</v>
      </c>
      <c r="F57" s="110">
        <v>0.11126851820312952</v>
      </c>
      <c r="G57" s="110">
        <v>140.4653773796307</v>
      </c>
      <c r="H57" s="110">
        <v>0.31602776003231675</v>
      </c>
      <c r="I57" s="110">
        <v>398.95344426479664</v>
      </c>
      <c r="J57" s="110">
        <v>0.28818891439897332</v>
      </c>
      <c r="K57" s="110">
        <v>363.80968553726387</v>
      </c>
      <c r="L57" s="110">
        <v>1.2357812341150416</v>
      </c>
      <c r="M57" s="110">
        <v>1560.0502299468283</v>
      </c>
      <c r="N57" s="110">
        <v>0.696059942577121</v>
      </c>
      <c r="O57" s="110">
        <v>878.70607150935746</v>
      </c>
      <c r="P57" s="110">
        <v>0.51585894544010902</v>
      </c>
      <c r="Q57" s="110">
        <v>651.22033272359351</v>
      </c>
      <c r="R57" s="110">
        <v>0.8231995957949908</v>
      </c>
      <c r="S57" s="110">
        <v>1039.2071697315962</v>
      </c>
      <c r="T57" s="110">
        <v>0.84631295574867271</v>
      </c>
      <c r="U57" s="110">
        <v>1068.3854753371243</v>
      </c>
      <c r="V57" s="110">
        <v>0</v>
      </c>
      <c r="W57" s="110">
        <v>0</v>
      </c>
      <c r="X57" s="110">
        <v>0</v>
      </c>
      <c r="Y57" s="110">
        <v>0</v>
      </c>
      <c r="Z57" s="110">
        <v>0</v>
      </c>
      <c r="AA57" s="110">
        <v>0</v>
      </c>
      <c r="AB57" s="110">
        <v>0</v>
      </c>
      <c r="AC57" s="110">
        <v>0</v>
      </c>
      <c r="AD57" s="110">
        <v>4.190174754536014</v>
      </c>
      <c r="AE57" s="110">
        <v>5289.6766101262638</v>
      </c>
      <c r="AF57" s="110">
        <v>3</v>
      </c>
      <c r="AG57" s="110">
        <v>3787.2</v>
      </c>
      <c r="AH57" s="110">
        <v>4.3939423423433839</v>
      </c>
      <c r="AI57" s="110">
        <v>5546.9128129742876</v>
      </c>
      <c r="AJ57" s="110">
        <v>2.3589137367026307</v>
      </c>
      <c r="AK57" s="110">
        <v>2977.8927012134009</v>
      </c>
      <c r="AL57" s="110">
        <v>4</v>
      </c>
      <c r="AM57" s="110">
        <v>5049.5999999999995</v>
      </c>
      <c r="AN57" s="110">
        <v>6</v>
      </c>
      <c r="AO57" s="110">
        <v>7574.4</v>
      </c>
      <c r="AP57" s="110">
        <v>7</v>
      </c>
      <c r="AQ57" s="110">
        <v>8836.7999999999993</v>
      </c>
      <c r="AR57" s="110">
        <v>8</v>
      </c>
      <c r="AS57" s="110">
        <v>10099.199999999999</v>
      </c>
      <c r="AT57" s="110">
        <v>6.2331158659405652</v>
      </c>
      <c r="AU57" s="110">
        <v>7868.6854691633689</v>
      </c>
      <c r="AV57" s="110">
        <v>10.292956928002457</v>
      </c>
      <c r="AW57" s="110">
        <v>12993.828825910301</v>
      </c>
      <c r="AX57" s="110">
        <v>9.2124417940236363</v>
      </c>
      <c r="AY57" s="110">
        <v>11629.786520775437</v>
      </c>
      <c r="AZ57" s="110">
        <v>2</v>
      </c>
      <c r="BA57" s="110">
        <v>2524.7999999999997</v>
      </c>
      <c r="BB57" s="110">
        <v>2</v>
      </c>
      <c r="BC57" s="110">
        <v>2524.7999999999997</v>
      </c>
      <c r="BD57" s="110">
        <v>4</v>
      </c>
      <c r="BE57" s="110">
        <v>5049.5999999999995</v>
      </c>
      <c r="BF57" s="110">
        <v>4.4523383106485355</v>
      </c>
      <c r="BG57" s="110">
        <v>5620.6318833627101</v>
      </c>
      <c r="BH57" s="110">
        <v>3.1545554107807288</v>
      </c>
      <c r="BI57" s="110">
        <v>3982.3107505695916</v>
      </c>
      <c r="BJ57" s="110">
        <v>1.7204475606518079</v>
      </c>
      <c r="BK57" s="110">
        <v>2171.8930005668421</v>
      </c>
      <c r="BL57" s="110">
        <v>3.14798517528155</v>
      </c>
      <c r="BM57" s="110">
        <v>3974.0164852754283</v>
      </c>
      <c r="BN57" s="110">
        <v>2.1425217943045767</v>
      </c>
      <c r="BO57" s="110">
        <v>2704.7195131300973</v>
      </c>
      <c r="BP57" s="110">
        <v>3.537274409187158</v>
      </c>
      <c r="BQ57" s="110">
        <v>4465.4552141578679</v>
      </c>
      <c r="BR57" s="110">
        <v>4.1889979740065542</v>
      </c>
      <c r="BS57" s="110">
        <v>5288.1910423858735</v>
      </c>
      <c r="BT57" s="110">
        <v>5</v>
      </c>
      <c r="BU57" s="110">
        <v>6311.9999999999991</v>
      </c>
      <c r="BV57" s="110">
        <v>5.2436707994520182</v>
      </c>
      <c r="BW57" s="110">
        <v>6619.6100172282268</v>
      </c>
      <c r="BX57" s="110">
        <v>6.2327874866780846</v>
      </c>
      <c r="BY57" s="110">
        <v>7868.2709231824128</v>
      </c>
      <c r="BZ57" s="110">
        <v>10</v>
      </c>
      <c r="CA57" s="110">
        <v>12623.999999999998</v>
      </c>
      <c r="CB57" s="110">
        <v>6</v>
      </c>
      <c r="CC57" s="110">
        <v>7574.4</v>
      </c>
      <c r="CD57" s="110">
        <v>6.1267293645138157</v>
      </c>
      <c r="CE57" s="110">
        <v>7734.3831497622405</v>
      </c>
      <c r="CF57" s="110">
        <v>8</v>
      </c>
      <c r="CG57" s="110">
        <v>10099.199999999999</v>
      </c>
      <c r="CH57" s="110">
        <v>9.079159729631181</v>
      </c>
      <c r="CI57" s="110">
        <v>11461.531242686402</v>
      </c>
      <c r="CJ57" s="110">
        <v>8</v>
      </c>
      <c r="CK57" s="110">
        <v>10099.199999999999</v>
      </c>
      <c r="CL57" s="110">
        <v>8</v>
      </c>
      <c r="CM57" s="110">
        <v>10099.199999999999</v>
      </c>
      <c r="CN57" s="110">
        <v>3</v>
      </c>
      <c r="CO57" s="110">
        <v>3787.2</v>
      </c>
      <c r="CP57" s="110">
        <v>4.1276759652711874</v>
      </c>
      <c r="CQ57" s="110">
        <v>5210.7781385583467</v>
      </c>
      <c r="CR57" s="110">
        <v>3.3486579997121981</v>
      </c>
      <c r="CS57" s="110">
        <v>4227.3458588366784</v>
      </c>
      <c r="CT57" s="110">
        <v>3.2888883823006996</v>
      </c>
      <c r="CU57" s="110">
        <v>4151.8926938164022</v>
      </c>
    </row>
    <row r="58" spans="2:99" x14ac:dyDescent="0.2">
      <c r="C58" s="109" t="s">
        <v>226</v>
      </c>
      <c r="D58" s="110">
        <v>0</v>
      </c>
      <c r="E58" s="110">
        <v>0</v>
      </c>
      <c r="F58" s="110">
        <v>0.11274727478395888</v>
      </c>
      <c r="G58" s="110">
        <v>79.283883628079877</v>
      </c>
      <c r="H58" s="110">
        <v>0.25282220802585342</v>
      </c>
      <c r="I58" s="110">
        <v>177.7845766837801</v>
      </c>
      <c r="J58" s="110">
        <v>0.28818891439897332</v>
      </c>
      <c r="K58" s="110">
        <v>202.65444460535801</v>
      </c>
      <c r="L58" s="110">
        <v>1.2357812341150416</v>
      </c>
      <c r="M58" s="110">
        <v>869.0013638296972</v>
      </c>
      <c r="N58" s="110">
        <v>0.92807992343616141</v>
      </c>
      <c r="O58" s="110">
        <v>652.62580216030869</v>
      </c>
      <c r="P58" s="110">
        <v>0.51585894544010902</v>
      </c>
      <c r="Q58" s="110">
        <v>362.7520104334846</v>
      </c>
      <c r="R58" s="110">
        <v>1.0975994610599877</v>
      </c>
      <c r="S58" s="110">
        <v>771.83194101738331</v>
      </c>
      <c r="T58" s="110">
        <v>1.1284172743315637</v>
      </c>
      <c r="U58" s="110">
        <v>793.50302730995554</v>
      </c>
      <c r="V58" s="110">
        <v>0</v>
      </c>
      <c r="W58" s="110">
        <v>0</v>
      </c>
      <c r="X58" s="110">
        <v>0</v>
      </c>
      <c r="Y58" s="110">
        <v>0</v>
      </c>
      <c r="Z58" s="110">
        <v>0</v>
      </c>
      <c r="AA58" s="110">
        <v>0</v>
      </c>
      <c r="AB58" s="110">
        <v>0</v>
      </c>
      <c r="AC58" s="110">
        <v>0</v>
      </c>
      <c r="AD58" s="110">
        <v>4.190174754536014</v>
      </c>
      <c r="AE58" s="110">
        <v>2946.5308873897247</v>
      </c>
      <c r="AF58" s="110">
        <v>4</v>
      </c>
      <c r="AG58" s="110">
        <v>2812.7999999999997</v>
      </c>
      <c r="AH58" s="110">
        <v>4.3939423423433839</v>
      </c>
      <c r="AI58" s="110">
        <v>3089.8202551358672</v>
      </c>
      <c r="AJ58" s="110">
        <v>2.6959014133744352</v>
      </c>
      <c r="AK58" s="110">
        <v>1895.7578738849027</v>
      </c>
      <c r="AL58" s="110">
        <v>5</v>
      </c>
      <c r="AM58" s="110">
        <v>3515.9999999999995</v>
      </c>
      <c r="AN58" s="110">
        <v>7</v>
      </c>
      <c r="AO58" s="110">
        <v>4922.3999999999996</v>
      </c>
      <c r="AP58" s="110">
        <v>8</v>
      </c>
      <c r="AQ58" s="110">
        <v>5625.5999999999995</v>
      </c>
      <c r="AR58" s="110">
        <v>8</v>
      </c>
      <c r="AS58" s="110">
        <v>5625.5999999999995</v>
      </c>
      <c r="AT58" s="110">
        <v>6.2331158659405652</v>
      </c>
      <c r="AU58" s="110">
        <v>4383.1270769294051</v>
      </c>
      <c r="AV58" s="110">
        <v>10.292956928002457</v>
      </c>
      <c r="AW58" s="110">
        <v>7238.0073117713273</v>
      </c>
      <c r="AX58" s="110">
        <v>9.2124417940236363</v>
      </c>
      <c r="AY58" s="110">
        <v>6478.1890695574202</v>
      </c>
      <c r="AZ58" s="110">
        <v>3</v>
      </c>
      <c r="BA58" s="110">
        <v>2109.6</v>
      </c>
      <c r="BB58" s="110">
        <v>3</v>
      </c>
      <c r="BC58" s="110">
        <v>2109.6</v>
      </c>
      <c r="BD58" s="110">
        <v>4</v>
      </c>
      <c r="BE58" s="110">
        <v>2812.7999999999997</v>
      </c>
      <c r="BF58" s="110">
        <v>4.4523383106485355</v>
      </c>
      <c r="BG58" s="110">
        <v>3130.8843000480497</v>
      </c>
      <c r="BH58" s="110">
        <v>3.8939114152135685</v>
      </c>
      <c r="BI58" s="110">
        <v>2738.198507178181</v>
      </c>
      <c r="BJ58" s="110">
        <v>1.7204475606518079</v>
      </c>
      <c r="BK58" s="110">
        <v>1209.8187246503512</v>
      </c>
      <c r="BL58" s="110">
        <v>3.14798517528155</v>
      </c>
      <c r="BM58" s="110">
        <v>2213.6631752579856</v>
      </c>
      <c r="BN58" s="110">
        <v>2.6781522428807212</v>
      </c>
      <c r="BO58" s="110">
        <v>1883.2766571937229</v>
      </c>
      <c r="BP58" s="110">
        <v>3.537274409187158</v>
      </c>
      <c r="BQ58" s="110">
        <v>2487.4113645404091</v>
      </c>
      <c r="BR58" s="110">
        <v>4.1889979740065542</v>
      </c>
      <c r="BS58" s="110">
        <v>2945.7033753214087</v>
      </c>
      <c r="BT58" s="110">
        <v>6</v>
      </c>
      <c r="BU58" s="110">
        <v>4219.2</v>
      </c>
      <c r="BV58" s="110">
        <v>5.2924049593424218</v>
      </c>
      <c r="BW58" s="110">
        <v>3721.6191674095908</v>
      </c>
      <c r="BX58" s="110">
        <v>6.2793449840137017</v>
      </c>
      <c r="BY58" s="110">
        <v>4415.6353927584341</v>
      </c>
      <c r="BZ58" s="110">
        <v>10</v>
      </c>
      <c r="CA58" s="110">
        <v>7031.9999999999991</v>
      </c>
      <c r="CB58" s="110">
        <v>6</v>
      </c>
      <c r="CC58" s="110">
        <v>4219.2</v>
      </c>
      <c r="CD58" s="110">
        <v>8.1267293645138157</v>
      </c>
      <c r="CE58" s="110">
        <v>5714.7160891261146</v>
      </c>
      <c r="CF58" s="110">
        <v>9</v>
      </c>
      <c r="CG58" s="110">
        <v>6328.7999999999993</v>
      </c>
      <c r="CH58" s="110">
        <v>8.079159729631181</v>
      </c>
      <c r="CI58" s="110">
        <v>5681.2651218766459</v>
      </c>
      <c r="CJ58" s="110">
        <v>8</v>
      </c>
      <c r="CK58" s="110">
        <v>5625.5999999999995</v>
      </c>
      <c r="CL58" s="110">
        <v>8</v>
      </c>
      <c r="CM58" s="110">
        <v>5625.5999999999995</v>
      </c>
      <c r="CN58" s="110">
        <v>3</v>
      </c>
      <c r="CO58" s="110">
        <v>2109.6</v>
      </c>
      <c r="CP58" s="110">
        <v>4.1367956770762726</v>
      </c>
      <c r="CQ58" s="110">
        <v>2908.9947201200348</v>
      </c>
      <c r="CR58" s="110">
        <v>2.3486579997121981</v>
      </c>
      <c r="CS58" s="110">
        <v>1651.5763053976175</v>
      </c>
      <c r="CT58" s="110">
        <v>3.2888883823006996</v>
      </c>
      <c r="CU58" s="110">
        <v>2312.7463104338517</v>
      </c>
    </row>
    <row r="59" spans="2:99" x14ac:dyDescent="0.2">
      <c r="C59" s="109" t="s">
        <v>227</v>
      </c>
      <c r="D59" s="110">
        <v>0</v>
      </c>
      <c r="E59" s="110">
        <v>0</v>
      </c>
      <c r="F59" s="110">
        <v>0.1039567641206678</v>
      </c>
      <c r="G59" s="110">
        <v>45.657810801797297</v>
      </c>
      <c r="H59" s="110">
        <v>0.29664124764123445</v>
      </c>
      <c r="I59" s="110">
        <v>130.28483596403018</v>
      </c>
      <c r="J59" s="110">
        <v>0.7608365076746052</v>
      </c>
      <c r="K59" s="110">
        <v>334.1593941706866</v>
      </c>
      <c r="L59" s="110">
        <v>1.3992347399725675</v>
      </c>
      <c r="M59" s="110">
        <v>614.54389779595169</v>
      </c>
      <c r="N59" s="110">
        <v>0.86704598055925108</v>
      </c>
      <c r="O59" s="110">
        <v>380.80659466162308</v>
      </c>
      <c r="P59" s="110">
        <v>1.3120310934399475</v>
      </c>
      <c r="Q59" s="110">
        <v>576.2440562388249</v>
      </c>
      <c r="R59" s="110">
        <v>1.9736435535107573</v>
      </c>
      <c r="S59" s="110">
        <v>866.8242487019246</v>
      </c>
      <c r="T59" s="110">
        <v>1.7941365712008004</v>
      </c>
      <c r="U59" s="110">
        <v>787.98478207139146</v>
      </c>
      <c r="V59" s="110">
        <v>2.1316557041644253</v>
      </c>
      <c r="W59" s="110">
        <v>936.22318526901552</v>
      </c>
      <c r="X59" s="110">
        <v>2.3713455144355091</v>
      </c>
      <c r="Y59" s="110">
        <v>1041.4949499400757</v>
      </c>
      <c r="Z59" s="110">
        <v>3.5883336547746341</v>
      </c>
      <c r="AA59" s="110">
        <v>1575.9961411770191</v>
      </c>
      <c r="AB59" s="110">
        <v>5.0831241302996766</v>
      </c>
      <c r="AC59" s="110">
        <v>2232.5081180276179</v>
      </c>
      <c r="AD59" s="110">
        <v>3.3750044316448107</v>
      </c>
      <c r="AE59" s="110">
        <v>1482.3019463784008</v>
      </c>
      <c r="AF59" s="110">
        <v>3.2653140499805375</v>
      </c>
      <c r="AG59" s="110">
        <v>1434.125930751452</v>
      </c>
      <c r="AH59" s="110">
        <v>5.1887285423790752</v>
      </c>
      <c r="AI59" s="110">
        <v>2278.8895758128897</v>
      </c>
      <c r="AJ59" s="110">
        <v>6.0831399882732002</v>
      </c>
      <c r="AK59" s="110">
        <v>2671.7150828495896</v>
      </c>
      <c r="AL59" s="110">
        <v>2.228897291067379</v>
      </c>
      <c r="AM59" s="110">
        <v>978.93169023679286</v>
      </c>
      <c r="AN59" s="110">
        <v>5.6223648259460548</v>
      </c>
      <c r="AO59" s="110">
        <v>2469.3426315555071</v>
      </c>
      <c r="AP59" s="110">
        <v>7.6765446471784653</v>
      </c>
      <c r="AQ59" s="110">
        <v>3371.538409040782</v>
      </c>
      <c r="AR59" s="110">
        <v>7.4667497788771762</v>
      </c>
      <c r="AS59" s="110">
        <v>3279.3965028828557</v>
      </c>
      <c r="AT59" s="110">
        <v>7</v>
      </c>
      <c r="AU59" s="110">
        <v>3074.4</v>
      </c>
      <c r="AV59" s="110">
        <v>8.7686413344528731</v>
      </c>
      <c r="AW59" s="110">
        <v>3851.187274091702</v>
      </c>
      <c r="AX59" s="110">
        <v>7.0985295768025729</v>
      </c>
      <c r="AY59" s="110">
        <v>3117.67419013169</v>
      </c>
      <c r="AZ59" s="110">
        <v>1.8524037190205167</v>
      </c>
      <c r="BA59" s="110">
        <v>813.57571339381093</v>
      </c>
      <c r="BB59" s="110">
        <v>1.4195587799670761</v>
      </c>
      <c r="BC59" s="110">
        <v>623.47021616153984</v>
      </c>
      <c r="BD59" s="110">
        <v>2.5036036354512743</v>
      </c>
      <c r="BE59" s="110">
        <v>1099.5827166901997</v>
      </c>
      <c r="BF59" s="110">
        <v>2.4320431014864279</v>
      </c>
      <c r="BG59" s="110">
        <v>1068.1533301728391</v>
      </c>
      <c r="BH59" s="110">
        <v>1.8549107549661459</v>
      </c>
      <c r="BI59" s="110">
        <v>814.67680358113125</v>
      </c>
      <c r="BJ59" s="110">
        <v>2.7679192123134482</v>
      </c>
      <c r="BK59" s="110">
        <v>1215.6701180480663</v>
      </c>
      <c r="BL59" s="110">
        <v>3.5983096690051779</v>
      </c>
      <c r="BM59" s="110">
        <v>1580.3776066270741</v>
      </c>
      <c r="BN59" s="110">
        <v>2.7804414119273222</v>
      </c>
      <c r="BO59" s="110">
        <v>1221.1698681184798</v>
      </c>
      <c r="BP59" s="110">
        <v>4.3754278817098964</v>
      </c>
      <c r="BQ59" s="110">
        <v>1921.6879256469865</v>
      </c>
      <c r="BR59" s="110">
        <v>3.107262736339035</v>
      </c>
      <c r="BS59" s="110">
        <v>1364.7097938001041</v>
      </c>
      <c r="BT59" s="110">
        <v>6</v>
      </c>
      <c r="BU59" s="110">
        <v>2635.2</v>
      </c>
      <c r="BV59" s="110">
        <v>5.1219935329709578</v>
      </c>
      <c r="BW59" s="110">
        <v>2249.5795596808448</v>
      </c>
      <c r="BX59" s="110">
        <v>5.3600365757022237</v>
      </c>
      <c r="BY59" s="110">
        <v>2354.1280640484165</v>
      </c>
      <c r="BZ59" s="110">
        <v>9.6701819184934728</v>
      </c>
      <c r="CA59" s="110">
        <v>4247.1438986023331</v>
      </c>
      <c r="CB59" s="110">
        <v>6.120701894576885</v>
      </c>
      <c r="CC59" s="110">
        <v>2688.2122720981679</v>
      </c>
      <c r="CD59" s="110">
        <v>8</v>
      </c>
      <c r="CE59" s="110">
        <v>3513.6</v>
      </c>
      <c r="CF59" s="110">
        <v>9.1159661573379385</v>
      </c>
      <c r="CG59" s="110">
        <v>4003.7323363028227</v>
      </c>
      <c r="CH59" s="110">
        <v>4.3160084608695986</v>
      </c>
      <c r="CI59" s="110">
        <v>1895.5909160139277</v>
      </c>
      <c r="CJ59" s="110">
        <v>2.9482093105440867</v>
      </c>
      <c r="CK59" s="110">
        <v>1294.8535291909629</v>
      </c>
      <c r="CL59" s="110">
        <v>3.7314724968394897</v>
      </c>
      <c r="CM59" s="110">
        <v>1638.8627206119038</v>
      </c>
      <c r="CN59" s="110">
        <v>1.682026741329282</v>
      </c>
      <c r="CO59" s="110">
        <v>738.7461447918206</v>
      </c>
      <c r="CP59" s="110">
        <v>2.7932990608794599</v>
      </c>
      <c r="CQ59" s="110">
        <v>1226.8169475382588</v>
      </c>
      <c r="CR59" s="110">
        <v>1.7868271517192764</v>
      </c>
      <c r="CS59" s="110">
        <v>784.77448503510618</v>
      </c>
      <c r="CT59" s="110">
        <v>1.7111032171710825</v>
      </c>
      <c r="CU59" s="110">
        <v>751.5165329815394</v>
      </c>
    </row>
    <row r="60" spans="2:99" x14ac:dyDescent="0.2">
      <c r="C60" s="109" t="s">
        <v>228</v>
      </c>
      <c r="D60" s="110">
        <v>0</v>
      </c>
      <c r="E60" s="110">
        <v>0</v>
      </c>
      <c r="F60" s="110">
        <v>0.10350215392036952</v>
      </c>
      <c r="G60" s="110">
        <v>73.155322390917163</v>
      </c>
      <c r="H60" s="110">
        <v>0.36907844867428674</v>
      </c>
      <c r="I60" s="110">
        <v>260.86464752298588</v>
      </c>
      <c r="J60" s="110">
        <v>0.7608365076746052</v>
      </c>
      <c r="K60" s="110">
        <v>537.75924362441094</v>
      </c>
      <c r="L60" s="110">
        <v>1.3992347399725675</v>
      </c>
      <c r="M60" s="110">
        <v>988.97911421261063</v>
      </c>
      <c r="N60" s="110">
        <v>0.85855370866991965</v>
      </c>
      <c r="O60" s="110">
        <v>606.82576128789913</v>
      </c>
      <c r="P60" s="110">
        <v>1.3120310934399475</v>
      </c>
      <c r="Q60" s="110">
        <v>927.34357684335487</v>
      </c>
      <c r="R60" s="110">
        <v>1.5341528222219309</v>
      </c>
      <c r="S60" s="110">
        <v>1084.3392147464608</v>
      </c>
      <c r="T60" s="110">
        <v>1.8001547880675499</v>
      </c>
      <c r="U60" s="110">
        <v>1272.3494042061443</v>
      </c>
      <c r="V60" s="110">
        <v>2.1157143756201457</v>
      </c>
      <c r="W60" s="110">
        <v>1495.3869206883189</v>
      </c>
      <c r="X60" s="110">
        <v>2.3552878860202933</v>
      </c>
      <c r="Y60" s="110">
        <v>1664.7174778391432</v>
      </c>
      <c r="Z60" s="110">
        <v>3.5740170372046407</v>
      </c>
      <c r="AA60" s="110">
        <v>2526.1152418962397</v>
      </c>
      <c r="AB60" s="110">
        <v>4.3721057370982681</v>
      </c>
      <c r="AC60" s="110">
        <v>3090.2043349810556</v>
      </c>
      <c r="AD60" s="110">
        <v>3.3634565588412668</v>
      </c>
      <c r="AE60" s="110">
        <v>2377.2910957890072</v>
      </c>
      <c r="AF60" s="110">
        <v>3.2653140499805375</v>
      </c>
      <c r="AG60" s="110">
        <v>2307.9239705262439</v>
      </c>
      <c r="AH60" s="110">
        <v>5.1964510611931756</v>
      </c>
      <c r="AI60" s="110">
        <v>3672.8516100513361</v>
      </c>
      <c r="AJ60" s="110">
        <v>6.0764258901924837</v>
      </c>
      <c r="AK60" s="110">
        <v>4294.817819188047</v>
      </c>
      <c r="AL60" s="110">
        <v>2.228897291067379</v>
      </c>
      <c r="AM60" s="110">
        <v>1575.3846053264233</v>
      </c>
      <c r="AN60" s="110">
        <v>5.6223648259460548</v>
      </c>
      <c r="AO60" s="110">
        <v>3973.8874589786715</v>
      </c>
      <c r="AP60" s="110">
        <v>7.6765446471784653</v>
      </c>
      <c r="AQ60" s="110">
        <v>5425.781756625739</v>
      </c>
      <c r="AR60" s="110">
        <v>6.5211883941381528</v>
      </c>
      <c r="AS60" s="110">
        <v>4609.1759569768465</v>
      </c>
      <c r="AT60" s="110">
        <v>6</v>
      </c>
      <c r="AU60" s="110">
        <v>4240.7999999999993</v>
      </c>
      <c r="AV60" s="110">
        <v>8.7686413344528731</v>
      </c>
      <c r="AW60" s="110">
        <v>6197.6756951912903</v>
      </c>
      <c r="AX60" s="110">
        <v>7.0985295768025729</v>
      </c>
      <c r="AY60" s="110">
        <v>5017.2407048840578</v>
      </c>
      <c r="AZ60" s="110">
        <v>1.8524037190205167</v>
      </c>
      <c r="BA60" s="110">
        <v>1309.2789486037011</v>
      </c>
      <c r="BB60" s="110">
        <v>2.1293381699506142</v>
      </c>
      <c r="BC60" s="110">
        <v>1505.0162185210941</v>
      </c>
      <c r="BD60" s="110">
        <v>2.0286837668877773</v>
      </c>
      <c r="BE60" s="110">
        <v>1433.8736864362809</v>
      </c>
      <c r="BF60" s="110">
        <v>1.9662505079122934</v>
      </c>
      <c r="BG60" s="110">
        <v>1389.7458589924088</v>
      </c>
      <c r="BH60" s="110">
        <v>2.2962294442994513</v>
      </c>
      <c r="BI60" s="110">
        <v>1622.9749712308521</v>
      </c>
      <c r="BJ60" s="110">
        <v>2.7679192123134482</v>
      </c>
      <c r="BK60" s="110">
        <v>1956.3652992631451</v>
      </c>
      <c r="BL60" s="110">
        <v>2.8892978013751893</v>
      </c>
      <c r="BM60" s="110">
        <v>2042.1556860119838</v>
      </c>
      <c r="BN60" s="110">
        <v>2.7804414119273222</v>
      </c>
      <c r="BO60" s="110">
        <v>1965.2159899502312</v>
      </c>
      <c r="BP60" s="110">
        <v>5.0987606237614225</v>
      </c>
      <c r="BQ60" s="110">
        <v>3603.8040088745734</v>
      </c>
      <c r="BR60" s="110">
        <v>3.0583396977431496</v>
      </c>
      <c r="BS60" s="110">
        <v>2161.6344983648578</v>
      </c>
      <c r="BT60" s="110">
        <v>5</v>
      </c>
      <c r="BU60" s="110">
        <v>3534</v>
      </c>
      <c r="BV60" s="110">
        <v>5.1219935329709578</v>
      </c>
      <c r="BW60" s="110">
        <v>3620.2250291038727</v>
      </c>
      <c r="BX60" s="110">
        <v>4.6053488455286189</v>
      </c>
      <c r="BY60" s="110">
        <v>3255.0605640196277</v>
      </c>
      <c r="BZ60" s="110">
        <v>8.7970140367468286</v>
      </c>
      <c r="CA60" s="110">
        <v>6217.7295211726578</v>
      </c>
      <c r="CB60" s="110">
        <v>6.120701894576885</v>
      </c>
      <c r="CC60" s="110">
        <v>4326.1120990869422</v>
      </c>
      <c r="CD60" s="110">
        <v>7</v>
      </c>
      <c r="CE60" s="110">
        <v>4947.5999999999995</v>
      </c>
      <c r="CF60" s="110">
        <v>9.1014703876706964</v>
      </c>
      <c r="CG60" s="110">
        <v>6432.9192700056474</v>
      </c>
      <c r="CH60" s="110">
        <v>4.3160084608695986</v>
      </c>
      <c r="CI60" s="110">
        <v>3050.5547801426319</v>
      </c>
      <c r="CJ60" s="110">
        <v>2.3585674484352692</v>
      </c>
      <c r="CK60" s="110">
        <v>1667.0354725540483</v>
      </c>
      <c r="CL60" s="110">
        <v>4.1998105992297781</v>
      </c>
      <c r="CM60" s="110">
        <v>2968.4261315356071</v>
      </c>
      <c r="CN60" s="110">
        <v>1.682026741329282</v>
      </c>
      <c r="CO60" s="110">
        <v>1188.8565007715365</v>
      </c>
      <c r="CP60" s="110">
        <v>2.8284405510206421</v>
      </c>
      <c r="CQ60" s="110">
        <v>1999.1417814613897</v>
      </c>
      <c r="CR60" s="110">
        <v>1.7868271517192764</v>
      </c>
      <c r="CS60" s="110">
        <v>1262.9294308351846</v>
      </c>
      <c r="CT60" s="110">
        <v>1.7265135037516195</v>
      </c>
      <c r="CU60" s="110">
        <v>1220.2997444516445</v>
      </c>
    </row>
    <row r="61" spans="2:99" x14ac:dyDescent="0.2">
      <c r="C61" s="109" t="s">
        <v>229</v>
      </c>
      <c r="D61" s="110">
        <v>0</v>
      </c>
      <c r="E61" s="110">
        <v>0</v>
      </c>
      <c r="F61" s="110">
        <v>0.11274727478395888</v>
      </c>
      <c r="G61" s="110">
        <v>76.036762114301865</v>
      </c>
      <c r="H61" s="110">
        <v>0.25282220802585342</v>
      </c>
      <c r="I61" s="110">
        <v>170.50329709263553</v>
      </c>
      <c r="J61" s="110">
        <v>0.28818891439897332</v>
      </c>
      <c r="K61" s="110">
        <v>194.3546038706676</v>
      </c>
      <c r="L61" s="110">
        <v>1.6477083121533886</v>
      </c>
      <c r="M61" s="110">
        <v>1111.2144857162452</v>
      </c>
      <c r="N61" s="110">
        <v>0.696059942577121</v>
      </c>
      <c r="O61" s="110">
        <v>469.42282527401039</v>
      </c>
      <c r="P61" s="110">
        <v>0.68781192725347873</v>
      </c>
      <c r="Q61" s="110">
        <v>463.86036373974605</v>
      </c>
      <c r="R61" s="110">
        <v>0.8231995957949908</v>
      </c>
      <c r="S61" s="110">
        <v>555.16580740414179</v>
      </c>
      <c r="T61" s="110">
        <v>1.1284172743315637</v>
      </c>
      <c r="U61" s="110">
        <v>761.0046098092065</v>
      </c>
      <c r="V61" s="110">
        <v>0</v>
      </c>
      <c r="W61" s="110">
        <v>0</v>
      </c>
      <c r="X61" s="110">
        <v>0</v>
      </c>
      <c r="Y61" s="110">
        <v>0</v>
      </c>
      <c r="Z61" s="110">
        <v>0</v>
      </c>
      <c r="AA61" s="110">
        <v>0</v>
      </c>
      <c r="AB61" s="110">
        <v>0</v>
      </c>
      <c r="AC61" s="110">
        <v>0</v>
      </c>
      <c r="AD61" s="110">
        <v>3.5610812598206745</v>
      </c>
      <c r="AE61" s="110">
        <v>2401.5932016230627</v>
      </c>
      <c r="AF61" s="110">
        <v>4</v>
      </c>
      <c r="AG61" s="110">
        <v>2697.6</v>
      </c>
      <c r="AH61" s="110">
        <v>4.3939423423433839</v>
      </c>
      <c r="AI61" s="110">
        <v>2963.274715676378</v>
      </c>
      <c r="AJ61" s="110">
        <v>2.3589137367026307</v>
      </c>
      <c r="AK61" s="110">
        <v>1590.851424032254</v>
      </c>
      <c r="AL61" s="110">
        <v>4</v>
      </c>
      <c r="AM61" s="110">
        <v>2697.6</v>
      </c>
      <c r="AN61" s="110">
        <v>7</v>
      </c>
      <c r="AO61" s="110">
        <v>4720.8</v>
      </c>
      <c r="AP61" s="110">
        <v>8</v>
      </c>
      <c r="AQ61" s="110">
        <v>5395.2</v>
      </c>
      <c r="AR61" s="110">
        <v>8</v>
      </c>
      <c r="AS61" s="110">
        <v>5395.2</v>
      </c>
      <c r="AT61" s="110">
        <v>6.2797390391286783</v>
      </c>
      <c r="AU61" s="110">
        <v>4235.0560079883808</v>
      </c>
      <c r="AV61" s="110">
        <v>10.292956928002457</v>
      </c>
      <c r="AW61" s="110">
        <v>6941.5701522448571</v>
      </c>
      <c r="AX61" s="110">
        <v>9.2124417940236363</v>
      </c>
      <c r="AY61" s="110">
        <v>6212.8707458895396</v>
      </c>
      <c r="AZ61" s="110">
        <v>3</v>
      </c>
      <c r="BA61" s="110">
        <v>2023.1999999999998</v>
      </c>
      <c r="BB61" s="110">
        <v>3</v>
      </c>
      <c r="BC61" s="110">
        <v>2023.1999999999998</v>
      </c>
      <c r="BD61" s="110">
        <v>5</v>
      </c>
      <c r="BE61" s="110">
        <v>3372</v>
      </c>
      <c r="BF61" s="110">
        <v>5.4824941980251047</v>
      </c>
      <c r="BG61" s="110">
        <v>3697.3940871481304</v>
      </c>
      <c r="BH61" s="110">
        <v>3.9267666473884639</v>
      </c>
      <c r="BI61" s="110">
        <v>2648.2114269987801</v>
      </c>
      <c r="BJ61" s="110">
        <v>2.1505594508147601</v>
      </c>
      <c r="BK61" s="110">
        <v>1450.3372936294741</v>
      </c>
      <c r="BL61" s="110">
        <v>3.9025782569147314</v>
      </c>
      <c r="BM61" s="110">
        <v>2631.8987764632948</v>
      </c>
      <c r="BN61" s="110">
        <v>2.1425217943045767</v>
      </c>
      <c r="BO61" s="110">
        <v>1444.9166980790064</v>
      </c>
      <c r="BP61" s="110">
        <v>3.537274409187158</v>
      </c>
      <c r="BQ61" s="110">
        <v>2385.5378615558193</v>
      </c>
      <c r="BR61" s="110">
        <v>3.1889979740065542</v>
      </c>
      <c r="BS61" s="110">
        <v>2150.6602336700203</v>
      </c>
      <c r="BT61" s="110">
        <v>6</v>
      </c>
      <c r="BU61" s="110">
        <v>4046.3999999999996</v>
      </c>
      <c r="BV61" s="110">
        <v>5.2924049593424218</v>
      </c>
      <c r="BW61" s="110">
        <v>3569.1979045805292</v>
      </c>
      <c r="BX61" s="110">
        <v>6.2327874866780846</v>
      </c>
      <c r="BY61" s="110">
        <v>4203.3918810157002</v>
      </c>
      <c r="BZ61" s="110">
        <v>9</v>
      </c>
      <c r="CA61" s="110">
        <v>6069.5999999999995</v>
      </c>
      <c r="CB61" s="110">
        <v>6</v>
      </c>
      <c r="CC61" s="110">
        <v>4046.3999999999996</v>
      </c>
      <c r="CD61" s="110">
        <v>7.1267293645138157</v>
      </c>
      <c r="CE61" s="110">
        <v>4806.2662834281173</v>
      </c>
      <c r="CF61" s="110">
        <v>9</v>
      </c>
      <c r="CG61" s="110">
        <v>6069.5999999999995</v>
      </c>
      <c r="CH61" s="110">
        <v>8.079159729631181</v>
      </c>
      <c r="CI61" s="110">
        <v>5448.5853216632686</v>
      </c>
      <c r="CJ61" s="110">
        <v>8</v>
      </c>
      <c r="CK61" s="110">
        <v>5395.2</v>
      </c>
      <c r="CL61" s="110">
        <v>8</v>
      </c>
      <c r="CM61" s="110">
        <v>5395.2</v>
      </c>
      <c r="CN61" s="110">
        <v>3</v>
      </c>
      <c r="CO61" s="110">
        <v>2023.1999999999998</v>
      </c>
      <c r="CP61" s="110">
        <v>3.1459153888813569</v>
      </c>
      <c r="CQ61" s="110">
        <v>2121.6053382615869</v>
      </c>
      <c r="CR61" s="110">
        <v>3.3486579997121981</v>
      </c>
      <c r="CS61" s="110">
        <v>2258.3349550059065</v>
      </c>
      <c r="CT61" s="110">
        <v>3.3209870914452218</v>
      </c>
      <c r="CU61" s="110">
        <v>2239.6736944706577</v>
      </c>
    </row>
    <row r="62" spans="2:99" x14ac:dyDescent="0.2">
      <c r="C62" s="109" t="s">
        <v>230</v>
      </c>
      <c r="D62" s="110">
        <v>0</v>
      </c>
      <c r="E62" s="110">
        <v>0</v>
      </c>
      <c r="F62" s="110">
        <v>0.4157163579877996</v>
      </c>
      <c r="G62" s="110">
        <v>531.28550550840794</v>
      </c>
      <c r="H62" s="110">
        <v>1.0430384406886886</v>
      </c>
      <c r="I62" s="110">
        <v>1333.003127200144</v>
      </c>
      <c r="J62" s="110">
        <v>2.1666058199913478</v>
      </c>
      <c r="K62" s="110">
        <v>2768.9222379489424</v>
      </c>
      <c r="L62" s="110">
        <v>0.60380764753667837</v>
      </c>
      <c r="M62" s="110">
        <v>771.66617355187498</v>
      </c>
      <c r="N62" s="110">
        <v>2.3374643650274276</v>
      </c>
      <c r="O62" s="110">
        <v>2987.2794585050524</v>
      </c>
      <c r="P62" s="110">
        <v>1.6677752476129915</v>
      </c>
      <c r="Q62" s="110">
        <v>2131.416766449403</v>
      </c>
      <c r="R62" s="110">
        <v>2.0600107337802998</v>
      </c>
      <c r="S62" s="110">
        <v>2632.693717771223</v>
      </c>
      <c r="T62" s="110">
        <v>3.2830857576650838</v>
      </c>
      <c r="U62" s="110">
        <v>4195.7835982959768</v>
      </c>
      <c r="V62" s="110">
        <v>0</v>
      </c>
      <c r="W62" s="110">
        <v>0</v>
      </c>
      <c r="X62" s="110">
        <v>0</v>
      </c>
      <c r="Y62" s="110">
        <v>0</v>
      </c>
      <c r="Z62" s="110">
        <v>0</v>
      </c>
      <c r="AA62" s="110">
        <v>0</v>
      </c>
      <c r="AB62" s="110">
        <v>0</v>
      </c>
      <c r="AC62" s="110">
        <v>0</v>
      </c>
      <c r="AD62" s="110">
        <v>6.6818230618601324E-3</v>
      </c>
      <c r="AE62" s="110">
        <v>8.5393698730572485</v>
      </c>
      <c r="AF62" s="110">
        <v>9.1743197675146996E-3</v>
      </c>
      <c r="AG62" s="110">
        <v>11.724780662883786</v>
      </c>
      <c r="AH62" s="110">
        <v>9.4310843105673472E-3</v>
      </c>
      <c r="AI62" s="110">
        <v>12.05292574890507</v>
      </c>
      <c r="AJ62" s="110">
        <v>1.0831546404202391E-2</v>
      </c>
      <c r="AK62" s="110">
        <v>13.842716304570656</v>
      </c>
      <c r="AL62" s="110">
        <v>2.6504779177519633</v>
      </c>
      <c r="AM62" s="110">
        <v>3387.3107788870093</v>
      </c>
      <c r="AN62" s="110">
        <v>4.8239201364071791</v>
      </c>
      <c r="AO62" s="110">
        <v>6164.9699343283746</v>
      </c>
      <c r="AP62" s="110">
        <v>4.4457891296822547</v>
      </c>
      <c r="AQ62" s="110">
        <v>5681.7185077339218</v>
      </c>
      <c r="AR62" s="110">
        <v>7.1622347852434025</v>
      </c>
      <c r="AS62" s="110">
        <v>9153.3360555410691</v>
      </c>
      <c r="AT62" s="110">
        <v>5.1461569730269794</v>
      </c>
      <c r="AU62" s="110">
        <v>6576.78861152848</v>
      </c>
      <c r="AV62" s="110">
        <v>4.4437314589901886</v>
      </c>
      <c r="AW62" s="110">
        <v>5679.0888045894608</v>
      </c>
      <c r="AX62" s="110">
        <v>3.9773665131330724</v>
      </c>
      <c r="AY62" s="110">
        <v>5083.0744037840668</v>
      </c>
      <c r="AZ62" s="110">
        <v>0.98886028264636117</v>
      </c>
      <c r="BA62" s="110">
        <v>1263.7634412220496</v>
      </c>
      <c r="BB62" s="110">
        <v>3.0185807583515145</v>
      </c>
      <c r="BC62" s="110">
        <v>3857.7462091732355</v>
      </c>
      <c r="BD62" s="110">
        <v>4.0662946537167981</v>
      </c>
      <c r="BE62" s="110">
        <v>5196.7245674500682</v>
      </c>
      <c r="BF62" s="110">
        <v>1.8608552426938409</v>
      </c>
      <c r="BG62" s="110">
        <v>2378.1730001627288</v>
      </c>
      <c r="BH62" s="110">
        <v>3.1009875121877477</v>
      </c>
      <c r="BI62" s="110">
        <v>3963.0620405759414</v>
      </c>
      <c r="BJ62" s="110">
        <v>0</v>
      </c>
      <c r="BK62" s="110">
        <v>0</v>
      </c>
      <c r="BL62" s="110">
        <v>0</v>
      </c>
      <c r="BM62" s="110">
        <v>0</v>
      </c>
      <c r="BN62" s="110">
        <v>0</v>
      </c>
      <c r="BO62" s="110">
        <v>0</v>
      </c>
      <c r="BP62" s="110">
        <v>0</v>
      </c>
      <c r="BQ62" s="110">
        <v>0</v>
      </c>
      <c r="BR62" s="110">
        <v>0</v>
      </c>
      <c r="BS62" s="110">
        <v>0</v>
      </c>
      <c r="BT62" s="110">
        <v>0</v>
      </c>
      <c r="BU62" s="110">
        <v>0</v>
      </c>
      <c r="BV62" s="110">
        <v>0</v>
      </c>
      <c r="BW62" s="110">
        <v>0</v>
      </c>
      <c r="BX62" s="110">
        <v>0</v>
      </c>
      <c r="BY62" s="110">
        <v>0</v>
      </c>
      <c r="BZ62" s="110">
        <v>0</v>
      </c>
      <c r="CA62" s="110">
        <v>0</v>
      </c>
      <c r="CB62" s="110">
        <v>0</v>
      </c>
      <c r="CC62" s="110">
        <v>0</v>
      </c>
      <c r="CD62" s="110">
        <v>0</v>
      </c>
      <c r="CE62" s="110">
        <v>0</v>
      </c>
      <c r="CF62" s="110">
        <v>0</v>
      </c>
      <c r="CG62" s="110">
        <v>0</v>
      </c>
      <c r="CH62" s="110">
        <v>0.11332493501734384</v>
      </c>
      <c r="CI62" s="110">
        <v>144.82926695216543</v>
      </c>
      <c r="CJ62" s="110">
        <v>0.11864431963342872</v>
      </c>
      <c r="CK62" s="110">
        <v>151.62744049152192</v>
      </c>
      <c r="CL62" s="110">
        <v>0.13396397736443053</v>
      </c>
      <c r="CM62" s="110">
        <v>171.20596307174222</v>
      </c>
      <c r="CN62" s="110">
        <v>9.8203888701052136E-2</v>
      </c>
      <c r="CO62" s="110">
        <v>125.50456975994463</v>
      </c>
      <c r="CP62" s="110">
        <v>3</v>
      </c>
      <c r="CQ62" s="110">
        <v>3834</v>
      </c>
      <c r="CR62" s="110">
        <v>3.3944395132829839</v>
      </c>
      <c r="CS62" s="110">
        <v>4338.0936979756534</v>
      </c>
      <c r="CT62" s="110">
        <v>2.2847361380192579</v>
      </c>
      <c r="CU62" s="110">
        <v>2919.8927843886117</v>
      </c>
    </row>
    <row r="63" spans="2:99" x14ac:dyDescent="0.2">
      <c r="C63" s="109" t="s">
        <v>231</v>
      </c>
      <c r="D63" s="110">
        <v>0</v>
      </c>
      <c r="E63" s="110">
        <v>0</v>
      </c>
      <c r="F63" s="110">
        <v>0.11274727478395888</v>
      </c>
      <c r="G63" s="110">
        <v>97.684238872821965</v>
      </c>
      <c r="H63" s="110">
        <v>0.25282220802585342</v>
      </c>
      <c r="I63" s="110">
        <v>219.04516103359941</v>
      </c>
      <c r="J63" s="110">
        <v>0.28818891439897332</v>
      </c>
      <c r="K63" s="110">
        <v>249.68687543527048</v>
      </c>
      <c r="L63" s="110">
        <v>1.2357812341150416</v>
      </c>
      <c r="M63" s="110">
        <v>1070.680861237272</v>
      </c>
      <c r="N63" s="110">
        <v>0.696059942577121</v>
      </c>
      <c r="O63" s="110">
        <v>603.06633424881761</v>
      </c>
      <c r="P63" s="110">
        <v>0.51585894544010902</v>
      </c>
      <c r="Q63" s="110">
        <v>446.94019032931044</v>
      </c>
      <c r="R63" s="110">
        <v>0.8231995957949908</v>
      </c>
      <c r="S63" s="110">
        <v>713.22012979678004</v>
      </c>
      <c r="T63" s="110">
        <v>1.1284172743315637</v>
      </c>
      <c r="U63" s="110">
        <v>977.66072648086674</v>
      </c>
      <c r="V63" s="110">
        <v>0</v>
      </c>
      <c r="W63" s="110">
        <v>0</v>
      </c>
      <c r="X63" s="110">
        <v>0</v>
      </c>
      <c r="Y63" s="110">
        <v>0</v>
      </c>
      <c r="Z63" s="110">
        <v>0</v>
      </c>
      <c r="AA63" s="110">
        <v>0</v>
      </c>
      <c r="AB63" s="110">
        <v>0</v>
      </c>
      <c r="AC63" s="110">
        <v>0</v>
      </c>
      <c r="AD63" s="110">
        <v>3.5907679588381018</v>
      </c>
      <c r="AE63" s="110">
        <v>3111.0413595373316</v>
      </c>
      <c r="AF63" s="110">
        <v>4</v>
      </c>
      <c r="AG63" s="110">
        <v>3465.6</v>
      </c>
      <c r="AH63" s="110">
        <v>4.3939423423433839</v>
      </c>
      <c r="AI63" s="110">
        <v>3806.9116454063078</v>
      </c>
      <c r="AJ63" s="110">
        <v>2.6959014133744352</v>
      </c>
      <c r="AK63" s="110">
        <v>2335.7289845476107</v>
      </c>
      <c r="AL63" s="110">
        <v>5</v>
      </c>
      <c r="AM63" s="110">
        <v>4332</v>
      </c>
      <c r="AN63" s="110">
        <v>7</v>
      </c>
      <c r="AO63" s="110">
        <v>6064.8</v>
      </c>
      <c r="AP63" s="110">
        <v>7</v>
      </c>
      <c r="AQ63" s="110">
        <v>6064.8</v>
      </c>
      <c r="AR63" s="110">
        <v>8</v>
      </c>
      <c r="AS63" s="110">
        <v>6931.2</v>
      </c>
      <c r="AT63" s="110">
        <v>6.2331158659405652</v>
      </c>
      <c r="AU63" s="110">
        <v>5400.3715862509052</v>
      </c>
      <c r="AV63" s="110">
        <v>9.2929569280024573</v>
      </c>
      <c r="AW63" s="110">
        <v>8051.4178824213286</v>
      </c>
      <c r="AX63" s="110">
        <v>9.1820929663059747</v>
      </c>
      <c r="AY63" s="110">
        <v>7955.3653460074966</v>
      </c>
      <c r="AZ63" s="110">
        <v>2</v>
      </c>
      <c r="BA63" s="110">
        <v>1732.8</v>
      </c>
      <c r="BB63" s="110">
        <v>2.3270038023514079</v>
      </c>
      <c r="BC63" s="110">
        <v>2016.1160943572597</v>
      </c>
      <c r="BD63" s="110">
        <v>5</v>
      </c>
      <c r="BE63" s="110">
        <v>4332</v>
      </c>
      <c r="BF63" s="110">
        <v>4.4824941980251047</v>
      </c>
      <c r="BG63" s="110">
        <v>3883.6329731689507</v>
      </c>
      <c r="BH63" s="110">
        <v>3.9267666473884639</v>
      </c>
      <c r="BI63" s="110">
        <v>3402.1506232973652</v>
      </c>
      <c r="BJ63" s="110">
        <v>1.7204475606518079</v>
      </c>
      <c r="BK63" s="110">
        <v>1490.5957665487263</v>
      </c>
      <c r="BL63" s="110">
        <v>3.14798517528155</v>
      </c>
      <c r="BM63" s="110">
        <v>2727.4143558639348</v>
      </c>
      <c r="BN63" s="110">
        <v>2.1425217943045767</v>
      </c>
      <c r="BO63" s="110">
        <v>1856.2808825854852</v>
      </c>
      <c r="BP63" s="110">
        <v>3.537274409187158</v>
      </c>
      <c r="BQ63" s="110">
        <v>3064.6945481197536</v>
      </c>
      <c r="BR63" s="110">
        <v>4.1889979740065542</v>
      </c>
      <c r="BS63" s="110">
        <v>3629.3478446792783</v>
      </c>
      <c r="BT63" s="110">
        <v>5</v>
      </c>
      <c r="BU63" s="110">
        <v>4332</v>
      </c>
      <c r="BV63" s="110">
        <v>5.2924049593424218</v>
      </c>
      <c r="BW63" s="110">
        <v>4585.3396567742739</v>
      </c>
      <c r="BX63" s="110">
        <v>6.2327874866780846</v>
      </c>
      <c r="BY63" s="110">
        <v>5400.0870784578919</v>
      </c>
      <c r="BZ63" s="110">
        <v>9</v>
      </c>
      <c r="CA63" s="110">
        <v>7797.5999999999995</v>
      </c>
      <c r="CB63" s="110">
        <v>6</v>
      </c>
      <c r="CC63" s="110">
        <v>5198.3999999999996</v>
      </c>
      <c r="CD63" s="110">
        <v>7.1478509252661189</v>
      </c>
      <c r="CE63" s="110">
        <v>6192.8980416505656</v>
      </c>
      <c r="CF63" s="110">
        <v>9</v>
      </c>
      <c r="CG63" s="110">
        <v>7797.5999999999995</v>
      </c>
      <c r="CH63" s="110">
        <v>8.0659664413593184</v>
      </c>
      <c r="CI63" s="110">
        <v>6988.353324793713</v>
      </c>
      <c r="CJ63" s="110">
        <v>9</v>
      </c>
      <c r="CK63" s="110">
        <v>7797.5999999999995</v>
      </c>
      <c r="CL63" s="110">
        <v>8</v>
      </c>
      <c r="CM63" s="110">
        <v>6931.2</v>
      </c>
      <c r="CN63" s="110">
        <v>3</v>
      </c>
      <c r="CO63" s="110">
        <v>2599.1999999999998</v>
      </c>
      <c r="CP63" s="110">
        <v>4.1459153888813569</v>
      </c>
      <c r="CQ63" s="110">
        <v>3592.0210929268073</v>
      </c>
      <c r="CR63" s="110">
        <v>3.3803541815042157</v>
      </c>
      <c r="CS63" s="110">
        <v>2928.7388628552526</v>
      </c>
      <c r="CT63" s="110">
        <v>3.3209870914452218</v>
      </c>
      <c r="CU63" s="110">
        <v>2877.30321602814</v>
      </c>
    </row>
    <row r="64" spans="2:99" x14ac:dyDescent="0.2">
      <c r="C64" s="109" t="s">
        <v>232</v>
      </c>
      <c r="D64" s="110">
        <v>0</v>
      </c>
      <c r="E64" s="110">
        <v>0</v>
      </c>
      <c r="F64" s="110">
        <v>0.11126851820312952</v>
      </c>
      <c r="G64" s="110">
        <v>97.204177502253955</v>
      </c>
      <c r="H64" s="110">
        <v>0.31602776003231675</v>
      </c>
      <c r="I64" s="110">
        <v>276.08185116423192</v>
      </c>
      <c r="J64" s="110">
        <v>0.28818891439897332</v>
      </c>
      <c r="K64" s="110">
        <v>251.76183561894311</v>
      </c>
      <c r="L64" s="110">
        <v>1.6477083121533886</v>
      </c>
      <c r="M64" s="110">
        <v>1439.4379814972003</v>
      </c>
      <c r="N64" s="110">
        <v>0.92807992343616141</v>
      </c>
      <c r="O64" s="110">
        <v>810.77062111383066</v>
      </c>
      <c r="P64" s="110">
        <v>0.51585894544010902</v>
      </c>
      <c r="Q64" s="110">
        <v>450.65437473647927</v>
      </c>
      <c r="R64" s="110">
        <v>1.0975994610599877</v>
      </c>
      <c r="S64" s="110">
        <v>958.86288918200535</v>
      </c>
      <c r="T64" s="110">
        <v>1.1284172743315637</v>
      </c>
      <c r="U64" s="110">
        <v>985.78533085605409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4.2198614535534409</v>
      </c>
      <c r="AE64" s="110">
        <v>3686.4709658242859</v>
      </c>
      <c r="AF64" s="110">
        <v>4</v>
      </c>
      <c r="AG64" s="110">
        <v>3494.4</v>
      </c>
      <c r="AH64" s="110">
        <v>4.3939423423433839</v>
      </c>
      <c r="AI64" s="110">
        <v>3838.5480302711803</v>
      </c>
      <c r="AJ64" s="110">
        <v>2.3589137367026307</v>
      </c>
      <c r="AK64" s="110">
        <v>2060.7470403834182</v>
      </c>
      <c r="AL64" s="110">
        <v>4</v>
      </c>
      <c r="AM64" s="110">
        <v>3494.4</v>
      </c>
      <c r="AN64" s="110">
        <v>7</v>
      </c>
      <c r="AO64" s="110">
        <v>6115.2</v>
      </c>
      <c r="AP64" s="110">
        <v>7</v>
      </c>
      <c r="AQ64" s="110">
        <v>6115.2</v>
      </c>
      <c r="AR64" s="110">
        <v>8</v>
      </c>
      <c r="AS64" s="110">
        <v>6988.8</v>
      </c>
      <c r="AT64" s="110">
        <v>6.2331158659405652</v>
      </c>
      <c r="AU64" s="110">
        <v>5445.2500204856779</v>
      </c>
      <c r="AV64" s="110">
        <v>9.2929569280024573</v>
      </c>
      <c r="AW64" s="110">
        <v>8118.3271723029466</v>
      </c>
      <c r="AX64" s="110">
        <v>9.2124417940236363</v>
      </c>
      <c r="AY64" s="110">
        <v>8047.9891512590484</v>
      </c>
      <c r="AZ64" s="110">
        <v>2</v>
      </c>
      <c r="BA64" s="110">
        <v>1747.2</v>
      </c>
      <c r="BB64" s="110">
        <v>3</v>
      </c>
      <c r="BC64" s="110">
        <v>2620.8000000000002</v>
      </c>
      <c r="BD64" s="110">
        <v>4</v>
      </c>
      <c r="BE64" s="110">
        <v>3494.4</v>
      </c>
      <c r="BF64" s="110">
        <v>4.4824941980251047</v>
      </c>
      <c r="BG64" s="110">
        <v>3915.9069313947316</v>
      </c>
      <c r="BH64" s="110">
        <v>3.1874106429556233</v>
      </c>
      <c r="BI64" s="110">
        <v>2784.5219376860327</v>
      </c>
      <c r="BJ64" s="110">
        <v>2.1505594508147601</v>
      </c>
      <c r="BK64" s="110">
        <v>1878.7287362317745</v>
      </c>
      <c r="BL64" s="110">
        <v>3.14798517528155</v>
      </c>
      <c r="BM64" s="110">
        <v>2750.079849125962</v>
      </c>
      <c r="BN64" s="110">
        <v>2.1425217943045767</v>
      </c>
      <c r="BO64" s="110">
        <v>1871.7070395044782</v>
      </c>
      <c r="BP64" s="110">
        <v>3.537274409187158</v>
      </c>
      <c r="BQ64" s="110">
        <v>3090.1629238659011</v>
      </c>
      <c r="BR64" s="110">
        <v>3.1889979740065542</v>
      </c>
      <c r="BS64" s="110">
        <v>2785.9086300921258</v>
      </c>
      <c r="BT64" s="110">
        <v>5</v>
      </c>
      <c r="BU64" s="110">
        <v>4368</v>
      </c>
      <c r="BV64" s="110">
        <v>5.2924049593424218</v>
      </c>
      <c r="BW64" s="110">
        <v>4623.4449724815395</v>
      </c>
      <c r="BX64" s="110">
        <v>6.2793449840137017</v>
      </c>
      <c r="BY64" s="110">
        <v>5485.6357780343697</v>
      </c>
      <c r="BZ64" s="110">
        <v>10</v>
      </c>
      <c r="CA64" s="110">
        <v>8736</v>
      </c>
      <c r="CB64" s="110">
        <v>6</v>
      </c>
      <c r="CC64" s="110">
        <v>5241.6000000000004</v>
      </c>
      <c r="CD64" s="110">
        <v>8.147850925266118</v>
      </c>
      <c r="CE64" s="110">
        <v>7117.9625683124805</v>
      </c>
      <c r="CF64" s="110">
        <v>9</v>
      </c>
      <c r="CG64" s="110">
        <v>7862.4000000000005</v>
      </c>
      <c r="CH64" s="110">
        <v>8.079159729631181</v>
      </c>
      <c r="CI64" s="110">
        <v>7057.9539398057996</v>
      </c>
      <c r="CJ64" s="110">
        <v>8</v>
      </c>
      <c r="CK64" s="110">
        <v>6988.8</v>
      </c>
      <c r="CL64" s="110">
        <v>7</v>
      </c>
      <c r="CM64" s="110">
        <v>6115.2</v>
      </c>
      <c r="CN64" s="110">
        <v>3</v>
      </c>
      <c r="CO64" s="110">
        <v>2620.8000000000002</v>
      </c>
      <c r="CP64" s="110">
        <v>4.1367956770762726</v>
      </c>
      <c r="CQ64" s="110">
        <v>3613.9047034938317</v>
      </c>
      <c r="CR64" s="110">
        <v>3.3169618179201801</v>
      </c>
      <c r="CS64" s="110">
        <v>2897.6978441350693</v>
      </c>
      <c r="CT64" s="110">
        <v>2.3209870914452218</v>
      </c>
      <c r="CU64" s="110">
        <v>2027.6143230865457</v>
      </c>
    </row>
    <row r="65" spans="2:99" x14ac:dyDescent="0.2">
      <c r="C65" s="109" t="s">
        <v>233</v>
      </c>
      <c r="D65" s="110">
        <v>0</v>
      </c>
      <c r="E65" s="110">
        <v>0</v>
      </c>
      <c r="F65" s="110">
        <v>0.14687926769001003</v>
      </c>
      <c r="G65" s="110">
        <v>51.113985156123491</v>
      </c>
      <c r="H65" s="110">
        <v>0.31602776003231675</v>
      </c>
      <c r="I65" s="110">
        <v>109.97766049124623</v>
      </c>
      <c r="J65" s="110">
        <v>0.28818891439897332</v>
      </c>
      <c r="K65" s="110">
        <v>100.28974221084272</v>
      </c>
      <c r="L65" s="110">
        <v>1.6477083121533886</v>
      </c>
      <c r="M65" s="110">
        <v>573.40249262937925</v>
      </c>
      <c r="N65" s="110">
        <v>0.92807992343616141</v>
      </c>
      <c r="O65" s="110">
        <v>322.97181335578415</v>
      </c>
      <c r="P65" s="110">
        <v>0.51585894544010902</v>
      </c>
      <c r="Q65" s="110">
        <v>179.51891301315794</v>
      </c>
      <c r="R65" s="110">
        <v>0.8231995957949908</v>
      </c>
      <c r="S65" s="110">
        <v>286.47345933665679</v>
      </c>
      <c r="T65" s="110">
        <v>1.1284172743315637</v>
      </c>
      <c r="U65" s="110">
        <v>392.68921146738415</v>
      </c>
      <c r="V65" s="110">
        <v>0</v>
      </c>
      <c r="W65" s="110">
        <v>0</v>
      </c>
      <c r="X65" s="110">
        <v>0</v>
      </c>
      <c r="Y65" s="110">
        <v>0</v>
      </c>
      <c r="Z65" s="110">
        <v>0</v>
      </c>
      <c r="AA65" s="110">
        <v>0</v>
      </c>
      <c r="AB65" s="110">
        <v>0</v>
      </c>
      <c r="AC65" s="110">
        <v>0</v>
      </c>
      <c r="AD65" s="110">
        <v>4.2198614535534409</v>
      </c>
      <c r="AE65" s="110">
        <v>1468.5117858365975</v>
      </c>
      <c r="AF65" s="110">
        <v>4</v>
      </c>
      <c r="AG65" s="110">
        <v>1392</v>
      </c>
      <c r="AH65" s="110">
        <v>4.3939423423433839</v>
      </c>
      <c r="AI65" s="110">
        <v>1529.0919351354976</v>
      </c>
      <c r="AJ65" s="110">
        <v>2.3589137367026307</v>
      </c>
      <c r="AK65" s="110">
        <v>820.90198037251548</v>
      </c>
      <c r="AL65" s="110">
        <v>5</v>
      </c>
      <c r="AM65" s="110">
        <v>1740</v>
      </c>
      <c r="AN65" s="110">
        <v>7</v>
      </c>
      <c r="AO65" s="110">
        <v>2436</v>
      </c>
      <c r="AP65" s="110">
        <v>7</v>
      </c>
      <c r="AQ65" s="110">
        <v>2436</v>
      </c>
      <c r="AR65" s="110">
        <v>9</v>
      </c>
      <c r="AS65" s="110">
        <v>3132</v>
      </c>
      <c r="AT65" s="110">
        <v>7.2797390391286783</v>
      </c>
      <c r="AU65" s="110">
        <v>2533.3491856167802</v>
      </c>
      <c r="AV65" s="110">
        <v>11.292956928002457</v>
      </c>
      <c r="AW65" s="110">
        <v>3929.9490109448552</v>
      </c>
      <c r="AX65" s="110">
        <v>10.212441794023636</v>
      </c>
      <c r="AY65" s="110">
        <v>3553.9297443202254</v>
      </c>
      <c r="AZ65" s="110">
        <v>3</v>
      </c>
      <c r="BA65" s="110">
        <v>1044</v>
      </c>
      <c r="BB65" s="110">
        <v>3.3542541192140249</v>
      </c>
      <c r="BC65" s="110">
        <v>1167.2804334864807</v>
      </c>
      <c r="BD65" s="110">
        <v>5</v>
      </c>
      <c r="BE65" s="110">
        <v>1740</v>
      </c>
      <c r="BF65" s="110">
        <v>5.4824941980251047</v>
      </c>
      <c r="BG65" s="110">
        <v>1907.9079809127365</v>
      </c>
      <c r="BH65" s="110">
        <v>3.1545554107807288</v>
      </c>
      <c r="BI65" s="110">
        <v>1097.7852829516937</v>
      </c>
      <c r="BJ65" s="110">
        <v>2.1505594508147601</v>
      </c>
      <c r="BK65" s="110">
        <v>748.39468888353656</v>
      </c>
      <c r="BL65" s="110">
        <v>3.14798517528155</v>
      </c>
      <c r="BM65" s="110">
        <v>1095.4988409979794</v>
      </c>
      <c r="BN65" s="110">
        <v>2.1425217943045767</v>
      </c>
      <c r="BO65" s="110">
        <v>745.59758441799272</v>
      </c>
      <c r="BP65" s="110">
        <v>4.1268201440516847</v>
      </c>
      <c r="BQ65" s="110">
        <v>1436.1334101299863</v>
      </c>
      <c r="BR65" s="110">
        <v>4.1889979740065542</v>
      </c>
      <c r="BS65" s="110">
        <v>1457.7712949542808</v>
      </c>
      <c r="BT65" s="110">
        <v>6</v>
      </c>
      <c r="BU65" s="110">
        <v>2088</v>
      </c>
      <c r="BV65" s="110">
        <v>5.2924049593424218</v>
      </c>
      <c r="BW65" s="110">
        <v>1841.7569258511628</v>
      </c>
      <c r="BX65" s="110">
        <v>6.2793449840137017</v>
      </c>
      <c r="BY65" s="110">
        <v>2185.2120544367681</v>
      </c>
      <c r="BZ65" s="110">
        <v>11</v>
      </c>
      <c r="CA65" s="110">
        <v>3828</v>
      </c>
      <c r="CB65" s="110">
        <v>6</v>
      </c>
      <c r="CC65" s="110">
        <v>2088</v>
      </c>
      <c r="CD65" s="110">
        <v>7.1478509252661189</v>
      </c>
      <c r="CE65" s="110">
        <v>2487.4521219926096</v>
      </c>
      <c r="CF65" s="110">
        <v>8</v>
      </c>
      <c r="CG65" s="110">
        <v>2784</v>
      </c>
      <c r="CH65" s="110">
        <v>9.079159729631181</v>
      </c>
      <c r="CI65" s="110">
        <v>3159.5475859116509</v>
      </c>
      <c r="CJ65" s="110">
        <v>10</v>
      </c>
      <c r="CK65" s="110">
        <v>3480</v>
      </c>
      <c r="CL65" s="110">
        <v>9</v>
      </c>
      <c r="CM65" s="110">
        <v>3132</v>
      </c>
      <c r="CN65" s="110">
        <v>3</v>
      </c>
      <c r="CO65" s="110">
        <v>1044</v>
      </c>
      <c r="CP65" s="110">
        <v>4.1550351006864421</v>
      </c>
      <c r="CQ65" s="110">
        <v>1445.9522150388818</v>
      </c>
      <c r="CR65" s="110">
        <v>3.3803541815042157</v>
      </c>
      <c r="CS65" s="110">
        <v>1176.3632551634671</v>
      </c>
      <c r="CT65" s="110">
        <v>3.2888883823006996</v>
      </c>
      <c r="CU65" s="110">
        <v>1144.5331570406433</v>
      </c>
    </row>
    <row r="66" spans="2:99" x14ac:dyDescent="0.2">
      <c r="C66" s="109" t="s">
        <v>234</v>
      </c>
      <c r="D66" s="110">
        <v>0</v>
      </c>
      <c r="E66" s="110">
        <v>0</v>
      </c>
      <c r="F66" s="110">
        <v>0.11274727478395888</v>
      </c>
      <c r="G66" s="110">
        <v>85.372236466413653</v>
      </c>
      <c r="H66" s="110">
        <v>0.25282220802585342</v>
      </c>
      <c r="I66" s="110">
        <v>191.4369759171762</v>
      </c>
      <c r="J66" s="110">
        <v>0.28818891439897332</v>
      </c>
      <c r="K66" s="110">
        <v>218.21664598290258</v>
      </c>
      <c r="L66" s="110">
        <v>1.2357812341150416</v>
      </c>
      <c r="M66" s="110">
        <v>935.73355047190944</v>
      </c>
      <c r="N66" s="110">
        <v>0.92807992343616141</v>
      </c>
      <c r="O66" s="110">
        <v>702.74211802586137</v>
      </c>
      <c r="P66" s="110">
        <v>0.51585894544010902</v>
      </c>
      <c r="Q66" s="110">
        <v>390.60839348725051</v>
      </c>
      <c r="R66" s="110">
        <v>0.8231995957949908</v>
      </c>
      <c r="S66" s="110">
        <v>623.32673393596701</v>
      </c>
      <c r="T66" s="110">
        <v>0.84631295574867271</v>
      </c>
      <c r="U66" s="110">
        <v>640.82817009289488</v>
      </c>
      <c r="V66" s="110">
        <v>0</v>
      </c>
      <c r="W66" s="110">
        <v>0</v>
      </c>
      <c r="X66" s="110">
        <v>0</v>
      </c>
      <c r="Y66" s="110">
        <v>0</v>
      </c>
      <c r="Z66" s="110">
        <v>0</v>
      </c>
      <c r="AA66" s="110">
        <v>0</v>
      </c>
      <c r="AB66" s="110">
        <v>0</v>
      </c>
      <c r="AC66" s="110">
        <v>0</v>
      </c>
      <c r="AD66" s="110">
        <v>4.190174754536014</v>
      </c>
      <c r="AE66" s="110">
        <v>3172.8003241346696</v>
      </c>
      <c r="AF66" s="110">
        <v>4</v>
      </c>
      <c r="AG66" s="110">
        <v>3028.7999999999997</v>
      </c>
      <c r="AH66" s="110">
        <v>3.7662362934371858</v>
      </c>
      <c r="AI66" s="110">
        <v>2851.794121390637</v>
      </c>
      <c r="AJ66" s="110">
        <v>2.3589137367026307</v>
      </c>
      <c r="AK66" s="110">
        <v>1786.1694814312318</v>
      </c>
      <c r="AL66" s="110">
        <v>5</v>
      </c>
      <c r="AM66" s="110">
        <v>3785.9999999999995</v>
      </c>
      <c r="AN66" s="110">
        <v>7</v>
      </c>
      <c r="AO66" s="110">
        <v>5300.4</v>
      </c>
      <c r="AP66" s="110">
        <v>8</v>
      </c>
      <c r="AQ66" s="110">
        <v>6057.5999999999995</v>
      </c>
      <c r="AR66" s="110">
        <v>7</v>
      </c>
      <c r="AS66" s="110">
        <v>5300.4</v>
      </c>
      <c r="AT66" s="110">
        <v>6.2797390391286783</v>
      </c>
      <c r="AU66" s="110">
        <v>4755.0184004282346</v>
      </c>
      <c r="AV66" s="110">
        <v>10.292956928002457</v>
      </c>
      <c r="AW66" s="110">
        <v>7793.8269858834601</v>
      </c>
      <c r="AX66" s="110">
        <v>10.182092966305975</v>
      </c>
      <c r="AY66" s="110">
        <v>7709.8807940868837</v>
      </c>
      <c r="AZ66" s="110">
        <v>2</v>
      </c>
      <c r="BA66" s="110">
        <v>1514.3999999999999</v>
      </c>
      <c r="BB66" s="110">
        <v>3.3542541192140249</v>
      </c>
      <c r="BC66" s="110">
        <v>2539.8412190688596</v>
      </c>
      <c r="BD66" s="110">
        <v>4</v>
      </c>
      <c r="BE66" s="110">
        <v>3028.7999999999997</v>
      </c>
      <c r="BF66" s="110">
        <v>4.512650085401674</v>
      </c>
      <c r="BG66" s="110">
        <v>3416.9786446661474</v>
      </c>
      <c r="BH66" s="110">
        <v>3.1545554107807288</v>
      </c>
      <c r="BI66" s="110">
        <v>2388.6293570431676</v>
      </c>
      <c r="BJ66" s="110">
        <v>1.7204475606518079</v>
      </c>
      <c r="BK66" s="110">
        <v>1302.7228929255489</v>
      </c>
      <c r="BL66" s="110">
        <v>3.14798517528155</v>
      </c>
      <c r="BM66" s="110">
        <v>2383.6543747231894</v>
      </c>
      <c r="BN66" s="110">
        <v>2.1425217943045767</v>
      </c>
      <c r="BO66" s="110">
        <v>1622.3175026474253</v>
      </c>
      <c r="BP66" s="110">
        <v>3.537274409187158</v>
      </c>
      <c r="BQ66" s="110">
        <v>2678.424182636516</v>
      </c>
      <c r="BR66" s="110">
        <v>4.1653732272557349</v>
      </c>
      <c r="BS66" s="110">
        <v>3154.0206076780423</v>
      </c>
      <c r="BT66" s="110">
        <v>6</v>
      </c>
      <c r="BU66" s="110">
        <v>4543.2</v>
      </c>
      <c r="BV66" s="110">
        <v>6.2924049593424218</v>
      </c>
      <c r="BW66" s="110">
        <v>4764.6090352140818</v>
      </c>
      <c r="BX66" s="110">
        <v>6.2327874866780846</v>
      </c>
      <c r="BY66" s="110">
        <v>4719.4666849126452</v>
      </c>
      <c r="BZ66" s="110">
        <v>10</v>
      </c>
      <c r="CA66" s="110">
        <v>7571.9999999999991</v>
      </c>
      <c r="CB66" s="110">
        <v>6</v>
      </c>
      <c r="CC66" s="110">
        <v>4543.2</v>
      </c>
      <c r="CD66" s="110">
        <v>7.1267293645138157</v>
      </c>
      <c r="CE66" s="110">
        <v>5396.3594748098603</v>
      </c>
      <c r="CF66" s="110">
        <v>9</v>
      </c>
      <c r="CG66" s="110">
        <v>6814.7999999999993</v>
      </c>
      <c r="CH66" s="110">
        <v>9.0659664413593184</v>
      </c>
      <c r="CI66" s="110">
        <v>6864.749789397275</v>
      </c>
      <c r="CJ66" s="110">
        <v>9</v>
      </c>
      <c r="CK66" s="110">
        <v>6814.7999999999993</v>
      </c>
      <c r="CL66" s="110">
        <v>8</v>
      </c>
      <c r="CM66" s="110">
        <v>6057.5999999999995</v>
      </c>
      <c r="CN66" s="110">
        <v>3</v>
      </c>
      <c r="CO66" s="110">
        <v>2271.6</v>
      </c>
      <c r="CP66" s="110">
        <v>3.1276759652711874</v>
      </c>
      <c r="CQ66" s="110">
        <v>2368.276240903343</v>
      </c>
      <c r="CR66" s="110">
        <v>3.4120503632962338</v>
      </c>
      <c r="CS66" s="110">
        <v>2583.6045350879081</v>
      </c>
      <c r="CT66" s="110">
        <v>2.2888883823006996</v>
      </c>
      <c r="CU66" s="110">
        <v>1733.1462830780895</v>
      </c>
    </row>
    <row r="67" spans="2:99" x14ac:dyDescent="0.2">
      <c r="C67" s="109" t="s">
        <v>235</v>
      </c>
      <c r="D67" s="110">
        <v>0</v>
      </c>
      <c r="E67" s="110">
        <v>0</v>
      </c>
      <c r="F67" s="110">
        <v>0.11126851820312952</v>
      </c>
      <c r="G67" s="110">
        <v>44.462899873970557</v>
      </c>
      <c r="H67" s="110">
        <v>0.31602776003231675</v>
      </c>
      <c r="I67" s="110">
        <v>126.28469290891377</v>
      </c>
      <c r="J67" s="110">
        <v>0.36023614299871659</v>
      </c>
      <c r="K67" s="110">
        <v>143.95036274228713</v>
      </c>
      <c r="L67" s="110">
        <v>1.6477083121533886</v>
      </c>
      <c r="M67" s="110">
        <v>658.42424153649404</v>
      </c>
      <c r="N67" s="110">
        <v>0.92807992343616141</v>
      </c>
      <c r="O67" s="110">
        <v>370.86073740509005</v>
      </c>
      <c r="P67" s="110">
        <v>0.68781192725347873</v>
      </c>
      <c r="Q67" s="110">
        <v>274.8496461304901</v>
      </c>
      <c r="R67" s="110">
        <v>0.8231995957949908</v>
      </c>
      <c r="S67" s="110">
        <v>328.95055847967831</v>
      </c>
      <c r="T67" s="110">
        <v>1.1284172743315637</v>
      </c>
      <c r="U67" s="110">
        <v>450.9155428228928</v>
      </c>
      <c r="V67" s="110">
        <v>0</v>
      </c>
      <c r="W67" s="110">
        <v>0</v>
      </c>
      <c r="X67" s="110">
        <v>0</v>
      </c>
      <c r="Y67" s="110">
        <v>0</v>
      </c>
      <c r="Z67" s="110">
        <v>0</v>
      </c>
      <c r="AA67" s="110">
        <v>0</v>
      </c>
      <c r="AB67" s="110">
        <v>0</v>
      </c>
      <c r="AC67" s="110">
        <v>0</v>
      </c>
      <c r="AD67" s="110">
        <v>4.2198614535534409</v>
      </c>
      <c r="AE67" s="110">
        <v>1686.2566368399548</v>
      </c>
      <c r="AF67" s="110">
        <v>4</v>
      </c>
      <c r="AG67" s="110">
        <v>1598.3999999999999</v>
      </c>
      <c r="AH67" s="110">
        <v>3.7662362934371858</v>
      </c>
      <c r="AI67" s="110">
        <v>1504.9880228574993</v>
      </c>
      <c r="AJ67" s="110">
        <v>2.6959014133744352</v>
      </c>
      <c r="AK67" s="110">
        <v>1077.2822047844243</v>
      </c>
      <c r="AL67" s="110">
        <v>5</v>
      </c>
      <c r="AM67" s="110">
        <v>1997.9999999999998</v>
      </c>
      <c r="AN67" s="110">
        <v>8</v>
      </c>
      <c r="AO67" s="110">
        <v>3196.7999999999997</v>
      </c>
      <c r="AP67" s="110">
        <v>9</v>
      </c>
      <c r="AQ67" s="110">
        <v>3596.3999999999996</v>
      </c>
      <c r="AR67" s="110">
        <v>8</v>
      </c>
      <c r="AS67" s="110">
        <v>3196.7999999999997</v>
      </c>
      <c r="AT67" s="110">
        <v>7.2331158659405652</v>
      </c>
      <c r="AU67" s="110">
        <v>2890.3531000298494</v>
      </c>
      <c r="AV67" s="110">
        <v>9.2929569280024573</v>
      </c>
      <c r="AW67" s="110">
        <v>3713.4655884297817</v>
      </c>
      <c r="AX67" s="110">
        <v>10.182092966305975</v>
      </c>
      <c r="AY67" s="110">
        <v>4068.7643493358673</v>
      </c>
      <c r="AZ67" s="110">
        <v>3</v>
      </c>
      <c r="BA67" s="110">
        <v>1198.8</v>
      </c>
      <c r="BB67" s="110">
        <v>3</v>
      </c>
      <c r="BC67" s="110">
        <v>1198.8</v>
      </c>
      <c r="BD67" s="110">
        <v>4</v>
      </c>
      <c r="BE67" s="110">
        <v>1598.3999999999999</v>
      </c>
      <c r="BF67" s="110">
        <v>4.512650085401674</v>
      </c>
      <c r="BG67" s="110">
        <v>1803.2549741265088</v>
      </c>
      <c r="BH67" s="110">
        <v>3.1874106429556233</v>
      </c>
      <c r="BI67" s="110">
        <v>1273.6892929250669</v>
      </c>
      <c r="BJ67" s="110">
        <v>2.1505594508147601</v>
      </c>
      <c r="BK67" s="110">
        <v>859.36355654557804</v>
      </c>
      <c r="BL67" s="110">
        <v>3.14798517528155</v>
      </c>
      <c r="BM67" s="110">
        <v>1257.9348760425073</v>
      </c>
      <c r="BN67" s="110">
        <v>2.6781522428807212</v>
      </c>
      <c r="BO67" s="110">
        <v>1070.1896362551361</v>
      </c>
      <c r="BP67" s="110">
        <v>4.1268201440516847</v>
      </c>
      <c r="BQ67" s="110">
        <v>1649.0773295630531</v>
      </c>
      <c r="BR67" s="110">
        <v>3.1889979740065542</v>
      </c>
      <c r="BS67" s="110">
        <v>1274.323590413019</v>
      </c>
      <c r="BT67" s="110">
        <v>6</v>
      </c>
      <c r="BU67" s="110">
        <v>2397.6</v>
      </c>
      <c r="BV67" s="110">
        <v>5.2924049593424218</v>
      </c>
      <c r="BW67" s="110">
        <v>2114.8450217532318</v>
      </c>
      <c r="BX67" s="110">
        <v>7.2327874866780846</v>
      </c>
      <c r="BY67" s="110">
        <v>2890.2218796765624</v>
      </c>
      <c r="BZ67" s="110">
        <v>9</v>
      </c>
      <c r="CA67" s="110">
        <v>3596.3999999999996</v>
      </c>
      <c r="CB67" s="110">
        <v>7</v>
      </c>
      <c r="CC67" s="110">
        <v>2797.2</v>
      </c>
      <c r="CD67" s="110">
        <v>7.1267293645138157</v>
      </c>
      <c r="CE67" s="110">
        <v>2847.8410540597206</v>
      </c>
      <c r="CF67" s="110">
        <v>9</v>
      </c>
      <c r="CG67" s="110">
        <v>3596.3999999999996</v>
      </c>
      <c r="CH67" s="110">
        <v>10.079159729631181</v>
      </c>
      <c r="CI67" s="110">
        <v>4027.6322279606197</v>
      </c>
      <c r="CJ67" s="110">
        <v>8</v>
      </c>
      <c r="CK67" s="110">
        <v>3196.7999999999997</v>
      </c>
      <c r="CL67" s="110">
        <v>8</v>
      </c>
      <c r="CM67" s="110">
        <v>3196.7999999999997</v>
      </c>
      <c r="CN67" s="110">
        <v>3</v>
      </c>
      <c r="CO67" s="110">
        <v>1198.8</v>
      </c>
      <c r="CP67" s="110">
        <v>4.1367956770762726</v>
      </c>
      <c r="CQ67" s="110">
        <v>1653.0635525596783</v>
      </c>
      <c r="CR67" s="110">
        <v>3.3803541815042157</v>
      </c>
      <c r="CS67" s="110">
        <v>1350.7895309290845</v>
      </c>
      <c r="CT67" s="110">
        <v>3.3209870914452218</v>
      </c>
      <c r="CU67" s="110">
        <v>1327.0664417415105</v>
      </c>
    </row>
    <row r="68" spans="2:99" x14ac:dyDescent="0.2">
      <c r="C68" s="109" t="s">
        <v>236</v>
      </c>
      <c r="D68" s="110">
        <v>0</v>
      </c>
      <c r="E68" s="110">
        <v>0</v>
      </c>
      <c r="F68" s="110">
        <v>0.11126851820312952</v>
      </c>
      <c r="G68" s="110">
        <v>104.94846636919176</v>
      </c>
      <c r="H68" s="110">
        <v>0.25282220802585342</v>
      </c>
      <c r="I68" s="110">
        <v>238.46190660998494</v>
      </c>
      <c r="J68" s="110">
        <v>0.28818891439897332</v>
      </c>
      <c r="K68" s="110">
        <v>271.81978406111159</v>
      </c>
      <c r="L68" s="110">
        <v>1.2357812341150416</v>
      </c>
      <c r="M68" s="110">
        <v>1165.5888600173071</v>
      </c>
      <c r="N68" s="110">
        <v>0.696059942577121</v>
      </c>
      <c r="O68" s="110">
        <v>656.52373783874043</v>
      </c>
      <c r="P68" s="110">
        <v>0.51585894544010902</v>
      </c>
      <c r="Q68" s="110">
        <v>486.55815733911078</v>
      </c>
      <c r="R68" s="110">
        <v>0.8231995957949908</v>
      </c>
      <c r="S68" s="110">
        <v>776.44185875383528</v>
      </c>
      <c r="T68" s="110">
        <v>0.84631295574867271</v>
      </c>
      <c r="U68" s="110">
        <v>798.24237986214803</v>
      </c>
      <c r="V68" s="110">
        <v>0</v>
      </c>
      <c r="W68" s="110">
        <v>0</v>
      </c>
      <c r="X68" s="110">
        <v>0</v>
      </c>
      <c r="Y68" s="110">
        <v>0</v>
      </c>
      <c r="Z68" s="110">
        <v>0</v>
      </c>
      <c r="AA68" s="110">
        <v>0</v>
      </c>
      <c r="AB68" s="110">
        <v>0</v>
      </c>
      <c r="AC68" s="110">
        <v>0</v>
      </c>
      <c r="AD68" s="110">
        <v>4.2198614535534409</v>
      </c>
      <c r="AE68" s="110">
        <v>3980.1733229916053</v>
      </c>
      <c r="AF68" s="110">
        <v>4</v>
      </c>
      <c r="AG68" s="110">
        <v>3772.7999999999997</v>
      </c>
      <c r="AH68" s="110">
        <v>3.7662362934371858</v>
      </c>
      <c r="AI68" s="110">
        <v>3552.3140719699536</v>
      </c>
      <c r="AJ68" s="110">
        <v>2.3589137367026307</v>
      </c>
      <c r="AK68" s="110">
        <v>2224.927436457921</v>
      </c>
      <c r="AL68" s="110">
        <v>5</v>
      </c>
      <c r="AM68" s="110">
        <v>4716</v>
      </c>
      <c r="AN68" s="110">
        <v>7</v>
      </c>
      <c r="AO68" s="110">
        <v>6602.4</v>
      </c>
      <c r="AP68" s="110">
        <v>8</v>
      </c>
      <c r="AQ68" s="110">
        <v>7545.5999999999995</v>
      </c>
      <c r="AR68" s="110">
        <v>8</v>
      </c>
      <c r="AS68" s="110">
        <v>7545.5999999999995</v>
      </c>
      <c r="AT68" s="110">
        <v>6.2797390391286783</v>
      </c>
      <c r="AU68" s="110">
        <v>5923.0498617061685</v>
      </c>
      <c r="AV68" s="110">
        <v>9.2929569280024573</v>
      </c>
      <c r="AW68" s="110">
        <v>8765.1169744919171</v>
      </c>
      <c r="AX68" s="110">
        <v>8.1820929663059747</v>
      </c>
      <c r="AY68" s="110">
        <v>7717.3500858197949</v>
      </c>
      <c r="AZ68" s="110">
        <v>2</v>
      </c>
      <c r="BA68" s="110">
        <v>1886.3999999999999</v>
      </c>
      <c r="BB68" s="110">
        <v>3</v>
      </c>
      <c r="BC68" s="110">
        <v>2829.6</v>
      </c>
      <c r="BD68" s="110">
        <v>5</v>
      </c>
      <c r="BE68" s="110">
        <v>4716</v>
      </c>
      <c r="BF68" s="110">
        <v>4.4824941980251047</v>
      </c>
      <c r="BG68" s="110">
        <v>4227.8885275772782</v>
      </c>
      <c r="BH68" s="110">
        <v>3.1545554107807288</v>
      </c>
      <c r="BI68" s="110">
        <v>2975.3766634483832</v>
      </c>
      <c r="BJ68" s="110">
        <v>2.1505594508147601</v>
      </c>
      <c r="BK68" s="110">
        <v>2028.4076740084815</v>
      </c>
      <c r="BL68" s="110">
        <v>3.14798517528155</v>
      </c>
      <c r="BM68" s="110">
        <v>2969.1796173255575</v>
      </c>
      <c r="BN68" s="110">
        <v>2.1425217943045767</v>
      </c>
      <c r="BO68" s="110">
        <v>2020.8265563880766</v>
      </c>
      <c r="BP68" s="110">
        <v>4.1268201440516847</v>
      </c>
      <c r="BQ68" s="110">
        <v>3892.416759869549</v>
      </c>
      <c r="BR68" s="110">
        <v>3.1653732272557349</v>
      </c>
      <c r="BS68" s="110">
        <v>2985.5800279476089</v>
      </c>
      <c r="BT68" s="110">
        <v>6</v>
      </c>
      <c r="BU68" s="110">
        <v>5659.2</v>
      </c>
      <c r="BV68" s="110">
        <v>5.2436707994520182</v>
      </c>
      <c r="BW68" s="110">
        <v>4945.8302980431436</v>
      </c>
      <c r="BX68" s="110">
        <v>6.2327874866780846</v>
      </c>
      <c r="BY68" s="110">
        <v>5878.7651574347692</v>
      </c>
      <c r="BZ68" s="110">
        <v>10</v>
      </c>
      <c r="CA68" s="110">
        <v>9432</v>
      </c>
      <c r="CB68" s="110">
        <v>6</v>
      </c>
      <c r="CC68" s="110">
        <v>5659.2</v>
      </c>
      <c r="CD68" s="110">
        <v>6.1267293645138157</v>
      </c>
      <c r="CE68" s="110">
        <v>5778.7311366094309</v>
      </c>
      <c r="CF68" s="110">
        <v>8</v>
      </c>
      <c r="CG68" s="110">
        <v>7545.5999999999995</v>
      </c>
      <c r="CH68" s="110">
        <v>8.0659664413593184</v>
      </c>
      <c r="CI68" s="110">
        <v>7607.8195474901086</v>
      </c>
      <c r="CJ68" s="110">
        <v>8</v>
      </c>
      <c r="CK68" s="110">
        <v>7545.5999999999995</v>
      </c>
      <c r="CL68" s="110">
        <v>8</v>
      </c>
      <c r="CM68" s="110">
        <v>7545.5999999999995</v>
      </c>
      <c r="CN68" s="110">
        <v>3</v>
      </c>
      <c r="CO68" s="110">
        <v>2829.6</v>
      </c>
      <c r="CP68" s="110">
        <v>4.1459153888813569</v>
      </c>
      <c r="CQ68" s="110">
        <v>3910.4273947928955</v>
      </c>
      <c r="CR68" s="110">
        <v>3.3486579997121981</v>
      </c>
      <c r="CS68" s="110">
        <v>3158.4542253285449</v>
      </c>
      <c r="CT68" s="110">
        <v>3.2888883823006996</v>
      </c>
      <c r="CU68" s="110">
        <v>3102.0795221860194</v>
      </c>
    </row>
    <row r="69" spans="2:99" x14ac:dyDescent="0.2">
      <c r="C69" s="109" t="s">
        <v>237</v>
      </c>
      <c r="D69" s="110">
        <v>0</v>
      </c>
      <c r="E69" s="110">
        <v>0</v>
      </c>
      <c r="F69" s="110">
        <v>0.13709365149322947</v>
      </c>
      <c r="G69" s="110">
        <v>121.41013776240402</v>
      </c>
      <c r="H69" s="110">
        <v>0.29664124764123445</v>
      </c>
      <c r="I69" s="110">
        <v>262.70548891107723</v>
      </c>
      <c r="J69" s="110">
        <v>0.75466634326378101</v>
      </c>
      <c r="K69" s="110">
        <v>668.33251359440453</v>
      </c>
      <c r="L69" s="110">
        <v>1.0494260549794256</v>
      </c>
      <c r="M69" s="110">
        <v>929.37171428977933</v>
      </c>
      <c r="N69" s="110">
        <v>0.67363823311509996</v>
      </c>
      <c r="O69" s="110">
        <v>596.57401924673252</v>
      </c>
      <c r="P69" s="110">
        <v>0.99817751396267962</v>
      </c>
      <c r="Q69" s="110">
        <v>883.98600636534911</v>
      </c>
      <c r="R69" s="110">
        <v>1.5221705650910724</v>
      </c>
      <c r="S69" s="110">
        <v>1348.0342524446537</v>
      </c>
      <c r="T69" s="110">
        <v>1.8001547880675499</v>
      </c>
      <c r="U69" s="110">
        <v>1594.2170803126223</v>
      </c>
      <c r="V69" s="110">
        <v>2.1316557041644253</v>
      </c>
      <c r="W69" s="110">
        <v>1887.7942916080151</v>
      </c>
      <c r="X69" s="110">
        <v>2.3713455144355091</v>
      </c>
      <c r="Y69" s="110">
        <v>2100.0635875840871</v>
      </c>
      <c r="Z69" s="110">
        <v>3.5740170372046407</v>
      </c>
      <c r="AA69" s="110">
        <v>3165.14948814843</v>
      </c>
      <c r="AB69" s="110">
        <v>4.3569635402568645</v>
      </c>
      <c r="AC69" s="110">
        <v>3858.5269112514793</v>
      </c>
      <c r="AD69" s="110">
        <v>3.3865523044483545</v>
      </c>
      <c r="AE69" s="110">
        <v>2999.130720819463</v>
      </c>
      <c r="AF69" s="110">
        <v>3.2653140499805375</v>
      </c>
      <c r="AG69" s="110">
        <v>2891.7621226627643</v>
      </c>
      <c r="AH69" s="110">
        <v>5.1964510611931756</v>
      </c>
      <c r="AI69" s="110">
        <v>4601.9770597926763</v>
      </c>
      <c r="AJ69" s="110">
        <v>6.0764258901924837</v>
      </c>
      <c r="AK69" s="110">
        <v>5381.2827683544638</v>
      </c>
      <c r="AL69" s="110">
        <v>2.7621868071465543</v>
      </c>
      <c r="AM69" s="110">
        <v>2446.1926364089886</v>
      </c>
      <c r="AN69" s="110">
        <v>5.6223648259460548</v>
      </c>
      <c r="AO69" s="110">
        <v>4979.1662898578261</v>
      </c>
      <c r="AP69" s="110">
        <v>7.6765446471784653</v>
      </c>
      <c r="AQ69" s="110">
        <v>6798.3479395412487</v>
      </c>
      <c r="AR69" s="110">
        <v>7.4341693458655085</v>
      </c>
      <c r="AS69" s="110">
        <v>6583.7003726984949</v>
      </c>
      <c r="AT69" s="110">
        <v>6</v>
      </c>
      <c r="AU69" s="110">
        <v>5313.6</v>
      </c>
      <c r="AV69" s="110">
        <v>8.7686413344528731</v>
      </c>
      <c r="AW69" s="110">
        <v>7765.5087657914646</v>
      </c>
      <c r="AX69" s="110">
        <v>7.0985295768025729</v>
      </c>
      <c r="AY69" s="110">
        <v>6286.4577932163584</v>
      </c>
      <c r="AZ69" s="110">
        <v>1.8026825548159187</v>
      </c>
      <c r="BA69" s="110">
        <v>1596.4556705449777</v>
      </c>
      <c r="BB69" s="110">
        <v>2.1293381699506142</v>
      </c>
      <c r="BC69" s="110">
        <v>1885.7418833082641</v>
      </c>
      <c r="BD69" s="110">
        <v>2.5036036354512743</v>
      </c>
      <c r="BE69" s="110">
        <v>2217.1913795556484</v>
      </c>
      <c r="BF69" s="110">
        <v>1.9809762412859728</v>
      </c>
      <c r="BG69" s="110">
        <v>1754.3525592828576</v>
      </c>
      <c r="BH69" s="110">
        <v>2.2834243017804621</v>
      </c>
      <c r="BI69" s="110">
        <v>2022.2005616567772</v>
      </c>
      <c r="BJ69" s="110">
        <v>2.7679192123134482</v>
      </c>
      <c r="BK69" s="110">
        <v>2451.2692544247898</v>
      </c>
      <c r="BL69" s="110">
        <v>2.8892978013751893</v>
      </c>
      <c r="BM69" s="110">
        <v>2558.7621328978676</v>
      </c>
      <c r="BN69" s="110">
        <v>2.2391366310183516</v>
      </c>
      <c r="BO69" s="110">
        <v>1982.9794004298521</v>
      </c>
      <c r="BP69" s="110">
        <v>5.0987606237614225</v>
      </c>
      <c r="BQ69" s="110">
        <v>4515.4624084031157</v>
      </c>
      <c r="BR69" s="110">
        <v>3.0828012170410921</v>
      </c>
      <c r="BS69" s="110">
        <v>2730.1287578115912</v>
      </c>
      <c r="BT69" s="110">
        <v>6</v>
      </c>
      <c r="BU69" s="110">
        <v>5313.6</v>
      </c>
      <c r="BV69" s="110">
        <v>5.1016612774757979</v>
      </c>
      <c r="BW69" s="110">
        <v>4518.0312273325671</v>
      </c>
      <c r="BX69" s="110">
        <v>4.620793338426016</v>
      </c>
      <c r="BY69" s="110">
        <v>4092.17458051008</v>
      </c>
      <c r="BZ69" s="110">
        <v>8.7970140367468286</v>
      </c>
      <c r="CA69" s="110">
        <v>7790.6356309429912</v>
      </c>
      <c r="CB69" s="110">
        <v>6.120701894576885</v>
      </c>
      <c r="CC69" s="110">
        <v>5420.4935978372896</v>
      </c>
      <c r="CD69" s="110">
        <v>7</v>
      </c>
      <c r="CE69" s="110">
        <v>6199.2</v>
      </c>
      <c r="CF69" s="110">
        <v>8.0869746180034543</v>
      </c>
      <c r="CG69" s="110">
        <v>7161.8247217038597</v>
      </c>
      <c r="CH69" s="110">
        <v>4.8555095184782981</v>
      </c>
      <c r="CI69" s="110">
        <v>4300.0392295643805</v>
      </c>
      <c r="CJ69" s="110">
        <v>2.3585674484352692</v>
      </c>
      <c r="CK69" s="110">
        <v>2088.7473323342747</v>
      </c>
      <c r="CL69" s="110">
        <v>3.278366716732017</v>
      </c>
      <c r="CM69" s="110">
        <v>2903.3215643378744</v>
      </c>
      <c r="CN69" s="110">
        <v>1.694463967552799</v>
      </c>
      <c r="CO69" s="110">
        <v>1500.6172896647588</v>
      </c>
      <c r="CP69" s="110">
        <v>2.1740426484772555</v>
      </c>
      <c r="CQ69" s="110">
        <v>1925.3321694914575</v>
      </c>
      <c r="CR69" s="110">
        <v>1.7868271517192764</v>
      </c>
      <c r="CS69" s="110">
        <v>1582.4141255625912</v>
      </c>
      <c r="CT69" s="110">
        <v>1.7265135037516195</v>
      </c>
      <c r="CU69" s="110">
        <v>1529.0003589224343</v>
      </c>
    </row>
    <row r="70" spans="2:99" x14ac:dyDescent="0.2">
      <c r="C70" s="109" t="s">
        <v>238</v>
      </c>
      <c r="D70" s="110">
        <v>0</v>
      </c>
      <c r="E70" s="110">
        <v>0</v>
      </c>
      <c r="F70" s="110">
        <v>0.13754826169352777</v>
      </c>
      <c r="G70" s="110">
        <v>97.384169279017655</v>
      </c>
      <c r="H70" s="110">
        <v>0.36907844867428674</v>
      </c>
      <c r="I70" s="110">
        <v>261.30754166139502</v>
      </c>
      <c r="J70" s="110">
        <v>0.7608365076746052</v>
      </c>
      <c r="K70" s="110">
        <v>538.67224743362044</v>
      </c>
      <c r="L70" s="110">
        <v>1.3992347399725675</v>
      </c>
      <c r="M70" s="110">
        <v>990.65819590057777</v>
      </c>
      <c r="N70" s="110">
        <v>0.85855370866991965</v>
      </c>
      <c r="O70" s="110">
        <v>607.85602573830306</v>
      </c>
      <c r="P70" s="110">
        <v>1.01435373554293</v>
      </c>
      <c r="Q70" s="110">
        <v>718.16244476439442</v>
      </c>
      <c r="R70" s="110">
        <v>1.94967903924904</v>
      </c>
      <c r="S70" s="110">
        <v>1380.3727597883203</v>
      </c>
      <c r="T70" s="110">
        <v>1.7941365712008004</v>
      </c>
      <c r="U70" s="110">
        <v>1270.2486924101668</v>
      </c>
      <c r="V70" s="110">
        <v>2.1157143756201457</v>
      </c>
      <c r="W70" s="110">
        <v>1497.9257779390632</v>
      </c>
      <c r="X70" s="110">
        <v>2.3552878860202933</v>
      </c>
      <c r="Y70" s="110">
        <v>1667.5438233023676</v>
      </c>
      <c r="Z70" s="110">
        <v>3.5740170372046407</v>
      </c>
      <c r="AA70" s="110">
        <v>2530.4040623408855</v>
      </c>
      <c r="AB70" s="110">
        <v>4.3569635402568645</v>
      </c>
      <c r="AC70" s="110">
        <v>3084.7301865018599</v>
      </c>
      <c r="AD70" s="110">
        <v>3.9317312338505075</v>
      </c>
      <c r="AE70" s="110">
        <v>2783.6657135661594</v>
      </c>
      <c r="AF70" s="110">
        <v>3.2653140499805375</v>
      </c>
      <c r="AG70" s="110">
        <v>2311.8423473862204</v>
      </c>
      <c r="AH70" s="110">
        <v>5.1887285423790752</v>
      </c>
      <c r="AI70" s="110">
        <v>3673.619808004385</v>
      </c>
      <c r="AJ70" s="110">
        <v>6.9473642022545752</v>
      </c>
      <c r="AK70" s="110">
        <v>4918.7338551962393</v>
      </c>
      <c r="AL70" s="110">
        <v>2.228897291067379</v>
      </c>
      <c r="AM70" s="110">
        <v>1578.0592820757042</v>
      </c>
      <c r="AN70" s="110">
        <v>6.4143701882356741</v>
      </c>
      <c r="AO70" s="110">
        <v>4541.374093270857</v>
      </c>
      <c r="AP70" s="110">
        <v>7.6765446471784653</v>
      </c>
      <c r="AQ70" s="110">
        <v>5434.993610202353</v>
      </c>
      <c r="AR70" s="110">
        <v>7.4341693458655085</v>
      </c>
      <c r="AS70" s="110">
        <v>5263.3918968727803</v>
      </c>
      <c r="AT70" s="110">
        <v>6</v>
      </c>
      <c r="AU70" s="110">
        <v>4248</v>
      </c>
      <c r="AV70" s="110">
        <v>9.7470152947492714</v>
      </c>
      <c r="AW70" s="110">
        <v>6900.8868286824845</v>
      </c>
      <c r="AX70" s="110">
        <v>7.0985295768025729</v>
      </c>
      <c r="AY70" s="110">
        <v>5025.7589403762213</v>
      </c>
      <c r="AZ70" s="110">
        <v>1.8275431369182176</v>
      </c>
      <c r="BA70" s="110">
        <v>1293.9005409380979</v>
      </c>
      <c r="BB70" s="110">
        <v>2.1293381699506142</v>
      </c>
      <c r="BC70" s="110">
        <v>1507.571424325035</v>
      </c>
      <c r="BD70" s="110">
        <v>2.5097466970052644</v>
      </c>
      <c r="BE70" s="110">
        <v>1776.9006614797272</v>
      </c>
      <c r="BF70" s="110">
        <v>1.9662505079122934</v>
      </c>
      <c r="BG70" s="110">
        <v>1392.1053596019037</v>
      </c>
      <c r="BH70" s="110">
        <v>2.2962294442994513</v>
      </c>
      <c r="BI70" s="110">
        <v>1625.7304465640116</v>
      </c>
      <c r="BJ70" s="110">
        <v>2.2203258639218597</v>
      </c>
      <c r="BK70" s="110">
        <v>1571.9907116566767</v>
      </c>
      <c r="BL70" s="110">
        <v>2.8892978013751893</v>
      </c>
      <c r="BM70" s="110">
        <v>2045.6228433736339</v>
      </c>
      <c r="BN70" s="110">
        <v>2.7804414119273222</v>
      </c>
      <c r="BO70" s="110">
        <v>1968.5525196445442</v>
      </c>
      <c r="BP70" s="110">
        <v>5.0987606237614225</v>
      </c>
      <c r="BQ70" s="110">
        <v>3609.9225216230871</v>
      </c>
      <c r="BR70" s="110">
        <v>3.0828012170410921</v>
      </c>
      <c r="BS70" s="110">
        <v>2182.6232616650932</v>
      </c>
      <c r="BT70" s="110">
        <v>5</v>
      </c>
      <c r="BU70" s="110">
        <v>3540</v>
      </c>
      <c r="BV70" s="110">
        <v>5.1016612774757979</v>
      </c>
      <c r="BW70" s="110">
        <v>3611.9761844528648</v>
      </c>
      <c r="BX70" s="110">
        <v>4.6053488455286189</v>
      </c>
      <c r="BY70" s="110">
        <v>3260.5869826342623</v>
      </c>
      <c r="BZ70" s="110">
        <v>7.9238461550001862</v>
      </c>
      <c r="CA70" s="110">
        <v>5610.0830777401316</v>
      </c>
      <c r="CB70" s="110">
        <v>6.1056141577547738</v>
      </c>
      <c r="CC70" s="110">
        <v>4322.7748236903799</v>
      </c>
      <c r="CD70" s="110">
        <v>7</v>
      </c>
      <c r="CE70" s="110">
        <v>4956</v>
      </c>
      <c r="CF70" s="110">
        <v>9.1014703876706964</v>
      </c>
      <c r="CG70" s="110">
        <v>6443.8410344708527</v>
      </c>
      <c r="CH70" s="110">
        <v>4.8555095184782981</v>
      </c>
      <c r="CI70" s="110">
        <v>3437.7007390826352</v>
      </c>
      <c r="CJ70" s="110">
        <v>2.653388379489678</v>
      </c>
      <c r="CK70" s="110">
        <v>1878.598972678692</v>
      </c>
      <c r="CL70" s="110">
        <v>4.1845782769469624</v>
      </c>
      <c r="CM70" s="110">
        <v>2962.6814200784493</v>
      </c>
      <c r="CN70" s="110">
        <v>1.694463967552799</v>
      </c>
      <c r="CO70" s="110">
        <v>1199.6804890273818</v>
      </c>
      <c r="CP70" s="110">
        <v>2.7932990608794599</v>
      </c>
      <c r="CQ70" s="110">
        <v>1977.6557351026577</v>
      </c>
      <c r="CR70" s="110">
        <v>1.7868271517192764</v>
      </c>
      <c r="CS70" s="110">
        <v>1265.0736234172477</v>
      </c>
      <c r="CT70" s="110">
        <v>1.7111032171710825</v>
      </c>
      <c r="CU70" s="110">
        <v>1211.4610777571263</v>
      </c>
    </row>
    <row r="71" spans="2:99" x14ac:dyDescent="0.2">
      <c r="B71" s="109" t="s">
        <v>130</v>
      </c>
      <c r="C71" s="109" t="s">
        <v>239</v>
      </c>
      <c r="D71" s="110">
        <v>0</v>
      </c>
      <c r="E71" s="110">
        <v>0</v>
      </c>
      <c r="F71" s="110">
        <v>0.36202252119212242</v>
      </c>
      <c r="G71" s="110">
        <v>202.8774208760654</v>
      </c>
      <c r="H71" s="110">
        <v>0.69526107207109689</v>
      </c>
      <c r="I71" s="110">
        <v>389.62430478864269</v>
      </c>
      <c r="J71" s="110">
        <v>0.57637782879794663</v>
      </c>
      <c r="K71" s="110">
        <v>323.00213525836926</v>
      </c>
      <c r="L71" s="110">
        <v>2.0596353901917359</v>
      </c>
      <c r="M71" s="110">
        <v>1154.2196726634488</v>
      </c>
      <c r="N71" s="110">
        <v>0.95312122934222532</v>
      </c>
      <c r="O71" s="110">
        <v>534.12913692338304</v>
      </c>
      <c r="P71" s="110">
        <v>1.031717890880218</v>
      </c>
      <c r="Q71" s="110">
        <v>578.17470604927416</v>
      </c>
      <c r="R71" s="110">
        <v>1.3939364660385019</v>
      </c>
      <c r="S71" s="110">
        <v>781.16199556797642</v>
      </c>
      <c r="T71" s="110">
        <v>1.0719117277594907</v>
      </c>
      <c r="U71" s="110">
        <v>600.69933223641863</v>
      </c>
      <c r="V71" s="110">
        <v>0</v>
      </c>
      <c r="W71" s="110">
        <v>0</v>
      </c>
      <c r="X71" s="110">
        <v>0</v>
      </c>
      <c r="Y71" s="110">
        <v>0</v>
      </c>
      <c r="Z71" s="110">
        <v>0</v>
      </c>
      <c r="AA71" s="110">
        <v>0</v>
      </c>
      <c r="AB71" s="110">
        <v>0</v>
      </c>
      <c r="AC71" s="110">
        <v>0</v>
      </c>
      <c r="AD71" s="110">
        <v>1.9763405811982988</v>
      </c>
      <c r="AE71" s="110">
        <v>1107.5412617035265</v>
      </c>
      <c r="AF71" s="110">
        <v>2</v>
      </c>
      <c r="AG71" s="110">
        <v>1120.8</v>
      </c>
      <c r="AH71" s="110">
        <v>2.5108241956247905</v>
      </c>
      <c r="AI71" s="110">
        <v>1407.0658792281326</v>
      </c>
      <c r="AJ71" s="110">
        <v>5.0548151500770659</v>
      </c>
      <c r="AK71" s="110">
        <v>2832.7184101031876</v>
      </c>
      <c r="AL71" s="110">
        <v>14</v>
      </c>
      <c r="AM71" s="110">
        <v>7845.5999999999995</v>
      </c>
      <c r="AN71" s="110">
        <v>15</v>
      </c>
      <c r="AO71" s="110">
        <v>8406</v>
      </c>
      <c r="AP71" s="110">
        <v>13</v>
      </c>
      <c r="AQ71" s="110">
        <v>7285.2</v>
      </c>
      <c r="AR71" s="110">
        <v>3</v>
      </c>
      <c r="AS71" s="110">
        <v>1681.1999999999998</v>
      </c>
      <c r="AT71" s="110">
        <v>4.3263622123167913</v>
      </c>
      <c r="AU71" s="110">
        <v>2424.4933837823296</v>
      </c>
      <c r="AV71" s="110">
        <v>4.4185098971463663</v>
      </c>
      <c r="AW71" s="110">
        <v>2476.1329463608236</v>
      </c>
      <c r="AX71" s="110">
        <v>3.3034882771766241</v>
      </c>
      <c r="AY71" s="110">
        <v>1851.27483052978</v>
      </c>
      <c r="AZ71" s="110">
        <v>6</v>
      </c>
      <c r="BA71" s="110">
        <v>3362.3999999999996</v>
      </c>
      <c r="BB71" s="110">
        <v>4.2997534854887904</v>
      </c>
      <c r="BC71" s="110">
        <v>2409.5818532679182</v>
      </c>
      <c r="BD71" s="110">
        <v>5</v>
      </c>
      <c r="BE71" s="110">
        <v>2802</v>
      </c>
      <c r="BF71" s="110">
        <v>5.3618706485188286</v>
      </c>
      <c r="BG71" s="110">
        <v>3004.7923114299515</v>
      </c>
      <c r="BH71" s="110">
        <v>3.2202658751305182</v>
      </c>
      <c r="BI71" s="110">
        <v>1804.6369964231424</v>
      </c>
      <c r="BJ71" s="110">
        <v>1.290335670488856</v>
      </c>
      <c r="BK71" s="110">
        <v>723.10410974195486</v>
      </c>
      <c r="BL71" s="110">
        <v>1.6202828907653555</v>
      </c>
      <c r="BM71" s="110">
        <v>908.00653198490522</v>
      </c>
      <c r="BN71" s="110">
        <v>1.6068913457284326</v>
      </c>
      <c r="BO71" s="110">
        <v>900.50191014621362</v>
      </c>
      <c r="BP71" s="110">
        <v>4.1268201440516847</v>
      </c>
      <c r="BQ71" s="110">
        <v>2312.670008726564</v>
      </c>
      <c r="BR71" s="110">
        <v>6.1889979740065542</v>
      </c>
      <c r="BS71" s="110">
        <v>3468.314464633273</v>
      </c>
      <c r="BT71" s="110">
        <v>10</v>
      </c>
      <c r="BU71" s="110">
        <v>5604</v>
      </c>
      <c r="BV71" s="110">
        <v>5.4386074390136319</v>
      </c>
      <c r="BW71" s="110">
        <v>3047.795608823239</v>
      </c>
      <c r="BX71" s="110">
        <v>7.7914774547054879</v>
      </c>
      <c r="BY71" s="110">
        <v>4366.3439656169548</v>
      </c>
      <c r="BZ71" s="110">
        <v>6</v>
      </c>
      <c r="CA71" s="110">
        <v>3362.3999999999996</v>
      </c>
      <c r="CB71" s="110">
        <v>6</v>
      </c>
      <c r="CC71" s="110">
        <v>3362.3999999999996</v>
      </c>
      <c r="CD71" s="110">
        <v>6.4224312150460534</v>
      </c>
      <c r="CE71" s="110">
        <v>3599.1304529118083</v>
      </c>
      <c r="CF71" s="110">
        <v>7</v>
      </c>
      <c r="CG71" s="110">
        <v>3922.7999999999997</v>
      </c>
      <c r="CH71" s="110">
        <v>12.158319459262364</v>
      </c>
      <c r="CI71" s="110">
        <v>6813.5222249706285</v>
      </c>
      <c r="CJ71" s="110">
        <v>10</v>
      </c>
      <c r="CK71" s="110">
        <v>5604</v>
      </c>
      <c r="CL71" s="110">
        <v>8</v>
      </c>
      <c r="CM71" s="110">
        <v>4483.2</v>
      </c>
      <c r="CN71" s="110">
        <v>4</v>
      </c>
      <c r="CO71" s="110">
        <v>2241.6</v>
      </c>
      <c r="CP71" s="110">
        <v>4.1276759652711874</v>
      </c>
      <c r="CQ71" s="110">
        <v>2313.1496109379732</v>
      </c>
      <c r="CR71" s="110">
        <v>4</v>
      </c>
      <c r="CS71" s="110">
        <v>2241.6</v>
      </c>
      <c r="CT71" s="110">
        <v>8.4814806371678326</v>
      </c>
      <c r="CU71" s="110">
        <v>4753.0217490688528</v>
      </c>
    </row>
    <row r="72" spans="2:99" x14ac:dyDescent="0.2">
      <c r="C72" s="109" t="s">
        <v>240</v>
      </c>
      <c r="D72" s="110">
        <v>0</v>
      </c>
      <c r="E72" s="110">
        <v>0</v>
      </c>
      <c r="F72" s="110">
        <v>0.32641177170524188</v>
      </c>
      <c r="G72" s="110">
        <v>274.57758235844943</v>
      </c>
      <c r="H72" s="110">
        <v>0.69526107207109689</v>
      </c>
      <c r="I72" s="110">
        <v>584.8536138262067</v>
      </c>
      <c r="J72" s="110">
        <v>0.57637782879794663</v>
      </c>
      <c r="K72" s="110">
        <v>484.84902958483269</v>
      </c>
      <c r="L72" s="110">
        <v>2.0596353901917359</v>
      </c>
      <c r="M72" s="110">
        <v>1732.5652902292882</v>
      </c>
      <c r="N72" s="110">
        <v>1.1851412102012657</v>
      </c>
      <c r="O72" s="110">
        <v>996.94078602130469</v>
      </c>
      <c r="P72" s="110">
        <v>0.85976490906684844</v>
      </c>
      <c r="Q72" s="110">
        <v>723.23424150703283</v>
      </c>
      <c r="R72" s="110">
        <v>1.3939364660385019</v>
      </c>
      <c r="S72" s="110">
        <v>1172.5793552315877</v>
      </c>
      <c r="T72" s="110">
        <v>1.0719117277594907</v>
      </c>
      <c r="U72" s="110">
        <v>901.69214539128347</v>
      </c>
      <c r="V72" s="110">
        <v>0</v>
      </c>
      <c r="W72" s="110">
        <v>0</v>
      </c>
      <c r="X72" s="110">
        <v>0</v>
      </c>
      <c r="Y72" s="110">
        <v>0</v>
      </c>
      <c r="Z72" s="110">
        <v>0</v>
      </c>
      <c r="AA72" s="110">
        <v>0</v>
      </c>
      <c r="AB72" s="110">
        <v>0</v>
      </c>
      <c r="AC72" s="110">
        <v>0</v>
      </c>
      <c r="AD72" s="110">
        <v>1.9763405811982988</v>
      </c>
      <c r="AE72" s="110">
        <v>1662.4976969040088</v>
      </c>
      <c r="AF72" s="110">
        <v>2</v>
      </c>
      <c r="AG72" s="110">
        <v>1682.3999999999999</v>
      </c>
      <c r="AH72" s="110">
        <v>2.5108241956247905</v>
      </c>
      <c r="AI72" s="110">
        <v>2112.1053133595738</v>
      </c>
      <c r="AJ72" s="110">
        <v>5.3918028267488705</v>
      </c>
      <c r="AK72" s="110">
        <v>4535.5845378611493</v>
      </c>
      <c r="AL72" s="110">
        <v>14</v>
      </c>
      <c r="AM72" s="110">
        <v>11776.8</v>
      </c>
      <c r="AN72" s="110">
        <v>16</v>
      </c>
      <c r="AO72" s="110">
        <v>13459.199999999999</v>
      </c>
      <c r="AP72" s="110">
        <v>12</v>
      </c>
      <c r="AQ72" s="110">
        <v>10094.4</v>
      </c>
      <c r="AR72" s="110">
        <v>2</v>
      </c>
      <c r="AS72" s="110">
        <v>1682.3999999999999</v>
      </c>
      <c r="AT72" s="110">
        <v>4.3263622123167913</v>
      </c>
      <c r="AU72" s="110">
        <v>3639.3358930008844</v>
      </c>
      <c r="AV72" s="110">
        <v>4.3766589074317306</v>
      </c>
      <c r="AW72" s="110">
        <v>3681.6454729315715</v>
      </c>
      <c r="AX72" s="110">
        <v>3.3034882771766241</v>
      </c>
      <c r="AY72" s="110">
        <v>2778.8943387609761</v>
      </c>
      <c r="AZ72" s="110">
        <v>6</v>
      </c>
      <c r="BA72" s="110">
        <v>5047.2</v>
      </c>
      <c r="BB72" s="110">
        <v>4.2997534854887904</v>
      </c>
      <c r="BC72" s="110">
        <v>3616.9526319931701</v>
      </c>
      <c r="BD72" s="110">
        <v>5</v>
      </c>
      <c r="BE72" s="110">
        <v>4206</v>
      </c>
      <c r="BF72" s="110">
        <v>4.3618706485188286</v>
      </c>
      <c r="BG72" s="110">
        <v>3669.2055895340382</v>
      </c>
      <c r="BH72" s="110">
        <v>3.2531211073054132</v>
      </c>
      <c r="BI72" s="110">
        <v>2736.5254754653133</v>
      </c>
      <c r="BJ72" s="110">
        <v>0.86022378032590396</v>
      </c>
      <c r="BK72" s="110">
        <v>723.62024401015037</v>
      </c>
      <c r="BL72" s="110">
        <v>1.6017667695155231</v>
      </c>
      <c r="BM72" s="110">
        <v>1347.4062065164578</v>
      </c>
      <c r="BN72" s="110">
        <v>1.0712608971522883</v>
      </c>
      <c r="BO72" s="110">
        <v>901.14466668450484</v>
      </c>
      <c r="BP72" s="110">
        <v>4.1268201440516847</v>
      </c>
      <c r="BQ72" s="110">
        <v>3471.4811051762767</v>
      </c>
      <c r="BR72" s="110">
        <v>7.1889979740065542</v>
      </c>
      <c r="BS72" s="110">
        <v>6047.3850957343129</v>
      </c>
      <c r="BT72" s="110">
        <v>10</v>
      </c>
      <c r="BU72" s="110">
        <v>8412</v>
      </c>
      <c r="BV72" s="110">
        <v>6.3898732791232282</v>
      </c>
      <c r="BW72" s="110">
        <v>5375.1614023984594</v>
      </c>
      <c r="BX72" s="110">
        <v>8.8380349520411059</v>
      </c>
      <c r="BY72" s="110">
        <v>7434.5550016569778</v>
      </c>
      <c r="BZ72" s="110">
        <v>5</v>
      </c>
      <c r="CA72" s="110">
        <v>4206</v>
      </c>
      <c r="CB72" s="110">
        <v>6</v>
      </c>
      <c r="CC72" s="110">
        <v>5047.2</v>
      </c>
      <c r="CD72" s="110">
        <v>7.3801880935414479</v>
      </c>
      <c r="CE72" s="110">
        <v>6208.214224287065</v>
      </c>
      <c r="CF72" s="110">
        <v>8</v>
      </c>
      <c r="CG72" s="110">
        <v>6729.5999999999995</v>
      </c>
      <c r="CH72" s="110">
        <v>12.145126170990499</v>
      </c>
      <c r="CI72" s="110">
        <v>10216.480135037207</v>
      </c>
      <c r="CJ72" s="110">
        <v>9</v>
      </c>
      <c r="CK72" s="110">
        <v>7570.7999999999993</v>
      </c>
      <c r="CL72" s="110">
        <v>8</v>
      </c>
      <c r="CM72" s="110">
        <v>6729.5999999999995</v>
      </c>
      <c r="CN72" s="110">
        <v>4</v>
      </c>
      <c r="CO72" s="110">
        <v>3364.7999999999997</v>
      </c>
      <c r="CP72" s="110">
        <v>4.1550351006864421</v>
      </c>
      <c r="CQ72" s="110">
        <v>3495.2155266974346</v>
      </c>
      <c r="CR72" s="110">
        <v>4</v>
      </c>
      <c r="CS72" s="110">
        <v>3364.7999999999997</v>
      </c>
      <c r="CT72" s="110">
        <v>8.545678055456877</v>
      </c>
      <c r="CU72" s="110">
        <v>7188.6243802503241</v>
      </c>
    </row>
    <row r="73" spans="2:99" x14ac:dyDescent="0.2">
      <c r="C73" s="109" t="s">
        <v>241</v>
      </c>
      <c r="D73" s="110">
        <v>0</v>
      </c>
      <c r="E73" s="110">
        <v>0</v>
      </c>
      <c r="F73" s="110">
        <v>0.2908010222183614</v>
      </c>
      <c r="G73" s="110">
        <v>302.54938351598315</v>
      </c>
      <c r="H73" s="110">
        <v>0.69526107207109689</v>
      </c>
      <c r="I73" s="110">
        <v>723.34961938276911</v>
      </c>
      <c r="J73" s="110">
        <v>0.57637782879794663</v>
      </c>
      <c r="K73" s="110">
        <v>599.66349308138365</v>
      </c>
      <c r="L73" s="110">
        <v>2.0596353901917359</v>
      </c>
      <c r="M73" s="110">
        <v>2142.8446599554818</v>
      </c>
      <c r="N73" s="110">
        <v>1.1879235775241617</v>
      </c>
      <c r="O73" s="110">
        <v>1235.9156900561377</v>
      </c>
      <c r="P73" s="110">
        <v>0.85976490906684844</v>
      </c>
      <c r="Q73" s="110">
        <v>894.49941139314899</v>
      </c>
      <c r="R73" s="110">
        <v>1.3902802760862489</v>
      </c>
      <c r="S73" s="110">
        <v>1446.4475992401333</v>
      </c>
      <c r="T73" s="110">
        <v>0.84631295574867271</v>
      </c>
      <c r="U73" s="110">
        <v>880.50399916091897</v>
      </c>
      <c r="V73" s="110">
        <v>0</v>
      </c>
      <c r="W73" s="110">
        <v>0</v>
      </c>
      <c r="X73" s="110">
        <v>0</v>
      </c>
      <c r="Y73" s="110">
        <v>0</v>
      </c>
      <c r="Z73" s="110">
        <v>0</v>
      </c>
      <c r="AA73" s="110">
        <v>0</v>
      </c>
      <c r="AB73" s="110">
        <v>0</v>
      </c>
      <c r="AC73" s="110">
        <v>0</v>
      </c>
      <c r="AD73" s="110">
        <v>1.9763405811982988</v>
      </c>
      <c r="AE73" s="110">
        <v>2056.1847406787097</v>
      </c>
      <c r="AF73" s="110">
        <v>2</v>
      </c>
      <c r="AG73" s="110">
        <v>2080.7999999999997</v>
      </c>
      <c r="AH73" s="110">
        <v>2.5108241956247905</v>
      </c>
      <c r="AI73" s="110">
        <v>2612.2614931280318</v>
      </c>
      <c r="AJ73" s="110">
        <v>5.0548151500770659</v>
      </c>
      <c r="AK73" s="110">
        <v>5259.0296821401789</v>
      </c>
      <c r="AL73" s="110">
        <v>12</v>
      </c>
      <c r="AM73" s="110">
        <v>12484.8</v>
      </c>
      <c r="AN73" s="110">
        <v>16</v>
      </c>
      <c r="AO73" s="110">
        <v>16646.399999999998</v>
      </c>
      <c r="AP73" s="110">
        <v>12</v>
      </c>
      <c r="AQ73" s="110">
        <v>12484.8</v>
      </c>
      <c r="AR73" s="110">
        <v>2</v>
      </c>
      <c r="AS73" s="110">
        <v>2080.7999999999997</v>
      </c>
      <c r="AT73" s="110">
        <v>4.3263622123167913</v>
      </c>
      <c r="AU73" s="110">
        <v>4501.1472456943893</v>
      </c>
      <c r="AV73" s="110">
        <v>4.4185098971463663</v>
      </c>
      <c r="AW73" s="110">
        <v>4597.017696991079</v>
      </c>
      <c r="AX73" s="110">
        <v>3.2731394494589616</v>
      </c>
      <c r="AY73" s="110">
        <v>3405.3742832171033</v>
      </c>
      <c r="AZ73" s="110">
        <v>6</v>
      </c>
      <c r="BA73" s="110">
        <v>6242.4</v>
      </c>
      <c r="BB73" s="110">
        <v>3.272503168626173</v>
      </c>
      <c r="BC73" s="110">
        <v>3404.7122966386701</v>
      </c>
      <c r="BD73" s="110">
        <v>5</v>
      </c>
      <c r="BE73" s="110">
        <v>5201.9999999999991</v>
      </c>
      <c r="BF73" s="110">
        <v>4.3317147611422593</v>
      </c>
      <c r="BG73" s="110">
        <v>4506.716037492406</v>
      </c>
      <c r="BH73" s="110">
        <v>3.2531211073054132</v>
      </c>
      <c r="BI73" s="110">
        <v>3384.5472000405516</v>
      </c>
      <c r="BJ73" s="110">
        <v>1.290335670488856</v>
      </c>
      <c r="BK73" s="110">
        <v>1342.4652315766057</v>
      </c>
      <c r="BL73" s="110">
        <v>1.6017667695155231</v>
      </c>
      <c r="BM73" s="110">
        <v>1666.47814700395</v>
      </c>
      <c r="BN73" s="110">
        <v>1.0712608971522883</v>
      </c>
      <c r="BO73" s="110">
        <v>1114.5398373972407</v>
      </c>
      <c r="BP73" s="110">
        <v>4.1268201440516847</v>
      </c>
      <c r="BQ73" s="110">
        <v>4293.543677871372</v>
      </c>
      <c r="BR73" s="110">
        <v>6</v>
      </c>
      <c r="BS73" s="110">
        <v>6242.4</v>
      </c>
      <c r="BT73" s="110">
        <v>8</v>
      </c>
      <c r="BU73" s="110">
        <v>8323.1999999999989</v>
      </c>
      <c r="BV73" s="110">
        <v>5.4386074390136319</v>
      </c>
      <c r="BW73" s="110">
        <v>5658.3271795497822</v>
      </c>
      <c r="BX73" s="110">
        <v>7.838034952041105</v>
      </c>
      <c r="BY73" s="110">
        <v>8154.6915641035648</v>
      </c>
      <c r="BZ73" s="110">
        <v>5</v>
      </c>
      <c r="CA73" s="110">
        <v>5201.9999999999991</v>
      </c>
      <c r="CB73" s="110">
        <v>5</v>
      </c>
      <c r="CC73" s="110">
        <v>5201.9999999999991</v>
      </c>
      <c r="CD73" s="110">
        <v>6.4224312150460534</v>
      </c>
      <c r="CE73" s="110">
        <v>6681.8974361339133</v>
      </c>
      <c r="CF73" s="110">
        <v>8</v>
      </c>
      <c r="CG73" s="110">
        <v>8323.1999999999989</v>
      </c>
      <c r="CH73" s="110">
        <v>12.158319459262364</v>
      </c>
      <c r="CI73" s="110">
        <v>12649.515565416561</v>
      </c>
      <c r="CJ73" s="110">
        <v>10</v>
      </c>
      <c r="CK73" s="110">
        <v>10403.999999999998</v>
      </c>
      <c r="CL73" s="110">
        <v>8</v>
      </c>
      <c r="CM73" s="110">
        <v>8323.1999999999989</v>
      </c>
      <c r="CN73" s="110">
        <v>4</v>
      </c>
      <c r="CO73" s="110">
        <v>4161.5999999999995</v>
      </c>
      <c r="CP73" s="110">
        <v>4.1550351006864421</v>
      </c>
      <c r="CQ73" s="110">
        <v>4322.8985187541739</v>
      </c>
      <c r="CR73" s="110">
        <v>4</v>
      </c>
      <c r="CS73" s="110">
        <v>4161.5999999999995</v>
      </c>
      <c r="CT73" s="110">
        <v>7</v>
      </c>
      <c r="CU73" s="110">
        <v>7282.7999999999993</v>
      </c>
    </row>
    <row r="74" spans="2:99" x14ac:dyDescent="0.2">
      <c r="C74" s="109" t="s">
        <v>242</v>
      </c>
      <c r="D74" s="110">
        <v>0</v>
      </c>
      <c r="E74" s="110">
        <v>0</v>
      </c>
      <c r="F74" s="110">
        <v>0.32789052828607124</v>
      </c>
      <c r="G74" s="110">
        <v>124.7295569600215</v>
      </c>
      <c r="H74" s="110">
        <v>0.69526107207109689</v>
      </c>
      <c r="I74" s="110">
        <v>264.47731181584521</v>
      </c>
      <c r="J74" s="110">
        <v>0.64842505739768996</v>
      </c>
      <c r="K74" s="110">
        <v>246.66089183408124</v>
      </c>
      <c r="L74" s="110">
        <v>2.0596353901917359</v>
      </c>
      <c r="M74" s="110">
        <v>783.48530242893628</v>
      </c>
      <c r="N74" s="110">
        <v>1.1907059448470578</v>
      </c>
      <c r="O74" s="110">
        <v>452.94454141982078</v>
      </c>
      <c r="P74" s="110">
        <v>1.031717890880218</v>
      </c>
      <c r="Q74" s="110">
        <v>392.4654856908349</v>
      </c>
      <c r="R74" s="110">
        <v>1.3902802760862489</v>
      </c>
      <c r="S74" s="110">
        <v>528.86261702320905</v>
      </c>
      <c r="T74" s="110">
        <v>1.1142114975115192</v>
      </c>
      <c r="U74" s="110">
        <v>423.84605365338189</v>
      </c>
      <c r="V74" s="110">
        <v>0</v>
      </c>
      <c r="W74" s="110">
        <v>0</v>
      </c>
      <c r="X74" s="110">
        <v>0</v>
      </c>
      <c r="Y74" s="110">
        <v>0</v>
      </c>
      <c r="Z74" s="110">
        <v>0</v>
      </c>
      <c r="AA74" s="110">
        <v>0</v>
      </c>
      <c r="AB74" s="110">
        <v>0</v>
      </c>
      <c r="AC74" s="110">
        <v>0</v>
      </c>
      <c r="AD74" s="110">
        <v>1.9763405811982988</v>
      </c>
      <c r="AE74" s="110">
        <v>751.79995708783281</v>
      </c>
      <c r="AF74" s="110">
        <v>2</v>
      </c>
      <c r="AG74" s="110">
        <v>760.8</v>
      </c>
      <c r="AH74" s="110">
        <v>3.1385302445309882</v>
      </c>
      <c r="AI74" s="110">
        <v>1193.8969050195878</v>
      </c>
      <c r="AJ74" s="110">
        <v>6.4027658567642831</v>
      </c>
      <c r="AK74" s="110">
        <v>2435.612131913133</v>
      </c>
      <c r="AL74" s="110">
        <v>13</v>
      </c>
      <c r="AM74" s="110">
        <v>4945.2</v>
      </c>
      <c r="AN74" s="110">
        <v>18</v>
      </c>
      <c r="AO74" s="110">
        <v>6847.2</v>
      </c>
      <c r="AP74" s="110">
        <v>12</v>
      </c>
      <c r="AQ74" s="110">
        <v>4564.7999999999993</v>
      </c>
      <c r="AR74" s="110">
        <v>2</v>
      </c>
      <c r="AS74" s="110">
        <v>760.8</v>
      </c>
      <c r="AT74" s="110">
        <v>4.3729853855049043</v>
      </c>
      <c r="AU74" s="110">
        <v>1663.4836406460656</v>
      </c>
      <c r="AV74" s="110">
        <v>4.4603608868610038</v>
      </c>
      <c r="AW74" s="110">
        <v>1696.7212813619258</v>
      </c>
      <c r="AX74" s="110">
        <v>3.3034882771766241</v>
      </c>
      <c r="AY74" s="110">
        <v>1256.6469406379877</v>
      </c>
      <c r="AZ74" s="110">
        <v>6</v>
      </c>
      <c r="BA74" s="110">
        <v>2282.3999999999996</v>
      </c>
      <c r="BB74" s="110">
        <v>4.2997534854887904</v>
      </c>
      <c r="BC74" s="110">
        <v>1635.6262258799359</v>
      </c>
      <c r="BD74" s="110">
        <v>5</v>
      </c>
      <c r="BE74" s="110">
        <v>1902</v>
      </c>
      <c r="BF74" s="110">
        <v>5.3618706485188286</v>
      </c>
      <c r="BG74" s="110">
        <v>2039.6555946965623</v>
      </c>
      <c r="BH74" s="110">
        <v>3.9924771117382538</v>
      </c>
      <c r="BI74" s="110">
        <v>1518.7382933052318</v>
      </c>
      <c r="BJ74" s="110">
        <v>1.290335670488856</v>
      </c>
      <c r="BK74" s="110">
        <v>490.84368905396082</v>
      </c>
      <c r="BL74" s="110">
        <v>2.3748759723985366</v>
      </c>
      <c r="BM74" s="110">
        <v>903.4028199004033</v>
      </c>
      <c r="BN74" s="110">
        <v>1.6068913457284326</v>
      </c>
      <c r="BO74" s="110">
        <v>611.26146791509575</v>
      </c>
      <c r="BP74" s="110">
        <v>4.1268201440516847</v>
      </c>
      <c r="BQ74" s="110">
        <v>1569.8423827972608</v>
      </c>
      <c r="BR74" s="110">
        <v>7.1889979740065542</v>
      </c>
      <c r="BS74" s="110">
        <v>2734.6948293120931</v>
      </c>
      <c r="BT74" s="110">
        <v>9</v>
      </c>
      <c r="BU74" s="110">
        <v>3423.6</v>
      </c>
      <c r="BV74" s="110">
        <v>6.4386074390136319</v>
      </c>
      <c r="BW74" s="110">
        <v>2449.2462698007853</v>
      </c>
      <c r="BX74" s="110">
        <v>8.8845924493767221</v>
      </c>
      <c r="BY74" s="110">
        <v>3379.6989677429051</v>
      </c>
      <c r="BZ74" s="110">
        <v>5</v>
      </c>
      <c r="CA74" s="110">
        <v>1902</v>
      </c>
      <c r="CB74" s="110">
        <v>7</v>
      </c>
      <c r="CC74" s="110">
        <v>2662.7999999999997</v>
      </c>
      <c r="CD74" s="110">
        <v>6.3801880935414479</v>
      </c>
      <c r="CE74" s="110">
        <v>2427.0235507831667</v>
      </c>
      <c r="CF74" s="110">
        <v>9</v>
      </c>
      <c r="CG74" s="110">
        <v>3423.6</v>
      </c>
      <c r="CH74" s="110">
        <v>13.145126170990499</v>
      </c>
      <c r="CI74" s="110">
        <v>5000.4059954447857</v>
      </c>
      <c r="CJ74" s="110">
        <v>10</v>
      </c>
      <c r="CK74" s="110">
        <v>3804</v>
      </c>
      <c r="CL74" s="110">
        <v>8</v>
      </c>
      <c r="CM74" s="110">
        <v>3043.2</v>
      </c>
      <c r="CN74" s="110">
        <v>5</v>
      </c>
      <c r="CO74" s="110">
        <v>1902</v>
      </c>
      <c r="CP74" s="110">
        <v>4.1459153888813569</v>
      </c>
      <c r="CQ74" s="110">
        <v>1577.1062139304681</v>
      </c>
      <c r="CR74" s="110">
        <v>4</v>
      </c>
      <c r="CS74" s="110">
        <v>1521.6</v>
      </c>
      <c r="CT74" s="110">
        <v>7.545678055456877</v>
      </c>
      <c r="CU74" s="110">
        <v>2870.3759322957958</v>
      </c>
    </row>
    <row r="75" spans="2:99" x14ac:dyDescent="0.2">
      <c r="C75" s="109" t="s">
        <v>243</v>
      </c>
      <c r="D75" s="110">
        <v>0</v>
      </c>
      <c r="E75" s="110">
        <v>0</v>
      </c>
      <c r="F75" s="110">
        <v>0.29375853538002006</v>
      </c>
      <c r="G75" s="110">
        <v>117.73842098031204</v>
      </c>
      <c r="H75" s="110">
        <v>0.6320555200646335</v>
      </c>
      <c r="I75" s="110">
        <v>253.32785244190512</v>
      </c>
      <c r="J75" s="110">
        <v>0.72047228599743318</v>
      </c>
      <c r="K75" s="110">
        <v>288.76529222777123</v>
      </c>
      <c r="L75" s="110">
        <v>2.0596353901917359</v>
      </c>
      <c r="M75" s="110">
        <v>825.50186438884782</v>
      </c>
      <c r="N75" s="110">
        <v>1.1879235775241617</v>
      </c>
      <c r="O75" s="110">
        <v>476.11976987168401</v>
      </c>
      <c r="P75" s="110">
        <v>0.85976490906684844</v>
      </c>
      <c r="Q75" s="110">
        <v>344.59377555399288</v>
      </c>
      <c r="R75" s="110">
        <v>1.3939364660385019</v>
      </c>
      <c r="S75" s="110">
        <v>558.68973558823154</v>
      </c>
      <c r="T75" s="110">
        <v>0.84631295574867271</v>
      </c>
      <c r="U75" s="110">
        <v>339.20223266406805</v>
      </c>
      <c r="V75" s="110">
        <v>0</v>
      </c>
      <c r="W75" s="110">
        <v>0</v>
      </c>
      <c r="X75" s="110">
        <v>0</v>
      </c>
      <c r="Y75" s="110">
        <v>0</v>
      </c>
      <c r="Z75" s="110">
        <v>0</v>
      </c>
      <c r="AA75" s="110">
        <v>0</v>
      </c>
      <c r="AB75" s="110">
        <v>0</v>
      </c>
      <c r="AC75" s="110">
        <v>0</v>
      </c>
      <c r="AD75" s="110">
        <v>1.9763405811982988</v>
      </c>
      <c r="AE75" s="110">
        <v>792.1173049442782</v>
      </c>
      <c r="AF75" s="110">
        <v>2</v>
      </c>
      <c r="AG75" s="110">
        <v>801.6</v>
      </c>
      <c r="AH75" s="110">
        <v>2.5108241956247905</v>
      </c>
      <c r="AI75" s="110">
        <v>1006.3383376064161</v>
      </c>
      <c r="AJ75" s="110">
        <v>5.3918028267488705</v>
      </c>
      <c r="AK75" s="110">
        <v>2161.0345729609471</v>
      </c>
      <c r="AL75" s="110">
        <v>14</v>
      </c>
      <c r="AM75" s="110">
        <v>5611.2</v>
      </c>
      <c r="AN75" s="110">
        <v>16</v>
      </c>
      <c r="AO75" s="110">
        <v>6412.8</v>
      </c>
      <c r="AP75" s="110">
        <v>13</v>
      </c>
      <c r="AQ75" s="110">
        <v>5210.4000000000005</v>
      </c>
      <c r="AR75" s="110">
        <v>3</v>
      </c>
      <c r="AS75" s="110">
        <v>1202.4000000000001</v>
      </c>
      <c r="AT75" s="110">
        <v>4.3263622123167913</v>
      </c>
      <c r="AU75" s="110">
        <v>1734.0059746965701</v>
      </c>
      <c r="AV75" s="110">
        <v>4.4185098971463663</v>
      </c>
      <c r="AW75" s="110">
        <v>1770.9387667762637</v>
      </c>
      <c r="AX75" s="110">
        <v>3.3034882771766241</v>
      </c>
      <c r="AY75" s="110">
        <v>1324.038101492391</v>
      </c>
      <c r="AZ75" s="110">
        <v>7</v>
      </c>
      <c r="BA75" s="110">
        <v>2805.6</v>
      </c>
      <c r="BB75" s="110">
        <v>4.272503168626173</v>
      </c>
      <c r="BC75" s="110">
        <v>1712.4192699853702</v>
      </c>
      <c r="BD75" s="110">
        <v>5</v>
      </c>
      <c r="BE75" s="110">
        <v>2004</v>
      </c>
      <c r="BF75" s="110">
        <v>4.4221824232719662</v>
      </c>
      <c r="BG75" s="110">
        <v>1772.4107152474041</v>
      </c>
      <c r="BH75" s="110">
        <v>3.2202658751305182</v>
      </c>
      <c r="BI75" s="110">
        <v>1290.6825627523117</v>
      </c>
      <c r="BJ75" s="110">
        <v>0.86022378032590396</v>
      </c>
      <c r="BK75" s="110">
        <v>344.77769115462235</v>
      </c>
      <c r="BL75" s="110">
        <v>2.3748759723985366</v>
      </c>
      <c r="BM75" s="110">
        <v>951.85028973733347</v>
      </c>
      <c r="BN75" s="110">
        <v>1.6068913457284326</v>
      </c>
      <c r="BO75" s="110">
        <v>644.04205136795576</v>
      </c>
      <c r="BP75" s="110">
        <v>4.1268201440516847</v>
      </c>
      <c r="BQ75" s="110">
        <v>1654.0295137359153</v>
      </c>
      <c r="BR75" s="110">
        <v>7.1889979740065542</v>
      </c>
      <c r="BS75" s="110">
        <v>2881.3503879818268</v>
      </c>
      <c r="BT75" s="110">
        <v>10</v>
      </c>
      <c r="BU75" s="110">
        <v>4008</v>
      </c>
      <c r="BV75" s="110">
        <v>6.4386074390136319</v>
      </c>
      <c r="BW75" s="110">
        <v>2580.5938615566638</v>
      </c>
      <c r="BX75" s="110">
        <v>7.838034952041105</v>
      </c>
      <c r="BY75" s="110">
        <v>3141.4844087780748</v>
      </c>
      <c r="BZ75" s="110">
        <v>5</v>
      </c>
      <c r="CA75" s="110">
        <v>2004</v>
      </c>
      <c r="CB75" s="110">
        <v>6</v>
      </c>
      <c r="CC75" s="110">
        <v>2404.8000000000002</v>
      </c>
      <c r="CD75" s="110">
        <v>6.4435527757983557</v>
      </c>
      <c r="CE75" s="110">
        <v>2582.5759525399812</v>
      </c>
      <c r="CF75" s="110">
        <v>8</v>
      </c>
      <c r="CG75" s="110">
        <v>3206.4</v>
      </c>
      <c r="CH75" s="110">
        <v>12.145126170990499</v>
      </c>
      <c r="CI75" s="110">
        <v>4867.7665693329927</v>
      </c>
      <c r="CJ75" s="110">
        <v>11</v>
      </c>
      <c r="CK75" s="110">
        <v>4408.8</v>
      </c>
      <c r="CL75" s="110">
        <v>8</v>
      </c>
      <c r="CM75" s="110">
        <v>3206.4</v>
      </c>
      <c r="CN75" s="110">
        <v>4</v>
      </c>
      <c r="CO75" s="110">
        <v>1603.2</v>
      </c>
      <c r="CP75" s="110">
        <v>4.1367956770762726</v>
      </c>
      <c r="CQ75" s="110">
        <v>1658.0277073721702</v>
      </c>
      <c r="CR75" s="110">
        <v>4</v>
      </c>
      <c r="CS75" s="110">
        <v>1603.2</v>
      </c>
      <c r="CT75" s="110">
        <v>8.4814806371678326</v>
      </c>
      <c r="CU75" s="110">
        <v>3399.3774393768672</v>
      </c>
    </row>
    <row r="76" spans="2:99" x14ac:dyDescent="0.2">
      <c r="C76" s="109" t="s">
        <v>244</v>
      </c>
      <c r="D76" s="110">
        <v>0</v>
      </c>
      <c r="E76" s="110">
        <v>0</v>
      </c>
      <c r="F76" s="110">
        <v>0.32789052828607124</v>
      </c>
      <c r="G76" s="110">
        <v>227.42487041921902</v>
      </c>
      <c r="H76" s="110">
        <v>0.69526107207109689</v>
      </c>
      <c r="I76" s="110">
        <v>482.23307958851279</v>
      </c>
      <c r="J76" s="110">
        <v>0.57637782879794663</v>
      </c>
      <c r="K76" s="110">
        <v>399.7756620542558</v>
      </c>
      <c r="L76" s="110">
        <v>2.0596353901917359</v>
      </c>
      <c r="M76" s="110">
        <v>1428.5631066369881</v>
      </c>
      <c r="N76" s="110">
        <v>0.95312122934222532</v>
      </c>
      <c r="O76" s="110">
        <v>661.08488467176755</v>
      </c>
      <c r="P76" s="110">
        <v>0.85976490906684844</v>
      </c>
      <c r="Q76" s="110">
        <v>596.33294092876611</v>
      </c>
      <c r="R76" s="110">
        <v>1.3939364660385019</v>
      </c>
      <c r="S76" s="110">
        <v>966.83433284430487</v>
      </c>
      <c r="T76" s="110">
        <v>1.0860116510101667</v>
      </c>
      <c r="U76" s="110">
        <v>753.2576811406517</v>
      </c>
      <c r="V76" s="110">
        <v>0</v>
      </c>
      <c r="W76" s="110">
        <v>0</v>
      </c>
      <c r="X76" s="110">
        <v>0</v>
      </c>
      <c r="Y76" s="110">
        <v>0</v>
      </c>
      <c r="Z76" s="110">
        <v>0</v>
      </c>
      <c r="AA76" s="110">
        <v>0</v>
      </c>
      <c r="AB76" s="110">
        <v>0</v>
      </c>
      <c r="AC76" s="110">
        <v>0</v>
      </c>
      <c r="AD76" s="110">
        <v>1.9763405811982988</v>
      </c>
      <c r="AE76" s="110">
        <v>1370.78982711914</v>
      </c>
      <c r="AF76" s="110">
        <v>2</v>
      </c>
      <c r="AG76" s="110">
        <v>1387.2</v>
      </c>
      <c r="AH76" s="110">
        <v>2.5108241956247905</v>
      </c>
      <c r="AI76" s="110">
        <v>1741.5076620853547</v>
      </c>
      <c r="AJ76" s="110">
        <v>5.728790503420675</v>
      </c>
      <c r="AK76" s="110">
        <v>3973.4890931725804</v>
      </c>
      <c r="AL76" s="110">
        <v>12</v>
      </c>
      <c r="AM76" s="110">
        <v>8323.2000000000007</v>
      </c>
      <c r="AN76" s="110">
        <v>18</v>
      </c>
      <c r="AO76" s="110">
        <v>12484.800000000001</v>
      </c>
      <c r="AP76" s="110">
        <v>11</v>
      </c>
      <c r="AQ76" s="110">
        <v>7629.6</v>
      </c>
      <c r="AR76" s="110">
        <v>3</v>
      </c>
      <c r="AS76" s="110">
        <v>2080.8000000000002</v>
      </c>
      <c r="AT76" s="110">
        <v>4.3263622123167913</v>
      </c>
      <c r="AU76" s="110">
        <v>3000.7648304629265</v>
      </c>
      <c r="AV76" s="110">
        <v>4.3766589074317306</v>
      </c>
      <c r="AW76" s="110">
        <v>3035.6506181946484</v>
      </c>
      <c r="AX76" s="110">
        <v>3.2731394494589616</v>
      </c>
      <c r="AY76" s="110">
        <v>2270.2495221447357</v>
      </c>
      <c r="AZ76" s="110">
        <v>6</v>
      </c>
      <c r="BA76" s="110">
        <v>4161.6000000000004</v>
      </c>
      <c r="BB76" s="110">
        <v>4.272503168626173</v>
      </c>
      <c r="BC76" s="110">
        <v>2963.4081977591136</v>
      </c>
      <c r="BD76" s="110">
        <v>5</v>
      </c>
      <c r="BE76" s="110">
        <v>3468</v>
      </c>
      <c r="BF76" s="110">
        <v>4.3920265358953978</v>
      </c>
      <c r="BG76" s="110">
        <v>3046.3096052970482</v>
      </c>
      <c r="BH76" s="110">
        <v>3.2531211073054132</v>
      </c>
      <c r="BI76" s="110">
        <v>2256.3648000270346</v>
      </c>
      <c r="BJ76" s="110">
        <v>0.86022378032590396</v>
      </c>
      <c r="BK76" s="110">
        <v>596.65121403404703</v>
      </c>
      <c r="BL76" s="110">
        <v>1.6017667695155231</v>
      </c>
      <c r="BM76" s="110">
        <v>1110.985431335967</v>
      </c>
      <c r="BN76" s="110">
        <v>1.6068913457284326</v>
      </c>
      <c r="BO76" s="110">
        <v>1114.5398373972409</v>
      </c>
      <c r="BP76" s="110">
        <v>4.1268201440516847</v>
      </c>
      <c r="BQ76" s="110">
        <v>2862.3624519142486</v>
      </c>
      <c r="BR76" s="110">
        <v>7.1889979740065542</v>
      </c>
      <c r="BS76" s="110">
        <v>4986.2889947709464</v>
      </c>
      <c r="BT76" s="110">
        <v>9</v>
      </c>
      <c r="BU76" s="110">
        <v>6242.4000000000005</v>
      </c>
      <c r="BV76" s="110">
        <v>5</v>
      </c>
      <c r="BW76" s="110">
        <v>3468</v>
      </c>
      <c r="BX76" s="110">
        <v>7.8845924493767221</v>
      </c>
      <c r="BY76" s="110">
        <v>5468.7533228876946</v>
      </c>
      <c r="BZ76" s="110">
        <v>5</v>
      </c>
      <c r="CA76" s="110">
        <v>3468</v>
      </c>
      <c r="CB76" s="110">
        <v>6</v>
      </c>
      <c r="CC76" s="110">
        <v>4161.6000000000004</v>
      </c>
      <c r="CD76" s="110">
        <v>6.4224312150460534</v>
      </c>
      <c r="CE76" s="110">
        <v>4454.5982907559428</v>
      </c>
      <c r="CF76" s="110">
        <v>8</v>
      </c>
      <c r="CG76" s="110">
        <v>5548.8</v>
      </c>
      <c r="CH76" s="110">
        <v>12.158319459262364</v>
      </c>
      <c r="CI76" s="110">
        <v>8433.0103769443758</v>
      </c>
      <c r="CJ76" s="110">
        <v>11</v>
      </c>
      <c r="CK76" s="110">
        <v>7629.6</v>
      </c>
      <c r="CL76" s="110">
        <v>8</v>
      </c>
      <c r="CM76" s="110">
        <v>5548.8</v>
      </c>
      <c r="CN76" s="110">
        <v>5</v>
      </c>
      <c r="CO76" s="110">
        <v>3468</v>
      </c>
      <c r="CP76" s="110">
        <v>5.1367956770762726</v>
      </c>
      <c r="CQ76" s="110">
        <v>3562.8814816201029</v>
      </c>
      <c r="CR76" s="110">
        <v>4</v>
      </c>
      <c r="CS76" s="110">
        <v>2774.4</v>
      </c>
      <c r="CT76" s="110">
        <v>8.5135793463123548</v>
      </c>
      <c r="CU76" s="110">
        <v>5905.0186346022492</v>
      </c>
    </row>
    <row r="77" spans="2:99" x14ac:dyDescent="0.2">
      <c r="C77" s="109" t="s">
        <v>245</v>
      </c>
      <c r="D77" s="110">
        <v>0</v>
      </c>
      <c r="E77" s="110">
        <v>0</v>
      </c>
      <c r="F77" s="110">
        <v>0.2922797787991907</v>
      </c>
      <c r="G77" s="110">
        <v>280.93932338178206</v>
      </c>
      <c r="H77" s="110">
        <v>0.69526107207109689</v>
      </c>
      <c r="I77" s="110">
        <v>668.28494247473827</v>
      </c>
      <c r="J77" s="110">
        <v>0.57637782879794663</v>
      </c>
      <c r="K77" s="110">
        <v>554.0143690405863</v>
      </c>
      <c r="L77" s="110">
        <v>2.0596353901917359</v>
      </c>
      <c r="M77" s="110">
        <v>1979.7215370522965</v>
      </c>
      <c r="N77" s="110">
        <v>0.95312122934222532</v>
      </c>
      <c r="O77" s="110">
        <v>916.14012564374696</v>
      </c>
      <c r="P77" s="110">
        <v>0.85976490906684844</v>
      </c>
      <c r="Q77" s="110">
        <v>826.40603059505463</v>
      </c>
      <c r="R77" s="110">
        <v>1.3902802760862489</v>
      </c>
      <c r="S77" s="110">
        <v>1336.3374013741025</v>
      </c>
      <c r="T77" s="110">
        <v>1.0719117277594907</v>
      </c>
      <c r="U77" s="110">
        <v>1030.3215527224224</v>
      </c>
      <c r="V77" s="110">
        <v>0</v>
      </c>
      <c r="W77" s="110">
        <v>0</v>
      </c>
      <c r="X77" s="110">
        <v>0</v>
      </c>
      <c r="Y77" s="110">
        <v>0</v>
      </c>
      <c r="Z77" s="110">
        <v>0</v>
      </c>
      <c r="AA77" s="110">
        <v>0</v>
      </c>
      <c r="AB77" s="110">
        <v>0</v>
      </c>
      <c r="AC77" s="110">
        <v>0</v>
      </c>
      <c r="AD77" s="110">
        <v>1.9763405811982988</v>
      </c>
      <c r="AE77" s="110">
        <v>1899.6585666478047</v>
      </c>
      <c r="AF77" s="110">
        <v>2</v>
      </c>
      <c r="AG77" s="110">
        <v>1922.3999999999999</v>
      </c>
      <c r="AH77" s="110">
        <v>2.5108241956247905</v>
      </c>
      <c r="AI77" s="110">
        <v>2413.4042168345486</v>
      </c>
      <c r="AJ77" s="110">
        <v>5.0548151500770659</v>
      </c>
      <c r="AK77" s="110">
        <v>4858.6883222540755</v>
      </c>
      <c r="AL77" s="110">
        <v>13</v>
      </c>
      <c r="AM77" s="110">
        <v>12495.599999999999</v>
      </c>
      <c r="AN77" s="110">
        <v>17</v>
      </c>
      <c r="AO77" s="110">
        <v>16340.4</v>
      </c>
      <c r="AP77" s="110">
        <v>12</v>
      </c>
      <c r="AQ77" s="110">
        <v>11534.4</v>
      </c>
      <c r="AR77" s="110">
        <v>2</v>
      </c>
      <c r="AS77" s="110">
        <v>1922.3999999999999</v>
      </c>
      <c r="AT77" s="110">
        <v>4.3263622123167913</v>
      </c>
      <c r="AU77" s="110">
        <v>4158.4993584788999</v>
      </c>
      <c r="AV77" s="110">
        <v>4.3766589074317306</v>
      </c>
      <c r="AW77" s="110">
        <v>4206.8445418233796</v>
      </c>
      <c r="AX77" s="110">
        <v>4.2427906217412996</v>
      </c>
      <c r="AY77" s="110">
        <v>4078.170345617737</v>
      </c>
      <c r="AZ77" s="110">
        <v>7</v>
      </c>
      <c r="BA77" s="110">
        <v>6728.4</v>
      </c>
      <c r="BB77" s="110">
        <v>4.2997534854887904</v>
      </c>
      <c r="BC77" s="110">
        <v>4132.9230502518249</v>
      </c>
      <c r="BD77" s="110">
        <v>5</v>
      </c>
      <c r="BE77" s="110">
        <v>4806</v>
      </c>
      <c r="BF77" s="110">
        <v>5.3920265358953978</v>
      </c>
      <c r="BG77" s="110">
        <v>5182.815906302656</v>
      </c>
      <c r="BH77" s="110">
        <v>3.2202658751305182</v>
      </c>
      <c r="BI77" s="110">
        <v>3095.3195591754538</v>
      </c>
      <c r="BJ77" s="110">
        <v>1.290335670488856</v>
      </c>
      <c r="BK77" s="110">
        <v>1240.2706464738883</v>
      </c>
      <c r="BL77" s="110">
        <v>2.3748759723985366</v>
      </c>
      <c r="BM77" s="110">
        <v>2282.7307846694735</v>
      </c>
      <c r="BN77" s="110">
        <v>1.0712608971522883</v>
      </c>
      <c r="BO77" s="110">
        <v>1029.6959743427794</v>
      </c>
      <c r="BP77" s="110">
        <v>4.1268201440516847</v>
      </c>
      <c r="BQ77" s="110">
        <v>3966.6995224624793</v>
      </c>
      <c r="BR77" s="110">
        <v>7.1889979740065542</v>
      </c>
      <c r="BS77" s="110">
        <v>6910.064852615099</v>
      </c>
      <c r="BT77" s="110">
        <v>8</v>
      </c>
      <c r="BU77" s="110">
        <v>7689.5999999999995</v>
      </c>
      <c r="BV77" s="110">
        <v>5</v>
      </c>
      <c r="BW77" s="110">
        <v>4806</v>
      </c>
      <c r="BX77" s="110">
        <v>7.8845924493767221</v>
      </c>
      <c r="BY77" s="110">
        <v>7578.6702623409046</v>
      </c>
      <c r="BZ77" s="110">
        <v>5</v>
      </c>
      <c r="CA77" s="110">
        <v>4806</v>
      </c>
      <c r="CB77" s="110">
        <v>6</v>
      </c>
      <c r="CC77" s="110">
        <v>5767.2</v>
      </c>
      <c r="CD77" s="110">
        <v>6.3590665327891456</v>
      </c>
      <c r="CE77" s="110">
        <v>6112.3347513169265</v>
      </c>
      <c r="CF77" s="110">
        <v>8</v>
      </c>
      <c r="CG77" s="110">
        <v>7689.5999999999995</v>
      </c>
      <c r="CH77" s="110">
        <v>11.145126170990499</v>
      </c>
      <c r="CI77" s="110">
        <v>10712.695275556067</v>
      </c>
      <c r="CJ77" s="110">
        <v>10</v>
      </c>
      <c r="CK77" s="110">
        <v>9612</v>
      </c>
      <c r="CL77" s="110">
        <v>7</v>
      </c>
      <c r="CM77" s="110">
        <v>6728.4</v>
      </c>
      <c r="CN77" s="110">
        <v>5</v>
      </c>
      <c r="CO77" s="110">
        <v>4806</v>
      </c>
      <c r="CP77" s="110">
        <v>4.1459153888813569</v>
      </c>
      <c r="CQ77" s="110">
        <v>3985.0538717927598</v>
      </c>
      <c r="CR77" s="110">
        <v>4</v>
      </c>
      <c r="CS77" s="110">
        <v>3844.7999999999997</v>
      </c>
      <c r="CT77" s="110">
        <v>7</v>
      </c>
      <c r="CU77" s="110">
        <v>6728.4</v>
      </c>
    </row>
    <row r="78" spans="2:99" x14ac:dyDescent="0.2">
      <c r="C78" s="109" t="s">
        <v>246</v>
      </c>
      <c r="D78" s="110">
        <v>0</v>
      </c>
      <c r="E78" s="110">
        <v>0</v>
      </c>
      <c r="F78" s="110">
        <v>0.32789052828607124</v>
      </c>
      <c r="G78" s="110">
        <v>142.82911412141263</v>
      </c>
      <c r="H78" s="110">
        <v>0.6320555200646335</v>
      </c>
      <c r="I78" s="110">
        <v>275.32338454015434</v>
      </c>
      <c r="J78" s="110">
        <v>0.57637782879794663</v>
      </c>
      <c r="K78" s="110">
        <v>251.07018222438555</v>
      </c>
      <c r="L78" s="110">
        <v>2.0596353901917359</v>
      </c>
      <c r="M78" s="110">
        <v>897.17717596752004</v>
      </c>
      <c r="N78" s="110">
        <v>1.1879235775241617</v>
      </c>
      <c r="O78" s="110">
        <v>517.45951036952476</v>
      </c>
      <c r="P78" s="110">
        <v>0.85976490906684844</v>
      </c>
      <c r="Q78" s="110">
        <v>374.51359438951914</v>
      </c>
      <c r="R78" s="110">
        <v>1.664680141351246</v>
      </c>
      <c r="S78" s="110">
        <v>725.13466957260266</v>
      </c>
      <c r="T78" s="110">
        <v>1.0860116510101667</v>
      </c>
      <c r="U78" s="110">
        <v>473.0666751800286</v>
      </c>
      <c r="V78" s="110">
        <v>0</v>
      </c>
      <c r="W78" s="110">
        <v>0</v>
      </c>
      <c r="X78" s="110">
        <v>0</v>
      </c>
      <c r="Y78" s="110">
        <v>0</v>
      </c>
      <c r="Z78" s="110">
        <v>0</v>
      </c>
      <c r="AA78" s="110">
        <v>0</v>
      </c>
      <c r="AB78" s="110">
        <v>0</v>
      </c>
      <c r="AC78" s="110">
        <v>0</v>
      </c>
      <c r="AD78" s="110">
        <v>1.9763405811982988</v>
      </c>
      <c r="AE78" s="110">
        <v>860.89395716997888</v>
      </c>
      <c r="AF78" s="110">
        <v>2</v>
      </c>
      <c r="AG78" s="110">
        <v>871.19999999999993</v>
      </c>
      <c r="AH78" s="110">
        <v>2.5108241956247905</v>
      </c>
      <c r="AI78" s="110">
        <v>1093.7150196141586</v>
      </c>
      <c r="AJ78" s="110">
        <v>5.728790503420675</v>
      </c>
      <c r="AK78" s="110">
        <v>2495.461143290046</v>
      </c>
      <c r="AL78" s="110">
        <v>12</v>
      </c>
      <c r="AM78" s="110">
        <v>5227.2</v>
      </c>
      <c r="AN78" s="110">
        <v>17</v>
      </c>
      <c r="AO78" s="110">
        <v>7405.2</v>
      </c>
      <c r="AP78" s="110">
        <v>11</v>
      </c>
      <c r="AQ78" s="110">
        <v>4791.5999999999995</v>
      </c>
      <c r="AR78" s="110">
        <v>2</v>
      </c>
      <c r="AS78" s="110">
        <v>871.19999999999993</v>
      </c>
      <c r="AT78" s="110">
        <v>4.2797390391286783</v>
      </c>
      <c r="AU78" s="110">
        <v>1864.2543254444522</v>
      </c>
      <c r="AV78" s="110">
        <v>4.3766589074317306</v>
      </c>
      <c r="AW78" s="110">
        <v>1906.4726200772616</v>
      </c>
      <c r="AX78" s="110">
        <v>4.3034882771766245</v>
      </c>
      <c r="AY78" s="110">
        <v>1874.5994935381375</v>
      </c>
      <c r="AZ78" s="110">
        <v>7</v>
      </c>
      <c r="BA78" s="110">
        <v>3049.2</v>
      </c>
      <c r="BB78" s="110">
        <v>4.3270038023514079</v>
      </c>
      <c r="BC78" s="110">
        <v>1884.842856304273</v>
      </c>
      <c r="BD78" s="110">
        <v>4</v>
      </c>
      <c r="BE78" s="110">
        <v>1742.3999999999999</v>
      </c>
      <c r="BF78" s="110">
        <v>4.3920265358953978</v>
      </c>
      <c r="BG78" s="110">
        <v>1913.166759036035</v>
      </c>
      <c r="BH78" s="110">
        <v>3.2531211073054132</v>
      </c>
      <c r="BI78" s="110">
        <v>1417.0595543422378</v>
      </c>
      <c r="BJ78" s="110">
        <v>0.86022378032590396</v>
      </c>
      <c r="BK78" s="110">
        <v>374.71347870996374</v>
      </c>
      <c r="BL78" s="110">
        <v>2.3748759723985366</v>
      </c>
      <c r="BM78" s="110">
        <v>1034.4959735768025</v>
      </c>
      <c r="BN78" s="110">
        <v>1.6068913457284326</v>
      </c>
      <c r="BO78" s="110">
        <v>699.96187019930517</v>
      </c>
      <c r="BP78" s="110">
        <v>4.7163658789162106</v>
      </c>
      <c r="BQ78" s="110">
        <v>2054.448976855901</v>
      </c>
      <c r="BR78" s="110">
        <v>7.1889979740065542</v>
      </c>
      <c r="BS78" s="110">
        <v>3131.5275174772546</v>
      </c>
      <c r="BT78" s="110">
        <v>10</v>
      </c>
      <c r="BU78" s="110">
        <v>4356</v>
      </c>
      <c r="BV78" s="110">
        <v>6.3898732791232282</v>
      </c>
      <c r="BW78" s="110">
        <v>2783.4288003860779</v>
      </c>
      <c r="BX78" s="110">
        <v>7.7914774547054879</v>
      </c>
      <c r="BY78" s="110">
        <v>3393.9675792697103</v>
      </c>
      <c r="BZ78" s="110">
        <v>5</v>
      </c>
      <c r="CA78" s="110">
        <v>2178</v>
      </c>
      <c r="CB78" s="110">
        <v>7</v>
      </c>
      <c r="CC78" s="110">
        <v>3049.2</v>
      </c>
      <c r="CD78" s="110">
        <v>7.4013096542937502</v>
      </c>
      <c r="CE78" s="110">
        <v>3224.0104854103574</v>
      </c>
      <c r="CF78" s="110">
        <v>9</v>
      </c>
      <c r="CG78" s="110">
        <v>3920.3999999999996</v>
      </c>
      <c r="CH78" s="110">
        <v>12.158319459262364</v>
      </c>
      <c r="CI78" s="110">
        <v>5296.1639564546849</v>
      </c>
      <c r="CJ78" s="110">
        <v>11</v>
      </c>
      <c r="CK78" s="110">
        <v>4791.5999999999995</v>
      </c>
      <c r="CL78" s="110">
        <v>8</v>
      </c>
      <c r="CM78" s="110">
        <v>3484.7999999999997</v>
      </c>
      <c r="CN78" s="110">
        <v>4</v>
      </c>
      <c r="CO78" s="110">
        <v>1742.3999999999999</v>
      </c>
      <c r="CP78" s="110">
        <v>5.1459153888813569</v>
      </c>
      <c r="CQ78" s="110">
        <v>2241.5607433967189</v>
      </c>
      <c r="CR78" s="110">
        <v>4</v>
      </c>
      <c r="CS78" s="110">
        <v>1742.3999999999999</v>
      </c>
      <c r="CT78" s="110">
        <v>8</v>
      </c>
      <c r="CU78" s="110">
        <v>3484.7999999999997</v>
      </c>
    </row>
    <row r="79" spans="2:99" x14ac:dyDescent="0.2">
      <c r="C79" s="109" t="s">
        <v>247</v>
      </c>
      <c r="D79" s="110">
        <v>0</v>
      </c>
      <c r="E79" s="110">
        <v>0</v>
      </c>
      <c r="F79" s="110">
        <v>0.36202252119212242</v>
      </c>
      <c r="G79" s="110">
        <v>11.729529686624765</v>
      </c>
      <c r="H79" s="110">
        <v>0.69526107207109689</v>
      </c>
      <c r="I79" s="110">
        <v>22.526458735103539</v>
      </c>
      <c r="J79" s="110">
        <v>0.64842505739768996</v>
      </c>
      <c r="K79" s="110">
        <v>21.008971859685154</v>
      </c>
      <c r="L79" s="110">
        <v>2.0596353901917359</v>
      </c>
      <c r="M79" s="110">
        <v>66.732186642212241</v>
      </c>
      <c r="N79" s="110">
        <v>1.1851412102012657</v>
      </c>
      <c r="O79" s="110">
        <v>38.39857521052101</v>
      </c>
      <c r="P79" s="110">
        <v>0.85976490906684844</v>
      </c>
      <c r="Q79" s="110">
        <v>27.856383053765889</v>
      </c>
      <c r="R79" s="110">
        <v>1.3939364660385019</v>
      </c>
      <c r="S79" s="110">
        <v>45.163541499647458</v>
      </c>
      <c r="T79" s="110">
        <v>1.1142114975115192</v>
      </c>
      <c r="U79" s="110">
        <v>36.100452519373221</v>
      </c>
      <c r="V79" s="110">
        <v>0</v>
      </c>
      <c r="W79" s="110">
        <v>0</v>
      </c>
      <c r="X79" s="110">
        <v>0</v>
      </c>
      <c r="Y79" s="110">
        <v>0</v>
      </c>
      <c r="Z79" s="110">
        <v>0</v>
      </c>
      <c r="AA79" s="110">
        <v>0</v>
      </c>
      <c r="AB79" s="110">
        <v>0</v>
      </c>
      <c r="AC79" s="110">
        <v>0</v>
      </c>
      <c r="AD79" s="110">
        <v>1.9763405811982988</v>
      </c>
      <c r="AE79" s="110">
        <v>64.033434830824874</v>
      </c>
      <c r="AF79" s="110">
        <v>2</v>
      </c>
      <c r="AG79" s="110">
        <v>64.8</v>
      </c>
      <c r="AH79" s="110">
        <v>2.5108241956247905</v>
      </c>
      <c r="AI79" s="110">
        <v>81.350703938243214</v>
      </c>
      <c r="AJ79" s="110">
        <v>5.3918028267488705</v>
      </c>
      <c r="AK79" s="110">
        <v>174.69441158666339</v>
      </c>
      <c r="AL79" s="110">
        <v>15</v>
      </c>
      <c r="AM79" s="110">
        <v>486</v>
      </c>
      <c r="AN79" s="110">
        <v>17</v>
      </c>
      <c r="AO79" s="110">
        <v>550.79999999999995</v>
      </c>
      <c r="AP79" s="110">
        <v>13</v>
      </c>
      <c r="AQ79" s="110">
        <v>421.2</v>
      </c>
      <c r="AR79" s="110">
        <v>3</v>
      </c>
      <c r="AS79" s="110">
        <v>97.199999999999989</v>
      </c>
      <c r="AT79" s="110">
        <v>4.3729853855049043</v>
      </c>
      <c r="AU79" s="110">
        <v>141.68472649035888</v>
      </c>
      <c r="AV79" s="110">
        <v>4.4603608868610038</v>
      </c>
      <c r="AW79" s="110">
        <v>144.51569273429652</v>
      </c>
      <c r="AX79" s="110">
        <v>4.3034882771766245</v>
      </c>
      <c r="AY79" s="110">
        <v>139.43302018052262</v>
      </c>
      <c r="AZ79" s="110">
        <v>7</v>
      </c>
      <c r="BA79" s="110">
        <v>226.79999999999998</v>
      </c>
      <c r="BB79" s="110">
        <v>4.2997534854887904</v>
      </c>
      <c r="BC79" s="110">
        <v>139.31201292983681</v>
      </c>
      <c r="BD79" s="110">
        <v>4</v>
      </c>
      <c r="BE79" s="110">
        <v>129.6</v>
      </c>
      <c r="BF79" s="110">
        <v>4.3920265358953978</v>
      </c>
      <c r="BG79" s="110">
        <v>142.30165976301089</v>
      </c>
      <c r="BH79" s="110">
        <v>3.2531211073054132</v>
      </c>
      <c r="BI79" s="110">
        <v>105.40112387669538</v>
      </c>
      <c r="BJ79" s="110">
        <v>1.290335670488856</v>
      </c>
      <c r="BK79" s="110">
        <v>41.806875723838935</v>
      </c>
      <c r="BL79" s="110">
        <v>2.393392093648369</v>
      </c>
      <c r="BM79" s="110">
        <v>77.545903834207152</v>
      </c>
      <c r="BN79" s="110">
        <v>1.6068913457284326</v>
      </c>
      <c r="BO79" s="110">
        <v>52.063279601601216</v>
      </c>
      <c r="BP79" s="110">
        <v>4.1268201440516847</v>
      </c>
      <c r="BQ79" s="110">
        <v>133.70897266727457</v>
      </c>
      <c r="BR79" s="110">
        <v>8.2126227207573734</v>
      </c>
      <c r="BS79" s="110">
        <v>266.08897615253886</v>
      </c>
      <c r="BT79" s="110">
        <v>9</v>
      </c>
      <c r="BU79" s="110">
        <v>291.59999999999997</v>
      </c>
      <c r="BV79" s="110">
        <v>6.3898732791232282</v>
      </c>
      <c r="BW79" s="110">
        <v>207.03189424359257</v>
      </c>
      <c r="BX79" s="110">
        <v>7.9311499467123392</v>
      </c>
      <c r="BY79" s="110">
        <v>256.9692582734798</v>
      </c>
      <c r="BZ79" s="110">
        <v>6</v>
      </c>
      <c r="CA79" s="110">
        <v>194.39999999999998</v>
      </c>
      <c r="CB79" s="110">
        <v>6</v>
      </c>
      <c r="CC79" s="110">
        <v>194.39999999999998</v>
      </c>
      <c r="CD79" s="110">
        <v>7.4435527757983557</v>
      </c>
      <c r="CE79" s="110">
        <v>241.17110993586672</v>
      </c>
      <c r="CF79" s="110">
        <v>9</v>
      </c>
      <c r="CG79" s="110">
        <v>291.59999999999997</v>
      </c>
      <c r="CH79" s="110">
        <v>12.171512747534228</v>
      </c>
      <c r="CI79" s="110">
        <v>394.35701302010898</v>
      </c>
      <c r="CJ79" s="110">
        <v>11</v>
      </c>
      <c r="CK79" s="110">
        <v>356.4</v>
      </c>
      <c r="CL79" s="110">
        <v>8</v>
      </c>
      <c r="CM79" s="110">
        <v>259.2</v>
      </c>
      <c r="CN79" s="110">
        <v>5</v>
      </c>
      <c r="CO79" s="110">
        <v>162</v>
      </c>
      <c r="CP79" s="110">
        <v>5.1641548124915264</v>
      </c>
      <c r="CQ79" s="110">
        <v>167.31861592472544</v>
      </c>
      <c r="CR79" s="110">
        <v>4</v>
      </c>
      <c r="CS79" s="110">
        <v>129.6</v>
      </c>
      <c r="CT79" s="110">
        <v>7</v>
      </c>
      <c r="CU79" s="110">
        <v>226.79999999999998</v>
      </c>
    </row>
    <row r="80" spans="2:99" x14ac:dyDescent="0.2">
      <c r="C80" s="109" t="s">
        <v>248</v>
      </c>
      <c r="D80" s="110">
        <v>0</v>
      </c>
      <c r="E80" s="110">
        <v>0</v>
      </c>
      <c r="F80" s="110">
        <v>0.36202252119212242</v>
      </c>
      <c r="G80" s="110">
        <v>174.63966422307985</v>
      </c>
      <c r="H80" s="110">
        <v>0.6320555200646335</v>
      </c>
      <c r="I80" s="110">
        <v>304.90358287917917</v>
      </c>
      <c r="J80" s="110">
        <v>0.72047228599743318</v>
      </c>
      <c r="K80" s="110">
        <v>347.55583076516177</v>
      </c>
      <c r="L80" s="110">
        <v>2.4715624682300832</v>
      </c>
      <c r="M80" s="110">
        <v>1192.281734674192</v>
      </c>
      <c r="N80" s="110">
        <v>1.1879235775241617</v>
      </c>
      <c r="O80" s="110">
        <v>573.05433379765554</v>
      </c>
      <c r="P80" s="110">
        <v>0.85976490906684844</v>
      </c>
      <c r="Q80" s="110">
        <v>414.75059213384765</v>
      </c>
      <c r="R80" s="110">
        <v>1.3939364660385019</v>
      </c>
      <c r="S80" s="110">
        <v>672.43495121697322</v>
      </c>
      <c r="T80" s="110">
        <v>1.1001115742608429</v>
      </c>
      <c r="U80" s="110">
        <v>530.69382342343056</v>
      </c>
      <c r="V80" s="110">
        <v>0</v>
      </c>
      <c r="W80" s="110">
        <v>0</v>
      </c>
      <c r="X80" s="110">
        <v>0</v>
      </c>
      <c r="Y80" s="110">
        <v>0</v>
      </c>
      <c r="Z80" s="110">
        <v>0</v>
      </c>
      <c r="AA80" s="110">
        <v>0</v>
      </c>
      <c r="AB80" s="110">
        <v>0</v>
      </c>
      <c r="AC80" s="110">
        <v>0</v>
      </c>
      <c r="AD80" s="110">
        <v>1.9763405811982988</v>
      </c>
      <c r="AE80" s="110">
        <v>953.38669637005933</v>
      </c>
      <c r="AF80" s="110">
        <v>3</v>
      </c>
      <c r="AG80" s="110">
        <v>1447.1999999999998</v>
      </c>
      <c r="AH80" s="110">
        <v>2.5108241956247905</v>
      </c>
      <c r="AI80" s="110">
        <v>1211.2215919693988</v>
      </c>
      <c r="AJ80" s="110">
        <v>5.728790503420675</v>
      </c>
      <c r="AK80" s="110">
        <v>2763.5685388501333</v>
      </c>
      <c r="AL80" s="110">
        <v>12</v>
      </c>
      <c r="AM80" s="110">
        <v>5788.7999999999993</v>
      </c>
      <c r="AN80" s="110">
        <v>17</v>
      </c>
      <c r="AO80" s="110">
        <v>8200.7999999999993</v>
      </c>
      <c r="AP80" s="110">
        <v>12</v>
      </c>
      <c r="AQ80" s="110">
        <v>5788.7999999999993</v>
      </c>
      <c r="AR80" s="110">
        <v>3</v>
      </c>
      <c r="AS80" s="110">
        <v>1447.1999999999998</v>
      </c>
      <c r="AT80" s="110">
        <v>4.3263622123167913</v>
      </c>
      <c r="AU80" s="110">
        <v>2087.0371312216198</v>
      </c>
      <c r="AV80" s="110">
        <v>4.4603608868610038</v>
      </c>
      <c r="AW80" s="110">
        <v>2151.6780918217482</v>
      </c>
      <c r="AX80" s="110">
        <v>3.2731394494589616</v>
      </c>
      <c r="AY80" s="110">
        <v>1578.962470419003</v>
      </c>
      <c r="AZ80" s="110">
        <v>6</v>
      </c>
      <c r="BA80" s="110">
        <v>2894.3999999999996</v>
      </c>
      <c r="BB80" s="110">
        <v>4.2997534854887904</v>
      </c>
      <c r="BC80" s="110">
        <v>2074.2010813997922</v>
      </c>
      <c r="BD80" s="110">
        <v>5</v>
      </c>
      <c r="BE80" s="110">
        <v>2412</v>
      </c>
      <c r="BF80" s="110">
        <v>5.3618706485188286</v>
      </c>
      <c r="BG80" s="110">
        <v>2586.5664008454828</v>
      </c>
      <c r="BH80" s="110">
        <v>3.2531211073054132</v>
      </c>
      <c r="BI80" s="110">
        <v>1569.3056221641311</v>
      </c>
      <c r="BJ80" s="110">
        <v>1.290335670488856</v>
      </c>
      <c r="BK80" s="110">
        <v>622.45792744382413</v>
      </c>
      <c r="BL80" s="110">
        <v>1.6202828907653555</v>
      </c>
      <c r="BM80" s="110">
        <v>781.62446650520747</v>
      </c>
      <c r="BN80" s="110">
        <v>1.6068913457284326</v>
      </c>
      <c r="BO80" s="110">
        <v>775.16438517939582</v>
      </c>
      <c r="BP80" s="110">
        <v>4.1268201440516847</v>
      </c>
      <c r="BQ80" s="110">
        <v>1990.7780374905326</v>
      </c>
      <c r="BR80" s="110">
        <v>7.2126227207573734</v>
      </c>
      <c r="BS80" s="110">
        <v>3479.3692004933569</v>
      </c>
      <c r="BT80" s="110">
        <v>9</v>
      </c>
      <c r="BU80" s="110">
        <v>4341.5999999999995</v>
      </c>
      <c r="BV80" s="110">
        <v>6.3898732791232282</v>
      </c>
      <c r="BW80" s="110">
        <v>3082.4748698490453</v>
      </c>
      <c r="BX80" s="110">
        <v>7.838034952041105</v>
      </c>
      <c r="BY80" s="110">
        <v>3781.0680608646289</v>
      </c>
      <c r="BZ80" s="110">
        <v>6</v>
      </c>
      <c r="CA80" s="110">
        <v>2894.3999999999996</v>
      </c>
      <c r="CB80" s="110">
        <v>6</v>
      </c>
      <c r="CC80" s="110">
        <v>2894.3999999999996</v>
      </c>
      <c r="CD80" s="110">
        <v>7.4013096542937502</v>
      </c>
      <c r="CE80" s="110">
        <v>3570.3917772313048</v>
      </c>
      <c r="CF80" s="110">
        <v>8</v>
      </c>
      <c r="CG80" s="110">
        <v>3859.2</v>
      </c>
      <c r="CH80" s="110">
        <v>13.158319459262364</v>
      </c>
      <c r="CI80" s="110">
        <v>6347.5733071481636</v>
      </c>
      <c r="CJ80" s="110">
        <v>11</v>
      </c>
      <c r="CK80" s="110">
        <v>5306.4</v>
      </c>
      <c r="CL80" s="110">
        <v>7</v>
      </c>
      <c r="CM80" s="110">
        <v>3376.7999999999997</v>
      </c>
      <c r="CN80" s="110">
        <v>4</v>
      </c>
      <c r="CO80" s="110">
        <v>1929.6</v>
      </c>
      <c r="CP80" s="110">
        <v>4.1367956770762726</v>
      </c>
      <c r="CQ80" s="110">
        <v>1995.5902346215937</v>
      </c>
      <c r="CR80" s="110">
        <v>4</v>
      </c>
      <c r="CS80" s="110">
        <v>1929.6</v>
      </c>
      <c r="CT80" s="110">
        <v>7.5135793463123548</v>
      </c>
      <c r="CU80" s="110">
        <v>3624.5506766610797</v>
      </c>
    </row>
    <row r="81" spans="2:99" x14ac:dyDescent="0.2">
      <c r="C81" s="109" t="s">
        <v>249</v>
      </c>
      <c r="D81" s="110">
        <v>0</v>
      </c>
      <c r="E81" s="110">
        <v>0</v>
      </c>
      <c r="F81" s="110">
        <v>0.36054376461129306</v>
      </c>
      <c r="G81" s="110">
        <v>108.59578190092147</v>
      </c>
      <c r="H81" s="110">
        <v>0.6320555200646335</v>
      </c>
      <c r="I81" s="110">
        <v>190.37512264346759</v>
      </c>
      <c r="J81" s="110">
        <v>0.57637782879794663</v>
      </c>
      <c r="K81" s="110">
        <v>173.60500203394153</v>
      </c>
      <c r="L81" s="110">
        <v>2.0596353901917359</v>
      </c>
      <c r="M81" s="110">
        <v>620.36217952575089</v>
      </c>
      <c r="N81" s="110">
        <v>1.1851412102012657</v>
      </c>
      <c r="O81" s="110">
        <v>356.96453251262125</v>
      </c>
      <c r="P81" s="110">
        <v>0.85976490906684844</v>
      </c>
      <c r="Q81" s="110">
        <v>258.96119061093475</v>
      </c>
      <c r="R81" s="110">
        <v>1.3939364660385019</v>
      </c>
      <c r="S81" s="110">
        <v>419.85366357079675</v>
      </c>
      <c r="T81" s="110">
        <v>1.1283114207621951</v>
      </c>
      <c r="U81" s="110">
        <v>339.84739993357317</v>
      </c>
      <c r="V81" s="110">
        <v>0</v>
      </c>
      <c r="W81" s="110">
        <v>0</v>
      </c>
      <c r="X81" s="110">
        <v>0</v>
      </c>
      <c r="Y81" s="110">
        <v>0</v>
      </c>
      <c r="Z81" s="110">
        <v>0</v>
      </c>
      <c r="AA81" s="110">
        <v>0</v>
      </c>
      <c r="AB81" s="110">
        <v>0</v>
      </c>
      <c r="AC81" s="110">
        <v>0</v>
      </c>
      <c r="AD81" s="110">
        <v>1.9763405811982988</v>
      </c>
      <c r="AE81" s="110">
        <v>595.27378305692753</v>
      </c>
      <c r="AF81" s="110">
        <v>2</v>
      </c>
      <c r="AG81" s="110">
        <v>602.4</v>
      </c>
      <c r="AH81" s="110">
        <v>2.5108241956247905</v>
      </c>
      <c r="AI81" s="110">
        <v>756.26024772218693</v>
      </c>
      <c r="AJ81" s="110">
        <v>5.728790503420675</v>
      </c>
      <c r="AK81" s="110">
        <v>1725.5116996303072</v>
      </c>
      <c r="AL81" s="110">
        <v>13</v>
      </c>
      <c r="AM81" s="110">
        <v>3915.6</v>
      </c>
      <c r="AN81" s="110">
        <v>19</v>
      </c>
      <c r="AO81" s="110">
        <v>5722.8</v>
      </c>
      <c r="AP81" s="110">
        <v>12</v>
      </c>
      <c r="AQ81" s="110">
        <v>3614.3999999999996</v>
      </c>
      <c r="AR81" s="110">
        <v>2</v>
      </c>
      <c r="AS81" s="110">
        <v>602.4</v>
      </c>
      <c r="AT81" s="110">
        <v>4.3263622123167913</v>
      </c>
      <c r="AU81" s="110">
        <v>1303.1002983498174</v>
      </c>
      <c r="AV81" s="110">
        <v>4.4185098971463663</v>
      </c>
      <c r="AW81" s="110">
        <v>1330.8551810204856</v>
      </c>
      <c r="AX81" s="110">
        <v>4.2731394494589621</v>
      </c>
      <c r="AY81" s="110">
        <v>1287.0696021770393</v>
      </c>
      <c r="AZ81" s="110">
        <v>6</v>
      </c>
      <c r="BA81" s="110">
        <v>1807.1999999999998</v>
      </c>
      <c r="BB81" s="110">
        <v>4.3270038023514079</v>
      </c>
      <c r="BC81" s="110">
        <v>1303.2935452682441</v>
      </c>
      <c r="BD81" s="110">
        <v>5</v>
      </c>
      <c r="BE81" s="110">
        <v>1506</v>
      </c>
      <c r="BF81" s="110">
        <v>4.3920265358953978</v>
      </c>
      <c r="BG81" s="110">
        <v>1322.8783926116937</v>
      </c>
      <c r="BH81" s="110">
        <v>3.2202658751305182</v>
      </c>
      <c r="BI81" s="110">
        <v>969.94408158931208</v>
      </c>
      <c r="BJ81" s="110">
        <v>0.86022378032590396</v>
      </c>
      <c r="BK81" s="110">
        <v>259.09940263416229</v>
      </c>
      <c r="BL81" s="110">
        <v>2.3748759723985366</v>
      </c>
      <c r="BM81" s="110">
        <v>715.31264288643922</v>
      </c>
      <c r="BN81" s="110">
        <v>1.6068913457284326</v>
      </c>
      <c r="BO81" s="110">
        <v>483.99567333340389</v>
      </c>
      <c r="BP81" s="110">
        <v>4.1268201440516847</v>
      </c>
      <c r="BQ81" s="110">
        <v>1242.9982273883675</v>
      </c>
      <c r="BR81" s="110">
        <v>7</v>
      </c>
      <c r="BS81" s="110">
        <v>2108.4</v>
      </c>
      <c r="BT81" s="110">
        <v>9</v>
      </c>
      <c r="BU81" s="110">
        <v>2710.7999999999997</v>
      </c>
      <c r="BV81" s="110">
        <v>5</v>
      </c>
      <c r="BW81" s="110">
        <v>1506</v>
      </c>
      <c r="BX81" s="110">
        <v>7.8845924493767221</v>
      </c>
      <c r="BY81" s="110">
        <v>2374.8392457522687</v>
      </c>
      <c r="BZ81" s="110">
        <v>6</v>
      </c>
      <c r="CA81" s="110">
        <v>1807.1999999999998</v>
      </c>
      <c r="CB81" s="110">
        <v>6</v>
      </c>
      <c r="CC81" s="110">
        <v>1807.1999999999998</v>
      </c>
      <c r="CD81" s="110">
        <v>7.3801880935414479</v>
      </c>
      <c r="CE81" s="110">
        <v>2222.9126537746838</v>
      </c>
      <c r="CF81" s="110">
        <v>9</v>
      </c>
      <c r="CG81" s="110">
        <v>2710.7999999999997</v>
      </c>
      <c r="CH81" s="110">
        <v>13.171512747534228</v>
      </c>
      <c r="CI81" s="110">
        <v>3967.2596395573096</v>
      </c>
      <c r="CJ81" s="110">
        <v>11</v>
      </c>
      <c r="CK81" s="110">
        <v>3313.2</v>
      </c>
      <c r="CL81" s="110">
        <v>7</v>
      </c>
      <c r="CM81" s="110">
        <v>2108.4</v>
      </c>
      <c r="CN81" s="110">
        <v>5</v>
      </c>
      <c r="CO81" s="110">
        <v>1506</v>
      </c>
      <c r="CP81" s="110">
        <v>4.1550351006864421</v>
      </c>
      <c r="CQ81" s="110">
        <v>1251.4965723267562</v>
      </c>
      <c r="CR81" s="110">
        <v>4</v>
      </c>
      <c r="CS81" s="110">
        <v>1204.8</v>
      </c>
      <c r="CT81" s="110">
        <v>7.4814806371678326</v>
      </c>
      <c r="CU81" s="110">
        <v>2253.421967914951</v>
      </c>
    </row>
    <row r="82" spans="2:99" x14ac:dyDescent="0.2">
      <c r="C82" s="109" t="s">
        <v>250</v>
      </c>
      <c r="D82" s="110">
        <v>0</v>
      </c>
      <c r="E82" s="110">
        <v>0</v>
      </c>
      <c r="F82" s="110">
        <v>0.36054376461129306</v>
      </c>
      <c r="G82" s="110">
        <v>295.93432199294932</v>
      </c>
      <c r="H82" s="110">
        <v>0.6320555200646335</v>
      </c>
      <c r="I82" s="110">
        <v>518.79117086905114</v>
      </c>
      <c r="J82" s="110">
        <v>0.64842505739768996</v>
      </c>
      <c r="K82" s="110">
        <v>532.22728711202387</v>
      </c>
      <c r="L82" s="110">
        <v>2.0596353901917359</v>
      </c>
      <c r="M82" s="110">
        <v>1690.5487282693769</v>
      </c>
      <c r="N82" s="110">
        <v>1.1851412102012657</v>
      </c>
      <c r="O82" s="110">
        <v>972.76390533319886</v>
      </c>
      <c r="P82" s="110">
        <v>0.85976490906684844</v>
      </c>
      <c r="Q82" s="110">
        <v>705.69503736206912</v>
      </c>
      <c r="R82" s="110">
        <v>1.3902802760862489</v>
      </c>
      <c r="S82" s="110">
        <v>1141.142050611593</v>
      </c>
      <c r="T82" s="110">
        <v>1.0860116510101667</v>
      </c>
      <c r="U82" s="110">
        <v>891.39836314914476</v>
      </c>
      <c r="V82" s="110">
        <v>0</v>
      </c>
      <c r="W82" s="110">
        <v>0</v>
      </c>
      <c r="X82" s="110">
        <v>0</v>
      </c>
      <c r="Y82" s="110">
        <v>0</v>
      </c>
      <c r="Z82" s="110">
        <v>0</v>
      </c>
      <c r="AA82" s="110">
        <v>0</v>
      </c>
      <c r="AB82" s="110">
        <v>0</v>
      </c>
      <c r="AC82" s="110">
        <v>0</v>
      </c>
      <c r="AD82" s="110">
        <v>1.9763405811982988</v>
      </c>
      <c r="AE82" s="110">
        <v>1622.1803490475636</v>
      </c>
      <c r="AF82" s="110">
        <v>2</v>
      </c>
      <c r="AG82" s="110">
        <v>1641.6</v>
      </c>
      <c r="AH82" s="110">
        <v>2.5108241956247905</v>
      </c>
      <c r="AI82" s="110">
        <v>2060.8844997688279</v>
      </c>
      <c r="AJ82" s="110">
        <v>6.0657781800924795</v>
      </c>
      <c r="AK82" s="110">
        <v>4978.7907302199064</v>
      </c>
      <c r="AL82" s="110">
        <v>13</v>
      </c>
      <c r="AM82" s="110">
        <v>10670.4</v>
      </c>
      <c r="AN82" s="110">
        <v>17</v>
      </c>
      <c r="AO82" s="110">
        <v>13953.599999999999</v>
      </c>
      <c r="AP82" s="110">
        <v>12</v>
      </c>
      <c r="AQ82" s="110">
        <v>9849.5999999999985</v>
      </c>
      <c r="AR82" s="110">
        <v>3</v>
      </c>
      <c r="AS82" s="110">
        <v>2462.3999999999996</v>
      </c>
      <c r="AT82" s="110">
        <v>4.3263622123167913</v>
      </c>
      <c r="AU82" s="110">
        <v>3551.0781038696223</v>
      </c>
      <c r="AV82" s="110">
        <v>4.3766589074317306</v>
      </c>
      <c r="AW82" s="110">
        <v>3592.3616312199642</v>
      </c>
      <c r="AX82" s="110">
        <v>4.2731394494589621</v>
      </c>
      <c r="AY82" s="110">
        <v>3507.3928601159159</v>
      </c>
      <c r="AZ82" s="110">
        <v>6</v>
      </c>
      <c r="BA82" s="110">
        <v>4924.7999999999993</v>
      </c>
      <c r="BB82" s="110">
        <v>4.3270038023514079</v>
      </c>
      <c r="BC82" s="110">
        <v>3551.6047209700355</v>
      </c>
      <c r="BD82" s="110">
        <v>5</v>
      </c>
      <c r="BE82" s="110">
        <v>4104</v>
      </c>
      <c r="BF82" s="110">
        <v>5.3618706485188286</v>
      </c>
      <c r="BG82" s="110">
        <v>4401.0234283042546</v>
      </c>
      <c r="BH82" s="110">
        <v>3.2531211073054132</v>
      </c>
      <c r="BI82" s="110">
        <v>2670.161804876283</v>
      </c>
      <c r="BJ82" s="110">
        <v>1.290335670488856</v>
      </c>
      <c r="BK82" s="110">
        <v>1059.1075183372529</v>
      </c>
      <c r="BL82" s="110">
        <v>2.3748759723985366</v>
      </c>
      <c r="BM82" s="110">
        <v>1949.2981981447188</v>
      </c>
      <c r="BN82" s="110">
        <v>1.0712608971522883</v>
      </c>
      <c r="BO82" s="110">
        <v>879.29094438259824</v>
      </c>
      <c r="BP82" s="110">
        <v>4.7163658789162106</v>
      </c>
      <c r="BQ82" s="110">
        <v>3871.1931134144256</v>
      </c>
      <c r="BR82" s="110">
        <v>7.1889979740065542</v>
      </c>
      <c r="BS82" s="110">
        <v>5900.7295370645797</v>
      </c>
      <c r="BT82" s="110">
        <v>9</v>
      </c>
      <c r="BU82" s="110">
        <v>7387.2</v>
      </c>
      <c r="BV82" s="110">
        <v>5.4386074390136319</v>
      </c>
      <c r="BW82" s="110">
        <v>4464.0089859423888</v>
      </c>
      <c r="BX82" s="110">
        <v>8.8380349520411059</v>
      </c>
      <c r="BY82" s="110">
        <v>7254.2590886353391</v>
      </c>
      <c r="BZ82" s="110">
        <v>5</v>
      </c>
      <c r="CA82" s="110">
        <v>4104</v>
      </c>
      <c r="CB82" s="110">
        <v>6</v>
      </c>
      <c r="CC82" s="110">
        <v>4924.7999999999993</v>
      </c>
      <c r="CD82" s="110">
        <v>6.4224312150460534</v>
      </c>
      <c r="CE82" s="110">
        <v>5271.5315413098006</v>
      </c>
      <c r="CF82" s="110">
        <v>8</v>
      </c>
      <c r="CG82" s="110">
        <v>6566.4</v>
      </c>
      <c r="CH82" s="110">
        <v>11.158319459262364</v>
      </c>
      <c r="CI82" s="110">
        <v>9158.7486121625479</v>
      </c>
      <c r="CJ82" s="110">
        <v>10</v>
      </c>
      <c r="CK82" s="110">
        <v>8208</v>
      </c>
      <c r="CL82" s="110">
        <v>8</v>
      </c>
      <c r="CM82" s="110">
        <v>6566.4</v>
      </c>
      <c r="CN82" s="110">
        <v>4</v>
      </c>
      <c r="CO82" s="110">
        <v>3283.2</v>
      </c>
      <c r="CP82" s="110">
        <v>5.1276759652711874</v>
      </c>
      <c r="CQ82" s="110">
        <v>4208.79643229459</v>
      </c>
      <c r="CR82" s="110">
        <v>4</v>
      </c>
      <c r="CS82" s="110">
        <v>3283.2</v>
      </c>
      <c r="CT82" s="110">
        <v>8.5135793463123548</v>
      </c>
      <c r="CU82" s="110">
        <v>6987.94592745318</v>
      </c>
    </row>
    <row r="83" spans="2:99" x14ac:dyDescent="0.2">
      <c r="C83" s="109" t="s">
        <v>251</v>
      </c>
      <c r="D83" s="110">
        <v>0</v>
      </c>
      <c r="E83" s="110">
        <v>0</v>
      </c>
      <c r="F83" s="110">
        <v>0.36054376461129306</v>
      </c>
      <c r="G83" s="110">
        <v>45.861166858556466</v>
      </c>
      <c r="H83" s="110">
        <v>0.6320555200646335</v>
      </c>
      <c r="I83" s="110">
        <v>80.397462152221365</v>
      </c>
      <c r="J83" s="110">
        <v>0.72047228599743318</v>
      </c>
      <c r="K83" s="110">
        <v>91.644074778873488</v>
      </c>
      <c r="L83" s="110">
        <v>2.0596353901917359</v>
      </c>
      <c r="M83" s="110">
        <v>261.98562163238876</v>
      </c>
      <c r="N83" s="110">
        <v>1.1851412102012657</v>
      </c>
      <c r="O83" s="110">
        <v>150.74996193760097</v>
      </c>
      <c r="P83" s="110">
        <v>0.85976490906684844</v>
      </c>
      <c r="Q83" s="110">
        <v>109.36209643330309</v>
      </c>
      <c r="R83" s="110">
        <v>1.6683363313034989</v>
      </c>
      <c r="S83" s="110">
        <v>212.21238134180501</v>
      </c>
      <c r="T83" s="110">
        <v>1.1001115742608429</v>
      </c>
      <c r="U83" s="110">
        <v>139.9341922459792</v>
      </c>
      <c r="V83" s="110">
        <v>0</v>
      </c>
      <c r="W83" s="110">
        <v>0</v>
      </c>
      <c r="X83" s="110">
        <v>0</v>
      </c>
      <c r="Y83" s="110">
        <v>0</v>
      </c>
      <c r="Z83" s="110">
        <v>0</v>
      </c>
      <c r="AA83" s="110">
        <v>0</v>
      </c>
      <c r="AB83" s="110">
        <v>0</v>
      </c>
      <c r="AC83" s="110">
        <v>0</v>
      </c>
      <c r="AD83" s="110">
        <v>1.9763405811982988</v>
      </c>
      <c r="AE83" s="110">
        <v>251.39052192842357</v>
      </c>
      <c r="AF83" s="110">
        <v>2</v>
      </c>
      <c r="AG83" s="110">
        <v>254.39999999999995</v>
      </c>
      <c r="AH83" s="110">
        <v>2.5108241956247905</v>
      </c>
      <c r="AI83" s="110">
        <v>319.3768376834733</v>
      </c>
      <c r="AJ83" s="110">
        <v>5.3918028267488705</v>
      </c>
      <c r="AK83" s="110">
        <v>685.83731956245617</v>
      </c>
      <c r="AL83" s="110">
        <v>14</v>
      </c>
      <c r="AM83" s="110">
        <v>1780.7999999999997</v>
      </c>
      <c r="AN83" s="110">
        <v>18</v>
      </c>
      <c r="AO83" s="110">
        <v>2289.5999999999995</v>
      </c>
      <c r="AP83" s="110">
        <v>12</v>
      </c>
      <c r="AQ83" s="110">
        <v>1526.3999999999996</v>
      </c>
      <c r="AR83" s="110">
        <v>2</v>
      </c>
      <c r="AS83" s="110">
        <v>254.39999999999995</v>
      </c>
      <c r="AT83" s="110">
        <v>4.3263622123167913</v>
      </c>
      <c r="AU83" s="110">
        <v>550.31327340669577</v>
      </c>
      <c r="AV83" s="110">
        <v>4.4185098971463663</v>
      </c>
      <c r="AW83" s="110">
        <v>562.03445891701767</v>
      </c>
      <c r="AX83" s="110">
        <v>4.2731394494589621</v>
      </c>
      <c r="AY83" s="110">
        <v>543.54333797117988</v>
      </c>
      <c r="AZ83" s="110">
        <v>6</v>
      </c>
      <c r="BA83" s="110">
        <v>763.19999999999982</v>
      </c>
      <c r="BB83" s="110">
        <v>4.3270038023514079</v>
      </c>
      <c r="BC83" s="110">
        <v>550.39488365909892</v>
      </c>
      <c r="BD83" s="110">
        <v>4</v>
      </c>
      <c r="BE83" s="110">
        <v>508.7999999999999</v>
      </c>
      <c r="BF83" s="110">
        <v>5.3920265358953978</v>
      </c>
      <c r="BG83" s="110">
        <v>685.86577536589448</v>
      </c>
      <c r="BH83" s="110">
        <v>4.0253323439131483</v>
      </c>
      <c r="BI83" s="110">
        <v>512.02227414575236</v>
      </c>
      <c r="BJ83" s="110">
        <v>1.290335670488856</v>
      </c>
      <c r="BK83" s="110">
        <v>164.13069728618245</v>
      </c>
      <c r="BL83" s="110">
        <v>2.3748759723985366</v>
      </c>
      <c r="BM83" s="110">
        <v>302.08422368909379</v>
      </c>
      <c r="BN83" s="110">
        <v>1.6068913457284326</v>
      </c>
      <c r="BO83" s="110">
        <v>204.39657917665659</v>
      </c>
      <c r="BP83" s="110">
        <v>4.1268201440516847</v>
      </c>
      <c r="BQ83" s="110">
        <v>524.93152232337422</v>
      </c>
      <c r="BR83" s="110">
        <v>8.2126227207573734</v>
      </c>
      <c r="BS83" s="110">
        <v>1044.6456100803377</v>
      </c>
      <c r="BT83" s="110">
        <v>10</v>
      </c>
      <c r="BU83" s="110">
        <v>1271.9999999999998</v>
      </c>
      <c r="BV83" s="110">
        <v>5.4386074390136319</v>
      </c>
      <c r="BW83" s="110">
        <v>691.79086624253387</v>
      </c>
      <c r="BX83" s="110">
        <v>7.838034952041105</v>
      </c>
      <c r="BY83" s="110">
        <v>996.99804589962832</v>
      </c>
      <c r="BZ83" s="110">
        <v>5</v>
      </c>
      <c r="CA83" s="110">
        <v>635.99999999999989</v>
      </c>
      <c r="CB83" s="110">
        <v>6</v>
      </c>
      <c r="CC83" s="110">
        <v>763.19999999999982</v>
      </c>
      <c r="CD83" s="110">
        <v>7.4013096542937502</v>
      </c>
      <c r="CE83" s="110">
        <v>941.44658802616482</v>
      </c>
      <c r="CF83" s="110">
        <v>9</v>
      </c>
      <c r="CG83" s="110">
        <v>1144.7999999999997</v>
      </c>
      <c r="CH83" s="110">
        <v>12.171512747534228</v>
      </c>
      <c r="CI83" s="110">
        <v>1548.2164214863535</v>
      </c>
      <c r="CJ83" s="110">
        <v>11</v>
      </c>
      <c r="CK83" s="110">
        <v>1399.1999999999998</v>
      </c>
      <c r="CL83" s="110">
        <v>7</v>
      </c>
      <c r="CM83" s="110">
        <v>890.39999999999986</v>
      </c>
      <c r="CN83" s="110">
        <v>5</v>
      </c>
      <c r="CO83" s="110">
        <v>635.99999999999989</v>
      </c>
      <c r="CP83" s="110">
        <v>5.1550351006864421</v>
      </c>
      <c r="CQ83" s="110">
        <v>655.72046480731535</v>
      </c>
      <c r="CR83" s="110">
        <v>4</v>
      </c>
      <c r="CS83" s="110">
        <v>508.7999999999999</v>
      </c>
      <c r="CT83" s="110">
        <v>7.5135793463123548</v>
      </c>
      <c r="CU83" s="110">
        <v>955.72729285093135</v>
      </c>
    </row>
    <row r="84" spans="2:99" x14ac:dyDescent="0.2">
      <c r="C84" s="109" t="s">
        <v>252</v>
      </c>
      <c r="D84" s="110">
        <v>0</v>
      </c>
      <c r="E84" s="110">
        <v>0</v>
      </c>
      <c r="F84" s="110">
        <v>0.32493301512441253</v>
      </c>
      <c r="G84" s="110">
        <v>288.5405174304783</v>
      </c>
      <c r="H84" s="110">
        <v>0.69526107207109689</v>
      </c>
      <c r="I84" s="110">
        <v>617.39183199913407</v>
      </c>
      <c r="J84" s="110">
        <v>0.64842505739768996</v>
      </c>
      <c r="K84" s="110">
        <v>575.80145096914873</v>
      </c>
      <c r="L84" s="110">
        <v>2.0596353901917359</v>
      </c>
      <c r="M84" s="110">
        <v>1828.9562264902615</v>
      </c>
      <c r="N84" s="110">
        <v>1.1851412102012657</v>
      </c>
      <c r="O84" s="110">
        <v>1052.4053946587239</v>
      </c>
      <c r="P84" s="110">
        <v>0.85976490906684844</v>
      </c>
      <c r="Q84" s="110">
        <v>763.47123925136145</v>
      </c>
      <c r="R84" s="110">
        <v>1.3939364660385019</v>
      </c>
      <c r="S84" s="110">
        <v>1237.8155818421897</v>
      </c>
      <c r="T84" s="110">
        <v>1.1142114975115192</v>
      </c>
      <c r="U84" s="110">
        <v>989.41980979022901</v>
      </c>
      <c r="V84" s="110">
        <v>0</v>
      </c>
      <c r="W84" s="110">
        <v>0</v>
      </c>
      <c r="X84" s="110">
        <v>0</v>
      </c>
      <c r="Y84" s="110">
        <v>0</v>
      </c>
      <c r="Z84" s="110">
        <v>0</v>
      </c>
      <c r="AA84" s="110">
        <v>0</v>
      </c>
      <c r="AB84" s="110">
        <v>0</v>
      </c>
      <c r="AC84" s="110">
        <v>0</v>
      </c>
      <c r="AD84" s="110">
        <v>1.9763405811982988</v>
      </c>
      <c r="AE84" s="110">
        <v>1754.9904361040894</v>
      </c>
      <c r="AF84" s="110">
        <v>2</v>
      </c>
      <c r="AG84" s="110">
        <v>1776</v>
      </c>
      <c r="AH84" s="110">
        <v>2.5108241956247905</v>
      </c>
      <c r="AI84" s="110">
        <v>2229.611885714814</v>
      </c>
      <c r="AJ84" s="110">
        <v>5.728790503420675</v>
      </c>
      <c r="AK84" s="110">
        <v>5087.1659670375593</v>
      </c>
      <c r="AL84" s="110">
        <v>13</v>
      </c>
      <c r="AM84" s="110">
        <v>11544</v>
      </c>
      <c r="AN84" s="110">
        <v>16</v>
      </c>
      <c r="AO84" s="110">
        <v>14208</v>
      </c>
      <c r="AP84" s="110">
        <v>11</v>
      </c>
      <c r="AQ84" s="110">
        <v>9768</v>
      </c>
      <c r="AR84" s="110">
        <v>2</v>
      </c>
      <c r="AS84" s="110">
        <v>1776</v>
      </c>
      <c r="AT84" s="110">
        <v>4.3263622123167913</v>
      </c>
      <c r="AU84" s="110">
        <v>3841.8096445373108</v>
      </c>
      <c r="AV84" s="110">
        <v>4.4185098971463663</v>
      </c>
      <c r="AW84" s="110">
        <v>3923.6367886659732</v>
      </c>
      <c r="AX84" s="110">
        <v>4.2731394494589621</v>
      </c>
      <c r="AY84" s="110">
        <v>3794.5478311195584</v>
      </c>
      <c r="AZ84" s="110">
        <v>6</v>
      </c>
      <c r="BA84" s="110">
        <v>5328</v>
      </c>
      <c r="BB84" s="110">
        <v>4.2997534854887904</v>
      </c>
      <c r="BC84" s="110">
        <v>3818.181095114046</v>
      </c>
      <c r="BD84" s="110">
        <v>5</v>
      </c>
      <c r="BE84" s="110">
        <v>4440</v>
      </c>
      <c r="BF84" s="110">
        <v>4.3920265358953978</v>
      </c>
      <c r="BG84" s="110">
        <v>3900.1195638751133</v>
      </c>
      <c r="BH84" s="110">
        <v>3.2202658751305182</v>
      </c>
      <c r="BI84" s="110">
        <v>2859.5960971159002</v>
      </c>
      <c r="BJ84" s="110">
        <v>0.86022378032590396</v>
      </c>
      <c r="BK84" s="110">
        <v>763.87871692940269</v>
      </c>
      <c r="BL84" s="110">
        <v>1.6202828907653555</v>
      </c>
      <c r="BM84" s="110">
        <v>1438.8112069996357</v>
      </c>
      <c r="BN84" s="110">
        <v>1.0712608971522883</v>
      </c>
      <c r="BO84" s="110">
        <v>951.2796766712321</v>
      </c>
      <c r="BP84" s="110">
        <v>4.1268201440516847</v>
      </c>
      <c r="BQ84" s="110">
        <v>3664.616287917896</v>
      </c>
      <c r="BR84" s="110">
        <v>7.1889979740065542</v>
      </c>
      <c r="BS84" s="110">
        <v>6383.8302009178205</v>
      </c>
      <c r="BT84" s="110">
        <v>8</v>
      </c>
      <c r="BU84" s="110">
        <v>7104</v>
      </c>
      <c r="BV84" s="110">
        <v>5.3898732791232282</v>
      </c>
      <c r="BW84" s="110">
        <v>4786.2074718614267</v>
      </c>
      <c r="BX84" s="110">
        <v>7.8845924493767221</v>
      </c>
      <c r="BY84" s="110">
        <v>7001.5180950465292</v>
      </c>
      <c r="BZ84" s="110">
        <v>5</v>
      </c>
      <c r="CA84" s="110">
        <v>4440</v>
      </c>
      <c r="CB84" s="110">
        <v>6</v>
      </c>
      <c r="CC84" s="110">
        <v>5328</v>
      </c>
      <c r="CD84" s="110">
        <v>7.3590665327891456</v>
      </c>
      <c r="CE84" s="110">
        <v>6534.8510811167616</v>
      </c>
      <c r="CF84" s="110">
        <v>8</v>
      </c>
      <c r="CG84" s="110">
        <v>7104</v>
      </c>
      <c r="CH84" s="110">
        <v>11.158319459262364</v>
      </c>
      <c r="CI84" s="110">
        <v>9908.5876798249792</v>
      </c>
      <c r="CJ84" s="110">
        <v>10</v>
      </c>
      <c r="CK84" s="110">
        <v>8880</v>
      </c>
      <c r="CL84" s="110">
        <v>8</v>
      </c>
      <c r="CM84" s="110">
        <v>7104</v>
      </c>
      <c r="CN84" s="110">
        <v>4</v>
      </c>
      <c r="CO84" s="110">
        <v>3552</v>
      </c>
      <c r="CP84" s="110">
        <v>4.1367956770762726</v>
      </c>
      <c r="CQ84" s="110">
        <v>3673.47456124373</v>
      </c>
      <c r="CR84" s="110">
        <v>3</v>
      </c>
      <c r="CS84" s="110">
        <v>2664</v>
      </c>
      <c r="CT84" s="110">
        <v>7.4493819280233105</v>
      </c>
      <c r="CU84" s="110">
        <v>6615.0511520846994</v>
      </c>
    </row>
    <row r="85" spans="2:99" x14ac:dyDescent="0.2">
      <c r="C85" s="109" t="s">
        <v>253</v>
      </c>
      <c r="D85" s="110">
        <v>0</v>
      </c>
      <c r="E85" s="110">
        <v>0</v>
      </c>
      <c r="F85" s="110">
        <v>0.32789052828607124</v>
      </c>
      <c r="G85" s="110">
        <v>214.44040549909059</v>
      </c>
      <c r="H85" s="110">
        <v>0.56884996805817023</v>
      </c>
      <c r="I85" s="110">
        <v>372.02787911004333</v>
      </c>
      <c r="J85" s="110">
        <v>0.72047228599743318</v>
      </c>
      <c r="K85" s="110">
        <v>471.18887504232129</v>
      </c>
      <c r="L85" s="110">
        <v>2.0596353901917359</v>
      </c>
      <c r="M85" s="110">
        <v>1347.0015451853953</v>
      </c>
      <c r="N85" s="110">
        <v>1.1879235775241617</v>
      </c>
      <c r="O85" s="110">
        <v>776.9020197008017</v>
      </c>
      <c r="P85" s="110">
        <v>1.031717890880218</v>
      </c>
      <c r="Q85" s="110">
        <v>674.7435006356626</v>
      </c>
      <c r="R85" s="110">
        <v>1.3939364660385019</v>
      </c>
      <c r="S85" s="110">
        <v>911.63444878918017</v>
      </c>
      <c r="T85" s="110">
        <v>1.0719117277594907</v>
      </c>
      <c r="U85" s="110">
        <v>701.03026995470691</v>
      </c>
      <c r="V85" s="110">
        <v>0</v>
      </c>
      <c r="W85" s="110">
        <v>0</v>
      </c>
      <c r="X85" s="110">
        <v>0</v>
      </c>
      <c r="Y85" s="110">
        <v>0</v>
      </c>
      <c r="Z85" s="110">
        <v>0</v>
      </c>
      <c r="AA85" s="110">
        <v>0</v>
      </c>
      <c r="AB85" s="110">
        <v>0</v>
      </c>
      <c r="AC85" s="110">
        <v>0</v>
      </c>
      <c r="AD85" s="110">
        <v>1.9763405811982988</v>
      </c>
      <c r="AE85" s="110">
        <v>1292.5267401036874</v>
      </c>
      <c r="AF85" s="110">
        <v>2</v>
      </c>
      <c r="AG85" s="110">
        <v>1308</v>
      </c>
      <c r="AH85" s="110">
        <v>2.5108241956247905</v>
      </c>
      <c r="AI85" s="110">
        <v>1642.0790239386131</v>
      </c>
      <c r="AJ85" s="110">
        <v>5.0548151500770659</v>
      </c>
      <c r="AK85" s="110">
        <v>3305.8491081504012</v>
      </c>
      <c r="AL85" s="110">
        <v>13</v>
      </c>
      <c r="AM85" s="110">
        <v>8502</v>
      </c>
      <c r="AN85" s="110">
        <v>17</v>
      </c>
      <c r="AO85" s="110">
        <v>11118</v>
      </c>
      <c r="AP85" s="110">
        <v>12</v>
      </c>
      <c r="AQ85" s="110">
        <v>7848</v>
      </c>
      <c r="AR85" s="110">
        <v>2</v>
      </c>
      <c r="AS85" s="110">
        <v>1308</v>
      </c>
      <c r="AT85" s="110">
        <v>4.3263622123167913</v>
      </c>
      <c r="AU85" s="110">
        <v>2829.4408868551814</v>
      </c>
      <c r="AV85" s="110">
        <v>4.4185098971463663</v>
      </c>
      <c r="AW85" s="110">
        <v>2889.7054727337236</v>
      </c>
      <c r="AX85" s="110">
        <v>3.2731394494589616</v>
      </c>
      <c r="AY85" s="110">
        <v>2140.6331999461609</v>
      </c>
      <c r="AZ85" s="110">
        <v>6</v>
      </c>
      <c r="BA85" s="110">
        <v>3924</v>
      </c>
      <c r="BB85" s="110">
        <v>3.2997534854887904</v>
      </c>
      <c r="BC85" s="110">
        <v>2158.038779509669</v>
      </c>
      <c r="BD85" s="110">
        <v>5</v>
      </c>
      <c r="BE85" s="110">
        <v>3270</v>
      </c>
      <c r="BF85" s="110">
        <v>5.3618706485188286</v>
      </c>
      <c r="BG85" s="110">
        <v>3506.6634041313137</v>
      </c>
      <c r="BH85" s="110">
        <v>3.2531211073054132</v>
      </c>
      <c r="BI85" s="110">
        <v>2127.5412041777404</v>
      </c>
      <c r="BJ85" s="110">
        <v>0.86022378032590396</v>
      </c>
      <c r="BK85" s="110">
        <v>562.58635233314124</v>
      </c>
      <c r="BL85" s="110">
        <v>2.3563598511487047</v>
      </c>
      <c r="BM85" s="110">
        <v>1541.0593426512528</v>
      </c>
      <c r="BN85" s="110">
        <v>1.0712608971522883</v>
      </c>
      <c r="BO85" s="110">
        <v>700.60462673759662</v>
      </c>
      <c r="BP85" s="110">
        <v>4.1268201440516847</v>
      </c>
      <c r="BQ85" s="110">
        <v>2698.940374209802</v>
      </c>
      <c r="BR85" s="110">
        <v>7</v>
      </c>
      <c r="BS85" s="110">
        <v>4578</v>
      </c>
      <c r="BT85" s="110">
        <v>10</v>
      </c>
      <c r="BU85" s="110">
        <v>6540</v>
      </c>
      <c r="BV85" s="110">
        <v>5.3898732791232282</v>
      </c>
      <c r="BW85" s="110">
        <v>3524.9771245465913</v>
      </c>
      <c r="BX85" s="110">
        <v>7.838034952041105</v>
      </c>
      <c r="BY85" s="110">
        <v>5126.0748586348827</v>
      </c>
      <c r="BZ85" s="110">
        <v>5</v>
      </c>
      <c r="CA85" s="110">
        <v>3270</v>
      </c>
      <c r="CB85" s="110">
        <v>6</v>
      </c>
      <c r="CC85" s="110">
        <v>3924</v>
      </c>
      <c r="CD85" s="110">
        <v>7.4013096542937502</v>
      </c>
      <c r="CE85" s="110">
        <v>4840.4565139081124</v>
      </c>
      <c r="CF85" s="110">
        <v>8</v>
      </c>
      <c r="CG85" s="110">
        <v>5232</v>
      </c>
      <c r="CH85" s="110">
        <v>11.158319459262364</v>
      </c>
      <c r="CI85" s="110">
        <v>7297.5409263575857</v>
      </c>
      <c r="CJ85" s="110">
        <v>10</v>
      </c>
      <c r="CK85" s="110">
        <v>6540</v>
      </c>
      <c r="CL85" s="110">
        <v>8</v>
      </c>
      <c r="CM85" s="110">
        <v>5232</v>
      </c>
      <c r="CN85" s="110">
        <v>4</v>
      </c>
      <c r="CO85" s="110">
        <v>2616</v>
      </c>
      <c r="CP85" s="110">
        <v>4.1550351006864421</v>
      </c>
      <c r="CQ85" s="110">
        <v>2717.3929558489331</v>
      </c>
      <c r="CR85" s="110">
        <v>4</v>
      </c>
      <c r="CS85" s="110">
        <v>2616</v>
      </c>
      <c r="CT85" s="110">
        <v>7.545678055456877</v>
      </c>
      <c r="CU85" s="110">
        <v>4934.8734482687978</v>
      </c>
    </row>
    <row r="86" spans="2:99" x14ac:dyDescent="0.2">
      <c r="C86" s="109" t="s">
        <v>254</v>
      </c>
      <c r="D86" s="110">
        <v>0</v>
      </c>
      <c r="E86" s="110">
        <v>0</v>
      </c>
      <c r="F86" s="110">
        <v>0.32641177170524188</v>
      </c>
      <c r="G86" s="110">
        <v>124.16703795667401</v>
      </c>
      <c r="H86" s="110">
        <v>0.69526107207109689</v>
      </c>
      <c r="I86" s="110">
        <v>264.47731181584521</v>
      </c>
      <c r="J86" s="110">
        <v>0.72047228599743318</v>
      </c>
      <c r="K86" s="110">
        <v>274.06765759342358</v>
      </c>
      <c r="L86" s="110">
        <v>2.0596353901917359</v>
      </c>
      <c r="M86" s="110">
        <v>783.48530242893628</v>
      </c>
      <c r="N86" s="110">
        <v>1.1879235775241617</v>
      </c>
      <c r="O86" s="110">
        <v>451.88612889019106</v>
      </c>
      <c r="P86" s="110">
        <v>1.031717890880218</v>
      </c>
      <c r="Q86" s="110">
        <v>392.4654856908349</v>
      </c>
      <c r="R86" s="110">
        <v>1.3939364660385019</v>
      </c>
      <c r="S86" s="110">
        <v>530.2534316810461</v>
      </c>
      <c r="T86" s="110">
        <v>1.1001115742608429</v>
      </c>
      <c r="U86" s="110">
        <v>418.48244284882463</v>
      </c>
      <c r="V86" s="110">
        <v>0</v>
      </c>
      <c r="W86" s="110">
        <v>0</v>
      </c>
      <c r="X86" s="110">
        <v>0</v>
      </c>
      <c r="Y86" s="110">
        <v>0</v>
      </c>
      <c r="Z86" s="110">
        <v>0</v>
      </c>
      <c r="AA86" s="110">
        <v>0</v>
      </c>
      <c r="AB86" s="110">
        <v>0</v>
      </c>
      <c r="AC86" s="110">
        <v>0</v>
      </c>
      <c r="AD86" s="110">
        <v>1.9763405811982988</v>
      </c>
      <c r="AE86" s="110">
        <v>751.79995708783281</v>
      </c>
      <c r="AF86" s="110">
        <v>3</v>
      </c>
      <c r="AG86" s="110">
        <v>1141.1999999999998</v>
      </c>
      <c r="AH86" s="110">
        <v>2.5108241956247905</v>
      </c>
      <c r="AI86" s="110">
        <v>955.11752401567026</v>
      </c>
      <c r="AJ86" s="110">
        <v>5.3918028267488705</v>
      </c>
      <c r="AK86" s="110">
        <v>2051.0417952952703</v>
      </c>
      <c r="AL86" s="110">
        <v>13</v>
      </c>
      <c r="AM86" s="110">
        <v>4945.2</v>
      </c>
      <c r="AN86" s="110">
        <v>16</v>
      </c>
      <c r="AO86" s="110">
        <v>6086.4</v>
      </c>
      <c r="AP86" s="110">
        <v>12</v>
      </c>
      <c r="AQ86" s="110">
        <v>4564.7999999999993</v>
      </c>
      <c r="AR86" s="110">
        <v>2</v>
      </c>
      <c r="AS86" s="110">
        <v>760.8</v>
      </c>
      <c r="AT86" s="110">
        <v>4.3263622123167913</v>
      </c>
      <c r="AU86" s="110">
        <v>1645.7481855653073</v>
      </c>
      <c r="AV86" s="110">
        <v>4.4603608868610038</v>
      </c>
      <c r="AW86" s="110">
        <v>1696.7212813619258</v>
      </c>
      <c r="AX86" s="110">
        <v>4.3034882771766245</v>
      </c>
      <c r="AY86" s="110">
        <v>1637.046940637988</v>
      </c>
      <c r="AZ86" s="110">
        <v>7</v>
      </c>
      <c r="BA86" s="110">
        <v>2662.7999999999997</v>
      </c>
      <c r="BB86" s="110">
        <v>4.2997534854887904</v>
      </c>
      <c r="BC86" s="110">
        <v>1635.6262258799359</v>
      </c>
      <c r="BD86" s="110">
        <v>4</v>
      </c>
      <c r="BE86" s="110">
        <v>1521.6</v>
      </c>
      <c r="BF86" s="110">
        <v>5.3317147611422593</v>
      </c>
      <c r="BG86" s="110">
        <v>2028.1842951385154</v>
      </c>
      <c r="BH86" s="110">
        <v>3.2531211073054132</v>
      </c>
      <c r="BI86" s="110">
        <v>1237.487269218979</v>
      </c>
      <c r="BJ86" s="110">
        <v>1.290335670488856</v>
      </c>
      <c r="BK86" s="110">
        <v>490.84368905396082</v>
      </c>
      <c r="BL86" s="110">
        <v>2.3748759723985366</v>
      </c>
      <c r="BM86" s="110">
        <v>903.4028199004033</v>
      </c>
      <c r="BN86" s="110">
        <v>1.6068913457284326</v>
      </c>
      <c r="BO86" s="110">
        <v>611.26146791509575</v>
      </c>
      <c r="BP86" s="110">
        <v>4.7163658789162106</v>
      </c>
      <c r="BQ86" s="110">
        <v>1794.1055803397264</v>
      </c>
      <c r="BR86" s="110">
        <v>6.2126227207573734</v>
      </c>
      <c r="BS86" s="110">
        <v>2363.2816829761045</v>
      </c>
      <c r="BT86" s="110">
        <v>9</v>
      </c>
      <c r="BU86" s="110">
        <v>3423.6</v>
      </c>
      <c r="BV86" s="110">
        <v>6</v>
      </c>
      <c r="BW86" s="110">
        <v>2282.3999999999996</v>
      </c>
      <c r="BX86" s="110">
        <v>8.9311499467123383</v>
      </c>
      <c r="BY86" s="110">
        <v>3397.4094397293734</v>
      </c>
      <c r="BZ86" s="110">
        <v>5</v>
      </c>
      <c r="CA86" s="110">
        <v>1902</v>
      </c>
      <c r="CB86" s="110">
        <v>6</v>
      </c>
      <c r="CC86" s="110">
        <v>2282.3999999999996</v>
      </c>
      <c r="CD86" s="110">
        <v>7.3801880935414479</v>
      </c>
      <c r="CE86" s="110">
        <v>2807.4235507831668</v>
      </c>
      <c r="CF86" s="110">
        <v>9</v>
      </c>
      <c r="CG86" s="110">
        <v>3423.6</v>
      </c>
      <c r="CH86" s="110">
        <v>12.145126170990499</v>
      </c>
      <c r="CI86" s="110">
        <v>4620.0059954447861</v>
      </c>
      <c r="CJ86" s="110">
        <v>10</v>
      </c>
      <c r="CK86" s="110">
        <v>3804</v>
      </c>
      <c r="CL86" s="110">
        <v>8</v>
      </c>
      <c r="CM86" s="110">
        <v>3043.2</v>
      </c>
      <c r="CN86" s="110">
        <v>5</v>
      </c>
      <c r="CO86" s="110">
        <v>1902</v>
      </c>
      <c r="CP86" s="110">
        <v>4.1550351006864421</v>
      </c>
      <c r="CQ86" s="110">
        <v>1580.5753523011224</v>
      </c>
      <c r="CR86" s="110">
        <v>4</v>
      </c>
      <c r="CS86" s="110">
        <v>1521.6</v>
      </c>
      <c r="CT86" s="110">
        <v>8.5135793463123548</v>
      </c>
      <c r="CU86" s="110">
        <v>3238.5655833372198</v>
      </c>
    </row>
    <row r="87" spans="2:99" x14ac:dyDescent="0.2">
      <c r="B87" s="109" t="s">
        <v>131</v>
      </c>
      <c r="C87" s="109" t="s">
        <v>255</v>
      </c>
      <c r="D87" s="110">
        <v>0</v>
      </c>
      <c r="E87" s="110">
        <v>0</v>
      </c>
      <c r="F87" s="110">
        <v>0.41313724729844009</v>
      </c>
      <c r="G87" s="110">
        <v>233.00940747632021</v>
      </c>
      <c r="H87" s="110">
        <v>1.0092457837630548</v>
      </c>
      <c r="I87" s="110">
        <v>569.21462204236298</v>
      </c>
      <c r="J87" s="110">
        <v>2.1666058199913478</v>
      </c>
      <c r="K87" s="110">
        <v>1221.9656824751203</v>
      </c>
      <c r="L87" s="110">
        <v>0.63945823554973091</v>
      </c>
      <c r="M87" s="110">
        <v>360.65444485004821</v>
      </c>
      <c r="N87" s="110">
        <v>2.8509936512107883</v>
      </c>
      <c r="O87" s="110">
        <v>1607.9604192828847</v>
      </c>
      <c r="P87" s="110">
        <v>1.5473732549935211</v>
      </c>
      <c r="Q87" s="110">
        <v>872.71851581634587</v>
      </c>
      <c r="R87" s="110">
        <v>1.3214117668184577</v>
      </c>
      <c r="S87" s="110">
        <v>745.27623648561018</v>
      </c>
      <c r="T87" s="110">
        <v>2.4623143182488132</v>
      </c>
      <c r="U87" s="110">
        <v>1388.7452754923306</v>
      </c>
      <c r="V87" s="110">
        <v>0</v>
      </c>
      <c r="W87" s="110">
        <v>0</v>
      </c>
      <c r="X87" s="110">
        <v>0</v>
      </c>
      <c r="Y87" s="110">
        <v>0</v>
      </c>
      <c r="Z87" s="110">
        <v>0</v>
      </c>
      <c r="AA87" s="110">
        <v>0</v>
      </c>
      <c r="AB87" s="110">
        <v>0</v>
      </c>
      <c r="AC87" s="110">
        <v>0</v>
      </c>
      <c r="AD87" s="110">
        <v>1.2713846927876879E-2</v>
      </c>
      <c r="AE87" s="110">
        <v>7.1706096673225597</v>
      </c>
      <c r="AF87" s="110">
        <v>2.2935799418786752E-2</v>
      </c>
      <c r="AG87" s="110">
        <v>12.935790872195728</v>
      </c>
      <c r="AH87" s="110">
        <v>1.8436066557522689E-2</v>
      </c>
      <c r="AI87" s="110">
        <v>10.397941538442796</v>
      </c>
      <c r="AJ87" s="110">
        <v>2.1433724272931571E-2</v>
      </c>
      <c r="AK87" s="110">
        <v>12.088620489933406</v>
      </c>
      <c r="AL87" s="110">
        <v>6.5713242064709796</v>
      </c>
      <c r="AM87" s="110">
        <v>3706.2268524496326</v>
      </c>
      <c r="AN87" s="110">
        <v>5.5808091083427316</v>
      </c>
      <c r="AO87" s="110">
        <v>3147.5763371053008</v>
      </c>
      <c r="AP87" s="110">
        <v>4.5213167058841854</v>
      </c>
      <c r="AQ87" s="110">
        <v>2550.0226221186804</v>
      </c>
      <c r="AR87" s="110">
        <v>6.2839108741759544</v>
      </c>
      <c r="AS87" s="110">
        <v>3544.1257330352382</v>
      </c>
      <c r="AT87" s="110">
        <v>4.2884641441891498</v>
      </c>
      <c r="AU87" s="110">
        <v>2418.6937773226805</v>
      </c>
      <c r="AV87" s="110">
        <v>2.9624876393267923</v>
      </c>
      <c r="AW87" s="110">
        <v>1670.8430285803108</v>
      </c>
      <c r="AX87" s="110">
        <v>2.2604459759649425</v>
      </c>
      <c r="AY87" s="110">
        <v>1274.8915304442276</v>
      </c>
      <c r="AZ87" s="110">
        <v>4.9012618670394321</v>
      </c>
      <c r="BA87" s="110">
        <v>2764.3116930102397</v>
      </c>
      <c r="BB87" s="110">
        <v>6.3436734425046373</v>
      </c>
      <c r="BC87" s="110">
        <v>3577.8318215726154</v>
      </c>
      <c r="BD87" s="110">
        <v>4.8795535844601572</v>
      </c>
      <c r="BE87" s="110">
        <v>2752.0682216355285</v>
      </c>
      <c r="BF87" s="110">
        <v>3.3447710632322627</v>
      </c>
      <c r="BG87" s="110">
        <v>1886.4508796629962</v>
      </c>
      <c r="BH87" s="110">
        <v>2.3257406341408107</v>
      </c>
      <c r="BI87" s="110">
        <v>1311.7177176554171</v>
      </c>
      <c r="BJ87" s="110">
        <v>0</v>
      </c>
      <c r="BK87" s="110">
        <v>0</v>
      </c>
      <c r="BL87" s="110">
        <v>0</v>
      </c>
      <c r="BM87" s="110">
        <v>0</v>
      </c>
      <c r="BN87" s="110">
        <v>0</v>
      </c>
      <c r="BO87" s="110">
        <v>0</v>
      </c>
      <c r="BP87" s="110">
        <v>0</v>
      </c>
      <c r="BQ87" s="110">
        <v>0</v>
      </c>
      <c r="BR87" s="110">
        <v>0</v>
      </c>
      <c r="BS87" s="110">
        <v>0</v>
      </c>
      <c r="BT87" s="110">
        <v>0</v>
      </c>
      <c r="BU87" s="110">
        <v>0</v>
      </c>
      <c r="BV87" s="110">
        <v>0</v>
      </c>
      <c r="BW87" s="110">
        <v>0</v>
      </c>
      <c r="BX87" s="110">
        <v>0</v>
      </c>
      <c r="BY87" s="110">
        <v>0</v>
      </c>
      <c r="BZ87" s="110">
        <v>0</v>
      </c>
      <c r="CA87" s="110">
        <v>0</v>
      </c>
      <c r="CB87" s="110">
        <v>0</v>
      </c>
      <c r="CC87" s="110">
        <v>0</v>
      </c>
      <c r="CD87" s="110">
        <v>0</v>
      </c>
      <c r="CE87" s="110">
        <v>0</v>
      </c>
      <c r="CF87" s="110">
        <v>0</v>
      </c>
      <c r="CG87" s="110">
        <v>0</v>
      </c>
      <c r="CH87" s="110">
        <v>0.18170643976178699</v>
      </c>
      <c r="CI87" s="110">
        <v>102.48243202564787</v>
      </c>
      <c r="CJ87" s="110">
        <v>0.20520631266362291</v>
      </c>
      <c r="CK87" s="110">
        <v>115.73636034228332</v>
      </c>
      <c r="CL87" s="110">
        <v>0.23329869398206182</v>
      </c>
      <c r="CM87" s="110">
        <v>131.58046340588288</v>
      </c>
      <c r="CN87" s="110">
        <v>0.14684936764403955</v>
      </c>
      <c r="CO87" s="110">
        <v>82.823043351238312</v>
      </c>
      <c r="CP87" s="110">
        <v>6</v>
      </c>
      <c r="CQ87" s="110">
        <v>3384</v>
      </c>
      <c r="CR87" s="110">
        <v>4.3585813757118039</v>
      </c>
      <c r="CS87" s="110">
        <v>2458.2398959014572</v>
      </c>
      <c r="CT87" s="110">
        <v>6.3203281552716657</v>
      </c>
      <c r="CU87" s="110">
        <v>3564.6650795732194</v>
      </c>
    </row>
    <row r="88" spans="2:99" x14ac:dyDescent="0.2">
      <c r="C88" s="109" t="s">
        <v>256</v>
      </c>
      <c r="D88" s="110">
        <v>0</v>
      </c>
      <c r="E88" s="110">
        <v>0</v>
      </c>
      <c r="F88" s="110">
        <v>0.54913025593834719</v>
      </c>
      <c r="G88" s="110">
        <v>266.87730438603671</v>
      </c>
      <c r="H88" s="110">
        <v>1.0092457837630548</v>
      </c>
      <c r="I88" s="110">
        <v>490.49345090884464</v>
      </c>
      <c r="J88" s="110">
        <v>2.1666058199913478</v>
      </c>
      <c r="K88" s="110">
        <v>1052.970428515795</v>
      </c>
      <c r="L88" s="110">
        <v>0.64658835315234153</v>
      </c>
      <c r="M88" s="110">
        <v>314.241939632038</v>
      </c>
      <c r="N88" s="110">
        <v>2.8191185909516943</v>
      </c>
      <c r="O88" s="110">
        <v>1370.0916352025233</v>
      </c>
      <c r="P88" s="110">
        <v>1.5273062562236093</v>
      </c>
      <c r="Q88" s="110">
        <v>742.2708405246741</v>
      </c>
      <c r="R88" s="110">
        <v>1.9042245666750734</v>
      </c>
      <c r="S88" s="110">
        <v>925.45313940408573</v>
      </c>
      <c r="T88" s="110">
        <v>2.4623143182488132</v>
      </c>
      <c r="U88" s="110">
        <v>1196.6847586689232</v>
      </c>
      <c r="V88" s="110">
        <v>0</v>
      </c>
      <c r="W88" s="110">
        <v>0</v>
      </c>
      <c r="X88" s="110">
        <v>0</v>
      </c>
      <c r="Y88" s="110">
        <v>0</v>
      </c>
      <c r="Z88" s="110">
        <v>0</v>
      </c>
      <c r="AA88" s="110">
        <v>0</v>
      </c>
      <c r="AB88" s="110">
        <v>0</v>
      </c>
      <c r="AC88" s="110">
        <v>0</v>
      </c>
      <c r="AD88" s="110">
        <v>1.0636526234502744E-2</v>
      </c>
      <c r="AE88" s="110">
        <v>5.1693517499683335</v>
      </c>
      <c r="AF88" s="110">
        <v>2.0642219476908075E-2</v>
      </c>
      <c r="AG88" s="110">
        <v>10.032118665777325</v>
      </c>
      <c r="AH88" s="110">
        <v>1.8436066557522689E-2</v>
      </c>
      <c r="AI88" s="110">
        <v>8.9599283469560262</v>
      </c>
      <c r="AJ88" s="110">
        <v>1.9984661301819747E-2</v>
      </c>
      <c r="AK88" s="110">
        <v>9.7125453926843974</v>
      </c>
      <c r="AL88" s="110">
        <v>6.5438889125165147</v>
      </c>
      <c r="AM88" s="110">
        <v>3180.3300114830263</v>
      </c>
      <c r="AN88" s="110">
        <v>6.2487663301892171</v>
      </c>
      <c r="AO88" s="110">
        <v>3036.9004364719594</v>
      </c>
      <c r="AP88" s="110">
        <v>5.1420432337050919</v>
      </c>
      <c r="AQ88" s="110">
        <v>2499.0330115806746</v>
      </c>
      <c r="AR88" s="110">
        <v>5.2839108741759544</v>
      </c>
      <c r="AS88" s="110">
        <v>2567.9806848495136</v>
      </c>
      <c r="AT88" s="110">
        <v>4.2884641441891498</v>
      </c>
      <c r="AU88" s="110">
        <v>2084.1935740759268</v>
      </c>
      <c r="AV88" s="110">
        <v>2.9624876393267923</v>
      </c>
      <c r="AW88" s="110">
        <v>1439.768992712821</v>
      </c>
      <c r="AX88" s="110">
        <v>2.241396758547479</v>
      </c>
      <c r="AY88" s="110">
        <v>1089.3188246540749</v>
      </c>
      <c r="AZ88" s="110">
        <v>4.0870307861965491</v>
      </c>
      <c r="BA88" s="110">
        <v>1986.2969620915228</v>
      </c>
      <c r="BB88" s="110">
        <v>6.3123444129382689</v>
      </c>
      <c r="BC88" s="110">
        <v>3067.7993846879986</v>
      </c>
      <c r="BD88" s="110">
        <v>4.8795535844601572</v>
      </c>
      <c r="BE88" s="110">
        <v>2371.4630420476365</v>
      </c>
      <c r="BF88" s="110">
        <v>3.3447710632322627</v>
      </c>
      <c r="BG88" s="110">
        <v>1625.5587367308797</v>
      </c>
      <c r="BH88" s="110">
        <v>2.3257406341408107</v>
      </c>
      <c r="BI88" s="110">
        <v>1130.3099481924339</v>
      </c>
      <c r="BJ88" s="110">
        <v>0</v>
      </c>
      <c r="BK88" s="110">
        <v>0</v>
      </c>
      <c r="BL88" s="110">
        <v>0</v>
      </c>
      <c r="BM88" s="110">
        <v>0</v>
      </c>
      <c r="BN88" s="110">
        <v>0</v>
      </c>
      <c r="BO88" s="110">
        <v>0</v>
      </c>
      <c r="BP88" s="110">
        <v>0</v>
      </c>
      <c r="BQ88" s="110">
        <v>0</v>
      </c>
      <c r="BR88" s="110">
        <v>0</v>
      </c>
      <c r="BS88" s="110">
        <v>0</v>
      </c>
      <c r="BT88" s="110">
        <v>0</v>
      </c>
      <c r="BU88" s="110">
        <v>0</v>
      </c>
      <c r="BV88" s="110">
        <v>0</v>
      </c>
      <c r="BW88" s="110">
        <v>0</v>
      </c>
      <c r="BX88" s="110">
        <v>0</v>
      </c>
      <c r="BY88" s="110">
        <v>0</v>
      </c>
      <c r="BZ88" s="110">
        <v>0</v>
      </c>
      <c r="CA88" s="110">
        <v>0</v>
      </c>
      <c r="CB88" s="110">
        <v>0</v>
      </c>
      <c r="CC88" s="110">
        <v>0</v>
      </c>
      <c r="CD88" s="110">
        <v>0</v>
      </c>
      <c r="CE88" s="110">
        <v>0</v>
      </c>
      <c r="CF88" s="110">
        <v>0</v>
      </c>
      <c r="CG88" s="110">
        <v>0</v>
      </c>
      <c r="CH88" s="110">
        <v>0.18170643976178699</v>
      </c>
      <c r="CI88" s="110">
        <v>88.309329724228476</v>
      </c>
      <c r="CJ88" s="110">
        <v>0.1763523149868915</v>
      </c>
      <c r="CK88" s="110">
        <v>85.707225083629268</v>
      </c>
      <c r="CL88" s="110">
        <v>0.21343175065853556</v>
      </c>
      <c r="CM88" s="110">
        <v>103.72783082004828</v>
      </c>
      <c r="CN88" s="110">
        <v>0.14589707819926329</v>
      </c>
      <c r="CO88" s="110">
        <v>70.90598000484195</v>
      </c>
      <c r="CP88" s="110">
        <v>7</v>
      </c>
      <c r="CQ88" s="110">
        <v>3402</v>
      </c>
      <c r="CR88" s="110">
        <v>4.3227232381406235</v>
      </c>
      <c r="CS88" s="110">
        <v>2100.8434937363431</v>
      </c>
      <c r="CT88" s="110">
        <v>6.3559201725240726</v>
      </c>
      <c r="CU88" s="110">
        <v>3088.9772038466995</v>
      </c>
    </row>
    <row r="89" spans="2:99" x14ac:dyDescent="0.2">
      <c r="C89" s="109" t="s">
        <v>257</v>
      </c>
      <c r="D89" s="110">
        <v>0</v>
      </c>
      <c r="E89" s="110">
        <v>0</v>
      </c>
      <c r="F89" s="110">
        <v>0.41313724729844009</v>
      </c>
      <c r="G89" s="110">
        <v>287.04775942295618</v>
      </c>
      <c r="H89" s="110">
        <v>1.0092457837630548</v>
      </c>
      <c r="I89" s="110">
        <v>701.2239705585705</v>
      </c>
      <c r="J89" s="110">
        <v>2.1666058199913478</v>
      </c>
      <c r="K89" s="110">
        <v>1505.3577237299883</v>
      </c>
      <c r="L89" s="110">
        <v>0.63945823554973091</v>
      </c>
      <c r="M89" s="110">
        <v>444.29558205995301</v>
      </c>
      <c r="N89" s="110">
        <v>2.8509936512107883</v>
      </c>
      <c r="O89" s="110">
        <v>1980.8703888612556</v>
      </c>
      <c r="P89" s="110">
        <v>1.5473732549935211</v>
      </c>
      <c r="Q89" s="110">
        <v>1075.1149375694984</v>
      </c>
      <c r="R89" s="110">
        <v>1.3214117668184577</v>
      </c>
      <c r="S89" s="110">
        <v>918.11689558546436</v>
      </c>
      <c r="T89" s="110">
        <v>2.4623143182488132</v>
      </c>
      <c r="U89" s="110">
        <v>1710.8159883192752</v>
      </c>
      <c r="V89" s="110">
        <v>0</v>
      </c>
      <c r="W89" s="110">
        <v>0</v>
      </c>
      <c r="X89" s="110">
        <v>0</v>
      </c>
      <c r="Y89" s="110">
        <v>0</v>
      </c>
      <c r="Z89" s="110">
        <v>0</v>
      </c>
      <c r="AA89" s="110">
        <v>0</v>
      </c>
      <c r="AB89" s="110">
        <v>0</v>
      </c>
      <c r="AC89" s="110">
        <v>0</v>
      </c>
      <c r="AD89" s="110">
        <v>1.2713846927876879E-2</v>
      </c>
      <c r="AE89" s="110">
        <v>8.8335808454888554</v>
      </c>
      <c r="AF89" s="110">
        <v>2.2935799418786752E-2</v>
      </c>
      <c r="AG89" s="110">
        <v>15.935793436173034</v>
      </c>
      <c r="AH89" s="110">
        <v>1.6935236183030129E-2</v>
      </c>
      <c r="AI89" s="110">
        <v>11.766602099969333</v>
      </c>
      <c r="AJ89" s="110">
        <v>1.9984661301819747E-2</v>
      </c>
      <c r="AK89" s="110">
        <v>13.885342672504359</v>
      </c>
      <c r="AL89" s="110">
        <v>6.5438889125165147</v>
      </c>
      <c r="AM89" s="110">
        <v>4546.6940164164744</v>
      </c>
      <c r="AN89" s="110">
        <v>6.2487663301892171</v>
      </c>
      <c r="AO89" s="110">
        <v>4341.6428462154681</v>
      </c>
      <c r="AP89" s="110">
        <v>4.5464925646181626</v>
      </c>
      <c r="AQ89" s="110">
        <v>3158.9030338966991</v>
      </c>
      <c r="AR89" s="110">
        <v>5.2433521778651038</v>
      </c>
      <c r="AS89" s="110">
        <v>3643.0810931806736</v>
      </c>
      <c r="AT89" s="110">
        <v>4.2884641441891498</v>
      </c>
      <c r="AU89" s="110">
        <v>2979.6248873826212</v>
      </c>
      <c r="AV89" s="110">
        <v>2.9624876393267923</v>
      </c>
      <c r="AW89" s="110">
        <v>2058.336411804255</v>
      </c>
      <c r="AX89" s="110">
        <v>2.241396758547479</v>
      </c>
      <c r="AY89" s="110">
        <v>1557.3224678387883</v>
      </c>
      <c r="AZ89" s="110">
        <v>4.9012618670394321</v>
      </c>
      <c r="BA89" s="110">
        <v>3405.3967452189972</v>
      </c>
      <c r="BB89" s="110">
        <v>5.4419099549420276</v>
      </c>
      <c r="BC89" s="110">
        <v>3781.0390366937204</v>
      </c>
      <c r="BD89" s="110">
        <v>5.6928125152035163</v>
      </c>
      <c r="BE89" s="110">
        <v>3955.3661355634031</v>
      </c>
      <c r="BF89" s="110">
        <v>3.3296934863460455</v>
      </c>
      <c r="BG89" s="110">
        <v>2313.4710343132324</v>
      </c>
      <c r="BH89" s="110">
        <v>2.3257406341408107</v>
      </c>
      <c r="BI89" s="110">
        <v>1615.9245926010351</v>
      </c>
      <c r="BJ89" s="110">
        <v>0</v>
      </c>
      <c r="BK89" s="110">
        <v>0</v>
      </c>
      <c r="BL89" s="110">
        <v>0</v>
      </c>
      <c r="BM89" s="110">
        <v>0</v>
      </c>
      <c r="BN89" s="110">
        <v>0</v>
      </c>
      <c r="BO89" s="110">
        <v>0</v>
      </c>
      <c r="BP89" s="110">
        <v>0</v>
      </c>
      <c r="BQ89" s="110">
        <v>0</v>
      </c>
      <c r="BR89" s="110">
        <v>0</v>
      </c>
      <c r="BS89" s="110">
        <v>0</v>
      </c>
      <c r="BT89" s="110">
        <v>0</v>
      </c>
      <c r="BU89" s="110">
        <v>0</v>
      </c>
      <c r="BV89" s="110">
        <v>0</v>
      </c>
      <c r="BW89" s="110">
        <v>0</v>
      </c>
      <c r="BX89" s="110">
        <v>0</v>
      </c>
      <c r="BY89" s="110">
        <v>0</v>
      </c>
      <c r="BZ89" s="110">
        <v>0</v>
      </c>
      <c r="CA89" s="110">
        <v>0</v>
      </c>
      <c r="CB89" s="110">
        <v>0</v>
      </c>
      <c r="CC89" s="110">
        <v>0</v>
      </c>
      <c r="CD89" s="110">
        <v>0</v>
      </c>
      <c r="CE89" s="110">
        <v>0</v>
      </c>
      <c r="CF89" s="110">
        <v>0</v>
      </c>
      <c r="CG89" s="110">
        <v>0</v>
      </c>
      <c r="CH89" s="110">
        <v>0.18222150915997579</v>
      </c>
      <c r="CI89" s="110">
        <v>126.60750456435117</v>
      </c>
      <c r="CJ89" s="110">
        <v>0.20520631266362291</v>
      </c>
      <c r="CK89" s="110">
        <v>142.57734603868519</v>
      </c>
      <c r="CL89" s="110">
        <v>0.25170717276265858</v>
      </c>
      <c r="CM89" s="110">
        <v>174.88614363549516</v>
      </c>
      <c r="CN89" s="110">
        <v>0.11824132567105265</v>
      </c>
      <c r="CO89" s="110">
        <v>82.154073076247371</v>
      </c>
      <c r="CP89" s="110">
        <v>6</v>
      </c>
      <c r="CQ89" s="110">
        <v>4168.7999999999993</v>
      </c>
      <c r="CR89" s="110">
        <v>5.3227232381406235</v>
      </c>
      <c r="CS89" s="110">
        <v>3698.2281058601052</v>
      </c>
      <c r="CT89" s="110">
        <v>6.3559201725240726</v>
      </c>
      <c r="CU89" s="110">
        <v>4416.0933358697257</v>
      </c>
    </row>
    <row r="90" spans="2:99" x14ac:dyDescent="0.2">
      <c r="C90" s="109" t="s">
        <v>258</v>
      </c>
      <c r="D90" s="110">
        <v>0</v>
      </c>
      <c r="E90" s="110">
        <v>0</v>
      </c>
      <c r="F90" s="110">
        <v>0.41313724729844009</v>
      </c>
      <c r="G90" s="110">
        <v>243.42046610824087</v>
      </c>
      <c r="H90" s="110">
        <v>1.0205100027382661</v>
      </c>
      <c r="I90" s="110">
        <v>601.2844936133863</v>
      </c>
      <c r="J90" s="110">
        <v>2.1666058199913478</v>
      </c>
      <c r="K90" s="110">
        <v>1276.5641491389019</v>
      </c>
      <c r="L90" s="110">
        <v>0.63945823554973091</v>
      </c>
      <c r="M90" s="110">
        <v>376.76879238590141</v>
      </c>
      <c r="N90" s="110">
        <v>2.8509936512107883</v>
      </c>
      <c r="O90" s="110">
        <v>1679.8054592933963</v>
      </c>
      <c r="P90" s="110">
        <v>1.5473732549935211</v>
      </c>
      <c r="Q90" s="110">
        <v>911.71232184218252</v>
      </c>
      <c r="R90" s="110">
        <v>1.2954474056342531</v>
      </c>
      <c r="S90" s="110">
        <v>763.27761139970187</v>
      </c>
      <c r="T90" s="110">
        <v>2.4623143182488132</v>
      </c>
      <c r="U90" s="110">
        <v>1450.7955963122006</v>
      </c>
      <c r="V90" s="110">
        <v>0</v>
      </c>
      <c r="W90" s="110">
        <v>0</v>
      </c>
      <c r="X90" s="110">
        <v>0</v>
      </c>
      <c r="Y90" s="110">
        <v>0</v>
      </c>
      <c r="Z90" s="110">
        <v>0</v>
      </c>
      <c r="AA90" s="110">
        <v>0</v>
      </c>
      <c r="AB90" s="110">
        <v>0</v>
      </c>
      <c r="AC90" s="110">
        <v>0</v>
      </c>
      <c r="AD90" s="110">
        <v>1.167518658118981E-2</v>
      </c>
      <c r="AE90" s="110">
        <v>6.8790199336370357</v>
      </c>
      <c r="AF90" s="110">
        <v>2.2935799418786752E-2</v>
      </c>
      <c r="AG90" s="110">
        <v>13.513773017549152</v>
      </c>
      <c r="AH90" s="110">
        <v>1.8436066557522689E-2</v>
      </c>
      <c r="AI90" s="110">
        <v>10.862530415692367</v>
      </c>
      <c r="AJ90" s="110">
        <v>2.1491066406799875E-2</v>
      </c>
      <c r="AK90" s="110">
        <v>12.662536326886485</v>
      </c>
      <c r="AL90" s="110">
        <v>6.5438889125165147</v>
      </c>
      <c r="AM90" s="110">
        <v>3855.6593472547302</v>
      </c>
      <c r="AN90" s="110">
        <v>6.2487663301892171</v>
      </c>
      <c r="AO90" s="110">
        <v>3681.7731217474861</v>
      </c>
      <c r="AP90" s="110">
        <v>5.1672190924390691</v>
      </c>
      <c r="AQ90" s="110">
        <v>3044.5254892650992</v>
      </c>
      <c r="AR90" s="110">
        <v>5.2839108741759544</v>
      </c>
      <c r="AS90" s="110">
        <v>3113.2802870644718</v>
      </c>
      <c r="AT90" s="110">
        <v>4.2884641441891498</v>
      </c>
      <c r="AU90" s="110">
        <v>2526.7630737562467</v>
      </c>
      <c r="AV90" s="110">
        <v>3.4562355792145913</v>
      </c>
      <c r="AW90" s="110">
        <v>2036.4140032732371</v>
      </c>
      <c r="AX90" s="110">
        <v>2.2604459759649425</v>
      </c>
      <c r="AY90" s="110">
        <v>1331.854769038544</v>
      </c>
      <c r="AZ90" s="110">
        <v>4.486208635626924</v>
      </c>
      <c r="BA90" s="110">
        <v>2643.2741281113831</v>
      </c>
      <c r="BB90" s="110">
        <v>6.3436734425046373</v>
      </c>
      <c r="BC90" s="110">
        <v>3737.6923923237318</v>
      </c>
      <c r="BD90" s="110">
        <v>4.8795535844601572</v>
      </c>
      <c r="BE90" s="110">
        <v>2875.0329719639244</v>
      </c>
      <c r="BF90" s="110">
        <v>3.7496745663608557</v>
      </c>
      <c r="BG90" s="110">
        <v>2209.308254499816</v>
      </c>
      <c r="BH90" s="110">
        <v>2.3257406341408107</v>
      </c>
      <c r="BI90" s="110">
        <v>1370.3263816357655</v>
      </c>
      <c r="BJ90" s="110">
        <v>0</v>
      </c>
      <c r="BK90" s="110">
        <v>0</v>
      </c>
      <c r="BL90" s="110">
        <v>0</v>
      </c>
      <c r="BM90" s="110">
        <v>0</v>
      </c>
      <c r="BN90" s="110">
        <v>0</v>
      </c>
      <c r="BO90" s="110">
        <v>0</v>
      </c>
      <c r="BP90" s="110">
        <v>0</v>
      </c>
      <c r="BQ90" s="110">
        <v>0</v>
      </c>
      <c r="BR90" s="110">
        <v>0</v>
      </c>
      <c r="BS90" s="110">
        <v>0</v>
      </c>
      <c r="BT90" s="110">
        <v>0</v>
      </c>
      <c r="BU90" s="110">
        <v>0</v>
      </c>
      <c r="BV90" s="110">
        <v>0</v>
      </c>
      <c r="BW90" s="110">
        <v>0</v>
      </c>
      <c r="BX90" s="110">
        <v>0</v>
      </c>
      <c r="BY90" s="110">
        <v>0</v>
      </c>
      <c r="BZ90" s="110">
        <v>0</v>
      </c>
      <c r="CA90" s="110">
        <v>0</v>
      </c>
      <c r="CB90" s="110">
        <v>0</v>
      </c>
      <c r="CC90" s="110">
        <v>0</v>
      </c>
      <c r="CD90" s="110">
        <v>0</v>
      </c>
      <c r="CE90" s="110">
        <v>0</v>
      </c>
      <c r="CF90" s="110">
        <v>0</v>
      </c>
      <c r="CG90" s="110">
        <v>0</v>
      </c>
      <c r="CH90" s="110">
        <v>0.16844219433144939</v>
      </c>
      <c r="CI90" s="110">
        <v>99.246140900089969</v>
      </c>
      <c r="CJ90" s="110">
        <v>0.1907793138252572</v>
      </c>
      <c r="CK90" s="110">
        <v>112.40717170584153</v>
      </c>
      <c r="CL90" s="110">
        <v>0.23329869398206182</v>
      </c>
      <c r="CM90" s="110">
        <v>137.45959049423081</v>
      </c>
      <c r="CN90" s="110">
        <v>0.14494478875448702</v>
      </c>
      <c r="CO90" s="110">
        <v>85.401469534143743</v>
      </c>
      <c r="CP90" s="110">
        <v>6</v>
      </c>
      <c r="CQ90" s="110">
        <v>3535.2</v>
      </c>
      <c r="CR90" s="110">
        <v>5.2868651005694431</v>
      </c>
      <c r="CS90" s="110">
        <v>3115.0209172555155</v>
      </c>
      <c r="CT90" s="110">
        <v>6.3203281552716657</v>
      </c>
      <c r="CU90" s="110">
        <v>3723.9373490860648</v>
      </c>
    </row>
    <row r="91" spans="2:99" x14ac:dyDescent="0.2">
      <c r="C91" s="109" t="s">
        <v>259</v>
      </c>
      <c r="D91" s="110">
        <v>0</v>
      </c>
      <c r="E91" s="110">
        <v>0</v>
      </c>
      <c r="F91" s="110">
        <v>0.41313724729844009</v>
      </c>
      <c r="G91" s="110">
        <v>263.74681867532416</v>
      </c>
      <c r="H91" s="110">
        <v>1.0092457837630548</v>
      </c>
      <c r="I91" s="110">
        <v>644.30250835433424</v>
      </c>
      <c r="J91" s="110">
        <v>2.1666058199913478</v>
      </c>
      <c r="K91" s="110">
        <v>1383.1611554824765</v>
      </c>
      <c r="L91" s="110">
        <v>0.64658835315234153</v>
      </c>
      <c r="M91" s="110">
        <v>412.78200465245482</v>
      </c>
      <c r="N91" s="110">
        <v>2.8191185909516943</v>
      </c>
      <c r="O91" s="110">
        <v>1799.7253084635615</v>
      </c>
      <c r="P91" s="110">
        <v>1.5473732549935211</v>
      </c>
      <c r="Q91" s="110">
        <v>987.84308598786379</v>
      </c>
      <c r="R91" s="110">
        <v>1.3214117668184577</v>
      </c>
      <c r="S91" s="110">
        <v>843.5892719369034</v>
      </c>
      <c r="T91" s="110">
        <v>2.4623143182488132</v>
      </c>
      <c r="U91" s="110">
        <v>1571.9414607700423</v>
      </c>
      <c r="V91" s="110">
        <v>0</v>
      </c>
      <c r="W91" s="110">
        <v>0</v>
      </c>
      <c r="X91" s="110">
        <v>0</v>
      </c>
      <c r="Y91" s="110">
        <v>0</v>
      </c>
      <c r="Z91" s="110">
        <v>0</v>
      </c>
      <c r="AA91" s="110">
        <v>0</v>
      </c>
      <c r="AB91" s="110">
        <v>0</v>
      </c>
      <c r="AC91" s="110">
        <v>0</v>
      </c>
      <c r="AD91" s="110">
        <v>1.0636526234502744E-2</v>
      </c>
      <c r="AE91" s="110">
        <v>6.7903583481065519</v>
      </c>
      <c r="AF91" s="110">
        <v>2.0642219476908075E-2</v>
      </c>
      <c r="AG91" s="110">
        <v>13.177992914058114</v>
      </c>
      <c r="AH91" s="110">
        <v>1.9876025208642102E-2</v>
      </c>
      <c r="AI91" s="110">
        <v>12.688854493197118</v>
      </c>
      <c r="AJ91" s="110">
        <v>1.9984661301819747E-2</v>
      </c>
      <c r="AK91" s="110">
        <v>12.758207775081726</v>
      </c>
      <c r="AL91" s="110">
        <v>6.5713242064709796</v>
      </c>
      <c r="AM91" s="110">
        <v>4195.1333734110731</v>
      </c>
      <c r="AN91" s="110">
        <v>6.2487663301892171</v>
      </c>
      <c r="AO91" s="110">
        <v>3989.2124251927962</v>
      </c>
      <c r="AP91" s="110">
        <v>5.1672190924390691</v>
      </c>
      <c r="AQ91" s="110">
        <v>3298.7526686131014</v>
      </c>
      <c r="AR91" s="110">
        <v>5.2839108741759544</v>
      </c>
      <c r="AS91" s="110">
        <v>3373.2487020739291</v>
      </c>
      <c r="AT91" s="110">
        <v>4.2884641441891498</v>
      </c>
      <c r="AU91" s="110">
        <v>2737.7555096503529</v>
      </c>
      <c r="AV91" s="110">
        <v>2.9624876393267923</v>
      </c>
      <c r="AW91" s="110">
        <v>1891.2521089462241</v>
      </c>
      <c r="AX91" s="110">
        <v>2.2604459759649425</v>
      </c>
      <c r="AY91" s="110">
        <v>1443.0687110560193</v>
      </c>
      <c r="AZ91" s="110">
        <v>4.0870307861965491</v>
      </c>
      <c r="BA91" s="110">
        <v>2609.1604539078767</v>
      </c>
      <c r="BB91" s="110">
        <v>5.4419099549420276</v>
      </c>
      <c r="BC91" s="110">
        <v>3474.1153152349902</v>
      </c>
      <c r="BD91" s="110">
        <v>4.8795535844601572</v>
      </c>
      <c r="BE91" s="110">
        <v>3115.107008319364</v>
      </c>
      <c r="BF91" s="110">
        <v>3.3296934863460455</v>
      </c>
      <c r="BG91" s="110">
        <v>2125.6763216833156</v>
      </c>
      <c r="BH91" s="110">
        <v>2.3257406341408107</v>
      </c>
      <c r="BI91" s="110">
        <v>1484.7528208354934</v>
      </c>
      <c r="BJ91" s="110">
        <v>0</v>
      </c>
      <c r="BK91" s="110">
        <v>0</v>
      </c>
      <c r="BL91" s="110">
        <v>0</v>
      </c>
      <c r="BM91" s="110">
        <v>0</v>
      </c>
      <c r="BN91" s="110">
        <v>0</v>
      </c>
      <c r="BO91" s="110">
        <v>0</v>
      </c>
      <c r="BP91" s="110">
        <v>0</v>
      </c>
      <c r="BQ91" s="110">
        <v>0</v>
      </c>
      <c r="BR91" s="110">
        <v>0</v>
      </c>
      <c r="BS91" s="110">
        <v>0</v>
      </c>
      <c r="BT91" s="110">
        <v>0</v>
      </c>
      <c r="BU91" s="110">
        <v>0</v>
      </c>
      <c r="BV91" s="110">
        <v>0</v>
      </c>
      <c r="BW91" s="110">
        <v>0</v>
      </c>
      <c r="BX91" s="110">
        <v>0</v>
      </c>
      <c r="BY91" s="110">
        <v>0</v>
      </c>
      <c r="BZ91" s="110">
        <v>0</v>
      </c>
      <c r="CA91" s="110">
        <v>0</v>
      </c>
      <c r="CB91" s="110">
        <v>0</v>
      </c>
      <c r="CC91" s="110">
        <v>0</v>
      </c>
      <c r="CD91" s="110">
        <v>0</v>
      </c>
      <c r="CE91" s="110">
        <v>0</v>
      </c>
      <c r="CF91" s="110">
        <v>0</v>
      </c>
      <c r="CG91" s="110">
        <v>0</v>
      </c>
      <c r="CH91" s="110">
        <v>0.19600082398850216</v>
      </c>
      <c r="CI91" s="110">
        <v>125.12692603425977</v>
      </c>
      <c r="CJ91" s="110">
        <v>0.17681350483353481</v>
      </c>
      <c r="CK91" s="110">
        <v>112.87774148572862</v>
      </c>
      <c r="CL91" s="110">
        <v>0.21343175065853556</v>
      </c>
      <c r="CM91" s="110">
        <v>136.25482962040911</v>
      </c>
      <c r="CN91" s="110">
        <v>0.14684936764403955</v>
      </c>
      <c r="CO91" s="110">
        <v>93.748636303954854</v>
      </c>
      <c r="CP91" s="110">
        <v>6</v>
      </c>
      <c r="CQ91" s="110">
        <v>3830.3999999999996</v>
      </c>
      <c r="CR91" s="110">
        <v>4.3227232381406235</v>
      </c>
      <c r="CS91" s="110">
        <v>2759.6265152289739</v>
      </c>
      <c r="CT91" s="110">
        <v>6.3203281552716657</v>
      </c>
      <c r="CU91" s="110">
        <v>4034.8974943254311</v>
      </c>
    </row>
    <row r="92" spans="2:99" x14ac:dyDescent="0.2">
      <c r="C92" s="109" t="s">
        <v>260</v>
      </c>
      <c r="D92" s="110">
        <v>0</v>
      </c>
      <c r="E92" s="110">
        <v>0</v>
      </c>
      <c r="F92" s="110">
        <v>0.4157163579877996</v>
      </c>
      <c r="G92" s="110">
        <v>207.52560590750954</v>
      </c>
      <c r="H92" s="110">
        <v>1.0092457837630548</v>
      </c>
      <c r="I92" s="110">
        <v>503.81549525451697</v>
      </c>
      <c r="J92" s="110">
        <v>2.1666058199913478</v>
      </c>
      <c r="K92" s="110">
        <v>1081.5696253396809</v>
      </c>
      <c r="L92" s="110">
        <v>0.63945823554973091</v>
      </c>
      <c r="M92" s="110">
        <v>319.21755118642568</v>
      </c>
      <c r="N92" s="110">
        <v>2.8509936512107883</v>
      </c>
      <c r="O92" s="110">
        <v>1423.2160306844255</v>
      </c>
      <c r="P92" s="110">
        <v>1.5473732549935211</v>
      </c>
      <c r="Q92" s="110">
        <v>772.44872889276576</v>
      </c>
      <c r="R92" s="110">
        <v>1.2954474056342531</v>
      </c>
      <c r="S92" s="110">
        <v>646.68734489261908</v>
      </c>
      <c r="T92" s="110">
        <v>2.4623143182488132</v>
      </c>
      <c r="U92" s="110">
        <v>1229.1873076698075</v>
      </c>
      <c r="V92" s="110">
        <v>0</v>
      </c>
      <c r="W92" s="110">
        <v>0</v>
      </c>
      <c r="X92" s="110">
        <v>0</v>
      </c>
      <c r="Y92" s="110">
        <v>0</v>
      </c>
      <c r="Z92" s="110">
        <v>0</v>
      </c>
      <c r="AA92" s="110">
        <v>0</v>
      </c>
      <c r="AB92" s="110">
        <v>0</v>
      </c>
      <c r="AC92" s="110">
        <v>0</v>
      </c>
      <c r="AD92" s="110">
        <v>1.167518658118981E-2</v>
      </c>
      <c r="AE92" s="110">
        <v>5.8282531413299532</v>
      </c>
      <c r="AF92" s="110">
        <v>2.0642219476908075E-2</v>
      </c>
      <c r="AG92" s="110">
        <v>10.304595962872511</v>
      </c>
      <c r="AH92" s="110">
        <v>1.9936896932015245E-2</v>
      </c>
      <c r="AI92" s="110">
        <v>9.9524989484620097</v>
      </c>
      <c r="AJ92" s="110">
        <v>2.1433724272931571E-2</v>
      </c>
      <c r="AK92" s="110">
        <v>10.699715157047439</v>
      </c>
      <c r="AL92" s="110">
        <v>5.9361400209874535</v>
      </c>
      <c r="AM92" s="110">
        <v>2963.3210984769366</v>
      </c>
      <c r="AN92" s="110">
        <v>6.2487663301892171</v>
      </c>
      <c r="AO92" s="110">
        <v>3119.3841520304572</v>
      </c>
      <c r="AP92" s="110">
        <v>5.1672190924390691</v>
      </c>
      <c r="AQ92" s="110">
        <v>2579.475770945583</v>
      </c>
      <c r="AR92" s="110">
        <v>5.2839108741759544</v>
      </c>
      <c r="AS92" s="110">
        <v>2637.7283083886364</v>
      </c>
      <c r="AT92" s="110">
        <v>4.2884641441891498</v>
      </c>
      <c r="AU92" s="110">
        <v>2140.8013007792233</v>
      </c>
      <c r="AV92" s="110">
        <v>2.9624876393267923</v>
      </c>
      <c r="AW92" s="110">
        <v>1478.8738295519347</v>
      </c>
      <c r="AX92" s="110">
        <v>2.241396758547479</v>
      </c>
      <c r="AY92" s="110">
        <v>1118.9052618669016</v>
      </c>
      <c r="AZ92" s="110">
        <v>4.8853864850572979</v>
      </c>
      <c r="BA92" s="110">
        <v>2438.7849333406029</v>
      </c>
      <c r="BB92" s="110">
        <v>5.4419099549420276</v>
      </c>
      <c r="BC92" s="110">
        <v>2716.6014495070599</v>
      </c>
      <c r="BD92" s="110">
        <v>5.6928125152035163</v>
      </c>
      <c r="BE92" s="110">
        <v>2841.8520075895954</v>
      </c>
      <c r="BF92" s="110">
        <v>3.3447710632322627</v>
      </c>
      <c r="BG92" s="110">
        <v>1669.7097147655454</v>
      </c>
      <c r="BH92" s="110">
        <v>2.3257406341408107</v>
      </c>
      <c r="BI92" s="110">
        <v>1161.0097245630927</v>
      </c>
      <c r="BJ92" s="110">
        <v>0</v>
      </c>
      <c r="BK92" s="110">
        <v>0</v>
      </c>
      <c r="BL92" s="110">
        <v>0</v>
      </c>
      <c r="BM92" s="110">
        <v>0</v>
      </c>
      <c r="BN92" s="110">
        <v>0</v>
      </c>
      <c r="BO92" s="110">
        <v>0</v>
      </c>
      <c r="BP92" s="110">
        <v>0</v>
      </c>
      <c r="BQ92" s="110">
        <v>0</v>
      </c>
      <c r="BR92" s="110">
        <v>0</v>
      </c>
      <c r="BS92" s="110">
        <v>0</v>
      </c>
      <c r="BT92" s="110">
        <v>0</v>
      </c>
      <c r="BU92" s="110">
        <v>0</v>
      </c>
      <c r="BV92" s="110">
        <v>0</v>
      </c>
      <c r="BW92" s="110">
        <v>0</v>
      </c>
      <c r="BX92" s="110">
        <v>0</v>
      </c>
      <c r="BY92" s="110">
        <v>0</v>
      </c>
      <c r="BZ92" s="110">
        <v>0</v>
      </c>
      <c r="CA92" s="110">
        <v>0</v>
      </c>
      <c r="CB92" s="110">
        <v>0</v>
      </c>
      <c r="CC92" s="110">
        <v>0</v>
      </c>
      <c r="CD92" s="110">
        <v>0</v>
      </c>
      <c r="CE92" s="110">
        <v>0</v>
      </c>
      <c r="CF92" s="110">
        <v>0</v>
      </c>
      <c r="CG92" s="110">
        <v>0</v>
      </c>
      <c r="CH92" s="110">
        <v>0.18222150915997579</v>
      </c>
      <c r="CI92" s="110">
        <v>90.964977372659916</v>
      </c>
      <c r="CJ92" s="110">
        <v>0.1907793138252572</v>
      </c>
      <c r="CK92" s="110">
        <v>95.237033461568387</v>
      </c>
      <c r="CL92" s="110">
        <v>0.23329869398206182</v>
      </c>
      <c r="CM92" s="110">
        <v>116.46270803584525</v>
      </c>
      <c r="CN92" s="110">
        <v>0.14684936764403955</v>
      </c>
      <c r="CO92" s="110">
        <v>73.307204327904543</v>
      </c>
      <c r="CP92" s="110">
        <v>6</v>
      </c>
      <c r="CQ92" s="110">
        <v>2995.2</v>
      </c>
      <c r="CR92" s="110">
        <v>5.3227232381406235</v>
      </c>
      <c r="CS92" s="110">
        <v>2657.1034404797992</v>
      </c>
      <c r="CT92" s="110">
        <v>7.3559201725240726</v>
      </c>
      <c r="CU92" s="110">
        <v>3672.0753501240169</v>
      </c>
    </row>
    <row r="93" spans="2:99" x14ac:dyDescent="0.2">
      <c r="C93" s="109" t="s">
        <v>261</v>
      </c>
      <c r="D93" s="110">
        <v>0</v>
      </c>
      <c r="E93" s="110">
        <v>0</v>
      </c>
      <c r="F93" s="110">
        <v>0.4157163579877996</v>
      </c>
      <c r="G93" s="110">
        <v>72.334646289877128</v>
      </c>
      <c r="H93" s="110">
        <v>1.0092457837630548</v>
      </c>
      <c r="I93" s="110">
        <v>175.60876637477153</v>
      </c>
      <c r="J93" s="110">
        <v>2.1666058199913478</v>
      </c>
      <c r="K93" s="110">
        <v>376.98941267849455</v>
      </c>
      <c r="L93" s="110">
        <v>0.64658835315234153</v>
      </c>
      <c r="M93" s="110">
        <v>112.50637344850743</v>
      </c>
      <c r="N93" s="110">
        <v>2.8509936512107883</v>
      </c>
      <c r="O93" s="110">
        <v>496.07289531067715</v>
      </c>
      <c r="P93" s="110">
        <v>1.5473732549935211</v>
      </c>
      <c r="Q93" s="110">
        <v>269.24294636887265</v>
      </c>
      <c r="R93" s="110">
        <v>1.3214117668184577</v>
      </c>
      <c r="S93" s="110">
        <v>229.92564742641164</v>
      </c>
      <c r="T93" s="110">
        <v>2.4623143182488132</v>
      </c>
      <c r="U93" s="110">
        <v>428.44269137529352</v>
      </c>
      <c r="V93" s="110">
        <v>0</v>
      </c>
      <c r="W93" s="110">
        <v>0</v>
      </c>
      <c r="X93" s="110">
        <v>0</v>
      </c>
      <c r="Y93" s="110">
        <v>0</v>
      </c>
      <c r="Z93" s="110">
        <v>0</v>
      </c>
      <c r="AA93" s="110">
        <v>0</v>
      </c>
      <c r="AB93" s="110">
        <v>0</v>
      </c>
      <c r="AC93" s="110">
        <v>0</v>
      </c>
      <c r="AD93" s="110">
        <v>1.167518658118981E-2</v>
      </c>
      <c r="AE93" s="110">
        <v>2.0314824651270271</v>
      </c>
      <c r="AF93" s="110">
        <v>2.0642219476908075E-2</v>
      </c>
      <c r="AG93" s="110">
        <v>3.5917461889820053</v>
      </c>
      <c r="AH93" s="110">
        <v>1.8436066557522689E-2</v>
      </c>
      <c r="AI93" s="110">
        <v>3.2078755810089477</v>
      </c>
      <c r="AJ93" s="110">
        <v>1.9984661301819747E-2</v>
      </c>
      <c r="AK93" s="110">
        <v>3.4773310665166361</v>
      </c>
      <c r="AL93" s="110">
        <v>5.9361400209874535</v>
      </c>
      <c r="AM93" s="110">
        <v>1032.8883636518169</v>
      </c>
      <c r="AN93" s="110">
        <v>5.5808091083427316</v>
      </c>
      <c r="AO93" s="110">
        <v>971.06078485163528</v>
      </c>
      <c r="AP93" s="110">
        <v>4.5464925646181626</v>
      </c>
      <c r="AQ93" s="110">
        <v>791.08970624356027</v>
      </c>
      <c r="AR93" s="110">
        <v>6.2839108741759544</v>
      </c>
      <c r="AS93" s="110">
        <v>1093.400492106616</v>
      </c>
      <c r="AT93" s="110">
        <v>4.2884641441891498</v>
      </c>
      <c r="AU93" s="110">
        <v>746.19276108891211</v>
      </c>
      <c r="AV93" s="110">
        <v>2.9624876393267923</v>
      </c>
      <c r="AW93" s="110">
        <v>515.4728492428618</v>
      </c>
      <c r="AX93" s="110">
        <v>2.2604459759649425</v>
      </c>
      <c r="AY93" s="110">
        <v>393.31759981789997</v>
      </c>
      <c r="AZ93" s="110">
        <v>4.486208635626924</v>
      </c>
      <c r="BA93" s="110">
        <v>780.60030259908478</v>
      </c>
      <c r="BB93" s="110">
        <v>6.3436734425046373</v>
      </c>
      <c r="BC93" s="110">
        <v>1103.7991789958069</v>
      </c>
      <c r="BD93" s="110">
        <v>5.6928125152035163</v>
      </c>
      <c r="BE93" s="110">
        <v>990.54937764541182</v>
      </c>
      <c r="BF93" s="110">
        <v>3.7496745663608557</v>
      </c>
      <c r="BG93" s="110">
        <v>652.44337454678885</v>
      </c>
      <c r="BH93" s="110">
        <v>2.3257406341408107</v>
      </c>
      <c r="BI93" s="110">
        <v>404.67887034050108</v>
      </c>
      <c r="BJ93" s="110">
        <v>0</v>
      </c>
      <c r="BK93" s="110">
        <v>0</v>
      </c>
      <c r="BL93" s="110">
        <v>0</v>
      </c>
      <c r="BM93" s="110">
        <v>0</v>
      </c>
      <c r="BN93" s="110">
        <v>0</v>
      </c>
      <c r="BO93" s="110">
        <v>0</v>
      </c>
      <c r="BP93" s="110">
        <v>0</v>
      </c>
      <c r="BQ93" s="110">
        <v>0</v>
      </c>
      <c r="BR93" s="110">
        <v>0</v>
      </c>
      <c r="BS93" s="110">
        <v>0</v>
      </c>
      <c r="BT93" s="110">
        <v>0</v>
      </c>
      <c r="BU93" s="110">
        <v>0</v>
      </c>
      <c r="BV93" s="110">
        <v>0</v>
      </c>
      <c r="BW93" s="110">
        <v>0</v>
      </c>
      <c r="BX93" s="110">
        <v>0</v>
      </c>
      <c r="BY93" s="110">
        <v>0</v>
      </c>
      <c r="BZ93" s="110">
        <v>0</v>
      </c>
      <c r="CA93" s="110">
        <v>0</v>
      </c>
      <c r="CB93" s="110">
        <v>0</v>
      </c>
      <c r="CC93" s="110">
        <v>0</v>
      </c>
      <c r="CD93" s="110">
        <v>0</v>
      </c>
      <c r="CE93" s="110">
        <v>0</v>
      </c>
      <c r="CF93" s="110">
        <v>0</v>
      </c>
      <c r="CG93" s="110">
        <v>0</v>
      </c>
      <c r="CH93" s="110">
        <v>0.18222150915997579</v>
      </c>
      <c r="CI93" s="110">
        <v>31.706542593835788</v>
      </c>
      <c r="CJ93" s="110">
        <v>0.20520631266362291</v>
      </c>
      <c r="CK93" s="110">
        <v>35.705898403470385</v>
      </c>
      <c r="CL93" s="110">
        <v>0.27157411608618487</v>
      </c>
      <c r="CM93" s="110">
        <v>47.253896198996166</v>
      </c>
      <c r="CN93" s="110">
        <v>0.14589707819926329</v>
      </c>
      <c r="CO93" s="110">
        <v>25.386091606671812</v>
      </c>
      <c r="CP93" s="110">
        <v>6</v>
      </c>
      <c r="CQ93" s="110">
        <v>1044</v>
      </c>
      <c r="CR93" s="110">
        <v>4.3227232381406235</v>
      </c>
      <c r="CS93" s="110">
        <v>752.15384343646849</v>
      </c>
      <c r="CT93" s="110">
        <v>7.3559201725240726</v>
      </c>
      <c r="CU93" s="110">
        <v>1279.9301100191885</v>
      </c>
    </row>
    <row r="94" spans="2:99" x14ac:dyDescent="0.2">
      <c r="C94" s="109" t="s">
        <v>262</v>
      </c>
      <c r="D94" s="110">
        <v>0</v>
      </c>
      <c r="E94" s="110">
        <v>0</v>
      </c>
      <c r="F94" s="110">
        <v>0.41313724729844009</v>
      </c>
      <c r="G94" s="110">
        <v>295.47575926784435</v>
      </c>
      <c r="H94" s="110">
        <v>1.0092457837630548</v>
      </c>
      <c r="I94" s="110">
        <v>721.81258454733677</v>
      </c>
      <c r="J94" s="110">
        <v>2.1666058199913478</v>
      </c>
      <c r="K94" s="110">
        <v>1549.5564824578119</v>
      </c>
      <c r="L94" s="110">
        <v>0.63945823554973091</v>
      </c>
      <c r="M94" s="110">
        <v>457.34053006516751</v>
      </c>
      <c r="N94" s="110">
        <v>2.8509936512107883</v>
      </c>
      <c r="O94" s="110">
        <v>2039.0306593459557</v>
      </c>
      <c r="P94" s="110">
        <v>1.5273062562236093</v>
      </c>
      <c r="Q94" s="110">
        <v>1092.3294344511253</v>
      </c>
      <c r="R94" s="110">
        <v>1.8782602054908688</v>
      </c>
      <c r="S94" s="110">
        <v>1343.3316989670693</v>
      </c>
      <c r="T94" s="110">
        <v>2.4623143182488132</v>
      </c>
      <c r="U94" s="110">
        <v>1761.0472004115511</v>
      </c>
      <c r="V94" s="110">
        <v>0</v>
      </c>
      <c r="W94" s="110">
        <v>0</v>
      </c>
      <c r="X94" s="110">
        <v>0</v>
      </c>
      <c r="Y94" s="110">
        <v>0</v>
      </c>
      <c r="Z94" s="110">
        <v>0</v>
      </c>
      <c r="AA94" s="110">
        <v>0</v>
      </c>
      <c r="AB94" s="110">
        <v>0</v>
      </c>
      <c r="AC94" s="110">
        <v>0</v>
      </c>
      <c r="AD94" s="110">
        <v>1.167518658118981E-2</v>
      </c>
      <c r="AE94" s="110">
        <v>8.3500934428669513</v>
      </c>
      <c r="AF94" s="110">
        <v>2.2935799418786752E-2</v>
      </c>
      <c r="AG94" s="110">
        <v>16.403683744316282</v>
      </c>
      <c r="AH94" s="110">
        <v>1.8436066557522689E-2</v>
      </c>
      <c r="AI94" s="110">
        <v>13.185474801940225</v>
      </c>
      <c r="AJ94" s="110">
        <v>1.9927319167951443E-2</v>
      </c>
      <c r="AK94" s="110">
        <v>14.25201866891887</v>
      </c>
      <c r="AL94" s="110">
        <v>6.5438889125165147</v>
      </c>
      <c r="AM94" s="110">
        <v>4680.1893502318107</v>
      </c>
      <c r="AN94" s="110">
        <v>6.2487663301892171</v>
      </c>
      <c r="AO94" s="110">
        <v>4469.1176793513278</v>
      </c>
      <c r="AP94" s="110">
        <v>4.5213167058841854</v>
      </c>
      <c r="AQ94" s="110">
        <v>3233.6457080483692</v>
      </c>
      <c r="AR94" s="110">
        <v>6.2839108741759544</v>
      </c>
      <c r="AS94" s="110">
        <v>4494.2530572106425</v>
      </c>
      <c r="AT94" s="110">
        <v>4.2884641441891498</v>
      </c>
      <c r="AU94" s="110">
        <v>3067.1095559240798</v>
      </c>
      <c r="AV94" s="110">
        <v>2.9624876393267923</v>
      </c>
      <c r="AW94" s="110">
        <v>2118.7711596465215</v>
      </c>
      <c r="AX94" s="110">
        <v>2.2604459759649425</v>
      </c>
      <c r="AY94" s="110">
        <v>1616.6709620101267</v>
      </c>
      <c r="AZ94" s="110">
        <v>4.486208635626924</v>
      </c>
      <c r="BA94" s="110">
        <v>3208.5364162003757</v>
      </c>
      <c r="BB94" s="110">
        <v>5.4419099549420276</v>
      </c>
      <c r="BC94" s="110">
        <v>3892.0539997745377</v>
      </c>
      <c r="BD94" s="110">
        <v>5.6928125152035163</v>
      </c>
      <c r="BE94" s="110">
        <v>4071.4995108735543</v>
      </c>
      <c r="BF94" s="110">
        <v>3.3296934863460455</v>
      </c>
      <c r="BG94" s="110">
        <v>2381.3967814346915</v>
      </c>
      <c r="BH94" s="110">
        <v>2.3257406341408107</v>
      </c>
      <c r="BI94" s="110">
        <v>1663.3697015375076</v>
      </c>
      <c r="BJ94" s="110">
        <v>0</v>
      </c>
      <c r="BK94" s="110">
        <v>0</v>
      </c>
      <c r="BL94" s="110">
        <v>0</v>
      </c>
      <c r="BM94" s="110">
        <v>0</v>
      </c>
      <c r="BN94" s="110">
        <v>0</v>
      </c>
      <c r="BO94" s="110">
        <v>0</v>
      </c>
      <c r="BP94" s="110">
        <v>0</v>
      </c>
      <c r="BQ94" s="110">
        <v>0</v>
      </c>
      <c r="BR94" s="110">
        <v>0</v>
      </c>
      <c r="BS94" s="110">
        <v>0</v>
      </c>
      <c r="BT94" s="110">
        <v>0</v>
      </c>
      <c r="BU94" s="110">
        <v>0</v>
      </c>
      <c r="BV94" s="110">
        <v>0</v>
      </c>
      <c r="BW94" s="110">
        <v>0</v>
      </c>
      <c r="BX94" s="110">
        <v>0</v>
      </c>
      <c r="BY94" s="110">
        <v>0</v>
      </c>
      <c r="BZ94" s="110">
        <v>0</v>
      </c>
      <c r="CA94" s="110">
        <v>0</v>
      </c>
      <c r="CB94" s="110">
        <v>0</v>
      </c>
      <c r="CC94" s="110">
        <v>0</v>
      </c>
      <c r="CD94" s="110">
        <v>0</v>
      </c>
      <c r="CE94" s="110">
        <v>0</v>
      </c>
      <c r="CF94" s="110">
        <v>0</v>
      </c>
      <c r="CG94" s="110">
        <v>0</v>
      </c>
      <c r="CH94" s="110">
        <v>0.19600082398850216</v>
      </c>
      <c r="CI94" s="110">
        <v>140.17978931657674</v>
      </c>
      <c r="CJ94" s="110">
        <v>0.20520631266362291</v>
      </c>
      <c r="CK94" s="110">
        <v>146.76355481702308</v>
      </c>
      <c r="CL94" s="110">
        <v>0.21343175065853556</v>
      </c>
      <c r="CM94" s="110">
        <v>152.64638807098461</v>
      </c>
      <c r="CN94" s="110">
        <v>0.11919361511582892</v>
      </c>
      <c r="CO94" s="110">
        <v>85.247273530840829</v>
      </c>
      <c r="CP94" s="110">
        <v>6</v>
      </c>
      <c r="CQ94" s="110">
        <v>4291.2</v>
      </c>
      <c r="CR94" s="110">
        <v>4.2868651005694431</v>
      </c>
      <c r="CS94" s="110">
        <v>3065.9659199272655</v>
      </c>
      <c r="CT94" s="110">
        <v>7.3915121897764795</v>
      </c>
      <c r="CU94" s="110">
        <v>5286.4095181281373</v>
      </c>
    </row>
    <row r="95" spans="2:99" x14ac:dyDescent="0.2">
      <c r="B95" s="109" t="s">
        <v>132</v>
      </c>
      <c r="C95" s="109" t="s">
        <v>263</v>
      </c>
      <c r="D95" s="110">
        <v>0</v>
      </c>
      <c r="E95" s="110">
        <v>0</v>
      </c>
      <c r="F95" s="110">
        <v>1.3547718650203513</v>
      </c>
      <c r="G95" s="110">
        <v>895.77515715145614</v>
      </c>
      <c r="H95" s="110">
        <v>2.4780575835067924</v>
      </c>
      <c r="I95" s="110">
        <v>1638.4916742146909</v>
      </c>
      <c r="J95" s="110">
        <v>3.791560184984859</v>
      </c>
      <c r="K95" s="110">
        <v>2506.9795943119884</v>
      </c>
      <c r="L95" s="110">
        <v>2.3070593838782067</v>
      </c>
      <c r="M95" s="110">
        <v>1525.4276646202702</v>
      </c>
      <c r="N95" s="110">
        <v>6.2155165886049364</v>
      </c>
      <c r="O95" s="110">
        <v>4109.6995683855839</v>
      </c>
      <c r="P95" s="110">
        <v>7.2753253032596374</v>
      </c>
      <c r="Q95" s="110">
        <v>4810.4450905152717</v>
      </c>
      <c r="R95" s="110">
        <v>7.7063882040570242</v>
      </c>
      <c r="S95" s="110">
        <v>5095.463880522504</v>
      </c>
      <c r="T95" s="110">
        <v>5.7454000759138966</v>
      </c>
      <c r="U95" s="110">
        <v>3798.858530194268</v>
      </c>
      <c r="V95" s="110">
        <v>0</v>
      </c>
      <c r="W95" s="110">
        <v>0</v>
      </c>
      <c r="X95" s="110">
        <v>0</v>
      </c>
      <c r="Y95" s="110">
        <v>0</v>
      </c>
      <c r="Z95" s="110">
        <v>0</v>
      </c>
      <c r="AA95" s="110">
        <v>0</v>
      </c>
      <c r="AB95" s="110">
        <v>0</v>
      </c>
      <c r="AC95" s="110">
        <v>0</v>
      </c>
      <c r="AD95" s="110">
        <v>4.1546413867482685E-3</v>
      </c>
      <c r="AE95" s="110">
        <v>2.7470488849179548</v>
      </c>
      <c r="AF95" s="110">
        <v>1.1467899709393376E-2</v>
      </c>
      <c r="AG95" s="110">
        <v>7.582575287850899</v>
      </c>
      <c r="AH95" s="110">
        <v>7.9911256594479337E-3</v>
      </c>
      <c r="AI95" s="110">
        <v>5.2837322860269733</v>
      </c>
      <c r="AJ95" s="110">
        <v>7.8187361942421412E-3</v>
      </c>
      <c r="AK95" s="110">
        <v>5.1697483716329033</v>
      </c>
      <c r="AL95" s="110">
        <v>3.9757168766279443</v>
      </c>
      <c r="AM95" s="110">
        <v>2628.7439988263964</v>
      </c>
      <c r="AN95" s="110">
        <v>4.1559629145606927</v>
      </c>
      <c r="AO95" s="110">
        <v>2747.9226791075298</v>
      </c>
      <c r="AP95" s="110">
        <v>6.3834962893469056</v>
      </c>
      <c r="AQ95" s="110">
        <v>4220.7677465161732</v>
      </c>
      <c r="AR95" s="110">
        <v>4.3650282667976557</v>
      </c>
      <c r="AS95" s="110">
        <v>2886.1566900066096</v>
      </c>
      <c r="AT95" s="110">
        <v>3.4307713153513197</v>
      </c>
      <c r="AU95" s="110">
        <v>2268.4259937102925</v>
      </c>
      <c r="AV95" s="110">
        <v>2.9624876393267923</v>
      </c>
      <c r="AW95" s="110">
        <v>1958.7968271228749</v>
      </c>
      <c r="AX95" s="110">
        <v>3.1379554619664707</v>
      </c>
      <c r="AY95" s="110">
        <v>2074.8161514522303</v>
      </c>
      <c r="AZ95" s="110">
        <v>2.1228923030089466</v>
      </c>
      <c r="BA95" s="110">
        <v>1403.6563907495154</v>
      </c>
      <c r="BB95" s="110">
        <v>3.7636990980822822</v>
      </c>
      <c r="BC95" s="110">
        <v>2488.5578436520045</v>
      </c>
      <c r="BD95" s="110">
        <v>3.2530357229734381</v>
      </c>
      <c r="BE95" s="110">
        <v>2150.907220030037</v>
      </c>
      <c r="BF95" s="110">
        <v>2.5500416338612935</v>
      </c>
      <c r="BG95" s="110">
        <v>1686.087528309087</v>
      </c>
      <c r="BH95" s="110">
        <v>3.1009875121877477</v>
      </c>
      <c r="BI95" s="110">
        <v>2050.3729430585386</v>
      </c>
      <c r="BJ95" s="110">
        <v>0</v>
      </c>
      <c r="BK95" s="110">
        <v>0</v>
      </c>
      <c r="BL95" s="110">
        <v>0</v>
      </c>
      <c r="BM95" s="110">
        <v>0</v>
      </c>
      <c r="BN95" s="110">
        <v>0</v>
      </c>
      <c r="BO95" s="110">
        <v>0</v>
      </c>
      <c r="BP95" s="110">
        <v>0</v>
      </c>
      <c r="BQ95" s="110">
        <v>0</v>
      </c>
      <c r="BR95" s="110">
        <v>0</v>
      </c>
      <c r="BS95" s="110">
        <v>0</v>
      </c>
      <c r="BT95" s="110">
        <v>0</v>
      </c>
      <c r="BU95" s="110">
        <v>0</v>
      </c>
      <c r="BV95" s="110">
        <v>0</v>
      </c>
      <c r="BW95" s="110">
        <v>0</v>
      </c>
      <c r="BX95" s="110">
        <v>0</v>
      </c>
      <c r="BY95" s="110">
        <v>0</v>
      </c>
      <c r="BZ95" s="110">
        <v>0</v>
      </c>
      <c r="CA95" s="110">
        <v>0</v>
      </c>
      <c r="CB95" s="110">
        <v>0</v>
      </c>
      <c r="CC95" s="110">
        <v>0</v>
      </c>
      <c r="CD95" s="110">
        <v>0</v>
      </c>
      <c r="CE95" s="110">
        <v>0</v>
      </c>
      <c r="CF95" s="110">
        <v>0</v>
      </c>
      <c r="CG95" s="110">
        <v>0</v>
      </c>
      <c r="CH95" s="110">
        <v>0.11538521261009901</v>
      </c>
      <c r="CI95" s="110">
        <v>76.292702577797456</v>
      </c>
      <c r="CJ95" s="110">
        <v>0.12233383840657518</v>
      </c>
      <c r="CK95" s="110">
        <v>80.887133954427497</v>
      </c>
      <c r="CL95" s="110">
        <v>0.10298087797495512</v>
      </c>
      <c r="CM95" s="110">
        <v>68.090956517040311</v>
      </c>
      <c r="CN95" s="110">
        <v>0.1745051201722502</v>
      </c>
      <c r="CO95" s="110">
        <v>115.38278545789181</v>
      </c>
      <c r="CP95" s="110">
        <v>5</v>
      </c>
      <c r="CQ95" s="110">
        <v>3305.9999999999995</v>
      </c>
      <c r="CR95" s="110">
        <v>5.3227232381406235</v>
      </c>
      <c r="CS95" s="110">
        <v>3519.3846050585798</v>
      </c>
      <c r="CT95" s="110">
        <v>8.2847361380192588</v>
      </c>
      <c r="CU95" s="110">
        <v>5477.8675344583335</v>
      </c>
    </row>
    <row r="96" spans="2:99" x14ac:dyDescent="0.2">
      <c r="C96" s="109" t="s">
        <v>264</v>
      </c>
      <c r="D96" s="110">
        <v>0</v>
      </c>
      <c r="E96" s="110">
        <v>0</v>
      </c>
      <c r="F96" s="110">
        <v>1.2213579670698036</v>
      </c>
      <c r="G96" s="110">
        <v>1364.5011208103847</v>
      </c>
      <c r="H96" s="110">
        <v>2.2370103565412398</v>
      </c>
      <c r="I96" s="110">
        <v>2499.1879703278732</v>
      </c>
      <c r="J96" s="110">
        <v>3.791560184984859</v>
      </c>
      <c r="K96" s="110">
        <v>4235.931038665085</v>
      </c>
      <c r="L96" s="110">
        <v>2.6089632076465459</v>
      </c>
      <c r="M96" s="110">
        <v>2914.7336955827213</v>
      </c>
      <c r="N96" s="110">
        <v>5.5426120011261073</v>
      </c>
      <c r="O96" s="110">
        <v>6192.2061276580871</v>
      </c>
      <c r="P96" s="110">
        <v>7.2753253032596374</v>
      </c>
      <c r="Q96" s="110">
        <v>8127.9934288016675</v>
      </c>
      <c r="R96" s="110">
        <v>6.5407626043437936</v>
      </c>
      <c r="S96" s="110">
        <v>7307.3399815728862</v>
      </c>
      <c r="T96" s="110">
        <v>5.7454000759138966</v>
      </c>
      <c r="U96" s="110">
        <v>6418.7609648110056</v>
      </c>
      <c r="V96" s="110">
        <v>0</v>
      </c>
      <c r="W96" s="110">
        <v>0</v>
      </c>
      <c r="X96" s="110">
        <v>0</v>
      </c>
      <c r="Y96" s="110">
        <v>0</v>
      </c>
      <c r="Z96" s="110">
        <v>0</v>
      </c>
      <c r="AA96" s="110">
        <v>0</v>
      </c>
      <c r="AB96" s="110">
        <v>0</v>
      </c>
      <c r="AC96" s="110">
        <v>0</v>
      </c>
      <c r="AD96" s="110">
        <v>4.1546413867482685E-3</v>
      </c>
      <c r="AE96" s="110">
        <v>4.6415653572751658</v>
      </c>
      <c r="AF96" s="110">
        <v>1.1467899709393376E-2</v>
      </c>
      <c r="AG96" s="110">
        <v>12.81193755533428</v>
      </c>
      <c r="AH96" s="110">
        <v>6.490295284955378E-3</v>
      </c>
      <c r="AI96" s="110">
        <v>7.2509578923521483</v>
      </c>
      <c r="AJ96" s="110">
        <v>7.8187361942421412E-3</v>
      </c>
      <c r="AK96" s="110">
        <v>8.7350920762073212</v>
      </c>
      <c r="AL96" s="110">
        <v>3.3405326911444178</v>
      </c>
      <c r="AM96" s="110">
        <v>3732.0431225465436</v>
      </c>
      <c r="AN96" s="110">
        <v>4.8239201364071791</v>
      </c>
      <c r="AO96" s="110">
        <v>5389.2835763941011</v>
      </c>
      <c r="AP96" s="110">
        <v>6.4086721480808828</v>
      </c>
      <c r="AQ96" s="110">
        <v>7159.7685238359627</v>
      </c>
      <c r="AR96" s="110">
        <v>4.324469570486805</v>
      </c>
      <c r="AS96" s="110">
        <v>4831.2974041478592</v>
      </c>
      <c r="AT96" s="110">
        <v>4.2884641441891498</v>
      </c>
      <c r="AU96" s="110">
        <v>4791.0721418881185</v>
      </c>
      <c r="AV96" s="110">
        <v>2.9624876393267923</v>
      </c>
      <c r="AW96" s="110">
        <v>3309.6911906558926</v>
      </c>
      <c r="AX96" s="110">
        <v>2.6896761102569751</v>
      </c>
      <c r="AY96" s="110">
        <v>3004.9061503790927</v>
      </c>
      <c r="AZ96" s="110">
        <v>2.522070152439321</v>
      </c>
      <c r="BA96" s="110">
        <v>2817.6567743052096</v>
      </c>
      <c r="BB96" s="110">
        <v>2.8932646400860405</v>
      </c>
      <c r="BC96" s="110">
        <v>3232.3552559041245</v>
      </c>
      <c r="BD96" s="110">
        <v>4.0662946537167981</v>
      </c>
      <c r="BE96" s="110">
        <v>4542.8643871324066</v>
      </c>
      <c r="BF96" s="110">
        <v>2.9700227138761028</v>
      </c>
      <c r="BG96" s="110">
        <v>3318.109375942382</v>
      </c>
      <c r="BH96" s="110">
        <v>3.1009875121877477</v>
      </c>
      <c r="BI96" s="110">
        <v>3464.4232486161518</v>
      </c>
      <c r="BJ96" s="110">
        <v>0</v>
      </c>
      <c r="BK96" s="110">
        <v>0</v>
      </c>
      <c r="BL96" s="110">
        <v>0</v>
      </c>
      <c r="BM96" s="110">
        <v>0</v>
      </c>
      <c r="BN96" s="110">
        <v>0</v>
      </c>
      <c r="BO96" s="110">
        <v>0</v>
      </c>
      <c r="BP96" s="110">
        <v>0</v>
      </c>
      <c r="BQ96" s="110">
        <v>0</v>
      </c>
      <c r="BR96" s="110">
        <v>0</v>
      </c>
      <c r="BS96" s="110">
        <v>0</v>
      </c>
      <c r="BT96" s="110">
        <v>0</v>
      </c>
      <c r="BU96" s="110">
        <v>0</v>
      </c>
      <c r="BV96" s="110">
        <v>0</v>
      </c>
      <c r="BW96" s="110">
        <v>0</v>
      </c>
      <c r="BX96" s="110">
        <v>0</v>
      </c>
      <c r="BY96" s="110">
        <v>0</v>
      </c>
      <c r="BZ96" s="110">
        <v>0</v>
      </c>
      <c r="CA96" s="110">
        <v>0</v>
      </c>
      <c r="CB96" s="110">
        <v>0</v>
      </c>
      <c r="CC96" s="110">
        <v>0</v>
      </c>
      <c r="CD96" s="110">
        <v>0</v>
      </c>
      <c r="CE96" s="110">
        <v>0</v>
      </c>
      <c r="CF96" s="110">
        <v>0</v>
      </c>
      <c r="CG96" s="110">
        <v>0</v>
      </c>
      <c r="CH96" s="110">
        <v>0.11590028200828777</v>
      </c>
      <c r="CI96" s="110">
        <v>129.48379505965909</v>
      </c>
      <c r="CJ96" s="110">
        <v>0.10698445987492287</v>
      </c>
      <c r="CK96" s="110">
        <v>119.52303857226384</v>
      </c>
      <c r="CL96" s="110">
        <v>0.10371011024641988</v>
      </c>
      <c r="CM96" s="110">
        <v>115.86493516730029</v>
      </c>
      <c r="CN96" s="110">
        <v>0.1745051201722502</v>
      </c>
      <c r="CO96" s="110">
        <v>194.95712025643792</v>
      </c>
      <c r="CP96" s="110">
        <v>6</v>
      </c>
      <c r="CQ96" s="110">
        <v>6703.2000000000007</v>
      </c>
      <c r="CR96" s="110">
        <v>5.2868651005694431</v>
      </c>
      <c r="CS96" s="110">
        <v>5906.4856903561822</v>
      </c>
      <c r="CT96" s="110">
        <v>8.3203281552716657</v>
      </c>
      <c r="CU96" s="110">
        <v>9295.4706150695056</v>
      </c>
    </row>
    <row r="97" spans="2:99" x14ac:dyDescent="0.2">
      <c r="C97" s="109" t="s">
        <v>265</v>
      </c>
      <c r="D97" s="110">
        <v>0</v>
      </c>
      <c r="E97" s="110">
        <v>0</v>
      </c>
      <c r="F97" s="110">
        <v>1.4907648736602583</v>
      </c>
      <c r="G97" s="110">
        <v>883.72541710580106</v>
      </c>
      <c r="H97" s="110">
        <v>2.2482745755164508</v>
      </c>
      <c r="I97" s="110">
        <v>1332.777168366152</v>
      </c>
      <c r="J97" s="110">
        <v>4.3332116399826957</v>
      </c>
      <c r="K97" s="110">
        <v>2568.7278601817416</v>
      </c>
      <c r="L97" s="110">
        <v>2.7670452371333263</v>
      </c>
      <c r="M97" s="110">
        <v>1640.3044165726358</v>
      </c>
      <c r="N97" s="110">
        <v>6.2155165886049364</v>
      </c>
      <c r="O97" s="110">
        <v>3684.5582337250062</v>
      </c>
      <c r="P97" s="110">
        <v>7.7509823907176543</v>
      </c>
      <c r="Q97" s="110">
        <v>4594.7823612174252</v>
      </c>
      <c r="R97" s="110">
        <v>7.1495397653846133</v>
      </c>
      <c r="S97" s="110">
        <v>4238.2471729199988</v>
      </c>
      <c r="T97" s="110">
        <v>4.9246286364976264</v>
      </c>
      <c r="U97" s="110">
        <v>2919.3198557157925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4.8044405825916564E-3</v>
      </c>
      <c r="AE97" s="110">
        <v>2.8480723773603338</v>
      </c>
      <c r="AF97" s="110">
        <v>1.1467899709393376E-2</v>
      </c>
      <c r="AG97" s="110">
        <v>6.7981709477283925</v>
      </c>
      <c r="AH97" s="110">
        <v>7.9911256594479337E-3</v>
      </c>
      <c r="AI97" s="110">
        <v>4.7371392909207346</v>
      </c>
      <c r="AJ97" s="110">
        <v>7.8187361942421412E-3</v>
      </c>
      <c r="AK97" s="110">
        <v>4.6349468159467406</v>
      </c>
      <c r="AL97" s="110">
        <v>4.6109010621114708</v>
      </c>
      <c r="AM97" s="110">
        <v>2733.3421496196797</v>
      </c>
      <c r="AN97" s="110">
        <v>4.185606831257048</v>
      </c>
      <c r="AO97" s="110">
        <v>2481.2277295691779</v>
      </c>
      <c r="AP97" s="110">
        <v>5.7879456202599764</v>
      </c>
      <c r="AQ97" s="110">
        <v>3431.0941636901139</v>
      </c>
      <c r="AR97" s="110">
        <v>4.3650282667976557</v>
      </c>
      <c r="AS97" s="110">
        <v>2587.58875655765</v>
      </c>
      <c r="AT97" s="110">
        <v>3.4307713153513197</v>
      </c>
      <c r="AU97" s="110">
        <v>2033.7612357402622</v>
      </c>
      <c r="AV97" s="110">
        <v>2.9624876393267923</v>
      </c>
      <c r="AW97" s="110">
        <v>1756.1626725929223</v>
      </c>
      <c r="AX97" s="110">
        <v>3.1379554619664707</v>
      </c>
      <c r="AY97" s="110">
        <v>1860.1799978537238</v>
      </c>
      <c r="AZ97" s="110">
        <v>2.5061947704571867</v>
      </c>
      <c r="BA97" s="110">
        <v>1485.6722599270201</v>
      </c>
      <c r="BB97" s="110">
        <v>3.7636990980822822</v>
      </c>
      <c r="BC97" s="110">
        <v>2231.1208253431769</v>
      </c>
      <c r="BD97" s="110">
        <v>3.2530357229734381</v>
      </c>
      <c r="BE97" s="110">
        <v>1928.399576578654</v>
      </c>
      <c r="BF97" s="110">
        <v>2.9549451369898865</v>
      </c>
      <c r="BG97" s="110">
        <v>1751.6914772076045</v>
      </c>
      <c r="BH97" s="110">
        <v>3.1009875121877477</v>
      </c>
      <c r="BI97" s="110">
        <v>1838.2653972248968</v>
      </c>
      <c r="BJ97" s="110">
        <v>0</v>
      </c>
      <c r="BK97" s="110">
        <v>0</v>
      </c>
      <c r="BL97" s="110">
        <v>0</v>
      </c>
      <c r="BM97" s="110">
        <v>0</v>
      </c>
      <c r="BN97" s="110">
        <v>0</v>
      </c>
      <c r="BO97" s="110">
        <v>0</v>
      </c>
      <c r="BP97" s="110">
        <v>0</v>
      </c>
      <c r="BQ97" s="110">
        <v>0</v>
      </c>
      <c r="BR97" s="110">
        <v>0</v>
      </c>
      <c r="BS97" s="110">
        <v>0</v>
      </c>
      <c r="BT97" s="110">
        <v>0</v>
      </c>
      <c r="BU97" s="110">
        <v>0</v>
      </c>
      <c r="BV97" s="110">
        <v>0</v>
      </c>
      <c r="BW97" s="110">
        <v>0</v>
      </c>
      <c r="BX97" s="110">
        <v>0</v>
      </c>
      <c r="BY97" s="110">
        <v>0</v>
      </c>
      <c r="BZ97" s="110">
        <v>0</v>
      </c>
      <c r="CA97" s="110">
        <v>0</v>
      </c>
      <c r="CB97" s="110">
        <v>0</v>
      </c>
      <c r="CC97" s="110">
        <v>0</v>
      </c>
      <c r="CD97" s="110">
        <v>0</v>
      </c>
      <c r="CE97" s="110">
        <v>0</v>
      </c>
      <c r="CF97" s="110">
        <v>0</v>
      </c>
      <c r="CG97" s="110">
        <v>0</v>
      </c>
      <c r="CH97" s="110">
        <v>0.11538521261009901</v>
      </c>
      <c r="CI97" s="110">
        <v>68.400354035266687</v>
      </c>
      <c r="CJ97" s="110">
        <v>0.12141145871328855</v>
      </c>
      <c r="CK97" s="110">
        <v>71.972712725237443</v>
      </c>
      <c r="CL97" s="110">
        <v>0.10371011024641988</v>
      </c>
      <c r="CM97" s="110">
        <v>61.479353354077702</v>
      </c>
      <c r="CN97" s="110">
        <v>0.20311316214523709</v>
      </c>
      <c r="CO97" s="110">
        <v>120.40548251969653</v>
      </c>
      <c r="CP97" s="110">
        <v>6</v>
      </c>
      <c r="CQ97" s="110">
        <v>3556.7999999999997</v>
      </c>
      <c r="CR97" s="110">
        <v>5.3227232381406235</v>
      </c>
      <c r="CS97" s="110">
        <v>3155.3103355697613</v>
      </c>
      <c r="CT97" s="110">
        <v>7.3203281552716657</v>
      </c>
      <c r="CU97" s="110">
        <v>4339.4905304450431</v>
      </c>
    </row>
    <row r="98" spans="2:99" x14ac:dyDescent="0.2">
      <c r="C98" s="109" t="s">
        <v>266</v>
      </c>
      <c r="D98" s="110">
        <v>0</v>
      </c>
      <c r="E98" s="110">
        <v>0</v>
      </c>
      <c r="F98" s="110">
        <v>1.3547718650203513</v>
      </c>
      <c r="G98" s="110">
        <v>621.02742292532901</v>
      </c>
      <c r="H98" s="110">
        <v>2.4780575835067924</v>
      </c>
      <c r="I98" s="110">
        <v>1135.9415962795135</v>
      </c>
      <c r="J98" s="110">
        <v>3.791560184984859</v>
      </c>
      <c r="K98" s="110">
        <v>1738.0511887970592</v>
      </c>
      <c r="L98" s="110">
        <v>2.4580112957623763</v>
      </c>
      <c r="M98" s="110">
        <v>1126.7523779774733</v>
      </c>
      <c r="N98" s="110">
        <v>6.8884211760837673</v>
      </c>
      <c r="O98" s="110">
        <v>3157.6522671167986</v>
      </c>
      <c r="P98" s="110">
        <v>7.7309153919477414</v>
      </c>
      <c r="Q98" s="110">
        <v>3543.8516156688443</v>
      </c>
      <c r="R98" s="110">
        <v>7.1495397653846133</v>
      </c>
      <c r="S98" s="110">
        <v>3277.3490284523068</v>
      </c>
      <c r="T98" s="110">
        <v>5.7454000759138966</v>
      </c>
      <c r="U98" s="110">
        <v>2633.6913947989301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4.1546413867482685E-3</v>
      </c>
      <c r="AE98" s="110">
        <v>1.9044876116854061</v>
      </c>
      <c r="AF98" s="110">
        <v>1.1467899709393376E-2</v>
      </c>
      <c r="AG98" s="110">
        <v>5.256885226785923</v>
      </c>
      <c r="AH98" s="110">
        <v>7.9302539360747906E-3</v>
      </c>
      <c r="AI98" s="110">
        <v>3.6352284042966838</v>
      </c>
      <c r="AJ98" s="110">
        <v>9.3251412992222654E-3</v>
      </c>
      <c r="AK98" s="110">
        <v>4.2746447715634863</v>
      </c>
      <c r="AL98" s="110">
        <v>4.0031521705824087</v>
      </c>
      <c r="AM98" s="110">
        <v>1835.044954994976</v>
      </c>
      <c r="AN98" s="110">
        <v>4.185606831257048</v>
      </c>
      <c r="AO98" s="110">
        <v>1918.6821714482307</v>
      </c>
      <c r="AP98" s="110">
        <v>6.4086721480808828</v>
      </c>
      <c r="AQ98" s="110">
        <v>2937.7353126802764</v>
      </c>
      <c r="AR98" s="110">
        <v>5.324469570486805</v>
      </c>
      <c r="AS98" s="110">
        <v>2440.7368511111513</v>
      </c>
      <c r="AT98" s="110">
        <v>3.4307713153513197</v>
      </c>
      <c r="AU98" s="110">
        <v>1572.6655709570448</v>
      </c>
      <c r="AV98" s="110">
        <v>2.9624876393267923</v>
      </c>
      <c r="AW98" s="110">
        <v>1358.0043338674016</v>
      </c>
      <c r="AX98" s="110">
        <v>2.7087253276744381</v>
      </c>
      <c r="AY98" s="110">
        <v>1241.6796902059623</v>
      </c>
      <c r="AZ98" s="110">
        <v>2.522070152439321</v>
      </c>
      <c r="BA98" s="110">
        <v>1156.1169578781846</v>
      </c>
      <c r="BB98" s="110">
        <v>3.7636990980822822</v>
      </c>
      <c r="BC98" s="110">
        <v>1725.279666560918</v>
      </c>
      <c r="BD98" s="110">
        <v>4.0662946537167981</v>
      </c>
      <c r="BE98" s="110">
        <v>1863.9894692637802</v>
      </c>
      <c r="BF98" s="110">
        <v>2.5651192107475098</v>
      </c>
      <c r="BG98" s="110">
        <v>1175.8506462066584</v>
      </c>
      <c r="BH98" s="110">
        <v>3.1009875121877477</v>
      </c>
      <c r="BI98" s="110">
        <v>1421.4926755868635</v>
      </c>
      <c r="BJ98" s="110">
        <v>0</v>
      </c>
      <c r="BK98" s="110">
        <v>0</v>
      </c>
      <c r="BL98" s="110">
        <v>0</v>
      </c>
      <c r="BM98" s="110">
        <v>0</v>
      </c>
      <c r="BN98" s="110">
        <v>0</v>
      </c>
      <c r="BO98" s="110">
        <v>0</v>
      </c>
      <c r="BP98" s="110">
        <v>0</v>
      </c>
      <c r="BQ98" s="110">
        <v>0</v>
      </c>
      <c r="BR98" s="110">
        <v>0</v>
      </c>
      <c r="BS98" s="110">
        <v>0</v>
      </c>
      <c r="BT98" s="110">
        <v>0</v>
      </c>
      <c r="BU98" s="110">
        <v>0</v>
      </c>
      <c r="BV98" s="110">
        <v>0</v>
      </c>
      <c r="BW98" s="110">
        <v>0</v>
      </c>
      <c r="BX98" s="110">
        <v>0</v>
      </c>
      <c r="BY98" s="110">
        <v>0</v>
      </c>
      <c r="BZ98" s="110">
        <v>0</v>
      </c>
      <c r="CA98" s="110">
        <v>0</v>
      </c>
      <c r="CB98" s="110">
        <v>0</v>
      </c>
      <c r="CC98" s="110">
        <v>0</v>
      </c>
      <c r="CD98" s="110">
        <v>0</v>
      </c>
      <c r="CE98" s="110">
        <v>0</v>
      </c>
      <c r="CF98" s="110">
        <v>0</v>
      </c>
      <c r="CG98" s="110">
        <v>0</v>
      </c>
      <c r="CH98" s="110">
        <v>0.10263603657795019</v>
      </c>
      <c r="CI98" s="110">
        <v>47.048359167332364</v>
      </c>
      <c r="CJ98" s="110">
        <v>0.1079068395682095</v>
      </c>
      <c r="CK98" s="110">
        <v>49.464495258067231</v>
      </c>
      <c r="CL98" s="110">
        <v>8.5301631465823119E-2</v>
      </c>
      <c r="CM98" s="110">
        <v>39.102267863933314</v>
      </c>
      <c r="CN98" s="110">
        <v>0.1745051201722502</v>
      </c>
      <c r="CO98" s="110">
        <v>79.993147086959482</v>
      </c>
      <c r="CP98" s="110">
        <v>6</v>
      </c>
      <c r="CQ98" s="110">
        <v>2750.3999999999996</v>
      </c>
      <c r="CR98" s="110">
        <v>5.3227232381406235</v>
      </c>
      <c r="CS98" s="110">
        <v>2439.9363323636617</v>
      </c>
      <c r="CT98" s="110">
        <v>9.3203281552716657</v>
      </c>
      <c r="CU98" s="110">
        <v>4272.4384263765314</v>
      </c>
    </row>
    <row r="99" spans="2:99" x14ac:dyDescent="0.2">
      <c r="C99" s="109" t="s">
        <v>267</v>
      </c>
      <c r="D99" s="110">
        <v>0</v>
      </c>
      <c r="E99" s="110">
        <v>0</v>
      </c>
      <c r="F99" s="110">
        <v>0.95195106047934919</v>
      </c>
      <c r="G99" s="110">
        <v>4113.5709225433638</v>
      </c>
      <c r="H99" s="110">
        <v>1.7549159026101346</v>
      </c>
      <c r="I99" s="110">
        <v>7583.3425983589132</v>
      </c>
      <c r="J99" s="110">
        <v>3.249908729987022</v>
      </c>
      <c r="K99" s="110">
        <v>14043.505604019918</v>
      </c>
      <c r="L99" s="110">
        <v>1.8542036482256983</v>
      </c>
      <c r="M99" s="110">
        <v>8012.3848047128868</v>
      </c>
      <c r="N99" s="110">
        <v>4.8378323533881833</v>
      </c>
      <c r="O99" s="110">
        <v>20905.241165461015</v>
      </c>
      <c r="P99" s="110">
        <v>5.8282870421156749</v>
      </c>
      <c r="Q99" s="110">
        <v>25185.193966390252</v>
      </c>
      <c r="R99" s="110">
        <v>5.3751370046305622</v>
      </c>
      <c r="S99" s="110">
        <v>23227.042024409584</v>
      </c>
      <c r="T99" s="110">
        <v>4.1038571970813553</v>
      </c>
      <c r="U99" s="110">
        <v>17733.58772002795</v>
      </c>
      <c r="V99" s="110">
        <v>0</v>
      </c>
      <c r="W99" s="110">
        <v>0</v>
      </c>
      <c r="X99" s="110">
        <v>0</v>
      </c>
      <c r="Y99" s="110">
        <v>0</v>
      </c>
      <c r="Z99" s="110">
        <v>0</v>
      </c>
      <c r="AA99" s="110">
        <v>0</v>
      </c>
      <c r="AB99" s="110">
        <v>0</v>
      </c>
      <c r="AC99" s="110">
        <v>0</v>
      </c>
      <c r="AD99" s="110">
        <v>3.1159810400612012E-3</v>
      </c>
      <c r="AE99" s="110">
        <v>13.464777270312462</v>
      </c>
      <c r="AF99" s="110">
        <v>9.1743197675146996E-3</v>
      </c>
      <c r="AG99" s="110">
        <v>39.644070579384518</v>
      </c>
      <c r="AH99" s="110">
        <v>6.4294235615822339E-3</v>
      </c>
      <c r="AI99" s="110">
        <v>27.78282509430915</v>
      </c>
      <c r="AJ99" s="110">
        <v>7.7613940603738375E-3</v>
      </c>
      <c r="AK99" s="110">
        <v>33.538536013687427</v>
      </c>
      <c r="AL99" s="110">
        <v>3.3130973971899538</v>
      </c>
      <c r="AM99" s="110">
        <v>14316.556472737228</v>
      </c>
      <c r="AN99" s="110">
        <v>3.4583617760178518</v>
      </c>
      <c r="AO99" s="110">
        <v>14944.27290652834</v>
      </c>
      <c r="AP99" s="110">
        <v>5.1420432337050919</v>
      </c>
      <c r="AQ99" s="110">
        <v>22219.797221486442</v>
      </c>
      <c r="AR99" s="110">
        <v>3.2839108741759544</v>
      </c>
      <c r="AS99" s="110">
        <v>14190.435669489134</v>
      </c>
      <c r="AT99" s="110">
        <v>3.4307713153513197</v>
      </c>
      <c r="AU99" s="110">
        <v>14825.049007896123</v>
      </c>
      <c r="AV99" s="110">
        <v>2.4687396994389936</v>
      </c>
      <c r="AW99" s="110">
        <v>10667.917989215779</v>
      </c>
      <c r="AX99" s="110">
        <v>2.241396758547479</v>
      </c>
      <c r="AY99" s="110">
        <v>9685.5236730353663</v>
      </c>
      <c r="AZ99" s="110">
        <v>2.1070169210268119</v>
      </c>
      <c r="BA99" s="110">
        <v>9104.8415191410586</v>
      </c>
      <c r="BB99" s="110">
        <v>2.8306065809533036</v>
      </c>
      <c r="BC99" s="110">
        <v>12231.617157615416</v>
      </c>
      <c r="BD99" s="110">
        <v>2.4397767922300786</v>
      </c>
      <c r="BE99" s="110">
        <v>10542.763474584615</v>
      </c>
      <c r="BF99" s="110">
        <v>2.1300605538464832</v>
      </c>
      <c r="BG99" s="110">
        <v>9204.4176652814222</v>
      </c>
      <c r="BH99" s="110">
        <v>2.3257406341408107</v>
      </c>
      <c r="BI99" s="110">
        <v>10049.99042824927</v>
      </c>
      <c r="BJ99" s="110">
        <v>0</v>
      </c>
      <c r="BK99" s="110">
        <v>0</v>
      </c>
      <c r="BL99" s="110">
        <v>0</v>
      </c>
      <c r="BM99" s="110">
        <v>0</v>
      </c>
      <c r="BN99" s="110">
        <v>0</v>
      </c>
      <c r="BO99" s="110">
        <v>0</v>
      </c>
      <c r="BP99" s="110">
        <v>0</v>
      </c>
      <c r="BQ99" s="110">
        <v>0</v>
      </c>
      <c r="BR99" s="110">
        <v>0</v>
      </c>
      <c r="BS99" s="110">
        <v>0</v>
      </c>
      <c r="BT99" s="110">
        <v>0</v>
      </c>
      <c r="BU99" s="110">
        <v>0</v>
      </c>
      <c r="BV99" s="110">
        <v>0</v>
      </c>
      <c r="BW99" s="110">
        <v>0</v>
      </c>
      <c r="BX99" s="110">
        <v>0</v>
      </c>
      <c r="BY99" s="110">
        <v>0</v>
      </c>
      <c r="BZ99" s="110">
        <v>0</v>
      </c>
      <c r="CA99" s="110">
        <v>0</v>
      </c>
      <c r="CB99" s="110">
        <v>0</v>
      </c>
      <c r="CC99" s="110">
        <v>0</v>
      </c>
      <c r="CD99" s="110">
        <v>0</v>
      </c>
      <c r="CE99" s="110">
        <v>0</v>
      </c>
      <c r="CF99" s="110">
        <v>0</v>
      </c>
      <c r="CG99" s="110">
        <v>0</v>
      </c>
      <c r="CH99" s="110">
        <v>0.10160589778157261</v>
      </c>
      <c r="CI99" s="110">
        <v>439.05940549373156</v>
      </c>
      <c r="CJ99" s="110">
        <v>9.209627118991387E-2</v>
      </c>
      <c r="CK99" s="110">
        <v>397.96640706585578</v>
      </c>
      <c r="CL99" s="110">
        <v>8.2384702379964092E-2</v>
      </c>
      <c r="CM99" s="110">
        <v>356.0007759243008</v>
      </c>
      <c r="CN99" s="110">
        <v>0.14589707819926329</v>
      </c>
      <c r="CO99" s="110">
        <v>630.45045431465644</v>
      </c>
      <c r="CP99" s="110">
        <v>4</v>
      </c>
      <c r="CQ99" s="110">
        <v>17284.8</v>
      </c>
      <c r="CR99" s="110">
        <v>4.2868651005694431</v>
      </c>
      <c r="CS99" s="110">
        <v>18524.401472580677</v>
      </c>
      <c r="CT99" s="110">
        <v>7.249144120766851</v>
      </c>
      <c r="CU99" s="110">
        <v>31325.001574657716</v>
      </c>
    </row>
    <row r="100" spans="2:99" x14ac:dyDescent="0.2">
      <c r="C100" s="109" t="s">
        <v>268</v>
      </c>
      <c r="D100" s="110">
        <v>0</v>
      </c>
      <c r="E100" s="110">
        <v>0</v>
      </c>
      <c r="F100" s="110">
        <v>1.4907648736602583</v>
      </c>
      <c r="G100" s="110">
        <v>1155.6409300614321</v>
      </c>
      <c r="H100" s="110">
        <v>2.4893218024820034</v>
      </c>
      <c r="I100" s="110">
        <v>1929.722261284049</v>
      </c>
      <c r="J100" s="110">
        <v>4.3332116399826957</v>
      </c>
      <c r="K100" s="110">
        <v>3359.1056633145854</v>
      </c>
      <c r="L100" s="110">
        <v>2.6160933252491567</v>
      </c>
      <c r="M100" s="110">
        <v>2027.9955457331462</v>
      </c>
      <c r="N100" s="110">
        <v>6.8884211760837673</v>
      </c>
      <c r="O100" s="110">
        <v>5339.9040957001362</v>
      </c>
      <c r="P100" s="110">
        <v>7.7309153919477414</v>
      </c>
      <c r="Q100" s="110">
        <v>5993.0056118378889</v>
      </c>
      <c r="R100" s="110">
        <v>7.1495397653846133</v>
      </c>
      <c r="S100" s="110">
        <v>5542.3232261261519</v>
      </c>
      <c r="T100" s="110">
        <v>4.9246286364976264</v>
      </c>
      <c r="U100" s="110">
        <v>3817.5721190129598</v>
      </c>
      <c r="V100" s="110">
        <v>0</v>
      </c>
      <c r="W100" s="110">
        <v>0</v>
      </c>
      <c r="X100" s="110">
        <v>0</v>
      </c>
      <c r="Y100" s="110">
        <v>0</v>
      </c>
      <c r="Z100" s="110">
        <v>0</v>
      </c>
      <c r="AA100" s="110">
        <v>0</v>
      </c>
      <c r="AB100" s="110">
        <v>0</v>
      </c>
      <c r="AC100" s="110">
        <v>0</v>
      </c>
      <c r="AD100" s="110">
        <v>4.8044405825916564E-3</v>
      </c>
      <c r="AE100" s="110">
        <v>3.7244023396250516</v>
      </c>
      <c r="AF100" s="110">
        <v>1.1467899709393376E-2</v>
      </c>
      <c r="AG100" s="110">
        <v>8.8899158547217443</v>
      </c>
      <c r="AH100" s="110">
        <v>6.490295284955378E-3</v>
      </c>
      <c r="AI100" s="110">
        <v>5.0312769048974086</v>
      </c>
      <c r="AJ100" s="110">
        <v>9.3251412992222654E-3</v>
      </c>
      <c r="AK100" s="110">
        <v>7.2288495351570994</v>
      </c>
      <c r="AL100" s="110">
        <v>4.0031521705824087</v>
      </c>
      <c r="AM100" s="110">
        <v>3103.2435626354832</v>
      </c>
      <c r="AN100" s="110">
        <v>4.8239201364071791</v>
      </c>
      <c r="AO100" s="110">
        <v>3739.5028897428451</v>
      </c>
      <c r="AP100" s="110">
        <v>6.4086721480808828</v>
      </c>
      <c r="AQ100" s="110">
        <v>4968.0026491922999</v>
      </c>
      <c r="AR100" s="110">
        <v>4.2839108741759544</v>
      </c>
      <c r="AS100" s="110">
        <v>3320.8877096611996</v>
      </c>
      <c r="AT100" s="110">
        <v>4.2884641441891498</v>
      </c>
      <c r="AU100" s="110">
        <v>3324.4174045754285</v>
      </c>
      <c r="AV100" s="110">
        <v>3.4562355792145913</v>
      </c>
      <c r="AW100" s="110">
        <v>2679.2738210071511</v>
      </c>
      <c r="AX100" s="110">
        <v>2.7087253276744381</v>
      </c>
      <c r="AY100" s="110">
        <v>2099.8038740132242</v>
      </c>
      <c r="AZ100" s="110">
        <v>2.522070152439321</v>
      </c>
      <c r="BA100" s="110">
        <v>1955.1087821709614</v>
      </c>
      <c r="BB100" s="110">
        <v>3.7636990980822822</v>
      </c>
      <c r="BC100" s="110">
        <v>2917.6195408333847</v>
      </c>
      <c r="BD100" s="110">
        <v>4.0662946537167981</v>
      </c>
      <c r="BE100" s="110">
        <v>3152.1916155612616</v>
      </c>
      <c r="BF100" s="110">
        <v>2.9549451369898865</v>
      </c>
      <c r="BG100" s="110">
        <v>2290.6734701945597</v>
      </c>
      <c r="BH100" s="110">
        <v>3.1009875121877477</v>
      </c>
      <c r="BI100" s="110">
        <v>2403.885519447942</v>
      </c>
      <c r="BJ100" s="110">
        <v>0</v>
      </c>
      <c r="BK100" s="110">
        <v>0</v>
      </c>
      <c r="BL100" s="110">
        <v>0</v>
      </c>
      <c r="BM100" s="110">
        <v>0</v>
      </c>
      <c r="BN100" s="110">
        <v>0</v>
      </c>
      <c r="BO100" s="110">
        <v>0</v>
      </c>
      <c r="BP100" s="110">
        <v>0</v>
      </c>
      <c r="BQ100" s="110">
        <v>0</v>
      </c>
      <c r="BR100" s="110">
        <v>0</v>
      </c>
      <c r="BS100" s="110">
        <v>0</v>
      </c>
      <c r="BT100" s="110">
        <v>0</v>
      </c>
      <c r="BU100" s="110">
        <v>0</v>
      </c>
      <c r="BV100" s="110">
        <v>0</v>
      </c>
      <c r="BW100" s="110">
        <v>0</v>
      </c>
      <c r="BX100" s="110">
        <v>0</v>
      </c>
      <c r="BY100" s="110">
        <v>0</v>
      </c>
      <c r="BZ100" s="110">
        <v>0</v>
      </c>
      <c r="CA100" s="110">
        <v>0</v>
      </c>
      <c r="CB100" s="110">
        <v>0</v>
      </c>
      <c r="CC100" s="110">
        <v>0</v>
      </c>
      <c r="CD100" s="110">
        <v>0</v>
      </c>
      <c r="CE100" s="110">
        <v>0</v>
      </c>
      <c r="CF100" s="110">
        <v>0</v>
      </c>
      <c r="CG100" s="110">
        <v>0</v>
      </c>
      <c r="CH100" s="110">
        <v>0.11538521261009901</v>
      </c>
      <c r="CI100" s="110">
        <v>89.446616815348747</v>
      </c>
      <c r="CJ100" s="110">
        <v>0.12187264855993186</v>
      </c>
      <c r="CK100" s="110">
        <v>94.475677163659171</v>
      </c>
      <c r="CL100" s="110">
        <v>0.10298087797495512</v>
      </c>
      <c r="CM100" s="110">
        <v>79.830776606185196</v>
      </c>
      <c r="CN100" s="110">
        <v>0.1745051201722502</v>
      </c>
      <c r="CO100" s="110">
        <v>135.27636915752834</v>
      </c>
      <c r="CP100" s="110">
        <v>5</v>
      </c>
      <c r="CQ100" s="110">
        <v>3875.9999999999995</v>
      </c>
      <c r="CR100" s="110">
        <v>4.2868651005694431</v>
      </c>
      <c r="CS100" s="110">
        <v>3323.1778259614321</v>
      </c>
      <c r="CT100" s="110">
        <v>7.3203281552716657</v>
      </c>
      <c r="CU100" s="110">
        <v>5674.7183859665947</v>
      </c>
    </row>
    <row r="101" spans="2:99" x14ac:dyDescent="0.2">
      <c r="C101" s="109" t="s">
        <v>269</v>
      </c>
      <c r="D101" s="110">
        <v>0</v>
      </c>
      <c r="E101" s="110">
        <v>0</v>
      </c>
      <c r="F101" s="110">
        <v>1.4881857629708986</v>
      </c>
      <c r="G101" s="110">
        <v>912.55550985375487</v>
      </c>
      <c r="H101" s="110">
        <v>2.2370103565412398</v>
      </c>
      <c r="I101" s="110">
        <v>1371.734750631088</v>
      </c>
      <c r="J101" s="110">
        <v>3.791560184984859</v>
      </c>
      <c r="K101" s="110">
        <v>2324.9847054327151</v>
      </c>
      <c r="L101" s="110">
        <v>2.7599151195307159</v>
      </c>
      <c r="M101" s="110">
        <v>1692.3799512962348</v>
      </c>
      <c r="N101" s="110">
        <v>6.2155165886049364</v>
      </c>
      <c r="O101" s="110">
        <v>3811.3547721325467</v>
      </c>
      <c r="P101" s="110">
        <v>7.2753253032596374</v>
      </c>
      <c r="Q101" s="110">
        <v>4461.2294759588094</v>
      </c>
      <c r="R101" s="110">
        <v>7.1235754042004089</v>
      </c>
      <c r="S101" s="110">
        <v>4368.17643785569</v>
      </c>
      <c r="T101" s="110">
        <v>5.7454000759138966</v>
      </c>
      <c r="U101" s="110">
        <v>3523.0793265504008</v>
      </c>
      <c r="V101" s="110">
        <v>0</v>
      </c>
      <c r="W101" s="110">
        <v>0</v>
      </c>
      <c r="X101" s="110">
        <v>0</v>
      </c>
      <c r="Y101" s="110">
        <v>0</v>
      </c>
      <c r="Z101" s="110">
        <v>0</v>
      </c>
      <c r="AA101" s="110">
        <v>0</v>
      </c>
      <c r="AB101" s="110">
        <v>0</v>
      </c>
      <c r="AC101" s="110">
        <v>0</v>
      </c>
      <c r="AD101" s="110">
        <v>4.8044405825916564E-3</v>
      </c>
      <c r="AE101" s="110">
        <v>2.9460829652452034</v>
      </c>
      <c r="AF101" s="110">
        <v>1.1467899709393376E-2</v>
      </c>
      <c r="AG101" s="110">
        <v>7.0321161018000176</v>
      </c>
      <c r="AH101" s="110">
        <v>7.9302539360747906E-3</v>
      </c>
      <c r="AI101" s="110">
        <v>4.8628317136010608</v>
      </c>
      <c r="AJ101" s="110">
        <v>7.8187361942421412E-3</v>
      </c>
      <c r="AK101" s="110">
        <v>4.79444903430928</v>
      </c>
      <c r="AL101" s="110">
        <v>4.6109010621114708</v>
      </c>
      <c r="AM101" s="110">
        <v>2827.4045312867534</v>
      </c>
      <c r="AN101" s="110">
        <v>4.8239201364071791</v>
      </c>
      <c r="AO101" s="110">
        <v>2958.0278276448821</v>
      </c>
      <c r="AP101" s="110">
        <v>5.7627697615259983</v>
      </c>
      <c r="AQ101" s="110">
        <v>3533.730417767742</v>
      </c>
      <c r="AR101" s="110">
        <v>4.3650282667976557</v>
      </c>
      <c r="AS101" s="110">
        <v>2676.6353332003223</v>
      </c>
      <c r="AT101" s="110">
        <v>3.4307713153513197</v>
      </c>
      <c r="AU101" s="110">
        <v>2103.7489705734292</v>
      </c>
      <c r="AV101" s="110">
        <v>2.9624876393267923</v>
      </c>
      <c r="AW101" s="110">
        <v>1816.5974204351887</v>
      </c>
      <c r="AX101" s="110">
        <v>2.7087253276744381</v>
      </c>
      <c r="AY101" s="110">
        <v>1660.9903709299651</v>
      </c>
      <c r="AZ101" s="110">
        <v>2.522070152439321</v>
      </c>
      <c r="BA101" s="110">
        <v>1546.5334174757913</v>
      </c>
      <c r="BB101" s="110">
        <v>3.7636990980822822</v>
      </c>
      <c r="BC101" s="110">
        <v>2307.9002869440551</v>
      </c>
      <c r="BD101" s="110">
        <v>4.0662946537167981</v>
      </c>
      <c r="BE101" s="110">
        <v>2493.4518816591403</v>
      </c>
      <c r="BF101" s="110">
        <v>2.9700227138761028</v>
      </c>
      <c r="BG101" s="110">
        <v>1821.2179281488261</v>
      </c>
      <c r="BH101" s="110">
        <v>3.1009875121877477</v>
      </c>
      <c r="BI101" s="110">
        <v>1901.5255424735267</v>
      </c>
      <c r="BJ101" s="110">
        <v>0</v>
      </c>
      <c r="BK101" s="110">
        <v>0</v>
      </c>
      <c r="BL101" s="110">
        <v>0</v>
      </c>
      <c r="BM101" s="110">
        <v>0</v>
      </c>
      <c r="BN101" s="110">
        <v>0</v>
      </c>
      <c r="BO101" s="110">
        <v>0</v>
      </c>
      <c r="BP101" s="110">
        <v>0</v>
      </c>
      <c r="BQ101" s="110">
        <v>0</v>
      </c>
      <c r="BR101" s="110">
        <v>0</v>
      </c>
      <c r="BS101" s="110">
        <v>0</v>
      </c>
      <c r="BT101" s="110">
        <v>0</v>
      </c>
      <c r="BU101" s="110">
        <v>0</v>
      </c>
      <c r="BV101" s="110">
        <v>0</v>
      </c>
      <c r="BW101" s="110">
        <v>0</v>
      </c>
      <c r="BX101" s="110">
        <v>0</v>
      </c>
      <c r="BY101" s="110">
        <v>0</v>
      </c>
      <c r="BZ101" s="110">
        <v>0</v>
      </c>
      <c r="CA101" s="110">
        <v>0</v>
      </c>
      <c r="CB101" s="110">
        <v>0</v>
      </c>
      <c r="CC101" s="110">
        <v>0</v>
      </c>
      <c r="CD101" s="110">
        <v>0</v>
      </c>
      <c r="CE101" s="110">
        <v>0</v>
      </c>
      <c r="CF101" s="110">
        <v>0</v>
      </c>
      <c r="CG101" s="110">
        <v>0</v>
      </c>
      <c r="CH101" s="110">
        <v>0.11590028200828777</v>
      </c>
      <c r="CI101" s="110">
        <v>71.070052927482052</v>
      </c>
      <c r="CJ101" s="110">
        <v>0.12141145871328855</v>
      </c>
      <c r="CK101" s="110">
        <v>74.449506482988539</v>
      </c>
      <c r="CL101" s="110">
        <v>0.10371011024641988</v>
      </c>
      <c r="CM101" s="110">
        <v>63.595039603104659</v>
      </c>
      <c r="CN101" s="110">
        <v>0.20216087270046079</v>
      </c>
      <c r="CO101" s="110">
        <v>123.96504713992255</v>
      </c>
      <c r="CP101" s="110">
        <v>5</v>
      </c>
      <c r="CQ101" s="110">
        <v>3065.9999999999995</v>
      </c>
      <c r="CR101" s="110">
        <v>4.3227232381406235</v>
      </c>
      <c r="CS101" s="110">
        <v>2650.6938896278302</v>
      </c>
      <c r="CT101" s="110">
        <v>8.3203281552716657</v>
      </c>
      <c r="CU101" s="110">
        <v>5102.0252248125844</v>
      </c>
    </row>
    <row r="102" spans="2:99" x14ac:dyDescent="0.2">
      <c r="C102" s="109" t="s">
        <v>270</v>
      </c>
      <c r="D102" s="110">
        <v>0</v>
      </c>
      <c r="E102" s="110">
        <v>0</v>
      </c>
      <c r="F102" s="110">
        <v>1.3573509757097109</v>
      </c>
      <c r="G102" s="110">
        <v>540.76862872274876</v>
      </c>
      <c r="H102" s="110">
        <v>2.4893218024820034</v>
      </c>
      <c r="I102" s="110">
        <v>991.74580610883015</v>
      </c>
      <c r="J102" s="110">
        <v>4.3332116399826957</v>
      </c>
      <c r="K102" s="110">
        <v>1726.3515173691057</v>
      </c>
      <c r="L102" s="110">
        <v>2.6160933252491567</v>
      </c>
      <c r="M102" s="110">
        <v>1042.251580779264</v>
      </c>
      <c r="N102" s="110">
        <v>6.2155165886049364</v>
      </c>
      <c r="O102" s="110">
        <v>2476.2618089002067</v>
      </c>
      <c r="P102" s="110">
        <v>7.2753253032596374</v>
      </c>
      <c r="Q102" s="110">
        <v>2898.4896008186392</v>
      </c>
      <c r="R102" s="110">
        <v>6.5667269655279981</v>
      </c>
      <c r="S102" s="110">
        <v>2616.1840230663543</v>
      </c>
      <c r="T102" s="110">
        <v>5.7454000759138966</v>
      </c>
      <c r="U102" s="110">
        <v>2288.9673902440964</v>
      </c>
      <c r="V102" s="110">
        <v>0</v>
      </c>
      <c r="W102" s="110">
        <v>0</v>
      </c>
      <c r="X102" s="110">
        <v>0</v>
      </c>
      <c r="Y102" s="110">
        <v>0</v>
      </c>
      <c r="Z102" s="110">
        <v>0</v>
      </c>
      <c r="AA102" s="110">
        <v>0</v>
      </c>
      <c r="AB102" s="110">
        <v>0</v>
      </c>
      <c r="AC102" s="110">
        <v>0</v>
      </c>
      <c r="AD102" s="110">
        <v>4.1546413867482685E-3</v>
      </c>
      <c r="AE102" s="110">
        <v>1.6552091284805102</v>
      </c>
      <c r="AF102" s="110">
        <v>1.1467899709393376E-2</v>
      </c>
      <c r="AG102" s="110">
        <v>4.5688112442223208</v>
      </c>
      <c r="AH102" s="110">
        <v>7.9302539360747906E-3</v>
      </c>
      <c r="AI102" s="110">
        <v>3.1594131681321964</v>
      </c>
      <c r="AJ102" s="110">
        <v>7.8187361942421412E-3</v>
      </c>
      <c r="AK102" s="110">
        <v>3.1149844997860687</v>
      </c>
      <c r="AL102" s="110">
        <v>4.0031521705824087</v>
      </c>
      <c r="AM102" s="110">
        <v>1594.8558247600315</v>
      </c>
      <c r="AN102" s="110">
        <v>4.8239201364071791</v>
      </c>
      <c r="AO102" s="110">
        <v>1921.8497823446201</v>
      </c>
      <c r="AP102" s="110">
        <v>7.0293986759017892</v>
      </c>
      <c r="AQ102" s="110">
        <v>2800.5124324792728</v>
      </c>
      <c r="AR102" s="110">
        <v>5.3650282667976557</v>
      </c>
      <c r="AS102" s="110">
        <v>2137.4272614921861</v>
      </c>
      <c r="AT102" s="110">
        <v>3.4307713153513197</v>
      </c>
      <c r="AU102" s="110">
        <v>1366.8192920359656</v>
      </c>
      <c r="AV102" s="110">
        <v>3.4562355792145913</v>
      </c>
      <c r="AW102" s="110">
        <v>1376.9642547590931</v>
      </c>
      <c r="AX102" s="110">
        <v>2.7087253276744381</v>
      </c>
      <c r="AY102" s="110">
        <v>1079.156170545496</v>
      </c>
      <c r="AZ102" s="110">
        <v>2.9212480018696954</v>
      </c>
      <c r="BA102" s="110">
        <v>1163.8252039448867</v>
      </c>
      <c r="BB102" s="110">
        <v>3.7950281276486506</v>
      </c>
      <c r="BC102" s="110">
        <v>1511.9392060552223</v>
      </c>
      <c r="BD102" s="110">
        <v>3.2530357229734381</v>
      </c>
      <c r="BE102" s="110">
        <v>1296.0094320326177</v>
      </c>
      <c r="BF102" s="110">
        <v>2.9851002907623201</v>
      </c>
      <c r="BG102" s="110">
        <v>1189.2639558397082</v>
      </c>
      <c r="BH102" s="110">
        <v>3.1009875121877477</v>
      </c>
      <c r="BI102" s="110">
        <v>1235.4334248555986</v>
      </c>
      <c r="BJ102" s="110">
        <v>0</v>
      </c>
      <c r="BK102" s="110">
        <v>0</v>
      </c>
      <c r="BL102" s="110">
        <v>0</v>
      </c>
      <c r="BM102" s="110">
        <v>0</v>
      </c>
      <c r="BN102" s="110">
        <v>0</v>
      </c>
      <c r="BO102" s="110">
        <v>0</v>
      </c>
      <c r="BP102" s="110">
        <v>0</v>
      </c>
      <c r="BQ102" s="110">
        <v>0</v>
      </c>
      <c r="BR102" s="110">
        <v>0</v>
      </c>
      <c r="BS102" s="110">
        <v>0</v>
      </c>
      <c r="BT102" s="110">
        <v>0</v>
      </c>
      <c r="BU102" s="110">
        <v>0</v>
      </c>
      <c r="BV102" s="110">
        <v>0</v>
      </c>
      <c r="BW102" s="110">
        <v>0</v>
      </c>
      <c r="BX102" s="110">
        <v>0</v>
      </c>
      <c r="BY102" s="110">
        <v>0</v>
      </c>
      <c r="BZ102" s="110">
        <v>0</v>
      </c>
      <c r="CA102" s="110">
        <v>0</v>
      </c>
      <c r="CB102" s="110">
        <v>0</v>
      </c>
      <c r="CC102" s="110">
        <v>0</v>
      </c>
      <c r="CD102" s="110">
        <v>0</v>
      </c>
      <c r="CE102" s="110">
        <v>0</v>
      </c>
      <c r="CF102" s="110">
        <v>0</v>
      </c>
      <c r="CG102" s="110">
        <v>0</v>
      </c>
      <c r="CH102" s="110">
        <v>0.11538521261009901</v>
      </c>
      <c r="CI102" s="110">
        <v>45.969468703863441</v>
      </c>
      <c r="CJ102" s="110">
        <v>0.10652327002827955</v>
      </c>
      <c r="CK102" s="110">
        <v>42.438870779266573</v>
      </c>
      <c r="CL102" s="110">
        <v>0.10443934251788463</v>
      </c>
      <c r="CM102" s="110">
        <v>41.608634059125237</v>
      </c>
      <c r="CN102" s="110">
        <v>0.20216087270046079</v>
      </c>
      <c r="CO102" s="110">
        <v>80.540891683863578</v>
      </c>
      <c r="CP102" s="110">
        <v>5</v>
      </c>
      <c r="CQ102" s="110">
        <v>1992</v>
      </c>
      <c r="CR102" s="110">
        <v>5.2868651005694431</v>
      </c>
      <c r="CS102" s="110">
        <v>2106.2870560668662</v>
      </c>
      <c r="CT102" s="110">
        <v>7.2847361380192579</v>
      </c>
      <c r="CU102" s="110">
        <v>2902.238877386872</v>
      </c>
    </row>
    <row r="103" spans="2:99" x14ac:dyDescent="0.2">
      <c r="C103" s="109" t="s">
        <v>271</v>
      </c>
      <c r="D103" s="110">
        <v>0</v>
      </c>
      <c r="E103" s="110">
        <v>0</v>
      </c>
      <c r="F103" s="110">
        <v>1.3547718650203513</v>
      </c>
      <c r="G103" s="110">
        <v>777.09714177567355</v>
      </c>
      <c r="H103" s="110">
        <v>2.4893218024820034</v>
      </c>
      <c r="I103" s="110">
        <v>1427.8749859036773</v>
      </c>
      <c r="J103" s="110">
        <v>4.3332116399826957</v>
      </c>
      <c r="K103" s="110">
        <v>2485.5301966940742</v>
      </c>
      <c r="L103" s="110">
        <v>2.4651414133649872</v>
      </c>
      <c r="M103" s="110">
        <v>1414.0051147061567</v>
      </c>
      <c r="N103" s="110">
        <v>6.8884211760837673</v>
      </c>
      <c r="O103" s="110">
        <v>3951.198386601649</v>
      </c>
      <c r="P103" s="110">
        <v>7.7509823907176543</v>
      </c>
      <c r="Q103" s="110">
        <v>4445.9634993156469</v>
      </c>
      <c r="R103" s="110">
        <v>7.1235754042004089</v>
      </c>
      <c r="S103" s="110">
        <v>4086.0828518493549</v>
      </c>
      <c r="T103" s="110">
        <v>4.9246286364976264</v>
      </c>
      <c r="U103" s="110">
        <v>2824.7669858950385</v>
      </c>
      <c r="V103" s="110">
        <v>0</v>
      </c>
      <c r="W103" s="110">
        <v>0</v>
      </c>
      <c r="X103" s="110">
        <v>0</v>
      </c>
      <c r="Y103" s="110">
        <v>0</v>
      </c>
      <c r="Z103" s="110">
        <v>0</v>
      </c>
      <c r="AA103" s="110">
        <v>0</v>
      </c>
      <c r="AB103" s="110">
        <v>0</v>
      </c>
      <c r="AC103" s="110">
        <v>0</v>
      </c>
      <c r="AD103" s="110">
        <v>4.1546413867482685E-3</v>
      </c>
      <c r="AE103" s="110">
        <v>2.3831022994388071</v>
      </c>
      <c r="AF103" s="110">
        <v>1.1467899709393376E-2</v>
      </c>
      <c r="AG103" s="110">
        <v>6.5779872733080405</v>
      </c>
      <c r="AH103" s="110">
        <v>7.9911256594479337E-3</v>
      </c>
      <c r="AI103" s="110">
        <v>4.5837096782593347</v>
      </c>
      <c r="AJ103" s="110">
        <v>9.3251412992222654E-3</v>
      </c>
      <c r="AK103" s="110">
        <v>5.3489010492338913</v>
      </c>
      <c r="AL103" s="110">
        <v>3.9757168766279443</v>
      </c>
      <c r="AM103" s="110">
        <v>2280.4712004337889</v>
      </c>
      <c r="AN103" s="110">
        <v>4.8239201364071791</v>
      </c>
      <c r="AO103" s="110">
        <v>2767.0005902431581</v>
      </c>
      <c r="AP103" s="110">
        <v>5.7879456202599764</v>
      </c>
      <c r="AQ103" s="110">
        <v>3319.9656077811228</v>
      </c>
      <c r="AR103" s="110">
        <v>5.3650282667976557</v>
      </c>
      <c r="AS103" s="110">
        <v>3077.3802138351352</v>
      </c>
      <c r="AT103" s="110">
        <v>4.2884641441891498</v>
      </c>
      <c r="AU103" s="110">
        <v>2459.8630331068966</v>
      </c>
      <c r="AV103" s="110">
        <v>2.9624876393267923</v>
      </c>
      <c r="AW103" s="110">
        <v>1699.2829099178482</v>
      </c>
      <c r="AX103" s="110">
        <v>2.7087253276744381</v>
      </c>
      <c r="AY103" s="110">
        <v>1553.7248479540579</v>
      </c>
      <c r="AZ103" s="110">
        <v>2.522070152439321</v>
      </c>
      <c r="BA103" s="110">
        <v>1446.6594394391946</v>
      </c>
      <c r="BB103" s="110">
        <v>3.7950281276486506</v>
      </c>
      <c r="BC103" s="110">
        <v>2176.8281340192661</v>
      </c>
      <c r="BD103" s="110">
        <v>4.0662946537167981</v>
      </c>
      <c r="BE103" s="110">
        <v>2332.4266133719557</v>
      </c>
      <c r="BF103" s="110">
        <v>2.5500416338612935</v>
      </c>
      <c r="BG103" s="110">
        <v>1462.7038811828379</v>
      </c>
      <c r="BH103" s="110">
        <v>3.1009875121877477</v>
      </c>
      <c r="BI103" s="110">
        <v>1778.7264369908921</v>
      </c>
      <c r="BJ103" s="110">
        <v>0</v>
      </c>
      <c r="BK103" s="110">
        <v>0</v>
      </c>
      <c r="BL103" s="110">
        <v>0</v>
      </c>
      <c r="BM103" s="110">
        <v>0</v>
      </c>
      <c r="BN103" s="110">
        <v>0</v>
      </c>
      <c r="BO103" s="110">
        <v>0</v>
      </c>
      <c r="BP103" s="110">
        <v>0</v>
      </c>
      <c r="BQ103" s="110">
        <v>0</v>
      </c>
      <c r="BR103" s="110">
        <v>0</v>
      </c>
      <c r="BS103" s="110">
        <v>0</v>
      </c>
      <c r="BT103" s="110">
        <v>0</v>
      </c>
      <c r="BU103" s="110">
        <v>0</v>
      </c>
      <c r="BV103" s="110">
        <v>0</v>
      </c>
      <c r="BW103" s="110">
        <v>0</v>
      </c>
      <c r="BX103" s="110">
        <v>0</v>
      </c>
      <c r="BY103" s="110">
        <v>0</v>
      </c>
      <c r="BZ103" s="110">
        <v>0</v>
      </c>
      <c r="CA103" s="110">
        <v>0</v>
      </c>
      <c r="CB103" s="110">
        <v>0</v>
      </c>
      <c r="CC103" s="110">
        <v>0</v>
      </c>
      <c r="CD103" s="110">
        <v>0</v>
      </c>
      <c r="CE103" s="110">
        <v>0</v>
      </c>
      <c r="CF103" s="110">
        <v>0</v>
      </c>
      <c r="CG103" s="110">
        <v>0</v>
      </c>
      <c r="CH103" s="110">
        <v>0.10212096717976141</v>
      </c>
      <c r="CI103" s="110">
        <v>58.576586774311146</v>
      </c>
      <c r="CJ103" s="110">
        <v>0.10698445987492287</v>
      </c>
      <c r="CK103" s="110">
        <v>61.366286184255763</v>
      </c>
      <c r="CL103" s="110">
        <v>0.10298087797495512</v>
      </c>
      <c r="CM103" s="110">
        <v>59.069831606434256</v>
      </c>
      <c r="CN103" s="110">
        <v>0.1745051201722502</v>
      </c>
      <c r="CO103" s="110">
        <v>100.09613693080271</v>
      </c>
      <c r="CP103" s="110">
        <v>5</v>
      </c>
      <c r="CQ103" s="110">
        <v>2868</v>
      </c>
      <c r="CR103" s="110">
        <v>5.2868651005694431</v>
      </c>
      <c r="CS103" s="110">
        <v>3032.5458216866327</v>
      </c>
      <c r="CT103" s="110">
        <v>8.2847361380192588</v>
      </c>
      <c r="CU103" s="110">
        <v>4752.1246487678472</v>
      </c>
    </row>
    <row r="104" spans="2:99" x14ac:dyDescent="0.2">
      <c r="C104" s="109" t="s">
        <v>272</v>
      </c>
      <c r="D104" s="110">
        <v>0</v>
      </c>
      <c r="E104" s="110">
        <v>0</v>
      </c>
      <c r="F104" s="110">
        <v>1.2239370777591632</v>
      </c>
      <c r="G104" s="110">
        <v>837.17296118726756</v>
      </c>
      <c r="H104" s="110">
        <v>2.4780575835067924</v>
      </c>
      <c r="I104" s="110">
        <v>1694.9913871186459</v>
      </c>
      <c r="J104" s="110">
        <v>3.791560184984859</v>
      </c>
      <c r="K104" s="110">
        <v>2593.4271665296437</v>
      </c>
      <c r="L104" s="110">
        <v>2.7670452371333263</v>
      </c>
      <c r="M104" s="110">
        <v>1892.6589421991953</v>
      </c>
      <c r="N104" s="110">
        <v>6.8884211760837673</v>
      </c>
      <c r="O104" s="110">
        <v>4711.6800844412965</v>
      </c>
      <c r="P104" s="110">
        <v>7.2552583044897263</v>
      </c>
      <c r="Q104" s="110">
        <v>4962.5966802709727</v>
      </c>
      <c r="R104" s="110">
        <v>7.7063882040570242</v>
      </c>
      <c r="S104" s="110">
        <v>5271.1695315750048</v>
      </c>
      <c r="T104" s="110">
        <v>5.7454000759138966</v>
      </c>
      <c r="U104" s="110">
        <v>3929.8536519251052</v>
      </c>
      <c r="V104" s="110">
        <v>0</v>
      </c>
      <c r="W104" s="110">
        <v>0</v>
      </c>
      <c r="X104" s="110">
        <v>0</v>
      </c>
      <c r="Y104" s="110">
        <v>0</v>
      </c>
      <c r="Z104" s="110">
        <v>0</v>
      </c>
      <c r="AA104" s="110">
        <v>0</v>
      </c>
      <c r="AB104" s="110">
        <v>0</v>
      </c>
      <c r="AC104" s="110">
        <v>0</v>
      </c>
      <c r="AD104" s="110">
        <v>4.1546413867482685E-3</v>
      </c>
      <c r="AE104" s="110">
        <v>2.8417747085358158</v>
      </c>
      <c r="AF104" s="110">
        <v>1.1467899709393376E-2</v>
      </c>
      <c r="AG104" s="110">
        <v>7.8440434012250693</v>
      </c>
      <c r="AH104" s="110">
        <v>6.490295284955378E-3</v>
      </c>
      <c r="AI104" s="110">
        <v>4.4393619749094784</v>
      </c>
      <c r="AJ104" s="110">
        <v>9.3251412992222654E-3</v>
      </c>
      <c r="AK104" s="110">
        <v>6.3783966486680299</v>
      </c>
      <c r="AL104" s="110">
        <v>3.9757168766279443</v>
      </c>
      <c r="AM104" s="110">
        <v>2719.3903436135138</v>
      </c>
      <c r="AN104" s="110">
        <v>4.8239201364071791</v>
      </c>
      <c r="AO104" s="110">
        <v>3299.5613733025107</v>
      </c>
      <c r="AP104" s="110">
        <v>5.7879456202599764</v>
      </c>
      <c r="AQ104" s="110">
        <v>3958.954804257824</v>
      </c>
      <c r="AR104" s="110">
        <v>5.324469570486805</v>
      </c>
      <c r="AS104" s="110">
        <v>3641.9371862129747</v>
      </c>
      <c r="AT104" s="110">
        <v>4.2884641441891498</v>
      </c>
      <c r="AU104" s="110">
        <v>2933.3094746253782</v>
      </c>
      <c r="AV104" s="110">
        <v>2.9624876393267923</v>
      </c>
      <c r="AW104" s="110">
        <v>2026.3415452995259</v>
      </c>
      <c r="AX104" s="110">
        <v>2.6896761102569751</v>
      </c>
      <c r="AY104" s="110">
        <v>1839.7384594157709</v>
      </c>
      <c r="AZ104" s="110">
        <v>2.522070152439321</v>
      </c>
      <c r="BA104" s="110">
        <v>1725.0959842684956</v>
      </c>
      <c r="BB104" s="110">
        <v>3.7636990980822822</v>
      </c>
      <c r="BC104" s="110">
        <v>2574.370183088281</v>
      </c>
      <c r="BD104" s="110">
        <v>3.2530357229734381</v>
      </c>
      <c r="BE104" s="110">
        <v>2225.0764345138318</v>
      </c>
      <c r="BF104" s="110">
        <v>2.5500416338612935</v>
      </c>
      <c r="BG104" s="110">
        <v>1744.2284775611247</v>
      </c>
      <c r="BH104" s="110">
        <v>3.1009875121877477</v>
      </c>
      <c r="BI104" s="110">
        <v>2121.0754583364196</v>
      </c>
      <c r="BJ104" s="110">
        <v>0</v>
      </c>
      <c r="BK104" s="110">
        <v>0</v>
      </c>
      <c r="BL104" s="110">
        <v>0</v>
      </c>
      <c r="BM104" s="110">
        <v>0</v>
      </c>
      <c r="BN104" s="110">
        <v>0</v>
      </c>
      <c r="BO104" s="110">
        <v>0</v>
      </c>
      <c r="BP104" s="110">
        <v>0</v>
      </c>
      <c r="BQ104" s="110">
        <v>0</v>
      </c>
      <c r="BR104" s="110">
        <v>0</v>
      </c>
      <c r="BS104" s="110">
        <v>0</v>
      </c>
      <c r="BT104" s="110">
        <v>0</v>
      </c>
      <c r="BU104" s="110">
        <v>0</v>
      </c>
      <c r="BV104" s="110">
        <v>0</v>
      </c>
      <c r="BW104" s="110">
        <v>0</v>
      </c>
      <c r="BX104" s="110">
        <v>0</v>
      </c>
      <c r="BY104" s="110">
        <v>0</v>
      </c>
      <c r="BZ104" s="110">
        <v>0</v>
      </c>
      <c r="CA104" s="110">
        <v>0</v>
      </c>
      <c r="CB104" s="110">
        <v>0</v>
      </c>
      <c r="CC104" s="110">
        <v>0</v>
      </c>
      <c r="CD104" s="110">
        <v>0</v>
      </c>
      <c r="CE104" s="110">
        <v>0</v>
      </c>
      <c r="CF104" s="110">
        <v>0</v>
      </c>
      <c r="CG104" s="110">
        <v>0</v>
      </c>
      <c r="CH104" s="110">
        <v>0.11590028200828777</v>
      </c>
      <c r="CI104" s="110">
        <v>79.275792893668836</v>
      </c>
      <c r="CJ104" s="110">
        <v>0.12141145871328855</v>
      </c>
      <c r="CK104" s="110">
        <v>83.045437759889367</v>
      </c>
      <c r="CL104" s="110">
        <v>0.10371011024641988</v>
      </c>
      <c r="CM104" s="110">
        <v>70.937715408551199</v>
      </c>
      <c r="CN104" s="110">
        <v>0.20216087270046079</v>
      </c>
      <c r="CO104" s="110">
        <v>138.27803692711518</v>
      </c>
      <c r="CP104" s="110">
        <v>6</v>
      </c>
      <c r="CQ104" s="110">
        <v>4104</v>
      </c>
      <c r="CR104" s="110">
        <v>5.2868651005694431</v>
      </c>
      <c r="CS104" s="110">
        <v>3616.2157287894993</v>
      </c>
      <c r="CT104" s="110">
        <v>8.3203281552716657</v>
      </c>
      <c r="CU104" s="110">
        <v>5691.1044582058194</v>
      </c>
    </row>
    <row r="105" spans="2:99" x14ac:dyDescent="0.2">
      <c r="C105" s="109" t="s">
        <v>273</v>
      </c>
      <c r="D105" s="110">
        <v>0</v>
      </c>
      <c r="E105" s="110">
        <v>0</v>
      </c>
      <c r="F105" s="110">
        <v>1.3547718650203513</v>
      </c>
      <c r="G105" s="110">
        <v>830.74610763047929</v>
      </c>
      <c r="H105" s="110">
        <v>2.2370103565412398</v>
      </c>
      <c r="I105" s="110">
        <v>1371.734750631088</v>
      </c>
      <c r="J105" s="110">
        <v>3.791560184984859</v>
      </c>
      <c r="K105" s="110">
        <v>2324.9847054327151</v>
      </c>
      <c r="L105" s="110">
        <v>2.9179971490174963</v>
      </c>
      <c r="M105" s="110">
        <v>1789.3158517775285</v>
      </c>
      <c r="N105" s="110">
        <v>6.2155165886049364</v>
      </c>
      <c r="O105" s="110">
        <v>3811.3547721325467</v>
      </c>
      <c r="P105" s="110">
        <v>6.7996682158016206</v>
      </c>
      <c r="Q105" s="110">
        <v>4169.5565499295535</v>
      </c>
      <c r="R105" s="110">
        <v>7.7323525652412295</v>
      </c>
      <c r="S105" s="110">
        <v>4741.4785930059215</v>
      </c>
      <c r="T105" s="110">
        <v>4.9246286364976264</v>
      </c>
      <c r="U105" s="110">
        <v>3019.7822799003443</v>
      </c>
      <c r="V105" s="110">
        <v>0</v>
      </c>
      <c r="W105" s="110">
        <v>0</v>
      </c>
      <c r="X105" s="110">
        <v>0</v>
      </c>
      <c r="Y105" s="110">
        <v>0</v>
      </c>
      <c r="Z105" s="110">
        <v>0</v>
      </c>
      <c r="AA105" s="110">
        <v>0</v>
      </c>
      <c r="AB105" s="110">
        <v>0</v>
      </c>
      <c r="AC105" s="110">
        <v>0</v>
      </c>
      <c r="AD105" s="110">
        <v>4.1546413867482685E-3</v>
      </c>
      <c r="AE105" s="110">
        <v>2.547626098354038</v>
      </c>
      <c r="AF105" s="110">
        <v>1.1467899709393376E-2</v>
      </c>
      <c r="AG105" s="110">
        <v>7.0321161018000176</v>
      </c>
      <c r="AH105" s="110">
        <v>7.9911256594479337E-3</v>
      </c>
      <c r="AI105" s="110">
        <v>4.9001582543734727</v>
      </c>
      <c r="AJ105" s="110">
        <v>9.3251412992222654E-3</v>
      </c>
      <c r="AK105" s="110">
        <v>5.7181766446830924</v>
      </c>
      <c r="AL105" s="110">
        <v>4.0031521705824087</v>
      </c>
      <c r="AM105" s="110">
        <v>2454.7329110011328</v>
      </c>
      <c r="AN105" s="110">
        <v>4.185606831257048</v>
      </c>
      <c r="AO105" s="110">
        <v>2566.6141089268217</v>
      </c>
      <c r="AP105" s="110">
        <v>6.4086721480808828</v>
      </c>
      <c r="AQ105" s="110">
        <v>3929.7977612031968</v>
      </c>
      <c r="AR105" s="110">
        <v>4.324469570486805</v>
      </c>
      <c r="AS105" s="110">
        <v>2651.7647406225087</v>
      </c>
      <c r="AT105" s="110">
        <v>4.2884641441891498</v>
      </c>
      <c r="AU105" s="110">
        <v>2629.6862132167862</v>
      </c>
      <c r="AV105" s="110">
        <v>2.9624876393267923</v>
      </c>
      <c r="AW105" s="110">
        <v>1816.5974204351887</v>
      </c>
      <c r="AX105" s="110">
        <v>3.1379554619664707</v>
      </c>
      <c r="AY105" s="110">
        <v>1924.1942892778395</v>
      </c>
      <c r="AZ105" s="110">
        <v>2.522070152439321</v>
      </c>
      <c r="BA105" s="110">
        <v>1546.5334174757913</v>
      </c>
      <c r="BB105" s="110">
        <v>3.7636990980822822</v>
      </c>
      <c r="BC105" s="110">
        <v>2307.9002869440551</v>
      </c>
      <c r="BD105" s="110">
        <v>3.2530357229734381</v>
      </c>
      <c r="BE105" s="110">
        <v>1994.7615053273121</v>
      </c>
      <c r="BF105" s="110">
        <v>2.9700227138761028</v>
      </c>
      <c r="BG105" s="110">
        <v>1821.2179281488261</v>
      </c>
      <c r="BH105" s="110">
        <v>3.1009875121877477</v>
      </c>
      <c r="BI105" s="110">
        <v>1901.5255424735267</v>
      </c>
      <c r="BJ105" s="110">
        <v>0</v>
      </c>
      <c r="BK105" s="110">
        <v>0</v>
      </c>
      <c r="BL105" s="110">
        <v>0</v>
      </c>
      <c r="BM105" s="110">
        <v>0</v>
      </c>
      <c r="BN105" s="110">
        <v>0</v>
      </c>
      <c r="BO105" s="110">
        <v>0</v>
      </c>
      <c r="BP105" s="110">
        <v>0</v>
      </c>
      <c r="BQ105" s="110">
        <v>0</v>
      </c>
      <c r="BR105" s="110">
        <v>0</v>
      </c>
      <c r="BS105" s="110">
        <v>0</v>
      </c>
      <c r="BT105" s="110">
        <v>0</v>
      </c>
      <c r="BU105" s="110">
        <v>0</v>
      </c>
      <c r="BV105" s="110">
        <v>0</v>
      </c>
      <c r="BW105" s="110">
        <v>0</v>
      </c>
      <c r="BX105" s="110">
        <v>0</v>
      </c>
      <c r="BY105" s="110">
        <v>0</v>
      </c>
      <c r="BZ105" s="110">
        <v>0</v>
      </c>
      <c r="CA105" s="110">
        <v>0</v>
      </c>
      <c r="CB105" s="110">
        <v>0</v>
      </c>
      <c r="CC105" s="110">
        <v>0</v>
      </c>
      <c r="CD105" s="110">
        <v>0</v>
      </c>
      <c r="CE105" s="110">
        <v>0</v>
      </c>
      <c r="CF105" s="110">
        <v>0</v>
      </c>
      <c r="CG105" s="110">
        <v>0</v>
      </c>
      <c r="CH105" s="110">
        <v>0.11641535140647657</v>
      </c>
      <c r="CI105" s="110">
        <v>71.385893482451422</v>
      </c>
      <c r="CJ105" s="110">
        <v>0.10698445987492287</v>
      </c>
      <c r="CK105" s="110">
        <v>65.602870795302692</v>
      </c>
      <c r="CL105" s="110">
        <v>8.5301631465823119E-2</v>
      </c>
      <c r="CM105" s="110">
        <v>52.306960414842727</v>
      </c>
      <c r="CN105" s="110">
        <v>0.20120858325568455</v>
      </c>
      <c r="CO105" s="110">
        <v>123.38110325238576</v>
      </c>
      <c r="CP105" s="110">
        <v>5</v>
      </c>
      <c r="CQ105" s="110">
        <v>3065.9999999999995</v>
      </c>
      <c r="CR105" s="110">
        <v>5.2868651005694431</v>
      </c>
      <c r="CS105" s="110">
        <v>3241.9056796691821</v>
      </c>
      <c r="CT105" s="110">
        <v>8.2847361380192588</v>
      </c>
      <c r="CU105" s="110">
        <v>5080.200199833409</v>
      </c>
    </row>
    <row r="107" spans="2:99" x14ac:dyDescent="0.2">
      <c r="B107" s="114" t="s">
        <v>278</v>
      </c>
    </row>
    <row r="108" spans="2:99" x14ac:dyDescent="0.2">
      <c r="C108" s="109" t="s">
        <v>279</v>
      </c>
      <c r="D108" s="109" t="s">
        <v>92</v>
      </c>
      <c r="E108" s="109" t="s">
        <v>93</v>
      </c>
      <c r="F108" s="109" t="s">
        <v>94</v>
      </c>
      <c r="G108" s="109" t="s">
        <v>95</v>
      </c>
      <c r="H108" s="109" t="s">
        <v>96</v>
      </c>
      <c r="I108" s="109" t="s">
        <v>97</v>
      </c>
      <c r="J108" s="109" t="s">
        <v>98</v>
      </c>
      <c r="K108" s="109" t="s">
        <v>99</v>
      </c>
      <c r="L108" s="109" t="s">
        <v>100</v>
      </c>
      <c r="M108" s="109" t="s">
        <v>101</v>
      </c>
      <c r="N108" s="109" t="s">
        <v>102</v>
      </c>
      <c r="O108" s="109" t="s">
        <v>103</v>
      </c>
    </row>
    <row r="109" spans="2:99" x14ac:dyDescent="0.2">
      <c r="C109" s="109" t="s">
        <v>126</v>
      </c>
      <c r="D109" s="110">
        <f>SUM(D$6:D$19)+SUM(F$6:F$19)+SUM(H$6:H$19)+SUM(J$6:J$19)</f>
        <v>18.599972957539393</v>
      </c>
      <c r="E109" s="110">
        <f>SUM(L$6:L$19)+SUM(N$6:N$19)+SUM(P$6:P$19)+SUM(R$6:R$19)</f>
        <v>79.920611367645876</v>
      </c>
      <c r="F109" s="110">
        <f>SUM(T$6:T$19)+SUM(V$6:V$19)+SUM(X$6:X$19)+SUM(Z$6:Z$19)</f>
        <v>394.13867864931137</v>
      </c>
      <c r="G109" s="110">
        <f>SUM(AB$6:AB$19)+SUM(AD$6:AD$19)+SUM(AF$6:AF$19)+SUM(AH$6:AH$19)</f>
        <v>496.80176705869229</v>
      </c>
      <c r="H109" s="110">
        <f>SUM(AJ$6:AJ$19)+SUM(AL$6:AL$19)+SUM(AN$6:AN$19)+SUM(AP$6:AP$19)</f>
        <v>310.68282201078279</v>
      </c>
      <c r="I109" s="110">
        <f>SUM(AR$6:AR$19)+SUM(AT$6:AT$19)+SUM(AV$6:AV$19)+SUM(AX$6:AX$19)</f>
        <v>425.77698098876181</v>
      </c>
      <c r="J109" s="110">
        <f>SUM(AZ$6:AZ$19)+SUM(BB$6:BB$19)+SUM(BD$6:BD$19)+SUM(BF$6:BF$19)</f>
        <v>163.39700615918449</v>
      </c>
      <c r="K109" s="110">
        <f>SUM(BH$6:BH$19)+SUM(BJ$6:BJ$19)+SUM(BL$6:BL$19)+SUM(BN$6:BN$19)</f>
        <v>176.51792581108759</v>
      </c>
      <c r="L109" s="110">
        <f>SUM(BP$6:BP$19)+SUM(BR$6:BR$19)+SUM(BT$6:BT$19)+SUM(BV$6:BV$19)</f>
        <v>446.2251437956271</v>
      </c>
      <c r="M109" s="110">
        <f>SUM(BX$6:BX$19)+SUM(BZ$6:BZ$19)+SUM(CB$6:CB$19)+SUM(CD$6:CD$19)</f>
        <v>242.74981873416135</v>
      </c>
      <c r="N109" s="110">
        <f>SUM(CF$6:CF$19)+SUM(CH$6:CH$19)+SUM(CJ$6:CJ$19)+SUM(CL$6:CL$19)</f>
        <v>562.62066320690519</v>
      </c>
      <c r="O109" s="110">
        <f>SUM(CN$6:CN$19)+SUM(CP$6:CP$19)+SUM(CR$6:CR$19)+SUM(CT$6:CT$19)</f>
        <v>407.58318298037983</v>
      </c>
    </row>
    <row r="110" spans="2:99" x14ac:dyDescent="0.2">
      <c r="C110" s="109" t="s">
        <v>127</v>
      </c>
      <c r="D110" s="110">
        <f>SUM(D$20:D$36)+SUM(F$20:F$36)+SUM(H$20:H$36)+SUM(J$20:J$36)</f>
        <v>139.28123766981804</v>
      </c>
      <c r="E110" s="110">
        <f>SUM(L$20:L$36)+SUM(N$20:N$36)+SUM(P$20:P$36)+SUM(R$20:R$36)</f>
        <v>630.03256057492797</v>
      </c>
      <c r="F110" s="110">
        <f>SUM(T$20:T$36)+SUM(V$20:V$36)+SUM(X$20:X$36)+SUM(Z$20:Z$36)</f>
        <v>619.83662437392059</v>
      </c>
      <c r="G110" s="110">
        <f>SUM(AB$20:AB$36)+SUM(AD$20:AD$36)+SUM(AF$20:AF$36)+SUM(AH$20:AH$36)</f>
        <v>663.4869899492453</v>
      </c>
      <c r="H110" s="110">
        <f>SUM(AJ$20:AJ$36)+SUM(AL$20:AL$36)+SUM(AN$20:AN$36)+SUM(AP$20:AP$36)</f>
        <v>632.99486496063241</v>
      </c>
      <c r="I110" s="110">
        <f>SUM(AR$20:AR$36)+SUM(AT$20:AT$36)+SUM(AV$20:AV$36)+SUM(AX$20:AX$36)</f>
        <v>683.92724170756514</v>
      </c>
      <c r="J110" s="110">
        <f>SUM(AZ$20:AZ$36)+SUM(BB$20:BB$36)+SUM(BD$20:BD$36)+SUM(BF$20:BF$36)</f>
        <v>630.46738806656538</v>
      </c>
      <c r="K110" s="110">
        <f>SUM(BH$20:BH$36)+SUM(BJ$20:BJ$36)+SUM(BL$20:BL$36)+SUM(BN$20:BN$36)</f>
        <v>1286.9791032053402</v>
      </c>
      <c r="L110" s="110">
        <f>SUM(BP$20:BP$36)+SUM(BR$20:BR$36)+SUM(BT$20:BT$36)+SUM(BV$20:BV$36)</f>
        <v>1248.7075275492134</v>
      </c>
      <c r="M110" s="110">
        <f>SUM(BX$20:BX$36)+SUM(BZ$20:BZ$36)+SUM(CB$20:CB$36)+SUM(CD$20:CD$36)</f>
        <v>1733.7433301618346</v>
      </c>
      <c r="N110" s="110">
        <f>SUM(CF$20:CF$36)+SUM(CH$20:CH$36)+SUM(CJ$20:CJ$36)+SUM(CL$20:CL$36)</f>
        <v>457.16801409362978</v>
      </c>
      <c r="O110" s="110">
        <f>SUM(CN$20:CN$36)+SUM(CP$20:CP$36)+SUM(CR$20:CR$36)+SUM(CT$20:CT$36)</f>
        <v>370.00824182729974</v>
      </c>
    </row>
    <row r="111" spans="2:99" x14ac:dyDescent="0.2">
      <c r="C111" s="109" t="s">
        <v>128</v>
      </c>
      <c r="D111" s="110">
        <f>SUM(D$37:D$48)+SUM(F$37:F$48)+SUM(H$37:H$48)+SUM(J$37:J$48)</f>
        <v>17.958348790769804</v>
      </c>
      <c r="E111" s="110">
        <f>SUM(L$37:L$48)+SUM(N$37:N$48)+SUM(P$37:P$48)+SUM(R$37:R$48)</f>
        <v>86.462063324952922</v>
      </c>
      <c r="F111" s="110">
        <f>SUM(T$37:T$48)+SUM(V$37:V$48)+SUM(X$37:X$48)+SUM(Z$37:Z$48)</f>
        <v>313.2699581576552</v>
      </c>
      <c r="G111" s="110">
        <f>SUM(AB$37:AB$48)+SUM(AD$37:AD$48)+SUM(AF$37:AF$48)+SUM(AH$37:AH$48)</f>
        <v>337.99461638858696</v>
      </c>
      <c r="H111" s="110">
        <f>SUM(AJ$37:AJ$48)+SUM(AL$37:AL$48)+SUM(AN$37:AN$48)+SUM(AP$37:AP$48)</f>
        <v>365.18484878818401</v>
      </c>
      <c r="I111" s="110">
        <f>SUM(AR$37:AR$48)+SUM(AT$37:AT$48)+SUM(AV$37:AV$48)+SUM(AX$37:AX$48)</f>
        <v>264.31193457077558</v>
      </c>
      <c r="J111" s="110">
        <f>SUM(AZ$37:AZ$48)+SUM(BB$37:BB$48)+SUM(BD$37:BD$48)+SUM(BF$37:BF$48)</f>
        <v>285.9411489823666</v>
      </c>
      <c r="K111" s="110">
        <f>SUM(BH$37:BH$48)+SUM(BJ$37:BJ$48)+SUM(BL$37:BL$48)+SUM(BN$37:BN$48)</f>
        <v>135.44306838792423</v>
      </c>
      <c r="L111" s="110">
        <f>SUM(BP$37:BP$48)+SUM(BR$37:BR$48)+SUM(BT$37:BT$48)+SUM(BV$37:BV$48)</f>
        <v>215.39574630027607</v>
      </c>
      <c r="M111" s="110">
        <f>SUM(BX$37:BX$48)+SUM(BZ$37:BZ$48)+SUM(CB$37:CB$48)+SUM(CD$37:CD$48)</f>
        <v>353.97440457943839</v>
      </c>
      <c r="N111" s="110">
        <f>SUM(CF$37:CF$48)+SUM(CH$37:CH$48)+SUM(CJ$37:CJ$48)+SUM(CL$37:CL$48)</f>
        <v>157.77603795080105</v>
      </c>
      <c r="O111" s="110">
        <f>SUM(CN$37:CN$48)+SUM(CP$37:CP$48)+SUM(CR$37:CR$48)+SUM(CT$37:CT$48)</f>
        <v>428.42025744870227</v>
      </c>
    </row>
    <row r="112" spans="2:99" x14ac:dyDescent="0.2">
      <c r="C112" s="109" t="s">
        <v>129</v>
      </c>
      <c r="D112" s="110">
        <f>SUM(D$49:D$70)+SUM(F$49:F$70)+SUM(H$49:H$70)+SUM(J$49:J$70)</f>
        <v>26.219131871545578</v>
      </c>
      <c r="E112" s="110">
        <f>SUM(L$49:L$70)+SUM(N$49:N$70)+SUM(P$49:P$70)+SUM(R$49:R$70)</f>
        <v>100.48465165843281</v>
      </c>
      <c r="F112" s="110">
        <f>SUM(T$49:T$70)+SUM(V$49:V$70)+SUM(X$49:X$70)+SUM(Z$49:Z$70)</f>
        <v>104.32340325112652</v>
      </c>
      <c r="G112" s="110">
        <f>SUM(AB$49:AB$70)+SUM(AD$49:AD$70)+SUM(AF$49:AF$70)+SUM(AH$49:AH$70)</f>
        <v>282.34720860645001</v>
      </c>
      <c r="H112" s="110">
        <f>SUM(AJ$49:AJ$70)+SUM(AL$49:AL$70)+SUM(AN$49:AN$70)+SUM(AP$49:AP$70)</f>
        <v>465.99631342205362</v>
      </c>
      <c r="I112" s="110">
        <f>SUM(AR$49:AR$70)+SUM(AT$49:AT$70)+SUM(AV$49:AV$70)+SUM(AX$49:AX$70)</f>
        <v>682.39521266352904</v>
      </c>
      <c r="J112" s="110">
        <f>SUM(AZ$49:AZ$70)+SUM(BB$49:BB$70)+SUM(BD$49:BD$70)+SUM(BF$49:BF$70)</f>
        <v>252.56601223414549</v>
      </c>
      <c r="K112" s="110">
        <f>SUM(BH$49:BH$70)+SUM(BJ$49:BJ$70)+SUM(BL$49:BL$70)+SUM(BN$49:BN$70)</f>
        <v>216.48597899241699</v>
      </c>
      <c r="L112" s="110">
        <f>SUM(BP$49:BP$70)+SUM(BR$49:BR$70)+SUM(BT$49:BT$70)+SUM(BV$49:BV$70)</f>
        <v>375.32878743098627</v>
      </c>
      <c r="M112" s="110">
        <f>SUM(BX$49:BX$70)+SUM(BZ$49:BZ$70)+SUM(CB$49:CB$70)+SUM(CD$49:CD$70)</f>
        <v>564.52334818054919</v>
      </c>
      <c r="N112" s="110">
        <f>SUM(CF$49:CF$70)+SUM(CH$49:CH$70)+SUM(CJ$49:CJ$70)+SUM(CL$49:CL$70)</f>
        <v>554.20902526515522</v>
      </c>
      <c r="O112" s="110">
        <f>SUM(CN$49:CN$70)+SUM(CP$49:CP$70)+SUM(CR$49:CR$70)+SUM(CT$49:CT$70)</f>
        <v>235.13875385134321</v>
      </c>
    </row>
    <row r="113" spans="2:15" x14ac:dyDescent="0.2">
      <c r="C113" s="109" t="s">
        <v>130</v>
      </c>
      <c r="D113" s="110">
        <f>SUM(D$71:D$86)+SUM(F$71:F$86)+SUM(H$71:H$86)+SUM(J$71:J$86)</f>
        <v>26.183096063736393</v>
      </c>
      <c r="E113" s="110">
        <f>SUM(L$71:L$86)+SUM(N$71:N$86)+SUM(P$71:P$86)+SUM(R$71:R$86)</f>
        <v>88.932104390040251</v>
      </c>
      <c r="F113" s="110">
        <f>SUM(T$71:T$86)+SUM(V$71:V$86)+SUM(X$71:X$86)+SUM(Z$71:Z$86)</f>
        <v>17.00958841164509</v>
      </c>
      <c r="G113" s="110">
        <f>SUM(AB$71:AB$86)+SUM(AD$71:AD$86)+SUM(AF$71:AF$86)+SUM(AH$71:AH$86)</f>
        <v>106.42234247807565</v>
      </c>
      <c r="H113" s="110">
        <f>SUM(AJ$71:AJ$86)+SUM(AL$71:AL$86)+SUM(AN$71:AN$86)+SUM(AP$71:AP$86)</f>
        <v>760.29077128801282</v>
      </c>
      <c r="I113" s="110">
        <f>SUM(AR$71:AR$86)+SUM(AT$71:AT$86)+SUM(AV$71:AV$86)+SUM(AX$71:AX$86)</f>
        <v>238.47505009253342</v>
      </c>
      <c r="J113" s="110">
        <f>SUM(AZ$71:AZ$86)+SUM(BB$71:BB$86)+SUM(BD$71:BD$86)+SUM(BF$71:BF$86)</f>
        <v>321.82432767262054</v>
      </c>
      <c r="K113" s="110">
        <f>SUM(BH$71:BH$86)+SUM(BJ$71:BJ$86)+SUM(BL$71:BL$86)+SUM(BN$71:BN$86)</f>
        <v>126.94320383875979</v>
      </c>
      <c r="L113" s="110">
        <f>SUM(BP$71:BP$86)+SUM(BR$71:BR$86)+SUM(BT$71:BT$86)+SUM(BV$71:BV$86)</f>
        <v>420.32011646733019</v>
      </c>
      <c r="M113" s="110">
        <f>SUM(BX$71:BX$86)+SUM(BZ$71:BZ$86)+SUM(CB$71:CB$86)+SUM(CD$71:CD$86)</f>
        <v>422.15541618270703</v>
      </c>
      <c r="N113" s="110">
        <f>SUM(CF$71:CF$86)+SUM(CH$71:CH$86)+SUM(CJ$71:CJ$86)+SUM(CL$71:CL$86)</f>
        <v>616.50672477165404</v>
      </c>
      <c r="O113" s="110">
        <f>SUM(CN$71:CN$86)+SUM(CP$71:CP$86)+SUM(CR$71:CR$86)+SUM(CT$71:CT$86)</f>
        <v>330.43340095956091</v>
      </c>
    </row>
    <row r="114" spans="2:15" x14ac:dyDescent="0.2">
      <c r="C114" s="109" t="s">
        <v>131</v>
      </c>
      <c r="D114" s="110">
        <f>SUM(D$87:D$94)+SUM(F$87:F$94)+SUM(H$87:H$94)+SUM(J$87:J$94)</f>
        <v>28.864326257416579</v>
      </c>
      <c r="E114" s="110">
        <f>SUM(L$87:L$94)+SUM(N$87:N$94)+SUM(P$87:P$94)+SUM(R$87:R$94)</f>
        <v>51.879134019490422</v>
      </c>
      <c r="F114" s="110">
        <f>SUM(T$87:T$94)+SUM(V$87:V$94)+SUM(X$87:X$94)+SUM(Z$87:Z$94)</f>
        <v>19.698514545990506</v>
      </c>
      <c r="G114" s="110">
        <f>SUM(AB$87:AB$94)+SUM(AD$87:AD$94)+SUM(AF$87:AF$94)+SUM(AH$87:AH$94)</f>
        <v>0.41664205934359877</v>
      </c>
      <c r="H114" s="110">
        <f>SUM(AJ$87:AJ$94)+SUM(AL$87:AL$94)+SUM(AN$87:AN$94)+SUM(AP$87:AP$94)</f>
        <v>138.78824383415858</v>
      </c>
      <c r="I114" s="110">
        <f>SUM(AR$87:AR$94)+SUM(AT$87:AT$94)+SUM(AV$87:AV$94)+SUM(AX$87:AX$94)</f>
        <v>121.75851066057926</v>
      </c>
      <c r="J114" s="110">
        <f>SUM(AZ$87:AZ$94)+SUM(BB$87:BB$94)+SUM(BD$87:BD$94)+SUM(BF$87:BF$94)</f>
        <v>153.24380943874166</v>
      </c>
      <c r="K114" s="110">
        <f>SUM(BH$87:BH$94)+SUM(BJ$87:BJ$94)+SUM(BL$87:BL$94)+SUM(BN$87:BN$94)</f>
        <v>18.605925073126485</v>
      </c>
      <c r="L114" s="110">
        <f>SUM(BP$87:BP$94)+SUM(BR$87:BR$94)+SUM(BT$87:BT$94)+SUM(BV$87:BV$94)</f>
        <v>0</v>
      </c>
      <c r="M114" s="110">
        <f>SUM(BX$87:BX$94)+SUM(BZ$87:BZ$94)+SUM(CB$87:CB$94)+SUM(CD$87:CD$94)</f>
        <v>0</v>
      </c>
      <c r="N114" s="110">
        <f>SUM(CF$87:CF$94)+SUM(CH$87:CH$94)+SUM(CJ$87:CJ$94)+SUM(CL$87:CL$94)</f>
        <v>4.8895435702080228</v>
      </c>
      <c r="O114" s="110">
        <f>SUM(CN$87:CN$94)+SUM(CP$87:CP$94)+SUM(CR$87:CR$94)+SUM(CT$87:CT$94)</f>
        <v>141.4368271021136</v>
      </c>
    </row>
    <row r="115" spans="2:15" x14ac:dyDescent="0.2">
      <c r="C115" s="109" t="s">
        <v>132</v>
      </c>
      <c r="D115" s="110">
        <f>SUM(D$95:D$105)+SUM(F$95:F$105)+SUM(H$95:H$105)+SUM(J$95:J$105)</f>
        <v>83.591876156934518</v>
      </c>
      <c r="E115" s="110">
        <f>SUM(L$95:L$105)+SUM(N$95:N$105)+SUM(P$95:P$105)+SUM(R$95:R$105)</f>
        <v>254.42111633725369</v>
      </c>
      <c r="F115" s="110">
        <f>SUM(T$95:T$105)+SUM(V$95:V$105)+SUM(X$95:X$105)+SUM(Z$95:Z$105)</f>
        <v>58.27477219855524</v>
      </c>
      <c r="G115" s="110">
        <f>SUM(AB$95:AB$105)+SUM(AD$95:AD$105)+SUM(AF$95:AF$105)+SUM(AH$95:AH$105)</f>
        <v>0.25212068321898701</v>
      </c>
      <c r="H115" s="110">
        <f>SUM(AJ$95:AJ$105)+SUM(AL$95:AL$105)+SUM(AN$95:AN$105)+SUM(AP$95:AP$105)</f>
        <v>160.33957172267446</v>
      </c>
      <c r="I115" s="110">
        <f>SUM(AR$95:AR$105)+SUM(AT$95:AT$105)+SUM(AV$95:AV$105)+SUM(AX$95:AX$105)</f>
        <v>156.3771439531566</v>
      </c>
      <c r="J115" s="110">
        <f>SUM(AZ$95:AZ$105)+SUM(BB$95:BB$105)+SUM(BD$95:BD$105)+SUM(BF$95:BF$105)</f>
        <v>136.15845627458003</v>
      </c>
      <c r="K115" s="110">
        <f>SUM(BH$95:BH$105)+SUM(BJ$95:BJ$105)+SUM(BL$95:BL$105)+SUM(BN$95:BN$105)</f>
        <v>33.335615756018285</v>
      </c>
      <c r="L115" s="110">
        <f>SUM(BP$95:BP$105)+SUM(BR$95:BR$105)+SUM(BT$95:BT$105)+SUM(BV$95:BV$105)</f>
        <v>0</v>
      </c>
      <c r="M115" s="110">
        <f>SUM(BX$95:BX$105)+SUM(BZ$95:BZ$105)+SUM(CB$95:CB$105)+SUM(CD$95:CD$105)</f>
        <v>0</v>
      </c>
      <c r="N115" s="110">
        <f>SUM(CF$95:CF$105)+SUM(CH$95:CH$105)+SUM(CJ$95:CJ$105)+SUM(CL$95:CL$105)</f>
        <v>3.5491509556686038</v>
      </c>
      <c r="O115" s="110">
        <f>SUM(CN$95:CN$105)+SUM(CP$95:CP$105)+SUM(CR$95:CR$105)+SUM(CT$95:CT$105)</f>
        <v>203.63823330358531</v>
      </c>
    </row>
    <row r="116" spans="2:15" x14ac:dyDescent="0.2">
      <c r="C116" s="109" t="s">
        <v>280</v>
      </c>
      <c r="D116" s="110">
        <f t="shared" ref="D116:O116" si="0">SUM(D$109:D$115)</f>
        <v>340.6979897677603</v>
      </c>
      <c r="E116" s="110">
        <f t="shared" si="0"/>
        <v>1292.1322416727439</v>
      </c>
      <c r="F116" s="110">
        <f t="shared" si="0"/>
        <v>1526.5515395882046</v>
      </c>
      <c r="G116" s="110">
        <f t="shared" si="0"/>
        <v>1887.7216872236129</v>
      </c>
      <c r="H116" s="110">
        <f t="shared" si="0"/>
        <v>2834.2774360264989</v>
      </c>
      <c r="I116" s="110">
        <f t="shared" si="0"/>
        <v>2573.0220746369009</v>
      </c>
      <c r="J116" s="110">
        <f t="shared" si="0"/>
        <v>1943.5981488282041</v>
      </c>
      <c r="K116" s="110">
        <f t="shared" si="0"/>
        <v>1994.3108210646735</v>
      </c>
      <c r="L116" s="110">
        <f t="shared" si="0"/>
        <v>2705.9773215434329</v>
      </c>
      <c r="M116" s="110">
        <f t="shared" si="0"/>
        <v>3317.1463178386903</v>
      </c>
      <c r="N116" s="110">
        <f t="shared" si="0"/>
        <v>2356.7191598140216</v>
      </c>
      <c r="O116" s="110">
        <f t="shared" si="0"/>
        <v>2116.6588974729848</v>
      </c>
    </row>
    <row r="118" spans="2:15" x14ac:dyDescent="0.2">
      <c r="B118" s="113" t="s">
        <v>281</v>
      </c>
    </row>
    <row r="119" spans="2:15" x14ac:dyDescent="0.2">
      <c r="C119" s="109" t="s">
        <v>279</v>
      </c>
      <c r="D119" s="109" t="s">
        <v>92</v>
      </c>
      <c r="E119" s="109" t="s">
        <v>93</v>
      </c>
      <c r="F119" s="109" t="s">
        <v>94</v>
      </c>
      <c r="G119" s="109" t="s">
        <v>95</v>
      </c>
      <c r="H119" s="109" t="s">
        <v>96</v>
      </c>
      <c r="I119" s="109" t="s">
        <v>97</v>
      </c>
      <c r="J119" s="109" t="s">
        <v>98</v>
      </c>
      <c r="K119" s="109" t="s">
        <v>99</v>
      </c>
      <c r="L119" s="109" t="s">
        <v>100</v>
      </c>
      <c r="M119" s="109" t="s">
        <v>101</v>
      </c>
      <c r="N119" s="109" t="s">
        <v>102</v>
      </c>
      <c r="O119" s="109" t="s">
        <v>103</v>
      </c>
    </row>
    <row r="120" spans="2:15" x14ac:dyDescent="0.2">
      <c r="C120" s="109" t="s">
        <v>126</v>
      </c>
      <c r="D120" s="110">
        <f>D109*pricing!D24*2000</f>
        <v>148799.78366031515</v>
      </c>
      <c r="E120" s="110">
        <f>E109*pricing!E24*2000</f>
        <v>639364.89094116702</v>
      </c>
      <c r="F120" s="110">
        <f>F109*pricing!F24*2000</f>
        <v>2171889.1477603978</v>
      </c>
      <c r="G120" s="110">
        <f>G109*pricing!G24*2000</f>
        <v>2770748.5908115441</v>
      </c>
      <c r="H120" s="110">
        <f>H109*pricing!H24*2000</f>
        <v>2154394.8419187181</v>
      </c>
      <c r="I120" s="110">
        <f>I109*pricing!I24*2000</f>
        <v>2749115.859618206</v>
      </c>
      <c r="J120" s="110">
        <f>J109*pricing!J24*2000</f>
        <v>1307176.0492734758</v>
      </c>
      <c r="K120" s="110">
        <f>K109*pricing!K24*2000</f>
        <v>1412143.4064887008</v>
      </c>
      <c r="L120" s="110">
        <f>L109*pricing!L24*2000</f>
        <v>2807296.3769448306</v>
      </c>
      <c r="M120" s="110">
        <f>M109*pricing!M24*2000</f>
        <v>1941998.5498732908</v>
      </c>
      <c r="N120" s="110">
        <f>N109*pricing!N24*2000</f>
        <v>2579781.8421768174</v>
      </c>
      <c r="O120" s="110">
        <f>O109*pricing!O24*2000</f>
        <v>2415434.7547600176</v>
      </c>
    </row>
    <row r="121" spans="2:15" x14ac:dyDescent="0.2">
      <c r="C121" s="109" t="s">
        <v>127</v>
      </c>
      <c r="D121" s="110">
        <f>D110*pricing!D25*2000</f>
        <v>615522.55791686883</v>
      </c>
      <c r="E121" s="110">
        <f>E110*pricing!E25*2000</f>
        <v>2684898.0687097013</v>
      </c>
      <c r="F121" s="110">
        <f>F110*pricing!F25*2000</f>
        <v>3239116.4625654123</v>
      </c>
      <c r="G121" s="110">
        <f>G110*pricing!G25*2000</f>
        <v>4051620.4832820348</v>
      </c>
      <c r="H121" s="110">
        <f>H110*pricing!H25*2000</f>
        <v>4037999.7879874213</v>
      </c>
      <c r="I121" s="110">
        <f>I110*pricing!I25*2000</f>
        <v>4399273.5272380328</v>
      </c>
      <c r="J121" s="110">
        <f>J110*pricing!J25*2000</f>
        <v>4082094.0002577077</v>
      </c>
      <c r="K121" s="110">
        <f>K110*pricing!K25*2000</f>
        <v>5539389.3766718777</v>
      </c>
      <c r="L121" s="110">
        <f>L110*pricing!L25*2000</f>
        <v>6382650.8688497283</v>
      </c>
      <c r="M121" s="110">
        <f>M110*pricing!M25*2000</f>
        <v>7474326.2066595983</v>
      </c>
      <c r="N121" s="110">
        <f>N110*pricing!N25*2000</f>
        <v>3657344.1127490383</v>
      </c>
      <c r="O121" s="110">
        <f>O110*pricing!O25*2000</f>
        <v>2960065.9346183981</v>
      </c>
    </row>
    <row r="122" spans="2:15" x14ac:dyDescent="0.2">
      <c r="C122" s="109" t="s">
        <v>128</v>
      </c>
      <c r="D122" s="110">
        <f>D111*pricing!D26*2000</f>
        <v>143666.79032615843</v>
      </c>
      <c r="E122" s="110">
        <f>E111*pricing!E26*2000</f>
        <v>691696.50659962336</v>
      </c>
      <c r="F122" s="110">
        <f>F111*pricing!F26*2000</f>
        <v>1754088.0915592846</v>
      </c>
      <c r="G122" s="110">
        <f>G111*pricing!G26*2000</f>
        <v>1892412.8733540743</v>
      </c>
      <c r="H122" s="110">
        <f>H111*pricing!H26*2000</f>
        <v>2160852.8341557905</v>
      </c>
      <c r="I122" s="110">
        <f>I111*pricing!I26*2000</f>
        <v>1884290.8778986963</v>
      </c>
      <c r="J122" s="110">
        <f>J111*pricing!J26*2000</f>
        <v>1694179.0271861935</v>
      </c>
      <c r="K122" s="110">
        <f>K111*pricing!K26*2000</f>
        <v>1083544.5471033938</v>
      </c>
      <c r="L122" s="110">
        <f>L111*pricing!L26*2000</f>
        <v>1723165.9704022086</v>
      </c>
      <c r="M122" s="110">
        <f>M111*pricing!M26*2000</f>
        <v>2314258.5132987946</v>
      </c>
      <c r="N122" s="110">
        <f>N111*pricing!N26*2000</f>
        <v>1262208.3036064084</v>
      </c>
      <c r="O122" s="110">
        <f>O111*pricing!O26*2000</f>
        <v>2100955.6274953107</v>
      </c>
    </row>
    <row r="123" spans="2:15" x14ac:dyDescent="0.2">
      <c r="C123" s="109" t="s">
        <v>129</v>
      </c>
      <c r="D123" s="110">
        <f>D112*pricing!D27*2000</f>
        <v>209753.05497236463</v>
      </c>
      <c r="E123" s="110">
        <f>E112*pricing!E27*2000</f>
        <v>803877.21326746244</v>
      </c>
      <c r="F123" s="110">
        <f>F112*pricing!F27*2000</f>
        <v>834587.2260090122</v>
      </c>
      <c r="G123" s="110">
        <f>G112*pricing!G27*2000</f>
        <v>1891938.5092605094</v>
      </c>
      <c r="H123" s="110">
        <f>H112*pricing!H27*2000</f>
        <v>2935874.536857523</v>
      </c>
      <c r="I123" s="110">
        <f>I112*pricing!I27*2000</f>
        <v>3874075.7994937832</v>
      </c>
      <c r="J123" s="110">
        <f>J112*pricing!J27*2000</f>
        <v>2020528.0978731639</v>
      </c>
      <c r="K123" s="110">
        <f>K112*pricing!K27*2000</f>
        <v>1401172.1099629072</v>
      </c>
      <c r="L123" s="110">
        <f>L112*pricing!L27*2000</f>
        <v>2481730.1006881716</v>
      </c>
      <c r="M123" s="110">
        <f>M112*pricing!M27*2000</f>
        <v>3137686.5801903764</v>
      </c>
      <c r="N123" s="110">
        <f>N112*pricing!N27*2000</f>
        <v>2892930.5127477557</v>
      </c>
      <c r="O123" s="110">
        <f>O112*pricing!O27*2000</f>
        <v>1881110.0308107457</v>
      </c>
    </row>
    <row r="124" spans="2:15" x14ac:dyDescent="0.2">
      <c r="C124" s="109" t="s">
        <v>130</v>
      </c>
      <c r="D124" s="110">
        <f>D113*pricing!D28*2000</f>
        <v>133711.4247415399</v>
      </c>
      <c r="E124" s="110">
        <f>E113*pricing!E28*2000</f>
        <v>627913.78716721723</v>
      </c>
      <c r="F124" s="110">
        <f>F113*pricing!F28*2000</f>
        <v>136076.70729316073</v>
      </c>
      <c r="G124" s="110">
        <f>G113*pricing!G28*2000</f>
        <v>851378.73982460517</v>
      </c>
      <c r="H124" s="110">
        <f>H113*pricing!H28*2000</f>
        <v>3134444.1938768267</v>
      </c>
      <c r="I124" s="110">
        <f>I113*pricing!I28*2000</f>
        <v>1907800.4007402675</v>
      </c>
      <c r="J124" s="110">
        <f>J113*pricing!J28*2000</f>
        <v>2113946.6648950884</v>
      </c>
      <c r="K124" s="110">
        <f>K113*pricing!K28*2000</f>
        <v>1015545.6307100783</v>
      </c>
      <c r="L124" s="110">
        <f>L113*pricing!L28*2000</f>
        <v>2392079.7688257815</v>
      </c>
      <c r="M124" s="110">
        <f>M113*pricing!M28*2000</f>
        <v>2494377.3992354469</v>
      </c>
      <c r="N124" s="110">
        <f>N113*pricing!N28*2000</f>
        <v>2852696.7814180967</v>
      </c>
      <c r="O124" s="110">
        <f>O113*pricing!O28*2000</f>
        <v>2081882.4075662715</v>
      </c>
    </row>
    <row r="125" spans="2:15" x14ac:dyDescent="0.2">
      <c r="C125" s="109" t="s">
        <v>131</v>
      </c>
      <c r="D125" s="110">
        <f>D114*pricing!D29*2000</f>
        <v>196246.57967334468</v>
      </c>
      <c r="E125" s="110">
        <f>E114*pricing!E29*2000</f>
        <v>415033.07215592335</v>
      </c>
      <c r="F125" s="110">
        <f>F114*pricing!F29*2000</f>
        <v>157588.11636792406</v>
      </c>
      <c r="G125" s="110">
        <f>G114*pricing!G29*2000</f>
        <v>2045.1132846349221</v>
      </c>
      <c r="H125" s="110">
        <f>H114*pricing!H29*2000</f>
        <v>672142.15139699937</v>
      </c>
      <c r="I125" s="110">
        <f>I114*pricing!I29*2000</f>
        <v>739048.47402134119</v>
      </c>
      <c r="J125" s="110">
        <f>J114*pricing!J29*2000</f>
        <v>806667.5557689385</v>
      </c>
      <c r="K125" s="110">
        <f>K114*pricing!K29*2000</f>
        <v>148847.40058501187</v>
      </c>
      <c r="L125" s="110">
        <f>L114*pricing!L29*2000</f>
        <v>0</v>
      </c>
      <c r="M125" s="110">
        <f>M114*pricing!M29*2000</f>
        <v>0</v>
      </c>
      <c r="N125" s="110">
        <f>N114*pricing!N29*2000</f>
        <v>24659.496402105255</v>
      </c>
      <c r="O125" s="110">
        <f>O114*pricing!O29*2000</f>
        <v>915848.05023489718</v>
      </c>
    </row>
    <row r="126" spans="2:15" x14ac:dyDescent="0.2">
      <c r="C126" s="109" t="s">
        <v>132</v>
      </c>
      <c r="D126" s="110">
        <f>D115*pricing!D30*2000</f>
        <v>531805.9860062584</v>
      </c>
      <c r="E126" s="110">
        <f>E115*pricing!E30*2000</f>
        <v>1388346.5352858496</v>
      </c>
      <c r="F126" s="110">
        <f>F115*pricing!F30*2000</f>
        <v>466198.17758844193</v>
      </c>
      <c r="G126" s="110">
        <f>G115*pricing!G30*2000</f>
        <v>2016.9654657518961</v>
      </c>
      <c r="H126" s="110">
        <f>H115*pricing!H30*2000</f>
        <v>1103870.3136656783</v>
      </c>
      <c r="I126" s="110">
        <f>I115*pricing!I30*2000</f>
        <v>1251017.1516252528</v>
      </c>
      <c r="J126" s="110">
        <f>J115*pricing!J30*2000</f>
        <v>1089267.6501966403</v>
      </c>
      <c r="K126" s="110">
        <f>K115*pricing!K30*2000</f>
        <v>266684.92604814627</v>
      </c>
      <c r="L126" s="110">
        <f>L115*pricing!L30*2000</f>
        <v>0</v>
      </c>
      <c r="M126" s="110">
        <f>M115*pricing!M30*2000</f>
        <v>0</v>
      </c>
      <c r="N126" s="110">
        <f>N115*pricing!N30*2000</f>
        <v>28393.20764534883</v>
      </c>
      <c r="O126" s="110">
        <f>O115*pricing!O30*2000</f>
        <v>1629105.8664286826</v>
      </c>
    </row>
    <row r="127" spans="2:15" x14ac:dyDescent="0.2">
      <c r="C127" s="109" t="s">
        <v>280</v>
      </c>
      <c r="D127" s="110">
        <f t="shared" ref="D127:O127" si="1">SUM(D$120:D$126)</f>
        <v>1979506.1772968499</v>
      </c>
      <c r="E127" s="110">
        <f t="shared" si="1"/>
        <v>7251130.0741269458</v>
      </c>
      <c r="F127" s="110">
        <f t="shared" si="1"/>
        <v>8759543.9291436318</v>
      </c>
      <c r="G127" s="110">
        <f t="shared" si="1"/>
        <v>11462161.275283154</v>
      </c>
      <c r="H127" s="110">
        <f t="shared" si="1"/>
        <v>16199578.659858959</v>
      </c>
      <c r="I127" s="110">
        <f t="shared" si="1"/>
        <v>16804622.090635579</v>
      </c>
      <c r="J127" s="110">
        <f t="shared" si="1"/>
        <v>13113859.045451209</v>
      </c>
      <c r="K127" s="110">
        <f t="shared" si="1"/>
        <v>10867327.397570116</v>
      </c>
      <c r="L127" s="110">
        <f t="shared" si="1"/>
        <v>15786923.085710719</v>
      </c>
      <c r="M127" s="110">
        <f t="shared" si="1"/>
        <v>17362647.249257505</v>
      </c>
      <c r="N127" s="110">
        <f t="shared" si="1"/>
        <v>13298014.256745571</v>
      </c>
      <c r="O127" s="110">
        <f t="shared" si="1"/>
        <v>13984402.671914324</v>
      </c>
    </row>
    <row r="129" spans="2:15" x14ac:dyDescent="0.2">
      <c r="B129" s="113" t="s">
        <v>282</v>
      </c>
    </row>
    <row r="130" spans="2:15" x14ac:dyDescent="0.2">
      <c r="C130" s="115" t="s">
        <v>279</v>
      </c>
      <c r="D130" s="115" t="s">
        <v>92</v>
      </c>
      <c r="E130" s="115" t="s">
        <v>93</v>
      </c>
      <c r="F130" s="115" t="s">
        <v>94</v>
      </c>
      <c r="G130" s="115" t="s">
        <v>95</v>
      </c>
      <c r="H130" s="115" t="s">
        <v>96</v>
      </c>
      <c r="I130" s="115" t="s">
        <v>97</v>
      </c>
      <c r="J130" s="115" t="s">
        <v>98</v>
      </c>
      <c r="K130" s="115" t="s">
        <v>99</v>
      </c>
      <c r="L130" s="115" t="s">
        <v>100</v>
      </c>
      <c r="M130" s="115" t="s">
        <v>101</v>
      </c>
      <c r="N130" s="115" t="s">
        <v>102</v>
      </c>
      <c r="O130" s="115" t="s">
        <v>103</v>
      </c>
    </row>
    <row r="131" spans="2:15" x14ac:dyDescent="0.2">
      <c r="C131" s="115" t="s">
        <v>126</v>
      </c>
      <c r="D131" s="116">
        <f>SUM(E$6:E$19)+SUM(G$6:G$19)+SUM(I$6:I$19)+SUM(K$6:K$19)</f>
        <v>10557.670398398064</v>
      </c>
      <c r="E131" s="116">
        <f>SUM(M$6:M$19)+SUM(O$6:O$19)+SUM(Q$6:Q$19)+SUM(S$6:S$19)</f>
        <v>45807.677831822301</v>
      </c>
      <c r="F131" s="116">
        <f>SUM(U$6:U$19)+SUM(W$6:W$19)+SUM(Y$6:Y$19)+SUM(AA$6:AA$19)</f>
        <v>225508.17812090548</v>
      </c>
      <c r="G131" s="116">
        <f>SUM(AC$6:AC$19)+SUM(AE$6:AE$19)+SUM(AG$6:AG$19)+SUM(AI$6:AI$19)</f>
        <v>283967.16760357306</v>
      </c>
      <c r="H131" s="116">
        <f>SUM(AK$6:AK$19)+SUM(AM$6:AM$19)+SUM(AO$6:AO$19)+SUM(AQ$6:AQ$19)</f>
        <v>177151.40255217376</v>
      </c>
      <c r="I131" s="116">
        <f>SUM(AS$6:AS$19)+SUM(AU$6:AU$19)+SUM(AW$6:AW$19)+SUM(AY$6:AY$19)</f>
        <v>244666.31995323492</v>
      </c>
      <c r="J131" s="116">
        <f>SUM(BA$6:BA$19)+SUM(BC$6:BC$19)+SUM(BE$6:BE$19)+SUM(BG$6:BG$19)</f>
        <v>93243.448474825214</v>
      </c>
      <c r="K131" s="116">
        <f>SUM(BI$6:BI$19)+SUM(BK$6:BK$19)+SUM(BM$6:BM$19)+SUM(BO$6:BO$19)</f>
        <v>101114.76179044801</v>
      </c>
      <c r="L131" s="116">
        <f>SUM(BQ$6:BQ$19)+SUM(BS$6:BS$19)+SUM(BU$6:BU$19)+SUM(BW$6:BW$19)</f>
        <v>254536.28123997114</v>
      </c>
      <c r="M131" s="116">
        <f>SUM(BY$6:BY$19)+SUM(CA$6:CA$19)+SUM(CC$6:CC$19)+SUM(CE$6:CE$19)</f>
        <v>138710.54275431859</v>
      </c>
      <c r="N131" s="116">
        <f>SUM(CG$6:CG$19)+SUM(CI$6:CI$19)+SUM(CK$6:CK$19)+SUM(CM$6:CM$19)</f>
        <v>322002.58527796745</v>
      </c>
      <c r="O131" s="116">
        <f>SUM(CO$6:CO$19)+SUM(CQ$6:CQ$19)+SUM(CS$6:CS$19)+SUM(CU$6:CU$19)</f>
        <v>233028.12351208122</v>
      </c>
    </row>
    <row r="132" spans="2:15" x14ac:dyDescent="0.2">
      <c r="C132" s="115" t="s">
        <v>127</v>
      </c>
      <c r="D132" s="116">
        <f>SUM(E$20:E$36)+SUM(G$20:G$36)+SUM(I$20:I$36)+SUM(K$20:K$36)</f>
        <v>41325.017767776095</v>
      </c>
      <c r="E132" s="116">
        <f>SUM(M$20:M$36)+SUM(O$20:O$36)+SUM(Q$20:Q$36)+SUM(S$20:S$36)</f>
        <v>191317.27515211154</v>
      </c>
      <c r="F132" s="116">
        <f>SUM(U$20:U$36)+SUM(W$20:W$36)+SUM(Y$20:Y$36)+SUM(AA$20:AA$36)</f>
        <v>167098.37999202541</v>
      </c>
      <c r="G132" s="116">
        <f>SUM(AC$20:AC$36)+SUM(AE$20:AE$36)+SUM(AG$20:AG$36)+SUM(AI$20:AI$36)</f>
        <v>200982.22680547505</v>
      </c>
      <c r="H132" s="116">
        <f>SUM(AK$20:AK$36)+SUM(AM$20:AM$36)+SUM(AO$20:AO$36)+SUM(AQ$20:AQ$36)</f>
        <v>198057.17002803026</v>
      </c>
      <c r="I132" s="116">
        <f>SUM(AS$20:AS$36)+SUM(AU$20:AU$36)+SUM(AW$20:AW$36)+SUM(AY$20:AY$36)</f>
        <v>216410.82368810574</v>
      </c>
      <c r="J132" s="116">
        <f>SUM(BA$20:BA$36)+SUM(BC$20:BC$36)+SUM(BE$20:BE$36)+SUM(BG$20:BG$36)</f>
        <v>214185.56876720893</v>
      </c>
      <c r="K132" s="116">
        <f>SUM(BI$20:BI$36)+SUM(BK$20:BK$36)+SUM(BM$20:BM$36)+SUM(BO$20:BO$36)</f>
        <v>404906.09794396179</v>
      </c>
      <c r="L132" s="116">
        <f>SUM(BQ$20:BQ$36)+SUM(BS$20:BS$36)+SUM(BU$20:BU$36)+SUM(BW$20:BW$36)</f>
        <v>390886.06419970939</v>
      </c>
      <c r="M132" s="116">
        <f>SUM(BY$20:BY$36)+SUM(CA$20:CA$36)+SUM(CC$20:CC$36)+SUM(CE$20:CE$36)</f>
        <v>550051.06760327274</v>
      </c>
      <c r="N132" s="116">
        <f>SUM(CG$20:CG$36)+SUM(CI$20:CI$36)+SUM(CK$20:CK$36)+SUM(CM$20:CM$36)</f>
        <v>155322.29611393163</v>
      </c>
      <c r="O132" s="116">
        <f>SUM(CO$20:CO$36)+SUM(CQ$20:CQ$36)+SUM(CS$20:CS$36)+SUM(CU$20:CU$36)</f>
        <v>125670.45744187057</v>
      </c>
    </row>
    <row r="133" spans="2:15" x14ac:dyDescent="0.2">
      <c r="C133" s="115" t="s">
        <v>128</v>
      </c>
      <c r="D133" s="116">
        <f>SUM(E$37:E$48)+SUM(G$37:G$48)+SUM(I$37:I$48)+SUM(K$37:K$48)</f>
        <v>15291.712542589023</v>
      </c>
      <c r="E133" s="116">
        <f>SUM(M$37:M$48)+SUM(O$37:O$48)+SUM(Q$37:Q$48)+SUM(S$37:S$48)</f>
        <v>73510.602227469135</v>
      </c>
      <c r="F133" s="116">
        <f>SUM(U$37:U$48)+SUM(W$37:W$48)+SUM(Y$37:Y$48)+SUM(AA$37:AA$48)</f>
        <v>266042.07756332681</v>
      </c>
      <c r="G133" s="116">
        <f>SUM(AC$37:AC$48)+SUM(AE$37:AE$48)+SUM(AG$37:AG$48)+SUM(AI$37:AI$48)</f>
        <v>287230.31450878817</v>
      </c>
      <c r="H133" s="116">
        <f>SUM(AK$37:AK$48)+SUM(AM$37:AM$48)+SUM(AO$37:AO$48)+SUM(AQ$37:AQ$48)</f>
        <v>311350.60238814703</v>
      </c>
      <c r="I133" s="116">
        <f>SUM(AS$37:AS$48)+SUM(AU$37:AU$48)+SUM(AW$37:AW$48)+SUM(AY$37:AY$48)</f>
        <v>224280.84567508925</v>
      </c>
      <c r="J133" s="116">
        <f>SUM(BA$37:BA$48)+SUM(BC$37:BC$48)+SUM(BE$37:BE$48)+SUM(BG$37:BG$48)</f>
        <v>243612.8805640105</v>
      </c>
      <c r="K133" s="116">
        <f>SUM(BI$37:BI$48)+SUM(BK$37:BK$48)+SUM(BM$37:BM$48)+SUM(BO$37:BO$48)</f>
        <v>115732.66857110085</v>
      </c>
      <c r="L133" s="116">
        <f>SUM(BQ$37:BQ$48)+SUM(BS$37:BS$48)+SUM(BU$37:BU$48)+SUM(BW$37:BW$48)</f>
        <v>183648.93623791749</v>
      </c>
      <c r="M133" s="116">
        <f>SUM(BY$37:BY$48)+SUM(CA$37:CA$48)+SUM(CC$37:CC$48)+SUM(CE$37:CE$48)</f>
        <v>299865.77739319927</v>
      </c>
      <c r="N133" s="116">
        <f>SUM(CG$37:CG$48)+SUM(CI$37:CI$48)+SUM(CK$37:CK$48)+SUM(CM$37:CM$48)</f>
        <v>134686.43677066432</v>
      </c>
      <c r="O133" s="116">
        <f>SUM(CO$37:CO$48)+SUM(CQ$37:CQ$48)+SUM(CS$37:CS$48)+SUM(CU$37:CU$48)</f>
        <v>363059.53049798578</v>
      </c>
    </row>
    <row r="134" spans="2:15" x14ac:dyDescent="0.2">
      <c r="C134" s="115" t="s">
        <v>129</v>
      </c>
      <c r="D134" s="116">
        <f>SUM(E$49:E$70)+SUM(G$49:G$70)+SUM(I$49:I$70)+SUM(K$49:K$70)</f>
        <v>19970.692008756007</v>
      </c>
      <c r="E134" s="116">
        <f>SUM(M$49:M$70)+SUM(O$49:O$70)+SUM(Q$49:Q$70)+SUM(S$49:S$70)</f>
        <v>70760.320441287433</v>
      </c>
      <c r="F134" s="116">
        <f>SUM(U$49:U$70)+SUM(W$49:W$70)+SUM(Y$49:Y$70)+SUM(AA$49:AA$70)</f>
        <v>67262.883307506505</v>
      </c>
      <c r="G134" s="116">
        <f>SUM(AC$49:AC$70)+SUM(AE$49:AE$70)+SUM(AG$49:AG$70)+SUM(AI$49:AI$70)</f>
        <v>184911.24971691662</v>
      </c>
      <c r="H134" s="116">
        <f>SUM(AK$49:AK$70)+SUM(AM$49:AM$70)+SUM(AO$49:AO$70)+SUM(AQ$49:AQ$70)</f>
        <v>316515.24875074951</v>
      </c>
      <c r="I134" s="116">
        <f>SUM(AS$49:AS$70)+SUM(AU$49:AU$70)+SUM(AW$49:AW$70)+SUM(AY$49:AY$70)</f>
        <v>468988.48918048711</v>
      </c>
      <c r="J134" s="116">
        <f>SUM(BA$49:BA$70)+SUM(BC$49:BC$70)+SUM(BE$49:BE$70)+SUM(BG$49:BG$70)</f>
        <v>177291.55915750368</v>
      </c>
      <c r="K134" s="116">
        <f>SUM(BI$49:BI$70)+SUM(BK$49:BK$70)+SUM(BM$49:BM$70)+SUM(BO$49:BO$70)</f>
        <v>146544.89611926547</v>
      </c>
      <c r="L134" s="116">
        <f>SUM(BQ$49:BQ$70)+SUM(BS$49:BS$70)+SUM(BU$49:BU$70)+SUM(BW$49:BW$70)</f>
        <v>248331.95062211854</v>
      </c>
      <c r="M134" s="116">
        <f>SUM(BY$49:BY$70)+SUM(CA$49:CA$70)+SUM(CC$49:CC$70)+SUM(CE$49:CE$70)</f>
        <v>375250.00958087086</v>
      </c>
      <c r="N134" s="116">
        <f>SUM(CG$49:CG$70)+SUM(CI$49:CI$70)+SUM(CK$49:CK$70)+SUM(CM$49:CM$70)</f>
        <v>373744.10048881802</v>
      </c>
      <c r="O134" s="116">
        <f>SUM(CO$49:CO$70)+SUM(CQ$49:CQ$70)+SUM(CS$49:CS$70)+SUM(CU$49:CU$70)</f>
        <v>166445.27707356267</v>
      </c>
    </row>
    <row r="135" spans="2:15" x14ac:dyDescent="0.2">
      <c r="C135" s="115" t="s">
        <v>130</v>
      </c>
      <c r="D135" s="116">
        <f>SUM(E$71:E$86)+SUM(G$71:G$86)+SUM(I$71:I$86)+SUM(K$71:K$86)</f>
        <v>14584.839232684684</v>
      </c>
      <c r="E135" s="116">
        <f>SUM(M$71:M$86)+SUM(O$71:O$86)+SUM(Q$71:Q$86)+SUM(S$71:S$86)</f>
        <v>49663.37489946479</v>
      </c>
      <c r="F135" s="116">
        <f>SUM(U$71:U$86)+SUM(W$71:W$86)+SUM(Y$71:Y$86)+SUM(AA$71:AA$86)</f>
        <v>9449.4964260144334</v>
      </c>
      <c r="G135" s="116">
        <f>SUM(AC$71:AC$86)+SUM(AE$71:AE$86)+SUM(AG$71:AG$86)+SUM(AI$71:AI$86)</f>
        <v>59486.062372411725</v>
      </c>
      <c r="H135" s="116">
        <f>SUM(AK$71:AK$86)+SUM(AM$71:AM$86)+SUM(AO$71:AO$86)+SUM(AQ$71:AQ$86)</f>
        <v>422774.87746402796</v>
      </c>
      <c r="I135" s="116">
        <f>SUM(AS$71:AS$86)+SUM(AU$71:AU$86)+SUM(AW$71:AW$86)+SUM(AY$71:AY$86)</f>
        <v>133057.40656400076</v>
      </c>
      <c r="J135" s="116">
        <f>SUM(BA$71:BA$86)+SUM(BC$71:BC$86)+SUM(BE$71:BE$86)+SUM(BG$71:BG$86)</f>
        <v>180934.5941658823</v>
      </c>
      <c r="K135" s="116">
        <f>SUM(BI$71:BI$86)+SUM(BK$71:BK$86)+SUM(BM$71:BM$86)+SUM(BO$71:BO$86)</f>
        <v>68943.930640977196</v>
      </c>
      <c r="L135" s="116">
        <f>SUM(BQ$71:BQ$86)+SUM(BS$71:BS$86)+SUM(BU$71:BU$86)+SUM(BW$71:BW$86)</f>
        <v>232475.76544070157</v>
      </c>
      <c r="M135" s="116">
        <f>SUM(BY$71:BY$86)+SUM(CA$71:CA$86)+SUM(CC$71:CC$86)+SUM(CE$71:CE$86)</f>
        <v>234979.27112545792</v>
      </c>
      <c r="N135" s="116">
        <f>SUM(CG$71:CG$86)+SUM(CI$71:CI$86)+SUM(CK$71:CK$86)+SUM(CM$71:CM$86)</f>
        <v>342088.6496941591</v>
      </c>
      <c r="O135" s="116">
        <f>SUM(CO$71:CO$86)+SUM(CQ$71:CQ$86)+SUM(CS$71:CS$86)+SUM(CU$71:CU$86)</f>
        <v>183844.0130480355</v>
      </c>
    </row>
    <row r="136" spans="2:15" x14ac:dyDescent="0.2">
      <c r="C136" s="115" t="s">
        <v>131</v>
      </c>
      <c r="D136" s="116">
        <f>SUM(E$87:E$94)+SUM(G$87:G$94)+SUM(I$87:I$94)+SUM(K$87:K$94)</f>
        <v>15725.328319006503</v>
      </c>
      <c r="E136" s="116">
        <f>SUM(M$87:M$94)+SUM(O$87:O$94)+SUM(Q$87:Q$94)+SUM(S$87:S$94)</f>
        <v>28333.91867227637</v>
      </c>
      <c r="F136" s="116">
        <f>SUM(U$87:U$94)+SUM(W$87:W$94)+SUM(Y$87:Y$94)+SUM(AA$87:AA$94)</f>
        <v>10737.660279019423</v>
      </c>
      <c r="G136" s="116">
        <f>SUM(AC$87:AC$94)+SUM(AE$87:AE$94)+SUM(AG$87:AG$94)+SUM(AI$87:AI$94)</f>
        <v>227.96995062144026</v>
      </c>
      <c r="H136" s="116">
        <f>SUM(AK$87:AK$94)+SUM(AM$87:AM$94)+SUM(AO$87:AO$94)+SUM(AQ$87:AQ$94)</f>
        <v>76162.094524603279</v>
      </c>
      <c r="I136" s="116">
        <f>SUM(AS$87:AS$94)+SUM(AU$87:AU$94)+SUM(AW$87:AW$94)+SUM(AY$87:AY$94)</f>
        <v>66203.315308374513</v>
      </c>
      <c r="J136" s="116">
        <f>SUM(BA$87:BA$94)+SUM(BC$87:BC$94)+SUM(BE$87:BE$94)+SUM(BG$87:BG$94)</f>
        <v>83024.247586546233</v>
      </c>
      <c r="K136" s="116">
        <f>SUM(BI$87:BI$94)+SUM(BK$87:BK$94)+SUM(BM$87:BM$94)+SUM(BO$87:BO$94)</f>
        <v>10142.089757361247</v>
      </c>
      <c r="L136" s="116">
        <f>SUM(BQ$87:BQ$94)+SUM(BS$87:BS$94)+SUM(BU$87:BU$94)+SUM(BW$87:BW$94)</f>
        <v>0</v>
      </c>
      <c r="M136" s="116">
        <f>SUM(BY$87:BY$94)+SUM(CA$87:CA$94)+SUM(CC$87:CC$94)+SUM(CE$87:CE$94)</f>
        <v>0</v>
      </c>
      <c r="N136" s="116">
        <f>SUM(CG$87:CG$94)+SUM(CI$87:CI$94)+SUM(CK$87:CK$94)+SUM(CM$87:CM$94)</f>
        <v>2651.9078241517718</v>
      </c>
      <c r="O136" s="116">
        <f>SUM(CO$87:CO$94)+SUM(CQ$87:CQ$94)+SUM(CS$87:CS$94)+SUM(CU$87:CU$94)</f>
        <v>76923.941344534265</v>
      </c>
    </row>
    <row r="137" spans="2:15" x14ac:dyDescent="0.2">
      <c r="C137" s="115" t="s">
        <v>132</v>
      </c>
      <c r="D137" s="116">
        <f>SUM(E$95:E$105)+SUM(G$95:G$105)+SUM(I$95:I$105)+SUM(K$95:K$105)</f>
        <v>75817.705509740845</v>
      </c>
      <c r="E137" s="116">
        <f>SUM(M$95:M$105)+SUM(O$95:O$105)+SUM(Q$95:Q$105)+SUM(S$95:S$105)</f>
        <v>230193.28586029308</v>
      </c>
      <c r="F137" s="116">
        <f>SUM(U$95:U$105)+SUM(W$95:W$105)+SUM(Y$95:Y$105)+SUM(AA$95:AA$105)</f>
        <v>52908.240219075902</v>
      </c>
      <c r="G137" s="116">
        <f>SUM(AC$95:AC$105)+SUM(AE$95:AE$105)+SUM(AG$95:AG$105)+SUM(AI$95:AI$105)</f>
        <v>231.40941327747061</v>
      </c>
      <c r="H137" s="116">
        <f>SUM(AK$95:AK$105)+SUM(AM$95:AM$105)+SUM(AO$95:AO$105)+SUM(AQ$95:AQ$105)</f>
        <v>147528.83807405905</v>
      </c>
      <c r="I137" s="116">
        <f>SUM(AS$95:AS$105)+SUM(AU$95:AU$105)+SUM(AW$95:AW$105)+SUM(AY$95:AY$105)</f>
        <v>143241.41021503406</v>
      </c>
      <c r="J137" s="116">
        <f>SUM(BA$95:BA$105)+SUM(BC$95:BC$105)+SUM(BE$95:BE$105)+SUM(BG$95:BG$105)</f>
        <v>123045.49247781467</v>
      </c>
      <c r="K137" s="116">
        <f>SUM(BI$95:BI$105)+SUM(BK$95:BK$105)+SUM(BM$95:BM$105)+SUM(BO$95:BO$105)</f>
        <v>30166.716617313617</v>
      </c>
      <c r="L137" s="116">
        <f>SUM(BQ$95:BQ$105)+SUM(BS$95:BS$105)+SUM(BU$95:BU$105)+SUM(BW$95:BW$105)</f>
        <v>0</v>
      </c>
      <c r="M137" s="116">
        <f>SUM(BY$95:BY$105)+SUM(CA$95:CA$105)+SUM(CC$95:CC$105)+SUM(CE$95:CE$105)</f>
        <v>0</v>
      </c>
      <c r="N137" s="116">
        <f>SUM(CG$95:CG$105)+SUM(CI$95:CI$105)+SUM(CK$95:CK$105)+SUM(CM$95:CM$105)</f>
        <v>3325.0887111970219</v>
      </c>
      <c r="O137" s="116">
        <f>SUM(CO$95:CO$105)+SUM(CQ$95:CQ$105)+SUM(CS$95:CS$105)+SUM(CU$95:CU$105)</f>
        <v>189844.9514884378</v>
      </c>
    </row>
    <row r="138" spans="2:15" x14ac:dyDescent="0.2">
      <c r="C138" s="115" t="s">
        <v>280</v>
      </c>
      <c r="D138" s="110">
        <f t="shared" ref="D138:O138" si="2">SUM(D$131:D$137)</f>
        <v>193272.96577895118</v>
      </c>
      <c r="E138" s="110">
        <f t="shared" si="2"/>
        <v>689586.45508472458</v>
      </c>
      <c r="F138" s="110">
        <f t="shared" si="2"/>
        <v>799006.91590787389</v>
      </c>
      <c r="G138" s="110">
        <f t="shared" si="2"/>
        <v>1017036.4003710636</v>
      </c>
      <c r="H138" s="110">
        <f t="shared" si="2"/>
        <v>1649540.2337817908</v>
      </c>
      <c r="I138" s="110">
        <f t="shared" si="2"/>
        <v>1496848.6105843266</v>
      </c>
      <c r="J138" s="110">
        <f t="shared" si="2"/>
        <v>1115337.7911937917</v>
      </c>
      <c r="K138" s="110">
        <f t="shared" si="2"/>
        <v>877551.16144042811</v>
      </c>
      <c r="L138" s="110">
        <f t="shared" si="2"/>
        <v>1309878.9977404182</v>
      </c>
      <c r="M138" s="110">
        <f t="shared" si="2"/>
        <v>1598856.6684571195</v>
      </c>
      <c r="N138" s="110">
        <f t="shared" si="2"/>
        <v>1333821.0648808891</v>
      </c>
      <c r="O138" s="110">
        <f t="shared" si="2"/>
        <v>1338816.2944065079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10"/>
  </cols>
  <sheetData>
    <row r="1" spans="1:99" x14ac:dyDescent="0.2">
      <c r="A1" s="111"/>
    </row>
    <row r="2" spans="1:99" x14ac:dyDescent="0.2">
      <c r="B2" s="112" t="s">
        <v>274</v>
      </c>
    </row>
    <row r="3" spans="1:99" x14ac:dyDescent="0.2">
      <c r="B3" s="113" t="s">
        <v>275</v>
      </c>
    </row>
    <row r="4" spans="1:99" x14ac:dyDescent="0.2">
      <c r="A4" s="111"/>
      <c r="B4" s="111"/>
      <c r="C4" s="109" t="s">
        <v>276</v>
      </c>
      <c r="D4" s="109" t="s">
        <v>92</v>
      </c>
      <c r="E4" s="111"/>
      <c r="F4" s="111"/>
      <c r="G4" s="111"/>
      <c r="H4" s="111"/>
      <c r="I4" s="111"/>
      <c r="J4" s="111"/>
      <c r="K4" s="111"/>
      <c r="L4" s="109" t="s">
        <v>93</v>
      </c>
      <c r="M4" s="111"/>
      <c r="N4" s="111"/>
      <c r="O4" s="111"/>
      <c r="P4" s="111"/>
      <c r="Q4" s="111"/>
      <c r="R4" s="111"/>
      <c r="S4" s="111"/>
      <c r="T4" s="109" t="s">
        <v>94</v>
      </c>
      <c r="U4" s="111"/>
      <c r="V4" s="111"/>
      <c r="W4" s="111"/>
      <c r="X4" s="111"/>
      <c r="Y4" s="111"/>
      <c r="Z4" s="111"/>
      <c r="AA4" s="111"/>
      <c r="AB4" s="109" t="s">
        <v>95</v>
      </c>
      <c r="AC4" s="111"/>
      <c r="AD4" s="111"/>
      <c r="AE4" s="111"/>
      <c r="AF4" s="111"/>
      <c r="AG4" s="111"/>
      <c r="AH4" s="111"/>
      <c r="AI4" s="111"/>
      <c r="AJ4" s="109" t="s">
        <v>96</v>
      </c>
      <c r="AK4" s="111"/>
      <c r="AL4" s="111"/>
      <c r="AM4" s="111"/>
      <c r="AN4" s="111"/>
      <c r="AO4" s="111"/>
      <c r="AP4" s="111"/>
      <c r="AQ4" s="111"/>
      <c r="AR4" s="109" t="s">
        <v>97</v>
      </c>
      <c r="AS4" s="111"/>
      <c r="AT4" s="111"/>
      <c r="AU4" s="111"/>
      <c r="AV4" s="111"/>
      <c r="AW4" s="111"/>
      <c r="AX4" s="111"/>
      <c r="AY4" s="111"/>
      <c r="AZ4" s="109" t="s">
        <v>98</v>
      </c>
      <c r="BA4" s="111"/>
      <c r="BB4" s="111"/>
      <c r="BC4" s="111"/>
      <c r="BD4" s="111"/>
      <c r="BE4" s="111"/>
      <c r="BF4" s="111"/>
      <c r="BG4" s="111"/>
      <c r="BH4" s="109" t="s">
        <v>99</v>
      </c>
      <c r="BI4" s="111"/>
      <c r="BJ4" s="111"/>
      <c r="BK4" s="111"/>
      <c r="BL4" s="111"/>
      <c r="BM4" s="111"/>
      <c r="BN4" s="111"/>
      <c r="BO4" s="111"/>
      <c r="BP4" s="109" t="s">
        <v>100</v>
      </c>
      <c r="BQ4" s="111"/>
      <c r="BR4" s="111"/>
      <c r="BS4" s="111"/>
      <c r="BT4" s="111"/>
      <c r="BU4" s="111"/>
      <c r="BV4" s="111"/>
      <c r="BW4" s="111"/>
      <c r="BX4" s="109" t="s">
        <v>101</v>
      </c>
      <c r="BY4" s="111"/>
      <c r="BZ4" s="111"/>
      <c r="CA4" s="111"/>
      <c r="CB4" s="111"/>
      <c r="CC4" s="111"/>
      <c r="CD4" s="111"/>
      <c r="CE4" s="111"/>
      <c r="CF4" s="109" t="s">
        <v>102</v>
      </c>
      <c r="CG4" s="111"/>
      <c r="CH4" s="111"/>
      <c r="CI4" s="111"/>
      <c r="CJ4" s="111"/>
      <c r="CK4" s="111"/>
      <c r="CL4" s="111"/>
      <c r="CM4" s="111"/>
      <c r="CN4" s="109" t="s">
        <v>103</v>
      </c>
      <c r="CO4" s="111"/>
      <c r="CP4" s="111"/>
      <c r="CQ4" s="111"/>
      <c r="CR4" s="111"/>
      <c r="CS4" s="111"/>
      <c r="CT4" s="111"/>
      <c r="CU4" s="111"/>
    </row>
    <row r="5" spans="1:99" x14ac:dyDescent="0.2">
      <c r="B5" s="109" t="s">
        <v>169</v>
      </c>
      <c r="C5" s="109" t="s">
        <v>277</v>
      </c>
      <c r="D5" s="109">
        <v>1</v>
      </c>
      <c r="E5" s="109"/>
      <c r="F5" s="109">
        <v>2</v>
      </c>
      <c r="G5" s="109"/>
      <c r="H5" s="109">
        <v>3</v>
      </c>
      <c r="I5" s="109"/>
      <c r="J5" s="109">
        <v>4</v>
      </c>
      <c r="K5" s="109"/>
      <c r="L5" s="109">
        <v>1</v>
      </c>
      <c r="M5" s="109"/>
      <c r="N5" s="109">
        <v>2</v>
      </c>
      <c r="O5" s="109"/>
      <c r="P5" s="109">
        <v>3</v>
      </c>
      <c r="Q5" s="109"/>
      <c r="R5" s="109">
        <v>4</v>
      </c>
      <c r="S5" s="109"/>
      <c r="T5" s="109">
        <v>1</v>
      </c>
      <c r="U5" s="109"/>
      <c r="V5" s="109">
        <v>2</v>
      </c>
      <c r="W5" s="109"/>
      <c r="X5" s="109">
        <v>3</v>
      </c>
      <c r="Y5" s="109"/>
      <c r="Z5" s="109">
        <v>4</v>
      </c>
      <c r="AA5" s="109"/>
      <c r="AB5" s="109">
        <v>1</v>
      </c>
      <c r="AC5" s="109"/>
      <c r="AD5" s="109">
        <v>2</v>
      </c>
      <c r="AE5" s="109"/>
      <c r="AF5" s="109">
        <v>3</v>
      </c>
      <c r="AG5" s="109"/>
      <c r="AH5" s="109">
        <v>4</v>
      </c>
      <c r="AI5" s="109"/>
      <c r="AJ5" s="109">
        <v>1</v>
      </c>
      <c r="AK5" s="109"/>
      <c r="AL5" s="109">
        <v>2</v>
      </c>
      <c r="AM5" s="109"/>
      <c r="AN5" s="109">
        <v>3</v>
      </c>
      <c r="AO5" s="109"/>
      <c r="AP5" s="109">
        <v>4</v>
      </c>
      <c r="AQ5" s="109"/>
      <c r="AR5" s="109">
        <v>1</v>
      </c>
      <c r="AS5" s="109"/>
      <c r="AT5" s="109">
        <v>2</v>
      </c>
      <c r="AU5" s="109"/>
      <c r="AV5" s="109">
        <v>3</v>
      </c>
      <c r="AW5" s="109"/>
      <c r="AX5" s="109">
        <v>4</v>
      </c>
      <c r="AY5" s="109"/>
      <c r="AZ5" s="109">
        <v>1</v>
      </c>
      <c r="BA5" s="109"/>
      <c r="BB5" s="109">
        <v>2</v>
      </c>
      <c r="BC5" s="109"/>
      <c r="BD5" s="109">
        <v>3</v>
      </c>
      <c r="BE5" s="109"/>
      <c r="BF5" s="109">
        <v>4</v>
      </c>
      <c r="BG5" s="109"/>
      <c r="BH5" s="109">
        <v>1</v>
      </c>
      <c r="BI5" s="109"/>
      <c r="BJ5" s="109">
        <v>2</v>
      </c>
      <c r="BK5" s="109"/>
      <c r="BL5" s="109">
        <v>3</v>
      </c>
      <c r="BM5" s="109"/>
      <c r="BN5" s="109">
        <v>4</v>
      </c>
      <c r="BO5" s="109"/>
      <c r="BP5" s="109">
        <v>1</v>
      </c>
      <c r="BQ5" s="109"/>
      <c r="BR5" s="109">
        <v>2</v>
      </c>
      <c r="BS5" s="109"/>
      <c r="BT5" s="109">
        <v>3</v>
      </c>
      <c r="BU5" s="109"/>
      <c r="BV5" s="109">
        <v>4</v>
      </c>
      <c r="BW5" s="109"/>
      <c r="BX5" s="109">
        <v>1</v>
      </c>
      <c r="BY5" s="109"/>
      <c r="BZ5" s="109">
        <v>2</v>
      </c>
      <c r="CA5" s="109"/>
      <c r="CB5" s="109">
        <v>3</v>
      </c>
      <c r="CC5" s="109"/>
      <c r="CD5" s="109">
        <v>4</v>
      </c>
      <c r="CE5" s="109"/>
      <c r="CF5" s="109">
        <v>1</v>
      </c>
      <c r="CG5" s="109"/>
      <c r="CH5" s="109">
        <v>2</v>
      </c>
      <c r="CI5" s="109"/>
      <c r="CJ5" s="109">
        <v>3</v>
      </c>
      <c r="CK5" s="109"/>
      <c r="CL5" s="109">
        <v>4</v>
      </c>
      <c r="CM5" s="109"/>
      <c r="CN5" s="109">
        <v>1</v>
      </c>
      <c r="CO5" s="109"/>
      <c r="CP5" s="109">
        <v>2</v>
      </c>
      <c r="CQ5" s="109"/>
      <c r="CR5" s="109">
        <v>3</v>
      </c>
      <c r="CS5" s="109"/>
      <c r="CT5" s="109">
        <v>4</v>
      </c>
      <c r="CU5" s="109"/>
    </row>
    <row r="6" spans="1:99" x14ac:dyDescent="0.2">
      <c r="B6" s="109" t="s">
        <v>126</v>
      </c>
      <c r="C6" s="109" t="s">
        <v>174</v>
      </c>
      <c r="D6" s="110">
        <v>2.0238096022982934</v>
      </c>
      <c r="E6" s="110">
        <v>1381.8571964492746</v>
      </c>
      <c r="F6" s="110">
        <v>2.0935694117682893</v>
      </c>
      <c r="G6" s="110">
        <v>1429.4891943553878</v>
      </c>
      <c r="H6" s="110">
        <v>3.2418637454226156</v>
      </c>
      <c r="I6" s="110">
        <v>2213.5445653745619</v>
      </c>
      <c r="J6" s="110">
        <v>3.5512350895626597</v>
      </c>
      <c r="K6" s="110">
        <v>2424.7833191533837</v>
      </c>
      <c r="L6" s="110">
        <v>6</v>
      </c>
      <c r="M6" s="110">
        <v>4096.7999999999993</v>
      </c>
      <c r="N6" s="110">
        <v>6.466632555283951</v>
      </c>
      <c r="O6" s="110">
        <v>4415.4167087478818</v>
      </c>
      <c r="P6" s="110">
        <v>8.1901951022773556</v>
      </c>
      <c r="Q6" s="110">
        <v>5592.2652158349783</v>
      </c>
      <c r="R6" s="110">
        <v>8.2123229063656833</v>
      </c>
      <c r="S6" s="110">
        <v>5607.3740804664885</v>
      </c>
      <c r="T6" s="110">
        <v>7.2198424025167434</v>
      </c>
      <c r="U6" s="110">
        <v>4929.7083924384324</v>
      </c>
      <c r="V6" s="110">
        <v>9.4089198278963266</v>
      </c>
      <c r="W6" s="110">
        <v>6424.4104584876113</v>
      </c>
      <c r="X6" s="110">
        <v>7.3731419875299071</v>
      </c>
      <c r="Y6" s="110">
        <v>5034.38134908542</v>
      </c>
      <c r="Z6" s="110">
        <v>9.3997623957414529</v>
      </c>
      <c r="AA6" s="110">
        <v>6418.1577638122635</v>
      </c>
      <c r="AB6" s="110">
        <v>12.149075437292936</v>
      </c>
      <c r="AC6" s="110">
        <v>8295.3887085836159</v>
      </c>
      <c r="AD6" s="110">
        <v>11.10590901611153</v>
      </c>
      <c r="AE6" s="110">
        <v>7583.1146762009521</v>
      </c>
      <c r="AF6" s="110">
        <v>12.095355003475909</v>
      </c>
      <c r="AG6" s="110">
        <v>8258.7083963733494</v>
      </c>
      <c r="AH6" s="110">
        <v>11.084223713868406</v>
      </c>
      <c r="AI6" s="110">
        <v>7568.3079518293471</v>
      </c>
      <c r="AJ6" s="110">
        <v>10.108765030659123</v>
      </c>
      <c r="AK6" s="110">
        <v>6902.264762934049</v>
      </c>
      <c r="AL6" s="110">
        <v>11.293357963323819</v>
      </c>
      <c r="AM6" s="110">
        <v>7711.1048173575036</v>
      </c>
      <c r="AN6" s="110">
        <v>8.4351486644560421</v>
      </c>
      <c r="AO6" s="110">
        <v>5759.5195080905851</v>
      </c>
      <c r="AP6" s="110">
        <v>12.336629961217666</v>
      </c>
      <c r="AQ6" s="110">
        <v>8423.4509375194211</v>
      </c>
      <c r="AR6" s="110">
        <v>9.1784288760352766</v>
      </c>
      <c r="AS6" s="110">
        <v>6267.0312365568861</v>
      </c>
      <c r="AT6" s="110">
        <v>13</v>
      </c>
      <c r="AU6" s="110">
        <v>8876.4</v>
      </c>
      <c r="AV6" s="110">
        <v>10.114762051814237</v>
      </c>
      <c r="AW6" s="110">
        <v>6906.3595289787609</v>
      </c>
      <c r="AX6" s="110">
        <v>9</v>
      </c>
      <c r="AY6" s="110">
        <v>6145.2</v>
      </c>
      <c r="AZ6" s="110">
        <v>18.159970106763154</v>
      </c>
      <c r="BA6" s="110">
        <v>12399.627588897882</v>
      </c>
      <c r="BB6" s="110">
        <v>12</v>
      </c>
      <c r="BC6" s="110">
        <v>8193.5999999999985</v>
      </c>
      <c r="BD6" s="110">
        <v>14.114927903449988</v>
      </c>
      <c r="BE6" s="110">
        <v>9637.6727724756511</v>
      </c>
      <c r="BF6" s="110">
        <v>10.236237492361514</v>
      </c>
      <c r="BG6" s="110">
        <v>6989.3029597844416</v>
      </c>
      <c r="BH6" s="110">
        <v>12.145078180785113</v>
      </c>
      <c r="BI6" s="110">
        <v>8292.6593818400743</v>
      </c>
      <c r="BJ6" s="110">
        <v>9.0546983823734895</v>
      </c>
      <c r="BK6" s="110">
        <v>6182.5480554846181</v>
      </c>
      <c r="BL6" s="110">
        <v>13.064375707681215</v>
      </c>
      <c r="BM6" s="110">
        <v>8920.355733204733</v>
      </c>
      <c r="BN6" s="110">
        <v>13.204831483083373</v>
      </c>
      <c r="BO6" s="110">
        <v>9016.2589366493266</v>
      </c>
      <c r="BP6" s="110">
        <v>2.0685770161880739</v>
      </c>
      <c r="BQ6" s="110">
        <v>1412.4243866532167</v>
      </c>
      <c r="BR6" s="110">
        <v>2.203344054696097</v>
      </c>
      <c r="BS6" s="110">
        <v>1504.443320546495</v>
      </c>
      <c r="BT6" s="110">
        <v>3</v>
      </c>
      <c r="BU6" s="110">
        <v>2048.3999999999996</v>
      </c>
      <c r="BV6" s="110">
        <v>3.1423257884661173</v>
      </c>
      <c r="BW6" s="110">
        <v>2145.5800483646649</v>
      </c>
      <c r="BX6" s="110">
        <v>9.1637179700149058</v>
      </c>
      <c r="BY6" s="110">
        <v>6256.9866299261776</v>
      </c>
      <c r="BZ6" s="110">
        <v>10.074825495355723</v>
      </c>
      <c r="CA6" s="110">
        <v>6879.0908482288878</v>
      </c>
      <c r="CB6" s="110">
        <v>11.135789631398996</v>
      </c>
      <c r="CC6" s="110">
        <v>7603.5171603192339</v>
      </c>
      <c r="CD6" s="110">
        <v>12</v>
      </c>
      <c r="CE6" s="110">
        <v>8193.5999999999985</v>
      </c>
      <c r="CF6" s="110">
        <v>12.130461927005181</v>
      </c>
      <c r="CG6" s="110">
        <v>8282.6794037591371</v>
      </c>
      <c r="CH6" s="110">
        <v>9</v>
      </c>
      <c r="CI6" s="110">
        <v>6145.2</v>
      </c>
      <c r="CJ6" s="110">
        <v>16.344054341524789</v>
      </c>
      <c r="CK6" s="110">
        <v>11159.720304393126</v>
      </c>
      <c r="CL6" s="110">
        <v>9.1680879272738807</v>
      </c>
      <c r="CM6" s="110">
        <v>6259.9704367426057</v>
      </c>
      <c r="CN6" s="110">
        <v>20.17611346576809</v>
      </c>
      <c r="CO6" s="110">
        <v>13776.250274426451</v>
      </c>
      <c r="CP6" s="110">
        <v>18.137955368771642</v>
      </c>
      <c r="CQ6" s="110">
        <v>12384.595925797277</v>
      </c>
      <c r="CR6" s="110">
        <v>22</v>
      </c>
      <c r="CS6" s="110">
        <v>15021.599999999999</v>
      </c>
      <c r="CT6" s="110">
        <v>11.264611372903166</v>
      </c>
      <c r="CU6" s="110">
        <v>7691.4766454182818</v>
      </c>
    </row>
    <row r="7" spans="1:99" x14ac:dyDescent="0.2">
      <c r="C7" s="109" t="s">
        <v>175</v>
      </c>
      <c r="D7" s="110">
        <v>2.0238096022982934</v>
      </c>
      <c r="E7" s="110">
        <v>1746.1429248629674</v>
      </c>
      <c r="F7" s="110">
        <v>2.0932591303762451</v>
      </c>
      <c r="G7" s="110">
        <v>1806.0639776886242</v>
      </c>
      <c r="H7" s="110">
        <v>3.240339184169311</v>
      </c>
      <c r="I7" s="110">
        <v>2795.7646481012812</v>
      </c>
      <c r="J7" s="110">
        <v>3.441710357877517</v>
      </c>
      <c r="K7" s="110">
        <v>2969.5076967767213</v>
      </c>
      <c r="L7" s="110">
        <v>6</v>
      </c>
      <c r="M7" s="110">
        <v>5176.7999999999993</v>
      </c>
      <c r="N7" s="110">
        <v>6.466632555283951</v>
      </c>
      <c r="O7" s="110">
        <v>5579.4105686989924</v>
      </c>
      <c r="P7" s="110">
        <v>8.2173658311741207</v>
      </c>
      <c r="Q7" s="110">
        <v>7089.943239137031</v>
      </c>
      <c r="R7" s="110">
        <v>8.1857825430699727</v>
      </c>
      <c r="S7" s="110">
        <v>7062.6931781607718</v>
      </c>
      <c r="T7" s="110">
        <v>7.2473227028313358</v>
      </c>
      <c r="U7" s="110">
        <v>6252.990028002876</v>
      </c>
      <c r="V7" s="110">
        <v>10.384865720373014</v>
      </c>
      <c r="W7" s="110">
        <v>8960.0621435378362</v>
      </c>
      <c r="X7" s="110">
        <v>7.3511924588516777</v>
      </c>
      <c r="Y7" s="110">
        <v>6342.6088534972268</v>
      </c>
      <c r="Z7" s="110">
        <v>8.3576821435581419</v>
      </c>
      <c r="AA7" s="110">
        <v>7211.0081534619649</v>
      </c>
      <c r="AB7" s="110">
        <v>12.149075437292936</v>
      </c>
      <c r="AC7" s="110">
        <v>10482.222287296345</v>
      </c>
      <c r="AD7" s="110">
        <v>9.1059090161115304</v>
      </c>
      <c r="AE7" s="110">
        <v>7856.5782991010283</v>
      </c>
      <c r="AF7" s="110">
        <v>11.095355003475909</v>
      </c>
      <c r="AG7" s="110">
        <v>9573.0722969990129</v>
      </c>
      <c r="AH7" s="110">
        <v>11.073695749634856</v>
      </c>
      <c r="AI7" s="110">
        <v>9554.3846927849536</v>
      </c>
      <c r="AJ7" s="110">
        <v>9.1243028921818539</v>
      </c>
      <c r="AK7" s="110">
        <v>7872.4485353745031</v>
      </c>
      <c r="AL7" s="110">
        <v>12.352029555988585</v>
      </c>
      <c r="AM7" s="110">
        <v>10657.331100906951</v>
      </c>
      <c r="AN7" s="110">
        <v>9.4747076339520468</v>
      </c>
      <c r="AO7" s="110">
        <v>8174.7777465738254</v>
      </c>
      <c r="AP7" s="110">
        <v>12.350656209601736</v>
      </c>
      <c r="AQ7" s="110">
        <v>10656.146177644378</v>
      </c>
      <c r="AR7" s="110">
        <v>8.1784288760352766</v>
      </c>
      <c r="AS7" s="110">
        <v>7056.3484342432366</v>
      </c>
      <c r="AT7" s="110">
        <v>12</v>
      </c>
      <c r="AU7" s="110">
        <v>10353.599999999999</v>
      </c>
      <c r="AV7" s="110">
        <v>10.095635043178531</v>
      </c>
      <c r="AW7" s="110">
        <v>8710.5139152544361</v>
      </c>
      <c r="AX7" s="110">
        <v>10</v>
      </c>
      <c r="AY7" s="110">
        <v>8628</v>
      </c>
      <c r="AZ7" s="110">
        <v>17.159970106763154</v>
      </c>
      <c r="BA7" s="110">
        <v>14805.622208115248</v>
      </c>
      <c r="BB7" s="110">
        <v>12</v>
      </c>
      <c r="BC7" s="110">
        <v>10353.599999999999</v>
      </c>
      <c r="BD7" s="110">
        <v>12.114927903449988</v>
      </c>
      <c r="BE7" s="110">
        <v>10452.75979509665</v>
      </c>
      <c r="BF7" s="110">
        <v>10.236237492361514</v>
      </c>
      <c r="BG7" s="110">
        <v>8831.8257084095148</v>
      </c>
      <c r="BH7" s="110">
        <v>12.145078180785113</v>
      </c>
      <c r="BI7" s="110">
        <v>10478.773454381395</v>
      </c>
      <c r="BJ7" s="110">
        <v>8.0546983823734895</v>
      </c>
      <c r="BK7" s="110">
        <v>6949.5937643118459</v>
      </c>
      <c r="BL7" s="110">
        <v>12.064375707681215</v>
      </c>
      <c r="BM7" s="110">
        <v>10409.143360587352</v>
      </c>
      <c r="BN7" s="110">
        <v>13.182072429407443</v>
      </c>
      <c r="BO7" s="110">
        <v>11373.492092092742</v>
      </c>
      <c r="BP7" s="110">
        <v>2.0783737327863703</v>
      </c>
      <c r="BQ7" s="110">
        <v>1793.2208566480801</v>
      </c>
      <c r="BR7" s="110">
        <v>2.1694533789134138</v>
      </c>
      <c r="BS7" s="110">
        <v>1871.8043753264933</v>
      </c>
      <c r="BT7" s="110">
        <v>3</v>
      </c>
      <c r="BU7" s="110">
        <v>2588.3999999999996</v>
      </c>
      <c r="BV7" s="110">
        <v>3.1423257884661173</v>
      </c>
      <c r="BW7" s="110">
        <v>2711.198690288566</v>
      </c>
      <c r="BX7" s="110">
        <v>10.163717970014906</v>
      </c>
      <c r="BY7" s="110">
        <v>8769.2558645288609</v>
      </c>
      <c r="BZ7" s="110">
        <v>9.0748254953557232</v>
      </c>
      <c r="CA7" s="110">
        <v>7829.7594373929178</v>
      </c>
      <c r="CB7" s="110">
        <v>12.135789631398996</v>
      </c>
      <c r="CC7" s="110">
        <v>10470.759293971054</v>
      </c>
      <c r="CD7" s="110">
        <v>12</v>
      </c>
      <c r="CE7" s="110">
        <v>10353.599999999999</v>
      </c>
      <c r="CF7" s="110">
        <v>13.130461927005181</v>
      </c>
      <c r="CG7" s="110">
        <v>11328.96255062007</v>
      </c>
      <c r="CH7" s="110">
        <v>9</v>
      </c>
      <c r="CI7" s="110">
        <v>7765.2</v>
      </c>
      <c r="CJ7" s="110">
        <v>17.344054341524789</v>
      </c>
      <c r="CK7" s="110">
        <v>14964.450085867587</v>
      </c>
      <c r="CL7" s="110">
        <v>9.1680879272738807</v>
      </c>
      <c r="CM7" s="110">
        <v>7910.2262636519035</v>
      </c>
      <c r="CN7" s="110">
        <v>20.17611346576809</v>
      </c>
      <c r="CO7" s="110">
        <v>17407.950698264707</v>
      </c>
      <c r="CP7" s="110">
        <v>19.165546442525972</v>
      </c>
      <c r="CQ7" s="110">
        <v>16536.033470611408</v>
      </c>
      <c r="CR7" s="110">
        <v>18</v>
      </c>
      <c r="CS7" s="110">
        <v>15530.4</v>
      </c>
      <c r="CT7" s="110">
        <v>13.235210109247259</v>
      </c>
      <c r="CU7" s="110">
        <v>11419.339282258534</v>
      </c>
    </row>
    <row r="8" spans="1:99" x14ac:dyDescent="0.2">
      <c r="C8" s="109" t="s">
        <v>176</v>
      </c>
      <c r="D8" s="110">
        <v>2.0238096022982934</v>
      </c>
      <c r="E8" s="110">
        <v>663.00002571292089</v>
      </c>
      <c r="F8" s="110">
        <v>2.0935694117682893</v>
      </c>
      <c r="G8" s="110">
        <v>685.85333929529145</v>
      </c>
      <c r="H8" s="110">
        <v>3.2418637454226156</v>
      </c>
      <c r="I8" s="110">
        <v>1062.0345630004488</v>
      </c>
      <c r="J8" s="110">
        <v>3.441710357877517</v>
      </c>
      <c r="K8" s="110">
        <v>1127.5043132406745</v>
      </c>
      <c r="L8" s="110">
        <v>6</v>
      </c>
      <c r="M8" s="110">
        <v>1965.6</v>
      </c>
      <c r="N8" s="110">
        <v>6.5783838464669753</v>
      </c>
      <c r="O8" s="110">
        <v>2155.078548102581</v>
      </c>
      <c r="P8" s="110">
        <v>8.2173658311741207</v>
      </c>
      <c r="Q8" s="110">
        <v>2692.0090462926419</v>
      </c>
      <c r="R8" s="110">
        <v>9.159242179774262</v>
      </c>
      <c r="S8" s="110">
        <v>3000.5677380940479</v>
      </c>
      <c r="T8" s="110">
        <v>7.2473227028313358</v>
      </c>
      <c r="U8" s="110">
        <v>2374.2229174475456</v>
      </c>
      <c r="V8" s="110">
        <v>10.432973935419641</v>
      </c>
      <c r="W8" s="110">
        <v>3417.8422612434738</v>
      </c>
      <c r="X8" s="110">
        <v>8.4170410448863677</v>
      </c>
      <c r="Y8" s="110">
        <v>2757.4226463047739</v>
      </c>
      <c r="Z8" s="110">
        <v>9.4208025218331084</v>
      </c>
      <c r="AA8" s="110">
        <v>3086.254906152526</v>
      </c>
      <c r="AB8" s="110">
        <v>14.170371928334784</v>
      </c>
      <c r="AC8" s="110">
        <v>4642.2138437224748</v>
      </c>
      <c r="AD8" s="110">
        <v>11.10590901611153</v>
      </c>
      <c r="AE8" s="110">
        <v>3638.2957936781368</v>
      </c>
      <c r="AF8" s="110">
        <v>10.095355003475909</v>
      </c>
      <c r="AG8" s="110">
        <v>3307.2382991387076</v>
      </c>
      <c r="AH8" s="110">
        <v>11.084223713868406</v>
      </c>
      <c r="AI8" s="110">
        <v>3631.1916886632894</v>
      </c>
      <c r="AJ8" s="110">
        <v>9.132071822943221</v>
      </c>
      <c r="AK8" s="110">
        <v>2991.666729196199</v>
      </c>
      <c r="AL8" s="110">
        <v>12.352029555988585</v>
      </c>
      <c r="AM8" s="110">
        <v>4046.5248825418598</v>
      </c>
      <c r="AN8" s="110">
        <v>9.4944871187000484</v>
      </c>
      <c r="AO8" s="110">
        <v>3110.3939800861353</v>
      </c>
      <c r="AP8" s="110">
        <v>12.336629961217666</v>
      </c>
      <c r="AQ8" s="110">
        <v>4041.479975294907</v>
      </c>
      <c r="AR8" s="110">
        <v>9.2141146512423315</v>
      </c>
      <c r="AS8" s="110">
        <v>3018.5439597469876</v>
      </c>
      <c r="AT8" s="110">
        <v>13</v>
      </c>
      <c r="AU8" s="110">
        <v>4258.7999999999993</v>
      </c>
      <c r="AV8" s="110">
        <v>10.114762051814237</v>
      </c>
      <c r="AW8" s="110">
        <v>3313.5960481743437</v>
      </c>
      <c r="AX8" s="110">
        <v>10</v>
      </c>
      <c r="AY8" s="110">
        <v>3275.9999999999995</v>
      </c>
      <c r="AZ8" s="110">
        <v>18.159970106763154</v>
      </c>
      <c r="BA8" s="110">
        <v>5949.2062069756084</v>
      </c>
      <c r="BB8" s="110">
        <v>11</v>
      </c>
      <c r="BC8" s="110">
        <v>3603.5999999999995</v>
      </c>
      <c r="BD8" s="110">
        <v>15.102158136399989</v>
      </c>
      <c r="BE8" s="110">
        <v>4947.4670054846356</v>
      </c>
      <c r="BF8" s="110">
        <v>10.236237492361514</v>
      </c>
      <c r="BG8" s="110">
        <v>3353.3914024976316</v>
      </c>
      <c r="BH8" s="110">
        <v>12.145078180785113</v>
      </c>
      <c r="BI8" s="110">
        <v>3978.7276120252027</v>
      </c>
      <c r="BJ8" s="110">
        <v>9.0468843277487068</v>
      </c>
      <c r="BK8" s="110">
        <v>2963.7593057704762</v>
      </c>
      <c r="BL8" s="110">
        <v>13.064375707681215</v>
      </c>
      <c r="BM8" s="110">
        <v>4279.889481836366</v>
      </c>
      <c r="BN8" s="110">
        <v>13.204831483083373</v>
      </c>
      <c r="BO8" s="110">
        <v>4325.9027938581121</v>
      </c>
      <c r="BP8" s="110">
        <v>3.0881704493846667</v>
      </c>
      <c r="BQ8" s="110">
        <v>1011.6846392184167</v>
      </c>
      <c r="BR8" s="110">
        <v>2.1694533789134138</v>
      </c>
      <c r="BS8" s="110">
        <v>710.71292693203429</v>
      </c>
      <c r="BT8" s="110">
        <v>3</v>
      </c>
      <c r="BU8" s="110">
        <v>982.8</v>
      </c>
      <c r="BV8" s="110">
        <v>3.1626580439612768</v>
      </c>
      <c r="BW8" s="110">
        <v>1036.0867752017141</v>
      </c>
      <c r="BX8" s="110">
        <v>10.163717970014906</v>
      </c>
      <c r="BY8" s="110">
        <v>3329.634006976883</v>
      </c>
      <c r="BZ8" s="110">
        <v>11.093531869194655</v>
      </c>
      <c r="CA8" s="110">
        <v>3634.2410403481686</v>
      </c>
      <c r="CB8" s="110">
        <v>14.150877368221106</v>
      </c>
      <c r="CC8" s="110">
        <v>4635.827425829234</v>
      </c>
      <c r="CD8" s="110">
        <v>13</v>
      </c>
      <c r="CE8" s="110">
        <v>4258.7999999999993</v>
      </c>
      <c r="CF8" s="110">
        <v>13.115966157337938</v>
      </c>
      <c r="CG8" s="110">
        <v>4296.7905131439084</v>
      </c>
      <c r="CH8" s="110">
        <v>10</v>
      </c>
      <c r="CI8" s="110">
        <v>3275.9999999999995</v>
      </c>
      <c r="CJ8" s="110">
        <v>17.344054341524789</v>
      </c>
      <c r="CK8" s="110">
        <v>5681.9122022835199</v>
      </c>
      <c r="CL8" s="110">
        <v>9.1680879272738807</v>
      </c>
      <c r="CM8" s="110">
        <v>3003.4656049749228</v>
      </c>
      <c r="CN8" s="110">
        <v>22.17611346576809</v>
      </c>
      <c r="CO8" s="110">
        <v>7264.8947713856251</v>
      </c>
      <c r="CP8" s="110">
        <v>19.165546442525972</v>
      </c>
      <c r="CQ8" s="110">
        <v>6278.6330145715083</v>
      </c>
      <c r="CR8" s="110">
        <v>20</v>
      </c>
      <c r="CS8" s="110">
        <v>6551.9999999999991</v>
      </c>
      <c r="CT8" s="110">
        <v>13.264611372903166</v>
      </c>
      <c r="CU8" s="110">
        <v>4345.4866857630768</v>
      </c>
    </row>
    <row r="9" spans="1:99" x14ac:dyDescent="0.2">
      <c r="C9" s="109" t="s">
        <v>177</v>
      </c>
      <c r="D9" s="110">
        <v>2.0238096022982934</v>
      </c>
      <c r="E9" s="110">
        <v>1624.7143487250698</v>
      </c>
      <c r="F9" s="110">
        <v>2.0932591303762451</v>
      </c>
      <c r="G9" s="110">
        <v>1680.4684298660495</v>
      </c>
      <c r="H9" s="110">
        <v>3.2418637454226156</v>
      </c>
      <c r="I9" s="110">
        <v>2602.5682148252758</v>
      </c>
      <c r="J9" s="110">
        <v>3.4453217890144634</v>
      </c>
      <c r="K9" s="110">
        <v>2765.9043322208113</v>
      </c>
      <c r="L9" s="110">
        <v>6</v>
      </c>
      <c r="M9" s="110">
        <v>4816.7999999999993</v>
      </c>
      <c r="N9" s="110">
        <v>6.466632555283951</v>
      </c>
      <c r="O9" s="110">
        <v>5191.4126153819552</v>
      </c>
      <c r="P9" s="110">
        <v>8.1901951022773556</v>
      </c>
      <c r="Q9" s="110">
        <v>6575.0886281082603</v>
      </c>
      <c r="R9" s="110">
        <v>8.159242179774262</v>
      </c>
      <c r="S9" s="110">
        <v>6550.2396219227776</v>
      </c>
      <c r="T9" s="110">
        <v>8.2473227028313367</v>
      </c>
      <c r="U9" s="110">
        <v>6620.9506658329965</v>
      </c>
      <c r="V9" s="110">
        <v>10.384865720373014</v>
      </c>
      <c r="W9" s="110">
        <v>8336.9702003154562</v>
      </c>
      <c r="X9" s="110">
        <v>8.3731419875299071</v>
      </c>
      <c r="Y9" s="110">
        <v>6721.9583875890094</v>
      </c>
      <c r="Z9" s="110">
        <v>8.4208025218331084</v>
      </c>
      <c r="AA9" s="110">
        <v>6760.2202645276193</v>
      </c>
      <c r="AB9" s="110">
        <v>13.149075437292936</v>
      </c>
      <c r="AC9" s="110">
        <v>10556.077761058768</v>
      </c>
      <c r="AD9" s="110">
        <v>10.10590901611153</v>
      </c>
      <c r="AE9" s="110">
        <v>8113.0237581343363</v>
      </c>
      <c r="AF9" s="110">
        <v>10.095355003475909</v>
      </c>
      <c r="AG9" s="110">
        <v>8104.5509967904591</v>
      </c>
      <c r="AH9" s="110">
        <v>12.084223713868406</v>
      </c>
      <c r="AI9" s="110">
        <v>9701.214797493556</v>
      </c>
      <c r="AJ9" s="110">
        <v>9.1243028921818539</v>
      </c>
      <c r="AK9" s="110">
        <v>7324.9903618435919</v>
      </c>
      <c r="AL9" s="110">
        <v>12.293357963323819</v>
      </c>
      <c r="AM9" s="110">
        <v>9869.1077729563622</v>
      </c>
      <c r="AN9" s="110">
        <v>10.494487118700048</v>
      </c>
      <c r="AO9" s="110">
        <v>8424.9742588923982</v>
      </c>
      <c r="AP9" s="110">
        <v>13.308577464449527</v>
      </c>
      <c r="AQ9" s="110">
        <v>10684.12598846008</v>
      </c>
      <c r="AR9" s="110">
        <v>9.1784288760352766</v>
      </c>
      <c r="AS9" s="110">
        <v>7368.4427016811196</v>
      </c>
      <c r="AT9" s="110">
        <v>13</v>
      </c>
      <c r="AU9" s="110">
        <v>10436.4</v>
      </c>
      <c r="AV9" s="110">
        <v>10.095635043178531</v>
      </c>
      <c r="AW9" s="110">
        <v>8104.7758126637236</v>
      </c>
      <c r="AX9" s="110">
        <v>10</v>
      </c>
      <c r="AY9" s="110">
        <v>8028</v>
      </c>
      <c r="AZ9" s="110">
        <v>18.159970106763154</v>
      </c>
      <c r="BA9" s="110">
        <v>14578.824001709459</v>
      </c>
      <c r="BB9" s="110">
        <v>11</v>
      </c>
      <c r="BC9" s="110">
        <v>8830.7999999999993</v>
      </c>
      <c r="BD9" s="110">
        <v>15.102158136399989</v>
      </c>
      <c r="BE9" s="110">
        <v>12124.012551901911</v>
      </c>
      <c r="BF9" s="110">
        <v>10.269985705556016</v>
      </c>
      <c r="BG9" s="110">
        <v>8244.7445244203682</v>
      </c>
      <c r="BH9" s="110">
        <v>12.116062544628091</v>
      </c>
      <c r="BI9" s="110">
        <v>9726.7750108274304</v>
      </c>
      <c r="BJ9" s="110">
        <v>9.0546983823734895</v>
      </c>
      <c r="BK9" s="110">
        <v>7269.1118613694371</v>
      </c>
      <c r="BL9" s="110">
        <v>12.064375707681215</v>
      </c>
      <c r="BM9" s="110">
        <v>9685.2808181264791</v>
      </c>
      <c r="BN9" s="110">
        <v>14.182072429407443</v>
      </c>
      <c r="BO9" s="110">
        <v>11385.367746328295</v>
      </c>
      <c r="BP9" s="110">
        <v>2.0881704493846667</v>
      </c>
      <c r="BQ9" s="110">
        <v>1676.3832367660102</v>
      </c>
      <c r="BR9" s="110">
        <v>2.1694533789134138</v>
      </c>
      <c r="BS9" s="110">
        <v>1741.6371725916886</v>
      </c>
      <c r="BT9" s="110">
        <v>3</v>
      </c>
      <c r="BU9" s="110">
        <v>2408.3999999999996</v>
      </c>
      <c r="BV9" s="110">
        <v>3.1423257884661173</v>
      </c>
      <c r="BW9" s="110">
        <v>2522.659142980599</v>
      </c>
      <c r="BX9" s="110">
        <v>10.143253223763043</v>
      </c>
      <c r="BY9" s="110">
        <v>8143.0036880369707</v>
      </c>
      <c r="BZ9" s="110">
        <v>9.0748254953557232</v>
      </c>
      <c r="CA9" s="110">
        <v>7285.2699076715744</v>
      </c>
      <c r="CB9" s="110">
        <v>13.120701894576884</v>
      </c>
      <c r="CC9" s="110">
        <v>10533.299480966321</v>
      </c>
      <c r="CD9" s="110">
        <v>11</v>
      </c>
      <c r="CE9" s="110">
        <v>8830.7999999999993</v>
      </c>
      <c r="CF9" s="110">
        <v>13.144957696672423</v>
      </c>
      <c r="CG9" s="110">
        <v>10552.772038888621</v>
      </c>
      <c r="CH9" s="110">
        <v>9</v>
      </c>
      <c r="CI9" s="110">
        <v>7225.2</v>
      </c>
      <c r="CJ9" s="110">
        <v>15.344054341524791</v>
      </c>
      <c r="CK9" s="110">
        <v>12318.206825376101</v>
      </c>
      <c r="CL9" s="110">
        <v>8.1680879272738807</v>
      </c>
      <c r="CM9" s="110">
        <v>6557.3409880154713</v>
      </c>
      <c r="CN9" s="110">
        <v>18.150954399229789</v>
      </c>
      <c r="CO9" s="110">
        <v>14571.586191701674</v>
      </c>
      <c r="CP9" s="110">
        <v>20.137955368771642</v>
      </c>
      <c r="CQ9" s="110">
        <v>16166.750570049873</v>
      </c>
      <c r="CR9" s="110">
        <v>19</v>
      </c>
      <c r="CS9" s="110">
        <v>15253.199999999999</v>
      </c>
      <c r="CT9" s="110">
        <v>11.264611372903166</v>
      </c>
      <c r="CU9" s="110">
        <v>9043.2300101666624</v>
      </c>
    </row>
    <row r="10" spans="1:99" x14ac:dyDescent="0.2">
      <c r="C10" s="109" t="s">
        <v>178</v>
      </c>
      <c r="D10" s="110">
        <v>2.0238096022982934</v>
      </c>
      <c r="E10" s="110">
        <v>1126.8571865596896</v>
      </c>
      <c r="F10" s="110">
        <v>2.0935694117682893</v>
      </c>
      <c r="G10" s="110">
        <v>1165.6994484725833</v>
      </c>
      <c r="H10" s="110">
        <v>3.2418637454226156</v>
      </c>
      <c r="I10" s="110">
        <v>1805.0697334513122</v>
      </c>
      <c r="J10" s="110">
        <v>3.5512350895626597</v>
      </c>
      <c r="K10" s="110">
        <v>1977.3276978684887</v>
      </c>
      <c r="L10" s="110">
        <v>6</v>
      </c>
      <c r="M10" s="110">
        <v>3340.7999999999997</v>
      </c>
      <c r="N10" s="110">
        <v>6.466632555283951</v>
      </c>
      <c r="O10" s="110">
        <v>3600.6210067821034</v>
      </c>
      <c r="P10" s="110">
        <v>8.1901951022773556</v>
      </c>
      <c r="Q10" s="110">
        <v>4560.3006329480313</v>
      </c>
      <c r="R10" s="110">
        <v>9.1857825430699727</v>
      </c>
      <c r="S10" s="110">
        <v>5114.6437199813599</v>
      </c>
      <c r="T10" s="110">
        <v>8.2198424025167434</v>
      </c>
      <c r="U10" s="110">
        <v>4576.8082497213227</v>
      </c>
      <c r="V10" s="110">
        <v>9.3608116128496999</v>
      </c>
      <c r="W10" s="110">
        <v>5212.0999060347121</v>
      </c>
      <c r="X10" s="110">
        <v>8.3511924588516777</v>
      </c>
      <c r="Y10" s="110">
        <v>4649.9439610886138</v>
      </c>
      <c r="Z10" s="110">
        <v>9.4418426479247639</v>
      </c>
      <c r="AA10" s="110">
        <v>5257.2179863645079</v>
      </c>
      <c r="AB10" s="110">
        <v>13.170371928334784</v>
      </c>
      <c r="AC10" s="110">
        <v>7333.2630896968076</v>
      </c>
      <c r="AD10" s="110">
        <v>11.10590901611153</v>
      </c>
      <c r="AE10" s="110">
        <v>6183.7701401709</v>
      </c>
      <c r="AF10" s="110">
        <v>10.095355003475909</v>
      </c>
      <c r="AG10" s="110">
        <v>5621.0936659353856</v>
      </c>
      <c r="AH10" s="110">
        <v>12.073695749634856</v>
      </c>
      <c r="AI10" s="110">
        <v>6722.633793396687</v>
      </c>
      <c r="AJ10" s="110">
        <v>10.124302892181854</v>
      </c>
      <c r="AK10" s="110">
        <v>5637.2118503668562</v>
      </c>
      <c r="AL10" s="110">
        <v>13.312915160878742</v>
      </c>
      <c r="AM10" s="110">
        <v>7412.6311615772829</v>
      </c>
      <c r="AN10" s="110">
        <v>9.4153691797080405</v>
      </c>
      <c r="AO10" s="110">
        <v>5242.4775592614369</v>
      </c>
      <c r="AP10" s="110">
        <v>12.336629961217666</v>
      </c>
      <c r="AQ10" s="110">
        <v>6869.0355624059957</v>
      </c>
      <c r="AR10" s="110">
        <v>9.1784288760352766</v>
      </c>
      <c r="AS10" s="110">
        <v>5110.5491981764417</v>
      </c>
      <c r="AT10" s="110">
        <v>12</v>
      </c>
      <c r="AU10" s="110">
        <v>6681.5999999999995</v>
      </c>
      <c r="AV10" s="110">
        <v>11.114762051814237</v>
      </c>
      <c r="AW10" s="110">
        <v>6188.6995104501666</v>
      </c>
      <c r="AX10" s="110">
        <v>10</v>
      </c>
      <c r="AY10" s="110">
        <v>5568</v>
      </c>
      <c r="AZ10" s="110">
        <v>18.159970106763154</v>
      </c>
      <c r="BA10" s="110">
        <v>10111.471355445723</v>
      </c>
      <c r="BB10" s="110">
        <v>10</v>
      </c>
      <c r="BC10" s="110">
        <v>5568</v>
      </c>
      <c r="BD10" s="110">
        <v>16.114927903449988</v>
      </c>
      <c r="BE10" s="110">
        <v>8972.7918566409535</v>
      </c>
      <c r="BF10" s="110">
        <v>9.2362374923615143</v>
      </c>
      <c r="BG10" s="110">
        <v>5142.7370357468908</v>
      </c>
      <c r="BH10" s="110">
        <v>11.145078180785113</v>
      </c>
      <c r="BI10" s="110">
        <v>6205.5795310611502</v>
      </c>
      <c r="BJ10" s="110">
        <v>9.0625124369982739</v>
      </c>
      <c r="BK10" s="110">
        <v>5046.0069249206381</v>
      </c>
      <c r="BL10" s="110">
        <v>13.064375707681215</v>
      </c>
      <c r="BM10" s="110">
        <v>7274.2443940369003</v>
      </c>
      <c r="BN10" s="110">
        <v>15.182072429407443</v>
      </c>
      <c r="BO10" s="110">
        <v>8453.3779286940626</v>
      </c>
      <c r="BP10" s="110">
        <v>3.0783737327863703</v>
      </c>
      <c r="BQ10" s="110">
        <v>1714.0384944154509</v>
      </c>
      <c r="BR10" s="110">
        <v>2.203344054696097</v>
      </c>
      <c r="BS10" s="110">
        <v>1226.8219696547867</v>
      </c>
      <c r="BT10" s="110">
        <v>3</v>
      </c>
      <c r="BU10" s="110">
        <v>1670.3999999999999</v>
      </c>
      <c r="BV10" s="110">
        <v>2.1626580439612768</v>
      </c>
      <c r="BW10" s="110">
        <v>1204.1679988776389</v>
      </c>
      <c r="BX10" s="110">
        <v>9.1637179700149058</v>
      </c>
      <c r="BY10" s="110">
        <v>5102.3581657042996</v>
      </c>
      <c r="BZ10" s="110">
        <v>9.0935318691946545</v>
      </c>
      <c r="CA10" s="110">
        <v>5063.2785447675833</v>
      </c>
      <c r="CB10" s="110">
        <v>12.135789631398996</v>
      </c>
      <c r="CC10" s="110">
        <v>6757.2076667629608</v>
      </c>
      <c r="CD10" s="110">
        <v>13</v>
      </c>
      <c r="CE10" s="110">
        <v>7238.4</v>
      </c>
      <c r="CF10" s="110">
        <v>13.130461927005181</v>
      </c>
      <c r="CG10" s="110">
        <v>7311.0412009564843</v>
      </c>
      <c r="CH10" s="110">
        <v>10</v>
      </c>
      <c r="CI10" s="110">
        <v>5568</v>
      </c>
      <c r="CJ10" s="110">
        <v>18.344054341524789</v>
      </c>
      <c r="CK10" s="110">
        <v>10213.969457361001</v>
      </c>
      <c r="CL10" s="110">
        <v>9.1680879272738807</v>
      </c>
      <c r="CM10" s="110">
        <v>5104.791357906096</v>
      </c>
      <c r="CN10" s="110">
        <v>21.17611346576809</v>
      </c>
      <c r="CO10" s="110">
        <v>11790.859977739672</v>
      </c>
      <c r="CP10" s="110">
        <v>20.137955368771642</v>
      </c>
      <c r="CQ10" s="110">
        <v>11212.81354933205</v>
      </c>
      <c r="CR10" s="110">
        <v>21</v>
      </c>
      <c r="CS10" s="110">
        <v>11692.8</v>
      </c>
      <c r="CT10" s="110">
        <v>13.264611372903166</v>
      </c>
      <c r="CU10" s="110">
        <v>7385.7356124324824</v>
      </c>
    </row>
    <row r="11" spans="1:99" x14ac:dyDescent="0.2">
      <c r="C11" s="109" t="s">
        <v>179</v>
      </c>
      <c r="D11" s="110">
        <v>2.0238096022982934</v>
      </c>
      <c r="E11" s="110">
        <v>1211.8571898562179</v>
      </c>
      <c r="F11" s="110">
        <v>2.0932591303762451</v>
      </c>
      <c r="G11" s="110">
        <v>1253.4435672692955</v>
      </c>
      <c r="H11" s="110">
        <v>3.240339184169311</v>
      </c>
      <c r="I11" s="110">
        <v>1940.3151034805833</v>
      </c>
      <c r="J11" s="110">
        <v>3.441710357877517</v>
      </c>
      <c r="K11" s="110">
        <v>2060.8961622970569</v>
      </c>
      <c r="L11" s="110">
        <v>6</v>
      </c>
      <c r="M11" s="110">
        <v>3592.7999999999997</v>
      </c>
      <c r="N11" s="110">
        <v>5.5783838464669753</v>
      </c>
      <c r="O11" s="110">
        <v>3340.3362472644244</v>
      </c>
      <c r="P11" s="110">
        <v>7.1901951022773556</v>
      </c>
      <c r="Q11" s="110">
        <v>4305.4888272436801</v>
      </c>
      <c r="R11" s="110">
        <v>9.1857825430699727</v>
      </c>
      <c r="S11" s="110">
        <v>5500.4465867902991</v>
      </c>
      <c r="T11" s="110">
        <v>7.2198424025167434</v>
      </c>
      <c r="U11" s="110">
        <v>4323.2416306270252</v>
      </c>
      <c r="V11" s="110">
        <v>9.3848657203730141</v>
      </c>
      <c r="W11" s="110">
        <v>5619.6575933593604</v>
      </c>
      <c r="X11" s="110">
        <v>8.3950915162081365</v>
      </c>
      <c r="Y11" s="110">
        <v>5026.9807999054319</v>
      </c>
      <c r="Z11" s="110">
        <v>8.4418426479247639</v>
      </c>
      <c r="AA11" s="110">
        <v>5054.9753775773479</v>
      </c>
      <c r="AB11" s="110">
        <v>12.170371928334784</v>
      </c>
      <c r="AC11" s="110">
        <v>7287.6187106868683</v>
      </c>
      <c r="AD11" s="110">
        <v>11.10590901611153</v>
      </c>
      <c r="AE11" s="110">
        <v>6650.2183188475838</v>
      </c>
      <c r="AF11" s="110">
        <v>10.095355003475909</v>
      </c>
      <c r="AG11" s="110">
        <v>6045.0985760813737</v>
      </c>
      <c r="AH11" s="110">
        <v>11.073695749634856</v>
      </c>
      <c r="AI11" s="110">
        <v>6630.9290148813516</v>
      </c>
      <c r="AJ11" s="110">
        <v>10.124302892181854</v>
      </c>
      <c r="AK11" s="110">
        <v>6062.4325718384935</v>
      </c>
      <c r="AL11" s="110">
        <v>11.352029555988585</v>
      </c>
      <c r="AM11" s="110">
        <v>6797.5952981259643</v>
      </c>
      <c r="AN11" s="110">
        <v>10.494487118700048</v>
      </c>
      <c r="AO11" s="110">
        <v>6284.0988866775888</v>
      </c>
      <c r="AP11" s="110">
        <v>14.364682457985806</v>
      </c>
      <c r="AQ11" s="110">
        <v>8601.5718558418994</v>
      </c>
      <c r="AR11" s="110">
        <v>8.2141146512423315</v>
      </c>
      <c r="AS11" s="110">
        <v>4918.6118531639077</v>
      </c>
      <c r="AT11" s="110">
        <v>11</v>
      </c>
      <c r="AU11" s="110">
        <v>6586.7999999999993</v>
      </c>
      <c r="AV11" s="110">
        <v>10.114762051814237</v>
      </c>
      <c r="AW11" s="110">
        <v>6056.7195166263646</v>
      </c>
      <c r="AX11" s="110">
        <v>10</v>
      </c>
      <c r="AY11" s="110">
        <v>5988</v>
      </c>
      <c r="AZ11" s="110">
        <v>19.159970106763154</v>
      </c>
      <c r="BA11" s="110">
        <v>11472.990099929775</v>
      </c>
      <c r="BB11" s="110">
        <v>12</v>
      </c>
      <c r="BC11" s="110">
        <v>7185.5999999999995</v>
      </c>
      <c r="BD11" s="110">
        <v>14.102158136399989</v>
      </c>
      <c r="BE11" s="110">
        <v>8444.3722920763121</v>
      </c>
      <c r="BF11" s="110">
        <v>10.236237492361514</v>
      </c>
      <c r="BG11" s="110">
        <v>6129.4590104260742</v>
      </c>
      <c r="BH11" s="110">
        <v>13.116062544628091</v>
      </c>
      <c r="BI11" s="110">
        <v>7853.8982517233007</v>
      </c>
      <c r="BJ11" s="110">
        <v>9.0546983823734895</v>
      </c>
      <c r="BK11" s="110">
        <v>5421.9533913652449</v>
      </c>
      <c r="BL11" s="110">
        <v>12.064375707681215</v>
      </c>
      <c r="BM11" s="110">
        <v>7224.1481737595113</v>
      </c>
      <c r="BN11" s="110">
        <v>13.182072429407443</v>
      </c>
      <c r="BO11" s="110">
        <v>7893.4249707291765</v>
      </c>
      <c r="BP11" s="110">
        <v>3.0881704493846667</v>
      </c>
      <c r="BQ11" s="110">
        <v>1849.1964650915384</v>
      </c>
      <c r="BR11" s="110">
        <v>2.203344054696097</v>
      </c>
      <c r="BS11" s="110">
        <v>1319.3624199520227</v>
      </c>
      <c r="BT11" s="110">
        <v>3</v>
      </c>
      <c r="BU11" s="110">
        <v>1796.3999999999999</v>
      </c>
      <c r="BV11" s="110">
        <v>3.1423257884661173</v>
      </c>
      <c r="BW11" s="110">
        <v>1881.624682133511</v>
      </c>
      <c r="BX11" s="110">
        <v>10.163717970014906</v>
      </c>
      <c r="BY11" s="110">
        <v>6086.0343204449255</v>
      </c>
      <c r="BZ11" s="110">
        <v>9.0748254953557232</v>
      </c>
      <c r="CA11" s="110">
        <v>5434.0055066190071</v>
      </c>
      <c r="CB11" s="110">
        <v>14.120701894576884</v>
      </c>
      <c r="CC11" s="110">
        <v>8455.4762944726372</v>
      </c>
      <c r="CD11" s="110">
        <v>12</v>
      </c>
      <c r="CE11" s="110">
        <v>7185.5999999999995</v>
      </c>
      <c r="CF11" s="110">
        <v>14.130461927005181</v>
      </c>
      <c r="CG11" s="110">
        <v>8461.3206018907022</v>
      </c>
      <c r="CH11" s="110">
        <v>11</v>
      </c>
      <c r="CI11" s="110">
        <v>6586.7999999999993</v>
      </c>
      <c r="CJ11" s="110">
        <v>16.344054341524789</v>
      </c>
      <c r="CK11" s="110">
        <v>9786.8197397050426</v>
      </c>
      <c r="CL11" s="110">
        <v>8.1680879272738807</v>
      </c>
      <c r="CM11" s="110">
        <v>4891.051050851599</v>
      </c>
      <c r="CN11" s="110">
        <v>20.17611346576809</v>
      </c>
      <c r="CO11" s="110">
        <v>12081.456743301931</v>
      </c>
      <c r="CP11" s="110">
        <v>20.165546442525972</v>
      </c>
      <c r="CQ11" s="110">
        <v>12075.129209784551</v>
      </c>
      <c r="CR11" s="110">
        <v>21</v>
      </c>
      <c r="CS11" s="110">
        <v>12574.8</v>
      </c>
      <c r="CT11" s="110">
        <v>13.235210109247259</v>
      </c>
      <c r="CU11" s="110">
        <v>7925.243813417258</v>
      </c>
    </row>
    <row r="12" spans="1:99" x14ac:dyDescent="0.2">
      <c r="C12" s="109" t="s">
        <v>180</v>
      </c>
      <c r="D12" s="110">
        <v>2.0238096022982934</v>
      </c>
      <c r="E12" s="110">
        <v>1224.0000474700078</v>
      </c>
      <c r="F12" s="110">
        <v>2.0932591303762451</v>
      </c>
      <c r="G12" s="110">
        <v>1266.003122051553</v>
      </c>
      <c r="H12" s="110">
        <v>3.2418637454226156</v>
      </c>
      <c r="I12" s="110">
        <v>1960.6791932315978</v>
      </c>
      <c r="J12" s="110">
        <v>3.4453217890144634</v>
      </c>
      <c r="K12" s="110">
        <v>2083.7306179959473</v>
      </c>
      <c r="L12" s="110">
        <v>6</v>
      </c>
      <c r="M12" s="110">
        <v>3628.7999999999997</v>
      </c>
      <c r="N12" s="110">
        <v>5.5783838464669753</v>
      </c>
      <c r="O12" s="110">
        <v>3373.8065503432263</v>
      </c>
      <c r="P12" s="110">
        <v>8.1901951022773556</v>
      </c>
      <c r="Q12" s="110">
        <v>4953.4299978573445</v>
      </c>
      <c r="R12" s="110">
        <v>8.1857825430699727</v>
      </c>
      <c r="S12" s="110">
        <v>4950.7612820487193</v>
      </c>
      <c r="T12" s="110">
        <v>8.2198424025167434</v>
      </c>
      <c r="U12" s="110">
        <v>4971.3606850421256</v>
      </c>
      <c r="V12" s="110">
        <v>9.4089198278963266</v>
      </c>
      <c r="W12" s="110">
        <v>5690.5147119116982</v>
      </c>
      <c r="X12" s="110">
        <v>8.4170410448863677</v>
      </c>
      <c r="Y12" s="110">
        <v>5090.6264239472748</v>
      </c>
      <c r="Z12" s="110">
        <v>8.3997623957414529</v>
      </c>
      <c r="AA12" s="110">
        <v>5080.1762969444308</v>
      </c>
      <c r="AB12" s="110">
        <v>13.170371928334784</v>
      </c>
      <c r="AC12" s="110">
        <v>7965.440942256877</v>
      </c>
      <c r="AD12" s="110">
        <v>11.10590901611153</v>
      </c>
      <c r="AE12" s="110">
        <v>6716.8537729442533</v>
      </c>
      <c r="AF12" s="110">
        <v>11.095355003475909</v>
      </c>
      <c r="AG12" s="110">
        <v>6710.4707061022291</v>
      </c>
      <c r="AH12" s="110">
        <v>12.084223713868406</v>
      </c>
      <c r="AI12" s="110">
        <v>7308.5385021476113</v>
      </c>
      <c r="AJ12" s="110">
        <v>9.1243028921818539</v>
      </c>
      <c r="AK12" s="110">
        <v>5518.3783891915846</v>
      </c>
      <c r="AL12" s="110">
        <v>12.352029555988585</v>
      </c>
      <c r="AM12" s="110">
        <v>7470.5074754618954</v>
      </c>
      <c r="AN12" s="110">
        <v>9.4351486644560421</v>
      </c>
      <c r="AO12" s="110">
        <v>5706.377912263014</v>
      </c>
      <c r="AP12" s="110">
        <v>12.322603712833597</v>
      </c>
      <c r="AQ12" s="110">
        <v>7452.7107255217588</v>
      </c>
      <c r="AR12" s="110">
        <v>10.178428876035277</v>
      </c>
      <c r="AS12" s="110">
        <v>6155.9137842261352</v>
      </c>
      <c r="AT12" s="110">
        <v>11</v>
      </c>
      <c r="AU12" s="110">
        <v>6652.7999999999993</v>
      </c>
      <c r="AV12" s="110">
        <v>10.114762051814237</v>
      </c>
      <c r="AW12" s="110">
        <v>6117.4080889372499</v>
      </c>
      <c r="AX12" s="110">
        <v>10</v>
      </c>
      <c r="AY12" s="110">
        <v>6048</v>
      </c>
      <c r="AZ12" s="110">
        <v>19.191964128115785</v>
      </c>
      <c r="BA12" s="110">
        <v>11607.299904684425</v>
      </c>
      <c r="BB12" s="110">
        <v>11</v>
      </c>
      <c r="BC12" s="110">
        <v>6652.7999999999993</v>
      </c>
      <c r="BD12" s="110">
        <v>13.114927903449988</v>
      </c>
      <c r="BE12" s="110">
        <v>7931.9083960065527</v>
      </c>
      <c r="BF12" s="110">
        <v>9.2362374923615143</v>
      </c>
      <c r="BG12" s="110">
        <v>5586.0764353802433</v>
      </c>
      <c r="BH12" s="110">
        <v>12.116062544628091</v>
      </c>
      <c r="BI12" s="110">
        <v>7327.794626991069</v>
      </c>
      <c r="BJ12" s="110">
        <v>8.0546983823734895</v>
      </c>
      <c r="BK12" s="110">
        <v>4871.4815816594864</v>
      </c>
      <c r="BL12" s="110">
        <v>13.064375707681215</v>
      </c>
      <c r="BM12" s="110">
        <v>7901.3344280055981</v>
      </c>
      <c r="BN12" s="110">
        <v>15.204831483083373</v>
      </c>
      <c r="BO12" s="110">
        <v>9195.8820809688241</v>
      </c>
      <c r="BP12" s="110">
        <v>3.0783737327863703</v>
      </c>
      <c r="BQ12" s="110">
        <v>1861.8004335891967</v>
      </c>
      <c r="BR12" s="110">
        <v>2.1694533789134138</v>
      </c>
      <c r="BS12" s="110">
        <v>1312.0854035668326</v>
      </c>
      <c r="BT12" s="110">
        <v>3</v>
      </c>
      <c r="BU12" s="110">
        <v>1814.3999999999999</v>
      </c>
      <c r="BV12" s="110">
        <v>3.1423257884661173</v>
      </c>
      <c r="BW12" s="110">
        <v>1900.4786368643076</v>
      </c>
      <c r="BX12" s="110">
        <v>11.163717970014906</v>
      </c>
      <c r="BY12" s="110">
        <v>6751.8166282650145</v>
      </c>
      <c r="BZ12" s="110">
        <v>10.074825495355723</v>
      </c>
      <c r="CA12" s="110">
        <v>6093.2544595911413</v>
      </c>
      <c r="CB12" s="110">
        <v>13.135789631398996</v>
      </c>
      <c r="CC12" s="110">
        <v>7944.5255690701124</v>
      </c>
      <c r="CD12" s="110">
        <v>11</v>
      </c>
      <c r="CE12" s="110">
        <v>6652.7999999999993</v>
      </c>
      <c r="CF12" s="110">
        <v>12.130461927005181</v>
      </c>
      <c r="CG12" s="110">
        <v>7336.5033734527324</v>
      </c>
      <c r="CH12" s="110">
        <v>10</v>
      </c>
      <c r="CI12" s="110">
        <v>6048</v>
      </c>
      <c r="CJ12" s="110">
        <v>18.344054341524789</v>
      </c>
      <c r="CK12" s="110">
        <v>11094.484065754192</v>
      </c>
      <c r="CL12" s="110">
        <v>9.1680879272738807</v>
      </c>
      <c r="CM12" s="110">
        <v>5544.859578415243</v>
      </c>
      <c r="CN12" s="110">
        <v>22.17611346576809</v>
      </c>
      <c r="CO12" s="110">
        <v>13412.11342409654</v>
      </c>
      <c r="CP12" s="110">
        <v>18.137955368771642</v>
      </c>
      <c r="CQ12" s="110">
        <v>10969.835407033088</v>
      </c>
      <c r="CR12" s="110">
        <v>20</v>
      </c>
      <c r="CS12" s="110">
        <v>12096</v>
      </c>
      <c r="CT12" s="110">
        <v>11.264611372903166</v>
      </c>
      <c r="CU12" s="110">
        <v>6812.8369583318345</v>
      </c>
    </row>
    <row r="13" spans="1:99" x14ac:dyDescent="0.2">
      <c r="C13" s="109" t="s">
        <v>181</v>
      </c>
      <c r="D13" s="110">
        <v>2.0238096022982934</v>
      </c>
      <c r="E13" s="110">
        <v>337.5714416633553</v>
      </c>
      <c r="F13" s="110">
        <v>2.0935694117682893</v>
      </c>
      <c r="G13" s="110">
        <v>349.2073778829506</v>
      </c>
      <c r="H13" s="110">
        <v>3.2868824597498687</v>
      </c>
      <c r="I13" s="110">
        <v>548.25199428627809</v>
      </c>
      <c r="J13" s="110">
        <v>3.5512350895626597</v>
      </c>
      <c r="K13" s="110">
        <v>592.34601293905155</v>
      </c>
      <c r="L13" s="110">
        <v>6</v>
      </c>
      <c r="M13" s="110">
        <v>1000.8</v>
      </c>
      <c r="N13" s="110">
        <v>6.466632555283951</v>
      </c>
      <c r="O13" s="110">
        <v>1078.634310221363</v>
      </c>
      <c r="P13" s="110">
        <v>9.2173658311741207</v>
      </c>
      <c r="Q13" s="110">
        <v>1537.4566206398431</v>
      </c>
      <c r="R13" s="110">
        <v>9.1857825430699727</v>
      </c>
      <c r="S13" s="110">
        <v>1532.1885281840712</v>
      </c>
      <c r="T13" s="110">
        <v>8.2610628529886316</v>
      </c>
      <c r="U13" s="110">
        <v>1377.9452838785037</v>
      </c>
      <c r="V13" s="110">
        <v>11.408919827896327</v>
      </c>
      <c r="W13" s="110">
        <v>1903.0078272931071</v>
      </c>
      <c r="X13" s="110">
        <v>8.3511924588516777</v>
      </c>
      <c r="Y13" s="110">
        <v>1392.9789021364597</v>
      </c>
      <c r="Z13" s="110">
        <v>9.4418426479247639</v>
      </c>
      <c r="AA13" s="110">
        <v>1574.8993536738506</v>
      </c>
      <c r="AB13" s="110">
        <v>13.170371928334784</v>
      </c>
      <c r="AC13" s="110">
        <v>2196.8180376462419</v>
      </c>
      <c r="AD13" s="110">
        <v>10.10590901611153</v>
      </c>
      <c r="AE13" s="110">
        <v>1685.6656238874032</v>
      </c>
      <c r="AF13" s="110">
        <v>10.114426004171092</v>
      </c>
      <c r="AG13" s="110">
        <v>1687.086257495738</v>
      </c>
      <c r="AH13" s="110">
        <v>12.084223713868406</v>
      </c>
      <c r="AI13" s="110">
        <v>2015.64851547325</v>
      </c>
      <c r="AJ13" s="110">
        <v>10.139840753704586</v>
      </c>
      <c r="AK13" s="110">
        <v>1691.3254377179248</v>
      </c>
      <c r="AL13" s="110">
        <v>12.312915160878742</v>
      </c>
      <c r="AM13" s="110">
        <v>2053.7942488345739</v>
      </c>
      <c r="AN13" s="110">
        <v>9.5142666034480499</v>
      </c>
      <c r="AO13" s="110">
        <v>1586.9796694551346</v>
      </c>
      <c r="AP13" s="110">
        <v>12.350656209601736</v>
      </c>
      <c r="AQ13" s="110">
        <v>2060.0894557615693</v>
      </c>
      <c r="AR13" s="110">
        <v>8.2141146512423315</v>
      </c>
      <c r="AS13" s="110">
        <v>1370.1143238272207</v>
      </c>
      <c r="AT13" s="110">
        <v>13</v>
      </c>
      <c r="AU13" s="110">
        <v>2168.3999999999996</v>
      </c>
      <c r="AV13" s="110">
        <v>11.114762051814237</v>
      </c>
      <c r="AW13" s="110">
        <v>1853.9423102426147</v>
      </c>
      <c r="AX13" s="110">
        <v>11</v>
      </c>
      <c r="AY13" s="110">
        <v>1834.7999999999997</v>
      </c>
      <c r="AZ13" s="110">
        <v>19.191964128115785</v>
      </c>
      <c r="BA13" s="110">
        <v>3201.2196165697128</v>
      </c>
      <c r="BB13" s="110">
        <v>11</v>
      </c>
      <c r="BC13" s="110">
        <v>1834.7999999999997</v>
      </c>
      <c r="BD13" s="110">
        <v>15.114927903449988</v>
      </c>
      <c r="BE13" s="110">
        <v>2521.1699742954579</v>
      </c>
      <c r="BF13" s="110">
        <v>10.236237492361514</v>
      </c>
      <c r="BG13" s="110">
        <v>1707.4044137259004</v>
      </c>
      <c r="BH13" s="110">
        <v>13.116062544628091</v>
      </c>
      <c r="BI13" s="110">
        <v>2187.7592324439656</v>
      </c>
      <c r="BJ13" s="110">
        <v>9.0625124369982739</v>
      </c>
      <c r="BK13" s="110">
        <v>1511.627074491312</v>
      </c>
      <c r="BL13" s="110">
        <v>12.064375707681215</v>
      </c>
      <c r="BM13" s="110">
        <v>2012.3378680412266</v>
      </c>
      <c r="BN13" s="110">
        <v>15.182072429407443</v>
      </c>
      <c r="BO13" s="110">
        <v>2532.369681225161</v>
      </c>
      <c r="BP13" s="110">
        <v>3.0783737327863703</v>
      </c>
      <c r="BQ13" s="110">
        <v>513.47273862876648</v>
      </c>
      <c r="BR13" s="110">
        <v>2.203344054696097</v>
      </c>
      <c r="BS13" s="110">
        <v>367.51778832330893</v>
      </c>
      <c r="BT13" s="110">
        <v>3</v>
      </c>
      <c r="BU13" s="110">
        <v>500.4</v>
      </c>
      <c r="BV13" s="110">
        <v>3.1626580439612768</v>
      </c>
      <c r="BW13" s="110">
        <v>527.53136173274095</v>
      </c>
      <c r="BX13" s="110">
        <v>10.143253223763043</v>
      </c>
      <c r="BY13" s="110">
        <v>1691.8946377236755</v>
      </c>
      <c r="BZ13" s="110">
        <v>10.074825495355723</v>
      </c>
      <c r="CA13" s="110">
        <v>1680.4808926253345</v>
      </c>
      <c r="CB13" s="110">
        <v>13.135789631398996</v>
      </c>
      <c r="CC13" s="110">
        <v>2191.0497105173522</v>
      </c>
      <c r="CD13" s="110">
        <v>12</v>
      </c>
      <c r="CE13" s="110">
        <v>2001.6</v>
      </c>
      <c r="CF13" s="110">
        <v>13.130461927005181</v>
      </c>
      <c r="CG13" s="110">
        <v>2190.1610494244637</v>
      </c>
      <c r="CH13" s="110">
        <v>10</v>
      </c>
      <c r="CI13" s="110">
        <v>1667.9999999999998</v>
      </c>
      <c r="CJ13" s="110">
        <v>17.344054341524789</v>
      </c>
      <c r="CK13" s="110">
        <v>2892.9882641663344</v>
      </c>
      <c r="CL13" s="110">
        <v>10.168087927273881</v>
      </c>
      <c r="CM13" s="110">
        <v>1696.0370662692831</v>
      </c>
      <c r="CN13" s="110">
        <v>20.17611346576809</v>
      </c>
      <c r="CO13" s="110">
        <v>3365.375726090117</v>
      </c>
      <c r="CP13" s="110">
        <v>20.165546442525972</v>
      </c>
      <c r="CQ13" s="110">
        <v>3363.613146613332</v>
      </c>
      <c r="CR13" s="110">
        <v>23</v>
      </c>
      <c r="CS13" s="110">
        <v>3836.3999999999996</v>
      </c>
      <c r="CT13" s="110">
        <v>12.235210109247259</v>
      </c>
      <c r="CU13" s="110">
        <v>2040.8330462224426</v>
      </c>
    </row>
    <row r="14" spans="1:99" x14ac:dyDescent="0.2">
      <c r="C14" s="109" t="s">
        <v>182</v>
      </c>
      <c r="D14" s="110">
        <v>2.0238096022982934</v>
      </c>
      <c r="E14" s="110">
        <v>1010.285753467308</v>
      </c>
      <c r="F14" s="110">
        <v>2.0932591303762451</v>
      </c>
      <c r="G14" s="110">
        <v>1044.9549578838216</v>
      </c>
      <c r="H14" s="110">
        <v>3.240339184169311</v>
      </c>
      <c r="I14" s="110">
        <v>1617.57732073732</v>
      </c>
      <c r="J14" s="110">
        <v>3.4453217890144634</v>
      </c>
      <c r="K14" s="110">
        <v>1719.90463707602</v>
      </c>
      <c r="L14" s="110">
        <v>6</v>
      </c>
      <c r="M14" s="110">
        <v>2995.2</v>
      </c>
      <c r="N14" s="110">
        <v>6.466632555283951</v>
      </c>
      <c r="O14" s="110">
        <v>3228.1429715977483</v>
      </c>
      <c r="P14" s="110">
        <v>7.2173658311741207</v>
      </c>
      <c r="Q14" s="110">
        <v>3602.909022922121</v>
      </c>
      <c r="R14" s="110">
        <v>10.212322906365683</v>
      </c>
      <c r="S14" s="110">
        <v>5097.9915948577491</v>
      </c>
      <c r="T14" s="110">
        <v>8.2198424025167434</v>
      </c>
      <c r="U14" s="110">
        <v>4103.3453273363584</v>
      </c>
      <c r="V14" s="110">
        <v>10.3608116128497</v>
      </c>
      <c r="W14" s="110">
        <v>5172.1171571345703</v>
      </c>
      <c r="X14" s="110">
        <v>7.3731419875299071</v>
      </c>
      <c r="Y14" s="110">
        <v>3680.6724801749297</v>
      </c>
      <c r="Z14" s="110">
        <v>9.3997623957414529</v>
      </c>
      <c r="AA14" s="110">
        <v>4692.3613879541335</v>
      </c>
      <c r="AB14" s="110">
        <v>13.149075437292936</v>
      </c>
      <c r="AC14" s="110">
        <v>6564.0184582966331</v>
      </c>
      <c r="AD14" s="110">
        <v>11.10590901611153</v>
      </c>
      <c r="AE14" s="110">
        <v>5544.0697808428758</v>
      </c>
      <c r="AF14" s="110">
        <v>11.095355003475909</v>
      </c>
      <c r="AG14" s="110">
        <v>5538.8012177351739</v>
      </c>
      <c r="AH14" s="110">
        <v>12.073695749634856</v>
      </c>
      <c r="AI14" s="110">
        <v>6027.1889182177201</v>
      </c>
      <c r="AJ14" s="110">
        <v>11.124302892181854</v>
      </c>
      <c r="AK14" s="110">
        <v>5553.252003777181</v>
      </c>
      <c r="AL14" s="110">
        <v>11.293357963323819</v>
      </c>
      <c r="AM14" s="110">
        <v>5637.6442952912503</v>
      </c>
      <c r="AN14" s="110">
        <v>10.454928149204045</v>
      </c>
      <c r="AO14" s="110">
        <v>5219.100132082659</v>
      </c>
      <c r="AP14" s="110">
        <v>12.364682457985806</v>
      </c>
      <c r="AQ14" s="110">
        <v>6172.4494830265139</v>
      </c>
      <c r="AR14" s="110">
        <v>9.2141146512423315</v>
      </c>
      <c r="AS14" s="110">
        <v>4599.6860339001714</v>
      </c>
      <c r="AT14" s="110">
        <v>12</v>
      </c>
      <c r="AU14" s="110">
        <v>5990.4</v>
      </c>
      <c r="AV14" s="110">
        <v>12.114762051814237</v>
      </c>
      <c r="AW14" s="110">
        <v>6047.6892162656668</v>
      </c>
      <c r="AX14" s="110">
        <v>9</v>
      </c>
      <c r="AY14" s="110">
        <v>4492.8</v>
      </c>
      <c r="AZ14" s="110">
        <v>20.159970106763154</v>
      </c>
      <c r="BA14" s="110">
        <v>10063.857077296167</v>
      </c>
      <c r="BB14" s="110">
        <v>11</v>
      </c>
      <c r="BC14" s="110">
        <v>5491.2</v>
      </c>
      <c r="BD14" s="110">
        <v>14.102158136399989</v>
      </c>
      <c r="BE14" s="110">
        <v>7039.7973416908744</v>
      </c>
      <c r="BF14" s="110">
        <v>10.236237492361514</v>
      </c>
      <c r="BG14" s="110">
        <v>5109.929756186868</v>
      </c>
      <c r="BH14" s="110">
        <v>11.116062544628091</v>
      </c>
      <c r="BI14" s="110">
        <v>5549.1384222783427</v>
      </c>
      <c r="BJ14" s="110">
        <v>9.0546983823734895</v>
      </c>
      <c r="BK14" s="110">
        <v>4520.1054324808456</v>
      </c>
      <c r="BL14" s="110">
        <v>13.064375707681215</v>
      </c>
      <c r="BM14" s="110">
        <v>6521.7363532744621</v>
      </c>
      <c r="BN14" s="110">
        <v>15.182072429407443</v>
      </c>
      <c r="BO14" s="110">
        <v>7578.8905567601951</v>
      </c>
      <c r="BP14" s="110">
        <v>3.0881704493846667</v>
      </c>
      <c r="BQ14" s="110">
        <v>1541.6146883328256</v>
      </c>
      <c r="BR14" s="110">
        <v>2.1694533789134138</v>
      </c>
      <c r="BS14" s="110">
        <v>1082.9911267535761</v>
      </c>
      <c r="BT14" s="110">
        <v>3</v>
      </c>
      <c r="BU14" s="110">
        <v>1497.6</v>
      </c>
      <c r="BV14" s="110">
        <v>3.1423257884661173</v>
      </c>
      <c r="BW14" s="110">
        <v>1568.6490336022857</v>
      </c>
      <c r="BX14" s="110">
        <v>10.163717970014906</v>
      </c>
      <c r="BY14" s="110">
        <v>5073.7280106314411</v>
      </c>
      <c r="BZ14" s="110">
        <v>9.0748254953557232</v>
      </c>
      <c r="CA14" s="110">
        <v>4530.152887281577</v>
      </c>
      <c r="CB14" s="110">
        <v>12.135789631398996</v>
      </c>
      <c r="CC14" s="110">
        <v>6058.1861839943786</v>
      </c>
      <c r="CD14" s="110">
        <v>12</v>
      </c>
      <c r="CE14" s="110">
        <v>5990.4</v>
      </c>
      <c r="CF14" s="110">
        <v>14.130461927005181</v>
      </c>
      <c r="CG14" s="110">
        <v>7053.9265939609859</v>
      </c>
      <c r="CH14" s="110">
        <v>11</v>
      </c>
      <c r="CI14" s="110">
        <v>5491.2</v>
      </c>
      <c r="CJ14" s="110">
        <v>17.344054341524789</v>
      </c>
      <c r="CK14" s="110">
        <v>8658.1519272891746</v>
      </c>
      <c r="CL14" s="110">
        <v>9.1680879272738807</v>
      </c>
      <c r="CM14" s="110">
        <v>4576.7094932951213</v>
      </c>
      <c r="CN14" s="110">
        <v>20.17611346576809</v>
      </c>
      <c r="CO14" s="110">
        <v>10071.91584211143</v>
      </c>
      <c r="CP14" s="110">
        <v>17.165546442525972</v>
      </c>
      <c r="CQ14" s="110">
        <v>8569.0407841089655</v>
      </c>
      <c r="CR14" s="110">
        <v>22</v>
      </c>
      <c r="CS14" s="110">
        <v>10982.4</v>
      </c>
      <c r="CT14" s="110">
        <v>12.264611372903166</v>
      </c>
      <c r="CU14" s="110">
        <v>6122.493997353261</v>
      </c>
    </row>
    <row r="15" spans="1:99" x14ac:dyDescent="0.2">
      <c r="C15" s="109" t="s">
        <v>183</v>
      </c>
      <c r="D15" s="110">
        <v>2.0238096022982934</v>
      </c>
      <c r="E15" s="110">
        <v>1668.4286361347131</v>
      </c>
      <c r="F15" s="110">
        <v>2.0932591303762451</v>
      </c>
      <c r="G15" s="110">
        <v>1725.6828270821763</v>
      </c>
      <c r="H15" s="110">
        <v>3.240339184169311</v>
      </c>
      <c r="I15" s="110">
        <v>2671.33562342918</v>
      </c>
      <c r="J15" s="110">
        <v>3.441710357877517</v>
      </c>
      <c r="K15" s="110">
        <v>2837.3460190342248</v>
      </c>
      <c r="L15" s="110">
        <v>6</v>
      </c>
      <c r="M15" s="110">
        <v>4946.3999999999996</v>
      </c>
      <c r="N15" s="110">
        <v>5.466632555283951</v>
      </c>
      <c r="O15" s="110">
        <v>4506.691878576089</v>
      </c>
      <c r="P15" s="110">
        <v>8.1901951022773556</v>
      </c>
      <c r="Q15" s="110">
        <v>6751.9968423174514</v>
      </c>
      <c r="R15" s="110">
        <v>8.1857825430699727</v>
      </c>
      <c r="S15" s="110">
        <v>6748.3591285068851</v>
      </c>
      <c r="T15" s="110">
        <v>7.2473227028313358</v>
      </c>
      <c r="U15" s="110">
        <v>5974.6928362141534</v>
      </c>
      <c r="V15" s="110">
        <v>9.4089198278963266</v>
      </c>
      <c r="W15" s="110">
        <v>7756.7135061177314</v>
      </c>
      <c r="X15" s="110">
        <v>7.3511924588516777</v>
      </c>
      <c r="Y15" s="110">
        <v>6060.3230630773232</v>
      </c>
      <c r="Z15" s="110">
        <v>8.4418426479247639</v>
      </c>
      <c r="AA15" s="110">
        <v>6959.455078949175</v>
      </c>
      <c r="AB15" s="110">
        <v>12.170371928334784</v>
      </c>
      <c r="AC15" s="110">
        <v>10033.254617719196</v>
      </c>
      <c r="AD15" s="110">
        <v>9.0847272128892236</v>
      </c>
      <c r="AE15" s="110">
        <v>7489.4491143058758</v>
      </c>
      <c r="AF15" s="110">
        <v>10.095355003475909</v>
      </c>
      <c r="AG15" s="110">
        <v>8322.6106648655386</v>
      </c>
      <c r="AH15" s="110">
        <v>12.073695749634856</v>
      </c>
      <c r="AI15" s="110">
        <v>9953.5547759989749</v>
      </c>
      <c r="AJ15" s="110">
        <v>10.124302892181854</v>
      </c>
      <c r="AK15" s="110">
        <v>8346.4753043147193</v>
      </c>
      <c r="AL15" s="110">
        <v>12.293357963323819</v>
      </c>
      <c r="AM15" s="110">
        <v>10134.644304964157</v>
      </c>
      <c r="AN15" s="110">
        <v>8.4549281492040453</v>
      </c>
      <c r="AO15" s="110">
        <v>6970.2427662038144</v>
      </c>
      <c r="AP15" s="110">
        <v>12.322603712833597</v>
      </c>
      <c r="AQ15" s="110">
        <v>10158.754500860017</v>
      </c>
      <c r="AR15" s="110">
        <v>8.2141146512423315</v>
      </c>
      <c r="AS15" s="110">
        <v>6771.716118484178</v>
      </c>
      <c r="AT15" s="110">
        <v>12</v>
      </c>
      <c r="AU15" s="110">
        <v>9892.7999999999993</v>
      </c>
      <c r="AV15" s="110">
        <v>11.095635043178531</v>
      </c>
      <c r="AW15" s="110">
        <v>9147.2415295963801</v>
      </c>
      <c r="AX15" s="110">
        <v>10</v>
      </c>
      <c r="AY15" s="110">
        <v>8244</v>
      </c>
      <c r="AZ15" s="110">
        <v>19.191964128115785</v>
      </c>
      <c r="BA15" s="110">
        <v>15821.855227218653</v>
      </c>
      <c r="BB15" s="110">
        <v>11</v>
      </c>
      <c r="BC15" s="110">
        <v>9068.4</v>
      </c>
      <c r="BD15" s="110">
        <v>14.114927903449988</v>
      </c>
      <c r="BE15" s="110">
        <v>11636.346563604169</v>
      </c>
      <c r="BF15" s="110">
        <v>9.2362374923615143</v>
      </c>
      <c r="BG15" s="110">
        <v>7614.3541887028323</v>
      </c>
      <c r="BH15" s="110">
        <v>11.116062544628091</v>
      </c>
      <c r="BI15" s="110">
        <v>9164.0819617913985</v>
      </c>
      <c r="BJ15" s="110">
        <v>9.0468843277487068</v>
      </c>
      <c r="BK15" s="110">
        <v>7458.251439796034</v>
      </c>
      <c r="BL15" s="110">
        <v>12.053646423067679</v>
      </c>
      <c r="BM15" s="110">
        <v>9937.0261111769942</v>
      </c>
      <c r="BN15" s="110">
        <v>13.182072429407443</v>
      </c>
      <c r="BO15" s="110">
        <v>10867.300510803496</v>
      </c>
      <c r="BP15" s="110">
        <v>2.0685770161880739</v>
      </c>
      <c r="BQ15" s="110">
        <v>1705.3348921454481</v>
      </c>
      <c r="BR15" s="110">
        <v>2.1694533789134138</v>
      </c>
      <c r="BS15" s="110">
        <v>1788.4973655762183</v>
      </c>
      <c r="BT15" s="110">
        <v>3</v>
      </c>
      <c r="BU15" s="110">
        <v>2473.1999999999998</v>
      </c>
      <c r="BV15" s="110">
        <v>3.1423257884661173</v>
      </c>
      <c r="BW15" s="110">
        <v>2590.5333800114672</v>
      </c>
      <c r="BX15" s="110">
        <v>9.1432532237630433</v>
      </c>
      <c r="BY15" s="110">
        <v>7537.6979576702524</v>
      </c>
      <c r="BZ15" s="110">
        <v>8.0748254953557232</v>
      </c>
      <c r="CA15" s="110">
        <v>6656.8861383712583</v>
      </c>
      <c r="CB15" s="110">
        <v>11.120701894576884</v>
      </c>
      <c r="CC15" s="110">
        <v>9167.9066418891834</v>
      </c>
      <c r="CD15" s="110">
        <v>13</v>
      </c>
      <c r="CE15" s="110">
        <v>10717.199999999999</v>
      </c>
      <c r="CF15" s="110">
        <v>12.115966157337938</v>
      </c>
      <c r="CG15" s="110">
        <v>9988.402500109396</v>
      </c>
      <c r="CH15" s="110">
        <v>9</v>
      </c>
      <c r="CI15" s="110">
        <v>7419.5999999999995</v>
      </c>
      <c r="CJ15" s="110">
        <v>15.294903721306962</v>
      </c>
      <c r="CK15" s="110">
        <v>12609.118627845459</v>
      </c>
      <c r="CL15" s="110">
        <v>9.1680879272738807</v>
      </c>
      <c r="CM15" s="110">
        <v>7558.1716872445868</v>
      </c>
      <c r="CN15" s="110">
        <v>20.17611346576809</v>
      </c>
      <c r="CO15" s="110">
        <v>16633.187941179214</v>
      </c>
      <c r="CP15" s="110">
        <v>20.165546442525972</v>
      </c>
      <c r="CQ15" s="110">
        <v>16624.47648721841</v>
      </c>
      <c r="CR15" s="110">
        <v>19</v>
      </c>
      <c r="CS15" s="110">
        <v>15663.6</v>
      </c>
      <c r="CT15" s="110">
        <v>12.264611372903166</v>
      </c>
      <c r="CU15" s="110">
        <v>10110.945615821371</v>
      </c>
    </row>
    <row r="16" spans="1:99" x14ac:dyDescent="0.2">
      <c r="C16" s="109" t="s">
        <v>184</v>
      </c>
      <c r="D16" s="110">
        <v>2.0238096022982934</v>
      </c>
      <c r="E16" s="110">
        <v>1029.7143256493714</v>
      </c>
      <c r="F16" s="110">
        <v>2.0932591303762451</v>
      </c>
      <c r="G16" s="110">
        <v>1065.0502455354333</v>
      </c>
      <c r="H16" s="110">
        <v>3.2418637454226156</v>
      </c>
      <c r="I16" s="110">
        <v>1649.4602736710265</v>
      </c>
      <c r="J16" s="110">
        <v>3.441710357877517</v>
      </c>
      <c r="K16" s="110">
        <v>1751.1422300880804</v>
      </c>
      <c r="L16" s="110">
        <v>6</v>
      </c>
      <c r="M16" s="110">
        <v>3052.7999999999993</v>
      </c>
      <c r="N16" s="110">
        <v>6.466632555283951</v>
      </c>
      <c r="O16" s="110">
        <v>3290.2226441284738</v>
      </c>
      <c r="P16" s="110">
        <v>8.1901951022773556</v>
      </c>
      <c r="Q16" s="110">
        <v>4167.1712680387172</v>
      </c>
      <c r="R16" s="110">
        <v>10.212322906365683</v>
      </c>
      <c r="S16" s="110">
        <v>5196.029894758859</v>
      </c>
      <c r="T16" s="110">
        <v>8.23358255267404</v>
      </c>
      <c r="U16" s="110">
        <v>4189.2468028005505</v>
      </c>
      <c r="V16" s="110">
        <v>9.4089198278963266</v>
      </c>
      <c r="W16" s="110">
        <v>4787.2584084336504</v>
      </c>
      <c r="X16" s="110">
        <v>8.3950915162081365</v>
      </c>
      <c r="Y16" s="110">
        <v>4271.4225634466993</v>
      </c>
      <c r="Z16" s="110">
        <v>9.4418426479247639</v>
      </c>
      <c r="AA16" s="110">
        <v>4804.0095392641188</v>
      </c>
      <c r="AB16" s="110">
        <v>12.149075437292936</v>
      </c>
      <c r="AC16" s="110">
        <v>6181.4495824946443</v>
      </c>
      <c r="AD16" s="110">
        <v>10.10590901611153</v>
      </c>
      <c r="AE16" s="110">
        <v>5141.8865073975458</v>
      </c>
      <c r="AF16" s="110">
        <v>12.095355003475909</v>
      </c>
      <c r="AG16" s="110">
        <v>6154.1166257685409</v>
      </c>
      <c r="AH16" s="110">
        <v>12.084223713868406</v>
      </c>
      <c r="AI16" s="110">
        <v>6148.4530256162434</v>
      </c>
      <c r="AJ16" s="110">
        <v>9.1243028921818539</v>
      </c>
      <c r="AK16" s="110">
        <v>4642.4453115421265</v>
      </c>
      <c r="AL16" s="110">
        <v>13.312915160878742</v>
      </c>
      <c r="AM16" s="110">
        <v>6773.611233855102</v>
      </c>
      <c r="AN16" s="110">
        <v>10.494487118700048</v>
      </c>
      <c r="AO16" s="110">
        <v>5339.5950459945834</v>
      </c>
      <c r="AP16" s="110">
        <v>12.350656209601736</v>
      </c>
      <c r="AQ16" s="110">
        <v>6284.0138794453624</v>
      </c>
      <c r="AR16" s="110">
        <v>8.1784288760352766</v>
      </c>
      <c r="AS16" s="110">
        <v>4161.1846121267481</v>
      </c>
      <c r="AT16" s="110">
        <v>13</v>
      </c>
      <c r="AU16" s="110">
        <v>6614.3999999999987</v>
      </c>
      <c r="AV16" s="110">
        <v>11.114762051814237</v>
      </c>
      <c r="AW16" s="110">
        <v>5655.1909319630831</v>
      </c>
      <c r="AX16" s="110">
        <v>10</v>
      </c>
      <c r="AY16" s="110">
        <v>5087.9999999999991</v>
      </c>
      <c r="AZ16" s="110">
        <v>19.159970106763154</v>
      </c>
      <c r="BA16" s="110">
        <v>9748.5927903210904</v>
      </c>
      <c r="BB16" s="110">
        <v>11</v>
      </c>
      <c r="BC16" s="110">
        <v>5596.7999999999993</v>
      </c>
      <c r="BD16" s="110">
        <v>14.102158136399989</v>
      </c>
      <c r="BE16" s="110">
        <v>7175.1780598003133</v>
      </c>
      <c r="BF16" s="110">
        <v>10.269985705556016</v>
      </c>
      <c r="BG16" s="110">
        <v>5225.3687269868997</v>
      </c>
      <c r="BH16" s="110">
        <v>11.145078180785113</v>
      </c>
      <c r="BI16" s="110">
        <v>5670.6157783834642</v>
      </c>
      <c r="BJ16" s="110">
        <v>8.0625124369982739</v>
      </c>
      <c r="BK16" s="110">
        <v>4102.2063279447211</v>
      </c>
      <c r="BL16" s="110">
        <v>12.064375707681215</v>
      </c>
      <c r="BM16" s="110">
        <v>6138.3543600682005</v>
      </c>
      <c r="BN16" s="110">
        <v>15.204831483083373</v>
      </c>
      <c r="BO16" s="110">
        <v>7736.2182585928185</v>
      </c>
      <c r="BP16" s="110">
        <v>3.0783737327863703</v>
      </c>
      <c r="BQ16" s="110">
        <v>1566.276555241705</v>
      </c>
      <c r="BR16" s="110">
        <v>2.203344054696097</v>
      </c>
      <c r="BS16" s="110">
        <v>1121.061455029374</v>
      </c>
      <c r="BT16" s="110">
        <v>3</v>
      </c>
      <c r="BU16" s="110">
        <v>1526.3999999999996</v>
      </c>
      <c r="BV16" s="110">
        <v>3.1626580439612768</v>
      </c>
      <c r="BW16" s="110">
        <v>1609.1604127674973</v>
      </c>
      <c r="BX16" s="110">
        <v>10.163717970014906</v>
      </c>
      <c r="BY16" s="110">
        <v>5171.2997031435834</v>
      </c>
      <c r="BZ16" s="110">
        <v>10.074825495355723</v>
      </c>
      <c r="CA16" s="110">
        <v>5126.0712120369908</v>
      </c>
      <c r="CB16" s="110">
        <v>12.135789631398996</v>
      </c>
      <c r="CC16" s="110">
        <v>6174.6897644558076</v>
      </c>
      <c r="CD16" s="110">
        <v>13</v>
      </c>
      <c r="CE16" s="110">
        <v>6614.3999999999987</v>
      </c>
      <c r="CF16" s="110">
        <v>15.144957696672423</v>
      </c>
      <c r="CG16" s="110">
        <v>7705.7544760669271</v>
      </c>
      <c r="CH16" s="110">
        <v>10</v>
      </c>
      <c r="CI16" s="110">
        <v>5087.9999999999991</v>
      </c>
      <c r="CJ16" s="110">
        <v>17.344054341524789</v>
      </c>
      <c r="CK16" s="110">
        <v>8824.6548489678116</v>
      </c>
      <c r="CL16" s="110">
        <v>9.1680879272738807</v>
      </c>
      <c r="CM16" s="110">
        <v>4664.7231373969498</v>
      </c>
      <c r="CN16" s="110">
        <v>21.17611346576809</v>
      </c>
      <c r="CO16" s="110">
        <v>10774.406531382801</v>
      </c>
      <c r="CP16" s="110">
        <v>18.165546442525972</v>
      </c>
      <c r="CQ16" s="110">
        <v>9242.6300299572122</v>
      </c>
      <c r="CR16" s="110">
        <v>19</v>
      </c>
      <c r="CS16" s="110">
        <v>9667.1999999999989</v>
      </c>
      <c r="CT16" s="110">
        <v>12.235210109247259</v>
      </c>
      <c r="CU16" s="110">
        <v>6225.2749035850038</v>
      </c>
    </row>
    <row r="17" spans="2:99" x14ac:dyDescent="0.2">
      <c r="C17" s="109" t="s">
        <v>185</v>
      </c>
      <c r="D17" s="110">
        <v>2.0238096022982934</v>
      </c>
      <c r="E17" s="110">
        <v>1005.4286104217921</v>
      </c>
      <c r="F17" s="110">
        <v>2.0932591303762451</v>
      </c>
      <c r="G17" s="110">
        <v>1039.9311359709184</v>
      </c>
      <c r="H17" s="110">
        <v>3.2418637454226156</v>
      </c>
      <c r="I17" s="110">
        <v>1610.5579087259553</v>
      </c>
      <c r="J17" s="110">
        <v>3.5512350895626597</v>
      </c>
      <c r="K17" s="110">
        <v>1764.2535924947292</v>
      </c>
      <c r="L17" s="110">
        <v>6</v>
      </c>
      <c r="M17" s="110">
        <v>2980.7999999999997</v>
      </c>
      <c r="N17" s="110">
        <v>6.466632555283951</v>
      </c>
      <c r="O17" s="110">
        <v>3212.6230534650667</v>
      </c>
      <c r="P17" s="110">
        <v>8.2173658311741207</v>
      </c>
      <c r="Q17" s="110">
        <v>4082.3873449273028</v>
      </c>
      <c r="R17" s="110">
        <v>10.159242179774262</v>
      </c>
      <c r="S17" s="110">
        <v>5047.1115149118532</v>
      </c>
      <c r="T17" s="110">
        <v>8.2198424025167434</v>
      </c>
      <c r="U17" s="110">
        <v>4083.6177055703179</v>
      </c>
      <c r="V17" s="110">
        <v>9.3608116128496999</v>
      </c>
      <c r="W17" s="110">
        <v>4650.4512092637306</v>
      </c>
      <c r="X17" s="110">
        <v>8.3950915162081365</v>
      </c>
      <c r="Y17" s="110">
        <v>4170.6814652522016</v>
      </c>
      <c r="Z17" s="110">
        <v>8.4418426479247639</v>
      </c>
      <c r="AA17" s="110">
        <v>4193.9074274890227</v>
      </c>
      <c r="AB17" s="110">
        <v>12.170371928334784</v>
      </c>
      <c r="AC17" s="110">
        <v>6046.2407739967202</v>
      </c>
      <c r="AD17" s="110">
        <v>10.10590901611153</v>
      </c>
      <c r="AE17" s="110">
        <v>5020.6155992042077</v>
      </c>
      <c r="AF17" s="110">
        <v>11.095355003475909</v>
      </c>
      <c r="AG17" s="110">
        <v>5512.1723657268312</v>
      </c>
      <c r="AH17" s="110">
        <v>11.073695749634856</v>
      </c>
      <c r="AI17" s="110">
        <v>5501.412048418596</v>
      </c>
      <c r="AJ17" s="110">
        <v>9.1243028921818539</v>
      </c>
      <c r="AK17" s="110">
        <v>4532.9536768359449</v>
      </c>
      <c r="AL17" s="110">
        <v>12.352029555988585</v>
      </c>
      <c r="AM17" s="110">
        <v>6136.4882834151285</v>
      </c>
      <c r="AN17" s="110">
        <v>10.454928149204045</v>
      </c>
      <c r="AO17" s="110">
        <v>5194.0083045245692</v>
      </c>
      <c r="AP17" s="110">
        <v>12.378708706369874</v>
      </c>
      <c r="AQ17" s="110">
        <v>6149.7424853245529</v>
      </c>
      <c r="AR17" s="110">
        <v>10.214114651242332</v>
      </c>
      <c r="AS17" s="110">
        <v>5074.3721587371901</v>
      </c>
      <c r="AT17" s="110">
        <v>12</v>
      </c>
      <c r="AU17" s="110">
        <v>5961.5999999999995</v>
      </c>
      <c r="AV17" s="110">
        <v>11.114762051814237</v>
      </c>
      <c r="AW17" s="110">
        <v>5521.8137873413125</v>
      </c>
      <c r="AX17" s="110">
        <v>9</v>
      </c>
      <c r="AY17" s="110">
        <v>4471.2</v>
      </c>
      <c r="AZ17" s="110">
        <v>20.159970106763154</v>
      </c>
      <c r="BA17" s="110">
        <v>10015.473149039934</v>
      </c>
      <c r="BB17" s="110">
        <v>12</v>
      </c>
      <c r="BC17" s="110">
        <v>5961.5999999999995</v>
      </c>
      <c r="BD17" s="110">
        <v>14.102158136399989</v>
      </c>
      <c r="BE17" s="110">
        <v>7005.952162163514</v>
      </c>
      <c r="BF17" s="110">
        <v>9.2024892791670112</v>
      </c>
      <c r="BG17" s="110">
        <v>4571.7966738901705</v>
      </c>
      <c r="BH17" s="110">
        <v>11.145078180785113</v>
      </c>
      <c r="BI17" s="110">
        <v>5536.8748402140436</v>
      </c>
      <c r="BJ17" s="110">
        <v>9.0468843277487068</v>
      </c>
      <c r="BK17" s="110">
        <v>4494.4921340255569</v>
      </c>
      <c r="BL17" s="110">
        <v>13.053646423067679</v>
      </c>
      <c r="BM17" s="110">
        <v>6485.0515429800225</v>
      </c>
      <c r="BN17" s="110">
        <v>14.182072429407443</v>
      </c>
      <c r="BO17" s="110">
        <v>7045.6535829296172</v>
      </c>
      <c r="BP17" s="110">
        <v>3.0783737327863703</v>
      </c>
      <c r="BQ17" s="110">
        <v>1529.3360704482686</v>
      </c>
      <c r="BR17" s="110">
        <v>2.203344054696097</v>
      </c>
      <c r="BS17" s="110">
        <v>1094.6213263730208</v>
      </c>
      <c r="BT17" s="110">
        <v>3</v>
      </c>
      <c r="BU17" s="110">
        <v>1490.3999999999999</v>
      </c>
      <c r="BV17" s="110">
        <v>3.1626580439612768</v>
      </c>
      <c r="BW17" s="110">
        <v>1571.2085162399621</v>
      </c>
      <c r="BX17" s="110">
        <v>10.163717970014906</v>
      </c>
      <c r="BY17" s="110">
        <v>5049.3350875034048</v>
      </c>
      <c r="BZ17" s="110">
        <v>10.074825495355723</v>
      </c>
      <c r="CA17" s="110">
        <v>5005.1733060927227</v>
      </c>
      <c r="CB17" s="110">
        <v>13.135789631398996</v>
      </c>
      <c r="CC17" s="110">
        <v>6525.860288879021</v>
      </c>
      <c r="CD17" s="110">
        <v>13</v>
      </c>
      <c r="CE17" s="110">
        <v>6458.4</v>
      </c>
      <c r="CF17" s="110">
        <v>12.115966157337938</v>
      </c>
      <c r="CG17" s="110">
        <v>6019.2119869654871</v>
      </c>
      <c r="CH17" s="110">
        <v>9</v>
      </c>
      <c r="CI17" s="110">
        <v>4471.2</v>
      </c>
      <c r="CJ17" s="110">
        <v>16.393204961742615</v>
      </c>
      <c r="CK17" s="110">
        <v>8144.1442249937309</v>
      </c>
      <c r="CL17" s="110">
        <v>9.2017055127286564</v>
      </c>
      <c r="CM17" s="110">
        <v>4571.4072987235959</v>
      </c>
      <c r="CN17" s="110">
        <v>18.17611346576809</v>
      </c>
      <c r="CO17" s="110">
        <v>9029.8931697935859</v>
      </c>
      <c r="CP17" s="110">
        <v>18.165546442525972</v>
      </c>
      <c r="CQ17" s="110">
        <v>9024.6434726469015</v>
      </c>
      <c r="CR17" s="110">
        <v>20</v>
      </c>
      <c r="CS17" s="110">
        <v>9936</v>
      </c>
      <c r="CT17" s="110">
        <v>13.235210109247259</v>
      </c>
      <c r="CU17" s="110">
        <v>6575.2523822740377</v>
      </c>
    </row>
    <row r="18" spans="2:99" x14ac:dyDescent="0.2">
      <c r="C18" s="109" t="s">
        <v>186</v>
      </c>
      <c r="D18" s="110">
        <v>2.0238096022982934</v>
      </c>
      <c r="E18" s="110">
        <v>1479.0000573595928</v>
      </c>
      <c r="F18" s="110">
        <v>2.0935694117682893</v>
      </c>
      <c r="G18" s="110">
        <v>1529.9805261202657</v>
      </c>
      <c r="H18" s="110">
        <v>3.240339184169311</v>
      </c>
      <c r="I18" s="110">
        <v>2368.0398757909325</v>
      </c>
      <c r="J18" s="110">
        <v>3.4453217890144634</v>
      </c>
      <c r="K18" s="110">
        <v>2517.8411634117697</v>
      </c>
      <c r="L18" s="110">
        <v>5</v>
      </c>
      <c r="M18" s="110">
        <v>3654</v>
      </c>
      <c r="N18" s="110">
        <v>6.5783838464669753</v>
      </c>
      <c r="O18" s="110">
        <v>4807.4829149980651</v>
      </c>
      <c r="P18" s="110">
        <v>8.1901951022773556</v>
      </c>
      <c r="Q18" s="110">
        <v>5985.3945807442915</v>
      </c>
      <c r="R18" s="110">
        <v>9.1857825430699727</v>
      </c>
      <c r="S18" s="110">
        <v>6712.969882475536</v>
      </c>
      <c r="T18" s="110">
        <v>7.2061022523594467</v>
      </c>
      <c r="U18" s="110">
        <v>5266.2195260242834</v>
      </c>
      <c r="V18" s="110">
        <v>10.3608116128497</v>
      </c>
      <c r="W18" s="110">
        <v>7571.6811266705599</v>
      </c>
      <c r="X18" s="110">
        <v>7.3950915162081374</v>
      </c>
      <c r="Y18" s="110">
        <v>5404.3328800449062</v>
      </c>
      <c r="Z18" s="110">
        <v>8.4208025218331084</v>
      </c>
      <c r="AA18" s="110">
        <v>6153.9224829556351</v>
      </c>
      <c r="AB18" s="110">
        <v>13.149075437292936</v>
      </c>
      <c r="AC18" s="110">
        <v>9609.3443295736761</v>
      </c>
      <c r="AD18" s="110">
        <v>10.10590901611153</v>
      </c>
      <c r="AE18" s="110">
        <v>7385.398308974306</v>
      </c>
      <c r="AF18" s="110">
        <v>11.095355003475909</v>
      </c>
      <c r="AG18" s="110">
        <v>8108.4854365401934</v>
      </c>
      <c r="AH18" s="110">
        <v>13.084223713868406</v>
      </c>
      <c r="AI18" s="110">
        <v>9561.950690095031</v>
      </c>
      <c r="AJ18" s="110">
        <v>10.116533961420489</v>
      </c>
      <c r="AK18" s="110">
        <v>7393.1630190060923</v>
      </c>
      <c r="AL18" s="110">
        <v>13.332472358433662</v>
      </c>
      <c r="AM18" s="110">
        <v>9743.3707995433197</v>
      </c>
      <c r="AN18" s="110">
        <v>9.4351486644560421</v>
      </c>
      <c r="AO18" s="110">
        <v>6895.2066439844748</v>
      </c>
      <c r="AP18" s="110">
        <v>14.364682457985806</v>
      </c>
      <c r="AQ18" s="110">
        <v>10497.709940296027</v>
      </c>
      <c r="AR18" s="110">
        <v>8.2141146512423315</v>
      </c>
      <c r="AS18" s="110">
        <v>6002.8749871278951</v>
      </c>
      <c r="AT18" s="110">
        <v>11</v>
      </c>
      <c r="AU18" s="110">
        <v>8038.7999999999993</v>
      </c>
      <c r="AV18" s="110">
        <v>11.114762051814237</v>
      </c>
      <c r="AW18" s="110">
        <v>8122.6681074658436</v>
      </c>
      <c r="AX18" s="110">
        <v>9</v>
      </c>
      <c r="AY18" s="110">
        <v>6577.2</v>
      </c>
      <c r="AZ18" s="110">
        <v>18.159970106763154</v>
      </c>
      <c r="BA18" s="110">
        <v>13271.306154022512</v>
      </c>
      <c r="BB18" s="110">
        <v>10</v>
      </c>
      <c r="BC18" s="110">
        <v>7308</v>
      </c>
      <c r="BD18" s="110">
        <v>14.102158136399989</v>
      </c>
      <c r="BE18" s="110">
        <v>10305.857166081112</v>
      </c>
      <c r="BF18" s="110">
        <v>10.236237492361514</v>
      </c>
      <c r="BG18" s="110">
        <v>7480.6423594177941</v>
      </c>
      <c r="BH18" s="110">
        <v>13.116062544628091</v>
      </c>
      <c r="BI18" s="110">
        <v>9585.2185076142086</v>
      </c>
      <c r="BJ18" s="110">
        <v>9.0546983823734895</v>
      </c>
      <c r="BK18" s="110">
        <v>6617.1735778385455</v>
      </c>
      <c r="BL18" s="110">
        <v>12.064375707681215</v>
      </c>
      <c r="BM18" s="110">
        <v>8816.6457671734315</v>
      </c>
      <c r="BN18" s="110">
        <v>12.182072429407443</v>
      </c>
      <c r="BO18" s="110">
        <v>8902.6585314109579</v>
      </c>
      <c r="BP18" s="110">
        <v>3.0881704493846667</v>
      </c>
      <c r="BQ18" s="110">
        <v>2256.8349644103141</v>
      </c>
      <c r="BR18" s="110">
        <v>2.1694533789134138</v>
      </c>
      <c r="BS18" s="110">
        <v>1585.4365293099227</v>
      </c>
      <c r="BT18" s="110">
        <v>3</v>
      </c>
      <c r="BU18" s="110">
        <v>2192.3999999999996</v>
      </c>
      <c r="BV18" s="110">
        <v>3.1423257884661173</v>
      </c>
      <c r="BW18" s="110">
        <v>2296.4116862110386</v>
      </c>
      <c r="BX18" s="110">
        <v>9.1432532237630433</v>
      </c>
      <c r="BY18" s="110">
        <v>6681.8894559260316</v>
      </c>
      <c r="BZ18" s="110">
        <v>10.074825495355723</v>
      </c>
      <c r="CA18" s="110">
        <v>7362.6824720059622</v>
      </c>
      <c r="CB18" s="110">
        <v>11.120701894576884</v>
      </c>
      <c r="CC18" s="110">
        <v>8127.0089445567864</v>
      </c>
      <c r="CD18" s="110">
        <v>11</v>
      </c>
      <c r="CE18" s="110">
        <v>8038.7999999999993</v>
      </c>
      <c r="CF18" s="110">
        <v>13.115966157337938</v>
      </c>
      <c r="CG18" s="110">
        <v>9585.1480677825657</v>
      </c>
      <c r="CH18" s="110">
        <v>9</v>
      </c>
      <c r="CI18" s="110">
        <v>6577.2</v>
      </c>
      <c r="CJ18" s="110">
        <v>16.344054341524789</v>
      </c>
      <c r="CK18" s="110">
        <v>11944.234912786314</v>
      </c>
      <c r="CL18" s="110">
        <v>10.168087927273881</v>
      </c>
      <c r="CM18" s="110">
        <v>7430.8386572517511</v>
      </c>
      <c r="CN18" s="110">
        <v>20.17611346576809</v>
      </c>
      <c r="CO18" s="110">
        <v>14744.70372078332</v>
      </c>
      <c r="CP18" s="110">
        <v>19.165546442525972</v>
      </c>
      <c r="CQ18" s="110">
        <v>14006.18134019798</v>
      </c>
      <c r="CR18" s="110">
        <v>21</v>
      </c>
      <c r="CS18" s="110">
        <v>15346.8</v>
      </c>
      <c r="CT18" s="110">
        <v>12.264611372903166</v>
      </c>
      <c r="CU18" s="110">
        <v>8962.9779913176335</v>
      </c>
    </row>
    <row r="19" spans="2:99" x14ac:dyDescent="0.2">
      <c r="C19" s="109" t="s">
        <v>187</v>
      </c>
      <c r="D19" s="110">
        <v>2.0238096022982934</v>
      </c>
      <c r="E19" s="110">
        <v>782.00003032806057</v>
      </c>
      <c r="F19" s="110">
        <v>2.0932591303762451</v>
      </c>
      <c r="G19" s="110">
        <v>808.8353279773811</v>
      </c>
      <c r="H19" s="110">
        <v>3.2418637454226156</v>
      </c>
      <c r="I19" s="110">
        <v>1252.6561512312985</v>
      </c>
      <c r="J19" s="110">
        <v>3.5512350895626597</v>
      </c>
      <c r="K19" s="110">
        <v>1372.1972386070115</v>
      </c>
      <c r="L19" s="110">
        <v>7</v>
      </c>
      <c r="M19" s="110">
        <v>2704.7999999999997</v>
      </c>
      <c r="N19" s="110">
        <v>6.466632555283951</v>
      </c>
      <c r="O19" s="110">
        <v>2498.7068193617183</v>
      </c>
      <c r="P19" s="110">
        <v>8.1901951022773556</v>
      </c>
      <c r="Q19" s="110">
        <v>3164.6913875199698</v>
      </c>
      <c r="R19" s="110">
        <v>9.1857825430699727</v>
      </c>
      <c r="S19" s="110">
        <v>3549.3863746422371</v>
      </c>
      <c r="T19" s="110">
        <v>8.2610628529886316</v>
      </c>
      <c r="U19" s="110">
        <v>3192.074686394807</v>
      </c>
      <c r="V19" s="110">
        <v>9.3608116128496999</v>
      </c>
      <c r="W19" s="110">
        <v>3617.017607205124</v>
      </c>
      <c r="X19" s="110">
        <v>8.3950915162081365</v>
      </c>
      <c r="Y19" s="110">
        <v>3243.8633618628237</v>
      </c>
      <c r="Z19" s="110">
        <v>8.3997623957414529</v>
      </c>
      <c r="AA19" s="110">
        <v>3245.6681897144972</v>
      </c>
      <c r="AB19" s="110">
        <v>14.170371928334784</v>
      </c>
      <c r="AC19" s="110">
        <v>5475.43171310856</v>
      </c>
      <c r="AD19" s="110">
        <v>10.10590901611153</v>
      </c>
      <c r="AE19" s="110">
        <v>3904.9232438254953</v>
      </c>
      <c r="AF19" s="110">
        <v>12.114426004171092</v>
      </c>
      <c r="AG19" s="110">
        <v>4681.0142080117093</v>
      </c>
      <c r="AH19" s="110">
        <v>13.084223713868406</v>
      </c>
      <c r="AI19" s="110">
        <v>5055.7440430387514</v>
      </c>
      <c r="AJ19" s="110">
        <v>10.124302892181854</v>
      </c>
      <c r="AK19" s="110">
        <v>3912.0306375390683</v>
      </c>
      <c r="AL19" s="110">
        <v>13.352029555988585</v>
      </c>
      <c r="AM19" s="110">
        <v>5159.2242204339891</v>
      </c>
      <c r="AN19" s="110">
        <v>9.4944871187000484</v>
      </c>
      <c r="AO19" s="110">
        <v>3668.6698226656986</v>
      </c>
      <c r="AP19" s="110">
        <v>13.378708706369874</v>
      </c>
      <c r="AQ19" s="110">
        <v>5169.5330441413189</v>
      </c>
      <c r="AR19" s="110">
        <v>9.2141146512423315</v>
      </c>
      <c r="AS19" s="110">
        <v>3560.3339012400365</v>
      </c>
      <c r="AT19" s="110">
        <v>11</v>
      </c>
      <c r="AU19" s="110">
        <v>4250.3999999999996</v>
      </c>
      <c r="AV19" s="110">
        <v>11.095635043178531</v>
      </c>
      <c r="AW19" s="110">
        <v>4287.3533806841842</v>
      </c>
      <c r="AX19" s="110">
        <v>10</v>
      </c>
      <c r="AY19" s="110">
        <v>3864</v>
      </c>
      <c r="AZ19" s="110">
        <v>19.191964128115785</v>
      </c>
      <c r="BA19" s="110">
        <v>7415.7749391039388</v>
      </c>
      <c r="BB19" s="110">
        <v>12</v>
      </c>
      <c r="BC19" s="110">
        <v>4636.7999999999993</v>
      </c>
      <c r="BD19" s="110">
        <v>15.114927903449988</v>
      </c>
      <c r="BE19" s="110">
        <v>5840.4081418930755</v>
      </c>
      <c r="BF19" s="110">
        <v>10.236237492361514</v>
      </c>
      <c r="BG19" s="110">
        <v>3955.2821670484891</v>
      </c>
      <c r="BH19" s="110">
        <v>13.116062544628091</v>
      </c>
      <c r="BI19" s="110">
        <v>5068.0465672442942</v>
      </c>
      <c r="BJ19" s="110">
        <v>9.0546983823734895</v>
      </c>
      <c r="BK19" s="110">
        <v>3498.735454949116</v>
      </c>
      <c r="BL19" s="110">
        <v>13.064375707681215</v>
      </c>
      <c r="BM19" s="110">
        <v>5048.074773448021</v>
      </c>
      <c r="BN19" s="110">
        <v>13.182072429407443</v>
      </c>
      <c r="BO19" s="110">
        <v>5093.5527867230358</v>
      </c>
      <c r="BP19" s="110">
        <v>3.0881704493846667</v>
      </c>
      <c r="BQ19" s="110">
        <v>1193.2690616422351</v>
      </c>
      <c r="BR19" s="110">
        <v>2.1694533789134138</v>
      </c>
      <c r="BS19" s="110">
        <v>838.27678561214304</v>
      </c>
      <c r="BT19" s="110">
        <v>3</v>
      </c>
      <c r="BU19" s="110">
        <v>1159.1999999999998</v>
      </c>
      <c r="BV19" s="110">
        <v>3.1423257884661173</v>
      </c>
      <c r="BW19" s="110">
        <v>1214.1946846633077</v>
      </c>
      <c r="BX19" s="110">
        <v>9.1637179700149058</v>
      </c>
      <c r="BY19" s="110">
        <v>3540.8606236137593</v>
      </c>
      <c r="BZ19" s="110">
        <v>9.0748254953557232</v>
      </c>
      <c r="CA19" s="110">
        <v>3506.5125714054511</v>
      </c>
      <c r="CB19" s="110">
        <v>14.150877368221106</v>
      </c>
      <c r="CC19" s="110">
        <v>5467.8990150806349</v>
      </c>
      <c r="CD19" s="110">
        <v>13</v>
      </c>
      <c r="CE19" s="110">
        <v>5023.2</v>
      </c>
      <c r="CF19" s="110">
        <v>15.144957696672423</v>
      </c>
      <c r="CG19" s="110">
        <v>5852.0116539942237</v>
      </c>
      <c r="CH19" s="110">
        <v>11</v>
      </c>
      <c r="CI19" s="110">
        <v>4250.3999999999996</v>
      </c>
      <c r="CJ19" s="110">
        <v>16.344054341524789</v>
      </c>
      <c r="CK19" s="110">
        <v>6315.342597565178</v>
      </c>
      <c r="CL19" s="110">
        <v>9.1680879272738807</v>
      </c>
      <c r="CM19" s="110">
        <v>3542.5491750986271</v>
      </c>
      <c r="CN19" s="110">
        <v>20.17611346576809</v>
      </c>
      <c r="CO19" s="110">
        <v>7796.0502431727891</v>
      </c>
      <c r="CP19" s="110">
        <v>18.165546442525972</v>
      </c>
      <c r="CQ19" s="110">
        <v>7019.1671453920353</v>
      </c>
      <c r="CR19" s="110">
        <v>21</v>
      </c>
      <c r="CS19" s="110">
        <v>8114.4</v>
      </c>
      <c r="CT19" s="110">
        <v>13.235210109247259</v>
      </c>
      <c r="CU19" s="110">
        <v>5114.0851862131403</v>
      </c>
    </row>
    <row r="20" spans="2:99" x14ac:dyDescent="0.2">
      <c r="B20" s="109" t="s">
        <v>127</v>
      </c>
      <c r="C20" s="109" t="s">
        <v>188</v>
      </c>
      <c r="D20" s="110">
        <v>2.6984128030643908</v>
      </c>
      <c r="E20" s="110">
        <v>259.0476290941815</v>
      </c>
      <c r="F20" s="110">
        <v>2.1624018813613959</v>
      </c>
      <c r="G20" s="110">
        <v>207.59058061069402</v>
      </c>
      <c r="H20" s="110">
        <v>3.4611362780369452</v>
      </c>
      <c r="I20" s="110">
        <v>332.26908269154671</v>
      </c>
      <c r="J20" s="110">
        <v>3.3409799447523523</v>
      </c>
      <c r="K20" s="110">
        <v>320.73407469622583</v>
      </c>
      <c r="L20" s="110">
        <v>2</v>
      </c>
      <c r="M20" s="110">
        <v>192</v>
      </c>
      <c r="N20" s="110">
        <v>1.3951777941369889</v>
      </c>
      <c r="O20" s="110">
        <v>133.93706823715092</v>
      </c>
      <c r="P20" s="110">
        <v>1.2988780178644155</v>
      </c>
      <c r="Q20" s="110">
        <v>124.69228971498389</v>
      </c>
      <c r="R20" s="110">
        <v>2.2919439962528139</v>
      </c>
      <c r="S20" s="110">
        <v>220.02662364027015</v>
      </c>
      <c r="T20" s="110">
        <v>13.137401501572965</v>
      </c>
      <c r="U20" s="110">
        <v>1261.1905441510046</v>
      </c>
      <c r="V20" s="110">
        <v>11.21648696770982</v>
      </c>
      <c r="W20" s="110">
        <v>1076.7827489001427</v>
      </c>
      <c r="X20" s="110">
        <v>8.2633943441387583</v>
      </c>
      <c r="Y20" s="110">
        <v>793.28585703732074</v>
      </c>
      <c r="Z20" s="110">
        <v>7.3156018913748317</v>
      </c>
      <c r="AA20" s="110">
        <v>702.29778157198382</v>
      </c>
      <c r="AB20" s="110">
        <v>8.5750052581298952</v>
      </c>
      <c r="AC20" s="110">
        <v>823.20050478046994</v>
      </c>
      <c r="AD20" s="110">
        <v>11.571908687002265</v>
      </c>
      <c r="AE20" s="110">
        <v>1110.9032339522175</v>
      </c>
      <c r="AF20" s="110">
        <v>11.667485024331365</v>
      </c>
      <c r="AG20" s="110">
        <v>1120.0785623358111</v>
      </c>
      <c r="AH20" s="110">
        <v>10.336894855473627</v>
      </c>
      <c r="AI20" s="110">
        <v>992.3419061254682</v>
      </c>
      <c r="AJ20" s="110">
        <v>12.318526161216003</v>
      </c>
      <c r="AK20" s="110">
        <v>1182.5785114767364</v>
      </c>
      <c r="AL20" s="110">
        <v>12.899631087526382</v>
      </c>
      <c r="AM20" s="110">
        <v>1238.3645844025327</v>
      </c>
      <c r="AN20" s="110">
        <v>13.652722996684064</v>
      </c>
      <c r="AO20" s="110">
        <v>1310.6614076816702</v>
      </c>
      <c r="AP20" s="110">
        <v>9.4628661966742911</v>
      </c>
      <c r="AQ20" s="110">
        <v>908.43515488073194</v>
      </c>
      <c r="AR20" s="110">
        <v>6.3211719768634973</v>
      </c>
      <c r="AS20" s="110">
        <v>606.83250977889577</v>
      </c>
      <c r="AT20" s="110">
        <v>10</v>
      </c>
      <c r="AU20" s="110">
        <v>960</v>
      </c>
      <c r="AV20" s="110">
        <v>7.1530160690856501</v>
      </c>
      <c r="AW20" s="110">
        <v>686.68954263222236</v>
      </c>
      <c r="AX20" s="110">
        <v>7</v>
      </c>
      <c r="AY20" s="110">
        <v>672</v>
      </c>
      <c r="AZ20" s="110">
        <v>8.3199402135263085</v>
      </c>
      <c r="BA20" s="110">
        <v>798.71426049852562</v>
      </c>
      <c r="BB20" s="110">
        <v>9</v>
      </c>
      <c r="BC20" s="110">
        <v>864</v>
      </c>
      <c r="BD20" s="110">
        <v>9.2043162727999785</v>
      </c>
      <c r="BE20" s="110">
        <v>883.61436218879794</v>
      </c>
      <c r="BF20" s="110">
        <v>9.5399714111120311</v>
      </c>
      <c r="BG20" s="110">
        <v>915.83725546675498</v>
      </c>
      <c r="BH20" s="110">
        <v>2.9575159931817474</v>
      </c>
      <c r="BI20" s="110">
        <v>283.92153534544775</v>
      </c>
      <c r="BJ20" s="110">
        <v>2.4063308404887853</v>
      </c>
      <c r="BK20" s="110">
        <v>231.0077606869234</v>
      </c>
      <c r="BL20" s="110">
        <v>2.3862542460872862</v>
      </c>
      <c r="BM20" s="110">
        <v>229.08040762437946</v>
      </c>
      <c r="BN20" s="110">
        <v>2.0469164690927975</v>
      </c>
      <c r="BO20" s="110">
        <v>196.50398103290854</v>
      </c>
      <c r="BP20" s="110">
        <v>7.3918686639318523</v>
      </c>
      <c r="BQ20" s="110">
        <v>709.61939173745782</v>
      </c>
      <c r="BR20" s="110">
        <v>8.0506109492631666</v>
      </c>
      <c r="BS20" s="110">
        <v>772.85865112926399</v>
      </c>
      <c r="BT20" s="110">
        <v>11</v>
      </c>
      <c r="BU20" s="110">
        <v>1056</v>
      </c>
      <c r="BV20" s="110">
        <v>8.5489708983693102</v>
      </c>
      <c r="BW20" s="110">
        <v>820.70120624345373</v>
      </c>
      <c r="BX20" s="110">
        <v>1</v>
      </c>
      <c r="BY20" s="110">
        <v>96</v>
      </c>
      <c r="BZ20" s="110">
        <v>3</v>
      </c>
      <c r="CA20" s="110">
        <v>288</v>
      </c>
      <c r="CB20" s="110">
        <v>1</v>
      </c>
      <c r="CC20" s="110">
        <v>96</v>
      </c>
      <c r="CD20" s="110">
        <v>2</v>
      </c>
      <c r="CE20" s="110">
        <v>192</v>
      </c>
      <c r="CF20" s="110">
        <v>2.2174365450086344</v>
      </c>
      <c r="CG20" s="110">
        <v>212.87390832082889</v>
      </c>
      <c r="CH20" s="110">
        <v>2</v>
      </c>
      <c r="CI20" s="110">
        <v>192</v>
      </c>
      <c r="CJ20" s="110">
        <v>2.6140454814694127</v>
      </c>
      <c r="CK20" s="110">
        <v>250.94836622106362</v>
      </c>
      <c r="CL20" s="110">
        <v>2</v>
      </c>
      <c r="CM20" s="110">
        <v>192</v>
      </c>
      <c r="CN20" s="110">
        <v>17.377385998074477</v>
      </c>
      <c r="CO20" s="110">
        <v>1668.2290558151499</v>
      </c>
      <c r="CP20" s="110">
        <v>22.220728590034629</v>
      </c>
      <c r="CQ20" s="110">
        <v>2133.1899446433245</v>
      </c>
      <c r="CR20" s="110">
        <v>16</v>
      </c>
      <c r="CS20" s="110">
        <v>1536</v>
      </c>
      <c r="CT20" s="110">
        <v>12.264611372903166</v>
      </c>
      <c r="CU20" s="110">
        <v>1177.4026917987039</v>
      </c>
    </row>
    <row r="21" spans="2:99" x14ac:dyDescent="0.2">
      <c r="C21" s="109" t="s">
        <v>189</v>
      </c>
      <c r="D21" s="110">
        <v>2.0238096022982934</v>
      </c>
      <c r="E21" s="110">
        <v>490.57144759710627</v>
      </c>
      <c r="F21" s="110">
        <v>2.1759353714748459</v>
      </c>
      <c r="G21" s="110">
        <v>527.44673404550258</v>
      </c>
      <c r="H21" s="110">
        <v>3.3680497268758289</v>
      </c>
      <c r="I21" s="110">
        <v>816.4152537947009</v>
      </c>
      <c r="J21" s="110">
        <v>3.2727839558018816</v>
      </c>
      <c r="K21" s="110">
        <v>793.32283088637598</v>
      </c>
      <c r="L21" s="110">
        <v>2</v>
      </c>
      <c r="M21" s="110">
        <v>484.79999999999995</v>
      </c>
      <c r="N21" s="110">
        <v>1.3512691503439902</v>
      </c>
      <c r="O21" s="110">
        <v>327.54764204338318</v>
      </c>
      <c r="P21" s="110">
        <v>1.2988780178644155</v>
      </c>
      <c r="Q21" s="110">
        <v>314.84803153033431</v>
      </c>
      <c r="R21" s="110">
        <v>2.3184843595485245</v>
      </c>
      <c r="S21" s="110">
        <v>562.00060875456234</v>
      </c>
      <c r="T21" s="110">
        <v>14.137401501572965</v>
      </c>
      <c r="U21" s="110">
        <v>3426.9061239812863</v>
      </c>
      <c r="V21" s="110">
        <v>11.240541075233134</v>
      </c>
      <c r="W21" s="110">
        <v>2724.7071566365112</v>
      </c>
      <c r="X21" s="110">
        <v>7.2853438728169877</v>
      </c>
      <c r="Y21" s="110">
        <v>1765.9673547708376</v>
      </c>
      <c r="Z21" s="110">
        <v>7.2735216391915207</v>
      </c>
      <c r="AA21" s="110">
        <v>1763.1016453400246</v>
      </c>
      <c r="AB21" s="110">
        <v>8.6175982402135904</v>
      </c>
      <c r="AC21" s="110">
        <v>2088.9058134277743</v>
      </c>
      <c r="AD21" s="110">
        <v>13.59309049022457</v>
      </c>
      <c r="AE21" s="110">
        <v>3294.9651348304355</v>
      </c>
      <c r="AF21" s="110">
        <v>10.629343022941001</v>
      </c>
      <c r="AG21" s="110">
        <v>2576.5527487608983</v>
      </c>
      <c r="AH21" s="110">
        <v>10.294782998539423</v>
      </c>
      <c r="AI21" s="110">
        <v>2495.4553988459561</v>
      </c>
      <c r="AJ21" s="110">
        <v>11.287450438170538</v>
      </c>
      <c r="AK21" s="110">
        <v>2736.0779862125382</v>
      </c>
      <c r="AL21" s="110">
        <v>12.801845099751775</v>
      </c>
      <c r="AM21" s="110">
        <v>3103.16725217983</v>
      </c>
      <c r="AN21" s="110">
        <v>13.692281966180069</v>
      </c>
      <c r="AO21" s="110">
        <v>3319.0091486020483</v>
      </c>
      <c r="AP21" s="110">
        <v>10.448839948290223</v>
      </c>
      <c r="AQ21" s="110">
        <v>2532.7988034655496</v>
      </c>
      <c r="AR21" s="110">
        <v>6.3568577520705523</v>
      </c>
      <c r="AS21" s="110">
        <v>1540.9023191019016</v>
      </c>
      <c r="AT21" s="110">
        <v>10</v>
      </c>
      <c r="AU21" s="110">
        <v>2424</v>
      </c>
      <c r="AV21" s="110">
        <v>7.1530160690856501</v>
      </c>
      <c r="AW21" s="110">
        <v>1733.8910951463615</v>
      </c>
      <c r="AX21" s="110">
        <v>7</v>
      </c>
      <c r="AY21" s="110">
        <v>1696.7999999999997</v>
      </c>
      <c r="AZ21" s="110">
        <v>8.2879461921736777</v>
      </c>
      <c r="BA21" s="110">
        <v>2008.9981569828992</v>
      </c>
      <c r="BB21" s="110">
        <v>9</v>
      </c>
      <c r="BC21" s="110">
        <v>2181.6</v>
      </c>
      <c r="BD21" s="110">
        <v>9.1915465057499794</v>
      </c>
      <c r="BE21" s="110">
        <v>2228.0308729937947</v>
      </c>
      <c r="BF21" s="110">
        <v>7.4724749847230267</v>
      </c>
      <c r="BG21" s="110">
        <v>1811.3279362968615</v>
      </c>
      <c r="BH21" s="110">
        <v>1.8994847208677019</v>
      </c>
      <c r="BI21" s="110">
        <v>460.43509633833088</v>
      </c>
      <c r="BJ21" s="110">
        <v>2.3985167858640009</v>
      </c>
      <c r="BK21" s="110">
        <v>581.40046889343375</v>
      </c>
      <c r="BL21" s="110">
        <v>2.3862542460872862</v>
      </c>
      <c r="BM21" s="110">
        <v>578.42802925155809</v>
      </c>
      <c r="BN21" s="110">
        <v>2.0013983617409368</v>
      </c>
      <c r="BO21" s="110">
        <v>485.13896288600301</v>
      </c>
      <c r="BP21" s="110">
        <v>7.3722752307352595</v>
      </c>
      <c r="BQ21" s="110">
        <v>1787.0395159302268</v>
      </c>
      <c r="BR21" s="110">
        <v>9.1861736523938973</v>
      </c>
      <c r="BS21" s="110">
        <v>2226.7284933402807</v>
      </c>
      <c r="BT21" s="110">
        <v>11</v>
      </c>
      <c r="BU21" s="110">
        <v>2666.3999999999996</v>
      </c>
      <c r="BV21" s="110">
        <v>10.630299920349948</v>
      </c>
      <c r="BW21" s="110">
        <v>2576.7847006928273</v>
      </c>
      <c r="BX21" s="110">
        <v>1</v>
      </c>
      <c r="BY21" s="110">
        <v>242.39999999999998</v>
      </c>
      <c r="BZ21" s="110">
        <v>2</v>
      </c>
      <c r="CA21" s="110">
        <v>484.79999999999995</v>
      </c>
      <c r="CB21" s="110">
        <v>1</v>
      </c>
      <c r="CC21" s="110">
        <v>242.39999999999998</v>
      </c>
      <c r="CD21" s="110">
        <v>2</v>
      </c>
      <c r="CE21" s="110">
        <v>484.79999999999995</v>
      </c>
      <c r="CF21" s="110">
        <v>2.2174365450086344</v>
      </c>
      <c r="CG21" s="110">
        <v>537.50661851009295</v>
      </c>
      <c r="CH21" s="110">
        <v>2</v>
      </c>
      <c r="CI21" s="110">
        <v>484.79999999999995</v>
      </c>
      <c r="CJ21" s="110">
        <v>3.7607768888757231</v>
      </c>
      <c r="CK21" s="110">
        <v>911.61231786347525</v>
      </c>
      <c r="CL21" s="110">
        <v>2</v>
      </c>
      <c r="CM21" s="110">
        <v>484.79999999999995</v>
      </c>
      <c r="CN21" s="110">
        <v>16.35222693153618</v>
      </c>
      <c r="CO21" s="110">
        <v>3963.7798082043696</v>
      </c>
      <c r="CP21" s="110">
        <v>24.248319663788955</v>
      </c>
      <c r="CQ21" s="110">
        <v>5877.7926865024419</v>
      </c>
      <c r="CR21" s="110">
        <v>16</v>
      </c>
      <c r="CS21" s="110">
        <v>3878.3999999999996</v>
      </c>
      <c r="CT21" s="110">
        <v>12.264611372903166</v>
      </c>
      <c r="CU21" s="110">
        <v>2972.9417967917275</v>
      </c>
    </row>
    <row r="22" spans="2:99" x14ac:dyDescent="0.2">
      <c r="C22" s="109" t="s">
        <v>190</v>
      </c>
      <c r="D22" s="110">
        <v>2.6984128030643908</v>
      </c>
      <c r="E22" s="110">
        <v>168.38095891121799</v>
      </c>
      <c r="F22" s="110">
        <v>2.1624018813613959</v>
      </c>
      <c r="G22" s="110">
        <v>134.93387739695109</v>
      </c>
      <c r="H22" s="110">
        <v>4.4130684412030829</v>
      </c>
      <c r="I22" s="110">
        <v>275.37547073107237</v>
      </c>
      <c r="J22" s="110">
        <v>3.3068819502771172</v>
      </c>
      <c r="K22" s="110">
        <v>206.34943369729211</v>
      </c>
      <c r="L22" s="110">
        <v>2</v>
      </c>
      <c r="M22" s="110">
        <v>124.8</v>
      </c>
      <c r="N22" s="110">
        <v>1.3073605065509915</v>
      </c>
      <c r="O22" s="110">
        <v>81.579295608781862</v>
      </c>
      <c r="P22" s="110">
        <v>1.2717072889676504</v>
      </c>
      <c r="Q22" s="110">
        <v>79.35453483158139</v>
      </c>
      <c r="R22" s="110">
        <v>2.3184843595485245</v>
      </c>
      <c r="S22" s="110">
        <v>144.67342403582794</v>
      </c>
      <c r="T22" s="110">
        <v>13.151141651730262</v>
      </c>
      <c r="U22" s="110">
        <v>820.63123906796829</v>
      </c>
      <c r="V22" s="110">
        <v>11.240541075233134</v>
      </c>
      <c r="W22" s="110">
        <v>701.40976309454754</v>
      </c>
      <c r="X22" s="110">
        <v>7.2853438728169877</v>
      </c>
      <c r="Y22" s="110">
        <v>454.60545766378004</v>
      </c>
      <c r="Z22" s="110">
        <v>7.2735216391915207</v>
      </c>
      <c r="AA22" s="110">
        <v>453.86775028555087</v>
      </c>
      <c r="AB22" s="110">
        <v>8.5537087670880467</v>
      </c>
      <c r="AC22" s="110">
        <v>533.75142706629413</v>
      </c>
      <c r="AD22" s="110">
        <v>13.677817703113796</v>
      </c>
      <c r="AE22" s="110">
        <v>853.49582467430082</v>
      </c>
      <c r="AF22" s="110">
        <v>11.686556025026547</v>
      </c>
      <c r="AG22" s="110">
        <v>729.24109596165658</v>
      </c>
      <c r="AH22" s="110">
        <v>11.315838927006524</v>
      </c>
      <c r="AI22" s="110">
        <v>706.10834904520709</v>
      </c>
      <c r="AJ22" s="110">
        <v>12.30298829969327</v>
      </c>
      <c r="AK22" s="110">
        <v>767.70646990086004</v>
      </c>
      <c r="AL22" s="110">
        <v>14.899631087526382</v>
      </c>
      <c r="AM22" s="110">
        <v>929.7369798616462</v>
      </c>
      <c r="AN22" s="110">
        <v>14.692281966180069</v>
      </c>
      <c r="AO22" s="110">
        <v>916.79839468963632</v>
      </c>
      <c r="AP22" s="110">
        <v>10.434813699906153</v>
      </c>
      <c r="AQ22" s="110">
        <v>651.13237487414392</v>
      </c>
      <c r="AR22" s="110">
        <v>6.3568577520705523</v>
      </c>
      <c r="AS22" s="110">
        <v>396.66792372920247</v>
      </c>
      <c r="AT22" s="110">
        <v>11</v>
      </c>
      <c r="AU22" s="110">
        <v>686.4</v>
      </c>
      <c r="AV22" s="110">
        <v>7.1530160690856501</v>
      </c>
      <c r="AW22" s="110">
        <v>446.34820271094458</v>
      </c>
      <c r="AX22" s="110">
        <v>7</v>
      </c>
      <c r="AY22" s="110">
        <v>436.8</v>
      </c>
      <c r="AZ22" s="110">
        <v>7.3199402135263076</v>
      </c>
      <c r="BA22" s="110">
        <v>456.76426932404161</v>
      </c>
      <c r="BB22" s="110">
        <v>9</v>
      </c>
      <c r="BC22" s="110">
        <v>561.6</v>
      </c>
      <c r="BD22" s="110">
        <v>10.204316272799979</v>
      </c>
      <c r="BE22" s="110">
        <v>636.74933542271867</v>
      </c>
      <c r="BF22" s="110">
        <v>9.5399714111120311</v>
      </c>
      <c r="BG22" s="110">
        <v>595.29421605339076</v>
      </c>
      <c r="BH22" s="110">
        <v>2.9865316293387698</v>
      </c>
      <c r="BI22" s="110">
        <v>186.35957367073922</v>
      </c>
      <c r="BJ22" s="110">
        <v>2.3985167858640009</v>
      </c>
      <c r="BK22" s="110">
        <v>149.66744743791364</v>
      </c>
      <c r="BL22" s="110">
        <v>2.364795676860215</v>
      </c>
      <c r="BM22" s="110">
        <v>147.56325023607741</v>
      </c>
      <c r="BN22" s="110">
        <v>2.0469164690927975</v>
      </c>
      <c r="BO22" s="110">
        <v>127.72758767139055</v>
      </c>
      <c r="BP22" s="110">
        <v>8.3820719473335554</v>
      </c>
      <c r="BQ22" s="110">
        <v>523.04128951361383</v>
      </c>
      <c r="BR22" s="110">
        <v>8.0506109492631666</v>
      </c>
      <c r="BS22" s="110">
        <v>502.3581232340216</v>
      </c>
      <c r="BT22" s="110">
        <v>12</v>
      </c>
      <c r="BU22" s="110">
        <v>748.8</v>
      </c>
      <c r="BV22" s="110">
        <v>9.5693031538644693</v>
      </c>
      <c r="BW22" s="110">
        <v>597.12451680114282</v>
      </c>
      <c r="BX22" s="110">
        <v>1</v>
      </c>
      <c r="BY22" s="110">
        <v>62.4</v>
      </c>
      <c r="BZ22" s="110">
        <v>2</v>
      </c>
      <c r="CA22" s="110">
        <v>124.8</v>
      </c>
      <c r="CB22" s="110">
        <v>1</v>
      </c>
      <c r="CC22" s="110">
        <v>62.4</v>
      </c>
      <c r="CD22" s="110">
        <v>2</v>
      </c>
      <c r="CE22" s="110">
        <v>124.8</v>
      </c>
      <c r="CF22" s="110">
        <v>2.2029407753413923</v>
      </c>
      <c r="CG22" s="110">
        <v>137.46350438130287</v>
      </c>
      <c r="CH22" s="110">
        <v>3</v>
      </c>
      <c r="CI22" s="110">
        <v>187.2</v>
      </c>
      <c r="CJ22" s="110">
        <v>3.6140454814694127</v>
      </c>
      <c r="CK22" s="110">
        <v>225.51643804369135</v>
      </c>
      <c r="CL22" s="110">
        <v>2</v>
      </c>
      <c r="CM22" s="110">
        <v>124.8</v>
      </c>
      <c r="CN22" s="110">
        <v>18.35222693153618</v>
      </c>
      <c r="CO22" s="110">
        <v>1145.1789605278575</v>
      </c>
      <c r="CP22" s="110">
        <v>25.248319663788955</v>
      </c>
      <c r="CQ22" s="110">
        <v>1575.4951470204307</v>
      </c>
      <c r="CR22" s="110">
        <v>17</v>
      </c>
      <c r="CS22" s="110">
        <v>1060.8</v>
      </c>
      <c r="CT22" s="110">
        <v>14.294012636559074</v>
      </c>
      <c r="CU22" s="110">
        <v>891.94638852128617</v>
      </c>
    </row>
    <row r="23" spans="2:99" x14ac:dyDescent="0.2">
      <c r="C23" s="109" t="s">
        <v>191</v>
      </c>
      <c r="D23" s="110">
        <v>2.0238096022982934</v>
      </c>
      <c r="E23" s="110">
        <v>565.85716480260282</v>
      </c>
      <c r="F23" s="110">
        <v>2.1759353714748459</v>
      </c>
      <c r="G23" s="110">
        <v>608.39152986436682</v>
      </c>
      <c r="H23" s="110">
        <v>2.3603135700520861</v>
      </c>
      <c r="I23" s="110">
        <v>659.94367418656316</v>
      </c>
      <c r="J23" s="110">
        <v>4.3068819502771172</v>
      </c>
      <c r="K23" s="110">
        <v>1204.2041932974819</v>
      </c>
      <c r="L23" s="110">
        <v>2</v>
      </c>
      <c r="M23" s="110">
        <v>559.19999999999993</v>
      </c>
      <c r="N23" s="110">
        <v>1.3951777941369889</v>
      </c>
      <c r="O23" s="110">
        <v>390.09171124070207</v>
      </c>
      <c r="P23" s="110">
        <v>1.2717072889676504</v>
      </c>
      <c r="Q23" s="110">
        <v>355.56935799535501</v>
      </c>
      <c r="R23" s="110">
        <v>2.2919439962528139</v>
      </c>
      <c r="S23" s="110">
        <v>640.82754135228663</v>
      </c>
      <c r="T23" s="110">
        <v>13.123661351415668</v>
      </c>
      <c r="U23" s="110">
        <v>3669.3757138558203</v>
      </c>
      <c r="V23" s="110">
        <v>11.240541075233134</v>
      </c>
      <c r="W23" s="110">
        <v>3142.855284635184</v>
      </c>
      <c r="X23" s="110">
        <v>7.2633943441387583</v>
      </c>
      <c r="Y23" s="110">
        <v>2030.8450586211966</v>
      </c>
      <c r="Z23" s="110">
        <v>7.2735216391915207</v>
      </c>
      <c r="AA23" s="110">
        <v>2033.676650317949</v>
      </c>
      <c r="AB23" s="110">
        <v>8.5537087670880467</v>
      </c>
      <c r="AC23" s="110">
        <v>2391.6169712778174</v>
      </c>
      <c r="AD23" s="110">
        <v>11.656635899891489</v>
      </c>
      <c r="AE23" s="110">
        <v>3259.1953976096597</v>
      </c>
      <c r="AF23" s="110">
        <v>11.648414023636184</v>
      </c>
      <c r="AG23" s="110">
        <v>3256.8965610086766</v>
      </c>
      <c r="AH23" s="110">
        <v>12.294782998539423</v>
      </c>
      <c r="AI23" s="110">
        <v>3437.6213263916225</v>
      </c>
      <c r="AJ23" s="110">
        <v>11.279681507409173</v>
      </c>
      <c r="AK23" s="110">
        <v>3153.7989494716044</v>
      </c>
      <c r="AL23" s="110">
        <v>12.821402297306696</v>
      </c>
      <c r="AM23" s="110">
        <v>3584.8640823269516</v>
      </c>
      <c r="AN23" s="110">
        <v>12.593384542440058</v>
      </c>
      <c r="AO23" s="110">
        <v>3521.1103180662399</v>
      </c>
      <c r="AP23" s="110">
        <v>9.4768924450583611</v>
      </c>
      <c r="AQ23" s="110">
        <v>2649.7391276383173</v>
      </c>
      <c r="AR23" s="110">
        <v>6.3211719768634973</v>
      </c>
      <c r="AS23" s="110">
        <v>1767.3996847310336</v>
      </c>
      <c r="AT23" s="110">
        <v>10</v>
      </c>
      <c r="AU23" s="110">
        <v>2795.9999999999995</v>
      </c>
      <c r="AV23" s="110">
        <v>6.1338890604499436</v>
      </c>
      <c r="AW23" s="110">
        <v>1715.0353813018041</v>
      </c>
      <c r="AX23" s="110">
        <v>7</v>
      </c>
      <c r="AY23" s="110">
        <v>1957.1999999999998</v>
      </c>
      <c r="AZ23" s="110">
        <v>7.3199402135263076</v>
      </c>
      <c r="BA23" s="110">
        <v>2046.6552837019553</v>
      </c>
      <c r="BB23" s="110">
        <v>9</v>
      </c>
      <c r="BC23" s="110">
        <v>2516.3999999999996</v>
      </c>
      <c r="BD23" s="110">
        <v>9.1787767386999803</v>
      </c>
      <c r="BE23" s="110">
        <v>2566.3859761405142</v>
      </c>
      <c r="BF23" s="110">
        <v>7.4724749847230267</v>
      </c>
      <c r="BG23" s="110">
        <v>2089.304005728558</v>
      </c>
      <c r="BH23" s="110">
        <v>2.8704690847106793</v>
      </c>
      <c r="BI23" s="110">
        <v>802.58315608510588</v>
      </c>
      <c r="BJ23" s="110">
        <v>2.3828886766144324</v>
      </c>
      <c r="BK23" s="110">
        <v>666.25567398139526</v>
      </c>
      <c r="BL23" s="110">
        <v>2.364795676860215</v>
      </c>
      <c r="BM23" s="110">
        <v>661.19687125011603</v>
      </c>
      <c r="BN23" s="110">
        <v>2.0469164690927975</v>
      </c>
      <c r="BO23" s="110">
        <v>572.31784475834615</v>
      </c>
      <c r="BP23" s="110">
        <v>8.4114620971284442</v>
      </c>
      <c r="BQ23" s="110">
        <v>2351.8448023571127</v>
      </c>
      <c r="BR23" s="110">
        <v>9.0506109492631666</v>
      </c>
      <c r="BS23" s="110">
        <v>2530.5508214139809</v>
      </c>
      <c r="BT23" s="110">
        <v>11</v>
      </c>
      <c r="BU23" s="110">
        <v>3075.5999999999995</v>
      </c>
      <c r="BV23" s="110">
        <v>9.5489708983693102</v>
      </c>
      <c r="BW23" s="110">
        <v>2669.8922631840587</v>
      </c>
      <c r="BX23" s="110">
        <v>1</v>
      </c>
      <c r="BY23" s="110">
        <v>279.59999999999997</v>
      </c>
      <c r="BZ23" s="110">
        <v>2</v>
      </c>
      <c r="CA23" s="110">
        <v>559.19999999999993</v>
      </c>
      <c r="CB23" s="110">
        <v>2</v>
      </c>
      <c r="CC23" s="110">
        <v>559.19999999999993</v>
      </c>
      <c r="CD23" s="110">
        <v>2</v>
      </c>
      <c r="CE23" s="110">
        <v>559.19999999999993</v>
      </c>
      <c r="CF23" s="110">
        <v>2.2174365450086344</v>
      </c>
      <c r="CG23" s="110">
        <v>619.99525798441414</v>
      </c>
      <c r="CH23" s="110">
        <v>2</v>
      </c>
      <c r="CI23" s="110">
        <v>559.19999999999993</v>
      </c>
      <c r="CJ23" s="110">
        <v>3.6140454814694127</v>
      </c>
      <c r="CK23" s="110">
        <v>1010.4871166188477</v>
      </c>
      <c r="CL23" s="110">
        <v>2.369793440002538</v>
      </c>
      <c r="CM23" s="110">
        <v>662.59424582470956</v>
      </c>
      <c r="CN23" s="110">
        <v>16.327067864997879</v>
      </c>
      <c r="CO23" s="110">
        <v>4565.0481750534063</v>
      </c>
      <c r="CP23" s="110">
        <v>21.248319663788955</v>
      </c>
      <c r="CQ23" s="110">
        <v>5941.0301779953907</v>
      </c>
      <c r="CR23" s="110">
        <v>16</v>
      </c>
      <c r="CS23" s="110">
        <v>4473.5999999999995</v>
      </c>
      <c r="CT23" s="110">
        <v>13.294012636559074</v>
      </c>
      <c r="CU23" s="110">
        <v>3717.0059331819166</v>
      </c>
    </row>
    <row r="24" spans="2:99" x14ac:dyDescent="0.2">
      <c r="C24" s="109" t="s">
        <v>192</v>
      </c>
      <c r="D24" s="110">
        <v>2.6984128030643908</v>
      </c>
      <c r="E24" s="110">
        <v>822.47622237402629</v>
      </c>
      <c r="F24" s="110">
        <v>2.1624018813613959</v>
      </c>
      <c r="G24" s="110">
        <v>659.10009343895354</v>
      </c>
      <c r="H24" s="110">
        <v>2.3603135700520861</v>
      </c>
      <c r="I24" s="110">
        <v>719.42357615187586</v>
      </c>
      <c r="J24" s="110">
        <v>3.3409799447523523</v>
      </c>
      <c r="K24" s="110">
        <v>1018.330687160517</v>
      </c>
      <c r="L24" s="110">
        <v>2</v>
      </c>
      <c r="M24" s="110">
        <v>609.6</v>
      </c>
      <c r="N24" s="110">
        <v>1.3512691503439902</v>
      </c>
      <c r="O24" s="110">
        <v>411.86683702484822</v>
      </c>
      <c r="P24" s="110">
        <v>1.2988780178644155</v>
      </c>
      <c r="Q24" s="110">
        <v>395.89801984507386</v>
      </c>
      <c r="R24" s="110">
        <v>2.3184843595485245</v>
      </c>
      <c r="S24" s="110">
        <v>706.67403279039024</v>
      </c>
      <c r="T24" s="110">
        <v>13.123661351415668</v>
      </c>
      <c r="U24" s="110">
        <v>4000.0919799114959</v>
      </c>
      <c r="V24" s="110">
        <v>10.240541075233134</v>
      </c>
      <c r="W24" s="110">
        <v>3121.3169197310594</v>
      </c>
      <c r="X24" s="110">
        <v>7.2633943441387583</v>
      </c>
      <c r="Y24" s="110">
        <v>2213.8825960934937</v>
      </c>
      <c r="Z24" s="110">
        <v>8.2735216391915216</v>
      </c>
      <c r="AA24" s="110">
        <v>2521.7693956255757</v>
      </c>
      <c r="AB24" s="110">
        <v>8.6175982402135904</v>
      </c>
      <c r="AC24" s="110">
        <v>2626.6439436171027</v>
      </c>
      <c r="AD24" s="110">
        <v>12.571908687002265</v>
      </c>
      <c r="AE24" s="110">
        <v>3831.9177677982907</v>
      </c>
      <c r="AF24" s="110">
        <v>11.705627025721729</v>
      </c>
      <c r="AG24" s="110">
        <v>3567.8751174399831</v>
      </c>
      <c r="AH24" s="110">
        <v>11.336894855473627</v>
      </c>
      <c r="AI24" s="110">
        <v>3455.4855519483617</v>
      </c>
      <c r="AJ24" s="110">
        <v>10.310757230454636</v>
      </c>
      <c r="AK24" s="110">
        <v>3142.7188038425729</v>
      </c>
      <c r="AL24" s="110">
        <v>13.938745482636225</v>
      </c>
      <c r="AM24" s="110">
        <v>4248.5296231075217</v>
      </c>
      <c r="AN24" s="110">
        <v>12.632943511936062</v>
      </c>
      <c r="AO24" s="110">
        <v>3850.5211824381122</v>
      </c>
      <c r="AP24" s="110">
        <v>9.4488399482902228</v>
      </c>
      <c r="AQ24" s="110">
        <v>2880.0064162388599</v>
      </c>
      <c r="AR24" s="110">
        <v>7.3211719768634973</v>
      </c>
      <c r="AS24" s="110">
        <v>2231.4932185479943</v>
      </c>
      <c r="AT24" s="110">
        <v>9</v>
      </c>
      <c r="AU24" s="110">
        <v>2743.2000000000003</v>
      </c>
      <c r="AV24" s="110">
        <v>7.1338890604499436</v>
      </c>
      <c r="AW24" s="110">
        <v>2174.4093856251429</v>
      </c>
      <c r="AX24" s="110">
        <v>7</v>
      </c>
      <c r="AY24" s="110">
        <v>2133.6</v>
      </c>
      <c r="AZ24" s="110">
        <v>8.2559521708210468</v>
      </c>
      <c r="BA24" s="110">
        <v>2516.4142216662553</v>
      </c>
      <c r="BB24" s="110">
        <v>9</v>
      </c>
      <c r="BC24" s="110">
        <v>2743.2000000000003</v>
      </c>
      <c r="BD24" s="110">
        <v>9.1915465057499794</v>
      </c>
      <c r="BE24" s="110">
        <v>2801.5833749525937</v>
      </c>
      <c r="BF24" s="110">
        <v>8.4724749847230267</v>
      </c>
      <c r="BG24" s="110">
        <v>2582.4103753435788</v>
      </c>
      <c r="BH24" s="110">
        <v>3.0155472654957927</v>
      </c>
      <c r="BI24" s="110">
        <v>919.13880652311764</v>
      </c>
      <c r="BJ24" s="110">
        <v>2.3360043488657261</v>
      </c>
      <c r="BK24" s="110">
        <v>712.01412553427338</v>
      </c>
      <c r="BL24" s="110">
        <v>2.4077128153143579</v>
      </c>
      <c r="BM24" s="110">
        <v>733.87086610781625</v>
      </c>
      <c r="BN24" s="110">
        <v>1.9558802543890759</v>
      </c>
      <c r="BO24" s="110">
        <v>596.15230153779032</v>
      </c>
      <c r="BP24" s="110">
        <v>7.4114620971284442</v>
      </c>
      <c r="BQ24" s="110">
        <v>2259.0136472047498</v>
      </c>
      <c r="BR24" s="110">
        <v>9.1522829766112146</v>
      </c>
      <c r="BS24" s="110">
        <v>2789.6158512710981</v>
      </c>
      <c r="BT24" s="110">
        <v>11</v>
      </c>
      <c r="BU24" s="110">
        <v>3352.8</v>
      </c>
      <c r="BV24" s="110">
        <v>10.609967664854789</v>
      </c>
      <c r="BW24" s="110">
        <v>3233.9181442477397</v>
      </c>
      <c r="BX24" s="110">
        <v>1</v>
      </c>
      <c r="BY24" s="110">
        <v>304.8</v>
      </c>
      <c r="BZ24" s="110">
        <v>2</v>
      </c>
      <c r="CA24" s="110">
        <v>609.6</v>
      </c>
      <c r="CB24" s="110">
        <v>1</v>
      </c>
      <c r="CC24" s="110">
        <v>304.8</v>
      </c>
      <c r="CD24" s="110">
        <v>2</v>
      </c>
      <c r="CE24" s="110">
        <v>609.6</v>
      </c>
      <c r="CF24" s="110">
        <v>2.2319323146758769</v>
      </c>
      <c r="CG24" s="110">
        <v>680.29296951320737</v>
      </c>
      <c r="CH24" s="110">
        <v>2</v>
      </c>
      <c r="CI24" s="110">
        <v>609.6</v>
      </c>
      <c r="CJ24" s="110">
        <v>2.6140454814694127</v>
      </c>
      <c r="CK24" s="110">
        <v>796.76106275187703</v>
      </c>
      <c r="CL24" s="110">
        <v>2</v>
      </c>
      <c r="CM24" s="110">
        <v>609.6</v>
      </c>
      <c r="CN24" s="110">
        <v>19.377385998074477</v>
      </c>
      <c r="CO24" s="110">
        <v>5906.2272522131007</v>
      </c>
      <c r="CP24" s="110">
        <v>24.275910737543285</v>
      </c>
      <c r="CQ24" s="110">
        <v>7399.2975928031938</v>
      </c>
      <c r="CR24" s="110">
        <v>17</v>
      </c>
      <c r="CS24" s="110">
        <v>5181.6000000000004</v>
      </c>
      <c r="CT24" s="110">
        <v>13.294012636559074</v>
      </c>
      <c r="CU24" s="110">
        <v>4052.0150516232061</v>
      </c>
    </row>
    <row r="25" spans="2:99" x14ac:dyDescent="0.2">
      <c r="C25" s="109" t="s">
        <v>193</v>
      </c>
      <c r="D25" s="110">
        <v>2.0238096022982934</v>
      </c>
      <c r="E25" s="110">
        <v>658.14288266740505</v>
      </c>
      <c r="F25" s="110">
        <v>2.1759353714748459</v>
      </c>
      <c r="G25" s="110">
        <v>707.61418280361988</v>
      </c>
      <c r="H25" s="110">
        <v>2.39306934914773</v>
      </c>
      <c r="I25" s="110">
        <v>778.22615234284171</v>
      </c>
      <c r="J25" s="110">
        <v>3.2727839558018816</v>
      </c>
      <c r="K25" s="110">
        <v>1064.3093424267718</v>
      </c>
      <c r="L25" s="110">
        <v>2</v>
      </c>
      <c r="M25" s="110">
        <v>650.4</v>
      </c>
      <c r="N25" s="110">
        <v>1.3073605065509915</v>
      </c>
      <c r="O25" s="110">
        <v>425.1536367303824</v>
      </c>
      <c r="P25" s="110">
        <v>1.2988780178644155</v>
      </c>
      <c r="Q25" s="110">
        <v>422.39513140950788</v>
      </c>
      <c r="R25" s="110">
        <v>2.2919439962528139</v>
      </c>
      <c r="S25" s="110">
        <v>745.34018758141508</v>
      </c>
      <c r="T25" s="110">
        <v>13.137401501572965</v>
      </c>
      <c r="U25" s="110">
        <v>4272.2829683115278</v>
      </c>
      <c r="V25" s="110">
        <v>10.21648696770982</v>
      </c>
      <c r="W25" s="110">
        <v>3322.401561899233</v>
      </c>
      <c r="X25" s="110">
        <v>7.307293401495218</v>
      </c>
      <c r="Y25" s="110">
        <v>2376.3318141662448</v>
      </c>
      <c r="Z25" s="110">
        <v>7.2945617652831762</v>
      </c>
      <c r="AA25" s="110">
        <v>2372.191486070089</v>
      </c>
      <c r="AB25" s="110">
        <v>7.5963017491717428</v>
      </c>
      <c r="AC25" s="110">
        <v>2470.3173288306507</v>
      </c>
      <c r="AD25" s="110">
        <v>12.571908687002265</v>
      </c>
      <c r="AE25" s="110">
        <v>4088.3847050131367</v>
      </c>
      <c r="AF25" s="110">
        <v>10.648414023636184</v>
      </c>
      <c r="AG25" s="110">
        <v>3462.8642404864868</v>
      </c>
      <c r="AH25" s="110">
        <v>10.326366891240076</v>
      </c>
      <c r="AI25" s="110">
        <v>3358.1345130312725</v>
      </c>
      <c r="AJ25" s="110">
        <v>11.30298829969327</v>
      </c>
      <c r="AK25" s="110">
        <v>3675.7317950602514</v>
      </c>
      <c r="AL25" s="110">
        <v>13.958302680191146</v>
      </c>
      <c r="AM25" s="110">
        <v>4539.2400315981604</v>
      </c>
      <c r="AN25" s="110">
        <v>12.71206145092807</v>
      </c>
      <c r="AO25" s="110">
        <v>4133.9623838418083</v>
      </c>
      <c r="AP25" s="110">
        <v>9.4909186934424312</v>
      </c>
      <c r="AQ25" s="110">
        <v>3086.4467591074786</v>
      </c>
      <c r="AR25" s="110">
        <v>6.3568577520705523</v>
      </c>
      <c r="AS25" s="110">
        <v>2067.2501409733436</v>
      </c>
      <c r="AT25" s="110">
        <v>9</v>
      </c>
      <c r="AU25" s="110">
        <v>2926.7999999999997</v>
      </c>
      <c r="AV25" s="110">
        <v>6.1721430777213566</v>
      </c>
      <c r="AW25" s="110">
        <v>2007.1809288749851</v>
      </c>
      <c r="AX25" s="110">
        <v>7</v>
      </c>
      <c r="AY25" s="110">
        <v>2276.4</v>
      </c>
      <c r="AZ25" s="110">
        <v>8.2879461921736777</v>
      </c>
      <c r="BA25" s="110">
        <v>2695.2401016948797</v>
      </c>
      <c r="BB25" s="110">
        <v>9</v>
      </c>
      <c r="BC25" s="110">
        <v>2926.7999999999997</v>
      </c>
      <c r="BD25" s="110">
        <v>9.1915465057499794</v>
      </c>
      <c r="BE25" s="110">
        <v>2989.0909236698931</v>
      </c>
      <c r="BF25" s="110">
        <v>7.4387267715285246</v>
      </c>
      <c r="BG25" s="110">
        <v>2419.0739461010762</v>
      </c>
      <c r="BH25" s="110">
        <v>2.9865316293387698</v>
      </c>
      <c r="BI25" s="110">
        <v>971.22008586096786</v>
      </c>
      <c r="BJ25" s="110">
        <v>2.3907027312392164</v>
      </c>
      <c r="BK25" s="110">
        <v>777.45652819899317</v>
      </c>
      <c r="BL25" s="110">
        <v>2.364795676860215</v>
      </c>
      <c r="BM25" s="110">
        <v>769.03155411494186</v>
      </c>
      <c r="BN25" s="110">
        <v>1.9558802543890759</v>
      </c>
      <c r="BO25" s="110">
        <v>636.0522587273274</v>
      </c>
      <c r="BP25" s="110">
        <v>8.3526817975386667</v>
      </c>
      <c r="BQ25" s="110">
        <v>2716.2921205595744</v>
      </c>
      <c r="BR25" s="110">
        <v>8.1183923008285319</v>
      </c>
      <c r="BS25" s="110">
        <v>2640.1011762294384</v>
      </c>
      <c r="BT25" s="110">
        <v>12</v>
      </c>
      <c r="BU25" s="110">
        <v>3902.3999999999996</v>
      </c>
      <c r="BV25" s="110">
        <v>10.650632175845107</v>
      </c>
      <c r="BW25" s="110">
        <v>3463.5855835848288</v>
      </c>
      <c r="BX25" s="110">
        <v>1</v>
      </c>
      <c r="BY25" s="110">
        <v>325.2</v>
      </c>
      <c r="BZ25" s="110">
        <v>3</v>
      </c>
      <c r="CA25" s="110">
        <v>975.59999999999991</v>
      </c>
      <c r="CB25" s="110">
        <v>1</v>
      </c>
      <c r="CC25" s="110">
        <v>325.2</v>
      </c>
      <c r="CD25" s="110">
        <v>2</v>
      </c>
      <c r="CE25" s="110">
        <v>650.4</v>
      </c>
      <c r="CF25" s="110">
        <v>2.2319323146758769</v>
      </c>
      <c r="CG25" s="110">
        <v>725.82438873259514</v>
      </c>
      <c r="CH25" s="110">
        <v>2</v>
      </c>
      <c r="CI25" s="110">
        <v>650.4</v>
      </c>
      <c r="CJ25" s="110">
        <v>2.6140454814694127</v>
      </c>
      <c r="CK25" s="110">
        <v>850.08759057385294</v>
      </c>
      <c r="CL25" s="110">
        <v>2</v>
      </c>
      <c r="CM25" s="110">
        <v>650.4</v>
      </c>
      <c r="CN25" s="110">
        <v>17.327067864997879</v>
      </c>
      <c r="CO25" s="110">
        <v>5634.7624696973098</v>
      </c>
      <c r="CP25" s="110">
        <v>20.248319663788955</v>
      </c>
      <c r="CQ25" s="110">
        <v>6584.7535546641675</v>
      </c>
      <c r="CR25" s="110">
        <v>16</v>
      </c>
      <c r="CS25" s="110">
        <v>5203.2</v>
      </c>
      <c r="CT25" s="110">
        <v>13.264611372903166</v>
      </c>
      <c r="CU25" s="110">
        <v>4313.6516184681095</v>
      </c>
    </row>
    <row r="26" spans="2:99" x14ac:dyDescent="0.2">
      <c r="C26" s="109" t="s">
        <v>194</v>
      </c>
      <c r="D26" s="110">
        <v>2.0238096022982934</v>
      </c>
      <c r="E26" s="110">
        <v>580.42859393915057</v>
      </c>
      <c r="F26" s="110">
        <v>2.1759353714748459</v>
      </c>
      <c r="G26" s="110">
        <v>624.0582645389859</v>
      </c>
      <c r="H26" s="110">
        <v>2.39306934914773</v>
      </c>
      <c r="I26" s="110">
        <v>686.33228933556893</v>
      </c>
      <c r="J26" s="110">
        <v>4.2727839558018816</v>
      </c>
      <c r="K26" s="110">
        <v>1225.4344385239797</v>
      </c>
      <c r="L26" s="110">
        <v>2</v>
      </c>
      <c r="M26" s="110">
        <v>573.6</v>
      </c>
      <c r="N26" s="110">
        <v>1.3512691503439902</v>
      </c>
      <c r="O26" s="110">
        <v>387.54399231865642</v>
      </c>
      <c r="P26" s="110">
        <v>1.2988780178644155</v>
      </c>
      <c r="Q26" s="110">
        <v>372.51821552351436</v>
      </c>
      <c r="R26" s="110">
        <v>2.3184843595485245</v>
      </c>
      <c r="S26" s="110">
        <v>664.9413143185169</v>
      </c>
      <c r="T26" s="110">
        <v>13.137401501572965</v>
      </c>
      <c r="U26" s="110">
        <v>3767.8067506511265</v>
      </c>
      <c r="V26" s="110">
        <v>10.21648696770982</v>
      </c>
      <c r="W26" s="110">
        <v>2930.0884623391762</v>
      </c>
      <c r="X26" s="110">
        <v>8.2853438728169877</v>
      </c>
      <c r="Y26" s="110">
        <v>2376.2366227239122</v>
      </c>
      <c r="Z26" s="110">
        <v>8.2945617652831771</v>
      </c>
      <c r="AA26" s="110">
        <v>2378.8803142832153</v>
      </c>
      <c r="AB26" s="110">
        <v>8.5750052581298952</v>
      </c>
      <c r="AC26" s="110">
        <v>2459.3115080316538</v>
      </c>
      <c r="AD26" s="110">
        <v>12.571908687002265</v>
      </c>
      <c r="AE26" s="110">
        <v>3605.6234114322497</v>
      </c>
      <c r="AF26" s="110">
        <v>10.705627025721729</v>
      </c>
      <c r="AG26" s="110">
        <v>3070.3738309769919</v>
      </c>
      <c r="AH26" s="110">
        <v>12.326366891240076</v>
      </c>
      <c r="AI26" s="110">
        <v>3535.2020244076539</v>
      </c>
      <c r="AJ26" s="110">
        <v>11.279681507409173</v>
      </c>
      <c r="AK26" s="110">
        <v>3235.012656324951</v>
      </c>
      <c r="AL26" s="110">
        <v>13.821402297306696</v>
      </c>
      <c r="AM26" s="110">
        <v>3963.9781788675605</v>
      </c>
      <c r="AN26" s="110">
        <v>12.71206145092807</v>
      </c>
      <c r="AO26" s="110">
        <v>3645.8192241261709</v>
      </c>
      <c r="AP26" s="110">
        <v>9.4628661966742911</v>
      </c>
      <c r="AQ26" s="110">
        <v>2713.9500252061866</v>
      </c>
      <c r="AR26" s="110">
        <v>6.3568577520705523</v>
      </c>
      <c r="AS26" s="110">
        <v>1823.1468032938344</v>
      </c>
      <c r="AT26" s="110">
        <v>9</v>
      </c>
      <c r="AU26" s="110">
        <v>2581.2000000000003</v>
      </c>
      <c r="AV26" s="110">
        <v>6.1721430777213566</v>
      </c>
      <c r="AW26" s="110">
        <v>1770.1706346904853</v>
      </c>
      <c r="AX26" s="110">
        <v>7</v>
      </c>
      <c r="AY26" s="110">
        <v>2007.6000000000001</v>
      </c>
      <c r="AZ26" s="110">
        <v>8.2879461921736777</v>
      </c>
      <c r="BA26" s="110">
        <v>2376.9829679154109</v>
      </c>
      <c r="BB26" s="110">
        <v>9</v>
      </c>
      <c r="BC26" s="110">
        <v>2581.2000000000003</v>
      </c>
      <c r="BD26" s="110">
        <v>10.191546505749979</v>
      </c>
      <c r="BE26" s="110">
        <v>2922.9355378490941</v>
      </c>
      <c r="BF26" s="110">
        <v>8.506223197917528</v>
      </c>
      <c r="BG26" s="110">
        <v>2439.5848131627472</v>
      </c>
      <c r="BH26" s="110">
        <v>1.9575159931817474</v>
      </c>
      <c r="BI26" s="110">
        <v>561.41558684452514</v>
      </c>
      <c r="BJ26" s="110">
        <v>2.3360043488657261</v>
      </c>
      <c r="BK26" s="110">
        <v>669.96604725469024</v>
      </c>
      <c r="BL26" s="110">
        <v>2.3862542460872862</v>
      </c>
      <c r="BM26" s="110">
        <v>684.37771777783371</v>
      </c>
      <c r="BN26" s="110">
        <v>1.9786393080650062</v>
      </c>
      <c r="BO26" s="110">
        <v>567.47375355304382</v>
      </c>
      <c r="BP26" s="110">
        <v>8.3820719473335554</v>
      </c>
      <c r="BQ26" s="110">
        <v>2403.9782344952637</v>
      </c>
      <c r="BR26" s="110">
        <v>9.0845016250458492</v>
      </c>
      <c r="BS26" s="110">
        <v>2605.4350660631499</v>
      </c>
      <c r="BT26" s="110">
        <v>10</v>
      </c>
      <c r="BU26" s="110">
        <v>2868</v>
      </c>
      <c r="BV26" s="110">
        <v>9.5896354093596283</v>
      </c>
      <c r="BW26" s="110">
        <v>2750.3074354043415</v>
      </c>
      <c r="BX26" s="110">
        <v>1</v>
      </c>
      <c r="BY26" s="110">
        <v>286.8</v>
      </c>
      <c r="BZ26" s="110">
        <v>2</v>
      </c>
      <c r="CA26" s="110">
        <v>573.6</v>
      </c>
      <c r="CB26" s="110">
        <v>1</v>
      </c>
      <c r="CC26" s="110">
        <v>286.8</v>
      </c>
      <c r="CD26" s="110">
        <v>2</v>
      </c>
      <c r="CE26" s="110">
        <v>573.6</v>
      </c>
      <c r="CF26" s="110">
        <v>2.2174365450086344</v>
      </c>
      <c r="CG26" s="110">
        <v>635.9608011084764</v>
      </c>
      <c r="CH26" s="110">
        <v>2</v>
      </c>
      <c r="CI26" s="110">
        <v>573.6</v>
      </c>
      <c r="CJ26" s="110">
        <v>3.4673140740631023</v>
      </c>
      <c r="CK26" s="110">
        <v>994.42567644129781</v>
      </c>
      <c r="CL26" s="110">
        <v>2</v>
      </c>
      <c r="CM26" s="110">
        <v>573.6</v>
      </c>
      <c r="CN26" s="110">
        <v>16.327067864997879</v>
      </c>
      <c r="CO26" s="110">
        <v>4682.6030636813921</v>
      </c>
      <c r="CP26" s="110">
        <v>21.248319663788955</v>
      </c>
      <c r="CQ26" s="110">
        <v>6094.0180795746728</v>
      </c>
      <c r="CR26" s="110">
        <v>15</v>
      </c>
      <c r="CS26" s="110">
        <v>4302</v>
      </c>
      <c r="CT26" s="110">
        <v>12.264611372903166</v>
      </c>
      <c r="CU26" s="110">
        <v>3517.4905417486284</v>
      </c>
    </row>
    <row r="27" spans="2:99" x14ac:dyDescent="0.2">
      <c r="C27" s="109" t="s">
        <v>195</v>
      </c>
      <c r="D27" s="110">
        <v>2.0238096022982934</v>
      </c>
      <c r="E27" s="110">
        <v>638.71431048534134</v>
      </c>
      <c r="F27" s="110">
        <v>2.1759353714748459</v>
      </c>
      <c r="G27" s="110">
        <v>686.7252032374613</v>
      </c>
      <c r="H27" s="110">
        <v>2.3603135700520861</v>
      </c>
      <c r="I27" s="110">
        <v>744.91496270843834</v>
      </c>
      <c r="J27" s="110">
        <v>3.3068819502771172</v>
      </c>
      <c r="K27" s="110">
        <v>1043.6519435074581</v>
      </c>
      <c r="L27" s="110">
        <v>2</v>
      </c>
      <c r="M27" s="110">
        <v>631.19999999999993</v>
      </c>
      <c r="N27" s="110">
        <v>1.3073605065509915</v>
      </c>
      <c r="O27" s="110">
        <v>412.60297586749283</v>
      </c>
      <c r="P27" s="110">
        <v>1.2717072889676504</v>
      </c>
      <c r="Q27" s="110">
        <v>401.35082039819042</v>
      </c>
      <c r="R27" s="110">
        <v>2.2919439962528139</v>
      </c>
      <c r="S27" s="110">
        <v>723.33752521738802</v>
      </c>
      <c r="T27" s="110">
        <v>14.123661351415668</v>
      </c>
      <c r="U27" s="110">
        <v>4457.427522506784</v>
      </c>
      <c r="V27" s="110">
        <v>10.240541075233134</v>
      </c>
      <c r="W27" s="110">
        <v>3231.9147633435769</v>
      </c>
      <c r="X27" s="110">
        <v>7.2853438728169877</v>
      </c>
      <c r="Y27" s="110">
        <v>2299.2545262610411</v>
      </c>
      <c r="Z27" s="110">
        <v>8.2945617652831771</v>
      </c>
      <c r="AA27" s="110">
        <v>2617.7636931233706</v>
      </c>
      <c r="AB27" s="110">
        <v>7.5537087670880467</v>
      </c>
      <c r="AC27" s="110">
        <v>2383.9504868929871</v>
      </c>
      <c r="AD27" s="110">
        <v>12.656635899891489</v>
      </c>
      <c r="AE27" s="110">
        <v>3994.4342900057536</v>
      </c>
      <c r="AF27" s="110">
        <v>11.648414023636184</v>
      </c>
      <c r="AG27" s="110">
        <v>3676.239465859579</v>
      </c>
      <c r="AH27" s="110">
        <v>11.305310962772975</v>
      </c>
      <c r="AI27" s="110">
        <v>3567.9561398511505</v>
      </c>
      <c r="AJ27" s="110">
        <v>11.279681507409173</v>
      </c>
      <c r="AK27" s="110">
        <v>3559.8674837383346</v>
      </c>
      <c r="AL27" s="110">
        <v>13.782287902196854</v>
      </c>
      <c r="AM27" s="110">
        <v>4349.6900619333264</v>
      </c>
      <c r="AN27" s="110">
        <v>12.692281966180069</v>
      </c>
      <c r="AO27" s="110">
        <v>4005.6841885264294</v>
      </c>
      <c r="AP27" s="110">
        <v>8.4207874515220826</v>
      </c>
      <c r="AQ27" s="110">
        <v>2657.6005197003692</v>
      </c>
      <c r="AR27" s="110">
        <v>7.3568577520705523</v>
      </c>
      <c r="AS27" s="110">
        <v>2321.8243065534662</v>
      </c>
      <c r="AT27" s="110">
        <v>10</v>
      </c>
      <c r="AU27" s="110">
        <v>3155.9999999999995</v>
      </c>
      <c r="AV27" s="110">
        <v>6.1338890604499436</v>
      </c>
      <c r="AW27" s="110">
        <v>1935.8553874780021</v>
      </c>
      <c r="AX27" s="110">
        <v>7</v>
      </c>
      <c r="AY27" s="110">
        <v>2209.1999999999998</v>
      </c>
      <c r="AZ27" s="110">
        <v>8.2879461921736777</v>
      </c>
      <c r="BA27" s="110">
        <v>2615.6758182500125</v>
      </c>
      <c r="BB27" s="110">
        <v>9</v>
      </c>
      <c r="BC27" s="110">
        <v>2840.3999999999996</v>
      </c>
      <c r="BD27" s="110">
        <v>9.1787767386999803</v>
      </c>
      <c r="BE27" s="110">
        <v>2896.8219387337135</v>
      </c>
      <c r="BF27" s="110">
        <v>8.4724749847230267</v>
      </c>
      <c r="BG27" s="110">
        <v>2673.9131051785871</v>
      </c>
      <c r="BH27" s="110">
        <v>2.8704690847106793</v>
      </c>
      <c r="BI27" s="110">
        <v>905.92004313469033</v>
      </c>
      <c r="BJ27" s="110">
        <v>2.3828886766144324</v>
      </c>
      <c r="BK27" s="110">
        <v>752.03966633951472</v>
      </c>
      <c r="BL27" s="110">
        <v>2.3862542460872862</v>
      </c>
      <c r="BM27" s="110">
        <v>753.10184006514748</v>
      </c>
      <c r="BN27" s="110">
        <v>1.9558802543890759</v>
      </c>
      <c r="BO27" s="110">
        <v>617.27580828519228</v>
      </c>
      <c r="BP27" s="110">
        <v>7.3918686639318523</v>
      </c>
      <c r="BQ27" s="110">
        <v>2332.8737503368925</v>
      </c>
      <c r="BR27" s="110">
        <v>8.9828295976978012</v>
      </c>
      <c r="BS27" s="110">
        <v>2834.9810210334258</v>
      </c>
      <c r="BT27" s="110">
        <v>10</v>
      </c>
      <c r="BU27" s="110">
        <v>3155.9999999999995</v>
      </c>
      <c r="BV27" s="110">
        <v>10.630299920349948</v>
      </c>
      <c r="BW27" s="110">
        <v>3354.9226548624433</v>
      </c>
      <c r="BX27" s="110">
        <v>1</v>
      </c>
      <c r="BY27" s="110">
        <v>315.59999999999997</v>
      </c>
      <c r="BZ27" s="110">
        <v>2</v>
      </c>
      <c r="CA27" s="110">
        <v>631.19999999999993</v>
      </c>
      <c r="CB27" s="110">
        <v>1</v>
      </c>
      <c r="CC27" s="110">
        <v>315.59999999999997</v>
      </c>
      <c r="CD27" s="110">
        <v>2</v>
      </c>
      <c r="CE27" s="110">
        <v>631.19999999999993</v>
      </c>
      <c r="CF27" s="110">
        <v>2.2174365450086344</v>
      </c>
      <c r="CG27" s="110">
        <v>699.82297360472489</v>
      </c>
      <c r="CH27" s="110">
        <v>2</v>
      </c>
      <c r="CI27" s="110">
        <v>631.19999999999993</v>
      </c>
      <c r="CJ27" s="110">
        <v>3.7607768888757231</v>
      </c>
      <c r="CK27" s="110">
        <v>1186.9011861291781</v>
      </c>
      <c r="CL27" s="110">
        <v>2</v>
      </c>
      <c r="CM27" s="110">
        <v>631.19999999999993</v>
      </c>
      <c r="CN27" s="110">
        <v>17.35222693153618</v>
      </c>
      <c r="CO27" s="110">
        <v>5476.3628195928177</v>
      </c>
      <c r="CP27" s="110">
        <v>22.275910737543285</v>
      </c>
      <c r="CQ27" s="110">
        <v>7030.2774287686598</v>
      </c>
      <c r="CR27" s="110">
        <v>17</v>
      </c>
      <c r="CS27" s="110">
        <v>5365.2</v>
      </c>
      <c r="CT27" s="110">
        <v>12.294012636559074</v>
      </c>
      <c r="CU27" s="110">
        <v>3879.9903880980432</v>
      </c>
    </row>
    <row r="28" spans="2:99" x14ac:dyDescent="0.2">
      <c r="C28" s="109" t="s">
        <v>196</v>
      </c>
      <c r="D28" s="110">
        <v>2.9296271235002256</v>
      </c>
      <c r="E28" s="110">
        <v>1729.6518537145332</v>
      </c>
      <c r="F28" s="110">
        <v>2.6927522238689665</v>
      </c>
      <c r="G28" s="110">
        <v>1589.8009129722377</v>
      </c>
      <c r="H28" s="110">
        <v>2</v>
      </c>
      <c r="I28" s="110">
        <v>1180.8</v>
      </c>
      <c r="J28" s="110">
        <v>4.3571854366520446</v>
      </c>
      <c r="K28" s="110">
        <v>2572.4822817993672</v>
      </c>
      <c r="L28" s="110">
        <v>5.3914042458399125</v>
      </c>
      <c r="M28" s="110">
        <v>3183.085066743884</v>
      </c>
      <c r="N28" s="110">
        <v>1.0959354384081734</v>
      </c>
      <c r="O28" s="110">
        <v>647.04028283618561</v>
      </c>
      <c r="P28" s="110">
        <v>4.6877754849444901</v>
      </c>
      <c r="Q28" s="110">
        <v>2767.662646311227</v>
      </c>
      <c r="R28" s="110">
        <v>5.8170429218424058</v>
      </c>
      <c r="S28" s="110">
        <v>3434.3821410557562</v>
      </c>
      <c r="T28" s="110">
        <v>12</v>
      </c>
      <c r="U28" s="110">
        <v>7084.7999999999993</v>
      </c>
      <c r="V28" s="110">
        <v>9</v>
      </c>
      <c r="W28" s="110">
        <v>5313.5999999999995</v>
      </c>
      <c r="X28" s="110">
        <v>7</v>
      </c>
      <c r="Y28" s="110">
        <v>4132.8</v>
      </c>
      <c r="Z28" s="110">
        <v>8</v>
      </c>
      <c r="AA28" s="110">
        <v>4723.2</v>
      </c>
      <c r="AB28" s="110">
        <v>7</v>
      </c>
      <c r="AC28" s="110">
        <v>4132.8</v>
      </c>
      <c r="AD28" s="110">
        <v>13.005724923458194</v>
      </c>
      <c r="AE28" s="110">
        <v>7678.5799948097174</v>
      </c>
      <c r="AF28" s="110">
        <v>11</v>
      </c>
      <c r="AG28" s="110">
        <v>6494.4</v>
      </c>
      <c r="AH28" s="110">
        <v>13.290173417713124</v>
      </c>
      <c r="AI28" s="110">
        <v>7846.5183858178279</v>
      </c>
      <c r="AJ28" s="110">
        <v>11.720387764812207</v>
      </c>
      <c r="AK28" s="110">
        <v>6919.7169363451267</v>
      </c>
      <c r="AL28" s="110">
        <v>11</v>
      </c>
      <c r="AM28" s="110">
        <v>6494.4</v>
      </c>
      <c r="AN28" s="110">
        <v>11</v>
      </c>
      <c r="AO28" s="110">
        <v>6494.4</v>
      </c>
      <c r="AP28" s="110">
        <v>8</v>
      </c>
      <c r="AQ28" s="110">
        <v>4723.2</v>
      </c>
      <c r="AR28" s="110">
        <v>6</v>
      </c>
      <c r="AS28" s="110">
        <v>3542.3999999999996</v>
      </c>
      <c r="AT28" s="110">
        <v>10.652724424633583</v>
      </c>
      <c r="AU28" s="110">
        <v>6289.3685003036671</v>
      </c>
      <c r="AV28" s="110">
        <v>6.3348079177170931</v>
      </c>
      <c r="AW28" s="110">
        <v>3740.0705946201715</v>
      </c>
      <c r="AX28" s="110">
        <v>6.2731394494589621</v>
      </c>
      <c r="AY28" s="110">
        <v>3703.6615309605709</v>
      </c>
      <c r="AZ28" s="110">
        <v>8</v>
      </c>
      <c r="BA28" s="110">
        <v>4723.2</v>
      </c>
      <c r="BB28" s="110">
        <v>9.2997534854887896</v>
      </c>
      <c r="BC28" s="110">
        <v>5490.5744578325812</v>
      </c>
      <c r="BD28" s="110">
        <v>9</v>
      </c>
      <c r="BE28" s="110">
        <v>5313.5999999999995</v>
      </c>
      <c r="BF28" s="110">
        <v>8.3920265358953969</v>
      </c>
      <c r="BG28" s="110">
        <v>4954.6524667926424</v>
      </c>
      <c r="BH28" s="110">
        <v>4.1196606414100678</v>
      </c>
      <c r="BI28" s="110">
        <v>2432.2476426885041</v>
      </c>
      <c r="BJ28" s="110">
        <v>9.0348192153677154</v>
      </c>
      <c r="BK28" s="110">
        <v>5334.1572647530993</v>
      </c>
      <c r="BL28" s="110">
        <v>5.4709545672497146</v>
      </c>
      <c r="BM28" s="110">
        <v>3230.0515765042314</v>
      </c>
      <c r="BN28" s="110">
        <v>8.3126758513473256</v>
      </c>
      <c r="BO28" s="110">
        <v>4907.8038226354611</v>
      </c>
      <c r="BP28" s="110">
        <v>11.726516045060608</v>
      </c>
      <c r="BQ28" s="110">
        <v>6923.3350730037828</v>
      </c>
      <c r="BR28" s="110">
        <v>7</v>
      </c>
      <c r="BS28" s="110">
        <v>4132.8</v>
      </c>
      <c r="BT28" s="110">
        <v>11</v>
      </c>
      <c r="BU28" s="110">
        <v>6494.4</v>
      </c>
      <c r="BV28" s="110">
        <v>9.3158223170408974</v>
      </c>
      <c r="BW28" s="110">
        <v>5500.0614959809454</v>
      </c>
      <c r="BX28" s="110">
        <v>1</v>
      </c>
      <c r="BY28" s="110">
        <v>590.4</v>
      </c>
      <c r="BZ28" s="110">
        <v>2</v>
      </c>
      <c r="CA28" s="110">
        <v>1180.8</v>
      </c>
      <c r="CB28" s="110">
        <v>1</v>
      </c>
      <c r="CC28" s="110">
        <v>590.4</v>
      </c>
      <c r="CD28" s="110">
        <v>2</v>
      </c>
      <c r="CE28" s="110">
        <v>1180.8</v>
      </c>
      <c r="CF28" s="110">
        <v>2</v>
      </c>
      <c r="CG28" s="110">
        <v>1180.8</v>
      </c>
      <c r="CH28" s="110">
        <v>2.1187395944467728</v>
      </c>
      <c r="CI28" s="110">
        <v>1250.9038565613746</v>
      </c>
      <c r="CJ28" s="110">
        <v>2</v>
      </c>
      <c r="CK28" s="110">
        <v>1180.8</v>
      </c>
      <c r="CL28" s="110">
        <v>2</v>
      </c>
      <c r="CM28" s="110">
        <v>1180.8</v>
      </c>
      <c r="CN28" s="110">
        <v>15</v>
      </c>
      <c r="CO28" s="110">
        <v>8856</v>
      </c>
      <c r="CP28" s="110">
        <v>21.072957694440678</v>
      </c>
      <c r="CQ28" s="110">
        <v>12441.474222797775</v>
      </c>
      <c r="CR28" s="110">
        <v>15.348657999712199</v>
      </c>
      <c r="CS28" s="110">
        <v>9061.8476830300824</v>
      </c>
      <c r="CT28" s="110">
        <v>11.2888883823007</v>
      </c>
      <c r="CU28" s="110">
        <v>6664.9597009103327</v>
      </c>
    </row>
    <row r="29" spans="2:99" x14ac:dyDescent="0.2">
      <c r="C29" s="109" t="s">
        <v>197</v>
      </c>
      <c r="D29" s="110">
        <v>2.0238096022982934</v>
      </c>
      <c r="E29" s="110">
        <v>476.00001846055858</v>
      </c>
      <c r="F29" s="110">
        <v>2.1894688615882956</v>
      </c>
      <c r="G29" s="110">
        <v>514.96307624556709</v>
      </c>
      <c r="H29" s="110">
        <v>2.39306934914773</v>
      </c>
      <c r="I29" s="110">
        <v>562.84991091954601</v>
      </c>
      <c r="J29" s="110">
        <v>3.3409799447523523</v>
      </c>
      <c r="K29" s="110">
        <v>785.79848300575327</v>
      </c>
      <c r="L29" s="110">
        <v>2</v>
      </c>
      <c r="M29" s="110">
        <v>470.4</v>
      </c>
      <c r="N29" s="110">
        <v>1.3951777941369889</v>
      </c>
      <c r="O29" s="110">
        <v>328.14581718101977</v>
      </c>
      <c r="P29" s="110">
        <v>1.2988780178644155</v>
      </c>
      <c r="Q29" s="110">
        <v>305.49610980171053</v>
      </c>
      <c r="R29" s="110">
        <v>2.2919439962528139</v>
      </c>
      <c r="S29" s="110">
        <v>539.06522791866178</v>
      </c>
      <c r="T29" s="110">
        <v>14.137401501572965</v>
      </c>
      <c r="U29" s="110">
        <v>3325.1168331699614</v>
      </c>
      <c r="V29" s="110">
        <v>11.21648696770982</v>
      </c>
      <c r="W29" s="110">
        <v>2638.1177348053493</v>
      </c>
      <c r="X29" s="110">
        <v>8.2853438728169877</v>
      </c>
      <c r="Y29" s="110">
        <v>1948.7128788865555</v>
      </c>
      <c r="Z29" s="110">
        <v>8.2945617652831771</v>
      </c>
      <c r="AA29" s="110">
        <v>1950.8809271946031</v>
      </c>
      <c r="AB29" s="110">
        <v>8.6175982402135904</v>
      </c>
      <c r="AC29" s="110">
        <v>2026.8591060982365</v>
      </c>
      <c r="AD29" s="110">
        <v>12.635454096669182</v>
      </c>
      <c r="AE29" s="110">
        <v>2971.8588035365915</v>
      </c>
      <c r="AF29" s="110">
        <v>10.667485024331365</v>
      </c>
      <c r="AG29" s="110">
        <v>2508.992477722737</v>
      </c>
      <c r="AH29" s="110">
        <v>10.284255034305872</v>
      </c>
      <c r="AI29" s="110">
        <v>2418.856784068741</v>
      </c>
      <c r="AJ29" s="110">
        <v>12.30298829969327</v>
      </c>
      <c r="AK29" s="110">
        <v>2893.6628480878571</v>
      </c>
      <c r="AL29" s="110">
        <v>13.821402297306696</v>
      </c>
      <c r="AM29" s="110">
        <v>3250.7938203265348</v>
      </c>
      <c r="AN29" s="110">
        <v>12.613164027188061</v>
      </c>
      <c r="AO29" s="110">
        <v>2966.616179194632</v>
      </c>
      <c r="AP29" s="110">
        <v>9.4768924450583611</v>
      </c>
      <c r="AQ29" s="110">
        <v>2228.9651030777263</v>
      </c>
      <c r="AR29" s="110">
        <v>7.3211719768634973</v>
      </c>
      <c r="AS29" s="110">
        <v>1721.9396489582946</v>
      </c>
      <c r="AT29" s="110">
        <v>9</v>
      </c>
      <c r="AU29" s="110">
        <v>2116.7999999999997</v>
      </c>
      <c r="AV29" s="110">
        <v>6.1338890604499436</v>
      </c>
      <c r="AW29" s="110">
        <v>1442.6907070178268</v>
      </c>
      <c r="AX29" s="110">
        <v>7</v>
      </c>
      <c r="AY29" s="110">
        <v>1646.3999999999999</v>
      </c>
      <c r="AZ29" s="110">
        <v>7.2879461921736768</v>
      </c>
      <c r="BA29" s="110">
        <v>1714.1249443992488</v>
      </c>
      <c r="BB29" s="110">
        <v>8</v>
      </c>
      <c r="BC29" s="110">
        <v>1881.6</v>
      </c>
      <c r="BD29" s="110">
        <v>8.1787767386999803</v>
      </c>
      <c r="BE29" s="110">
        <v>1923.6482889422352</v>
      </c>
      <c r="BF29" s="110">
        <v>7.4724749847230267</v>
      </c>
      <c r="BG29" s="110">
        <v>1757.5261164068559</v>
      </c>
      <c r="BH29" s="110">
        <v>1.9575159931817474</v>
      </c>
      <c r="BI29" s="110">
        <v>460.40776159634697</v>
      </c>
      <c r="BJ29" s="110">
        <v>2.3360043488657261</v>
      </c>
      <c r="BK29" s="110">
        <v>549.4282228532187</v>
      </c>
      <c r="BL29" s="110">
        <v>2.3862542460872862</v>
      </c>
      <c r="BM29" s="110">
        <v>561.2469986797297</v>
      </c>
      <c r="BN29" s="110">
        <v>1.9331212007131455</v>
      </c>
      <c r="BO29" s="110">
        <v>454.67010640773179</v>
      </c>
      <c r="BP29" s="110">
        <v>7.3918686639318523</v>
      </c>
      <c r="BQ29" s="110">
        <v>1738.5675097567716</v>
      </c>
      <c r="BR29" s="110">
        <v>8.0167202734804839</v>
      </c>
      <c r="BS29" s="110">
        <v>1885.5326083226098</v>
      </c>
      <c r="BT29" s="110">
        <v>11</v>
      </c>
      <c r="BU29" s="110">
        <v>2587.1999999999998</v>
      </c>
      <c r="BV29" s="110">
        <v>10.650632175845107</v>
      </c>
      <c r="BW29" s="110">
        <v>2505.0286877587691</v>
      </c>
      <c r="BX29" s="110">
        <v>1</v>
      </c>
      <c r="BY29" s="110">
        <v>235.2</v>
      </c>
      <c r="BZ29" s="110">
        <v>3</v>
      </c>
      <c r="CA29" s="110">
        <v>705.59999999999991</v>
      </c>
      <c r="CB29" s="110">
        <v>2</v>
      </c>
      <c r="CC29" s="110">
        <v>470.4</v>
      </c>
      <c r="CD29" s="110">
        <v>2</v>
      </c>
      <c r="CE29" s="110">
        <v>470.4</v>
      </c>
      <c r="CF29" s="110">
        <v>2.2174365450086344</v>
      </c>
      <c r="CG29" s="110">
        <v>521.5410753860308</v>
      </c>
      <c r="CH29" s="110">
        <v>2</v>
      </c>
      <c r="CI29" s="110">
        <v>470.4</v>
      </c>
      <c r="CJ29" s="110">
        <v>2.4673140740631023</v>
      </c>
      <c r="CK29" s="110">
        <v>580.31227021964162</v>
      </c>
      <c r="CL29" s="110">
        <v>2</v>
      </c>
      <c r="CM29" s="110">
        <v>470.4</v>
      </c>
      <c r="CN29" s="110">
        <v>16.327067864997879</v>
      </c>
      <c r="CO29" s="110">
        <v>3840.1263618475009</v>
      </c>
      <c r="CP29" s="110">
        <v>24.248319663788955</v>
      </c>
      <c r="CQ29" s="110">
        <v>5703.2047849231622</v>
      </c>
      <c r="CR29" s="110">
        <v>16</v>
      </c>
      <c r="CS29" s="110">
        <v>3763.2</v>
      </c>
      <c r="CT29" s="110">
        <v>13.264611372903166</v>
      </c>
      <c r="CU29" s="110">
        <v>3119.8365949068248</v>
      </c>
    </row>
    <row r="30" spans="2:99" x14ac:dyDescent="0.2">
      <c r="C30" s="109" t="s">
        <v>198</v>
      </c>
      <c r="D30" s="110">
        <v>2.0238096022982934</v>
      </c>
      <c r="E30" s="110">
        <v>468.71430389228476</v>
      </c>
      <c r="F30" s="110">
        <v>2.1759353714748459</v>
      </c>
      <c r="G30" s="110">
        <v>503.9466320335743</v>
      </c>
      <c r="H30" s="110">
        <v>2.39306934914773</v>
      </c>
      <c r="I30" s="110">
        <v>554.23486126261423</v>
      </c>
      <c r="J30" s="110">
        <v>3.2727839558018816</v>
      </c>
      <c r="K30" s="110">
        <v>757.97676416371576</v>
      </c>
      <c r="L30" s="110">
        <v>2</v>
      </c>
      <c r="M30" s="110">
        <v>463.2</v>
      </c>
      <c r="N30" s="110">
        <v>1.3512691503439902</v>
      </c>
      <c r="O30" s="110">
        <v>312.9539352196681</v>
      </c>
      <c r="P30" s="110">
        <v>1.2717072889676504</v>
      </c>
      <c r="Q30" s="110">
        <v>294.52740812490782</v>
      </c>
      <c r="R30" s="110">
        <v>2.3184843595485245</v>
      </c>
      <c r="S30" s="110">
        <v>536.96097767143829</v>
      </c>
      <c r="T30" s="110">
        <v>12.137401501572965</v>
      </c>
      <c r="U30" s="110">
        <v>2811.0221877642985</v>
      </c>
      <c r="V30" s="110">
        <v>9.2164869677098196</v>
      </c>
      <c r="W30" s="110">
        <v>2134.5383817215943</v>
      </c>
      <c r="X30" s="110">
        <v>8.2633943441387583</v>
      </c>
      <c r="Y30" s="110">
        <v>1913.8021301025365</v>
      </c>
      <c r="Z30" s="110">
        <v>7.3156018913748317</v>
      </c>
      <c r="AA30" s="110">
        <v>1694.2933980424109</v>
      </c>
      <c r="AB30" s="110">
        <v>7.6175982402135904</v>
      </c>
      <c r="AC30" s="110">
        <v>1764.2357524334675</v>
      </c>
      <c r="AD30" s="110">
        <v>12.677817703113796</v>
      </c>
      <c r="AE30" s="110">
        <v>2936.1825800411552</v>
      </c>
      <c r="AF30" s="110">
        <v>12.667485024331365</v>
      </c>
      <c r="AG30" s="110">
        <v>2933.7895316351442</v>
      </c>
      <c r="AH30" s="110">
        <v>12.284255034305872</v>
      </c>
      <c r="AI30" s="110">
        <v>2845.0334659452396</v>
      </c>
      <c r="AJ30" s="110">
        <v>12.295219368931905</v>
      </c>
      <c r="AK30" s="110">
        <v>2847.5728058446293</v>
      </c>
      <c r="AL30" s="110">
        <v>12.860516692416539</v>
      </c>
      <c r="AM30" s="110">
        <v>2978.4956659636705</v>
      </c>
      <c r="AN30" s="110">
        <v>12.672502481432065</v>
      </c>
      <c r="AO30" s="110">
        <v>2934.9515746996663</v>
      </c>
      <c r="AP30" s="110">
        <v>8.4628661966742911</v>
      </c>
      <c r="AQ30" s="110">
        <v>1959.9998111497657</v>
      </c>
      <c r="AR30" s="110">
        <v>7.3211719768634973</v>
      </c>
      <c r="AS30" s="110">
        <v>1695.5834298415859</v>
      </c>
      <c r="AT30" s="110">
        <v>9</v>
      </c>
      <c r="AU30" s="110">
        <v>2084.4</v>
      </c>
      <c r="AV30" s="110">
        <v>6.1338890604499436</v>
      </c>
      <c r="AW30" s="110">
        <v>1420.608706400207</v>
      </c>
      <c r="AX30" s="110">
        <v>6</v>
      </c>
      <c r="AY30" s="110">
        <v>1389.6</v>
      </c>
      <c r="AZ30" s="110">
        <v>7.3199402135263076</v>
      </c>
      <c r="BA30" s="110">
        <v>1695.2981534526928</v>
      </c>
      <c r="BB30" s="110">
        <v>9</v>
      </c>
      <c r="BC30" s="110">
        <v>2084.4</v>
      </c>
      <c r="BD30" s="110">
        <v>10.204316272799979</v>
      </c>
      <c r="BE30" s="110">
        <v>2363.3196487804748</v>
      </c>
      <c r="BF30" s="110">
        <v>7.5399714111120311</v>
      </c>
      <c r="BG30" s="110">
        <v>1746.2573788135464</v>
      </c>
      <c r="BH30" s="110">
        <v>1.9575159931817474</v>
      </c>
      <c r="BI30" s="110">
        <v>453.36070402089268</v>
      </c>
      <c r="BJ30" s="110">
        <v>2.351632458115295</v>
      </c>
      <c r="BK30" s="110">
        <v>544.63807729950236</v>
      </c>
      <c r="BL30" s="110">
        <v>2.3540663922466791</v>
      </c>
      <c r="BM30" s="110">
        <v>545.2017764443309</v>
      </c>
      <c r="BN30" s="110">
        <v>2.069675522768728</v>
      </c>
      <c r="BO30" s="110">
        <v>479.33685107323737</v>
      </c>
      <c r="BP30" s="110">
        <v>7.3526817975386667</v>
      </c>
      <c r="BQ30" s="110">
        <v>1702.8811043099552</v>
      </c>
      <c r="BR30" s="110">
        <v>9.0845016250458492</v>
      </c>
      <c r="BS30" s="110">
        <v>2103.9705763606185</v>
      </c>
      <c r="BT30" s="110">
        <v>12</v>
      </c>
      <c r="BU30" s="110">
        <v>2779.2</v>
      </c>
      <c r="BV30" s="110">
        <v>9.5896354093596283</v>
      </c>
      <c r="BW30" s="110">
        <v>2220.9595608076897</v>
      </c>
      <c r="BX30" s="110">
        <v>1</v>
      </c>
      <c r="BY30" s="110">
        <v>231.6</v>
      </c>
      <c r="BZ30" s="110">
        <v>2</v>
      </c>
      <c r="CA30" s="110">
        <v>463.2</v>
      </c>
      <c r="CB30" s="110">
        <v>1</v>
      </c>
      <c r="CC30" s="110">
        <v>231.6</v>
      </c>
      <c r="CD30" s="110">
        <v>2</v>
      </c>
      <c r="CE30" s="110">
        <v>463.2</v>
      </c>
      <c r="CF30" s="110">
        <v>2.2029407753413923</v>
      </c>
      <c r="CG30" s="110">
        <v>510.20108356906644</v>
      </c>
      <c r="CH30" s="110">
        <v>2</v>
      </c>
      <c r="CI30" s="110">
        <v>463.2</v>
      </c>
      <c r="CJ30" s="110">
        <v>2.6140454814694127</v>
      </c>
      <c r="CK30" s="110">
        <v>605.41293350831597</v>
      </c>
      <c r="CL30" s="110">
        <v>2</v>
      </c>
      <c r="CM30" s="110">
        <v>463.2</v>
      </c>
      <c r="CN30" s="110">
        <v>17.327067864997879</v>
      </c>
      <c r="CO30" s="110">
        <v>4012.9489175335088</v>
      </c>
      <c r="CP30" s="110">
        <v>23.248319663788955</v>
      </c>
      <c r="CQ30" s="110">
        <v>5384.3108341335219</v>
      </c>
      <c r="CR30" s="110">
        <v>17</v>
      </c>
      <c r="CS30" s="110">
        <v>3937.2</v>
      </c>
      <c r="CT30" s="110">
        <v>14.264611372903166</v>
      </c>
      <c r="CU30" s="110">
        <v>3303.6839939643733</v>
      </c>
    </row>
    <row r="31" spans="2:99" x14ac:dyDescent="0.2">
      <c r="C31" s="109" t="s">
        <v>199</v>
      </c>
      <c r="D31" s="110">
        <v>2.0238096022982934</v>
      </c>
      <c r="E31" s="110">
        <v>359.42858536817693</v>
      </c>
      <c r="F31" s="110">
        <v>2.1759353714748459</v>
      </c>
      <c r="G31" s="110">
        <v>386.44612197393263</v>
      </c>
      <c r="H31" s="110">
        <v>3.3603135700520861</v>
      </c>
      <c r="I31" s="110">
        <v>596.79169004125049</v>
      </c>
      <c r="J31" s="110">
        <v>4.2727839558018816</v>
      </c>
      <c r="K31" s="110">
        <v>758.8464305504142</v>
      </c>
      <c r="L31" s="110">
        <v>2</v>
      </c>
      <c r="M31" s="110">
        <v>355.2</v>
      </c>
      <c r="N31" s="110">
        <v>1.3073605065509915</v>
      </c>
      <c r="O31" s="110">
        <v>232.18722596345609</v>
      </c>
      <c r="P31" s="110">
        <v>1.2717072889676504</v>
      </c>
      <c r="Q31" s="110">
        <v>225.8552145206547</v>
      </c>
      <c r="R31" s="110">
        <v>2.3184843595485245</v>
      </c>
      <c r="S31" s="110">
        <v>411.76282225581792</v>
      </c>
      <c r="T31" s="110">
        <v>13.137401501572965</v>
      </c>
      <c r="U31" s="110">
        <v>2333.2025066793585</v>
      </c>
      <c r="V31" s="110">
        <v>11.240541075233134</v>
      </c>
      <c r="W31" s="110">
        <v>1996.3200949614045</v>
      </c>
      <c r="X31" s="110">
        <v>8.2633943441387583</v>
      </c>
      <c r="Y31" s="110">
        <v>1467.5788355190434</v>
      </c>
      <c r="Z31" s="110">
        <v>7.2735216391915207</v>
      </c>
      <c r="AA31" s="110">
        <v>1291.7774431204141</v>
      </c>
      <c r="AB31" s="110">
        <v>7.6388947312554389</v>
      </c>
      <c r="AC31" s="110">
        <v>1356.6677042709659</v>
      </c>
      <c r="AD31" s="110">
        <v>11.614272293446877</v>
      </c>
      <c r="AE31" s="110">
        <v>2062.6947593161653</v>
      </c>
      <c r="AF31" s="110">
        <v>12.762840027807274</v>
      </c>
      <c r="AG31" s="110">
        <v>2266.6803889385719</v>
      </c>
      <c r="AH31" s="110">
        <v>10.315838927006524</v>
      </c>
      <c r="AI31" s="110">
        <v>1832.0929934363587</v>
      </c>
      <c r="AJ31" s="110">
        <v>13.30298829969327</v>
      </c>
      <c r="AK31" s="110">
        <v>2362.6107220255249</v>
      </c>
      <c r="AL31" s="110">
        <v>12.919188285081303</v>
      </c>
      <c r="AM31" s="110">
        <v>2294.4478394304392</v>
      </c>
      <c r="AN31" s="110">
        <v>12.613164027188061</v>
      </c>
      <c r="AO31" s="110">
        <v>2240.0979312285995</v>
      </c>
      <c r="AP31" s="110">
        <v>9.4348136999061527</v>
      </c>
      <c r="AQ31" s="110">
        <v>1675.6229131033326</v>
      </c>
      <c r="AR31" s="110">
        <v>7.3211719768634973</v>
      </c>
      <c r="AS31" s="110">
        <v>1300.2401430909572</v>
      </c>
      <c r="AT31" s="110">
        <v>10</v>
      </c>
      <c r="AU31" s="110">
        <v>1776</v>
      </c>
      <c r="AV31" s="110">
        <v>7.1338890604499436</v>
      </c>
      <c r="AW31" s="110">
        <v>1266.9786971359099</v>
      </c>
      <c r="AX31" s="110">
        <v>7</v>
      </c>
      <c r="AY31" s="110">
        <v>1243.2</v>
      </c>
      <c r="AZ31" s="110">
        <v>7.2559521708210459</v>
      </c>
      <c r="BA31" s="110">
        <v>1288.6571055378176</v>
      </c>
      <c r="BB31" s="110">
        <v>8</v>
      </c>
      <c r="BC31" s="110">
        <v>1420.8</v>
      </c>
      <c r="BD31" s="110">
        <v>9.1915465057499794</v>
      </c>
      <c r="BE31" s="110">
        <v>1632.4186594211963</v>
      </c>
      <c r="BF31" s="110">
        <v>8.4724749847230267</v>
      </c>
      <c r="BG31" s="110">
        <v>1504.7115572868095</v>
      </c>
      <c r="BH31" s="110">
        <v>2.9865316293387698</v>
      </c>
      <c r="BI31" s="110">
        <v>530.40801737056552</v>
      </c>
      <c r="BJ31" s="110">
        <v>2.3360043488657261</v>
      </c>
      <c r="BK31" s="110">
        <v>414.87437235855293</v>
      </c>
      <c r="BL31" s="110">
        <v>2.396983530700822</v>
      </c>
      <c r="BM31" s="110">
        <v>425.70427505246596</v>
      </c>
      <c r="BN31" s="110">
        <v>1.9558802543890759</v>
      </c>
      <c r="BO31" s="110">
        <v>347.36433317949985</v>
      </c>
      <c r="BP31" s="110">
        <v>7.3918686639318523</v>
      </c>
      <c r="BQ31" s="110">
        <v>1312.7958747142968</v>
      </c>
      <c r="BR31" s="110">
        <v>9.1522829766112146</v>
      </c>
      <c r="BS31" s="110">
        <v>1625.4454566461516</v>
      </c>
      <c r="BT31" s="110">
        <v>12</v>
      </c>
      <c r="BU31" s="110">
        <v>2131.1999999999998</v>
      </c>
      <c r="BV31" s="110">
        <v>9.5896354093596283</v>
      </c>
      <c r="BW31" s="110">
        <v>1703.1192487022699</v>
      </c>
      <c r="BX31" s="110">
        <v>2</v>
      </c>
      <c r="BY31" s="110">
        <v>355.2</v>
      </c>
      <c r="BZ31" s="110">
        <v>3</v>
      </c>
      <c r="CA31" s="110">
        <v>532.79999999999995</v>
      </c>
      <c r="CB31" s="110">
        <v>1</v>
      </c>
      <c r="CC31" s="110">
        <v>177.6</v>
      </c>
      <c r="CD31" s="110">
        <v>2</v>
      </c>
      <c r="CE31" s="110">
        <v>355.2</v>
      </c>
      <c r="CF31" s="110">
        <v>2.2319323146758769</v>
      </c>
      <c r="CG31" s="110">
        <v>396.39117908643573</v>
      </c>
      <c r="CH31" s="110">
        <v>3</v>
      </c>
      <c r="CI31" s="110">
        <v>532.79999999999995</v>
      </c>
      <c r="CJ31" s="110">
        <v>2.6140454814694127</v>
      </c>
      <c r="CK31" s="110">
        <v>464.25447750896768</v>
      </c>
      <c r="CL31" s="110">
        <v>2</v>
      </c>
      <c r="CM31" s="110">
        <v>355.2</v>
      </c>
      <c r="CN31" s="110">
        <v>19.377385998074477</v>
      </c>
      <c r="CO31" s="110">
        <v>3441.4237532580269</v>
      </c>
      <c r="CP31" s="110">
        <v>24.275910737543285</v>
      </c>
      <c r="CQ31" s="110">
        <v>4311.4017469876871</v>
      </c>
      <c r="CR31" s="110">
        <v>16</v>
      </c>
      <c r="CS31" s="110">
        <v>2841.6</v>
      </c>
      <c r="CT31" s="110">
        <v>13.264611372903166</v>
      </c>
      <c r="CU31" s="110">
        <v>2355.7949798276022</v>
      </c>
    </row>
    <row r="32" spans="2:99" x14ac:dyDescent="0.2">
      <c r="C32" s="109" t="s">
        <v>200</v>
      </c>
      <c r="D32" s="110">
        <v>2.9296271235002256</v>
      </c>
      <c r="E32" s="110">
        <v>1508.1720431779161</v>
      </c>
      <c r="F32" s="110">
        <v>2.7180947242703017</v>
      </c>
      <c r="G32" s="110">
        <v>1399.2751640543513</v>
      </c>
      <c r="H32" s="110">
        <v>2</v>
      </c>
      <c r="I32" s="110">
        <v>1029.5999999999999</v>
      </c>
      <c r="J32" s="110">
        <v>4.4975839300988083</v>
      </c>
      <c r="K32" s="110">
        <v>2315.3562072148661</v>
      </c>
      <c r="L32" s="110">
        <v>5.9001148827158989</v>
      </c>
      <c r="M32" s="110">
        <v>3037.3791416221443</v>
      </c>
      <c r="N32" s="110">
        <v>1.0959354384081734</v>
      </c>
      <c r="O32" s="110">
        <v>564.18756369252765</v>
      </c>
      <c r="P32" s="110">
        <v>4.3887666618408829</v>
      </c>
      <c r="Q32" s="110">
        <v>2259.3370775156864</v>
      </c>
      <c r="R32" s="110">
        <v>5.674630631203847</v>
      </c>
      <c r="S32" s="110">
        <v>2921.29984894374</v>
      </c>
      <c r="T32" s="110">
        <v>14</v>
      </c>
      <c r="U32" s="110">
        <v>7207.1999999999989</v>
      </c>
      <c r="V32" s="110">
        <v>10</v>
      </c>
      <c r="W32" s="110">
        <v>5148</v>
      </c>
      <c r="X32" s="110">
        <v>6</v>
      </c>
      <c r="Y32" s="110">
        <v>3088.7999999999997</v>
      </c>
      <c r="Z32" s="110">
        <v>7</v>
      </c>
      <c r="AA32" s="110">
        <v>3603.5999999999995</v>
      </c>
      <c r="AB32" s="110">
        <v>8</v>
      </c>
      <c r="AC32" s="110">
        <v>4118.3999999999996</v>
      </c>
      <c r="AD32" s="110">
        <v>15.35802750163154</v>
      </c>
      <c r="AE32" s="110">
        <v>7906.3125578399158</v>
      </c>
      <c r="AF32" s="110">
        <v>11</v>
      </c>
      <c r="AG32" s="110">
        <v>5662.7999999999993</v>
      </c>
      <c r="AH32" s="110">
        <v>13.290173417713124</v>
      </c>
      <c r="AI32" s="110">
        <v>6841.781275438716</v>
      </c>
      <c r="AJ32" s="110">
        <v>11.720387764812207</v>
      </c>
      <c r="AK32" s="110">
        <v>6033.6556213253234</v>
      </c>
      <c r="AL32" s="110">
        <v>12</v>
      </c>
      <c r="AM32" s="110">
        <v>6177.5999999999995</v>
      </c>
      <c r="AN32" s="110">
        <v>12</v>
      </c>
      <c r="AO32" s="110">
        <v>6177.5999999999995</v>
      </c>
      <c r="AP32" s="110">
        <v>9</v>
      </c>
      <c r="AQ32" s="110">
        <v>4633.2</v>
      </c>
      <c r="AR32" s="110">
        <v>6</v>
      </c>
      <c r="AS32" s="110">
        <v>3088.7999999999997</v>
      </c>
      <c r="AT32" s="110">
        <v>10.60610125144547</v>
      </c>
      <c r="AU32" s="110">
        <v>5460.0209242441269</v>
      </c>
      <c r="AV32" s="110">
        <v>6.2929569280024564</v>
      </c>
      <c r="AW32" s="110">
        <v>3239.6142265356643</v>
      </c>
      <c r="AX32" s="110">
        <v>6.2731394494589621</v>
      </c>
      <c r="AY32" s="110">
        <v>3229.4121885814734</v>
      </c>
      <c r="AZ32" s="110">
        <v>8</v>
      </c>
      <c r="BA32" s="110">
        <v>4118.3999999999996</v>
      </c>
      <c r="BB32" s="110">
        <v>8.3542541192140245</v>
      </c>
      <c r="BC32" s="110">
        <v>4300.7700205713791</v>
      </c>
      <c r="BD32" s="110">
        <v>9</v>
      </c>
      <c r="BE32" s="110">
        <v>4633.2</v>
      </c>
      <c r="BF32" s="110">
        <v>8.4221824232719662</v>
      </c>
      <c r="BG32" s="110">
        <v>4335.7395115004074</v>
      </c>
      <c r="BH32" s="110">
        <v>5.5450689106932591</v>
      </c>
      <c r="BI32" s="110">
        <v>2854.6014752248893</v>
      </c>
      <c r="BJ32" s="110">
        <v>9.2064001718400981</v>
      </c>
      <c r="BK32" s="110">
        <v>4739.4548084632825</v>
      </c>
      <c r="BL32" s="110">
        <v>5.7379510724227707</v>
      </c>
      <c r="BM32" s="110">
        <v>2953.8972120832423</v>
      </c>
      <c r="BN32" s="110">
        <v>7.7903418619653726</v>
      </c>
      <c r="BO32" s="110">
        <v>4010.4679905397734</v>
      </c>
      <c r="BP32" s="110">
        <v>10.895903138017907</v>
      </c>
      <c r="BQ32" s="110">
        <v>5609.2109354516178</v>
      </c>
      <c r="BR32" s="110">
        <v>7</v>
      </c>
      <c r="BS32" s="110">
        <v>3603.5999999999995</v>
      </c>
      <c r="BT32" s="110">
        <v>10</v>
      </c>
      <c r="BU32" s="110">
        <v>5148</v>
      </c>
      <c r="BV32" s="110">
        <v>10.315822317040897</v>
      </c>
      <c r="BW32" s="110">
        <v>5310.5853288126536</v>
      </c>
      <c r="BX32" s="110">
        <v>1</v>
      </c>
      <c r="BY32" s="110">
        <v>514.79999999999995</v>
      </c>
      <c r="BZ32" s="110">
        <v>2</v>
      </c>
      <c r="CA32" s="110">
        <v>1029.5999999999999</v>
      </c>
      <c r="CB32" s="110">
        <v>2</v>
      </c>
      <c r="CC32" s="110">
        <v>1029.5999999999999</v>
      </c>
      <c r="CD32" s="110">
        <v>2</v>
      </c>
      <c r="CE32" s="110">
        <v>1029.5999999999999</v>
      </c>
      <c r="CF32" s="110">
        <v>2</v>
      </c>
      <c r="CG32" s="110">
        <v>1029.5999999999999</v>
      </c>
      <c r="CH32" s="110">
        <v>2.1187395944467728</v>
      </c>
      <c r="CI32" s="110">
        <v>1090.7271432211985</v>
      </c>
      <c r="CJ32" s="110">
        <v>1</v>
      </c>
      <c r="CK32" s="110">
        <v>514.79999999999995</v>
      </c>
      <c r="CL32" s="110">
        <v>2</v>
      </c>
      <c r="CM32" s="110">
        <v>1029.5999999999999</v>
      </c>
      <c r="CN32" s="110">
        <v>16</v>
      </c>
      <c r="CO32" s="110">
        <v>8236.7999999999993</v>
      </c>
      <c r="CP32" s="110">
        <v>20.091197118050847</v>
      </c>
      <c r="CQ32" s="110">
        <v>10342.948276372575</v>
      </c>
      <c r="CR32" s="110">
        <v>16.316961817920181</v>
      </c>
      <c r="CS32" s="110">
        <v>8399.9719438653083</v>
      </c>
      <c r="CT32" s="110">
        <v>13.320987091445222</v>
      </c>
      <c r="CU32" s="110">
        <v>6857.6441546759997</v>
      </c>
    </row>
    <row r="33" spans="2:99" x14ac:dyDescent="0.2">
      <c r="C33" s="109" t="s">
        <v>201</v>
      </c>
      <c r="D33" s="110">
        <v>2.0238096022982934</v>
      </c>
      <c r="E33" s="110">
        <v>677.57145484946864</v>
      </c>
      <c r="F33" s="110">
        <v>2.1894688615882956</v>
      </c>
      <c r="G33" s="110">
        <v>733.03417485976138</v>
      </c>
      <c r="H33" s="110">
        <v>3.4145930024563871</v>
      </c>
      <c r="I33" s="110">
        <v>1143.2057372223985</v>
      </c>
      <c r="J33" s="110">
        <v>3.3068819502771172</v>
      </c>
      <c r="K33" s="110">
        <v>1107.144076952779</v>
      </c>
      <c r="L33" s="110">
        <v>2</v>
      </c>
      <c r="M33" s="110">
        <v>669.6</v>
      </c>
      <c r="N33" s="110">
        <v>1.3512691503439902</v>
      </c>
      <c r="O33" s="110">
        <v>452.40491153516791</v>
      </c>
      <c r="P33" s="110">
        <v>1.2988780178644155</v>
      </c>
      <c r="Q33" s="110">
        <v>434.86436038100629</v>
      </c>
      <c r="R33" s="110">
        <v>2.2919439962528139</v>
      </c>
      <c r="S33" s="110">
        <v>767.34284994544214</v>
      </c>
      <c r="T33" s="110">
        <v>12.137401501572965</v>
      </c>
      <c r="U33" s="110">
        <v>4063.602022726629</v>
      </c>
      <c r="V33" s="110">
        <v>11.21648696770982</v>
      </c>
      <c r="W33" s="110">
        <v>3755.2798367892478</v>
      </c>
      <c r="X33" s="110">
        <v>8.2633943441387583</v>
      </c>
      <c r="Y33" s="110">
        <v>2766.5844264176562</v>
      </c>
      <c r="Z33" s="110">
        <v>7.3156018913748317</v>
      </c>
      <c r="AA33" s="110">
        <v>2449.2635132322939</v>
      </c>
      <c r="AB33" s="110">
        <v>8.6388947312554389</v>
      </c>
      <c r="AC33" s="110">
        <v>2892.301956024321</v>
      </c>
      <c r="AD33" s="110">
        <v>12.635454096669182</v>
      </c>
      <c r="AE33" s="110">
        <v>4230.3500315648425</v>
      </c>
      <c r="AF33" s="110">
        <v>10.72469802641691</v>
      </c>
      <c r="AG33" s="110">
        <v>3590.6288992443815</v>
      </c>
      <c r="AH33" s="110">
        <v>10.315838927006524</v>
      </c>
      <c r="AI33" s="110">
        <v>3453.7428727617844</v>
      </c>
      <c r="AJ33" s="110">
        <v>12.287450438170538</v>
      </c>
      <c r="AK33" s="110">
        <v>4113.8384066994959</v>
      </c>
      <c r="AL33" s="110">
        <v>11.801845099751775</v>
      </c>
      <c r="AM33" s="110">
        <v>3951.2577393968945</v>
      </c>
      <c r="AN33" s="110">
        <v>12.672502481432065</v>
      </c>
      <c r="AO33" s="110">
        <v>4242.7538307834557</v>
      </c>
      <c r="AP33" s="110">
        <v>9.4207874515220826</v>
      </c>
      <c r="AQ33" s="110">
        <v>3154.0796387695932</v>
      </c>
      <c r="AR33" s="110">
        <v>7.3568577520705523</v>
      </c>
      <c r="AS33" s="110">
        <v>2463.0759753932211</v>
      </c>
      <c r="AT33" s="110">
        <v>10</v>
      </c>
      <c r="AU33" s="110">
        <v>3348</v>
      </c>
      <c r="AV33" s="110">
        <v>6.1721430777213566</v>
      </c>
      <c r="AW33" s="110">
        <v>2066.4335024211105</v>
      </c>
      <c r="AX33" s="110">
        <v>7</v>
      </c>
      <c r="AY33" s="110">
        <v>2343.6</v>
      </c>
      <c r="AZ33" s="110">
        <v>7.2879461921736768</v>
      </c>
      <c r="BA33" s="110">
        <v>2440.0043851397472</v>
      </c>
      <c r="BB33" s="110">
        <v>9</v>
      </c>
      <c r="BC33" s="110">
        <v>3013.2000000000003</v>
      </c>
      <c r="BD33" s="110">
        <v>10.204316272799979</v>
      </c>
      <c r="BE33" s="110">
        <v>3416.4050881334329</v>
      </c>
      <c r="BF33" s="110">
        <v>9.506223197917528</v>
      </c>
      <c r="BG33" s="110">
        <v>3182.6835266627886</v>
      </c>
      <c r="BH33" s="110">
        <v>2.8994847208677017</v>
      </c>
      <c r="BI33" s="110">
        <v>970.7474845465066</v>
      </c>
      <c r="BJ33" s="110">
        <v>2.351632458115295</v>
      </c>
      <c r="BK33" s="110">
        <v>787.32654697700082</v>
      </c>
      <c r="BL33" s="110">
        <v>2.364795676860215</v>
      </c>
      <c r="BM33" s="110">
        <v>791.73359261279995</v>
      </c>
      <c r="BN33" s="110">
        <v>2.0241574154168669</v>
      </c>
      <c r="BO33" s="110">
        <v>677.68790268156704</v>
      </c>
      <c r="BP33" s="110">
        <v>8.3624785141369635</v>
      </c>
      <c r="BQ33" s="110">
        <v>2799.7578065330554</v>
      </c>
      <c r="BR33" s="110">
        <v>8.1183923008285319</v>
      </c>
      <c r="BS33" s="110">
        <v>2718.0377423173927</v>
      </c>
      <c r="BT33" s="110">
        <v>12</v>
      </c>
      <c r="BU33" s="110">
        <v>4017.6000000000004</v>
      </c>
      <c r="BV33" s="110">
        <v>8.6302999203499482</v>
      </c>
      <c r="BW33" s="110">
        <v>2889.4244133331626</v>
      </c>
      <c r="BX33" s="110">
        <v>1</v>
      </c>
      <c r="BY33" s="110">
        <v>334.8</v>
      </c>
      <c r="BZ33" s="110">
        <v>3</v>
      </c>
      <c r="CA33" s="110">
        <v>1004.4000000000001</v>
      </c>
      <c r="CB33" s="110">
        <v>2</v>
      </c>
      <c r="CC33" s="110">
        <v>669.6</v>
      </c>
      <c r="CD33" s="110">
        <v>2</v>
      </c>
      <c r="CE33" s="110">
        <v>669.6</v>
      </c>
      <c r="CF33" s="110">
        <v>2.2174365450086344</v>
      </c>
      <c r="CG33" s="110">
        <v>742.39775526889082</v>
      </c>
      <c r="CH33" s="110">
        <v>2</v>
      </c>
      <c r="CI33" s="110">
        <v>669.6</v>
      </c>
      <c r="CJ33" s="110">
        <v>3.4673140740631023</v>
      </c>
      <c r="CK33" s="110">
        <v>1160.8567519963267</v>
      </c>
      <c r="CL33" s="110">
        <v>2.369793440002538</v>
      </c>
      <c r="CM33" s="110">
        <v>793.40684371284976</v>
      </c>
      <c r="CN33" s="110">
        <v>17.377385998074477</v>
      </c>
      <c r="CO33" s="110">
        <v>5817.9488321553354</v>
      </c>
      <c r="CP33" s="110">
        <v>24.220728590034629</v>
      </c>
      <c r="CQ33" s="110">
        <v>8109.0999319435941</v>
      </c>
      <c r="CR33" s="110">
        <v>16</v>
      </c>
      <c r="CS33" s="110">
        <v>5356.8</v>
      </c>
      <c r="CT33" s="110">
        <v>13.264611372903166</v>
      </c>
      <c r="CU33" s="110">
        <v>4440.9918876479805</v>
      </c>
    </row>
    <row r="34" spans="2:99" x14ac:dyDescent="0.2">
      <c r="C34" s="109" t="s">
        <v>202</v>
      </c>
      <c r="D34" s="110">
        <v>2.0238096022982934</v>
      </c>
      <c r="E34" s="110">
        <v>769.85717271427075</v>
      </c>
      <c r="F34" s="110">
        <v>2.1759353714748459</v>
      </c>
      <c r="G34" s="110">
        <v>827.7258153090313</v>
      </c>
      <c r="H34" s="110">
        <v>2.39306934914773</v>
      </c>
      <c r="I34" s="110">
        <v>910.32358041579641</v>
      </c>
      <c r="J34" s="110">
        <v>3.2727839558018816</v>
      </c>
      <c r="K34" s="110">
        <v>1244.9670167870356</v>
      </c>
      <c r="L34" s="110">
        <v>2</v>
      </c>
      <c r="M34" s="110">
        <v>760.8</v>
      </c>
      <c r="N34" s="110">
        <v>1.3073605065509915</v>
      </c>
      <c r="O34" s="110">
        <v>497.3199366919971</v>
      </c>
      <c r="P34" s="110">
        <v>1.2717072889676504</v>
      </c>
      <c r="Q34" s="110">
        <v>483.75745272329419</v>
      </c>
      <c r="R34" s="110">
        <v>2.3184843595485245</v>
      </c>
      <c r="S34" s="110">
        <v>881.95145037225871</v>
      </c>
      <c r="T34" s="110">
        <v>14.137401501572965</v>
      </c>
      <c r="U34" s="110">
        <v>5377.8675311983552</v>
      </c>
      <c r="V34" s="110">
        <v>9.2405410752331338</v>
      </c>
      <c r="W34" s="110">
        <v>3515.1018250186839</v>
      </c>
      <c r="X34" s="110">
        <v>7.2633943441387583</v>
      </c>
      <c r="Y34" s="110">
        <v>2762.9952085103837</v>
      </c>
      <c r="Z34" s="110">
        <v>7.2945617652831762</v>
      </c>
      <c r="AA34" s="110">
        <v>2774.8512955137203</v>
      </c>
      <c r="AB34" s="110">
        <v>7.5963017491717428</v>
      </c>
      <c r="AC34" s="110">
        <v>2889.6331853849306</v>
      </c>
      <c r="AD34" s="110">
        <v>12.677817703113796</v>
      </c>
      <c r="AE34" s="110">
        <v>4822.6418542644878</v>
      </c>
      <c r="AF34" s="110">
        <v>11.762840027807274</v>
      </c>
      <c r="AG34" s="110">
        <v>4474.5843465778862</v>
      </c>
      <c r="AH34" s="110">
        <v>12.315838927006524</v>
      </c>
      <c r="AI34" s="110">
        <v>4684.9451278332817</v>
      </c>
      <c r="AJ34" s="110">
        <v>10.295219368931905</v>
      </c>
      <c r="AK34" s="110">
        <v>3916.3014479416966</v>
      </c>
      <c r="AL34" s="110">
        <v>13.840959494861618</v>
      </c>
      <c r="AM34" s="110">
        <v>5265.1009918453592</v>
      </c>
      <c r="AN34" s="110">
        <v>11.632943511936062</v>
      </c>
      <c r="AO34" s="110">
        <v>4425.1717119404775</v>
      </c>
      <c r="AP34" s="110">
        <v>9.4488399482902228</v>
      </c>
      <c r="AQ34" s="110">
        <v>3594.3387163296006</v>
      </c>
      <c r="AR34" s="110">
        <v>6.3211719768634973</v>
      </c>
      <c r="AS34" s="110">
        <v>2404.5738199988741</v>
      </c>
      <c r="AT34" s="110">
        <v>10</v>
      </c>
      <c r="AU34" s="110">
        <v>3804</v>
      </c>
      <c r="AV34" s="110">
        <v>6.1530160690856501</v>
      </c>
      <c r="AW34" s="110">
        <v>2340.6073126801812</v>
      </c>
      <c r="AX34" s="110">
        <v>6</v>
      </c>
      <c r="AY34" s="110">
        <v>2282.3999999999996</v>
      </c>
      <c r="AZ34" s="110">
        <v>7.2879461921736768</v>
      </c>
      <c r="BA34" s="110">
        <v>2772.3347315028664</v>
      </c>
      <c r="BB34" s="110">
        <v>9</v>
      </c>
      <c r="BC34" s="110">
        <v>3423.6</v>
      </c>
      <c r="BD34" s="110">
        <v>9.2043162727999785</v>
      </c>
      <c r="BE34" s="110">
        <v>3501.3219101731115</v>
      </c>
      <c r="BF34" s="110">
        <v>7.5062231979175289</v>
      </c>
      <c r="BG34" s="110">
        <v>2855.3673044878278</v>
      </c>
      <c r="BH34" s="110">
        <v>2.8704690847106793</v>
      </c>
      <c r="BI34" s="110">
        <v>1091.9264398239422</v>
      </c>
      <c r="BJ34" s="110">
        <v>2.3672605673648635</v>
      </c>
      <c r="BK34" s="110">
        <v>900.50591982559399</v>
      </c>
      <c r="BL34" s="110">
        <v>2.4077128153143579</v>
      </c>
      <c r="BM34" s="110">
        <v>915.89395494558164</v>
      </c>
      <c r="BN34" s="110">
        <v>2.0924345764446581</v>
      </c>
      <c r="BO34" s="110">
        <v>795.96211287954793</v>
      </c>
      <c r="BP34" s="110">
        <v>7.3722752307352595</v>
      </c>
      <c r="BQ34" s="110">
        <v>2804.4134977716926</v>
      </c>
      <c r="BR34" s="110">
        <v>9.1522829766112146</v>
      </c>
      <c r="BS34" s="110">
        <v>3481.5284443029059</v>
      </c>
      <c r="BT34" s="110">
        <v>10</v>
      </c>
      <c r="BU34" s="110">
        <v>3804</v>
      </c>
      <c r="BV34" s="110">
        <v>9.5896354093596283</v>
      </c>
      <c r="BW34" s="110">
        <v>3647.8973097204025</v>
      </c>
      <c r="BX34" s="110">
        <v>1</v>
      </c>
      <c r="BY34" s="110">
        <v>380.4</v>
      </c>
      <c r="BZ34" s="110">
        <v>2</v>
      </c>
      <c r="CA34" s="110">
        <v>760.8</v>
      </c>
      <c r="CB34" s="110">
        <v>2</v>
      </c>
      <c r="CC34" s="110">
        <v>760.8</v>
      </c>
      <c r="CD34" s="110">
        <v>2</v>
      </c>
      <c r="CE34" s="110">
        <v>760.8</v>
      </c>
      <c r="CF34" s="110">
        <v>2.2174365450086344</v>
      </c>
      <c r="CG34" s="110">
        <v>843.51286172128448</v>
      </c>
      <c r="CH34" s="110">
        <v>2</v>
      </c>
      <c r="CI34" s="110">
        <v>760.8</v>
      </c>
      <c r="CJ34" s="110">
        <v>2.7607768888757231</v>
      </c>
      <c r="CK34" s="110">
        <v>1050.1995285283251</v>
      </c>
      <c r="CL34" s="110">
        <v>2</v>
      </c>
      <c r="CM34" s="110">
        <v>760.8</v>
      </c>
      <c r="CN34" s="110">
        <v>17.327067864997879</v>
      </c>
      <c r="CO34" s="110">
        <v>6591.2166158451928</v>
      </c>
      <c r="CP34" s="110">
        <v>22.275910737543285</v>
      </c>
      <c r="CQ34" s="110">
        <v>8473.7564445614644</v>
      </c>
      <c r="CR34" s="110">
        <v>16</v>
      </c>
      <c r="CS34" s="110">
        <v>6086.4</v>
      </c>
      <c r="CT34" s="110">
        <v>14.264611372903166</v>
      </c>
      <c r="CU34" s="110">
        <v>5426.2581662523644</v>
      </c>
    </row>
    <row r="35" spans="2:99" x14ac:dyDescent="0.2">
      <c r="C35" s="109" t="s">
        <v>203</v>
      </c>
      <c r="D35" s="110">
        <v>2.0238096022982934</v>
      </c>
      <c r="E35" s="110">
        <v>830.57146078321955</v>
      </c>
      <c r="F35" s="110">
        <v>2.1624018813613959</v>
      </c>
      <c r="G35" s="110">
        <v>887.44973211071681</v>
      </c>
      <c r="H35" s="110">
        <v>4.6022906660319229</v>
      </c>
      <c r="I35" s="110">
        <v>1888.780089339501</v>
      </c>
      <c r="J35" s="110">
        <v>3.3068819502771172</v>
      </c>
      <c r="K35" s="110">
        <v>1357.1443523937289</v>
      </c>
      <c r="L35" s="110">
        <v>2</v>
      </c>
      <c r="M35" s="110">
        <v>820.8</v>
      </c>
      <c r="N35" s="110">
        <v>1.3512691503439902</v>
      </c>
      <c r="O35" s="110">
        <v>554.56085930117354</v>
      </c>
      <c r="P35" s="110">
        <v>1.2988780178644155</v>
      </c>
      <c r="Q35" s="110">
        <v>533.05953853155609</v>
      </c>
      <c r="R35" s="110">
        <v>2.2919439962528139</v>
      </c>
      <c r="S35" s="110">
        <v>940.6138160621548</v>
      </c>
      <c r="T35" s="110">
        <v>13.137401501572965</v>
      </c>
      <c r="U35" s="110">
        <v>5391.5895762455448</v>
      </c>
      <c r="V35" s="110">
        <v>11.240541075233134</v>
      </c>
      <c r="W35" s="110">
        <v>4613.1180572756775</v>
      </c>
      <c r="X35" s="110">
        <v>6.2633943441387583</v>
      </c>
      <c r="Y35" s="110">
        <v>2570.4970388345464</v>
      </c>
      <c r="Z35" s="110">
        <v>8.3156018913748326</v>
      </c>
      <c r="AA35" s="110">
        <v>3412.7230162202313</v>
      </c>
      <c r="AB35" s="110">
        <v>7.5750052581298943</v>
      </c>
      <c r="AC35" s="110">
        <v>3108.7821579365086</v>
      </c>
      <c r="AD35" s="110">
        <v>11.59309049022457</v>
      </c>
      <c r="AE35" s="110">
        <v>4757.8043371881631</v>
      </c>
      <c r="AF35" s="110">
        <v>10.705627025721729</v>
      </c>
      <c r="AG35" s="110">
        <v>4393.5893313561974</v>
      </c>
      <c r="AH35" s="110">
        <v>11.305310962772975</v>
      </c>
      <c r="AI35" s="110">
        <v>4639.6996191220287</v>
      </c>
      <c r="AJ35" s="110">
        <v>10.30298829969327</v>
      </c>
      <c r="AK35" s="110">
        <v>4228.3463981941177</v>
      </c>
      <c r="AL35" s="110">
        <v>11.88007388997146</v>
      </c>
      <c r="AM35" s="110">
        <v>4875.5823244442863</v>
      </c>
      <c r="AN35" s="110">
        <v>12.593384542440058</v>
      </c>
      <c r="AO35" s="110">
        <v>5168.325016217399</v>
      </c>
      <c r="AP35" s="110">
        <v>9.4207874515220826</v>
      </c>
      <c r="AQ35" s="110">
        <v>3866.2911701046623</v>
      </c>
      <c r="AR35" s="110">
        <v>6.3568577520705523</v>
      </c>
      <c r="AS35" s="110">
        <v>2608.8544214497547</v>
      </c>
      <c r="AT35" s="110">
        <v>10</v>
      </c>
      <c r="AU35" s="110">
        <v>4104</v>
      </c>
      <c r="AV35" s="110">
        <v>7.1338890604499436</v>
      </c>
      <c r="AW35" s="110">
        <v>2927.7480704086565</v>
      </c>
      <c r="AX35" s="110">
        <v>7</v>
      </c>
      <c r="AY35" s="110">
        <v>2872.7999999999997</v>
      </c>
      <c r="AZ35" s="110">
        <v>8.2879461921736777</v>
      </c>
      <c r="BA35" s="110">
        <v>3401.3731172680773</v>
      </c>
      <c r="BB35" s="110">
        <v>9</v>
      </c>
      <c r="BC35" s="110">
        <v>3693.6</v>
      </c>
      <c r="BD35" s="110">
        <v>10.17877673869998</v>
      </c>
      <c r="BE35" s="110">
        <v>4177.3699735624714</v>
      </c>
      <c r="BF35" s="110">
        <v>8.506223197917528</v>
      </c>
      <c r="BG35" s="110">
        <v>3490.9540004253531</v>
      </c>
      <c r="BH35" s="110">
        <v>1.8994847208677019</v>
      </c>
      <c r="BI35" s="110">
        <v>779.54852944410482</v>
      </c>
      <c r="BJ35" s="110">
        <v>2.3907027312392164</v>
      </c>
      <c r="BK35" s="110">
        <v>981.1444009005744</v>
      </c>
      <c r="BL35" s="110">
        <v>2.3540663922466791</v>
      </c>
      <c r="BM35" s="110">
        <v>966.10884737803701</v>
      </c>
      <c r="BN35" s="110">
        <v>1.9331212007131455</v>
      </c>
      <c r="BO35" s="110">
        <v>793.35294077267486</v>
      </c>
      <c r="BP35" s="110">
        <v>8.3722752307352586</v>
      </c>
      <c r="BQ35" s="110">
        <v>3435.9817546937497</v>
      </c>
      <c r="BR35" s="110">
        <v>8.0167202734804839</v>
      </c>
      <c r="BS35" s="110">
        <v>3290.0620002363903</v>
      </c>
      <c r="BT35" s="110">
        <v>10</v>
      </c>
      <c r="BU35" s="110">
        <v>4104</v>
      </c>
      <c r="BV35" s="110">
        <v>9.6099676648547891</v>
      </c>
      <c r="BW35" s="110">
        <v>3943.9307296564052</v>
      </c>
      <c r="BX35" s="110">
        <v>2</v>
      </c>
      <c r="BY35" s="110">
        <v>820.8</v>
      </c>
      <c r="BZ35" s="110">
        <v>2</v>
      </c>
      <c r="CA35" s="110">
        <v>820.8</v>
      </c>
      <c r="CB35" s="110">
        <v>2</v>
      </c>
      <c r="CC35" s="110">
        <v>820.8</v>
      </c>
      <c r="CD35" s="110">
        <v>2</v>
      </c>
      <c r="CE35" s="110">
        <v>820.8</v>
      </c>
      <c r="CF35" s="110">
        <v>2.2319323146758769</v>
      </c>
      <c r="CG35" s="110">
        <v>915.98502194297987</v>
      </c>
      <c r="CH35" s="110">
        <v>2</v>
      </c>
      <c r="CI35" s="110">
        <v>820.8</v>
      </c>
      <c r="CJ35" s="110">
        <v>3.6140454814694127</v>
      </c>
      <c r="CK35" s="110">
        <v>1483.204265595047</v>
      </c>
      <c r="CL35" s="110">
        <v>2</v>
      </c>
      <c r="CM35" s="110">
        <v>820.8</v>
      </c>
      <c r="CN35" s="110">
        <v>16.35222693153618</v>
      </c>
      <c r="CO35" s="110">
        <v>6710.9539327024477</v>
      </c>
      <c r="CP35" s="110">
        <v>22.248319663788955</v>
      </c>
      <c r="CQ35" s="110">
        <v>9130.7103900189868</v>
      </c>
      <c r="CR35" s="110">
        <v>15</v>
      </c>
      <c r="CS35" s="110">
        <v>6156</v>
      </c>
      <c r="CT35" s="110">
        <v>13.264611372903166</v>
      </c>
      <c r="CU35" s="110">
        <v>5443.7965074394597</v>
      </c>
    </row>
    <row r="36" spans="2:99" x14ac:dyDescent="0.2">
      <c r="C36" s="109" t="s">
        <v>204</v>
      </c>
      <c r="D36" s="110">
        <v>2.9296271235002256</v>
      </c>
      <c r="E36" s="110">
        <v>1641.7630400095263</v>
      </c>
      <c r="F36" s="110">
        <v>2.6695144468886838</v>
      </c>
      <c r="G36" s="110">
        <v>1495.9958960364183</v>
      </c>
      <c r="H36" s="110">
        <v>2</v>
      </c>
      <c r="I36" s="110">
        <v>1120.8</v>
      </c>
      <c r="J36" s="110">
        <v>4.3571854366520446</v>
      </c>
      <c r="K36" s="110">
        <v>2441.7667186998056</v>
      </c>
      <c r="L36" s="110">
        <v>5.9001148827158989</v>
      </c>
      <c r="M36" s="110">
        <v>3306.4243802739898</v>
      </c>
      <c r="N36" s="110">
        <v>5.0447529166222331</v>
      </c>
      <c r="O36" s="110">
        <v>2827.0795344750995</v>
      </c>
      <c r="P36" s="110">
        <v>4.787445092645692</v>
      </c>
      <c r="Q36" s="110">
        <v>2682.8842299186458</v>
      </c>
      <c r="R36" s="110">
        <v>5.8151703268158279</v>
      </c>
      <c r="S36" s="110">
        <v>3258.8214511475899</v>
      </c>
      <c r="T36" s="110">
        <v>13</v>
      </c>
      <c r="U36" s="110">
        <v>7285.2</v>
      </c>
      <c r="V36" s="110">
        <v>10</v>
      </c>
      <c r="W36" s="110">
        <v>5604</v>
      </c>
      <c r="X36" s="110">
        <v>7</v>
      </c>
      <c r="Y36" s="110">
        <v>3922.7999999999997</v>
      </c>
      <c r="Z36" s="110">
        <v>6</v>
      </c>
      <c r="AA36" s="110">
        <v>3362.3999999999996</v>
      </c>
      <c r="AB36" s="110">
        <v>7</v>
      </c>
      <c r="AC36" s="110">
        <v>3922.7999999999997</v>
      </c>
      <c r="AD36" s="110">
        <v>13.998289584135035</v>
      </c>
      <c r="AE36" s="110">
        <v>7844.6414829492733</v>
      </c>
      <c r="AF36" s="110">
        <v>11</v>
      </c>
      <c r="AG36" s="110">
        <v>6164.4</v>
      </c>
      <c r="AH36" s="110">
        <v>12.96300578661125</v>
      </c>
      <c r="AI36" s="110">
        <v>7264.4684428169439</v>
      </c>
      <c r="AJ36" s="110">
        <v>13.876786652522407</v>
      </c>
      <c r="AK36" s="110">
        <v>7776.5512400735561</v>
      </c>
      <c r="AL36" s="110">
        <v>11</v>
      </c>
      <c r="AM36" s="110">
        <v>6164.4</v>
      </c>
      <c r="AN36" s="110">
        <v>11</v>
      </c>
      <c r="AO36" s="110">
        <v>6164.4</v>
      </c>
      <c r="AP36" s="110">
        <v>8</v>
      </c>
      <c r="AQ36" s="110">
        <v>4483.2</v>
      </c>
      <c r="AR36" s="110">
        <v>7</v>
      </c>
      <c r="AS36" s="110">
        <v>3922.7999999999997</v>
      </c>
      <c r="AT36" s="110">
        <v>9.6527244246335826</v>
      </c>
      <c r="AU36" s="110">
        <v>5409.3867675646597</v>
      </c>
      <c r="AV36" s="110">
        <v>6.3348079177170931</v>
      </c>
      <c r="AW36" s="110">
        <v>3550.0263570886586</v>
      </c>
      <c r="AX36" s="110">
        <v>7.2731394494589621</v>
      </c>
      <c r="AY36" s="110">
        <v>4075.867347476802</v>
      </c>
      <c r="AZ36" s="110">
        <v>7</v>
      </c>
      <c r="BA36" s="110">
        <v>3922.7999999999997</v>
      </c>
      <c r="BB36" s="110">
        <v>9.3270038023514079</v>
      </c>
      <c r="BC36" s="110">
        <v>5226.8529308377292</v>
      </c>
      <c r="BD36" s="110">
        <v>10</v>
      </c>
      <c r="BE36" s="110">
        <v>5604</v>
      </c>
      <c r="BF36" s="110">
        <v>8.4523383106485355</v>
      </c>
      <c r="BG36" s="110">
        <v>4736.6903892874388</v>
      </c>
      <c r="BH36" s="110">
        <v>4.4032661542655287</v>
      </c>
      <c r="BI36" s="110">
        <v>2467.5903528504023</v>
      </c>
      <c r="BJ36" s="110">
        <v>9.3779811283124808</v>
      </c>
      <c r="BK36" s="110">
        <v>5255.4206243063136</v>
      </c>
      <c r="BL36" s="110">
        <v>5.4455565695237773</v>
      </c>
      <c r="BM36" s="110">
        <v>3051.6899015611248</v>
      </c>
      <c r="BN36" s="110">
        <v>8.3126758513473256</v>
      </c>
      <c r="BO36" s="110">
        <v>4658.4235470950407</v>
      </c>
      <c r="BP36" s="110">
        <v>11.234677323932509</v>
      </c>
      <c r="BQ36" s="110">
        <v>6295.9131723317778</v>
      </c>
      <c r="BR36" s="110">
        <v>8</v>
      </c>
      <c r="BS36" s="110">
        <v>4483.2</v>
      </c>
      <c r="BT36" s="110">
        <v>10</v>
      </c>
      <c r="BU36" s="110">
        <v>5604</v>
      </c>
      <c r="BV36" s="110">
        <v>10.462024796712107</v>
      </c>
      <c r="BW36" s="110">
        <v>5862.918696077465</v>
      </c>
      <c r="BX36" s="110">
        <v>1</v>
      </c>
      <c r="BY36" s="110">
        <v>560.4</v>
      </c>
      <c r="BZ36" s="110">
        <v>2</v>
      </c>
      <c r="CA36" s="110">
        <v>1120.8</v>
      </c>
      <c r="CB36" s="110">
        <v>1</v>
      </c>
      <c r="CC36" s="110">
        <v>560.4</v>
      </c>
      <c r="CD36" s="110">
        <v>2</v>
      </c>
      <c r="CE36" s="110">
        <v>1120.8</v>
      </c>
      <c r="CF36" s="110">
        <v>2</v>
      </c>
      <c r="CG36" s="110">
        <v>1120.8</v>
      </c>
      <c r="CH36" s="110">
        <v>2.1319328827186363</v>
      </c>
      <c r="CI36" s="110">
        <v>1194.7351874755238</v>
      </c>
      <c r="CJ36" s="110">
        <v>1</v>
      </c>
      <c r="CK36" s="110">
        <v>560.4</v>
      </c>
      <c r="CL36" s="110">
        <v>2</v>
      </c>
      <c r="CM36" s="110">
        <v>1120.8</v>
      </c>
      <c r="CN36" s="110">
        <v>17</v>
      </c>
      <c r="CO36" s="110">
        <v>9526.7999999999993</v>
      </c>
      <c r="CP36" s="110">
        <v>22.072957694440678</v>
      </c>
      <c r="CQ36" s="110">
        <v>12369.685491964556</v>
      </c>
      <c r="CR36" s="110">
        <v>14.285265636128162</v>
      </c>
      <c r="CS36" s="110">
        <v>8005.4628624862216</v>
      </c>
      <c r="CT36" s="110">
        <v>12.2888883823007</v>
      </c>
      <c r="CU36" s="110">
        <v>6886.6930494413118</v>
      </c>
    </row>
    <row r="37" spans="2:99" x14ac:dyDescent="0.2">
      <c r="B37" s="109" t="s">
        <v>128</v>
      </c>
      <c r="C37" s="109" t="s">
        <v>205</v>
      </c>
      <c r="D37" s="110">
        <v>8.7698416099592702</v>
      </c>
      <c r="E37" s="110">
        <v>5714.4287930494611</v>
      </c>
      <c r="F37" s="110">
        <v>15.1394232734763</v>
      </c>
      <c r="G37" s="110">
        <v>9864.8482049971572</v>
      </c>
      <c r="H37" s="110">
        <v>12.240339184169311</v>
      </c>
      <c r="I37" s="110">
        <v>7975.805012404724</v>
      </c>
      <c r="J37" s="110">
        <v>17.452544651288356</v>
      </c>
      <c r="K37" s="110">
        <v>11372.078094779494</v>
      </c>
      <c r="L37" s="110">
        <v>3</v>
      </c>
      <c r="M37" s="110">
        <v>1954.8000000000002</v>
      </c>
      <c r="N37" s="110">
        <v>3.7097625282018525</v>
      </c>
      <c r="O37" s="110">
        <v>2417.2812633763274</v>
      </c>
      <c r="P37" s="110">
        <v>3.2173658311741202</v>
      </c>
      <c r="Q37" s="110">
        <v>2096.4355755930569</v>
      </c>
      <c r="R37" s="110">
        <v>3.2388632696613935</v>
      </c>
      <c r="S37" s="110">
        <v>2110.443306511364</v>
      </c>
      <c r="T37" s="110">
        <v>17.123661351415667</v>
      </c>
      <c r="U37" s="110">
        <v>11157.77773658245</v>
      </c>
      <c r="V37" s="110">
        <v>15.240541075233134</v>
      </c>
      <c r="W37" s="110">
        <v>9930.7365646219096</v>
      </c>
      <c r="X37" s="110">
        <v>11.175596229425839</v>
      </c>
      <c r="Y37" s="110">
        <v>7282.0185030938765</v>
      </c>
      <c r="Z37" s="110">
        <v>10.126240756549933</v>
      </c>
      <c r="AA37" s="110">
        <v>6598.258476967937</v>
      </c>
      <c r="AB37" s="110">
        <v>2.1490754372929355</v>
      </c>
      <c r="AC37" s="110">
        <v>1400.3375549400769</v>
      </c>
      <c r="AD37" s="110">
        <v>3.1270908193338367</v>
      </c>
      <c r="AE37" s="110">
        <v>2037.6123778779281</v>
      </c>
      <c r="AF37" s="110">
        <v>3.1525680055614549</v>
      </c>
      <c r="AG37" s="110">
        <v>2054.2133124238439</v>
      </c>
      <c r="AH37" s="110">
        <v>3.0631677854013049</v>
      </c>
      <c r="AI37" s="110">
        <v>1995.9601289674904</v>
      </c>
      <c r="AJ37" s="110">
        <v>2.1320718229432205</v>
      </c>
      <c r="AK37" s="110">
        <v>1389.2579998298024</v>
      </c>
      <c r="AL37" s="110">
        <v>3.2542435682139774</v>
      </c>
      <c r="AM37" s="110">
        <v>2120.465109048228</v>
      </c>
      <c r="AN37" s="110">
        <v>3.3560307254640351</v>
      </c>
      <c r="AO37" s="110">
        <v>2186.7896207123654</v>
      </c>
      <c r="AP37" s="110">
        <v>3.2103937257610418</v>
      </c>
      <c r="AQ37" s="110">
        <v>2091.8925517058947</v>
      </c>
      <c r="AR37" s="110">
        <v>8.2854862016564415</v>
      </c>
      <c r="AS37" s="110">
        <v>5398.8228089993372</v>
      </c>
      <c r="AT37" s="110">
        <v>9</v>
      </c>
      <c r="AU37" s="110">
        <v>5864.4000000000005</v>
      </c>
      <c r="AV37" s="110">
        <v>10.15301606908565</v>
      </c>
      <c r="AW37" s="110">
        <v>6615.7052706162094</v>
      </c>
      <c r="AX37" s="110">
        <v>5</v>
      </c>
      <c r="AY37" s="110">
        <v>3258</v>
      </c>
      <c r="AZ37" s="110">
        <v>14.223958149468416</v>
      </c>
      <c r="BA37" s="110">
        <v>9268.331130193621</v>
      </c>
      <c r="BB37" s="110">
        <v>14</v>
      </c>
      <c r="BC37" s="110">
        <v>9122.4</v>
      </c>
      <c r="BD37" s="110">
        <v>13.102158136399989</v>
      </c>
      <c r="BE37" s="110">
        <v>8537.3662416782336</v>
      </c>
      <c r="BF37" s="110">
        <v>21.269985705556014</v>
      </c>
      <c r="BG37" s="110">
        <v>13859.522685740299</v>
      </c>
      <c r="BH37" s="110">
        <v>4.232125089256181</v>
      </c>
      <c r="BI37" s="110">
        <v>2757.6527081593276</v>
      </c>
      <c r="BJ37" s="110">
        <v>4.0546983823734903</v>
      </c>
      <c r="BK37" s="110">
        <v>2642.0414659545663</v>
      </c>
      <c r="BL37" s="110">
        <v>4.0643757076812141</v>
      </c>
      <c r="BM37" s="110">
        <v>2648.3472111250794</v>
      </c>
      <c r="BN37" s="110">
        <v>3.1593133757315126</v>
      </c>
      <c r="BO37" s="110">
        <v>2058.6085956266538</v>
      </c>
      <c r="BP37" s="110">
        <v>3.0685770161880739</v>
      </c>
      <c r="BQ37" s="110">
        <v>1999.4847837481491</v>
      </c>
      <c r="BR37" s="110">
        <v>3.305016082044145</v>
      </c>
      <c r="BS37" s="110">
        <v>2153.5484790599648</v>
      </c>
      <c r="BT37" s="110">
        <v>2</v>
      </c>
      <c r="BU37" s="110">
        <v>1303.2</v>
      </c>
      <c r="BV37" s="110">
        <v>2.1626580439612768</v>
      </c>
      <c r="BW37" s="110">
        <v>1409.1879814451679</v>
      </c>
      <c r="BX37" s="110">
        <v>17.122788477511179</v>
      </c>
      <c r="BY37" s="110">
        <v>11157.208971946284</v>
      </c>
      <c r="BZ37" s="110">
        <v>15.112238243033584</v>
      </c>
      <c r="CA37" s="110">
        <v>9847.1344391606835</v>
      </c>
      <c r="CB37" s="110">
        <v>18.090526420932665</v>
      </c>
      <c r="CC37" s="110">
        <v>11787.787015879725</v>
      </c>
      <c r="CD37" s="110">
        <v>20</v>
      </c>
      <c r="CE37" s="110">
        <v>13032</v>
      </c>
      <c r="CF37" s="110">
        <v>13.086974618003454</v>
      </c>
      <c r="CG37" s="110">
        <v>8527.4726610910511</v>
      </c>
      <c r="CH37" s="110">
        <v>13</v>
      </c>
      <c r="CI37" s="110">
        <v>8470.8000000000011</v>
      </c>
      <c r="CJ37" s="110">
        <v>12.880388444437861</v>
      </c>
      <c r="CK37" s="110">
        <v>8392.8611103957101</v>
      </c>
      <c r="CL37" s="110">
        <v>12.201705512728656</v>
      </c>
      <c r="CM37" s="110">
        <v>7950.6313120939931</v>
      </c>
      <c r="CN37" s="110">
        <v>6.150954399229791</v>
      </c>
      <c r="CO37" s="110">
        <v>4007.9618865381321</v>
      </c>
      <c r="CP37" s="110">
        <v>10.303501811297613</v>
      </c>
      <c r="CQ37" s="110">
        <v>6713.7617802415252</v>
      </c>
      <c r="CR37" s="110">
        <v>7</v>
      </c>
      <c r="CS37" s="110">
        <v>4561.2</v>
      </c>
      <c r="CT37" s="110">
        <v>7.2352101092472587</v>
      </c>
      <c r="CU37" s="110">
        <v>4714.4629071855143</v>
      </c>
    </row>
    <row r="38" spans="2:99" x14ac:dyDescent="0.2">
      <c r="C38" s="109" t="s">
        <v>206</v>
      </c>
      <c r="D38" s="110">
        <v>9.4444448107253685</v>
      </c>
      <c r="E38" s="110">
        <v>9746.6670446685803</v>
      </c>
      <c r="F38" s="110">
        <v>13.116496342622295</v>
      </c>
      <c r="G38" s="110">
        <v>13536.224225586207</v>
      </c>
      <c r="H38" s="110">
        <v>10.286882459749869</v>
      </c>
      <c r="I38" s="110">
        <v>10616.062698461865</v>
      </c>
      <c r="J38" s="110">
        <v>15.456156082425302</v>
      </c>
      <c r="K38" s="110">
        <v>15950.753077062911</v>
      </c>
      <c r="L38" s="110">
        <v>4</v>
      </c>
      <c r="M38" s="110">
        <v>4128</v>
      </c>
      <c r="N38" s="110">
        <v>3.7048556805638895</v>
      </c>
      <c r="O38" s="110">
        <v>3823.4110623419338</v>
      </c>
      <c r="P38" s="110">
        <v>3.2445365600708853</v>
      </c>
      <c r="Q38" s="110">
        <v>3348.3617299931539</v>
      </c>
      <c r="R38" s="110">
        <v>2.2654036329571037</v>
      </c>
      <c r="S38" s="110">
        <v>2337.8965492117309</v>
      </c>
      <c r="T38" s="110">
        <v>16.123661351415667</v>
      </c>
      <c r="U38" s="110">
        <v>16639.618514660968</v>
      </c>
      <c r="V38" s="110">
        <v>13.240541075233134</v>
      </c>
      <c r="W38" s="110">
        <v>13664.238389640594</v>
      </c>
      <c r="X38" s="110">
        <v>12.197545758104068</v>
      </c>
      <c r="Y38" s="110">
        <v>12587.867222363398</v>
      </c>
      <c r="Z38" s="110">
        <v>10.105200630458278</v>
      </c>
      <c r="AA38" s="110">
        <v>10428.567050632942</v>
      </c>
      <c r="AB38" s="110">
        <v>2.1277789462510879</v>
      </c>
      <c r="AC38" s="110">
        <v>2195.8678725311229</v>
      </c>
      <c r="AD38" s="110">
        <v>3.1482726225561426</v>
      </c>
      <c r="AE38" s="110">
        <v>3249.0173464779391</v>
      </c>
      <c r="AF38" s="110">
        <v>3.1334970048662729</v>
      </c>
      <c r="AG38" s="110">
        <v>3233.7689090219937</v>
      </c>
      <c r="AH38" s="110">
        <v>3.0631677854013049</v>
      </c>
      <c r="AI38" s="110">
        <v>3161.1891545341468</v>
      </c>
      <c r="AJ38" s="110">
        <v>2.1165339614204886</v>
      </c>
      <c r="AK38" s="110">
        <v>2184.2630481859442</v>
      </c>
      <c r="AL38" s="110">
        <v>2.2151291731041347</v>
      </c>
      <c r="AM38" s="110">
        <v>2286.0133066434669</v>
      </c>
      <c r="AN38" s="110">
        <v>3.3560307254640351</v>
      </c>
      <c r="AO38" s="110">
        <v>3463.4237086788844</v>
      </c>
      <c r="AP38" s="110">
        <v>3.2103937257610418</v>
      </c>
      <c r="AQ38" s="110">
        <v>3313.1263249853951</v>
      </c>
      <c r="AR38" s="110">
        <v>8.2498004264493865</v>
      </c>
      <c r="AS38" s="110">
        <v>8513.7940400957668</v>
      </c>
      <c r="AT38" s="110">
        <v>9</v>
      </c>
      <c r="AU38" s="110">
        <v>9288</v>
      </c>
      <c r="AV38" s="110">
        <v>9.1338890604499436</v>
      </c>
      <c r="AW38" s="110">
        <v>9426.1735103843421</v>
      </c>
      <c r="AX38" s="110">
        <v>5</v>
      </c>
      <c r="AY38" s="110">
        <v>5160</v>
      </c>
      <c r="AZ38" s="110">
        <v>12.223958149468416</v>
      </c>
      <c r="BA38" s="110">
        <v>12615.124810251406</v>
      </c>
      <c r="BB38" s="110">
        <v>13</v>
      </c>
      <c r="BC38" s="110">
        <v>13416</v>
      </c>
      <c r="BD38" s="110">
        <v>14.102158136399989</v>
      </c>
      <c r="BE38" s="110">
        <v>14553.427196764789</v>
      </c>
      <c r="BF38" s="110">
        <v>22.236237492361514</v>
      </c>
      <c r="BG38" s="110">
        <v>22947.797092117082</v>
      </c>
      <c r="BH38" s="110">
        <v>4.2031094530991586</v>
      </c>
      <c r="BI38" s="110">
        <v>4337.6089555983317</v>
      </c>
      <c r="BJ38" s="110">
        <v>4.0546983823734903</v>
      </c>
      <c r="BK38" s="110">
        <v>4184.4487306094425</v>
      </c>
      <c r="BL38" s="110">
        <v>3.0643757076812141</v>
      </c>
      <c r="BM38" s="110">
        <v>3162.4357303270131</v>
      </c>
      <c r="BN38" s="110">
        <v>3.1820724294074432</v>
      </c>
      <c r="BO38" s="110">
        <v>3283.8987471484816</v>
      </c>
      <c r="BP38" s="110">
        <v>3.0685770161880739</v>
      </c>
      <c r="BQ38" s="110">
        <v>3166.7714807060925</v>
      </c>
      <c r="BR38" s="110">
        <v>3.3389067578268281</v>
      </c>
      <c r="BS38" s="110">
        <v>3445.7517740772864</v>
      </c>
      <c r="BT38" s="110">
        <v>3</v>
      </c>
      <c r="BU38" s="110">
        <v>3096</v>
      </c>
      <c r="BV38" s="110">
        <v>2.2033225549515962</v>
      </c>
      <c r="BW38" s="110">
        <v>2273.8288767100471</v>
      </c>
      <c r="BX38" s="110">
        <v>18.102323731259318</v>
      </c>
      <c r="BY38" s="110">
        <v>18681.598090659616</v>
      </c>
      <c r="BZ38" s="110">
        <v>14.112238243033584</v>
      </c>
      <c r="CA38" s="110">
        <v>14563.829866810658</v>
      </c>
      <c r="CB38" s="110">
        <v>20.090526420932665</v>
      </c>
      <c r="CC38" s="110">
        <v>20733.423266402511</v>
      </c>
      <c r="CD38" s="110">
        <v>21</v>
      </c>
      <c r="CE38" s="110">
        <v>21672</v>
      </c>
      <c r="CF38" s="110">
        <v>11.086974618003454</v>
      </c>
      <c r="CG38" s="110">
        <v>11441.757805779565</v>
      </c>
      <c r="CH38" s="110">
        <v>13</v>
      </c>
      <c r="CI38" s="110">
        <v>13416</v>
      </c>
      <c r="CJ38" s="110">
        <v>12.027119851844171</v>
      </c>
      <c r="CK38" s="110">
        <v>12411.987687103185</v>
      </c>
      <c r="CL38" s="110">
        <v>13.201705512728656</v>
      </c>
      <c r="CM38" s="110">
        <v>13624.160089135974</v>
      </c>
      <c r="CN38" s="110">
        <v>5.176113465768089</v>
      </c>
      <c r="CO38" s="110">
        <v>5341.7490966726682</v>
      </c>
      <c r="CP38" s="110">
        <v>11.303501811297613</v>
      </c>
      <c r="CQ38" s="110">
        <v>11665.213869259136</v>
      </c>
      <c r="CR38" s="110">
        <v>7</v>
      </c>
      <c r="CS38" s="110">
        <v>7224</v>
      </c>
      <c r="CT38" s="110">
        <v>7.2352101092472587</v>
      </c>
      <c r="CU38" s="110">
        <v>7466.7368327431714</v>
      </c>
    </row>
    <row r="39" spans="2:99" x14ac:dyDescent="0.2">
      <c r="C39" s="109" t="s">
        <v>207</v>
      </c>
      <c r="D39" s="110">
        <v>8.0952384091931737</v>
      </c>
      <c r="E39" s="110">
        <v>9811.4289519421272</v>
      </c>
      <c r="F39" s="110">
        <v>12.1394232734763</v>
      </c>
      <c r="G39" s="110">
        <v>14712.981007453276</v>
      </c>
      <c r="H39" s="110">
        <v>11.240339184169311</v>
      </c>
      <c r="I39" s="110">
        <v>13623.291091213205</v>
      </c>
      <c r="J39" s="110">
        <v>13.562069382973499</v>
      </c>
      <c r="K39" s="110">
        <v>16437.228092163881</v>
      </c>
      <c r="L39" s="110">
        <v>3</v>
      </c>
      <c r="M39" s="110">
        <v>3636</v>
      </c>
      <c r="N39" s="110">
        <v>3.7048556805638895</v>
      </c>
      <c r="O39" s="110">
        <v>4490.2850848434337</v>
      </c>
      <c r="P39" s="110">
        <v>3.1901951022773551</v>
      </c>
      <c r="Q39" s="110">
        <v>3866.5164639601544</v>
      </c>
      <c r="R39" s="110">
        <v>3.2388632696613935</v>
      </c>
      <c r="S39" s="110">
        <v>3925.5022828296087</v>
      </c>
      <c r="T39" s="110">
        <v>19.10992120125837</v>
      </c>
      <c r="U39" s="110">
        <v>23161.224495925144</v>
      </c>
      <c r="V39" s="110">
        <v>14.21648696770982</v>
      </c>
      <c r="W39" s="110">
        <v>17230.382204864301</v>
      </c>
      <c r="X39" s="110">
        <v>10.197545758104068</v>
      </c>
      <c r="Y39" s="110">
        <v>12359.42545882213</v>
      </c>
      <c r="Z39" s="110">
        <v>10.105200630458278</v>
      </c>
      <c r="AA39" s="110">
        <v>12247.503164115433</v>
      </c>
      <c r="AB39" s="110">
        <v>3.1490754372929355</v>
      </c>
      <c r="AC39" s="110">
        <v>3816.6794299990379</v>
      </c>
      <c r="AD39" s="110">
        <v>3.1270908193338367</v>
      </c>
      <c r="AE39" s="110">
        <v>3790.0340730326102</v>
      </c>
      <c r="AF39" s="110">
        <v>2.1525680055614549</v>
      </c>
      <c r="AG39" s="110">
        <v>2608.9124227404832</v>
      </c>
      <c r="AH39" s="110">
        <v>3.0631677854013049</v>
      </c>
      <c r="AI39" s="110">
        <v>3712.5593559063814</v>
      </c>
      <c r="AJ39" s="110">
        <v>2.1243028921818543</v>
      </c>
      <c r="AK39" s="110">
        <v>2574.6551053244075</v>
      </c>
      <c r="AL39" s="110">
        <v>3.2346863706590563</v>
      </c>
      <c r="AM39" s="110">
        <v>3920.4398812387763</v>
      </c>
      <c r="AN39" s="110">
        <v>3.3758102102120371</v>
      </c>
      <c r="AO39" s="110">
        <v>4091.4819747769889</v>
      </c>
      <c r="AP39" s="110">
        <v>3.2244199741451109</v>
      </c>
      <c r="AQ39" s="110">
        <v>3907.9970086638746</v>
      </c>
      <c r="AR39" s="110">
        <v>9.2141146512423315</v>
      </c>
      <c r="AS39" s="110">
        <v>11167.506957305706</v>
      </c>
      <c r="AT39" s="110">
        <v>9</v>
      </c>
      <c r="AU39" s="110">
        <v>10908</v>
      </c>
      <c r="AV39" s="110">
        <v>10.133889060449944</v>
      </c>
      <c r="AW39" s="110">
        <v>12282.273541265331</v>
      </c>
      <c r="AX39" s="110">
        <v>5</v>
      </c>
      <c r="AY39" s="110">
        <v>6060</v>
      </c>
      <c r="AZ39" s="110">
        <v>13.191964128115785</v>
      </c>
      <c r="BA39" s="110">
        <v>15988.660523276332</v>
      </c>
      <c r="BB39" s="110">
        <v>12</v>
      </c>
      <c r="BC39" s="110">
        <v>14544</v>
      </c>
      <c r="BD39" s="110">
        <v>11.114927903449988</v>
      </c>
      <c r="BE39" s="110">
        <v>13471.292618981386</v>
      </c>
      <c r="BF39" s="110">
        <v>19.236237492361514</v>
      </c>
      <c r="BG39" s="110">
        <v>23314.319840742155</v>
      </c>
      <c r="BH39" s="110">
        <v>4.232125089256181</v>
      </c>
      <c r="BI39" s="110">
        <v>5129.3356081784914</v>
      </c>
      <c r="BJ39" s="110">
        <v>4.0468843277487059</v>
      </c>
      <c r="BK39" s="110">
        <v>4904.8238052314318</v>
      </c>
      <c r="BL39" s="110">
        <v>4.0643757076812141</v>
      </c>
      <c r="BM39" s="110">
        <v>4926.0233577096315</v>
      </c>
      <c r="BN39" s="110">
        <v>3.1593133757315126</v>
      </c>
      <c r="BO39" s="110">
        <v>3829.0878113865933</v>
      </c>
      <c r="BP39" s="110">
        <v>2.0685770161880739</v>
      </c>
      <c r="BQ39" s="110">
        <v>2507.1153436199456</v>
      </c>
      <c r="BR39" s="110">
        <v>3.3389067578268281</v>
      </c>
      <c r="BS39" s="110">
        <v>4046.7549904861157</v>
      </c>
      <c r="BT39" s="110">
        <v>2</v>
      </c>
      <c r="BU39" s="110">
        <v>2424</v>
      </c>
      <c r="BV39" s="110">
        <v>2.1829902994564363</v>
      </c>
      <c r="BW39" s="110">
        <v>2645.7842429412008</v>
      </c>
      <c r="BX39" s="110">
        <v>15.122788477511181</v>
      </c>
      <c r="BY39" s="110">
        <v>18328.819634743551</v>
      </c>
      <c r="BZ39" s="110">
        <v>12.112238243033584</v>
      </c>
      <c r="CA39" s="110">
        <v>14680.032750556704</v>
      </c>
      <c r="CB39" s="110">
        <v>19.090526420932665</v>
      </c>
      <c r="CC39" s="110">
        <v>23137.718022170389</v>
      </c>
      <c r="CD39" s="110">
        <v>19</v>
      </c>
      <c r="CE39" s="110">
        <v>23028</v>
      </c>
      <c r="CF39" s="110">
        <v>11.086974618003454</v>
      </c>
      <c r="CG39" s="110">
        <v>13437.413237020186</v>
      </c>
      <c r="CH39" s="110">
        <v>13</v>
      </c>
      <c r="CI39" s="110">
        <v>15756</v>
      </c>
      <c r="CJ39" s="110">
        <v>11.880388444437861</v>
      </c>
      <c r="CK39" s="110">
        <v>14399.030794658687</v>
      </c>
      <c r="CL39" s="110">
        <v>11.201705512728656</v>
      </c>
      <c r="CM39" s="110">
        <v>13576.467081427132</v>
      </c>
      <c r="CN39" s="110">
        <v>5.176113465768089</v>
      </c>
      <c r="CO39" s="110">
        <v>6273.4495205109242</v>
      </c>
      <c r="CP39" s="110">
        <v>10.248319663788957</v>
      </c>
      <c r="CQ39" s="110">
        <v>12420.963432512215</v>
      </c>
      <c r="CR39" s="110">
        <v>6</v>
      </c>
      <c r="CS39" s="110">
        <v>7272</v>
      </c>
      <c r="CT39" s="110">
        <v>7.2058088455913518</v>
      </c>
      <c r="CU39" s="110">
        <v>8733.4403208567182</v>
      </c>
    </row>
    <row r="40" spans="2:99" x14ac:dyDescent="0.2">
      <c r="C40" s="109" t="s">
        <v>208</v>
      </c>
      <c r="D40" s="110">
        <v>9.4444448107253685</v>
      </c>
      <c r="E40" s="110">
        <v>4884.6668561071601</v>
      </c>
      <c r="F40" s="110">
        <v>14.1394232734763</v>
      </c>
      <c r="G40" s="110">
        <v>7312.9097170419418</v>
      </c>
      <c r="H40" s="110">
        <v>12.286882459749869</v>
      </c>
      <c r="I40" s="110">
        <v>6354.775608182631</v>
      </c>
      <c r="J40" s="110">
        <v>15.562069382973499</v>
      </c>
      <c r="K40" s="110">
        <v>8048.7022848738925</v>
      </c>
      <c r="L40" s="110">
        <v>4</v>
      </c>
      <c r="M40" s="110">
        <v>2068.7999999999997</v>
      </c>
      <c r="N40" s="110">
        <v>4.7048556805638899</v>
      </c>
      <c r="O40" s="110">
        <v>2433.3513579876435</v>
      </c>
      <c r="P40" s="110">
        <v>3.1901951022773551</v>
      </c>
      <c r="Q40" s="110">
        <v>1649.9689068978478</v>
      </c>
      <c r="R40" s="110">
        <v>3.2388632696613935</v>
      </c>
      <c r="S40" s="110">
        <v>1675.1400830688724</v>
      </c>
      <c r="T40" s="110">
        <v>19.10992120125837</v>
      </c>
      <c r="U40" s="110">
        <v>9883.6512452908282</v>
      </c>
      <c r="V40" s="110">
        <v>16.240541075233132</v>
      </c>
      <c r="W40" s="110">
        <v>8399.6078441105747</v>
      </c>
      <c r="X40" s="110">
        <v>13.197545758104068</v>
      </c>
      <c r="Y40" s="110">
        <v>6825.7706660914228</v>
      </c>
      <c r="Z40" s="110">
        <v>11.126240756549933</v>
      </c>
      <c r="AA40" s="110">
        <v>5754.4917192876246</v>
      </c>
      <c r="AB40" s="110">
        <v>2.1490754372929355</v>
      </c>
      <c r="AC40" s="110">
        <v>1111.5018161679061</v>
      </c>
      <c r="AD40" s="110">
        <v>3.1482726225561426</v>
      </c>
      <c r="AE40" s="110">
        <v>1628.2866003860368</v>
      </c>
      <c r="AF40" s="110">
        <v>3.1716390062566369</v>
      </c>
      <c r="AG40" s="110">
        <v>1640.3716940359325</v>
      </c>
      <c r="AH40" s="110">
        <v>3.0631677854013049</v>
      </c>
      <c r="AI40" s="110">
        <v>1584.2703786095547</v>
      </c>
      <c r="AJ40" s="110">
        <v>2.1243028921818543</v>
      </c>
      <c r="AK40" s="110">
        <v>1098.689455836455</v>
      </c>
      <c r="AL40" s="110">
        <v>3.2542435682139774</v>
      </c>
      <c r="AM40" s="110">
        <v>1683.0947734802689</v>
      </c>
      <c r="AN40" s="110">
        <v>4.3560307254640351</v>
      </c>
      <c r="AO40" s="110">
        <v>2252.9390912099989</v>
      </c>
      <c r="AP40" s="110">
        <v>3.2103937257610418</v>
      </c>
      <c r="AQ40" s="110">
        <v>1660.4156349636105</v>
      </c>
      <c r="AR40" s="110">
        <v>8.2498004264493865</v>
      </c>
      <c r="AS40" s="110">
        <v>4266.7967805596218</v>
      </c>
      <c r="AT40" s="110">
        <v>9</v>
      </c>
      <c r="AU40" s="110">
        <v>4654.7999999999993</v>
      </c>
      <c r="AV40" s="110">
        <v>10.15301606908565</v>
      </c>
      <c r="AW40" s="110">
        <v>5251.1399109310978</v>
      </c>
      <c r="AX40" s="110">
        <v>6</v>
      </c>
      <c r="AY40" s="110">
        <v>3103.2</v>
      </c>
      <c r="AZ40" s="110">
        <v>13.223958149468416</v>
      </c>
      <c r="BA40" s="110">
        <v>6839.4311549050635</v>
      </c>
      <c r="BB40" s="110">
        <v>13</v>
      </c>
      <c r="BC40" s="110">
        <v>6723.5999999999995</v>
      </c>
      <c r="BD40" s="110">
        <v>14.114927903449988</v>
      </c>
      <c r="BE40" s="110">
        <v>7300.2407116643326</v>
      </c>
      <c r="BF40" s="110">
        <v>20.269985705556014</v>
      </c>
      <c r="BG40" s="110">
        <v>10483.636606913569</v>
      </c>
      <c r="BH40" s="110">
        <v>4.232125089256181</v>
      </c>
      <c r="BI40" s="110">
        <v>2188.8550961632964</v>
      </c>
      <c r="BJ40" s="110">
        <v>4.0468843277487059</v>
      </c>
      <c r="BK40" s="110">
        <v>2093.0485743116305</v>
      </c>
      <c r="BL40" s="110">
        <v>3.0643757076812141</v>
      </c>
      <c r="BM40" s="110">
        <v>1584.8951160127237</v>
      </c>
      <c r="BN40" s="110">
        <v>3.1820724294074432</v>
      </c>
      <c r="BO40" s="110">
        <v>1645.7678604895293</v>
      </c>
      <c r="BP40" s="110">
        <v>3.0587802995897779</v>
      </c>
      <c r="BQ40" s="110">
        <v>1582.0011709478329</v>
      </c>
      <c r="BR40" s="110">
        <v>3.3389067578268281</v>
      </c>
      <c r="BS40" s="110">
        <v>1726.8825751480354</v>
      </c>
      <c r="BT40" s="110">
        <v>2</v>
      </c>
      <c r="BU40" s="110">
        <v>1034.3999999999999</v>
      </c>
      <c r="BV40" s="110">
        <v>2.1829902994564363</v>
      </c>
      <c r="BW40" s="110">
        <v>1129.0425828788686</v>
      </c>
      <c r="BX40" s="110">
        <v>19.102323731259318</v>
      </c>
      <c r="BY40" s="110">
        <v>9879.721833807318</v>
      </c>
      <c r="BZ40" s="110">
        <v>14.112238243033584</v>
      </c>
      <c r="CA40" s="110">
        <v>7298.8496192969687</v>
      </c>
      <c r="CB40" s="110">
        <v>19.090526420932665</v>
      </c>
      <c r="CC40" s="110">
        <v>9873.6202649063725</v>
      </c>
      <c r="CD40" s="110">
        <v>20</v>
      </c>
      <c r="CE40" s="110">
        <v>10343.999999999998</v>
      </c>
      <c r="CF40" s="110">
        <v>12.072478848336212</v>
      </c>
      <c r="CG40" s="110">
        <v>6243.8860603594885</v>
      </c>
      <c r="CH40" s="110">
        <v>14</v>
      </c>
      <c r="CI40" s="110">
        <v>7240.7999999999993</v>
      </c>
      <c r="CJ40" s="110">
        <v>10.880388444437861</v>
      </c>
      <c r="CK40" s="110">
        <v>5627.3369034632606</v>
      </c>
      <c r="CL40" s="110">
        <v>14.201705512728656</v>
      </c>
      <c r="CM40" s="110">
        <v>7345.1220911832597</v>
      </c>
      <c r="CN40" s="110">
        <v>6.150954399229791</v>
      </c>
      <c r="CO40" s="110">
        <v>3181.2736152816474</v>
      </c>
      <c r="CP40" s="110">
        <v>10.275910737543285</v>
      </c>
      <c r="CQ40" s="110">
        <v>5314.7010334573861</v>
      </c>
      <c r="CR40" s="110">
        <v>7</v>
      </c>
      <c r="CS40" s="110">
        <v>3620.3999999999996</v>
      </c>
      <c r="CT40" s="110">
        <v>6.2352101092472587</v>
      </c>
      <c r="CU40" s="110">
        <v>3224.8506685026819</v>
      </c>
    </row>
    <row r="41" spans="2:99" x14ac:dyDescent="0.2">
      <c r="C41" s="109" t="s">
        <v>209</v>
      </c>
      <c r="D41" s="110">
        <v>9.4444448107253685</v>
      </c>
      <c r="E41" s="110">
        <v>4295.3334999178978</v>
      </c>
      <c r="F41" s="110">
        <v>13.1394232734763</v>
      </c>
      <c r="G41" s="110">
        <v>5975.8097047770216</v>
      </c>
      <c r="H41" s="110">
        <v>11.288407021003174</v>
      </c>
      <c r="I41" s="110">
        <v>5133.9675131522436</v>
      </c>
      <c r="J41" s="110">
        <v>14.562069382973499</v>
      </c>
      <c r="K41" s="110">
        <v>6622.8291553763474</v>
      </c>
      <c r="L41" s="110">
        <v>3</v>
      </c>
      <c r="M41" s="110">
        <v>1364.4</v>
      </c>
      <c r="N41" s="110">
        <v>4.7048556805638899</v>
      </c>
      <c r="O41" s="110">
        <v>2139.7683635204571</v>
      </c>
      <c r="P41" s="110">
        <v>3.2445365600708853</v>
      </c>
      <c r="Q41" s="110">
        <v>1475.6152275202387</v>
      </c>
      <c r="R41" s="110">
        <v>3.2388632696613935</v>
      </c>
      <c r="S41" s="110">
        <v>1473.0350150420018</v>
      </c>
      <c r="T41" s="110">
        <v>21.10992120125837</v>
      </c>
      <c r="U41" s="110">
        <v>9600.7921623323073</v>
      </c>
      <c r="V41" s="110">
        <v>16.21648696770982</v>
      </c>
      <c r="W41" s="110">
        <v>7375.258272914426</v>
      </c>
      <c r="X41" s="110">
        <v>11.175596229425839</v>
      </c>
      <c r="Y41" s="110">
        <v>5082.6611651428721</v>
      </c>
      <c r="Z41" s="110">
        <v>11.126240756549933</v>
      </c>
      <c r="AA41" s="110">
        <v>5060.2142960789097</v>
      </c>
      <c r="AB41" s="110">
        <v>2.1277789462510879</v>
      </c>
      <c r="AC41" s="110">
        <v>967.7138647549948</v>
      </c>
      <c r="AD41" s="110">
        <v>3.1270908193338367</v>
      </c>
      <c r="AE41" s="110">
        <v>1422.200904633029</v>
      </c>
      <c r="AF41" s="110">
        <v>2.1525680055614549</v>
      </c>
      <c r="AG41" s="110">
        <v>978.98792892934966</v>
      </c>
      <c r="AH41" s="110">
        <v>3.0736957496348558</v>
      </c>
      <c r="AI41" s="110">
        <v>1397.9168269339325</v>
      </c>
      <c r="AJ41" s="110">
        <v>2.147609684465952</v>
      </c>
      <c r="AK41" s="110">
        <v>976.73288449511506</v>
      </c>
      <c r="AL41" s="110">
        <v>3.2346863706590563</v>
      </c>
      <c r="AM41" s="110">
        <v>1471.1353613757387</v>
      </c>
      <c r="AN41" s="110">
        <v>3.3362512407160332</v>
      </c>
      <c r="AO41" s="110">
        <v>1517.327064277652</v>
      </c>
      <c r="AP41" s="110">
        <v>3.2244199741451109</v>
      </c>
      <c r="AQ41" s="110">
        <v>1466.4662042411965</v>
      </c>
      <c r="AR41" s="110">
        <v>8.2498004264493865</v>
      </c>
      <c r="AS41" s="110">
        <v>3752.0092339491812</v>
      </c>
      <c r="AT41" s="110">
        <v>9</v>
      </c>
      <c r="AU41" s="110">
        <v>4093.2000000000003</v>
      </c>
      <c r="AV41" s="110">
        <v>10.15301606908565</v>
      </c>
      <c r="AW41" s="110">
        <v>4617.591708220154</v>
      </c>
      <c r="AX41" s="110">
        <v>6</v>
      </c>
      <c r="AY41" s="110">
        <v>2728.8</v>
      </c>
      <c r="AZ41" s="110">
        <v>14.223958149468416</v>
      </c>
      <c r="BA41" s="110">
        <v>6469.0561663782355</v>
      </c>
      <c r="BB41" s="110">
        <v>13</v>
      </c>
      <c r="BC41" s="110">
        <v>5912.4000000000005</v>
      </c>
      <c r="BD41" s="110">
        <v>15.127697670499986</v>
      </c>
      <c r="BE41" s="110">
        <v>6880.076900543394</v>
      </c>
      <c r="BF41" s="110">
        <v>22.236237492361514</v>
      </c>
      <c r="BG41" s="110">
        <v>10113.040811526016</v>
      </c>
      <c r="BH41" s="110">
        <v>4.232125089256181</v>
      </c>
      <c r="BI41" s="110">
        <v>1924.7704905937112</v>
      </c>
      <c r="BJ41" s="110">
        <v>4.0468843277487059</v>
      </c>
      <c r="BK41" s="110">
        <v>1840.5229922601116</v>
      </c>
      <c r="BL41" s="110">
        <v>4.0643757076812141</v>
      </c>
      <c r="BM41" s="110">
        <v>1848.4780718534162</v>
      </c>
      <c r="BN41" s="110">
        <v>3.1593133757315126</v>
      </c>
      <c r="BO41" s="110">
        <v>1436.855723282692</v>
      </c>
      <c r="BP41" s="110">
        <v>3.0685770161880739</v>
      </c>
      <c r="BQ41" s="110">
        <v>1395.588826962336</v>
      </c>
      <c r="BR41" s="110">
        <v>3.305016082044145</v>
      </c>
      <c r="BS41" s="110">
        <v>1503.1213141136773</v>
      </c>
      <c r="BT41" s="110">
        <v>2</v>
      </c>
      <c r="BU41" s="110">
        <v>909.6</v>
      </c>
      <c r="BV41" s="110">
        <v>2.1829902994564363</v>
      </c>
      <c r="BW41" s="110">
        <v>992.82398819278728</v>
      </c>
      <c r="BX41" s="110">
        <v>20.122788477511179</v>
      </c>
      <c r="BY41" s="110">
        <v>9151.8441995720841</v>
      </c>
      <c r="BZ41" s="110">
        <v>15.112238243033584</v>
      </c>
      <c r="CA41" s="110">
        <v>6873.045952931674</v>
      </c>
      <c r="CB41" s="110">
        <v>20.105614157754776</v>
      </c>
      <c r="CC41" s="110">
        <v>9144.0333189468729</v>
      </c>
      <c r="CD41" s="110">
        <v>23</v>
      </c>
      <c r="CE41" s="110">
        <v>10460.4</v>
      </c>
      <c r="CF41" s="110">
        <v>13.072478848336212</v>
      </c>
      <c r="CG41" s="110">
        <v>5945.3633802233098</v>
      </c>
      <c r="CH41" s="110">
        <v>14</v>
      </c>
      <c r="CI41" s="110">
        <v>6367.2</v>
      </c>
      <c r="CJ41" s="110">
        <v>12.880388444437861</v>
      </c>
      <c r="CK41" s="110">
        <v>5858.0006645303392</v>
      </c>
      <c r="CL41" s="110">
        <v>12.201705512728656</v>
      </c>
      <c r="CM41" s="110">
        <v>5549.3356671889933</v>
      </c>
      <c r="CN41" s="110">
        <v>6.150954399229791</v>
      </c>
      <c r="CO41" s="110">
        <v>2797.454060769709</v>
      </c>
      <c r="CP41" s="110">
        <v>10.303501811297613</v>
      </c>
      <c r="CQ41" s="110">
        <v>4686.0326237781546</v>
      </c>
      <c r="CR41" s="110">
        <v>7</v>
      </c>
      <c r="CS41" s="110">
        <v>3183.6</v>
      </c>
      <c r="CT41" s="110">
        <v>7.2646113729031665</v>
      </c>
      <c r="CU41" s="110">
        <v>3303.94525239636</v>
      </c>
    </row>
    <row r="42" spans="2:99" x14ac:dyDescent="0.2">
      <c r="C42" s="109" t="s">
        <v>210</v>
      </c>
      <c r="D42" s="110">
        <v>8.7698416099592702</v>
      </c>
      <c r="E42" s="110">
        <v>6103.8097605316525</v>
      </c>
      <c r="F42" s="110">
        <v>15.1394232734763</v>
      </c>
      <c r="G42" s="110">
        <v>10537.038598339504</v>
      </c>
      <c r="H42" s="110">
        <v>12.286882459749869</v>
      </c>
      <c r="I42" s="110">
        <v>8551.6701919859079</v>
      </c>
      <c r="J42" s="110">
        <v>14.558457951836552</v>
      </c>
      <c r="K42" s="110">
        <v>10132.68673447824</v>
      </c>
      <c r="L42" s="110">
        <v>4</v>
      </c>
      <c r="M42" s="110">
        <v>2784</v>
      </c>
      <c r="N42" s="110">
        <v>4.7097625282018525</v>
      </c>
      <c r="O42" s="110">
        <v>3277.9947196284893</v>
      </c>
      <c r="P42" s="110">
        <v>3.2173658311741202</v>
      </c>
      <c r="Q42" s="110">
        <v>2239.2866184971876</v>
      </c>
      <c r="R42" s="110">
        <v>3.2388632696613935</v>
      </c>
      <c r="S42" s="110">
        <v>2254.2488356843301</v>
      </c>
      <c r="T42" s="110">
        <v>18.10992120125837</v>
      </c>
      <c r="U42" s="110">
        <v>12604.505156075826</v>
      </c>
      <c r="V42" s="110">
        <v>15.240541075233134</v>
      </c>
      <c r="W42" s="110">
        <v>10607.416588362261</v>
      </c>
      <c r="X42" s="110">
        <v>13.197545758104068</v>
      </c>
      <c r="Y42" s="110">
        <v>9185.4918476404309</v>
      </c>
      <c r="Z42" s="110">
        <v>10.126240756549933</v>
      </c>
      <c r="AA42" s="110">
        <v>7047.8635665587535</v>
      </c>
      <c r="AB42" s="110">
        <v>2.1490754372929355</v>
      </c>
      <c r="AC42" s="110">
        <v>1495.7565043558832</v>
      </c>
      <c r="AD42" s="110">
        <v>3.1270908193338367</v>
      </c>
      <c r="AE42" s="110">
        <v>2176.4552102563503</v>
      </c>
      <c r="AF42" s="110">
        <v>3.1525680055614549</v>
      </c>
      <c r="AG42" s="110">
        <v>2194.1873318707726</v>
      </c>
      <c r="AH42" s="110">
        <v>3.0631677854013049</v>
      </c>
      <c r="AI42" s="110">
        <v>2131.964778639308</v>
      </c>
      <c r="AJ42" s="110">
        <v>2.1398407537045863</v>
      </c>
      <c r="AK42" s="110">
        <v>1489.329164578392</v>
      </c>
      <c r="AL42" s="110">
        <v>3.2542435682139774</v>
      </c>
      <c r="AM42" s="110">
        <v>2264.9535234769282</v>
      </c>
      <c r="AN42" s="110">
        <v>3.395589694960039</v>
      </c>
      <c r="AO42" s="110">
        <v>2363.3304276921872</v>
      </c>
      <c r="AP42" s="110">
        <v>3.2103937257610418</v>
      </c>
      <c r="AQ42" s="110">
        <v>2234.4340331296848</v>
      </c>
      <c r="AR42" s="110">
        <v>8.2498004264493865</v>
      </c>
      <c r="AS42" s="110">
        <v>5741.8610968087733</v>
      </c>
      <c r="AT42" s="110">
        <v>9</v>
      </c>
      <c r="AU42" s="110">
        <v>6264</v>
      </c>
      <c r="AV42" s="110">
        <v>10.15301606908565</v>
      </c>
      <c r="AW42" s="110">
        <v>7066.4991840836128</v>
      </c>
      <c r="AX42" s="110">
        <v>5</v>
      </c>
      <c r="AY42" s="110">
        <v>3480</v>
      </c>
      <c r="AZ42" s="110">
        <v>13.223958149468416</v>
      </c>
      <c r="BA42" s="110">
        <v>9203.8748720300173</v>
      </c>
      <c r="BB42" s="110">
        <v>13</v>
      </c>
      <c r="BC42" s="110">
        <v>9048</v>
      </c>
      <c r="BD42" s="110">
        <v>13.114927903449988</v>
      </c>
      <c r="BE42" s="110">
        <v>9127.9898208011928</v>
      </c>
      <c r="BF42" s="110">
        <v>21.236237492361514</v>
      </c>
      <c r="BG42" s="110">
        <v>14780.421294683614</v>
      </c>
      <c r="BH42" s="110">
        <v>4.232125089256181</v>
      </c>
      <c r="BI42" s="110">
        <v>2945.5590621223018</v>
      </c>
      <c r="BJ42" s="110">
        <v>4.0546983823734903</v>
      </c>
      <c r="BK42" s="110">
        <v>2822.0700741319492</v>
      </c>
      <c r="BL42" s="110">
        <v>4.0643757076812141</v>
      </c>
      <c r="BM42" s="110">
        <v>2828.8054925461252</v>
      </c>
      <c r="BN42" s="110">
        <v>3.1593133757315126</v>
      </c>
      <c r="BO42" s="110">
        <v>2198.882109509133</v>
      </c>
      <c r="BP42" s="110">
        <v>3.0685770161880739</v>
      </c>
      <c r="BQ42" s="110">
        <v>2135.7296032668996</v>
      </c>
      <c r="BR42" s="110">
        <v>3.305016082044145</v>
      </c>
      <c r="BS42" s="110">
        <v>2300.2911931027247</v>
      </c>
      <c r="BT42" s="110">
        <v>3</v>
      </c>
      <c r="BU42" s="110">
        <v>2088</v>
      </c>
      <c r="BV42" s="110">
        <v>2.2033225549515962</v>
      </c>
      <c r="BW42" s="110">
        <v>1533.512498246311</v>
      </c>
      <c r="BX42" s="110">
        <v>19.122788477511179</v>
      </c>
      <c r="BY42" s="110">
        <v>13309.460780347781</v>
      </c>
      <c r="BZ42" s="110">
        <v>15.112238243033584</v>
      </c>
      <c r="CA42" s="110">
        <v>10518.117817151375</v>
      </c>
      <c r="CB42" s="110">
        <v>18.090526420932665</v>
      </c>
      <c r="CC42" s="110">
        <v>12591.006388969136</v>
      </c>
      <c r="CD42" s="110">
        <v>21</v>
      </c>
      <c r="CE42" s="110">
        <v>14616</v>
      </c>
      <c r="CF42" s="110">
        <v>12.072478848336212</v>
      </c>
      <c r="CG42" s="110">
        <v>8402.4452784420046</v>
      </c>
      <c r="CH42" s="110">
        <v>14</v>
      </c>
      <c r="CI42" s="110">
        <v>9744</v>
      </c>
      <c r="CJ42" s="110">
        <v>11.880388444437861</v>
      </c>
      <c r="CK42" s="110">
        <v>8268.7503573287504</v>
      </c>
      <c r="CL42" s="110">
        <v>12.201705512728656</v>
      </c>
      <c r="CM42" s="110">
        <v>8492.3870368591452</v>
      </c>
      <c r="CN42" s="110">
        <v>5.176113465768089</v>
      </c>
      <c r="CO42" s="110">
        <v>3602.5749721745901</v>
      </c>
      <c r="CP42" s="110">
        <v>11.275910737543285</v>
      </c>
      <c r="CQ42" s="110">
        <v>7848.033873330126</v>
      </c>
      <c r="CR42" s="110">
        <v>7</v>
      </c>
      <c r="CS42" s="110">
        <v>4872</v>
      </c>
      <c r="CT42" s="110">
        <v>7.2352101092472587</v>
      </c>
      <c r="CU42" s="110">
        <v>5035.7062360360924</v>
      </c>
    </row>
    <row r="43" spans="2:99" x14ac:dyDescent="0.2">
      <c r="C43" s="109" t="s">
        <v>211</v>
      </c>
      <c r="D43" s="110">
        <v>9.4444448107253685</v>
      </c>
      <c r="E43" s="110">
        <v>7695.3336317790299</v>
      </c>
      <c r="F43" s="110">
        <v>13.116496342622295</v>
      </c>
      <c r="G43" s="110">
        <v>10687.321219968646</v>
      </c>
      <c r="H43" s="110">
        <v>10.288407021003174</v>
      </c>
      <c r="I43" s="110">
        <v>8382.9940407133854</v>
      </c>
      <c r="J43" s="110">
        <v>15.452544651288356</v>
      </c>
      <c r="K43" s="110">
        <v>12590.733381869752</v>
      </c>
      <c r="L43" s="110">
        <v>4</v>
      </c>
      <c r="M43" s="110">
        <v>3259.2</v>
      </c>
      <c r="N43" s="110">
        <v>3.6999488329259265</v>
      </c>
      <c r="O43" s="110">
        <v>3014.7183090680446</v>
      </c>
      <c r="P43" s="110">
        <v>3.2445365600708853</v>
      </c>
      <c r="Q43" s="110">
        <v>2643.6483891457574</v>
      </c>
      <c r="R43" s="110">
        <v>3.2654036329571037</v>
      </c>
      <c r="S43" s="110">
        <v>2660.650880133448</v>
      </c>
      <c r="T43" s="110">
        <v>17.123661351415667</v>
      </c>
      <c r="U43" s="110">
        <v>13952.359269133485</v>
      </c>
      <c r="V43" s="110">
        <v>16.21648696770982</v>
      </c>
      <c r="W43" s="110">
        <v>13213.193581289961</v>
      </c>
      <c r="X43" s="110">
        <v>12.197545758104068</v>
      </c>
      <c r="Y43" s="110">
        <v>9938.5602837031947</v>
      </c>
      <c r="Z43" s="110">
        <v>11.126240756549933</v>
      </c>
      <c r="AA43" s="110">
        <v>9065.660968436885</v>
      </c>
      <c r="AB43" s="110">
        <v>3.1490754372929355</v>
      </c>
      <c r="AC43" s="110">
        <v>2565.8666663062836</v>
      </c>
      <c r="AD43" s="110">
        <v>3.1482726225561426</v>
      </c>
      <c r="AE43" s="110">
        <v>2565.2125328587449</v>
      </c>
      <c r="AF43" s="110">
        <v>3.1525680055614549</v>
      </c>
      <c r="AG43" s="110">
        <v>2568.7124109314732</v>
      </c>
      <c r="AH43" s="110">
        <v>3.0631677854013049</v>
      </c>
      <c r="AI43" s="110">
        <v>2495.8691115449828</v>
      </c>
      <c r="AJ43" s="110">
        <v>2.1320718229432205</v>
      </c>
      <c r="AK43" s="110">
        <v>1737.2121213341359</v>
      </c>
      <c r="AL43" s="110">
        <v>3.2151291731041347</v>
      </c>
      <c r="AM43" s="110">
        <v>2619.6872502452488</v>
      </c>
      <c r="AN43" s="110">
        <v>3.3758102102120371</v>
      </c>
      <c r="AO43" s="110">
        <v>2750.6101592807677</v>
      </c>
      <c r="AP43" s="110">
        <v>3.2103937257610418</v>
      </c>
      <c r="AQ43" s="110">
        <v>2615.8288077500965</v>
      </c>
      <c r="AR43" s="110">
        <v>9.2141146512423315</v>
      </c>
      <c r="AS43" s="110">
        <v>7507.6606178322509</v>
      </c>
      <c r="AT43" s="110">
        <v>9</v>
      </c>
      <c r="AU43" s="110">
        <v>7333.2</v>
      </c>
      <c r="AV43" s="110">
        <v>9.1530160690856501</v>
      </c>
      <c r="AW43" s="110">
        <v>7457.8774930909876</v>
      </c>
      <c r="AX43" s="110">
        <v>5</v>
      </c>
      <c r="AY43" s="110">
        <v>4074</v>
      </c>
      <c r="AZ43" s="110">
        <v>13.191964128115785</v>
      </c>
      <c r="BA43" s="110">
        <v>10748.812371588741</v>
      </c>
      <c r="BB43" s="110">
        <v>13</v>
      </c>
      <c r="BC43" s="110">
        <v>10592.4</v>
      </c>
      <c r="BD43" s="110">
        <v>14.102158136399989</v>
      </c>
      <c r="BE43" s="110">
        <v>11490.438449538711</v>
      </c>
      <c r="BF43" s="110">
        <v>22.236237492361514</v>
      </c>
      <c r="BG43" s="110">
        <v>18118.086308776161</v>
      </c>
      <c r="BH43" s="110">
        <v>4.232125089256181</v>
      </c>
      <c r="BI43" s="110">
        <v>3448.3355227259362</v>
      </c>
      <c r="BJ43" s="110">
        <v>4.0468843277487059</v>
      </c>
      <c r="BK43" s="110">
        <v>3297.4013502496455</v>
      </c>
      <c r="BL43" s="110">
        <v>4.0643757076812141</v>
      </c>
      <c r="BM43" s="110">
        <v>3311.653326618653</v>
      </c>
      <c r="BN43" s="110">
        <v>3.1593133757315126</v>
      </c>
      <c r="BO43" s="110">
        <v>2574.2085385460364</v>
      </c>
      <c r="BP43" s="110">
        <v>3.0587802995897779</v>
      </c>
      <c r="BQ43" s="110">
        <v>2492.2941881057509</v>
      </c>
      <c r="BR43" s="110">
        <v>3.3389067578268281</v>
      </c>
      <c r="BS43" s="110">
        <v>2720.5412262772993</v>
      </c>
      <c r="BT43" s="110">
        <v>2</v>
      </c>
      <c r="BU43" s="110">
        <v>1629.6</v>
      </c>
      <c r="BV43" s="110">
        <v>2.1626580439612768</v>
      </c>
      <c r="BW43" s="110">
        <v>1762.1337742196483</v>
      </c>
      <c r="BX43" s="110">
        <v>19.122788477511179</v>
      </c>
      <c r="BY43" s="110">
        <v>15581.248051476108</v>
      </c>
      <c r="BZ43" s="110">
        <v>12.112238243033584</v>
      </c>
      <c r="CA43" s="110">
        <v>9869.051720423764</v>
      </c>
      <c r="CB43" s="110">
        <v>18.090526420932665</v>
      </c>
      <c r="CC43" s="110">
        <v>14740.160927775934</v>
      </c>
      <c r="CD43" s="110">
        <v>23</v>
      </c>
      <c r="CE43" s="110">
        <v>18740.399999999998</v>
      </c>
      <c r="CF43" s="110">
        <v>13.086974618003454</v>
      </c>
      <c r="CG43" s="110">
        <v>10663.266918749214</v>
      </c>
      <c r="CH43" s="110">
        <v>13</v>
      </c>
      <c r="CI43" s="110">
        <v>10592.4</v>
      </c>
      <c r="CJ43" s="110">
        <v>10.880388444437861</v>
      </c>
      <c r="CK43" s="110">
        <v>8865.3405045279687</v>
      </c>
      <c r="CL43" s="110">
        <v>12.168087927273881</v>
      </c>
      <c r="CM43" s="110">
        <v>9914.558043142757</v>
      </c>
      <c r="CN43" s="110">
        <v>5.176113465768089</v>
      </c>
      <c r="CO43" s="110">
        <v>4217.4972519078383</v>
      </c>
      <c r="CP43" s="110">
        <v>11.303501811297613</v>
      </c>
      <c r="CQ43" s="110">
        <v>9210.0932758452946</v>
      </c>
      <c r="CR43" s="110">
        <v>7</v>
      </c>
      <c r="CS43" s="110">
        <v>5703.5999999999995</v>
      </c>
      <c r="CT43" s="110">
        <v>7.2352101092472587</v>
      </c>
      <c r="CU43" s="110">
        <v>5895.2491970146657</v>
      </c>
    </row>
    <row r="44" spans="2:99" x14ac:dyDescent="0.2">
      <c r="C44" s="109" t="s">
        <v>212</v>
      </c>
      <c r="D44" s="110">
        <v>10.119048011491465</v>
      </c>
      <c r="E44" s="110">
        <v>8536.4289024942009</v>
      </c>
      <c r="F44" s="110">
        <v>13.116496342622295</v>
      </c>
      <c r="G44" s="110">
        <v>11065.076314636168</v>
      </c>
      <c r="H44" s="110">
        <v>12.241863745422616</v>
      </c>
      <c r="I44" s="110">
        <v>10327.23625563852</v>
      </c>
      <c r="J44" s="110">
        <v>16.558457951836552</v>
      </c>
      <c r="K44" s="110">
        <v>13968.715128169315</v>
      </c>
      <c r="L44" s="110">
        <v>4</v>
      </c>
      <c r="M44" s="110">
        <v>3374.4</v>
      </c>
      <c r="N44" s="110">
        <v>3.7097625282018525</v>
      </c>
      <c r="O44" s="110">
        <v>3129.555668791083</v>
      </c>
      <c r="P44" s="110">
        <v>3.2445365600708853</v>
      </c>
      <c r="Q44" s="110">
        <v>2737.0910420757991</v>
      </c>
      <c r="R44" s="110">
        <v>3.2123229063656829</v>
      </c>
      <c r="S44" s="110">
        <v>2709.91560381009</v>
      </c>
      <c r="T44" s="110">
        <v>17.10992120125837</v>
      </c>
      <c r="U44" s="110">
        <v>14433.929525381562</v>
      </c>
      <c r="V44" s="110">
        <v>14.21648696770982</v>
      </c>
      <c r="W44" s="110">
        <v>11993.028405960004</v>
      </c>
      <c r="X44" s="110">
        <v>11.175596229425839</v>
      </c>
      <c r="Y44" s="110">
        <v>9427.7329791436387</v>
      </c>
      <c r="Z44" s="110">
        <v>11.105200630458278</v>
      </c>
      <c r="AA44" s="110">
        <v>9368.3472518546023</v>
      </c>
      <c r="AB44" s="110">
        <v>2.1490754372929355</v>
      </c>
      <c r="AC44" s="110">
        <v>1812.9600389003203</v>
      </c>
      <c r="AD44" s="110">
        <v>3.1270908193338367</v>
      </c>
      <c r="AE44" s="110">
        <v>2638.0138151900246</v>
      </c>
      <c r="AF44" s="110">
        <v>2.1525680055614549</v>
      </c>
      <c r="AG44" s="110">
        <v>1815.9063694916433</v>
      </c>
      <c r="AH44" s="110">
        <v>3.0631677854013049</v>
      </c>
      <c r="AI44" s="110">
        <v>2584.0883437645407</v>
      </c>
      <c r="AJ44" s="110">
        <v>2.1165339614204886</v>
      </c>
      <c r="AK44" s="110">
        <v>1785.5080498543241</v>
      </c>
      <c r="AL44" s="110">
        <v>3.2542435682139774</v>
      </c>
      <c r="AM44" s="110">
        <v>2745.2798741453116</v>
      </c>
      <c r="AN44" s="110">
        <v>3.3362512407160332</v>
      </c>
      <c r="AO44" s="110">
        <v>2814.4615466680457</v>
      </c>
      <c r="AP44" s="110">
        <v>3.1963674773769721</v>
      </c>
      <c r="AQ44" s="110">
        <v>2696.4556039152139</v>
      </c>
      <c r="AR44" s="110">
        <v>9.2498004264493865</v>
      </c>
      <c r="AS44" s="110">
        <v>7803.1316397527025</v>
      </c>
      <c r="AT44" s="110">
        <v>9</v>
      </c>
      <c r="AU44" s="110">
        <v>7592.4000000000005</v>
      </c>
      <c r="AV44" s="110">
        <v>9.1530160690856501</v>
      </c>
      <c r="AW44" s="110">
        <v>7721.4843558806542</v>
      </c>
      <c r="AX44" s="110">
        <v>5</v>
      </c>
      <c r="AY44" s="110">
        <v>4218</v>
      </c>
      <c r="AZ44" s="110">
        <v>14.223958149468416</v>
      </c>
      <c r="BA44" s="110">
        <v>11999.331094891557</v>
      </c>
      <c r="BB44" s="110">
        <v>13</v>
      </c>
      <c r="BC44" s="110">
        <v>10966.800000000001</v>
      </c>
      <c r="BD44" s="110">
        <v>13.114927903449988</v>
      </c>
      <c r="BE44" s="110">
        <v>11063.753179350411</v>
      </c>
      <c r="BF44" s="110">
        <v>21.236237492361514</v>
      </c>
      <c r="BG44" s="110">
        <v>17914.889948556174</v>
      </c>
      <c r="BH44" s="110">
        <v>4.232125089256181</v>
      </c>
      <c r="BI44" s="110">
        <v>3570.2207252965145</v>
      </c>
      <c r="BJ44" s="110">
        <v>4.0468843277487059</v>
      </c>
      <c r="BK44" s="110">
        <v>3413.9516188888083</v>
      </c>
      <c r="BL44" s="110">
        <v>3.0643757076812141</v>
      </c>
      <c r="BM44" s="110">
        <v>2585.1073469998723</v>
      </c>
      <c r="BN44" s="110">
        <v>4.1593133757315126</v>
      </c>
      <c r="BO44" s="110">
        <v>3508.796763767104</v>
      </c>
      <c r="BP44" s="110">
        <v>3.0587802995897779</v>
      </c>
      <c r="BQ44" s="110">
        <v>2580.3870607339368</v>
      </c>
      <c r="BR44" s="110">
        <v>3.3389067578268281</v>
      </c>
      <c r="BS44" s="110">
        <v>2816.7017409027121</v>
      </c>
      <c r="BT44" s="110">
        <v>3</v>
      </c>
      <c r="BU44" s="110">
        <v>2530.8000000000002</v>
      </c>
      <c r="BV44" s="110">
        <v>2.1626580439612768</v>
      </c>
      <c r="BW44" s="110">
        <v>1824.4183258857331</v>
      </c>
      <c r="BX44" s="110">
        <v>18.122788477511179</v>
      </c>
      <c r="BY44" s="110">
        <v>15288.384359628431</v>
      </c>
      <c r="BZ44" s="110">
        <v>13.112238243033584</v>
      </c>
      <c r="CA44" s="110">
        <v>11061.484181823133</v>
      </c>
      <c r="CB44" s="110">
        <v>17.090526420932665</v>
      </c>
      <c r="CC44" s="110">
        <v>14417.568088698798</v>
      </c>
      <c r="CD44" s="110">
        <v>23</v>
      </c>
      <c r="CE44" s="110">
        <v>19402.8</v>
      </c>
      <c r="CF44" s="110">
        <v>12.072478848336212</v>
      </c>
      <c r="CG44" s="110">
        <v>10184.343156456429</v>
      </c>
      <c r="CH44" s="110">
        <v>12</v>
      </c>
      <c r="CI44" s="110">
        <v>10123.200000000001</v>
      </c>
      <c r="CJ44" s="110">
        <v>11.027119851844171</v>
      </c>
      <c r="CK44" s="110">
        <v>9302.4783070157428</v>
      </c>
      <c r="CL44" s="110">
        <v>12.201705512728656</v>
      </c>
      <c r="CM44" s="110">
        <v>10293.358770537894</v>
      </c>
      <c r="CN44" s="110">
        <v>6.176113465768089</v>
      </c>
      <c r="CO44" s="110">
        <v>5210.1693197219602</v>
      </c>
      <c r="CP44" s="110">
        <v>10.303501811297613</v>
      </c>
      <c r="CQ44" s="110">
        <v>8692.0341280106659</v>
      </c>
      <c r="CR44" s="110">
        <v>7</v>
      </c>
      <c r="CS44" s="110">
        <v>5905.2</v>
      </c>
      <c r="CT44" s="110">
        <v>6.2352101092472587</v>
      </c>
      <c r="CU44" s="110">
        <v>5260.0232481609874</v>
      </c>
    </row>
    <row r="45" spans="2:99" x14ac:dyDescent="0.2">
      <c r="C45" s="109" t="s">
        <v>213</v>
      </c>
      <c r="D45" s="110">
        <v>8.7698416099592702</v>
      </c>
      <c r="E45" s="110">
        <v>9124.1432110016231</v>
      </c>
      <c r="F45" s="110">
        <v>12.1394232734763</v>
      </c>
      <c r="G45" s="110">
        <v>12629.855973724741</v>
      </c>
      <c r="H45" s="110">
        <v>11.286882459749869</v>
      </c>
      <c r="I45" s="110">
        <v>11742.872511123762</v>
      </c>
      <c r="J45" s="110">
        <v>15.452544651288356</v>
      </c>
      <c r="K45" s="110">
        <v>16076.827455200404</v>
      </c>
      <c r="L45" s="110">
        <v>3</v>
      </c>
      <c r="M45" s="110">
        <v>3121.2</v>
      </c>
      <c r="N45" s="110">
        <v>4.7048556805638899</v>
      </c>
      <c r="O45" s="110">
        <v>4894.9318500586705</v>
      </c>
      <c r="P45" s="110">
        <v>3.1901951022773551</v>
      </c>
      <c r="Q45" s="110">
        <v>3319.0789844093597</v>
      </c>
      <c r="R45" s="110">
        <v>3.2388632696613935</v>
      </c>
      <c r="S45" s="110">
        <v>3369.7133457557134</v>
      </c>
      <c r="T45" s="110">
        <v>19.10992120125837</v>
      </c>
      <c r="U45" s="110">
        <v>19881.962017789207</v>
      </c>
      <c r="V45" s="110">
        <v>13.240541075233134</v>
      </c>
      <c r="W45" s="110">
        <v>13775.45893467255</v>
      </c>
      <c r="X45" s="110">
        <v>12.197545758104068</v>
      </c>
      <c r="Y45" s="110">
        <v>12690.326606731471</v>
      </c>
      <c r="Z45" s="110">
        <v>9.1052006304582775</v>
      </c>
      <c r="AA45" s="110">
        <v>9473.0507359287913</v>
      </c>
      <c r="AB45" s="110">
        <v>2.1490754372929355</v>
      </c>
      <c r="AC45" s="110">
        <v>2235.8980849595696</v>
      </c>
      <c r="AD45" s="110">
        <v>3.1482726225561426</v>
      </c>
      <c r="AE45" s="110">
        <v>3275.4628365074104</v>
      </c>
      <c r="AF45" s="110">
        <v>2.1334970048662729</v>
      </c>
      <c r="AG45" s="110">
        <v>2219.6902838628703</v>
      </c>
      <c r="AH45" s="110">
        <v>3.0631677854013049</v>
      </c>
      <c r="AI45" s="110">
        <v>3186.9197639315171</v>
      </c>
      <c r="AJ45" s="110">
        <v>2.1243028921818543</v>
      </c>
      <c r="AK45" s="110">
        <v>2210.1247290260008</v>
      </c>
      <c r="AL45" s="110">
        <v>3.2151291731041347</v>
      </c>
      <c r="AM45" s="110">
        <v>3345.0203916975415</v>
      </c>
      <c r="AN45" s="110">
        <v>3.3164717559680312</v>
      </c>
      <c r="AO45" s="110">
        <v>3450.4572149091391</v>
      </c>
      <c r="AP45" s="110">
        <v>3.2244199741451109</v>
      </c>
      <c r="AQ45" s="110">
        <v>3354.6865411005729</v>
      </c>
      <c r="AR45" s="110">
        <v>8.2498004264493865</v>
      </c>
      <c r="AS45" s="110">
        <v>8583.0923636779407</v>
      </c>
      <c r="AT45" s="110">
        <v>10</v>
      </c>
      <c r="AU45" s="110">
        <v>10403.999999999998</v>
      </c>
      <c r="AV45" s="110">
        <v>10.133889060449944</v>
      </c>
      <c r="AW45" s="110">
        <v>10543.298178492119</v>
      </c>
      <c r="AX45" s="110">
        <v>5</v>
      </c>
      <c r="AY45" s="110">
        <v>5201.9999999999991</v>
      </c>
      <c r="AZ45" s="110">
        <v>13.191964128115785</v>
      </c>
      <c r="BA45" s="110">
        <v>13724.919478891661</v>
      </c>
      <c r="BB45" s="110">
        <v>15</v>
      </c>
      <c r="BC45" s="110">
        <v>15605.999999999998</v>
      </c>
      <c r="BD45" s="110">
        <v>13.127697670499986</v>
      </c>
      <c r="BE45" s="110">
        <v>13658.056656388184</v>
      </c>
      <c r="BF45" s="110">
        <v>19.236237492361514</v>
      </c>
      <c r="BG45" s="110">
        <v>20013.381487052917</v>
      </c>
      <c r="BH45" s="110">
        <v>4.232125089256181</v>
      </c>
      <c r="BI45" s="110">
        <v>4403.1029428621305</v>
      </c>
      <c r="BJ45" s="110">
        <v>4.0468843277487059</v>
      </c>
      <c r="BK45" s="110">
        <v>4210.3784545897533</v>
      </c>
      <c r="BL45" s="110">
        <v>3.0643757076812141</v>
      </c>
      <c r="BM45" s="110">
        <v>3188.1764862715349</v>
      </c>
      <c r="BN45" s="110">
        <v>3.1593133757315126</v>
      </c>
      <c r="BO45" s="110">
        <v>3286.9496361110655</v>
      </c>
      <c r="BP45" s="110">
        <v>3.0685770161880739</v>
      </c>
      <c r="BQ45" s="110">
        <v>3192.5475276420716</v>
      </c>
      <c r="BR45" s="110">
        <v>3.3389067578268281</v>
      </c>
      <c r="BS45" s="110">
        <v>3473.7985908430314</v>
      </c>
      <c r="BT45" s="110">
        <v>2</v>
      </c>
      <c r="BU45" s="110">
        <v>2080.7999999999997</v>
      </c>
      <c r="BV45" s="110">
        <v>2.1626580439612768</v>
      </c>
      <c r="BW45" s="110">
        <v>2250.0294289373119</v>
      </c>
      <c r="BX45" s="110">
        <v>15.122788477511181</v>
      </c>
      <c r="BY45" s="110">
        <v>15733.749132002631</v>
      </c>
      <c r="BZ45" s="110">
        <v>13.130944616872515</v>
      </c>
      <c r="CA45" s="110">
        <v>13661.434779394163</v>
      </c>
      <c r="CB45" s="110">
        <v>17.090526420932665</v>
      </c>
      <c r="CC45" s="110">
        <v>17780.983688338343</v>
      </c>
      <c r="CD45" s="110">
        <v>22</v>
      </c>
      <c r="CE45" s="110">
        <v>22888.799999999996</v>
      </c>
      <c r="CF45" s="110">
        <v>13.072478848336212</v>
      </c>
      <c r="CG45" s="110">
        <v>13600.606993808993</v>
      </c>
      <c r="CH45" s="110">
        <v>12</v>
      </c>
      <c r="CI45" s="110">
        <v>12484.8</v>
      </c>
      <c r="CJ45" s="110">
        <v>11.027119851844171</v>
      </c>
      <c r="CK45" s="110">
        <v>11472.615493858673</v>
      </c>
      <c r="CL45" s="110">
        <v>12.168087927273881</v>
      </c>
      <c r="CM45" s="110">
        <v>12659.678679535744</v>
      </c>
      <c r="CN45" s="110">
        <v>6.176113465768089</v>
      </c>
      <c r="CO45" s="110">
        <v>6425.6284497851193</v>
      </c>
      <c r="CP45" s="110">
        <v>10.248319663788957</v>
      </c>
      <c r="CQ45" s="110">
        <v>10662.35177820603</v>
      </c>
      <c r="CR45" s="110">
        <v>6</v>
      </c>
      <c r="CS45" s="110">
        <v>6242.4</v>
      </c>
      <c r="CT45" s="110">
        <v>6.2352101092472587</v>
      </c>
      <c r="CU45" s="110">
        <v>6487.1125976608473</v>
      </c>
    </row>
    <row r="46" spans="2:99" x14ac:dyDescent="0.2">
      <c r="C46" s="109" t="s">
        <v>214</v>
      </c>
      <c r="D46" s="110">
        <v>8.7698416099592702</v>
      </c>
      <c r="E46" s="110">
        <v>8924.1908222945513</v>
      </c>
      <c r="F46" s="110">
        <v>14.1394232734763</v>
      </c>
      <c r="G46" s="110">
        <v>14388.27712308948</v>
      </c>
      <c r="H46" s="110">
        <v>11.240339184169311</v>
      </c>
      <c r="I46" s="110">
        <v>11438.16915381069</v>
      </c>
      <c r="J46" s="110">
        <v>14.558457951836552</v>
      </c>
      <c r="K46" s="110">
        <v>14814.686811788872</v>
      </c>
      <c r="L46" s="110">
        <v>3</v>
      </c>
      <c r="M46" s="110">
        <v>3052.7999999999993</v>
      </c>
      <c r="N46" s="110">
        <v>3.7048556805638895</v>
      </c>
      <c r="O46" s="110">
        <v>3770.0611405418131</v>
      </c>
      <c r="P46" s="110">
        <v>3.2445365600708853</v>
      </c>
      <c r="Q46" s="110">
        <v>3301.6404035281321</v>
      </c>
      <c r="R46" s="110">
        <v>3.2654036329571037</v>
      </c>
      <c r="S46" s="110">
        <v>3322.8747368971481</v>
      </c>
      <c r="T46" s="110">
        <v>17.10992120125837</v>
      </c>
      <c r="U46" s="110">
        <v>17411.055814400515</v>
      </c>
      <c r="V46" s="110">
        <v>14.240541075233134</v>
      </c>
      <c r="W46" s="110">
        <v>14491.174598157235</v>
      </c>
      <c r="X46" s="110">
        <v>11.175596229425839</v>
      </c>
      <c r="Y46" s="110">
        <v>11372.286723063731</v>
      </c>
      <c r="Z46" s="110">
        <v>11.105200630458278</v>
      </c>
      <c r="AA46" s="110">
        <v>11300.652161554341</v>
      </c>
      <c r="AB46" s="110">
        <v>3.1277789462510879</v>
      </c>
      <c r="AC46" s="110">
        <v>3182.8278557051062</v>
      </c>
      <c r="AD46" s="110">
        <v>3.1270908193338367</v>
      </c>
      <c r="AE46" s="110">
        <v>3182.1276177541117</v>
      </c>
      <c r="AF46" s="110">
        <v>2.1334970048662729</v>
      </c>
      <c r="AG46" s="110">
        <v>2171.0465521519191</v>
      </c>
      <c r="AH46" s="110">
        <v>3.0526398211677543</v>
      </c>
      <c r="AI46" s="110">
        <v>3106.3662820203062</v>
      </c>
      <c r="AJ46" s="110">
        <v>2.1165339614204886</v>
      </c>
      <c r="AK46" s="110">
        <v>2153.7849591414888</v>
      </c>
      <c r="AL46" s="110">
        <v>3.2346863706590563</v>
      </c>
      <c r="AM46" s="110">
        <v>3291.6168507826551</v>
      </c>
      <c r="AN46" s="110">
        <v>3.3560307254640351</v>
      </c>
      <c r="AO46" s="110">
        <v>3415.0968662322016</v>
      </c>
      <c r="AP46" s="110">
        <v>3.2244199741451109</v>
      </c>
      <c r="AQ46" s="110">
        <v>3281.1697656900642</v>
      </c>
      <c r="AR46" s="110">
        <v>8.2141146512423315</v>
      </c>
      <c r="AS46" s="110">
        <v>8358.6830691041941</v>
      </c>
      <c r="AT46" s="110">
        <v>9</v>
      </c>
      <c r="AU46" s="110">
        <v>9158.3999999999978</v>
      </c>
      <c r="AV46" s="110">
        <v>9.1338890604499436</v>
      </c>
      <c r="AW46" s="110">
        <v>9294.6455079138614</v>
      </c>
      <c r="AX46" s="110">
        <v>5</v>
      </c>
      <c r="AY46" s="110">
        <v>5087.9999999999991</v>
      </c>
      <c r="AZ46" s="110">
        <v>13.191964128115785</v>
      </c>
      <c r="BA46" s="110">
        <v>13424.142696770621</v>
      </c>
      <c r="BB46" s="110">
        <v>12</v>
      </c>
      <c r="BC46" s="110">
        <v>12211.199999999997</v>
      </c>
      <c r="BD46" s="110">
        <v>12.114927903449988</v>
      </c>
      <c r="BE46" s="110">
        <v>12328.150634550706</v>
      </c>
      <c r="BF46" s="110">
        <v>20.236237492361514</v>
      </c>
      <c r="BG46" s="110">
        <v>20592.395272227073</v>
      </c>
      <c r="BH46" s="110">
        <v>4.232125089256181</v>
      </c>
      <c r="BI46" s="110">
        <v>4306.6104908270891</v>
      </c>
      <c r="BJ46" s="110">
        <v>4.0468843277487059</v>
      </c>
      <c r="BK46" s="110">
        <v>4118.1094919170819</v>
      </c>
      <c r="BL46" s="110">
        <v>3.0643757076812141</v>
      </c>
      <c r="BM46" s="110">
        <v>3118.3087201364028</v>
      </c>
      <c r="BN46" s="110">
        <v>3.1593133757315126</v>
      </c>
      <c r="BO46" s="110">
        <v>3214.9172911443866</v>
      </c>
      <c r="BP46" s="110">
        <v>2.0685770161880739</v>
      </c>
      <c r="BQ46" s="110">
        <v>2104.9839716729834</v>
      </c>
      <c r="BR46" s="110">
        <v>2.3727974336095108</v>
      </c>
      <c r="BS46" s="110">
        <v>2414.5586684410378</v>
      </c>
      <c r="BT46" s="110">
        <v>2</v>
      </c>
      <c r="BU46" s="110">
        <v>2035.1999999999996</v>
      </c>
      <c r="BV46" s="110">
        <v>2.1626580439612768</v>
      </c>
      <c r="BW46" s="110">
        <v>2200.7208255349947</v>
      </c>
      <c r="BX46" s="110">
        <v>18.122788477511179</v>
      </c>
      <c r="BY46" s="110">
        <v>18441.74955471537</v>
      </c>
      <c r="BZ46" s="110">
        <v>14.093531869194655</v>
      </c>
      <c r="CA46" s="110">
        <v>14341.578030092478</v>
      </c>
      <c r="CB46" s="110">
        <v>19.090526420932665</v>
      </c>
      <c r="CC46" s="110">
        <v>19426.519685941075</v>
      </c>
      <c r="CD46" s="110">
        <v>19</v>
      </c>
      <c r="CE46" s="110">
        <v>19334.399999999998</v>
      </c>
      <c r="CF46" s="110">
        <v>11.086974618003454</v>
      </c>
      <c r="CG46" s="110">
        <v>11282.105371280313</v>
      </c>
      <c r="CH46" s="110">
        <v>14</v>
      </c>
      <c r="CI46" s="110">
        <v>14246.399999999998</v>
      </c>
      <c r="CJ46" s="110">
        <v>11.027119851844171</v>
      </c>
      <c r="CK46" s="110">
        <v>11221.197161236627</v>
      </c>
      <c r="CL46" s="110">
        <v>12.201705512728656</v>
      </c>
      <c r="CM46" s="110">
        <v>12416.455529752679</v>
      </c>
      <c r="CN46" s="110">
        <v>6.176113465768089</v>
      </c>
      <c r="CO46" s="110">
        <v>6284.8130627656064</v>
      </c>
      <c r="CP46" s="110">
        <v>9.2759107375432848</v>
      </c>
      <c r="CQ46" s="110">
        <v>9439.1667665240439</v>
      </c>
      <c r="CR46" s="110">
        <v>6</v>
      </c>
      <c r="CS46" s="110">
        <v>6105.5999999999985</v>
      </c>
      <c r="CT46" s="110">
        <v>7.2352101092472587</v>
      </c>
      <c r="CU46" s="110">
        <v>7362.5498071700085</v>
      </c>
    </row>
    <row r="47" spans="2:99" x14ac:dyDescent="0.2">
      <c r="C47" s="109" t="s">
        <v>215</v>
      </c>
      <c r="D47" s="110">
        <v>8.7698416099592702</v>
      </c>
      <c r="E47" s="110">
        <v>11555.143305282334</v>
      </c>
      <c r="F47" s="110">
        <v>14.11618606123025</v>
      </c>
      <c r="G47" s="110">
        <v>18599.486754276975</v>
      </c>
      <c r="H47" s="110">
        <v>9.2884070210031737</v>
      </c>
      <c r="I47" s="110">
        <v>12238.405090873781</v>
      </c>
      <c r="J47" s="110">
        <v>15.562069382973499</v>
      </c>
      <c r="K47" s="110">
        <v>20504.58261900588</v>
      </c>
      <c r="L47" s="110">
        <v>3</v>
      </c>
      <c r="M47" s="110">
        <v>3952.7999999999997</v>
      </c>
      <c r="N47" s="110">
        <v>3.7097625282018525</v>
      </c>
      <c r="O47" s="110">
        <v>4887.9831071587605</v>
      </c>
      <c r="P47" s="110">
        <v>3.1901951022773551</v>
      </c>
      <c r="Q47" s="110">
        <v>4203.4010667606426</v>
      </c>
      <c r="R47" s="110">
        <v>3.2388632696613935</v>
      </c>
      <c r="S47" s="110">
        <v>4267.5262441058521</v>
      </c>
      <c r="T47" s="110">
        <v>17.10992120125837</v>
      </c>
      <c r="U47" s="110">
        <v>22544.032174778025</v>
      </c>
      <c r="V47" s="110">
        <v>13.240541075233134</v>
      </c>
      <c r="W47" s="110">
        <v>17445.736920727177</v>
      </c>
      <c r="X47" s="110">
        <v>11.175596229425839</v>
      </c>
      <c r="Y47" s="110">
        <v>14724.965591891485</v>
      </c>
      <c r="Z47" s="110">
        <v>9.1052006304582775</v>
      </c>
      <c r="AA47" s="110">
        <v>11997.012350691826</v>
      </c>
      <c r="AB47" s="110">
        <v>2.1490754372929355</v>
      </c>
      <c r="AC47" s="110">
        <v>2831.6217961771717</v>
      </c>
      <c r="AD47" s="110">
        <v>3.1482726225561426</v>
      </c>
      <c r="AE47" s="110">
        <v>4148.1640074799734</v>
      </c>
      <c r="AF47" s="110">
        <v>2.1334970048662729</v>
      </c>
      <c r="AG47" s="110">
        <v>2811.095653611801</v>
      </c>
      <c r="AH47" s="110">
        <v>3.0526398211677543</v>
      </c>
      <c r="AI47" s="110">
        <v>4022.158228370633</v>
      </c>
      <c r="AJ47" s="110">
        <v>2.1320718229432205</v>
      </c>
      <c r="AK47" s="110">
        <v>2809.2178339099873</v>
      </c>
      <c r="AL47" s="110">
        <v>3.2542435682139774</v>
      </c>
      <c r="AM47" s="110">
        <v>4287.7913254787363</v>
      </c>
      <c r="AN47" s="110">
        <v>3.3164717559680312</v>
      </c>
      <c r="AO47" s="110">
        <v>4369.7831856634775</v>
      </c>
      <c r="AP47" s="110">
        <v>3.2103937257610418</v>
      </c>
      <c r="AQ47" s="110">
        <v>4230.0147730627486</v>
      </c>
      <c r="AR47" s="110">
        <v>8.2498004264493865</v>
      </c>
      <c r="AS47" s="110">
        <v>10869.937041889711</v>
      </c>
      <c r="AT47" s="110">
        <v>9</v>
      </c>
      <c r="AU47" s="110">
        <v>11858.4</v>
      </c>
      <c r="AV47" s="110">
        <v>8.1338890604499436</v>
      </c>
      <c r="AW47" s="110">
        <v>10717.212226048845</v>
      </c>
      <c r="AX47" s="110">
        <v>5</v>
      </c>
      <c r="AY47" s="110">
        <v>6588</v>
      </c>
      <c r="AZ47" s="110">
        <v>13.223958149468416</v>
      </c>
      <c r="BA47" s="110">
        <v>17423.887257739585</v>
      </c>
      <c r="BB47" s="110">
        <v>13</v>
      </c>
      <c r="BC47" s="110">
        <v>17128.8</v>
      </c>
      <c r="BD47" s="110">
        <v>12.114927903449988</v>
      </c>
      <c r="BE47" s="110">
        <v>15962.629005585704</v>
      </c>
      <c r="BF47" s="110">
        <v>18.269985705556014</v>
      </c>
      <c r="BG47" s="110">
        <v>24072.533165640602</v>
      </c>
      <c r="BH47" s="110">
        <v>4.232125089256181</v>
      </c>
      <c r="BI47" s="110">
        <v>5576.2480176039435</v>
      </c>
      <c r="BJ47" s="110">
        <v>4.0468843277487059</v>
      </c>
      <c r="BK47" s="110">
        <v>5332.1747902416946</v>
      </c>
      <c r="BL47" s="110">
        <v>3.0643757076812141</v>
      </c>
      <c r="BM47" s="110">
        <v>4037.6214324407674</v>
      </c>
      <c r="BN47" s="110">
        <v>3.1820724294074432</v>
      </c>
      <c r="BO47" s="110">
        <v>4192.698632987247</v>
      </c>
      <c r="BP47" s="110">
        <v>2.0587802995897779</v>
      </c>
      <c r="BQ47" s="110">
        <v>2712.6489227394914</v>
      </c>
      <c r="BR47" s="110">
        <v>3.305016082044145</v>
      </c>
      <c r="BS47" s="110">
        <v>4354.6891897013647</v>
      </c>
      <c r="BT47" s="110">
        <v>2</v>
      </c>
      <c r="BU47" s="110">
        <v>2635.2</v>
      </c>
      <c r="BV47" s="110">
        <v>2.1626580439612768</v>
      </c>
      <c r="BW47" s="110">
        <v>2849.5182387233781</v>
      </c>
      <c r="BX47" s="110">
        <v>18.102323731259318</v>
      </c>
      <c r="BY47" s="110">
        <v>23851.621748307276</v>
      </c>
      <c r="BZ47" s="110">
        <v>14.112238243033584</v>
      </c>
      <c r="CA47" s="110">
        <v>18594.28510902105</v>
      </c>
      <c r="CB47" s="110">
        <v>17.090526420932665</v>
      </c>
      <c r="CC47" s="110">
        <v>22518.477612220879</v>
      </c>
      <c r="CD47" s="110">
        <v>18</v>
      </c>
      <c r="CE47" s="110">
        <v>23716.799999999999</v>
      </c>
      <c r="CF47" s="110">
        <v>12.072478848336212</v>
      </c>
      <c r="CG47" s="110">
        <v>15906.698130567793</v>
      </c>
      <c r="CH47" s="110">
        <v>11</v>
      </c>
      <c r="CI47" s="110">
        <v>14493.599999999999</v>
      </c>
      <c r="CJ47" s="110">
        <v>11.880388444437861</v>
      </c>
      <c r="CK47" s="110">
        <v>15653.599814391324</v>
      </c>
      <c r="CL47" s="110">
        <v>13.201705512728656</v>
      </c>
      <c r="CM47" s="110">
        <v>17394.567183571278</v>
      </c>
      <c r="CN47" s="110">
        <v>5.176113465768089</v>
      </c>
      <c r="CO47" s="110">
        <v>6820.0471024960334</v>
      </c>
      <c r="CP47" s="110">
        <v>10.248319663788957</v>
      </c>
      <c r="CQ47" s="110">
        <v>13503.185989008329</v>
      </c>
      <c r="CR47" s="110">
        <v>6</v>
      </c>
      <c r="CS47" s="110">
        <v>7905.5999999999995</v>
      </c>
      <c r="CT47" s="110">
        <v>6.2352101092472587</v>
      </c>
      <c r="CU47" s="110">
        <v>8215.5128399441874</v>
      </c>
    </row>
    <row r="48" spans="2:99" x14ac:dyDescent="0.2">
      <c r="C48" s="109" t="s">
        <v>216</v>
      </c>
      <c r="D48" s="110">
        <v>8.7698416099592702</v>
      </c>
      <c r="E48" s="110">
        <v>5767.0478427092166</v>
      </c>
      <c r="F48" s="110">
        <v>14.116496342622295</v>
      </c>
      <c r="G48" s="110">
        <v>9283.0079949084211</v>
      </c>
      <c r="H48" s="110">
        <v>11.288407021003174</v>
      </c>
      <c r="I48" s="110">
        <v>7423.2564570116874</v>
      </c>
      <c r="J48" s="110">
        <v>16.558457951836552</v>
      </c>
      <c r="K48" s="110">
        <v>10888.841949127716</v>
      </c>
      <c r="L48" s="110">
        <v>4</v>
      </c>
      <c r="M48" s="110">
        <v>2630.4</v>
      </c>
      <c r="N48" s="110">
        <v>3.5931043893808647</v>
      </c>
      <c r="O48" s="110">
        <v>2362.8254464568568</v>
      </c>
      <c r="P48" s="110">
        <v>3.2173658311741202</v>
      </c>
      <c r="Q48" s="110">
        <v>2115.7397705801013</v>
      </c>
      <c r="R48" s="110">
        <v>3.2654036329571037</v>
      </c>
      <c r="S48" s="110">
        <v>2147.3294290325916</v>
      </c>
      <c r="T48" s="110">
        <v>20.10992120125837</v>
      </c>
      <c r="U48" s="110">
        <v>13224.284181947505</v>
      </c>
      <c r="V48" s="110">
        <v>16.240541075233132</v>
      </c>
      <c r="W48" s="110">
        <v>10679.779811073307</v>
      </c>
      <c r="X48" s="110">
        <v>13.175596229425839</v>
      </c>
      <c r="Y48" s="110">
        <v>8664.2720804704313</v>
      </c>
      <c r="Z48" s="110">
        <v>10.126240756549933</v>
      </c>
      <c r="AA48" s="110">
        <v>6659.0159215072363</v>
      </c>
      <c r="AB48" s="110">
        <v>3.1490754372929355</v>
      </c>
      <c r="AC48" s="110">
        <v>2070.8320075638344</v>
      </c>
      <c r="AD48" s="110">
        <v>3.1482726225561426</v>
      </c>
      <c r="AE48" s="110">
        <v>2070.3040765929195</v>
      </c>
      <c r="AF48" s="110">
        <v>2.1525680055614549</v>
      </c>
      <c r="AG48" s="110">
        <v>1415.5287204572128</v>
      </c>
      <c r="AH48" s="110">
        <v>3.0631677854013049</v>
      </c>
      <c r="AI48" s="110">
        <v>2014.3391356798982</v>
      </c>
      <c r="AJ48" s="110">
        <v>2.1320718229432205</v>
      </c>
      <c r="AK48" s="110">
        <v>1402.0504307674619</v>
      </c>
      <c r="AL48" s="110">
        <v>3.2151291731041347</v>
      </c>
      <c r="AM48" s="110">
        <v>2114.2689442332789</v>
      </c>
      <c r="AN48" s="110">
        <v>3.3560307254640351</v>
      </c>
      <c r="AO48" s="110">
        <v>2206.9258050651497</v>
      </c>
      <c r="AP48" s="110">
        <v>3.2244199741451109</v>
      </c>
      <c r="AQ48" s="110">
        <v>2120.3785749978251</v>
      </c>
      <c r="AR48" s="110">
        <v>9.2498004264493865</v>
      </c>
      <c r="AS48" s="110">
        <v>6082.6687604331164</v>
      </c>
      <c r="AT48" s="110">
        <v>9</v>
      </c>
      <c r="AU48" s="110">
        <v>5918.4000000000005</v>
      </c>
      <c r="AV48" s="110">
        <v>9.1338890604499436</v>
      </c>
      <c r="AW48" s="110">
        <v>6006.4454461518835</v>
      </c>
      <c r="AX48" s="110">
        <v>6</v>
      </c>
      <c r="AY48" s="110">
        <v>3945.6000000000004</v>
      </c>
      <c r="AZ48" s="110">
        <v>14.191964128115785</v>
      </c>
      <c r="BA48" s="110">
        <v>9332.6356106489402</v>
      </c>
      <c r="BB48" s="110">
        <v>15</v>
      </c>
      <c r="BC48" s="110">
        <v>9864</v>
      </c>
      <c r="BD48" s="110">
        <v>13.114927903449988</v>
      </c>
      <c r="BE48" s="110">
        <v>8624.3765893087129</v>
      </c>
      <c r="BF48" s="110">
        <v>21.236237492361514</v>
      </c>
      <c r="BG48" s="110">
        <v>13964.949774976933</v>
      </c>
      <c r="BH48" s="110">
        <v>4.232125089256181</v>
      </c>
      <c r="BI48" s="110">
        <v>2783.0454586948649</v>
      </c>
      <c r="BJ48" s="110">
        <v>4.0546983823734903</v>
      </c>
      <c r="BK48" s="110">
        <v>2666.3696562488071</v>
      </c>
      <c r="BL48" s="110">
        <v>4.0643757076812141</v>
      </c>
      <c r="BM48" s="110">
        <v>2672.7334653711664</v>
      </c>
      <c r="BN48" s="110">
        <v>3.1820724294074432</v>
      </c>
      <c r="BO48" s="110">
        <v>2092.5308295783348</v>
      </c>
      <c r="BP48" s="110">
        <v>3.0587802995897779</v>
      </c>
      <c r="BQ48" s="110">
        <v>2011.453925010238</v>
      </c>
      <c r="BR48" s="110">
        <v>3.3389067578268281</v>
      </c>
      <c r="BS48" s="110">
        <v>2195.6650839469221</v>
      </c>
      <c r="BT48" s="110">
        <v>3</v>
      </c>
      <c r="BU48" s="110">
        <v>1972.8000000000002</v>
      </c>
      <c r="BV48" s="110">
        <v>2.1626580439612768</v>
      </c>
      <c r="BW48" s="110">
        <v>1422.1639297089357</v>
      </c>
      <c r="BX48" s="110">
        <v>19.122788477511179</v>
      </c>
      <c r="BY48" s="110">
        <v>12575.145702811351</v>
      </c>
      <c r="BZ48" s="110">
        <v>14.112238243033584</v>
      </c>
      <c r="CA48" s="110">
        <v>9280.2078686188852</v>
      </c>
      <c r="CB48" s="110">
        <v>20.090526420932665</v>
      </c>
      <c r="CC48" s="110">
        <v>13211.530174405321</v>
      </c>
      <c r="CD48" s="110">
        <v>20</v>
      </c>
      <c r="CE48" s="110">
        <v>13152</v>
      </c>
      <c r="CF48" s="110">
        <v>13.072478848336212</v>
      </c>
      <c r="CG48" s="110">
        <v>8596.4620906658929</v>
      </c>
      <c r="CH48" s="110">
        <v>12</v>
      </c>
      <c r="CI48" s="110">
        <v>7891.2000000000007</v>
      </c>
      <c r="CJ48" s="110">
        <v>12.027119851844171</v>
      </c>
      <c r="CK48" s="110">
        <v>7909.0340145727268</v>
      </c>
      <c r="CL48" s="110">
        <v>12.201705512728656</v>
      </c>
      <c r="CM48" s="110">
        <v>8023.841545170365</v>
      </c>
      <c r="CN48" s="110">
        <v>5.150954399229791</v>
      </c>
      <c r="CO48" s="110">
        <v>3387.2676129335109</v>
      </c>
      <c r="CP48" s="110">
        <v>11.275910737543285</v>
      </c>
      <c r="CQ48" s="110">
        <v>7415.0389010084646</v>
      </c>
      <c r="CR48" s="110">
        <v>7</v>
      </c>
      <c r="CS48" s="110">
        <v>4603.2</v>
      </c>
      <c r="CT48" s="110">
        <v>7.2352101092472587</v>
      </c>
      <c r="CU48" s="110">
        <v>4757.8741678409979</v>
      </c>
    </row>
    <row r="49" spans="2:99" x14ac:dyDescent="0.2">
      <c r="B49" s="109" t="s">
        <v>129</v>
      </c>
      <c r="C49" s="109" t="s">
        <v>217</v>
      </c>
      <c r="D49" s="110">
        <v>7.8123389960006024</v>
      </c>
      <c r="E49" s="110">
        <v>2634.3207094514032</v>
      </c>
      <c r="F49" s="110">
        <v>5.1045270867369208</v>
      </c>
      <c r="G49" s="110">
        <v>1721.2465336476896</v>
      </c>
      <c r="H49" s="110">
        <v>7</v>
      </c>
      <c r="I49" s="110">
        <v>2360.4</v>
      </c>
      <c r="J49" s="110">
        <v>8.1871979912623516</v>
      </c>
      <c r="K49" s="110">
        <v>2760.723162653665</v>
      </c>
      <c r="L49" s="110">
        <v>15.508710636875987</v>
      </c>
      <c r="M49" s="110">
        <v>5229.5372267545827</v>
      </c>
      <c r="N49" s="110">
        <v>10.503894613967146</v>
      </c>
      <c r="O49" s="110">
        <v>3541.9132638297215</v>
      </c>
      <c r="P49" s="110">
        <v>8.2990088231036072</v>
      </c>
      <c r="Q49" s="110">
        <v>2798.4257751505361</v>
      </c>
      <c r="R49" s="110">
        <v>16.56215878244792</v>
      </c>
      <c r="S49" s="110">
        <v>5584.7599414414381</v>
      </c>
      <c r="T49" s="110">
        <v>14.614815069176389</v>
      </c>
      <c r="U49" s="110">
        <v>4928.1156413262779</v>
      </c>
      <c r="V49" s="110">
        <v>8</v>
      </c>
      <c r="W49" s="110">
        <v>2697.6</v>
      </c>
      <c r="X49" s="110">
        <v>9</v>
      </c>
      <c r="Y49" s="110">
        <v>3034.7999999999997</v>
      </c>
      <c r="Z49" s="110">
        <v>13</v>
      </c>
      <c r="AA49" s="110">
        <v>4383.5999999999995</v>
      </c>
      <c r="AB49" s="110">
        <v>10</v>
      </c>
      <c r="AC49" s="110">
        <v>3372</v>
      </c>
      <c r="AD49" s="110">
        <v>12.056907734520044</v>
      </c>
      <c r="AE49" s="110">
        <v>4065.5892880801584</v>
      </c>
      <c r="AF49" s="110">
        <v>8</v>
      </c>
      <c r="AG49" s="110">
        <v>2697.6</v>
      </c>
      <c r="AH49" s="110">
        <v>8.981502893305624</v>
      </c>
      <c r="AI49" s="110">
        <v>3028.5627756226563</v>
      </c>
      <c r="AJ49" s="110">
        <v>7.2511911016816057</v>
      </c>
      <c r="AK49" s="110">
        <v>2445.1016394870376</v>
      </c>
      <c r="AL49" s="110">
        <v>9</v>
      </c>
      <c r="AM49" s="110">
        <v>3034.7999999999997</v>
      </c>
      <c r="AN49" s="110">
        <v>7</v>
      </c>
      <c r="AO49" s="110">
        <v>2360.4</v>
      </c>
      <c r="AP49" s="110">
        <v>5</v>
      </c>
      <c r="AQ49" s="110">
        <v>1686</v>
      </c>
      <c r="AR49" s="110">
        <v>4</v>
      </c>
      <c r="AS49" s="110">
        <v>1348.8</v>
      </c>
      <c r="AT49" s="110">
        <v>5.2331158659405652</v>
      </c>
      <c r="AU49" s="110">
        <v>1764.6066699951584</v>
      </c>
      <c r="AV49" s="110">
        <v>4.3348079177170931</v>
      </c>
      <c r="AW49" s="110">
        <v>1461.6972298542037</v>
      </c>
      <c r="AX49" s="110">
        <v>5.2124417940236372</v>
      </c>
      <c r="AY49" s="110">
        <v>1757.6353729447703</v>
      </c>
      <c r="AZ49" s="110">
        <v>5</v>
      </c>
      <c r="BA49" s="110">
        <v>1686</v>
      </c>
      <c r="BB49" s="110">
        <v>10</v>
      </c>
      <c r="BC49" s="110">
        <v>3372</v>
      </c>
      <c r="BD49" s="110">
        <v>7</v>
      </c>
      <c r="BE49" s="110">
        <v>2360.4</v>
      </c>
      <c r="BF49" s="110">
        <v>9.512650085401674</v>
      </c>
      <c r="BG49" s="110">
        <v>3207.6656087974443</v>
      </c>
      <c r="BH49" s="110">
        <v>4.6113206795215094</v>
      </c>
      <c r="BI49" s="110">
        <v>1554.9373331346528</v>
      </c>
      <c r="BJ49" s="110">
        <v>5.6863238258895334</v>
      </c>
      <c r="BK49" s="110">
        <v>1917.4283940899506</v>
      </c>
      <c r="BL49" s="110">
        <v>4.5569233674377498</v>
      </c>
      <c r="BM49" s="110">
        <v>1536.5945595000092</v>
      </c>
      <c r="BN49" s="110">
        <v>5.8705566489699192</v>
      </c>
      <c r="BO49" s="110">
        <v>1979.5517020326567</v>
      </c>
      <c r="BP49" s="110">
        <v>4.1857096507011029</v>
      </c>
      <c r="BQ49" s="110">
        <v>1411.4212942164118</v>
      </c>
      <c r="BR49" s="110">
        <v>3</v>
      </c>
      <c r="BS49" s="110">
        <v>1011.5999999999999</v>
      </c>
      <c r="BT49" s="110">
        <v>3</v>
      </c>
      <c r="BU49" s="110">
        <v>1011.5999999999999</v>
      </c>
      <c r="BV49" s="110">
        <v>3.2924049593424214</v>
      </c>
      <c r="BW49" s="110">
        <v>1110.1989522902645</v>
      </c>
      <c r="BX49" s="110">
        <v>2.2327874866780846</v>
      </c>
      <c r="BY49" s="110">
        <v>752.89594050785013</v>
      </c>
      <c r="BZ49" s="110">
        <v>2</v>
      </c>
      <c r="CA49" s="110">
        <v>674.4</v>
      </c>
      <c r="CB49" s="110">
        <v>2</v>
      </c>
      <c r="CC49" s="110">
        <v>674.4</v>
      </c>
      <c r="CD49" s="110">
        <v>2.1478509252661184</v>
      </c>
      <c r="CE49" s="110">
        <v>724.25533199973506</v>
      </c>
      <c r="CF49" s="110">
        <v>2</v>
      </c>
      <c r="CG49" s="110">
        <v>674.4</v>
      </c>
      <c r="CH49" s="110">
        <v>2.0791597296311819</v>
      </c>
      <c r="CI49" s="110">
        <v>701.09266083163448</v>
      </c>
      <c r="CJ49" s="110">
        <v>2</v>
      </c>
      <c r="CK49" s="110">
        <v>674.4</v>
      </c>
      <c r="CL49" s="110">
        <v>2</v>
      </c>
      <c r="CM49" s="110">
        <v>674.4</v>
      </c>
      <c r="CN49" s="110">
        <v>3</v>
      </c>
      <c r="CO49" s="110">
        <v>1011.5999999999999</v>
      </c>
      <c r="CP49" s="110">
        <v>2.1367956770762722</v>
      </c>
      <c r="CQ49" s="110">
        <v>720.52750231011896</v>
      </c>
      <c r="CR49" s="110">
        <v>4</v>
      </c>
      <c r="CS49" s="110">
        <v>1348.8</v>
      </c>
      <c r="CT49" s="110">
        <v>3.3530858005897439</v>
      </c>
      <c r="CU49" s="110">
        <v>1130.6605319588616</v>
      </c>
    </row>
    <row r="50" spans="2:99" x14ac:dyDescent="0.2">
      <c r="C50" s="109" t="s">
        <v>218</v>
      </c>
      <c r="D50" s="110">
        <v>5.3968256061287816</v>
      </c>
      <c r="E50" s="110">
        <v>2085.3334142081612</v>
      </c>
      <c r="F50" s="110">
        <v>4.0709527623063284</v>
      </c>
      <c r="G50" s="110">
        <v>1573.0161473551652</v>
      </c>
      <c r="H50" s="110">
        <v>8.2433883066759197</v>
      </c>
      <c r="I50" s="110">
        <v>3185.2452416995752</v>
      </c>
      <c r="J50" s="110">
        <v>7.4453217890144634</v>
      </c>
      <c r="K50" s="110">
        <v>2876.8723392751886</v>
      </c>
      <c r="L50" s="110">
        <v>15</v>
      </c>
      <c r="M50" s="110">
        <v>5796</v>
      </c>
      <c r="N50" s="110">
        <v>9.3892291975666673</v>
      </c>
      <c r="O50" s="110">
        <v>3627.9981619397599</v>
      </c>
      <c r="P50" s="110">
        <v>9.6571012293579432</v>
      </c>
      <c r="Q50" s="110">
        <v>3731.503915023909</v>
      </c>
      <c r="R50" s="110">
        <v>14.371565086139945</v>
      </c>
      <c r="S50" s="110">
        <v>5553.1727492844748</v>
      </c>
      <c r="T50" s="110">
        <v>15.109921201258372</v>
      </c>
      <c r="U50" s="110">
        <v>5838.4735521662342</v>
      </c>
      <c r="V50" s="110">
        <v>9.1924328601865071</v>
      </c>
      <c r="W50" s="110">
        <v>3551.9560571760662</v>
      </c>
      <c r="X50" s="110">
        <v>8.2414448154605289</v>
      </c>
      <c r="Y50" s="110">
        <v>3184.494276693948</v>
      </c>
      <c r="Z50" s="110">
        <v>13.252481513099866</v>
      </c>
      <c r="AA50" s="110">
        <v>5120.7588566617878</v>
      </c>
      <c r="AB50" s="110">
        <v>10.149075437292936</v>
      </c>
      <c r="AC50" s="110">
        <v>3921.60274896999</v>
      </c>
      <c r="AD50" s="110">
        <v>10.190636229000756</v>
      </c>
      <c r="AE50" s="110">
        <v>3937.6618388858919</v>
      </c>
      <c r="AF50" s="110">
        <v>8.1144260041710918</v>
      </c>
      <c r="AG50" s="110">
        <v>3135.4142080117099</v>
      </c>
      <c r="AH50" s="110">
        <v>8.0842237138684059</v>
      </c>
      <c r="AI50" s="110">
        <v>3123.7440430387519</v>
      </c>
      <c r="AJ50" s="110">
        <v>6.0388446538068292</v>
      </c>
      <c r="AK50" s="110">
        <v>2333.4095742309587</v>
      </c>
      <c r="AL50" s="110">
        <v>9.0782287902196845</v>
      </c>
      <c r="AM50" s="110">
        <v>3507.8276045408861</v>
      </c>
      <c r="AN50" s="110">
        <v>6.1186769084880117</v>
      </c>
      <c r="AO50" s="110">
        <v>2364.2567574397676</v>
      </c>
      <c r="AP50" s="110">
        <v>5.0561049935362776</v>
      </c>
      <c r="AQ50" s="110">
        <v>1953.6789695024177</v>
      </c>
      <c r="AR50" s="110">
        <v>5.1784288760352766</v>
      </c>
      <c r="AS50" s="110">
        <v>2000.9449177000308</v>
      </c>
      <c r="AT50" s="110">
        <v>5</v>
      </c>
      <c r="AU50" s="110">
        <v>1932</v>
      </c>
      <c r="AV50" s="110">
        <v>4.1530160690856501</v>
      </c>
      <c r="AW50" s="110">
        <v>1604.7254090946951</v>
      </c>
      <c r="AX50" s="110">
        <v>5</v>
      </c>
      <c r="AY50" s="110">
        <v>1932</v>
      </c>
      <c r="AZ50" s="110">
        <v>5.3839282562315693</v>
      </c>
      <c r="BA50" s="110">
        <v>2080.3498782078782</v>
      </c>
      <c r="BB50" s="110">
        <v>10</v>
      </c>
      <c r="BC50" s="110">
        <v>3864</v>
      </c>
      <c r="BD50" s="110">
        <v>7.2298558068999759</v>
      </c>
      <c r="BE50" s="110">
        <v>2793.6162837861507</v>
      </c>
      <c r="BF50" s="110">
        <v>8.7998714101774844</v>
      </c>
      <c r="BG50" s="110">
        <v>3400.2703128925796</v>
      </c>
      <c r="BH50" s="110">
        <v>3.2031094530991586</v>
      </c>
      <c r="BI50" s="110">
        <v>1237.6814926775148</v>
      </c>
      <c r="BJ50" s="110">
        <v>5.0625124369982748</v>
      </c>
      <c r="BK50" s="110">
        <v>1956.1548056561332</v>
      </c>
      <c r="BL50" s="110">
        <v>5.0643757076812141</v>
      </c>
      <c r="BM50" s="110">
        <v>1956.874773448021</v>
      </c>
      <c r="BN50" s="110">
        <v>6.1137952683796515</v>
      </c>
      <c r="BO50" s="110">
        <v>2362.3704917018972</v>
      </c>
      <c r="BP50" s="110">
        <v>3.0489835829914815</v>
      </c>
      <c r="BQ50" s="110">
        <v>1178.1272564679084</v>
      </c>
      <c r="BR50" s="110">
        <v>4.2711254062614623</v>
      </c>
      <c r="BS50" s="110">
        <v>1650.3628569794289</v>
      </c>
      <c r="BT50" s="110">
        <v>3</v>
      </c>
      <c r="BU50" s="110">
        <v>1159.1999999999998</v>
      </c>
      <c r="BV50" s="110">
        <v>3.1219935329709578</v>
      </c>
      <c r="BW50" s="110">
        <v>1206.3383011399781</v>
      </c>
      <c r="BX50" s="110">
        <v>2.1023237312593168</v>
      </c>
      <c r="BY50" s="110">
        <v>812.3378897586</v>
      </c>
      <c r="BZ50" s="110">
        <v>2.0748254953557232</v>
      </c>
      <c r="CA50" s="110">
        <v>801.7125714054514</v>
      </c>
      <c r="CB50" s="110">
        <v>2.120701894576885</v>
      </c>
      <c r="CC50" s="110">
        <v>819.4392120645083</v>
      </c>
      <c r="CD50" s="110">
        <v>2</v>
      </c>
      <c r="CE50" s="110">
        <v>772.8</v>
      </c>
      <c r="CF50" s="110">
        <v>2.1014703876706959</v>
      </c>
      <c r="CG50" s="110">
        <v>812.00815779595689</v>
      </c>
      <c r="CH50" s="110">
        <v>2</v>
      </c>
      <c r="CI50" s="110">
        <v>772.8</v>
      </c>
      <c r="CJ50" s="110">
        <v>3.3205826666567924</v>
      </c>
      <c r="CK50" s="110">
        <v>1283.0731423961845</v>
      </c>
      <c r="CL50" s="110">
        <v>1.2353230981834333</v>
      </c>
      <c r="CM50" s="110">
        <v>477.32884513807863</v>
      </c>
      <c r="CN50" s="110">
        <v>3.6105219540992919</v>
      </c>
      <c r="CO50" s="110">
        <v>1395.1056830639664</v>
      </c>
      <c r="CP50" s="110">
        <v>2.5670449208767376</v>
      </c>
      <c r="CQ50" s="110">
        <v>991.90615742677141</v>
      </c>
      <c r="CR50" s="110">
        <v>4</v>
      </c>
      <c r="CS50" s="110">
        <v>1545.6</v>
      </c>
      <c r="CT50" s="110">
        <v>3.2646113729031661</v>
      </c>
      <c r="CU50" s="110">
        <v>1261.4458344897832</v>
      </c>
    </row>
    <row r="51" spans="2:99" x14ac:dyDescent="0.2">
      <c r="C51" s="109" t="s">
        <v>219</v>
      </c>
      <c r="D51" s="110">
        <v>7.8123389960006024</v>
      </c>
      <c r="E51" s="110">
        <v>5493.6367819876232</v>
      </c>
      <c r="F51" s="110">
        <v>4.1034747250263948</v>
      </c>
      <c r="G51" s="110">
        <v>2885.5634266385605</v>
      </c>
      <c r="H51" s="110">
        <v>7</v>
      </c>
      <c r="I51" s="110">
        <v>4922.3999999999996</v>
      </c>
      <c r="J51" s="110">
        <v>7.2339974890779386</v>
      </c>
      <c r="K51" s="110">
        <v>5086.9470343196062</v>
      </c>
      <c r="L51" s="110">
        <v>14.508710636875987</v>
      </c>
      <c r="M51" s="110">
        <v>10202.525319851193</v>
      </c>
      <c r="N51" s="110">
        <v>10.503894613967146</v>
      </c>
      <c r="O51" s="110">
        <v>7386.3386925416962</v>
      </c>
      <c r="P51" s="110">
        <v>9.398678430804809</v>
      </c>
      <c r="Q51" s="110">
        <v>6609.1506725419413</v>
      </c>
      <c r="R51" s="110">
        <v>13.56215878244792</v>
      </c>
      <c r="S51" s="110">
        <v>9536.9100558173759</v>
      </c>
      <c r="T51" s="110">
        <v>14.461111301882292</v>
      </c>
      <c r="U51" s="110">
        <v>10169.053467483627</v>
      </c>
      <c r="V51" s="110">
        <v>8</v>
      </c>
      <c r="W51" s="110">
        <v>5625.5999999999995</v>
      </c>
      <c r="X51" s="110">
        <v>8</v>
      </c>
      <c r="Y51" s="110">
        <v>5625.5999999999995</v>
      </c>
      <c r="Z51" s="110">
        <v>12</v>
      </c>
      <c r="AA51" s="110">
        <v>8438.4</v>
      </c>
      <c r="AB51" s="110">
        <v>9</v>
      </c>
      <c r="AC51" s="110">
        <v>6328.7999999999993</v>
      </c>
      <c r="AD51" s="110">
        <v>10.360505058286186</v>
      </c>
      <c r="AE51" s="110">
        <v>7285.507156986846</v>
      </c>
      <c r="AF51" s="110">
        <v>7</v>
      </c>
      <c r="AG51" s="110">
        <v>4922.3999999999996</v>
      </c>
      <c r="AH51" s="110">
        <v>8.981502893305624</v>
      </c>
      <c r="AI51" s="110">
        <v>6315.792834572514</v>
      </c>
      <c r="AJ51" s="110">
        <v>7.2511911016816057</v>
      </c>
      <c r="AK51" s="110">
        <v>5099.0375827025046</v>
      </c>
      <c r="AL51" s="110">
        <v>8</v>
      </c>
      <c r="AM51" s="110">
        <v>5625.5999999999995</v>
      </c>
      <c r="AN51" s="110">
        <v>6</v>
      </c>
      <c r="AO51" s="110">
        <v>4219.2</v>
      </c>
      <c r="AP51" s="110">
        <v>5</v>
      </c>
      <c r="AQ51" s="110">
        <v>3515.9999999999995</v>
      </c>
      <c r="AR51" s="110">
        <v>5</v>
      </c>
      <c r="AS51" s="110">
        <v>3515.9999999999995</v>
      </c>
      <c r="AT51" s="110">
        <v>5.2331158659405652</v>
      </c>
      <c r="AU51" s="110">
        <v>3679.9270769294053</v>
      </c>
      <c r="AV51" s="110">
        <v>4.2929569280024564</v>
      </c>
      <c r="AW51" s="110">
        <v>3018.807311771327</v>
      </c>
      <c r="AX51" s="110">
        <v>5.2124417940236372</v>
      </c>
      <c r="AY51" s="110">
        <v>3665.3890695574214</v>
      </c>
      <c r="AZ51" s="110">
        <v>4</v>
      </c>
      <c r="BA51" s="110">
        <v>2812.7999999999997</v>
      </c>
      <c r="BB51" s="110">
        <v>9</v>
      </c>
      <c r="BC51" s="110">
        <v>6328.7999999999993</v>
      </c>
      <c r="BD51" s="110">
        <v>6</v>
      </c>
      <c r="BE51" s="110">
        <v>4219.2</v>
      </c>
      <c r="BF51" s="110">
        <v>8.512650085401674</v>
      </c>
      <c r="BG51" s="110">
        <v>5986.0955400544563</v>
      </c>
      <c r="BH51" s="110">
        <v>4.6113206795215094</v>
      </c>
      <c r="BI51" s="110">
        <v>3242.6807018395252</v>
      </c>
      <c r="BJ51" s="110">
        <v>4.6863238258895334</v>
      </c>
      <c r="BK51" s="110">
        <v>3295.4229143655198</v>
      </c>
      <c r="BL51" s="110">
        <v>4.5536476021389447</v>
      </c>
      <c r="BM51" s="110">
        <v>3202.1249938241058</v>
      </c>
      <c r="BN51" s="110">
        <v>5.6964453191759352</v>
      </c>
      <c r="BO51" s="110">
        <v>4005.7403484445172</v>
      </c>
      <c r="BP51" s="110">
        <v>4.016322557743802</v>
      </c>
      <c r="BQ51" s="110">
        <v>2824.2780226054415</v>
      </c>
      <c r="BR51" s="110">
        <v>3</v>
      </c>
      <c r="BS51" s="110">
        <v>2109.6</v>
      </c>
      <c r="BT51" s="110">
        <v>3</v>
      </c>
      <c r="BU51" s="110">
        <v>2109.6</v>
      </c>
      <c r="BV51" s="110">
        <v>3.2924049593424214</v>
      </c>
      <c r="BW51" s="110">
        <v>2315.2191674095907</v>
      </c>
      <c r="BX51" s="110">
        <v>2.2327874866780846</v>
      </c>
      <c r="BY51" s="110">
        <v>1570.0961606320288</v>
      </c>
      <c r="BZ51" s="110">
        <v>2</v>
      </c>
      <c r="CA51" s="110">
        <v>1406.3999999999999</v>
      </c>
      <c r="CB51" s="110">
        <v>2</v>
      </c>
      <c r="CC51" s="110">
        <v>1406.3999999999999</v>
      </c>
      <c r="CD51" s="110">
        <v>2.1267293645138161</v>
      </c>
      <c r="CE51" s="110">
        <v>1495.5160891261153</v>
      </c>
      <c r="CF51" s="110">
        <v>2</v>
      </c>
      <c r="CG51" s="110">
        <v>1406.3999999999999</v>
      </c>
      <c r="CH51" s="110">
        <v>2.0659664413593184</v>
      </c>
      <c r="CI51" s="110">
        <v>1452.7876015638726</v>
      </c>
      <c r="CJ51" s="110">
        <v>2</v>
      </c>
      <c r="CK51" s="110">
        <v>1406.3999999999999</v>
      </c>
      <c r="CL51" s="110">
        <v>1</v>
      </c>
      <c r="CM51" s="110">
        <v>703.19999999999993</v>
      </c>
      <c r="CN51" s="110">
        <v>3</v>
      </c>
      <c r="CO51" s="110">
        <v>2109.6</v>
      </c>
      <c r="CP51" s="110">
        <v>2.1550351006864417</v>
      </c>
      <c r="CQ51" s="110">
        <v>1515.4206828027056</v>
      </c>
      <c r="CR51" s="110">
        <v>4</v>
      </c>
      <c r="CS51" s="110">
        <v>2812.7999999999997</v>
      </c>
      <c r="CT51" s="110">
        <v>3.2888883823006996</v>
      </c>
      <c r="CU51" s="110">
        <v>2312.7463104338517</v>
      </c>
    </row>
    <row r="52" spans="2:99" x14ac:dyDescent="0.2">
      <c r="C52" s="109" t="s">
        <v>220</v>
      </c>
      <c r="D52" s="110">
        <v>4.7222224053626842</v>
      </c>
      <c r="E52" s="110">
        <v>2918.3334465141388</v>
      </c>
      <c r="F52" s="110">
        <v>4.0938796931603338</v>
      </c>
      <c r="G52" s="110">
        <v>2530.0176503730863</v>
      </c>
      <c r="H52" s="110">
        <v>8.2449128679292247</v>
      </c>
      <c r="I52" s="110">
        <v>5095.3561523802609</v>
      </c>
      <c r="J52" s="110">
        <v>7.5476236584257128</v>
      </c>
      <c r="K52" s="110">
        <v>4664.4314209070908</v>
      </c>
      <c r="L52" s="110">
        <v>14</v>
      </c>
      <c r="M52" s="110">
        <v>8652</v>
      </c>
      <c r="N52" s="110">
        <v>9.5009804887496934</v>
      </c>
      <c r="O52" s="110">
        <v>5871.6059420473102</v>
      </c>
      <c r="P52" s="110">
        <v>9.6530504811935529</v>
      </c>
      <c r="Q52" s="110">
        <v>5965.5851973776153</v>
      </c>
      <c r="R52" s="110">
        <v>13.318484359548524</v>
      </c>
      <c r="S52" s="110">
        <v>8230.823334200988</v>
      </c>
      <c r="T52" s="110">
        <v>13.109921201258372</v>
      </c>
      <c r="U52" s="110">
        <v>8101.931302377674</v>
      </c>
      <c r="V52" s="110">
        <v>7.1924328601865071</v>
      </c>
      <c r="W52" s="110">
        <v>4444.9235075952611</v>
      </c>
      <c r="X52" s="110">
        <v>8.2414448154605289</v>
      </c>
      <c r="Y52" s="110">
        <v>5093.2128959546071</v>
      </c>
      <c r="Z52" s="110">
        <v>13.252481513099866</v>
      </c>
      <c r="AA52" s="110">
        <v>8190.0335750957174</v>
      </c>
      <c r="AB52" s="110">
        <v>9.1490754372929359</v>
      </c>
      <c r="AC52" s="110">
        <v>5654.1286202470346</v>
      </c>
      <c r="AD52" s="110">
        <v>11.211818032223061</v>
      </c>
      <c r="AE52" s="110">
        <v>6928.9035439138515</v>
      </c>
      <c r="AF52" s="110">
        <v>8.1144260041710918</v>
      </c>
      <c r="AG52" s="110">
        <v>5014.7152705777344</v>
      </c>
      <c r="AH52" s="110">
        <v>8.0842237138684059</v>
      </c>
      <c r="AI52" s="110">
        <v>4996.050255170675</v>
      </c>
      <c r="AJ52" s="110">
        <v>5.0388446538068292</v>
      </c>
      <c r="AK52" s="110">
        <v>3114.0059960526205</v>
      </c>
      <c r="AL52" s="110">
        <v>8.097785987774607</v>
      </c>
      <c r="AM52" s="110">
        <v>5004.4317404447074</v>
      </c>
      <c r="AN52" s="110">
        <v>7.0988974237400093</v>
      </c>
      <c r="AO52" s="110">
        <v>4387.1186078713254</v>
      </c>
      <c r="AP52" s="110">
        <v>5.0561049935362776</v>
      </c>
      <c r="AQ52" s="110">
        <v>3124.6728860054195</v>
      </c>
      <c r="AR52" s="110">
        <v>5.1784288760352766</v>
      </c>
      <c r="AS52" s="110">
        <v>3200.2690453898008</v>
      </c>
      <c r="AT52" s="110">
        <v>5</v>
      </c>
      <c r="AU52" s="110">
        <v>3090</v>
      </c>
      <c r="AV52" s="110">
        <v>5.1338890604499436</v>
      </c>
      <c r="AW52" s="110">
        <v>3172.7434393580652</v>
      </c>
      <c r="AX52" s="110">
        <v>6</v>
      </c>
      <c r="AY52" s="110">
        <v>3708</v>
      </c>
      <c r="AZ52" s="110">
        <v>5.2989463533284811</v>
      </c>
      <c r="BA52" s="110">
        <v>3274.7488463570012</v>
      </c>
      <c r="BB52" s="110">
        <v>9</v>
      </c>
      <c r="BC52" s="110">
        <v>5562</v>
      </c>
      <c r="BD52" s="110">
        <v>6.2298558068999759</v>
      </c>
      <c r="BE52" s="110">
        <v>3850.0508886641851</v>
      </c>
      <c r="BF52" s="110">
        <v>9.7998714101774844</v>
      </c>
      <c r="BG52" s="110">
        <v>6056.320531489685</v>
      </c>
      <c r="BH52" s="110">
        <v>3.1740938169421358</v>
      </c>
      <c r="BI52" s="110">
        <v>1961.58997887024</v>
      </c>
      <c r="BJ52" s="110">
        <v>4.0625124369982748</v>
      </c>
      <c r="BK52" s="110">
        <v>2510.6326860649338</v>
      </c>
      <c r="BL52" s="110">
        <v>4.07510499229475</v>
      </c>
      <c r="BM52" s="110">
        <v>2518.4148852381554</v>
      </c>
      <c r="BN52" s="110">
        <v>6.1365543220555825</v>
      </c>
      <c r="BO52" s="110">
        <v>3792.3905710303502</v>
      </c>
      <c r="BP52" s="110">
        <v>3.0489835829914815</v>
      </c>
      <c r="BQ52" s="110">
        <v>1884.2718542887355</v>
      </c>
      <c r="BR52" s="110">
        <v>3.2711254062614623</v>
      </c>
      <c r="BS52" s="110">
        <v>2021.5555010695837</v>
      </c>
      <c r="BT52" s="110">
        <v>3</v>
      </c>
      <c r="BU52" s="110">
        <v>1854</v>
      </c>
      <c r="BV52" s="110">
        <v>3.1219935329709578</v>
      </c>
      <c r="BW52" s="110">
        <v>1929.3920033760519</v>
      </c>
      <c r="BX52" s="110">
        <v>2.1023237312593168</v>
      </c>
      <c r="BY52" s="110">
        <v>1299.2360659182577</v>
      </c>
      <c r="BZ52" s="110">
        <v>2.0748254953557232</v>
      </c>
      <c r="CA52" s="110">
        <v>1282.242156129837</v>
      </c>
      <c r="CB52" s="110">
        <v>2.120701894576885</v>
      </c>
      <c r="CC52" s="110">
        <v>1310.5937708485149</v>
      </c>
      <c r="CD52" s="110">
        <v>2</v>
      </c>
      <c r="CE52" s="110">
        <v>1236</v>
      </c>
      <c r="CF52" s="110">
        <v>2.1014703876706959</v>
      </c>
      <c r="CG52" s="110">
        <v>1298.70869958049</v>
      </c>
      <c r="CH52" s="110">
        <v>2</v>
      </c>
      <c r="CI52" s="110">
        <v>1236</v>
      </c>
      <c r="CJ52" s="110">
        <v>3.1738512592504819</v>
      </c>
      <c r="CK52" s="110">
        <v>1961.4400782167979</v>
      </c>
      <c r="CL52" s="110">
        <v>1.2689406836382096</v>
      </c>
      <c r="CM52" s="110">
        <v>784.20534248841352</v>
      </c>
      <c r="CN52" s="110">
        <v>3.6195505854176688</v>
      </c>
      <c r="CO52" s="110">
        <v>2236.8822617881192</v>
      </c>
      <c r="CP52" s="110">
        <v>2.5670449208767376</v>
      </c>
      <c r="CQ52" s="110">
        <v>1586.4337611018238</v>
      </c>
      <c r="CR52" s="110">
        <v>4</v>
      </c>
      <c r="CS52" s="110">
        <v>2472</v>
      </c>
      <c r="CT52" s="110">
        <v>3.2940126365590734</v>
      </c>
      <c r="CU52" s="110">
        <v>2035.6998093935074</v>
      </c>
    </row>
    <row r="53" spans="2:99" x14ac:dyDescent="0.2">
      <c r="C53" s="109" t="s">
        <v>221</v>
      </c>
      <c r="D53" s="110">
        <v>5.3968256061287816</v>
      </c>
      <c r="E53" s="110">
        <v>2674.666770397424</v>
      </c>
      <c r="F53" s="110">
        <v>5.0938796931603338</v>
      </c>
      <c r="G53" s="110">
        <v>2524.5267759302615</v>
      </c>
      <c r="H53" s="110">
        <v>8.2433883066759197</v>
      </c>
      <c r="I53" s="110">
        <v>4085.4232447885856</v>
      </c>
      <c r="J53" s="110">
        <v>7.4453217890144634</v>
      </c>
      <c r="K53" s="110">
        <v>3689.9014786355679</v>
      </c>
      <c r="L53" s="110">
        <v>15</v>
      </c>
      <c r="M53" s="110">
        <v>7433.9999999999991</v>
      </c>
      <c r="N53" s="110">
        <v>9.505887336387655</v>
      </c>
      <c r="O53" s="110">
        <v>4711.1177639137213</v>
      </c>
      <c r="P53" s="110">
        <v>10.49991473130614</v>
      </c>
      <c r="Q53" s="110">
        <v>5203.7577408353227</v>
      </c>
      <c r="R53" s="110">
        <v>13.318484359548524</v>
      </c>
      <c r="S53" s="110">
        <v>6600.6408485922484</v>
      </c>
      <c r="T53" s="110">
        <v>13.109921201258372</v>
      </c>
      <c r="U53" s="110">
        <v>6497.2769473436483</v>
      </c>
      <c r="V53" s="110">
        <v>7.2164869677098205</v>
      </c>
      <c r="W53" s="110">
        <v>3576.4909411969866</v>
      </c>
      <c r="X53" s="110">
        <v>7.241444815460528</v>
      </c>
      <c r="Y53" s="110">
        <v>3588.8600505422373</v>
      </c>
      <c r="Z53" s="110">
        <v>15.231441387008211</v>
      </c>
      <c r="AA53" s="110">
        <v>7548.702351401269</v>
      </c>
      <c r="AB53" s="110">
        <v>11.127778946251087</v>
      </c>
      <c r="AC53" s="110">
        <v>5514.9272457620382</v>
      </c>
      <c r="AD53" s="110">
        <v>11.211818032223061</v>
      </c>
      <c r="AE53" s="110">
        <v>5556.5770167697483</v>
      </c>
      <c r="AF53" s="110">
        <v>7.1144260041710909</v>
      </c>
      <c r="AG53" s="110">
        <v>3525.9095276671924</v>
      </c>
      <c r="AH53" s="110">
        <v>7.0842237138684068</v>
      </c>
      <c r="AI53" s="110">
        <v>3510.941272593182</v>
      </c>
      <c r="AJ53" s="110">
        <v>6.0388446538068292</v>
      </c>
      <c r="AK53" s="110">
        <v>2992.8514104266642</v>
      </c>
      <c r="AL53" s="110">
        <v>8.097785987774607</v>
      </c>
      <c r="AM53" s="110">
        <v>4013.262735541095</v>
      </c>
      <c r="AN53" s="110">
        <v>7.0988974237400093</v>
      </c>
      <c r="AO53" s="110">
        <v>3518.2135632055483</v>
      </c>
      <c r="AP53" s="110">
        <v>5.0561049935362776</v>
      </c>
      <c r="AQ53" s="110">
        <v>2505.8056347965789</v>
      </c>
      <c r="AR53" s="110">
        <v>4.1427431008282207</v>
      </c>
      <c r="AS53" s="110">
        <v>2053.1434807704659</v>
      </c>
      <c r="AT53" s="110">
        <v>4</v>
      </c>
      <c r="AU53" s="110">
        <v>1982.3999999999999</v>
      </c>
      <c r="AV53" s="110">
        <v>4.1338890604499436</v>
      </c>
      <c r="AW53" s="110">
        <v>2048.7554183589918</v>
      </c>
      <c r="AX53" s="110">
        <v>5</v>
      </c>
      <c r="AY53" s="110">
        <v>2478</v>
      </c>
      <c r="AZ53" s="110">
        <v>5.3839282562315693</v>
      </c>
      <c r="BA53" s="110">
        <v>2668.2748437883656</v>
      </c>
      <c r="BB53" s="110">
        <v>9</v>
      </c>
      <c r="BC53" s="110">
        <v>4460.3999999999996</v>
      </c>
      <c r="BD53" s="110">
        <v>6.2170860398499768</v>
      </c>
      <c r="BE53" s="110">
        <v>3081.1878413496484</v>
      </c>
      <c r="BF53" s="110">
        <v>9.811942682111285</v>
      </c>
      <c r="BG53" s="110">
        <v>4862.7987932543529</v>
      </c>
      <c r="BH53" s="110">
        <v>3.2031094530991586</v>
      </c>
      <c r="BI53" s="110">
        <v>1587.461044955943</v>
      </c>
      <c r="BJ53" s="110">
        <v>4.0546983823734903</v>
      </c>
      <c r="BK53" s="110">
        <v>2009.5085183043016</v>
      </c>
      <c r="BL53" s="110">
        <v>4.07510499229475</v>
      </c>
      <c r="BM53" s="110">
        <v>2019.622034181278</v>
      </c>
      <c r="BN53" s="110">
        <v>6.1137952683796515</v>
      </c>
      <c r="BO53" s="110">
        <v>3029.996935008955</v>
      </c>
      <c r="BP53" s="110">
        <v>3.0391868663931851</v>
      </c>
      <c r="BQ53" s="110">
        <v>1506.2210109844625</v>
      </c>
      <c r="BR53" s="110">
        <v>3.2711254062614623</v>
      </c>
      <c r="BS53" s="110">
        <v>1621.1697513431807</v>
      </c>
      <c r="BT53" s="110">
        <v>3</v>
      </c>
      <c r="BU53" s="110">
        <v>1486.8</v>
      </c>
      <c r="BV53" s="110">
        <v>3.1219935329709578</v>
      </c>
      <c r="BW53" s="110">
        <v>1547.2599949404066</v>
      </c>
      <c r="BX53" s="110">
        <v>2.1227884775111798</v>
      </c>
      <c r="BY53" s="110">
        <v>1052.0539694545407</v>
      </c>
      <c r="BZ53" s="110">
        <v>2.0748254953557232</v>
      </c>
      <c r="CA53" s="110">
        <v>1028.2835154982963</v>
      </c>
      <c r="CB53" s="110">
        <v>2.120701894576885</v>
      </c>
      <c r="CC53" s="110">
        <v>1051.019858952304</v>
      </c>
      <c r="CD53" s="110">
        <v>2</v>
      </c>
      <c r="CE53" s="110">
        <v>991.19999999999993</v>
      </c>
      <c r="CF53" s="110">
        <v>2.1014703876706959</v>
      </c>
      <c r="CG53" s="110">
        <v>1041.4887241295969</v>
      </c>
      <c r="CH53" s="110">
        <v>2</v>
      </c>
      <c r="CI53" s="110">
        <v>991.19999999999993</v>
      </c>
      <c r="CJ53" s="110">
        <v>3.3205826666567924</v>
      </c>
      <c r="CK53" s="110">
        <v>1645.6807695951061</v>
      </c>
      <c r="CL53" s="110">
        <v>2.2353230981834336</v>
      </c>
      <c r="CM53" s="110">
        <v>1107.8261274597096</v>
      </c>
      <c r="CN53" s="110">
        <v>3.6240649010768573</v>
      </c>
      <c r="CO53" s="110">
        <v>1796.0865649736904</v>
      </c>
      <c r="CP53" s="110">
        <v>3.4690482538235847</v>
      </c>
      <c r="CQ53" s="110">
        <v>1719.2603145949686</v>
      </c>
      <c r="CR53" s="110">
        <v>4</v>
      </c>
      <c r="CS53" s="110">
        <v>1982.3999999999999</v>
      </c>
      <c r="CT53" s="110">
        <v>3.2940126365590734</v>
      </c>
      <c r="CU53" s="110">
        <v>1632.5126626786766</v>
      </c>
    </row>
    <row r="54" spans="2:99" x14ac:dyDescent="0.2">
      <c r="C54" s="109" t="s">
        <v>222</v>
      </c>
      <c r="D54" s="110">
        <v>4.7222224053626842</v>
      </c>
      <c r="E54" s="110">
        <v>1926.6667413879752</v>
      </c>
      <c r="F54" s="110">
        <v>5.0709527623063284</v>
      </c>
      <c r="G54" s="110">
        <v>2068.948727020982</v>
      </c>
      <c r="H54" s="110">
        <v>7.2449128679292247</v>
      </c>
      <c r="I54" s="110">
        <v>2955.9244501151238</v>
      </c>
      <c r="J54" s="110">
        <v>8.4453217890144625</v>
      </c>
      <c r="K54" s="110">
        <v>3445.6912899179006</v>
      </c>
      <c r="L54" s="110">
        <v>15</v>
      </c>
      <c r="M54" s="110">
        <v>6120</v>
      </c>
      <c r="N54" s="110">
        <v>10.500980488749693</v>
      </c>
      <c r="O54" s="110">
        <v>4284.4000394098748</v>
      </c>
      <c r="P54" s="110">
        <v>8.6489997330291644</v>
      </c>
      <c r="Q54" s="110">
        <v>3528.791891075899</v>
      </c>
      <c r="R54" s="110">
        <v>14.780678398203682</v>
      </c>
      <c r="S54" s="110">
        <v>6030.5167864671021</v>
      </c>
      <c r="T54" s="110">
        <v>14.109921201258372</v>
      </c>
      <c r="U54" s="110">
        <v>5756.8478501134159</v>
      </c>
      <c r="V54" s="110">
        <v>9.2164869677098196</v>
      </c>
      <c r="W54" s="110">
        <v>3760.3266828256064</v>
      </c>
      <c r="X54" s="110">
        <v>8.2194952867822977</v>
      </c>
      <c r="Y54" s="110">
        <v>3353.5540770071775</v>
      </c>
      <c r="Z54" s="110">
        <v>14.231441387008211</v>
      </c>
      <c r="AA54" s="110">
        <v>5806.4280858993498</v>
      </c>
      <c r="AB54" s="110">
        <v>9.1490754372929359</v>
      </c>
      <c r="AC54" s="110">
        <v>3732.8227784155179</v>
      </c>
      <c r="AD54" s="110">
        <v>10.190636229000756</v>
      </c>
      <c r="AE54" s="110">
        <v>4157.7795814323081</v>
      </c>
      <c r="AF54" s="110">
        <v>8.1144260041710918</v>
      </c>
      <c r="AG54" s="110">
        <v>3310.6858097018053</v>
      </c>
      <c r="AH54" s="110">
        <v>8.0736957496348563</v>
      </c>
      <c r="AI54" s="110">
        <v>3294.0678658510215</v>
      </c>
      <c r="AJ54" s="110">
        <v>6.0388446538068292</v>
      </c>
      <c r="AK54" s="110">
        <v>2463.8486187531862</v>
      </c>
      <c r="AL54" s="110">
        <v>8.097785987774607</v>
      </c>
      <c r="AM54" s="110">
        <v>3303.8966830120398</v>
      </c>
      <c r="AN54" s="110">
        <v>7.1186769084880117</v>
      </c>
      <c r="AO54" s="110">
        <v>2904.4201786631088</v>
      </c>
      <c r="AP54" s="110">
        <v>5.0561049935362776</v>
      </c>
      <c r="AQ54" s="110">
        <v>2062.8908373628014</v>
      </c>
      <c r="AR54" s="110">
        <v>5.1427431008282207</v>
      </c>
      <c r="AS54" s="110">
        <v>2098.2391851379139</v>
      </c>
      <c r="AT54" s="110">
        <v>4</v>
      </c>
      <c r="AU54" s="110">
        <v>1632</v>
      </c>
      <c r="AV54" s="110">
        <v>4.1338890604499436</v>
      </c>
      <c r="AW54" s="110">
        <v>1686.626736663577</v>
      </c>
      <c r="AX54" s="110">
        <v>5</v>
      </c>
      <c r="AY54" s="110">
        <v>2040</v>
      </c>
      <c r="AZ54" s="110">
        <v>5.2989463533284811</v>
      </c>
      <c r="BA54" s="110">
        <v>2161.9701121580201</v>
      </c>
      <c r="BB54" s="110">
        <v>10</v>
      </c>
      <c r="BC54" s="110">
        <v>4080</v>
      </c>
      <c r="BD54" s="110">
        <v>7.2298558068999759</v>
      </c>
      <c r="BE54" s="110">
        <v>2949.7811692151899</v>
      </c>
      <c r="BF54" s="110">
        <v>9.8059070461443838</v>
      </c>
      <c r="BG54" s="110">
        <v>4000.8100748269085</v>
      </c>
      <c r="BH54" s="110">
        <v>4.1740938169421362</v>
      </c>
      <c r="BI54" s="110">
        <v>1703.0302773123915</v>
      </c>
      <c r="BJ54" s="110">
        <v>4.0625124369982748</v>
      </c>
      <c r="BK54" s="110">
        <v>1657.505074295296</v>
      </c>
      <c r="BL54" s="110">
        <v>4.07510499229475</v>
      </c>
      <c r="BM54" s="110">
        <v>1662.6428368562581</v>
      </c>
      <c r="BN54" s="110">
        <v>5.1137952683796515</v>
      </c>
      <c r="BO54" s="110">
        <v>2086.4284694988978</v>
      </c>
      <c r="BP54" s="110">
        <v>3.0391868663931851</v>
      </c>
      <c r="BQ54" s="110">
        <v>1239.9882414884196</v>
      </c>
      <c r="BR54" s="110">
        <v>3.2711254062614623</v>
      </c>
      <c r="BS54" s="110">
        <v>1334.6191657546767</v>
      </c>
      <c r="BT54" s="110">
        <v>3</v>
      </c>
      <c r="BU54" s="110">
        <v>1224</v>
      </c>
      <c r="BV54" s="110">
        <v>3.1219935329709578</v>
      </c>
      <c r="BW54" s="110">
        <v>1273.7733614521508</v>
      </c>
      <c r="BX54" s="110">
        <v>3.1023237312593168</v>
      </c>
      <c r="BY54" s="110">
        <v>1265.7480823538012</v>
      </c>
      <c r="BZ54" s="110">
        <v>2.0748254953557232</v>
      </c>
      <c r="CA54" s="110">
        <v>846.52880210513513</v>
      </c>
      <c r="CB54" s="110">
        <v>2.120701894576885</v>
      </c>
      <c r="CC54" s="110">
        <v>865.24637298736911</v>
      </c>
      <c r="CD54" s="110">
        <v>2</v>
      </c>
      <c r="CE54" s="110">
        <v>816</v>
      </c>
      <c r="CF54" s="110">
        <v>2.1159661573379385</v>
      </c>
      <c r="CG54" s="110">
        <v>863.31419219387885</v>
      </c>
      <c r="CH54" s="110">
        <v>2</v>
      </c>
      <c r="CI54" s="110">
        <v>816</v>
      </c>
      <c r="CJ54" s="110">
        <v>3.1738512592504819</v>
      </c>
      <c r="CK54" s="110">
        <v>1294.9313137741967</v>
      </c>
      <c r="CL54" s="110">
        <v>2.2353230981834336</v>
      </c>
      <c r="CM54" s="110">
        <v>912.01182405884094</v>
      </c>
      <c r="CN54" s="110">
        <v>3.6150362697584804</v>
      </c>
      <c r="CO54" s="110">
        <v>1474.93479806146</v>
      </c>
      <c r="CP54" s="110">
        <v>2.4414571800692562</v>
      </c>
      <c r="CQ54" s="110">
        <v>996.11452946825648</v>
      </c>
      <c r="CR54" s="110">
        <v>5</v>
      </c>
      <c r="CS54" s="110">
        <v>2040</v>
      </c>
      <c r="CT54" s="110">
        <v>3.2646113729031661</v>
      </c>
      <c r="CU54" s="110">
        <v>1331.9614401444917</v>
      </c>
    </row>
    <row r="55" spans="2:99" x14ac:dyDescent="0.2">
      <c r="C55" s="109" t="s">
        <v>223</v>
      </c>
      <c r="D55" s="110">
        <v>5.3968256061287816</v>
      </c>
      <c r="E55" s="110">
        <v>4345.5239780548945</v>
      </c>
      <c r="F55" s="110">
        <v>4.0938796931603338</v>
      </c>
      <c r="G55" s="110">
        <v>3296.3919289327005</v>
      </c>
      <c r="H55" s="110">
        <v>8.2433883066759197</v>
      </c>
      <c r="I55" s="110">
        <v>6637.5762645354498</v>
      </c>
      <c r="J55" s="110">
        <v>7.4417103578775166</v>
      </c>
      <c r="K55" s="110">
        <v>5992.0651801629756</v>
      </c>
      <c r="L55" s="110">
        <v>14</v>
      </c>
      <c r="M55" s="110">
        <v>11272.8</v>
      </c>
      <c r="N55" s="110">
        <v>9.3843223499287056</v>
      </c>
      <c r="O55" s="110">
        <v>7556.256356162593</v>
      </c>
      <c r="P55" s="110">
        <v>9.5080162276349203</v>
      </c>
      <c r="Q55" s="110">
        <v>7655.8546664916375</v>
      </c>
      <c r="R55" s="110">
        <v>14.589042050960542</v>
      </c>
      <c r="S55" s="110">
        <v>11747.096659433428</v>
      </c>
      <c r="T55" s="110">
        <v>13.109921201258372</v>
      </c>
      <c r="U55" s="110">
        <v>10556.108551253241</v>
      </c>
      <c r="V55" s="110">
        <v>7.1924328601865071</v>
      </c>
      <c r="W55" s="110">
        <v>5791.3469390221753</v>
      </c>
      <c r="X55" s="110">
        <v>8.2194952867822977</v>
      </c>
      <c r="Y55" s="110">
        <v>6618.3376049171056</v>
      </c>
      <c r="Z55" s="110">
        <v>13.231441387008211</v>
      </c>
      <c r="AA55" s="110">
        <v>10653.95660481901</v>
      </c>
      <c r="AB55" s="110">
        <v>9.1277789462510874</v>
      </c>
      <c r="AC55" s="110">
        <v>7349.687607521375</v>
      </c>
      <c r="AD55" s="110">
        <v>9.1694544257784489</v>
      </c>
      <c r="AE55" s="110">
        <v>7383.2447036368067</v>
      </c>
      <c r="AF55" s="110">
        <v>7.095355003475909</v>
      </c>
      <c r="AG55" s="110">
        <v>5713.1798487988017</v>
      </c>
      <c r="AH55" s="110">
        <v>7.0736957496348554</v>
      </c>
      <c r="AI55" s="110">
        <v>5695.7398176059851</v>
      </c>
      <c r="AJ55" s="110">
        <v>6.0388446538068292</v>
      </c>
      <c r="AK55" s="110">
        <v>4862.4777152452589</v>
      </c>
      <c r="AL55" s="110">
        <v>8.097785987774607</v>
      </c>
      <c r="AM55" s="110">
        <v>6520.3372773561132</v>
      </c>
      <c r="AN55" s="110">
        <v>6.1186769084880117</v>
      </c>
      <c r="AO55" s="110">
        <v>4926.7586467145466</v>
      </c>
      <c r="AP55" s="110">
        <v>5.0561049935362776</v>
      </c>
      <c r="AQ55" s="110">
        <v>4071.1757407954105</v>
      </c>
      <c r="AR55" s="110">
        <v>4.1427431008282207</v>
      </c>
      <c r="AS55" s="110">
        <v>3335.7367447868833</v>
      </c>
      <c r="AT55" s="110">
        <v>5</v>
      </c>
      <c r="AU55" s="110">
        <v>4025.9999999999995</v>
      </c>
      <c r="AV55" s="110">
        <v>4.1338890604499436</v>
      </c>
      <c r="AW55" s="110">
        <v>3328.6074714742945</v>
      </c>
      <c r="AX55" s="110">
        <v>5</v>
      </c>
      <c r="AY55" s="110">
        <v>4025.9999999999995</v>
      </c>
      <c r="AZ55" s="110">
        <v>5.2989463533284811</v>
      </c>
      <c r="BA55" s="110">
        <v>4266.7116037000924</v>
      </c>
      <c r="BB55" s="110">
        <v>9</v>
      </c>
      <c r="BC55" s="110">
        <v>7246.7999999999993</v>
      </c>
      <c r="BD55" s="110">
        <v>7.2043162727999785</v>
      </c>
      <c r="BE55" s="110">
        <v>5800.915462858542</v>
      </c>
      <c r="BF55" s="110">
        <v>9.8179783180781861</v>
      </c>
      <c r="BG55" s="110">
        <v>7905.4361417165546</v>
      </c>
      <c r="BH55" s="110">
        <v>3.1740938169421358</v>
      </c>
      <c r="BI55" s="110">
        <v>2555.7803414018076</v>
      </c>
      <c r="BJ55" s="110">
        <v>4.0625124369982748</v>
      </c>
      <c r="BK55" s="110">
        <v>3271.1350142710107</v>
      </c>
      <c r="BL55" s="110">
        <v>4.07510499229475</v>
      </c>
      <c r="BM55" s="110">
        <v>3281.2745397957324</v>
      </c>
      <c r="BN55" s="110">
        <v>5.1365543220555825</v>
      </c>
      <c r="BO55" s="110">
        <v>4135.9535401191542</v>
      </c>
      <c r="BP55" s="110">
        <v>3.0489835829914815</v>
      </c>
      <c r="BQ55" s="110">
        <v>2455.0415810247409</v>
      </c>
      <c r="BR55" s="110">
        <v>3.2711254062614623</v>
      </c>
      <c r="BS55" s="110">
        <v>2633.9101771217292</v>
      </c>
      <c r="BT55" s="110">
        <v>3</v>
      </c>
      <c r="BU55" s="110">
        <v>2415.6</v>
      </c>
      <c r="BV55" s="110">
        <v>3.1016612774757979</v>
      </c>
      <c r="BW55" s="110">
        <v>2497.4576606235123</v>
      </c>
      <c r="BX55" s="110">
        <v>2.1023237312593168</v>
      </c>
      <c r="BY55" s="110">
        <v>1692.7910684100018</v>
      </c>
      <c r="BZ55" s="110">
        <v>2.0748254953557232</v>
      </c>
      <c r="CA55" s="110">
        <v>1670.6494888604282</v>
      </c>
      <c r="CB55" s="110">
        <v>2.1056141577547742</v>
      </c>
      <c r="CC55" s="110">
        <v>1695.4405198241441</v>
      </c>
      <c r="CD55" s="110">
        <v>2</v>
      </c>
      <c r="CE55" s="110">
        <v>1610.3999999999999</v>
      </c>
      <c r="CF55" s="110">
        <v>2.1159661573379385</v>
      </c>
      <c r="CG55" s="110">
        <v>1703.775949888508</v>
      </c>
      <c r="CH55" s="110">
        <v>2</v>
      </c>
      <c r="CI55" s="110">
        <v>1610.3999999999999</v>
      </c>
      <c r="CJ55" s="110">
        <v>3.3205826666567924</v>
      </c>
      <c r="CK55" s="110">
        <v>2673.7331631920488</v>
      </c>
      <c r="CL55" s="110">
        <v>2.2353230981834336</v>
      </c>
      <c r="CM55" s="110">
        <v>1799.8821586573006</v>
      </c>
      <c r="CN55" s="110">
        <v>3.6105219540992919</v>
      </c>
      <c r="CO55" s="110">
        <v>2907.1922774407494</v>
      </c>
      <c r="CP55" s="110">
        <v>3.5670449208767376</v>
      </c>
      <c r="CQ55" s="110">
        <v>2872.1845702899491</v>
      </c>
      <c r="CR55" s="110">
        <v>4</v>
      </c>
      <c r="CS55" s="110">
        <v>3220.7999999999997</v>
      </c>
      <c r="CT55" s="110">
        <v>3.2646113729031661</v>
      </c>
      <c r="CU55" s="110">
        <v>2628.6650774616292</v>
      </c>
    </row>
    <row r="56" spans="2:99" x14ac:dyDescent="0.2">
      <c r="C56" s="109" t="s">
        <v>224</v>
      </c>
      <c r="D56" s="110">
        <v>3.1498731330217686</v>
      </c>
      <c r="E56" s="110">
        <v>2645.8934317382855</v>
      </c>
      <c r="F56" s="110">
        <v>3.5461162631376686</v>
      </c>
      <c r="G56" s="110">
        <v>2978.7376610356414</v>
      </c>
      <c r="H56" s="110">
        <v>8.5753184715419497</v>
      </c>
      <c r="I56" s="110">
        <v>7203.2675160952376</v>
      </c>
      <c r="J56" s="110">
        <v>5.4048116847537706</v>
      </c>
      <c r="K56" s="110">
        <v>4540.0418151931672</v>
      </c>
      <c r="L56" s="110">
        <v>12.367604589911375</v>
      </c>
      <c r="M56" s="110">
        <v>10388.787855525556</v>
      </c>
      <c r="N56" s="110">
        <v>9.723397099585684</v>
      </c>
      <c r="O56" s="110">
        <v>8167.6535636519748</v>
      </c>
      <c r="P56" s="110">
        <v>9.6388058754852306</v>
      </c>
      <c r="Q56" s="110">
        <v>8096.5969354075933</v>
      </c>
      <c r="R56" s="110">
        <v>13.808489703887766</v>
      </c>
      <c r="S56" s="110">
        <v>11599.131351265723</v>
      </c>
      <c r="T56" s="110">
        <v>13</v>
      </c>
      <c r="U56" s="110">
        <v>10920</v>
      </c>
      <c r="V56" s="110">
        <v>8</v>
      </c>
      <c r="W56" s="110">
        <v>6720</v>
      </c>
      <c r="X56" s="110">
        <v>8</v>
      </c>
      <c r="Y56" s="110">
        <v>6720</v>
      </c>
      <c r="Z56" s="110">
        <v>12</v>
      </c>
      <c r="AA56" s="110">
        <v>10080</v>
      </c>
      <c r="AB56" s="110">
        <v>10</v>
      </c>
      <c r="AC56" s="110">
        <v>8400</v>
      </c>
      <c r="AD56" s="110">
        <v>10.004824942557702</v>
      </c>
      <c r="AE56" s="110">
        <v>8404.0529517484702</v>
      </c>
      <c r="AF56" s="110">
        <v>8</v>
      </c>
      <c r="AG56" s="110">
        <v>6720</v>
      </c>
      <c r="AH56" s="110">
        <v>7.0079814813491677</v>
      </c>
      <c r="AI56" s="110">
        <v>5886.7044443333007</v>
      </c>
      <c r="AJ56" s="110">
        <v>6.0088345804124144</v>
      </c>
      <c r="AK56" s="110">
        <v>5047.4210475464279</v>
      </c>
      <c r="AL56" s="110">
        <v>7.2159632952257722</v>
      </c>
      <c r="AM56" s="110">
        <v>6061.4091679896483</v>
      </c>
      <c r="AN56" s="110">
        <v>6.2218998142905653</v>
      </c>
      <c r="AO56" s="110">
        <v>5226.3958440040751</v>
      </c>
      <c r="AP56" s="110">
        <v>5.1622347852434025</v>
      </c>
      <c r="AQ56" s="110">
        <v>4336.277219604458</v>
      </c>
      <c r="AR56" s="110">
        <v>4.1622347852434025</v>
      </c>
      <c r="AS56" s="110">
        <v>3496.277219604458</v>
      </c>
      <c r="AT56" s="110">
        <v>5</v>
      </c>
      <c r="AU56" s="110">
        <v>4200</v>
      </c>
      <c r="AV56" s="110">
        <v>4</v>
      </c>
      <c r="AW56" s="110">
        <v>3360</v>
      </c>
      <c r="AX56" s="110">
        <v>5.3106597400067921</v>
      </c>
      <c r="AY56" s="110">
        <v>4460.9541816057053</v>
      </c>
      <c r="AZ56" s="110">
        <v>5.4255911259634715</v>
      </c>
      <c r="BA56" s="110">
        <v>4557.4965458093156</v>
      </c>
      <c r="BB56" s="110">
        <v>9.5038936704537651</v>
      </c>
      <c r="BC56" s="110">
        <v>7983.2706831811629</v>
      </c>
      <c r="BD56" s="110">
        <v>6</v>
      </c>
      <c r="BE56" s="110">
        <v>5040</v>
      </c>
      <c r="BF56" s="110">
        <v>8.9730841201992426</v>
      </c>
      <c r="BG56" s="110">
        <v>7537.3906609673641</v>
      </c>
      <c r="BH56" s="110">
        <v>3</v>
      </c>
      <c r="BI56" s="110">
        <v>2520</v>
      </c>
      <c r="BJ56" s="110">
        <v>4</v>
      </c>
      <c r="BK56" s="110">
        <v>3360</v>
      </c>
      <c r="BL56" s="110">
        <v>4</v>
      </c>
      <c r="BM56" s="110">
        <v>3360</v>
      </c>
      <c r="BN56" s="110">
        <v>6</v>
      </c>
      <c r="BO56" s="110">
        <v>5040</v>
      </c>
      <c r="BP56" s="110">
        <v>3</v>
      </c>
      <c r="BQ56" s="110">
        <v>2520</v>
      </c>
      <c r="BR56" s="110">
        <v>3</v>
      </c>
      <c r="BS56" s="110">
        <v>2520</v>
      </c>
      <c r="BT56" s="110">
        <v>3</v>
      </c>
      <c r="BU56" s="110">
        <v>2520</v>
      </c>
      <c r="BV56" s="110">
        <v>3</v>
      </c>
      <c r="BW56" s="110">
        <v>2520</v>
      </c>
      <c r="BX56" s="110">
        <v>2</v>
      </c>
      <c r="BY56" s="110">
        <v>1680</v>
      </c>
      <c r="BZ56" s="110">
        <v>2</v>
      </c>
      <c r="CA56" s="110">
        <v>1680</v>
      </c>
      <c r="CB56" s="110">
        <v>2</v>
      </c>
      <c r="CC56" s="110">
        <v>1680</v>
      </c>
      <c r="CD56" s="110">
        <v>2</v>
      </c>
      <c r="CE56" s="110">
        <v>1680</v>
      </c>
      <c r="CF56" s="110">
        <v>2</v>
      </c>
      <c r="CG56" s="110">
        <v>1680</v>
      </c>
      <c r="CH56" s="110">
        <v>2.0803518192289738</v>
      </c>
      <c r="CI56" s="110">
        <v>1747.495528152338</v>
      </c>
      <c r="CJ56" s="110">
        <v>2.095271276430827</v>
      </c>
      <c r="CK56" s="110">
        <v>1760.0278722018948</v>
      </c>
      <c r="CL56" s="110">
        <v>1.1089045535862221</v>
      </c>
      <c r="CM56" s="110">
        <v>931.47982501242655</v>
      </c>
      <c r="CN56" s="110">
        <v>3.070818920506134</v>
      </c>
      <c r="CO56" s="110">
        <v>2579.4878932251527</v>
      </c>
      <c r="CP56" s="110">
        <v>3</v>
      </c>
      <c r="CQ56" s="110">
        <v>2520</v>
      </c>
      <c r="CR56" s="110">
        <v>4.4302976508541647</v>
      </c>
      <c r="CS56" s="110">
        <v>3721.4500267174985</v>
      </c>
      <c r="CT56" s="110">
        <v>3.3203281552716652</v>
      </c>
      <c r="CU56" s="110">
        <v>2789.075650428199</v>
      </c>
    </row>
    <row r="57" spans="2:99" x14ac:dyDescent="0.2">
      <c r="C57" s="109" t="s">
        <v>225</v>
      </c>
      <c r="D57" s="110">
        <v>6.8357966215005268</v>
      </c>
      <c r="E57" s="110">
        <v>8629.5096549822647</v>
      </c>
      <c r="F57" s="110">
        <v>4.079184586335586</v>
      </c>
      <c r="G57" s="110">
        <v>5149.5626217900435</v>
      </c>
      <c r="H57" s="110">
        <v>7</v>
      </c>
      <c r="I57" s="110">
        <v>8836.7999999999993</v>
      </c>
      <c r="J57" s="110">
        <v>7.1871979912623507</v>
      </c>
      <c r="K57" s="110">
        <v>9073.1187441695911</v>
      </c>
      <c r="L57" s="110">
        <v>13.508710636875987</v>
      </c>
      <c r="M57" s="110">
        <v>17053.396307992243</v>
      </c>
      <c r="N57" s="110">
        <v>9.3779209604753593</v>
      </c>
      <c r="O57" s="110">
        <v>11838.687420504093</v>
      </c>
      <c r="P57" s="110">
        <v>7.2990088231036072</v>
      </c>
      <c r="Q57" s="110">
        <v>9214.2687382859931</v>
      </c>
      <c r="R57" s="110">
        <v>14.421619086835939</v>
      </c>
      <c r="S57" s="110">
        <v>18205.851935221686</v>
      </c>
      <c r="T57" s="110">
        <v>12.461111301882292</v>
      </c>
      <c r="U57" s="110">
        <v>15730.906907496204</v>
      </c>
      <c r="V57" s="110">
        <v>8</v>
      </c>
      <c r="W57" s="110">
        <v>10099.199999999999</v>
      </c>
      <c r="X57" s="110">
        <v>7</v>
      </c>
      <c r="Y57" s="110">
        <v>8836.7999999999993</v>
      </c>
      <c r="Z57" s="110">
        <v>11</v>
      </c>
      <c r="AA57" s="110">
        <v>13886.399999999998</v>
      </c>
      <c r="AB57" s="110">
        <v>9</v>
      </c>
      <c r="AC57" s="110">
        <v>11361.599999999999</v>
      </c>
      <c r="AD57" s="110">
        <v>10.049472395196885</v>
      </c>
      <c r="AE57" s="110">
        <v>12686.453951696545</v>
      </c>
      <c r="AF57" s="110">
        <v>8</v>
      </c>
      <c r="AG57" s="110">
        <v>10099.199999999999</v>
      </c>
      <c r="AH57" s="110">
        <v>8.1450867088565619</v>
      </c>
      <c r="AI57" s="110">
        <v>10282.357461260523</v>
      </c>
      <c r="AJ57" s="110">
        <v>7.0947922139714041</v>
      </c>
      <c r="AK57" s="110">
        <v>8956.4656909174992</v>
      </c>
      <c r="AL57" s="110">
        <v>8</v>
      </c>
      <c r="AM57" s="110">
        <v>10099.199999999999</v>
      </c>
      <c r="AN57" s="110">
        <v>7</v>
      </c>
      <c r="AO57" s="110">
        <v>8836.7999999999993</v>
      </c>
      <c r="AP57" s="110">
        <v>5</v>
      </c>
      <c r="AQ57" s="110">
        <v>6311.9999999999991</v>
      </c>
      <c r="AR57" s="110">
        <v>5</v>
      </c>
      <c r="AS57" s="110">
        <v>6311.9999999999991</v>
      </c>
      <c r="AT57" s="110">
        <v>4.2331158659405652</v>
      </c>
      <c r="AU57" s="110">
        <v>5343.8854691633687</v>
      </c>
      <c r="AV57" s="110">
        <v>4.2929569280024564</v>
      </c>
      <c r="AW57" s="110">
        <v>5419.4288259103005</v>
      </c>
      <c r="AX57" s="110">
        <v>5.2124417940236372</v>
      </c>
      <c r="AY57" s="110">
        <v>6580.186520775439</v>
      </c>
      <c r="AZ57" s="110">
        <v>4</v>
      </c>
      <c r="BA57" s="110">
        <v>5049.5999999999995</v>
      </c>
      <c r="BB57" s="110">
        <v>8</v>
      </c>
      <c r="BC57" s="110">
        <v>10099.199999999999</v>
      </c>
      <c r="BD57" s="110">
        <v>6</v>
      </c>
      <c r="BE57" s="110">
        <v>7574.4</v>
      </c>
      <c r="BF57" s="110">
        <v>8.4523383106485355</v>
      </c>
      <c r="BG57" s="110">
        <v>10670.231883362711</v>
      </c>
      <c r="BH57" s="110">
        <v>3.6050193004057109</v>
      </c>
      <c r="BI57" s="110">
        <v>4550.9763648321687</v>
      </c>
      <c r="BJ57" s="110">
        <v>4.6863238258895334</v>
      </c>
      <c r="BK57" s="110">
        <v>5916.0151978029462</v>
      </c>
      <c r="BL57" s="110">
        <v>4.5569233674377498</v>
      </c>
      <c r="BM57" s="110">
        <v>5752.6600590534144</v>
      </c>
      <c r="BN57" s="110">
        <v>5.6964453191759352</v>
      </c>
      <c r="BO57" s="110">
        <v>7191.1925709277002</v>
      </c>
      <c r="BP57" s="110">
        <v>4.016322557743802</v>
      </c>
      <c r="BQ57" s="110">
        <v>5070.2055968957748</v>
      </c>
      <c r="BR57" s="110">
        <v>3</v>
      </c>
      <c r="BS57" s="110">
        <v>3787.2</v>
      </c>
      <c r="BT57" s="110">
        <v>3</v>
      </c>
      <c r="BU57" s="110">
        <v>3787.2</v>
      </c>
      <c r="BV57" s="110">
        <v>3.2436707994520178</v>
      </c>
      <c r="BW57" s="110">
        <v>4094.8100172282266</v>
      </c>
      <c r="BX57" s="110">
        <v>2.2327874866780846</v>
      </c>
      <c r="BY57" s="110">
        <v>2818.6709231824138</v>
      </c>
      <c r="BZ57" s="110">
        <v>2</v>
      </c>
      <c r="CA57" s="110">
        <v>2524.7999999999997</v>
      </c>
      <c r="CB57" s="110">
        <v>2</v>
      </c>
      <c r="CC57" s="110">
        <v>2524.7999999999997</v>
      </c>
      <c r="CD57" s="110">
        <v>2.1267293645138161</v>
      </c>
      <c r="CE57" s="110">
        <v>2684.783149762241</v>
      </c>
      <c r="CF57" s="110">
        <v>2</v>
      </c>
      <c r="CG57" s="110">
        <v>2524.7999999999997</v>
      </c>
      <c r="CH57" s="110">
        <v>1.0791597296311819</v>
      </c>
      <c r="CI57" s="110">
        <v>1362.3312426864038</v>
      </c>
      <c r="CJ57" s="110">
        <v>2</v>
      </c>
      <c r="CK57" s="110">
        <v>2524.7999999999997</v>
      </c>
      <c r="CL57" s="110">
        <v>1</v>
      </c>
      <c r="CM57" s="110">
        <v>1262.3999999999999</v>
      </c>
      <c r="CN57" s="110">
        <v>3</v>
      </c>
      <c r="CO57" s="110">
        <v>3787.2</v>
      </c>
      <c r="CP57" s="110">
        <v>2.1276759652711874</v>
      </c>
      <c r="CQ57" s="110">
        <v>2685.9781385583465</v>
      </c>
      <c r="CR57" s="110">
        <v>4</v>
      </c>
      <c r="CS57" s="110">
        <v>5049.5999999999995</v>
      </c>
      <c r="CT57" s="110">
        <v>3.2888883823006996</v>
      </c>
      <c r="CU57" s="110">
        <v>4151.8926938164022</v>
      </c>
    </row>
    <row r="58" spans="2:99" x14ac:dyDescent="0.2">
      <c r="C58" s="109" t="s">
        <v>226</v>
      </c>
      <c r="D58" s="110">
        <v>6.8357966215005268</v>
      </c>
      <c r="E58" s="110">
        <v>4806.9321842391701</v>
      </c>
      <c r="F58" s="110">
        <v>4.080236948046112</v>
      </c>
      <c r="G58" s="110">
        <v>2869.2226218660257</v>
      </c>
      <c r="H58" s="110">
        <v>7</v>
      </c>
      <c r="I58" s="110">
        <v>4922.3999999999996</v>
      </c>
      <c r="J58" s="110">
        <v>8.1871979912623516</v>
      </c>
      <c r="K58" s="110">
        <v>5757.2376274556855</v>
      </c>
      <c r="L58" s="110">
        <v>14.508710636875987</v>
      </c>
      <c r="M58" s="110">
        <v>10202.525319851193</v>
      </c>
      <c r="N58" s="110">
        <v>9.5038946139671463</v>
      </c>
      <c r="O58" s="110">
        <v>6683.1386925416964</v>
      </c>
      <c r="P58" s="110">
        <v>8.2990088231036072</v>
      </c>
      <c r="Q58" s="110">
        <v>5835.8630044064557</v>
      </c>
      <c r="R58" s="110">
        <v>15.56215878244792</v>
      </c>
      <c r="S58" s="110">
        <v>10943.310055817376</v>
      </c>
      <c r="T58" s="110">
        <v>15.614815069176389</v>
      </c>
      <c r="U58" s="110">
        <v>10980.337956644837</v>
      </c>
      <c r="V58" s="110">
        <v>8</v>
      </c>
      <c r="W58" s="110">
        <v>5625.5999999999995</v>
      </c>
      <c r="X58" s="110">
        <v>8</v>
      </c>
      <c r="Y58" s="110">
        <v>5625.5999999999995</v>
      </c>
      <c r="Z58" s="110">
        <v>13</v>
      </c>
      <c r="AA58" s="110">
        <v>9141.5999999999985</v>
      </c>
      <c r="AB58" s="110">
        <v>9</v>
      </c>
      <c r="AC58" s="110">
        <v>6328.7999999999993</v>
      </c>
      <c r="AD58" s="110">
        <v>11.049472395196885</v>
      </c>
      <c r="AE58" s="110">
        <v>7769.9889883024489</v>
      </c>
      <c r="AF58" s="110">
        <v>8</v>
      </c>
      <c r="AG58" s="110">
        <v>5625.5999999999995</v>
      </c>
      <c r="AH58" s="110">
        <v>8.1450867088565619</v>
      </c>
      <c r="AI58" s="110">
        <v>5727.6249736679338</v>
      </c>
      <c r="AJ58" s="110">
        <v>6.2511911016816057</v>
      </c>
      <c r="AK58" s="110">
        <v>4395.8375827025047</v>
      </c>
      <c r="AL58" s="110">
        <v>8</v>
      </c>
      <c r="AM58" s="110">
        <v>5625.5999999999995</v>
      </c>
      <c r="AN58" s="110">
        <v>7</v>
      </c>
      <c r="AO58" s="110">
        <v>4922.3999999999996</v>
      </c>
      <c r="AP58" s="110">
        <v>5</v>
      </c>
      <c r="AQ58" s="110">
        <v>3515.9999999999995</v>
      </c>
      <c r="AR58" s="110">
        <v>4</v>
      </c>
      <c r="AS58" s="110">
        <v>2812.7999999999997</v>
      </c>
      <c r="AT58" s="110">
        <v>4.2331158659405652</v>
      </c>
      <c r="AU58" s="110">
        <v>2976.727076929405</v>
      </c>
      <c r="AV58" s="110">
        <v>5.2929569280024564</v>
      </c>
      <c r="AW58" s="110">
        <v>3722.0073117713268</v>
      </c>
      <c r="AX58" s="110">
        <v>5.2124417940236372</v>
      </c>
      <c r="AY58" s="110">
        <v>3665.3890695574214</v>
      </c>
      <c r="AZ58" s="110">
        <v>5</v>
      </c>
      <c r="BA58" s="110">
        <v>3515.9999999999995</v>
      </c>
      <c r="BB58" s="110">
        <v>9</v>
      </c>
      <c r="BC58" s="110">
        <v>6328.7999999999993</v>
      </c>
      <c r="BD58" s="110">
        <v>6</v>
      </c>
      <c r="BE58" s="110">
        <v>4219.2</v>
      </c>
      <c r="BF58" s="110">
        <v>9.4523383106485355</v>
      </c>
      <c r="BG58" s="110">
        <v>6646.8843000480492</v>
      </c>
      <c r="BH58" s="110">
        <v>3.2666258093089913</v>
      </c>
      <c r="BI58" s="110">
        <v>2297.0912691060826</v>
      </c>
      <c r="BJ58" s="110">
        <v>5.6863238258895334</v>
      </c>
      <c r="BK58" s="110">
        <v>3998.6229143655196</v>
      </c>
      <c r="BL58" s="110">
        <v>4.5569233674377498</v>
      </c>
      <c r="BM58" s="110">
        <v>3204.4285119822252</v>
      </c>
      <c r="BN58" s="110">
        <v>5.8705566489699192</v>
      </c>
      <c r="BO58" s="110">
        <v>4128.1754355556468</v>
      </c>
      <c r="BP58" s="110">
        <v>4.016322557743802</v>
      </c>
      <c r="BQ58" s="110">
        <v>2824.2780226054415</v>
      </c>
      <c r="BR58" s="110">
        <v>4</v>
      </c>
      <c r="BS58" s="110">
        <v>2812.7999999999997</v>
      </c>
      <c r="BT58" s="110">
        <v>3</v>
      </c>
      <c r="BU58" s="110">
        <v>2109.6</v>
      </c>
      <c r="BV58" s="110">
        <v>3.2924049593424214</v>
      </c>
      <c r="BW58" s="110">
        <v>2315.2191674095907</v>
      </c>
      <c r="BX58" s="110">
        <v>2.2793449840137017</v>
      </c>
      <c r="BY58" s="110">
        <v>1602.8353927584349</v>
      </c>
      <c r="BZ58" s="110">
        <v>2</v>
      </c>
      <c r="CA58" s="110">
        <v>1406.3999999999999</v>
      </c>
      <c r="CB58" s="110">
        <v>2</v>
      </c>
      <c r="CC58" s="110">
        <v>1406.3999999999999</v>
      </c>
      <c r="CD58" s="110">
        <v>2.1267293645138161</v>
      </c>
      <c r="CE58" s="110">
        <v>1495.5160891261153</v>
      </c>
      <c r="CF58" s="110">
        <v>2</v>
      </c>
      <c r="CG58" s="110">
        <v>1406.3999999999999</v>
      </c>
      <c r="CH58" s="110">
        <v>2.0791597296311819</v>
      </c>
      <c r="CI58" s="110">
        <v>1462.065121876647</v>
      </c>
      <c r="CJ58" s="110">
        <v>2</v>
      </c>
      <c r="CK58" s="110">
        <v>1406.3999999999999</v>
      </c>
      <c r="CL58" s="110">
        <v>2</v>
      </c>
      <c r="CM58" s="110">
        <v>1406.3999999999999</v>
      </c>
      <c r="CN58" s="110">
        <v>3</v>
      </c>
      <c r="CO58" s="110">
        <v>2109.6</v>
      </c>
      <c r="CP58" s="110">
        <v>2.1367956770762722</v>
      </c>
      <c r="CQ58" s="110">
        <v>1502.5947201200345</v>
      </c>
      <c r="CR58" s="110">
        <v>4</v>
      </c>
      <c r="CS58" s="110">
        <v>2812.7999999999997</v>
      </c>
      <c r="CT58" s="110">
        <v>3.2888883823006996</v>
      </c>
      <c r="CU58" s="110">
        <v>2312.7463104338517</v>
      </c>
    </row>
    <row r="59" spans="2:99" x14ac:dyDescent="0.2">
      <c r="C59" s="109" t="s">
        <v>227</v>
      </c>
      <c r="D59" s="110">
        <v>5.3968256061287816</v>
      </c>
      <c r="E59" s="110">
        <v>2370.2858062117607</v>
      </c>
      <c r="F59" s="110">
        <v>5.0709527623063284</v>
      </c>
      <c r="G59" s="110">
        <v>2227.1624532049395</v>
      </c>
      <c r="H59" s="110">
        <v>8.1968450310953624</v>
      </c>
      <c r="I59" s="110">
        <v>3600.0543376570831</v>
      </c>
      <c r="J59" s="110">
        <v>8.4453217890144625</v>
      </c>
      <c r="K59" s="110">
        <v>3709.1853297351518</v>
      </c>
      <c r="L59" s="110">
        <v>13</v>
      </c>
      <c r="M59" s="110">
        <v>5709.5999999999995</v>
      </c>
      <c r="N59" s="110">
        <v>10.500980488749693</v>
      </c>
      <c r="O59" s="110">
        <v>4612.0306306588654</v>
      </c>
      <c r="P59" s="110">
        <v>9.6571012293579432</v>
      </c>
      <c r="Q59" s="110">
        <v>4241.3988599340082</v>
      </c>
      <c r="R59" s="110">
        <v>14.371565086139945</v>
      </c>
      <c r="S59" s="110">
        <v>6311.9913858326636</v>
      </c>
      <c r="T59" s="110">
        <v>15.096181051101075</v>
      </c>
      <c r="U59" s="110">
        <v>6630.2427176435922</v>
      </c>
      <c r="V59" s="110">
        <v>9.2164869677098196</v>
      </c>
      <c r="W59" s="110">
        <v>4047.8810762181524</v>
      </c>
      <c r="X59" s="110">
        <v>8.2414448154605289</v>
      </c>
      <c r="Y59" s="110">
        <v>3619.6425629502642</v>
      </c>
      <c r="Z59" s="110">
        <v>14.273521639191522</v>
      </c>
      <c r="AA59" s="110">
        <v>6268.930703932916</v>
      </c>
      <c r="AB59" s="110">
        <v>9.1490754372929359</v>
      </c>
      <c r="AC59" s="110">
        <v>4018.2739320590572</v>
      </c>
      <c r="AD59" s="110">
        <v>11.190636229000756</v>
      </c>
      <c r="AE59" s="110">
        <v>4914.9274317771315</v>
      </c>
      <c r="AF59" s="110">
        <v>7.1144260041710909</v>
      </c>
      <c r="AG59" s="110">
        <v>3124.6559010319429</v>
      </c>
      <c r="AH59" s="110">
        <v>8.0736957496348563</v>
      </c>
      <c r="AI59" s="110">
        <v>3545.9671732396287</v>
      </c>
      <c r="AJ59" s="110">
        <v>5.0388446538068292</v>
      </c>
      <c r="AK59" s="110">
        <v>2213.0605719519594</v>
      </c>
      <c r="AL59" s="110">
        <v>9.097785987774607</v>
      </c>
      <c r="AM59" s="110">
        <v>3995.7476058306074</v>
      </c>
      <c r="AN59" s="110">
        <v>7.0988974237400093</v>
      </c>
      <c r="AO59" s="110">
        <v>3117.8357485066122</v>
      </c>
      <c r="AP59" s="110">
        <v>5.0561049935362776</v>
      </c>
      <c r="AQ59" s="110">
        <v>2220.641313161133</v>
      </c>
      <c r="AR59" s="110">
        <v>5.1784288760352766</v>
      </c>
      <c r="AS59" s="110">
        <v>2274.3659623546932</v>
      </c>
      <c r="AT59" s="110">
        <v>5</v>
      </c>
      <c r="AU59" s="110">
        <v>2196</v>
      </c>
      <c r="AV59" s="110">
        <v>4.1338890604499436</v>
      </c>
      <c r="AW59" s="110">
        <v>1815.6040753496152</v>
      </c>
      <c r="AX59" s="110">
        <v>6</v>
      </c>
      <c r="AY59" s="110">
        <v>2635.2</v>
      </c>
      <c r="AZ59" s="110">
        <v>5.2989463533284811</v>
      </c>
      <c r="BA59" s="110">
        <v>2327.2972383818687</v>
      </c>
      <c r="BB59" s="110">
        <v>10</v>
      </c>
      <c r="BC59" s="110">
        <v>4392</v>
      </c>
      <c r="BD59" s="110">
        <v>7.2043162727999785</v>
      </c>
      <c r="BE59" s="110">
        <v>3164.1357070137506</v>
      </c>
      <c r="BF59" s="110">
        <v>8.9968214447384049</v>
      </c>
      <c r="BG59" s="110">
        <v>3951.4039785291075</v>
      </c>
      <c r="BH59" s="110">
        <v>3.2031094530991586</v>
      </c>
      <c r="BI59" s="110">
        <v>1406.8056718011505</v>
      </c>
      <c r="BJ59" s="110">
        <v>5.0546983823734903</v>
      </c>
      <c r="BK59" s="110">
        <v>2220.0235295384368</v>
      </c>
      <c r="BL59" s="110">
        <v>4.07510499229475</v>
      </c>
      <c r="BM59" s="110">
        <v>1789.7861126158541</v>
      </c>
      <c r="BN59" s="110">
        <v>5.1365543220555825</v>
      </c>
      <c r="BO59" s="110">
        <v>2255.9746582468119</v>
      </c>
      <c r="BP59" s="110">
        <v>3.0489835829914815</v>
      </c>
      <c r="BQ59" s="110">
        <v>1339.1135896498586</v>
      </c>
      <c r="BR59" s="110">
        <v>4.305016082044145</v>
      </c>
      <c r="BS59" s="110">
        <v>1890.7630632337884</v>
      </c>
      <c r="BT59" s="110">
        <v>3</v>
      </c>
      <c r="BU59" s="110">
        <v>1317.6</v>
      </c>
      <c r="BV59" s="110">
        <v>3.1219935329709578</v>
      </c>
      <c r="BW59" s="110">
        <v>1371.1795596808447</v>
      </c>
      <c r="BX59" s="110">
        <v>2.1023237312593168</v>
      </c>
      <c r="BY59" s="110">
        <v>923.34058276909195</v>
      </c>
      <c r="BZ59" s="110">
        <v>2.0748254953557232</v>
      </c>
      <c r="CA59" s="110">
        <v>911.26335756023366</v>
      </c>
      <c r="CB59" s="110">
        <v>2.120701894576885</v>
      </c>
      <c r="CC59" s="110">
        <v>931.41227209816782</v>
      </c>
      <c r="CD59" s="110">
        <v>2</v>
      </c>
      <c r="CE59" s="110">
        <v>878.4</v>
      </c>
      <c r="CF59" s="110">
        <v>2.1159661573379385</v>
      </c>
      <c r="CG59" s="110">
        <v>929.33233630282257</v>
      </c>
      <c r="CH59" s="110">
        <v>2</v>
      </c>
      <c r="CI59" s="110">
        <v>878.4</v>
      </c>
      <c r="CJ59" s="110">
        <v>2</v>
      </c>
      <c r="CK59" s="110">
        <v>878.4</v>
      </c>
      <c r="CL59" s="110">
        <v>2.2353230981834336</v>
      </c>
      <c r="CM59" s="110">
        <v>981.75390472216395</v>
      </c>
      <c r="CN59" s="110">
        <v>3.6105219540992919</v>
      </c>
      <c r="CO59" s="110">
        <v>1585.7412422404091</v>
      </c>
      <c r="CP59" s="110">
        <v>2.386275032560599</v>
      </c>
      <c r="CQ59" s="110">
        <v>1048.051994300615</v>
      </c>
      <c r="CR59" s="110">
        <v>4</v>
      </c>
      <c r="CS59" s="110">
        <v>1756.8</v>
      </c>
      <c r="CT59" s="110">
        <v>3.2646113729031661</v>
      </c>
      <c r="CU59" s="110">
        <v>1433.8173149790705</v>
      </c>
    </row>
    <row r="60" spans="2:99" x14ac:dyDescent="0.2">
      <c r="C60" s="109" t="s">
        <v>228</v>
      </c>
      <c r="D60" s="110">
        <v>5.3968256061287816</v>
      </c>
      <c r="E60" s="110">
        <v>3814.4763384118228</v>
      </c>
      <c r="F60" s="110">
        <v>4.0706424809142838</v>
      </c>
      <c r="G60" s="110">
        <v>2877.1301055102158</v>
      </c>
      <c r="H60" s="110">
        <v>8.2449128679292247</v>
      </c>
      <c r="I60" s="110">
        <v>5827.5044150523754</v>
      </c>
      <c r="J60" s="110">
        <v>7.4453217890144634</v>
      </c>
      <c r="K60" s="110">
        <v>5262.3534404754228</v>
      </c>
      <c r="L60" s="110">
        <v>13</v>
      </c>
      <c r="M60" s="110">
        <v>9188.4</v>
      </c>
      <c r="N60" s="110">
        <v>9.4960736411117299</v>
      </c>
      <c r="O60" s="110">
        <v>6711.8248495377702</v>
      </c>
      <c r="P60" s="110">
        <v>8.6571012293579432</v>
      </c>
      <c r="Q60" s="110">
        <v>6118.8391489101941</v>
      </c>
      <c r="R60" s="110">
        <v>15.603175060191663</v>
      </c>
      <c r="S60" s="110">
        <v>11028.324132543466</v>
      </c>
      <c r="T60" s="110">
        <v>14.109921201258372</v>
      </c>
      <c r="U60" s="110">
        <v>9972.8923050494159</v>
      </c>
      <c r="V60" s="110">
        <v>8.1924328601865071</v>
      </c>
      <c r="W60" s="110">
        <v>5790.4115455798228</v>
      </c>
      <c r="X60" s="110">
        <v>9.2194952867822977</v>
      </c>
      <c r="Y60" s="110">
        <v>6516.3392686977277</v>
      </c>
      <c r="Z60" s="110">
        <v>12.252481513099866</v>
      </c>
      <c r="AA60" s="110">
        <v>8660.0539334589848</v>
      </c>
      <c r="AB60" s="110">
        <v>9.1490754372929359</v>
      </c>
      <c r="AC60" s="110">
        <v>6466.5665190786467</v>
      </c>
      <c r="AD60" s="110">
        <v>10.169454425778449</v>
      </c>
      <c r="AE60" s="110">
        <v>7187.7703881402076</v>
      </c>
      <c r="AF60" s="110">
        <v>8.1144260041710918</v>
      </c>
      <c r="AG60" s="110">
        <v>5735.2762997481277</v>
      </c>
      <c r="AH60" s="110">
        <v>7.0842237138684068</v>
      </c>
      <c r="AI60" s="110">
        <v>5007.1293209621899</v>
      </c>
      <c r="AJ60" s="110">
        <v>6.0310757230454639</v>
      </c>
      <c r="AK60" s="110">
        <v>4262.7643210485339</v>
      </c>
      <c r="AL60" s="110">
        <v>8.097785987774607</v>
      </c>
      <c r="AM60" s="110">
        <v>5723.5151361590915</v>
      </c>
      <c r="AN60" s="110">
        <v>6.0988974237400093</v>
      </c>
      <c r="AO60" s="110">
        <v>4310.7006990994387</v>
      </c>
      <c r="AP60" s="110">
        <v>5.0561049935362776</v>
      </c>
      <c r="AQ60" s="110">
        <v>3573.6550094314407</v>
      </c>
      <c r="AR60" s="110">
        <v>4.1427431008282207</v>
      </c>
      <c r="AS60" s="110">
        <v>2928.0908236653863</v>
      </c>
      <c r="AT60" s="110">
        <v>5</v>
      </c>
      <c r="AU60" s="110">
        <v>3534</v>
      </c>
      <c r="AV60" s="110">
        <v>4.1338890604499436</v>
      </c>
      <c r="AW60" s="110">
        <v>2921.83278792602</v>
      </c>
      <c r="AX60" s="110">
        <v>5</v>
      </c>
      <c r="AY60" s="110">
        <v>3534</v>
      </c>
      <c r="AZ60" s="110">
        <v>5.2989463533284811</v>
      </c>
      <c r="BA60" s="110">
        <v>3745.2952825325701</v>
      </c>
      <c r="BB60" s="110">
        <v>9</v>
      </c>
      <c r="BC60" s="110">
        <v>6361.2</v>
      </c>
      <c r="BD60" s="110">
        <v>6.2170860398499768</v>
      </c>
      <c r="BE60" s="110">
        <v>4394.2364129659636</v>
      </c>
      <c r="BF60" s="110">
        <v>8.8059070461443838</v>
      </c>
      <c r="BG60" s="110">
        <v>6224.0151002148505</v>
      </c>
      <c r="BH60" s="110">
        <v>3.2031094530991586</v>
      </c>
      <c r="BI60" s="110">
        <v>2263.9577614504851</v>
      </c>
      <c r="BJ60" s="110">
        <v>4.0546983823734903</v>
      </c>
      <c r="BK60" s="110">
        <v>2865.8608166615827</v>
      </c>
      <c r="BL60" s="110">
        <v>4.07510499229475</v>
      </c>
      <c r="BM60" s="110">
        <v>2880.2842085539291</v>
      </c>
      <c r="BN60" s="110">
        <v>5.1365543220555825</v>
      </c>
      <c r="BO60" s="110">
        <v>3630.5165948288854</v>
      </c>
      <c r="BP60" s="110">
        <v>3.0489835829914815</v>
      </c>
      <c r="BQ60" s="110">
        <v>2155.021596458379</v>
      </c>
      <c r="BR60" s="110">
        <v>3.2372347304787796</v>
      </c>
      <c r="BS60" s="110">
        <v>2288.0775075024012</v>
      </c>
      <c r="BT60" s="110">
        <v>3</v>
      </c>
      <c r="BU60" s="110">
        <v>2120.3999999999996</v>
      </c>
      <c r="BV60" s="110">
        <v>3.1219935329709578</v>
      </c>
      <c r="BW60" s="110">
        <v>2206.6250291038727</v>
      </c>
      <c r="BX60" s="110">
        <v>3.1023237312593168</v>
      </c>
      <c r="BY60" s="110">
        <v>2192.722413254085</v>
      </c>
      <c r="BZ60" s="110">
        <v>2.0748254953557232</v>
      </c>
      <c r="CA60" s="110">
        <v>1466.4866601174251</v>
      </c>
      <c r="CB60" s="110">
        <v>3.120701894576885</v>
      </c>
      <c r="CC60" s="110">
        <v>2205.7120990869421</v>
      </c>
      <c r="CD60" s="110">
        <v>2</v>
      </c>
      <c r="CE60" s="110">
        <v>1413.6</v>
      </c>
      <c r="CF60" s="110">
        <v>2.1014703876706959</v>
      </c>
      <c r="CG60" s="110">
        <v>1485.3192700056477</v>
      </c>
      <c r="CH60" s="110">
        <v>2</v>
      </c>
      <c r="CI60" s="110">
        <v>1413.6</v>
      </c>
      <c r="CJ60" s="110">
        <v>3.1738512592504819</v>
      </c>
      <c r="CK60" s="110">
        <v>2243.2780700382405</v>
      </c>
      <c r="CL60" s="110">
        <v>1.2689406836382096</v>
      </c>
      <c r="CM60" s="110">
        <v>896.8872751954865</v>
      </c>
      <c r="CN60" s="110">
        <v>3.6105219540992919</v>
      </c>
      <c r="CO60" s="110">
        <v>2551.9169171573794</v>
      </c>
      <c r="CP60" s="110">
        <v>2.4414571800692562</v>
      </c>
      <c r="CQ60" s="110">
        <v>1725.6219348729501</v>
      </c>
      <c r="CR60" s="110">
        <v>4</v>
      </c>
      <c r="CS60" s="110">
        <v>2827.2</v>
      </c>
      <c r="CT60" s="110">
        <v>3.2940126365590734</v>
      </c>
      <c r="CU60" s="110">
        <v>2328.208131519953</v>
      </c>
    </row>
    <row r="61" spans="2:99" x14ac:dyDescent="0.2">
      <c r="C61" s="109" t="s">
        <v>229</v>
      </c>
      <c r="D61" s="110">
        <v>7.8123389960006024</v>
      </c>
      <c r="E61" s="110">
        <v>5268.6414189028064</v>
      </c>
      <c r="F61" s="110">
        <v>4.080236948046112</v>
      </c>
      <c r="G61" s="110">
        <v>2751.7117977622979</v>
      </c>
      <c r="H61" s="110">
        <v>8</v>
      </c>
      <c r="I61" s="110">
        <v>5395.2</v>
      </c>
      <c r="J61" s="110">
        <v>7.1871979912623507</v>
      </c>
      <c r="K61" s="110">
        <v>4847.0463253073294</v>
      </c>
      <c r="L61" s="110">
        <v>14.678280849167983</v>
      </c>
      <c r="M61" s="110">
        <v>9899.0326046788869</v>
      </c>
      <c r="N61" s="110">
        <v>10.377920960475359</v>
      </c>
      <c r="O61" s="110">
        <v>6998.8698957445822</v>
      </c>
      <c r="P61" s="110">
        <v>9.398678430804809</v>
      </c>
      <c r="Q61" s="110">
        <v>6338.4687337347632</v>
      </c>
      <c r="R61" s="110">
        <v>15.421619086835939</v>
      </c>
      <c r="S61" s="110">
        <v>10400.339912162157</v>
      </c>
      <c r="T61" s="110">
        <v>12.614815069176389</v>
      </c>
      <c r="U61" s="110">
        <v>8507.4312826525565</v>
      </c>
      <c r="V61" s="110">
        <v>7</v>
      </c>
      <c r="W61" s="110">
        <v>4720.8</v>
      </c>
      <c r="X61" s="110">
        <v>7</v>
      </c>
      <c r="Y61" s="110">
        <v>4720.8</v>
      </c>
      <c r="Z61" s="110">
        <v>14</v>
      </c>
      <c r="AA61" s="110">
        <v>9441.6</v>
      </c>
      <c r="AB61" s="110">
        <v>9</v>
      </c>
      <c r="AC61" s="110">
        <v>6069.5999999999995</v>
      </c>
      <c r="AD61" s="110">
        <v>10.891909454418107</v>
      </c>
      <c r="AE61" s="110">
        <v>7345.5037360595707</v>
      </c>
      <c r="AF61" s="110">
        <v>7</v>
      </c>
      <c r="AG61" s="110">
        <v>4720.8</v>
      </c>
      <c r="AH61" s="110">
        <v>9.1450867088565619</v>
      </c>
      <c r="AI61" s="110">
        <v>6167.4464764528648</v>
      </c>
      <c r="AJ61" s="110">
        <v>6.0947922139714041</v>
      </c>
      <c r="AK61" s="110">
        <v>4110.3278691023152</v>
      </c>
      <c r="AL61" s="110">
        <v>8</v>
      </c>
      <c r="AM61" s="110">
        <v>5395.2</v>
      </c>
      <c r="AN61" s="110">
        <v>7</v>
      </c>
      <c r="AO61" s="110">
        <v>4720.8</v>
      </c>
      <c r="AP61" s="110">
        <v>5</v>
      </c>
      <c r="AQ61" s="110">
        <v>3372</v>
      </c>
      <c r="AR61" s="110">
        <v>4</v>
      </c>
      <c r="AS61" s="110">
        <v>2697.6</v>
      </c>
      <c r="AT61" s="110">
        <v>5.2797390391286783</v>
      </c>
      <c r="AU61" s="110">
        <v>3560.6560079883807</v>
      </c>
      <c r="AV61" s="110">
        <v>4.2929569280024564</v>
      </c>
      <c r="AW61" s="110">
        <v>2895.1701522448566</v>
      </c>
      <c r="AX61" s="110">
        <v>5.2124417940236372</v>
      </c>
      <c r="AY61" s="110">
        <v>3515.2707458895406</v>
      </c>
      <c r="AZ61" s="110">
        <v>5</v>
      </c>
      <c r="BA61" s="110">
        <v>3372</v>
      </c>
      <c r="BB61" s="110">
        <v>9</v>
      </c>
      <c r="BC61" s="110">
        <v>6069.5999999999995</v>
      </c>
      <c r="BD61" s="110">
        <v>6</v>
      </c>
      <c r="BE61" s="110">
        <v>4046.3999999999996</v>
      </c>
      <c r="BF61" s="110">
        <v>9.4824941980251047</v>
      </c>
      <c r="BG61" s="110">
        <v>6394.9940871481303</v>
      </c>
      <c r="BH61" s="110">
        <v>3.7531234359492394</v>
      </c>
      <c r="BI61" s="110">
        <v>2531.1064452041669</v>
      </c>
      <c r="BJ61" s="110">
        <v>4.8579047823619161</v>
      </c>
      <c r="BK61" s="110">
        <v>3276.1709852248759</v>
      </c>
      <c r="BL61" s="110">
        <v>5.6904216200242779</v>
      </c>
      <c r="BM61" s="110">
        <v>3837.620340544373</v>
      </c>
      <c r="BN61" s="110">
        <v>6.6964453191759352</v>
      </c>
      <c r="BO61" s="110">
        <v>4516.0827232522506</v>
      </c>
      <c r="BP61" s="110">
        <v>4.016322557743802</v>
      </c>
      <c r="BQ61" s="110">
        <v>2708.6079329424201</v>
      </c>
      <c r="BR61" s="110">
        <v>3</v>
      </c>
      <c r="BS61" s="110">
        <v>2023.1999999999998</v>
      </c>
      <c r="BT61" s="110">
        <v>3</v>
      </c>
      <c r="BU61" s="110">
        <v>2023.1999999999998</v>
      </c>
      <c r="BV61" s="110">
        <v>3.2924049593424214</v>
      </c>
      <c r="BW61" s="110">
        <v>2220.397904580529</v>
      </c>
      <c r="BX61" s="110">
        <v>2.2327874866780846</v>
      </c>
      <c r="BY61" s="110">
        <v>1505.7918810157003</v>
      </c>
      <c r="BZ61" s="110">
        <v>2</v>
      </c>
      <c r="CA61" s="110">
        <v>1348.8</v>
      </c>
      <c r="CB61" s="110">
        <v>2</v>
      </c>
      <c r="CC61" s="110">
        <v>1348.8</v>
      </c>
      <c r="CD61" s="110">
        <v>2.1267293645138161</v>
      </c>
      <c r="CE61" s="110">
        <v>1434.2662834281175</v>
      </c>
      <c r="CF61" s="110">
        <v>2</v>
      </c>
      <c r="CG61" s="110">
        <v>1348.8</v>
      </c>
      <c r="CH61" s="110">
        <v>2.0791597296311819</v>
      </c>
      <c r="CI61" s="110">
        <v>1402.185321663269</v>
      </c>
      <c r="CJ61" s="110">
        <v>2</v>
      </c>
      <c r="CK61" s="110">
        <v>1348.8</v>
      </c>
      <c r="CL61" s="110">
        <v>1</v>
      </c>
      <c r="CM61" s="110">
        <v>674.4</v>
      </c>
      <c r="CN61" s="110">
        <v>3</v>
      </c>
      <c r="CO61" s="110">
        <v>2023.1999999999998</v>
      </c>
      <c r="CP61" s="110">
        <v>3.1459153888813569</v>
      </c>
      <c r="CQ61" s="110">
        <v>2121.6053382615869</v>
      </c>
      <c r="CR61" s="110">
        <v>4</v>
      </c>
      <c r="CS61" s="110">
        <v>2697.6</v>
      </c>
      <c r="CT61" s="110">
        <v>3.3209870914452218</v>
      </c>
      <c r="CU61" s="110">
        <v>2239.6736944706577</v>
      </c>
    </row>
    <row r="62" spans="2:99" x14ac:dyDescent="0.2">
      <c r="C62" s="109" t="s">
        <v>230</v>
      </c>
      <c r="D62" s="110">
        <v>3.1498731330217686</v>
      </c>
      <c r="E62" s="110">
        <v>4025.5378640018203</v>
      </c>
      <c r="F62" s="110">
        <v>3.5447869677207042</v>
      </c>
      <c r="G62" s="110">
        <v>4530.2377447470599</v>
      </c>
      <c r="H62" s="110">
        <v>7.5753184715419488</v>
      </c>
      <c r="I62" s="110">
        <v>9681.2570066306107</v>
      </c>
      <c r="J62" s="110">
        <v>5.4048116847537706</v>
      </c>
      <c r="K62" s="110">
        <v>6907.3493331153186</v>
      </c>
      <c r="L62" s="110">
        <v>12.367604589911375</v>
      </c>
      <c r="M62" s="110">
        <v>15805.798665906737</v>
      </c>
      <c r="N62" s="110">
        <v>9.5558117412510644</v>
      </c>
      <c r="O62" s="110">
        <v>12212.32740531886</v>
      </c>
      <c r="P62" s="110">
        <v>8.6312110207261163</v>
      </c>
      <c r="Q62" s="110">
        <v>11030.687684487977</v>
      </c>
      <c r="R62" s="110">
        <v>14.624065131362299</v>
      </c>
      <c r="S62" s="110">
        <v>18689.555237881017</v>
      </c>
      <c r="T62" s="110">
        <v>13</v>
      </c>
      <c r="U62" s="110">
        <v>16614</v>
      </c>
      <c r="V62" s="110">
        <v>7</v>
      </c>
      <c r="W62" s="110">
        <v>8946</v>
      </c>
      <c r="X62" s="110">
        <v>8</v>
      </c>
      <c r="Y62" s="110">
        <v>10224</v>
      </c>
      <c r="Z62" s="110">
        <v>12</v>
      </c>
      <c r="AA62" s="110">
        <v>15336</v>
      </c>
      <c r="AB62" s="110">
        <v>8</v>
      </c>
      <c r="AC62" s="110">
        <v>10224</v>
      </c>
      <c r="AD62" s="110">
        <v>10.004824942557702</v>
      </c>
      <c r="AE62" s="110">
        <v>12786.166276588743</v>
      </c>
      <c r="AF62" s="110">
        <v>7</v>
      </c>
      <c r="AG62" s="110">
        <v>8946</v>
      </c>
      <c r="AH62" s="110">
        <v>7.0068475835634789</v>
      </c>
      <c r="AI62" s="110">
        <v>8954.751211794126</v>
      </c>
      <c r="AJ62" s="110">
        <v>5.0077559202293429</v>
      </c>
      <c r="AK62" s="110">
        <v>6399.9120660530998</v>
      </c>
      <c r="AL62" s="110">
        <v>7.1727706361806183</v>
      </c>
      <c r="AM62" s="110">
        <v>9166.8008730388301</v>
      </c>
      <c r="AN62" s="110">
        <v>7.2218998142905653</v>
      </c>
      <c r="AO62" s="110">
        <v>9229.5879626633432</v>
      </c>
      <c r="AP62" s="110">
        <v>4.1622347852434025</v>
      </c>
      <c r="AQ62" s="110">
        <v>5319.3360555410682</v>
      </c>
      <c r="AR62" s="110">
        <v>5.1622347852434025</v>
      </c>
      <c r="AS62" s="110">
        <v>6597.3360555410682</v>
      </c>
      <c r="AT62" s="110">
        <v>4</v>
      </c>
      <c r="AU62" s="110">
        <v>5112</v>
      </c>
      <c r="AV62" s="110">
        <v>4</v>
      </c>
      <c r="AW62" s="110">
        <v>5112</v>
      </c>
      <c r="AX62" s="110">
        <v>5.2662797771486787</v>
      </c>
      <c r="AY62" s="110">
        <v>6730.3055551960115</v>
      </c>
      <c r="AZ62" s="110">
        <v>4.4325351409099154</v>
      </c>
      <c r="BA62" s="110">
        <v>5664.7799100828715</v>
      </c>
      <c r="BB62" s="110">
        <v>9.4679012654213537</v>
      </c>
      <c r="BC62" s="110">
        <v>12099.97781720849</v>
      </c>
      <c r="BD62" s="110">
        <v>6</v>
      </c>
      <c r="BE62" s="110">
        <v>7668</v>
      </c>
      <c r="BF62" s="110">
        <v>8.8099685888384389</v>
      </c>
      <c r="BG62" s="110">
        <v>11259.139856535525</v>
      </c>
      <c r="BH62" s="110">
        <v>3</v>
      </c>
      <c r="BI62" s="110">
        <v>3834</v>
      </c>
      <c r="BJ62" s="110">
        <v>4</v>
      </c>
      <c r="BK62" s="110">
        <v>5112</v>
      </c>
      <c r="BL62" s="110">
        <v>4</v>
      </c>
      <c r="BM62" s="110">
        <v>5112</v>
      </c>
      <c r="BN62" s="110">
        <v>5</v>
      </c>
      <c r="BO62" s="110">
        <v>6390</v>
      </c>
      <c r="BP62" s="110">
        <v>3</v>
      </c>
      <c r="BQ62" s="110">
        <v>3834</v>
      </c>
      <c r="BR62" s="110">
        <v>3</v>
      </c>
      <c r="BS62" s="110">
        <v>3834</v>
      </c>
      <c r="BT62" s="110">
        <v>3</v>
      </c>
      <c r="BU62" s="110">
        <v>3834</v>
      </c>
      <c r="BV62" s="110">
        <v>3</v>
      </c>
      <c r="BW62" s="110">
        <v>3834</v>
      </c>
      <c r="BX62" s="110">
        <v>2</v>
      </c>
      <c r="BY62" s="110">
        <v>2556</v>
      </c>
      <c r="BZ62" s="110">
        <v>2</v>
      </c>
      <c r="CA62" s="110">
        <v>2556</v>
      </c>
      <c r="CB62" s="110">
        <v>2</v>
      </c>
      <c r="CC62" s="110">
        <v>2556</v>
      </c>
      <c r="CD62" s="110">
        <v>2</v>
      </c>
      <c r="CE62" s="110">
        <v>2556</v>
      </c>
      <c r="CF62" s="110">
        <v>2</v>
      </c>
      <c r="CG62" s="110">
        <v>2556</v>
      </c>
      <c r="CH62" s="110">
        <v>2.0807186910707802</v>
      </c>
      <c r="CI62" s="110">
        <v>2659.158487188457</v>
      </c>
      <c r="CJ62" s="110">
        <v>2.0846490185430229</v>
      </c>
      <c r="CK62" s="110">
        <v>2664.1814456979832</v>
      </c>
      <c r="CL62" s="110">
        <v>1.0952914843879444</v>
      </c>
      <c r="CM62" s="110">
        <v>1399.7825170477929</v>
      </c>
      <c r="CN62" s="110">
        <v>3.070818920506134</v>
      </c>
      <c r="CO62" s="110">
        <v>3924.5065804068395</v>
      </c>
      <c r="CP62" s="110">
        <v>2</v>
      </c>
      <c r="CQ62" s="110">
        <v>2556</v>
      </c>
      <c r="CR62" s="110">
        <v>4.3944395132829843</v>
      </c>
      <c r="CS62" s="110">
        <v>5616.0936979756543</v>
      </c>
      <c r="CT62" s="110">
        <v>3.2847361380192579</v>
      </c>
      <c r="CU62" s="110">
        <v>4197.8927843886113</v>
      </c>
    </row>
    <row r="63" spans="2:99" x14ac:dyDescent="0.2">
      <c r="C63" s="109" t="s">
        <v>231</v>
      </c>
      <c r="D63" s="110">
        <v>6.8357966215005268</v>
      </c>
      <c r="E63" s="110">
        <v>5922.5341928680564</v>
      </c>
      <c r="F63" s="110">
        <v>4.080236948046112</v>
      </c>
      <c r="G63" s="110">
        <v>3535.1172917871513</v>
      </c>
      <c r="H63" s="110">
        <v>7</v>
      </c>
      <c r="I63" s="110">
        <v>6064.8</v>
      </c>
      <c r="J63" s="110">
        <v>7.1871979912623507</v>
      </c>
      <c r="K63" s="110">
        <v>6226.9883396297009</v>
      </c>
      <c r="L63" s="110">
        <v>13.508710636875987</v>
      </c>
      <c r="M63" s="110">
        <v>11703.946895789355</v>
      </c>
      <c r="N63" s="110">
        <v>9.3779209604753593</v>
      </c>
      <c r="O63" s="110">
        <v>8125.0307201558508</v>
      </c>
      <c r="P63" s="110">
        <v>9.2990088231036072</v>
      </c>
      <c r="Q63" s="110">
        <v>8056.661244336965</v>
      </c>
      <c r="R63" s="110">
        <v>14.421619086835939</v>
      </c>
      <c r="S63" s="110">
        <v>12494.890776834658</v>
      </c>
      <c r="T63" s="110">
        <v>13.614815069176389</v>
      </c>
      <c r="U63" s="110">
        <v>11795.875775934423</v>
      </c>
      <c r="V63" s="110">
        <v>7</v>
      </c>
      <c r="W63" s="110">
        <v>6064.8</v>
      </c>
      <c r="X63" s="110">
        <v>9</v>
      </c>
      <c r="Y63" s="110">
        <v>7797.5999999999995</v>
      </c>
      <c r="Z63" s="110">
        <v>12</v>
      </c>
      <c r="AA63" s="110">
        <v>10396.799999999999</v>
      </c>
      <c r="AB63" s="110">
        <v>10</v>
      </c>
      <c r="AC63" s="110">
        <v>8664</v>
      </c>
      <c r="AD63" s="110">
        <v>9.8993447937412657</v>
      </c>
      <c r="AE63" s="110">
        <v>8576.7923292974319</v>
      </c>
      <c r="AF63" s="110">
        <v>7</v>
      </c>
      <c r="AG63" s="110">
        <v>6064.8</v>
      </c>
      <c r="AH63" s="110">
        <v>9.1450867088565619</v>
      </c>
      <c r="AI63" s="110">
        <v>7923.3031245533248</v>
      </c>
      <c r="AJ63" s="110">
        <v>7.2511911016816057</v>
      </c>
      <c r="AK63" s="110">
        <v>6282.431970496943</v>
      </c>
      <c r="AL63" s="110">
        <v>8</v>
      </c>
      <c r="AM63" s="110">
        <v>6931.2</v>
      </c>
      <c r="AN63" s="110">
        <v>6</v>
      </c>
      <c r="AO63" s="110">
        <v>5198.3999999999996</v>
      </c>
      <c r="AP63" s="110">
        <v>5</v>
      </c>
      <c r="AQ63" s="110">
        <v>4332</v>
      </c>
      <c r="AR63" s="110">
        <v>5</v>
      </c>
      <c r="AS63" s="110">
        <v>4332</v>
      </c>
      <c r="AT63" s="110">
        <v>5.2331158659405652</v>
      </c>
      <c r="AU63" s="110">
        <v>4533.9715862509056</v>
      </c>
      <c r="AV63" s="110">
        <v>4.2929569280024564</v>
      </c>
      <c r="AW63" s="110">
        <v>3719.4178824213282</v>
      </c>
      <c r="AX63" s="110">
        <v>5.1820929663059747</v>
      </c>
      <c r="AY63" s="110">
        <v>4489.7653460074962</v>
      </c>
      <c r="AZ63" s="110">
        <v>4</v>
      </c>
      <c r="BA63" s="110">
        <v>3465.6</v>
      </c>
      <c r="BB63" s="110">
        <v>10</v>
      </c>
      <c r="BC63" s="110">
        <v>8664</v>
      </c>
      <c r="BD63" s="110">
        <v>7</v>
      </c>
      <c r="BE63" s="110">
        <v>6064.8</v>
      </c>
      <c r="BF63" s="110">
        <v>8.4824941980251047</v>
      </c>
      <c r="BG63" s="110">
        <v>7349.2329731689506</v>
      </c>
      <c r="BH63" s="110">
        <v>3.7531234359492394</v>
      </c>
      <c r="BI63" s="110">
        <v>3251.7061449064208</v>
      </c>
      <c r="BJ63" s="110">
        <v>4.6863238258895334</v>
      </c>
      <c r="BK63" s="110">
        <v>4060.2309627506916</v>
      </c>
      <c r="BL63" s="110">
        <v>4.5569233674377498</v>
      </c>
      <c r="BM63" s="110">
        <v>3948.1184055480662</v>
      </c>
      <c r="BN63" s="110">
        <v>5.6964453191759352</v>
      </c>
      <c r="BO63" s="110">
        <v>4935.4002245340298</v>
      </c>
      <c r="BP63" s="110">
        <v>4.016322557743802</v>
      </c>
      <c r="BQ63" s="110">
        <v>3479.7418640292299</v>
      </c>
      <c r="BR63" s="110">
        <v>3</v>
      </c>
      <c r="BS63" s="110">
        <v>2599.1999999999998</v>
      </c>
      <c r="BT63" s="110">
        <v>3</v>
      </c>
      <c r="BU63" s="110">
        <v>2599.1999999999998</v>
      </c>
      <c r="BV63" s="110">
        <v>2.2924049593424214</v>
      </c>
      <c r="BW63" s="110">
        <v>1986.1396567742738</v>
      </c>
      <c r="BX63" s="110">
        <v>2.2327874866780846</v>
      </c>
      <c r="BY63" s="110">
        <v>1934.4870784578925</v>
      </c>
      <c r="BZ63" s="110">
        <v>2</v>
      </c>
      <c r="CA63" s="110">
        <v>1732.8</v>
      </c>
      <c r="CB63" s="110">
        <v>2</v>
      </c>
      <c r="CC63" s="110">
        <v>1732.8</v>
      </c>
      <c r="CD63" s="110">
        <v>2.1478509252661184</v>
      </c>
      <c r="CE63" s="110">
        <v>1860.8980416505649</v>
      </c>
      <c r="CF63" s="110">
        <v>2</v>
      </c>
      <c r="CG63" s="110">
        <v>1732.8</v>
      </c>
      <c r="CH63" s="110">
        <v>2.0659664413593184</v>
      </c>
      <c r="CI63" s="110">
        <v>1789.9533247937134</v>
      </c>
      <c r="CJ63" s="110">
        <v>2</v>
      </c>
      <c r="CK63" s="110">
        <v>1732.8</v>
      </c>
      <c r="CL63" s="110">
        <v>1</v>
      </c>
      <c r="CM63" s="110">
        <v>866.4</v>
      </c>
      <c r="CN63" s="110">
        <v>3</v>
      </c>
      <c r="CO63" s="110">
        <v>2599.1999999999998</v>
      </c>
      <c r="CP63" s="110">
        <v>2.1459153888813569</v>
      </c>
      <c r="CQ63" s="110">
        <v>1859.2210929268076</v>
      </c>
      <c r="CR63" s="110">
        <v>4</v>
      </c>
      <c r="CS63" s="110">
        <v>3465.6</v>
      </c>
      <c r="CT63" s="110">
        <v>3.3209870914452218</v>
      </c>
      <c r="CU63" s="110">
        <v>2877.30321602814</v>
      </c>
    </row>
    <row r="64" spans="2:99" x14ac:dyDescent="0.2">
      <c r="C64" s="109" t="s">
        <v>232</v>
      </c>
      <c r="D64" s="110">
        <v>6.8357966215005268</v>
      </c>
      <c r="E64" s="110">
        <v>5971.7519285428607</v>
      </c>
      <c r="F64" s="110">
        <v>4.079184586335586</v>
      </c>
      <c r="G64" s="110">
        <v>3563.5756546227681</v>
      </c>
      <c r="H64" s="110">
        <v>8</v>
      </c>
      <c r="I64" s="110">
        <v>6988.8</v>
      </c>
      <c r="J64" s="110">
        <v>8.1871979912623516</v>
      </c>
      <c r="K64" s="110">
        <v>7152.3361651667901</v>
      </c>
      <c r="L64" s="110">
        <v>14.678280849167983</v>
      </c>
      <c r="M64" s="110">
        <v>12822.946149833151</v>
      </c>
      <c r="N64" s="110">
        <v>10.503894613967146</v>
      </c>
      <c r="O64" s="110">
        <v>9176.2023347616996</v>
      </c>
      <c r="P64" s="110">
        <v>9.2990088231036072</v>
      </c>
      <c r="Q64" s="110">
        <v>8123.6141078633118</v>
      </c>
      <c r="R64" s="110">
        <v>14.56215878244792</v>
      </c>
      <c r="S64" s="110">
        <v>12721.501912346503</v>
      </c>
      <c r="T64" s="110">
        <v>13.614815069176389</v>
      </c>
      <c r="U64" s="110">
        <v>11893.902444432493</v>
      </c>
      <c r="V64" s="110">
        <v>8</v>
      </c>
      <c r="W64" s="110">
        <v>6988.8</v>
      </c>
      <c r="X64" s="110">
        <v>8</v>
      </c>
      <c r="Y64" s="110">
        <v>6988.8</v>
      </c>
      <c r="Z64" s="110">
        <v>14</v>
      </c>
      <c r="AA64" s="110">
        <v>12230.4</v>
      </c>
      <c r="AB64" s="110">
        <v>10</v>
      </c>
      <c r="AC64" s="110">
        <v>8736</v>
      </c>
      <c r="AD64" s="110">
        <v>11.056907734520044</v>
      </c>
      <c r="AE64" s="110">
        <v>9659.3145968767112</v>
      </c>
      <c r="AF64" s="110">
        <v>7</v>
      </c>
      <c r="AG64" s="110">
        <v>6115.2</v>
      </c>
      <c r="AH64" s="110">
        <v>8.1450867088565619</v>
      </c>
      <c r="AI64" s="110">
        <v>7115.5477488570923</v>
      </c>
      <c r="AJ64" s="110">
        <v>6.0947922139714041</v>
      </c>
      <c r="AK64" s="110">
        <v>5324.4104781254191</v>
      </c>
      <c r="AL64" s="110">
        <v>8</v>
      </c>
      <c r="AM64" s="110">
        <v>6988.8</v>
      </c>
      <c r="AN64" s="110">
        <v>7</v>
      </c>
      <c r="AO64" s="110">
        <v>6115.2</v>
      </c>
      <c r="AP64" s="110">
        <v>5</v>
      </c>
      <c r="AQ64" s="110">
        <v>4368</v>
      </c>
      <c r="AR64" s="110">
        <v>4</v>
      </c>
      <c r="AS64" s="110">
        <v>3494.4</v>
      </c>
      <c r="AT64" s="110">
        <v>5.2331158659405652</v>
      </c>
      <c r="AU64" s="110">
        <v>4571.6500204856775</v>
      </c>
      <c r="AV64" s="110">
        <v>4.2929569280024564</v>
      </c>
      <c r="AW64" s="110">
        <v>3750.3271723029461</v>
      </c>
      <c r="AX64" s="110">
        <v>5.2124417940236372</v>
      </c>
      <c r="AY64" s="110">
        <v>4553.5891512590497</v>
      </c>
      <c r="AZ64" s="110">
        <v>5</v>
      </c>
      <c r="BA64" s="110">
        <v>4368</v>
      </c>
      <c r="BB64" s="110">
        <v>9</v>
      </c>
      <c r="BC64" s="110">
        <v>7862.4000000000005</v>
      </c>
      <c r="BD64" s="110">
        <v>6</v>
      </c>
      <c r="BE64" s="110">
        <v>5241.6000000000004</v>
      </c>
      <c r="BF64" s="110">
        <v>9.4824941980251047</v>
      </c>
      <c r="BG64" s="110">
        <v>8283.9069313947311</v>
      </c>
      <c r="BH64" s="110">
        <v>3.6113206795215089</v>
      </c>
      <c r="BI64" s="110">
        <v>3154.8497456299901</v>
      </c>
      <c r="BJ64" s="110">
        <v>4.8579047823619161</v>
      </c>
      <c r="BK64" s="110">
        <v>4243.86561787137</v>
      </c>
      <c r="BL64" s="110">
        <v>4.5569233674377498</v>
      </c>
      <c r="BM64" s="110">
        <v>3980.9282537936183</v>
      </c>
      <c r="BN64" s="110">
        <v>6.6964453191759352</v>
      </c>
      <c r="BO64" s="110">
        <v>5850.0146308320973</v>
      </c>
      <c r="BP64" s="110">
        <v>4.016322557743802</v>
      </c>
      <c r="BQ64" s="110">
        <v>3508.6593864449856</v>
      </c>
      <c r="BR64" s="110">
        <v>3</v>
      </c>
      <c r="BS64" s="110">
        <v>2620.8000000000002</v>
      </c>
      <c r="BT64" s="110">
        <v>3</v>
      </c>
      <c r="BU64" s="110">
        <v>2620.8000000000002</v>
      </c>
      <c r="BV64" s="110">
        <v>3.2924049593424214</v>
      </c>
      <c r="BW64" s="110">
        <v>2876.2449724815392</v>
      </c>
      <c r="BX64" s="110">
        <v>2.2793449840137017</v>
      </c>
      <c r="BY64" s="110">
        <v>1991.2357780343698</v>
      </c>
      <c r="BZ64" s="110">
        <v>2</v>
      </c>
      <c r="CA64" s="110">
        <v>1747.2</v>
      </c>
      <c r="CB64" s="110">
        <v>2</v>
      </c>
      <c r="CC64" s="110">
        <v>1747.2</v>
      </c>
      <c r="CD64" s="110">
        <v>2.1478509252661184</v>
      </c>
      <c r="CE64" s="110">
        <v>1876.362568312481</v>
      </c>
      <c r="CF64" s="110">
        <v>2</v>
      </c>
      <c r="CG64" s="110">
        <v>1747.2</v>
      </c>
      <c r="CH64" s="110">
        <v>2.0791597296311819</v>
      </c>
      <c r="CI64" s="110">
        <v>1816.3539398058006</v>
      </c>
      <c r="CJ64" s="110">
        <v>2</v>
      </c>
      <c r="CK64" s="110">
        <v>1747.2</v>
      </c>
      <c r="CL64" s="110">
        <v>2</v>
      </c>
      <c r="CM64" s="110">
        <v>1747.2</v>
      </c>
      <c r="CN64" s="110">
        <v>3</v>
      </c>
      <c r="CO64" s="110">
        <v>2620.8000000000002</v>
      </c>
      <c r="CP64" s="110">
        <v>3.1367956770762722</v>
      </c>
      <c r="CQ64" s="110">
        <v>2740.3047034938313</v>
      </c>
      <c r="CR64" s="110">
        <v>4</v>
      </c>
      <c r="CS64" s="110">
        <v>3494.4</v>
      </c>
      <c r="CT64" s="110">
        <v>3.3209870914452218</v>
      </c>
      <c r="CU64" s="110">
        <v>2901.2143230865458</v>
      </c>
    </row>
    <row r="65" spans="2:99" x14ac:dyDescent="0.2">
      <c r="C65" s="109" t="s">
        <v>233</v>
      </c>
      <c r="D65" s="110">
        <v>6.8357966215005268</v>
      </c>
      <c r="E65" s="110">
        <v>2378.8572242821833</v>
      </c>
      <c r="F65" s="110">
        <v>5.1045270867369208</v>
      </c>
      <c r="G65" s="110">
        <v>1776.3754261844485</v>
      </c>
      <c r="H65" s="110">
        <v>8</v>
      </c>
      <c r="I65" s="110">
        <v>2784</v>
      </c>
      <c r="J65" s="110">
        <v>8.1871979912623516</v>
      </c>
      <c r="K65" s="110">
        <v>2849.1449009592984</v>
      </c>
      <c r="L65" s="110">
        <v>14.678280849167983</v>
      </c>
      <c r="M65" s="110">
        <v>5108.0417355104582</v>
      </c>
      <c r="N65" s="110">
        <v>10.503894613967146</v>
      </c>
      <c r="O65" s="110">
        <v>3655.3553256605669</v>
      </c>
      <c r="P65" s="110">
        <v>10.299008823103607</v>
      </c>
      <c r="Q65" s="110">
        <v>3584.0550704400553</v>
      </c>
      <c r="R65" s="110">
        <v>14.421619086835939</v>
      </c>
      <c r="S65" s="110">
        <v>5018.7234422189067</v>
      </c>
      <c r="T65" s="110">
        <v>14.614815069176389</v>
      </c>
      <c r="U65" s="110">
        <v>5085.9556440733832</v>
      </c>
      <c r="V65" s="110">
        <v>7</v>
      </c>
      <c r="W65" s="110">
        <v>2436</v>
      </c>
      <c r="X65" s="110">
        <v>9</v>
      </c>
      <c r="Y65" s="110">
        <v>3132</v>
      </c>
      <c r="Z65" s="110">
        <v>15</v>
      </c>
      <c r="AA65" s="110">
        <v>5220</v>
      </c>
      <c r="AB65" s="110">
        <v>9</v>
      </c>
      <c r="AC65" s="110">
        <v>3132</v>
      </c>
      <c r="AD65" s="110">
        <v>12.056907734520044</v>
      </c>
      <c r="AE65" s="110">
        <v>4195.8038916129753</v>
      </c>
      <c r="AF65" s="110">
        <v>7</v>
      </c>
      <c r="AG65" s="110">
        <v>2436</v>
      </c>
      <c r="AH65" s="110">
        <v>9.1450867088565619</v>
      </c>
      <c r="AI65" s="110">
        <v>3182.4901746820838</v>
      </c>
      <c r="AJ65" s="110">
        <v>6.0947922139714041</v>
      </c>
      <c r="AK65" s="110">
        <v>2120.9876904620487</v>
      </c>
      <c r="AL65" s="110">
        <v>9</v>
      </c>
      <c r="AM65" s="110">
        <v>3132</v>
      </c>
      <c r="AN65" s="110">
        <v>8</v>
      </c>
      <c r="AO65" s="110">
        <v>2784</v>
      </c>
      <c r="AP65" s="110">
        <v>5</v>
      </c>
      <c r="AQ65" s="110">
        <v>1740</v>
      </c>
      <c r="AR65" s="110">
        <v>4</v>
      </c>
      <c r="AS65" s="110">
        <v>1392</v>
      </c>
      <c r="AT65" s="110">
        <v>5.2797390391286783</v>
      </c>
      <c r="AU65" s="110">
        <v>1837.34918561678</v>
      </c>
      <c r="AV65" s="110">
        <v>4.2929569280024564</v>
      </c>
      <c r="AW65" s="110">
        <v>1493.9490109448548</v>
      </c>
      <c r="AX65" s="110">
        <v>5.2124417940236372</v>
      </c>
      <c r="AY65" s="110">
        <v>1813.9297443202258</v>
      </c>
      <c r="AZ65" s="110">
        <v>5</v>
      </c>
      <c r="BA65" s="110">
        <v>1740</v>
      </c>
      <c r="BB65" s="110">
        <v>9</v>
      </c>
      <c r="BC65" s="110">
        <v>3132</v>
      </c>
      <c r="BD65" s="110">
        <v>7</v>
      </c>
      <c r="BE65" s="110">
        <v>2436</v>
      </c>
      <c r="BF65" s="110">
        <v>10.482494198025105</v>
      </c>
      <c r="BG65" s="110">
        <v>3647.9079809127365</v>
      </c>
      <c r="BH65" s="110">
        <v>3.6050193004057109</v>
      </c>
      <c r="BI65" s="110">
        <v>1254.5467165411874</v>
      </c>
      <c r="BJ65" s="110">
        <v>4.8579047823619161</v>
      </c>
      <c r="BK65" s="110">
        <v>1690.5508642619468</v>
      </c>
      <c r="BL65" s="110">
        <v>4.5569233674377498</v>
      </c>
      <c r="BM65" s="110">
        <v>1585.809331868337</v>
      </c>
      <c r="BN65" s="110">
        <v>5.6964453191759352</v>
      </c>
      <c r="BO65" s="110">
        <v>1982.3629710732255</v>
      </c>
      <c r="BP65" s="110">
        <v>4.1857096507011029</v>
      </c>
      <c r="BQ65" s="110">
        <v>1456.6269584439838</v>
      </c>
      <c r="BR65" s="110">
        <v>3</v>
      </c>
      <c r="BS65" s="110">
        <v>1044</v>
      </c>
      <c r="BT65" s="110">
        <v>3</v>
      </c>
      <c r="BU65" s="110">
        <v>1044</v>
      </c>
      <c r="BV65" s="110">
        <v>3.2924049593424214</v>
      </c>
      <c r="BW65" s="110">
        <v>1145.7569258511626</v>
      </c>
      <c r="BX65" s="110">
        <v>2.2793449840137017</v>
      </c>
      <c r="BY65" s="110">
        <v>793.2120544367682</v>
      </c>
      <c r="BZ65" s="110">
        <v>2</v>
      </c>
      <c r="CA65" s="110">
        <v>696</v>
      </c>
      <c r="CB65" s="110">
        <v>2</v>
      </c>
      <c r="CC65" s="110">
        <v>696</v>
      </c>
      <c r="CD65" s="110">
        <v>2.1478509252661184</v>
      </c>
      <c r="CE65" s="110">
        <v>747.45212199260925</v>
      </c>
      <c r="CF65" s="110">
        <v>2</v>
      </c>
      <c r="CG65" s="110">
        <v>696</v>
      </c>
      <c r="CH65" s="110">
        <v>2.0791597296311819</v>
      </c>
      <c r="CI65" s="110">
        <v>723.54758591165125</v>
      </c>
      <c r="CJ65" s="110">
        <v>2</v>
      </c>
      <c r="CK65" s="110">
        <v>696</v>
      </c>
      <c r="CL65" s="110">
        <v>1</v>
      </c>
      <c r="CM65" s="110">
        <v>348</v>
      </c>
      <c r="CN65" s="110">
        <v>3</v>
      </c>
      <c r="CO65" s="110">
        <v>1044</v>
      </c>
      <c r="CP65" s="110">
        <v>3.1550351006864417</v>
      </c>
      <c r="CQ65" s="110">
        <v>1097.9522150388816</v>
      </c>
      <c r="CR65" s="110">
        <v>4</v>
      </c>
      <c r="CS65" s="110">
        <v>1392</v>
      </c>
      <c r="CT65" s="110">
        <v>4.2888883823006996</v>
      </c>
      <c r="CU65" s="110">
        <v>1492.5331570406433</v>
      </c>
    </row>
    <row r="66" spans="2:99" x14ac:dyDescent="0.2">
      <c r="C66" s="109" t="s">
        <v>234</v>
      </c>
      <c r="D66" s="110">
        <v>6.8357966215005268</v>
      </c>
      <c r="E66" s="110">
        <v>5176.0652018001983</v>
      </c>
      <c r="F66" s="110">
        <v>4.080236948046112</v>
      </c>
      <c r="G66" s="110">
        <v>3089.5554170605155</v>
      </c>
      <c r="H66" s="110">
        <v>8</v>
      </c>
      <c r="I66" s="110">
        <v>6057.5999999999995</v>
      </c>
      <c r="J66" s="110">
        <v>7.1871979912623507</v>
      </c>
      <c r="K66" s="110">
        <v>5442.1463189838514</v>
      </c>
      <c r="L66" s="110">
        <v>14.508710636875987</v>
      </c>
      <c r="M66" s="110">
        <v>10985.995694242496</v>
      </c>
      <c r="N66" s="110">
        <v>9.5038946139671463</v>
      </c>
      <c r="O66" s="110">
        <v>7196.3490016959222</v>
      </c>
      <c r="P66" s="110">
        <v>10.299008823103607</v>
      </c>
      <c r="Q66" s="110">
        <v>7798.4094808540503</v>
      </c>
      <c r="R66" s="110">
        <v>14.421619086835939</v>
      </c>
      <c r="S66" s="110">
        <v>10920.049972552171</v>
      </c>
      <c r="T66" s="110">
        <v>14.461111301882292</v>
      </c>
      <c r="U66" s="110">
        <v>10949.953477785271</v>
      </c>
      <c r="V66" s="110">
        <v>7</v>
      </c>
      <c r="W66" s="110">
        <v>5300.4</v>
      </c>
      <c r="X66" s="110">
        <v>8</v>
      </c>
      <c r="Y66" s="110">
        <v>6057.5999999999995</v>
      </c>
      <c r="Z66" s="110">
        <v>14</v>
      </c>
      <c r="AA66" s="110">
        <v>10600.8</v>
      </c>
      <c r="AB66" s="110">
        <v>9</v>
      </c>
      <c r="AC66" s="110">
        <v>6814.7999999999993</v>
      </c>
      <c r="AD66" s="110">
        <v>10.049472395196885</v>
      </c>
      <c r="AE66" s="110">
        <v>7609.4604976430801</v>
      </c>
      <c r="AF66" s="110">
        <v>7</v>
      </c>
      <c r="AG66" s="110">
        <v>5300.4</v>
      </c>
      <c r="AH66" s="110">
        <v>7.9815028933056249</v>
      </c>
      <c r="AI66" s="110">
        <v>6043.5939908110186</v>
      </c>
      <c r="AJ66" s="110">
        <v>6.0947922139714041</v>
      </c>
      <c r="AK66" s="110">
        <v>4614.9766644191468</v>
      </c>
      <c r="AL66" s="110">
        <v>8</v>
      </c>
      <c r="AM66" s="110">
        <v>6057.5999999999995</v>
      </c>
      <c r="AN66" s="110">
        <v>7</v>
      </c>
      <c r="AO66" s="110">
        <v>5300.4</v>
      </c>
      <c r="AP66" s="110">
        <v>5</v>
      </c>
      <c r="AQ66" s="110">
        <v>3785.9999999999995</v>
      </c>
      <c r="AR66" s="110">
        <v>5</v>
      </c>
      <c r="AS66" s="110">
        <v>3785.9999999999995</v>
      </c>
      <c r="AT66" s="110">
        <v>5.2797390391286783</v>
      </c>
      <c r="AU66" s="110">
        <v>3997.8184004282348</v>
      </c>
      <c r="AV66" s="110">
        <v>4.2929569280024564</v>
      </c>
      <c r="AW66" s="110">
        <v>3250.6269858834598</v>
      </c>
      <c r="AX66" s="110">
        <v>5.1820929663059747</v>
      </c>
      <c r="AY66" s="110">
        <v>3923.8807940868837</v>
      </c>
      <c r="AZ66" s="110">
        <v>5</v>
      </c>
      <c r="BA66" s="110">
        <v>3785.9999999999995</v>
      </c>
      <c r="BB66" s="110">
        <v>9</v>
      </c>
      <c r="BC66" s="110">
        <v>6814.7999999999993</v>
      </c>
      <c r="BD66" s="110">
        <v>7</v>
      </c>
      <c r="BE66" s="110">
        <v>5300.4</v>
      </c>
      <c r="BF66" s="110">
        <v>8.512650085401674</v>
      </c>
      <c r="BG66" s="110">
        <v>6445.7786446661466</v>
      </c>
      <c r="BH66" s="110">
        <v>3.6050193004057109</v>
      </c>
      <c r="BI66" s="110">
        <v>2729.7206142672039</v>
      </c>
      <c r="BJ66" s="110">
        <v>4.6863238258895334</v>
      </c>
      <c r="BK66" s="110">
        <v>3548.4844009635544</v>
      </c>
      <c r="BL66" s="110">
        <v>4.5569233674377498</v>
      </c>
      <c r="BM66" s="110">
        <v>3450.5023738238638</v>
      </c>
      <c r="BN66" s="110">
        <v>5.6964453191759352</v>
      </c>
      <c r="BO66" s="110">
        <v>4313.3483956800173</v>
      </c>
      <c r="BP66" s="110">
        <v>4.016322557743802</v>
      </c>
      <c r="BQ66" s="110">
        <v>3041.1594407236066</v>
      </c>
      <c r="BR66" s="110">
        <v>4</v>
      </c>
      <c r="BS66" s="110">
        <v>3028.7999999999997</v>
      </c>
      <c r="BT66" s="110">
        <v>3</v>
      </c>
      <c r="BU66" s="110">
        <v>2271.6</v>
      </c>
      <c r="BV66" s="110">
        <v>3.2924049593424214</v>
      </c>
      <c r="BW66" s="110">
        <v>2493.0090352140815</v>
      </c>
      <c r="BX66" s="110">
        <v>2.2327874866780846</v>
      </c>
      <c r="BY66" s="110">
        <v>1690.6666849126455</v>
      </c>
      <c r="BZ66" s="110">
        <v>2</v>
      </c>
      <c r="CA66" s="110">
        <v>1514.3999999999999</v>
      </c>
      <c r="CB66" s="110">
        <v>2</v>
      </c>
      <c r="CC66" s="110">
        <v>1514.3999999999999</v>
      </c>
      <c r="CD66" s="110">
        <v>2.1267293645138161</v>
      </c>
      <c r="CE66" s="110">
        <v>1610.3594748098615</v>
      </c>
      <c r="CF66" s="110">
        <v>2</v>
      </c>
      <c r="CG66" s="110">
        <v>1514.3999999999999</v>
      </c>
      <c r="CH66" s="110">
        <v>2.0659664413593184</v>
      </c>
      <c r="CI66" s="110">
        <v>1564.3497893972758</v>
      </c>
      <c r="CJ66" s="110">
        <v>2</v>
      </c>
      <c r="CK66" s="110">
        <v>1514.3999999999999</v>
      </c>
      <c r="CL66" s="110">
        <v>1</v>
      </c>
      <c r="CM66" s="110">
        <v>757.19999999999993</v>
      </c>
      <c r="CN66" s="110">
        <v>3</v>
      </c>
      <c r="CO66" s="110">
        <v>2271.6</v>
      </c>
      <c r="CP66" s="110">
        <v>2.1276759652711874</v>
      </c>
      <c r="CQ66" s="110">
        <v>1611.076240903343</v>
      </c>
      <c r="CR66" s="110">
        <v>4</v>
      </c>
      <c r="CS66" s="110">
        <v>3028.7999999999997</v>
      </c>
      <c r="CT66" s="110">
        <v>3.2888883823006996</v>
      </c>
      <c r="CU66" s="110">
        <v>2490.3462830780895</v>
      </c>
    </row>
    <row r="67" spans="2:99" x14ac:dyDescent="0.2">
      <c r="C67" s="109" t="s">
        <v>235</v>
      </c>
      <c r="D67" s="110">
        <v>6.8357966215005268</v>
      </c>
      <c r="E67" s="110">
        <v>2731.5843299516105</v>
      </c>
      <c r="F67" s="110">
        <v>4.079184586335586</v>
      </c>
      <c r="G67" s="110">
        <v>1630.0421606996999</v>
      </c>
      <c r="H67" s="110">
        <v>7</v>
      </c>
      <c r="I67" s="110">
        <v>2797.2</v>
      </c>
      <c r="J67" s="110">
        <v>7.2339974890779386</v>
      </c>
      <c r="K67" s="110">
        <v>2890.7053966355438</v>
      </c>
      <c r="L67" s="110">
        <v>13.678280849167983</v>
      </c>
      <c r="M67" s="110">
        <v>5465.8410273275258</v>
      </c>
      <c r="N67" s="110">
        <v>10.503894613967146</v>
      </c>
      <c r="O67" s="110">
        <v>4197.3562877412714</v>
      </c>
      <c r="P67" s="110">
        <v>8.398678430804809</v>
      </c>
      <c r="Q67" s="110">
        <v>3356.1119009496015</v>
      </c>
      <c r="R67" s="110">
        <v>14.421619086835939</v>
      </c>
      <c r="S67" s="110">
        <v>5762.8789870996407</v>
      </c>
      <c r="T67" s="110">
        <v>15.614815069176389</v>
      </c>
      <c r="U67" s="110">
        <v>6239.6801016428844</v>
      </c>
      <c r="V67" s="110">
        <v>8</v>
      </c>
      <c r="W67" s="110">
        <v>3196.7999999999997</v>
      </c>
      <c r="X67" s="110">
        <v>9</v>
      </c>
      <c r="Y67" s="110">
        <v>3596.3999999999996</v>
      </c>
      <c r="Z67" s="110">
        <v>14</v>
      </c>
      <c r="AA67" s="110">
        <v>5594.4</v>
      </c>
      <c r="AB67" s="110">
        <v>10</v>
      </c>
      <c r="AC67" s="110">
        <v>3995.9999999999995</v>
      </c>
      <c r="AD67" s="110">
        <v>10.056907734520044</v>
      </c>
      <c r="AE67" s="110">
        <v>4018.740330714209</v>
      </c>
      <c r="AF67" s="110">
        <v>7</v>
      </c>
      <c r="AG67" s="110">
        <v>2797.2</v>
      </c>
      <c r="AH67" s="110">
        <v>8.981502893305624</v>
      </c>
      <c r="AI67" s="110">
        <v>3589.0085561649271</v>
      </c>
      <c r="AJ67" s="110">
        <v>6.2511911016816057</v>
      </c>
      <c r="AK67" s="110">
        <v>2497.9759642319696</v>
      </c>
      <c r="AL67" s="110">
        <v>9</v>
      </c>
      <c r="AM67" s="110">
        <v>3596.3999999999996</v>
      </c>
      <c r="AN67" s="110">
        <v>7</v>
      </c>
      <c r="AO67" s="110">
        <v>2797.2</v>
      </c>
      <c r="AP67" s="110">
        <v>5</v>
      </c>
      <c r="AQ67" s="110">
        <v>1997.9999999999998</v>
      </c>
      <c r="AR67" s="110">
        <v>5</v>
      </c>
      <c r="AS67" s="110">
        <v>1997.9999999999998</v>
      </c>
      <c r="AT67" s="110">
        <v>4.2331158659405652</v>
      </c>
      <c r="AU67" s="110">
        <v>1691.5531000298497</v>
      </c>
      <c r="AV67" s="110">
        <v>4.2929569280024564</v>
      </c>
      <c r="AW67" s="110">
        <v>1715.4655884297815</v>
      </c>
      <c r="AX67" s="110">
        <v>6.1820929663059747</v>
      </c>
      <c r="AY67" s="110">
        <v>2470.3643493358672</v>
      </c>
      <c r="AZ67" s="110">
        <v>5</v>
      </c>
      <c r="BA67" s="110">
        <v>1997.9999999999998</v>
      </c>
      <c r="BB67" s="110">
        <v>9</v>
      </c>
      <c r="BC67" s="110">
        <v>3596.3999999999996</v>
      </c>
      <c r="BD67" s="110">
        <v>6</v>
      </c>
      <c r="BE67" s="110">
        <v>2397.6</v>
      </c>
      <c r="BF67" s="110">
        <v>8.512650085401674</v>
      </c>
      <c r="BG67" s="110">
        <v>3401.6549741265085</v>
      </c>
      <c r="BH67" s="110">
        <v>4.6113206795215094</v>
      </c>
      <c r="BI67" s="110">
        <v>1842.683743536795</v>
      </c>
      <c r="BJ67" s="110">
        <v>5.8579047823619161</v>
      </c>
      <c r="BK67" s="110">
        <v>2340.8187510318216</v>
      </c>
      <c r="BL67" s="110">
        <v>5.5569233674377498</v>
      </c>
      <c r="BM67" s="110">
        <v>2220.5465776281249</v>
      </c>
      <c r="BN67" s="110">
        <v>6.8705566489699192</v>
      </c>
      <c r="BO67" s="110">
        <v>2745.4744369283794</v>
      </c>
      <c r="BP67" s="110">
        <v>4.1857096507011029</v>
      </c>
      <c r="BQ67" s="110">
        <v>1672.6095764201605</v>
      </c>
      <c r="BR67" s="110">
        <v>3</v>
      </c>
      <c r="BS67" s="110">
        <v>1198.8</v>
      </c>
      <c r="BT67" s="110">
        <v>4</v>
      </c>
      <c r="BU67" s="110">
        <v>1598.3999999999999</v>
      </c>
      <c r="BV67" s="110">
        <v>3.2924049593424214</v>
      </c>
      <c r="BW67" s="110">
        <v>1315.6450217532315</v>
      </c>
      <c r="BX67" s="110">
        <v>3.2327874866780846</v>
      </c>
      <c r="BY67" s="110">
        <v>1291.8218796765625</v>
      </c>
      <c r="BZ67" s="110">
        <v>2</v>
      </c>
      <c r="CA67" s="110">
        <v>799.19999999999993</v>
      </c>
      <c r="CB67" s="110">
        <v>2</v>
      </c>
      <c r="CC67" s="110">
        <v>799.19999999999993</v>
      </c>
      <c r="CD67" s="110">
        <v>2.1267293645138161</v>
      </c>
      <c r="CE67" s="110">
        <v>849.84105405972082</v>
      </c>
      <c r="CF67" s="110">
        <v>2</v>
      </c>
      <c r="CG67" s="110">
        <v>799.19999999999993</v>
      </c>
      <c r="CH67" s="110">
        <v>2.0791597296311819</v>
      </c>
      <c r="CI67" s="110">
        <v>830.83222796062023</v>
      </c>
      <c r="CJ67" s="110">
        <v>2</v>
      </c>
      <c r="CK67" s="110">
        <v>799.19999999999993</v>
      </c>
      <c r="CL67" s="110">
        <v>2</v>
      </c>
      <c r="CM67" s="110">
        <v>799.19999999999993</v>
      </c>
      <c r="CN67" s="110">
        <v>3</v>
      </c>
      <c r="CO67" s="110">
        <v>1198.8</v>
      </c>
      <c r="CP67" s="110">
        <v>3.1367956770762722</v>
      </c>
      <c r="CQ67" s="110">
        <v>1253.4635525596782</v>
      </c>
      <c r="CR67" s="110">
        <v>4</v>
      </c>
      <c r="CS67" s="110">
        <v>1598.3999999999999</v>
      </c>
      <c r="CT67" s="110">
        <v>3.3209870914452218</v>
      </c>
      <c r="CU67" s="110">
        <v>1327.0664417415105</v>
      </c>
    </row>
    <row r="68" spans="2:99" x14ac:dyDescent="0.2">
      <c r="C68" s="109" t="s">
        <v>236</v>
      </c>
      <c r="D68" s="110">
        <v>7.8123389960006024</v>
      </c>
      <c r="E68" s="110">
        <v>7368.5981410277673</v>
      </c>
      <c r="F68" s="110">
        <v>4.079184586335586</v>
      </c>
      <c r="G68" s="110">
        <v>3847.4869018317245</v>
      </c>
      <c r="H68" s="110">
        <v>7</v>
      </c>
      <c r="I68" s="110">
        <v>6602.4</v>
      </c>
      <c r="J68" s="110">
        <v>7.1871979912623507</v>
      </c>
      <c r="K68" s="110">
        <v>6778.9651453586484</v>
      </c>
      <c r="L68" s="110">
        <v>13.508710636875987</v>
      </c>
      <c r="M68" s="110">
        <v>12741.415872701431</v>
      </c>
      <c r="N68" s="110">
        <v>9.3779209604753593</v>
      </c>
      <c r="O68" s="110">
        <v>8845.2550499203589</v>
      </c>
      <c r="P68" s="110">
        <v>9.2990088231036072</v>
      </c>
      <c r="Q68" s="110">
        <v>8770.8251219513222</v>
      </c>
      <c r="R68" s="110">
        <v>13.421619086835939</v>
      </c>
      <c r="S68" s="110">
        <v>12659.271122703656</v>
      </c>
      <c r="T68" s="110">
        <v>14.461111301882292</v>
      </c>
      <c r="U68" s="110">
        <v>13639.720179935377</v>
      </c>
      <c r="V68" s="110">
        <v>8</v>
      </c>
      <c r="W68" s="110">
        <v>7545.5999999999995</v>
      </c>
      <c r="X68" s="110">
        <v>8</v>
      </c>
      <c r="Y68" s="110">
        <v>7545.5999999999995</v>
      </c>
      <c r="Z68" s="110">
        <v>14</v>
      </c>
      <c r="AA68" s="110">
        <v>13204.8</v>
      </c>
      <c r="AB68" s="110">
        <v>9</v>
      </c>
      <c r="AC68" s="110">
        <v>8488.7999999999993</v>
      </c>
      <c r="AD68" s="110">
        <v>10.056907734520044</v>
      </c>
      <c r="AE68" s="110">
        <v>9485.6753751993037</v>
      </c>
      <c r="AF68" s="110">
        <v>7</v>
      </c>
      <c r="AG68" s="110">
        <v>6602.4</v>
      </c>
      <c r="AH68" s="110">
        <v>7.9815028933056249</v>
      </c>
      <c r="AI68" s="110">
        <v>7528.153528965865</v>
      </c>
      <c r="AJ68" s="110">
        <v>7.0947922139714041</v>
      </c>
      <c r="AK68" s="110">
        <v>6691.8080162178276</v>
      </c>
      <c r="AL68" s="110">
        <v>8</v>
      </c>
      <c r="AM68" s="110">
        <v>7545.5999999999995</v>
      </c>
      <c r="AN68" s="110">
        <v>6</v>
      </c>
      <c r="AO68" s="110">
        <v>5659.2</v>
      </c>
      <c r="AP68" s="110">
        <v>5</v>
      </c>
      <c r="AQ68" s="110">
        <v>4716</v>
      </c>
      <c r="AR68" s="110">
        <v>5</v>
      </c>
      <c r="AS68" s="110">
        <v>4716</v>
      </c>
      <c r="AT68" s="110">
        <v>5.2797390391286783</v>
      </c>
      <c r="AU68" s="110">
        <v>4979.8498617061687</v>
      </c>
      <c r="AV68" s="110">
        <v>4.2929569280024564</v>
      </c>
      <c r="AW68" s="110">
        <v>4049.1169744919166</v>
      </c>
      <c r="AX68" s="110">
        <v>5.1820929663059747</v>
      </c>
      <c r="AY68" s="110">
        <v>4887.7500858197945</v>
      </c>
      <c r="AZ68" s="110">
        <v>4</v>
      </c>
      <c r="BA68" s="110">
        <v>3772.7999999999997</v>
      </c>
      <c r="BB68" s="110">
        <v>8</v>
      </c>
      <c r="BC68" s="110">
        <v>7545.5999999999995</v>
      </c>
      <c r="BD68" s="110">
        <v>6</v>
      </c>
      <c r="BE68" s="110">
        <v>5659.2</v>
      </c>
      <c r="BF68" s="110">
        <v>9.4824941980251047</v>
      </c>
      <c r="BG68" s="110">
        <v>8943.8885275772773</v>
      </c>
      <c r="BH68" s="110">
        <v>3.6050193004057109</v>
      </c>
      <c r="BI68" s="110">
        <v>3400.2542041426664</v>
      </c>
      <c r="BJ68" s="110">
        <v>4.8579047823619161</v>
      </c>
      <c r="BK68" s="110">
        <v>4581.975790723759</v>
      </c>
      <c r="BL68" s="110">
        <v>4.5569233674377498</v>
      </c>
      <c r="BM68" s="110">
        <v>4298.090120167285</v>
      </c>
      <c r="BN68" s="110">
        <v>5.6964453191759352</v>
      </c>
      <c r="BO68" s="110">
        <v>5372.8872250467421</v>
      </c>
      <c r="BP68" s="110">
        <v>4.1857096507011029</v>
      </c>
      <c r="BQ68" s="110">
        <v>3947.9613425412799</v>
      </c>
      <c r="BR68" s="110">
        <v>3</v>
      </c>
      <c r="BS68" s="110">
        <v>2829.6</v>
      </c>
      <c r="BT68" s="110">
        <v>3</v>
      </c>
      <c r="BU68" s="110">
        <v>2829.6</v>
      </c>
      <c r="BV68" s="110">
        <v>3.2436707994520178</v>
      </c>
      <c r="BW68" s="110">
        <v>3059.430298043143</v>
      </c>
      <c r="BX68" s="110">
        <v>2.2327874866780846</v>
      </c>
      <c r="BY68" s="110">
        <v>2105.965157434769</v>
      </c>
      <c r="BZ68" s="110">
        <v>2</v>
      </c>
      <c r="CA68" s="110">
        <v>1886.3999999999999</v>
      </c>
      <c r="CB68" s="110">
        <v>2</v>
      </c>
      <c r="CC68" s="110">
        <v>1886.3999999999999</v>
      </c>
      <c r="CD68" s="110">
        <v>2.1267293645138161</v>
      </c>
      <c r="CE68" s="110">
        <v>2005.9311366094312</v>
      </c>
      <c r="CF68" s="110">
        <v>2</v>
      </c>
      <c r="CG68" s="110">
        <v>1886.3999999999999</v>
      </c>
      <c r="CH68" s="110">
        <v>2.0659664413593184</v>
      </c>
      <c r="CI68" s="110">
        <v>1948.619547490109</v>
      </c>
      <c r="CJ68" s="110">
        <v>2</v>
      </c>
      <c r="CK68" s="110">
        <v>1886.3999999999999</v>
      </c>
      <c r="CL68" s="110">
        <v>1</v>
      </c>
      <c r="CM68" s="110">
        <v>943.19999999999993</v>
      </c>
      <c r="CN68" s="110">
        <v>3</v>
      </c>
      <c r="CO68" s="110">
        <v>2829.6</v>
      </c>
      <c r="CP68" s="110">
        <v>2.1459153888813569</v>
      </c>
      <c r="CQ68" s="110">
        <v>2024.0273947928956</v>
      </c>
      <c r="CR68" s="110">
        <v>4</v>
      </c>
      <c r="CS68" s="110">
        <v>3772.7999999999997</v>
      </c>
      <c r="CT68" s="110">
        <v>3.2888883823006996</v>
      </c>
      <c r="CU68" s="110">
        <v>3102.0795221860194</v>
      </c>
    </row>
    <row r="69" spans="2:99" x14ac:dyDescent="0.2">
      <c r="C69" s="109" t="s">
        <v>237</v>
      </c>
      <c r="D69" s="110">
        <v>4.7222224053626842</v>
      </c>
      <c r="E69" s="110">
        <v>4182.0001621891934</v>
      </c>
      <c r="F69" s="110">
        <v>5.0935694117682893</v>
      </c>
      <c r="G69" s="110">
        <v>4510.8650710619968</v>
      </c>
      <c r="H69" s="110">
        <v>8.1968450310953624</v>
      </c>
      <c r="I69" s="110">
        <v>7259.1259595380534</v>
      </c>
      <c r="J69" s="110">
        <v>6.4417103578775166</v>
      </c>
      <c r="K69" s="110">
        <v>5704.7786929363292</v>
      </c>
      <c r="L69" s="110">
        <v>13</v>
      </c>
      <c r="M69" s="110">
        <v>11512.800000000001</v>
      </c>
      <c r="N69" s="110">
        <v>10.389229197566667</v>
      </c>
      <c r="O69" s="110">
        <v>9200.7013773650415</v>
      </c>
      <c r="P69" s="110">
        <v>8.4999147313061396</v>
      </c>
      <c r="Q69" s="110">
        <v>7527.5244860447174</v>
      </c>
      <c r="R69" s="110">
        <v>13.598464057114622</v>
      </c>
      <c r="S69" s="110">
        <v>12042.799768980709</v>
      </c>
      <c r="T69" s="110">
        <v>14.109921201258372</v>
      </c>
      <c r="U69" s="110">
        <v>12495.746215834415</v>
      </c>
      <c r="V69" s="110">
        <v>7.2164869677098205</v>
      </c>
      <c r="W69" s="110">
        <v>6390.9208586038176</v>
      </c>
      <c r="X69" s="110">
        <v>9.2414448154605289</v>
      </c>
      <c r="Y69" s="110">
        <v>8184.2235285718443</v>
      </c>
      <c r="Z69" s="110">
        <v>14.252481513099866</v>
      </c>
      <c r="AA69" s="110">
        <v>12621.997628001242</v>
      </c>
      <c r="AB69" s="110">
        <v>10.127778946251087</v>
      </c>
      <c r="AC69" s="110">
        <v>8969.1610347999631</v>
      </c>
      <c r="AD69" s="110">
        <v>10.211818032223061</v>
      </c>
      <c r="AE69" s="110">
        <v>9043.5860493367436</v>
      </c>
      <c r="AF69" s="110">
        <v>7.1144260041710909</v>
      </c>
      <c r="AG69" s="110">
        <v>6300.5356692939185</v>
      </c>
      <c r="AH69" s="110">
        <v>8.0842237138684059</v>
      </c>
      <c r="AI69" s="110">
        <v>7159.3885210018607</v>
      </c>
      <c r="AJ69" s="110">
        <v>6.0310757230454639</v>
      </c>
      <c r="AK69" s="110">
        <v>5341.120660329063</v>
      </c>
      <c r="AL69" s="110">
        <v>8.0782287902196845</v>
      </c>
      <c r="AM69" s="110">
        <v>7154.0794166185524</v>
      </c>
      <c r="AN69" s="110">
        <v>7.0988974237400093</v>
      </c>
      <c r="AO69" s="110">
        <v>6286.7835584641525</v>
      </c>
      <c r="AP69" s="110">
        <v>5.0561049935362776</v>
      </c>
      <c r="AQ69" s="110">
        <v>4477.6865822757272</v>
      </c>
      <c r="AR69" s="110">
        <v>4.1427431008282207</v>
      </c>
      <c r="AS69" s="110">
        <v>3668.8132900934725</v>
      </c>
      <c r="AT69" s="110">
        <v>5</v>
      </c>
      <c r="AU69" s="110">
        <v>4428</v>
      </c>
      <c r="AV69" s="110">
        <v>4.1338890604499436</v>
      </c>
      <c r="AW69" s="110">
        <v>3660.9721519344703</v>
      </c>
      <c r="AX69" s="110">
        <v>5</v>
      </c>
      <c r="AY69" s="110">
        <v>4428</v>
      </c>
      <c r="AZ69" s="110">
        <v>5.3199402135263076</v>
      </c>
      <c r="BA69" s="110">
        <v>4711.3390530988981</v>
      </c>
      <c r="BB69" s="110">
        <v>9</v>
      </c>
      <c r="BC69" s="110">
        <v>7970.4000000000005</v>
      </c>
      <c r="BD69" s="110">
        <v>6.2043162727999785</v>
      </c>
      <c r="BE69" s="110">
        <v>5494.5424911916607</v>
      </c>
      <c r="BF69" s="110">
        <v>9.811942682111285</v>
      </c>
      <c r="BG69" s="110">
        <v>8689.4564392777538</v>
      </c>
      <c r="BH69" s="110">
        <v>3.1740938169421358</v>
      </c>
      <c r="BI69" s="110">
        <v>2810.9774842839556</v>
      </c>
      <c r="BJ69" s="110">
        <v>4.0546983823734903</v>
      </c>
      <c r="BK69" s="110">
        <v>3590.840887429963</v>
      </c>
      <c r="BL69" s="110">
        <v>4.07510499229475</v>
      </c>
      <c r="BM69" s="110">
        <v>3608.9129811762305</v>
      </c>
      <c r="BN69" s="110">
        <v>5.1365543220555825</v>
      </c>
      <c r="BO69" s="110">
        <v>4548.9325076124242</v>
      </c>
      <c r="BP69" s="110">
        <v>3.0489835829914815</v>
      </c>
      <c r="BQ69" s="110">
        <v>2700.179861097256</v>
      </c>
      <c r="BR69" s="110">
        <v>3.2711254062614623</v>
      </c>
      <c r="BS69" s="110">
        <v>2896.908659785151</v>
      </c>
      <c r="BT69" s="110">
        <v>3</v>
      </c>
      <c r="BU69" s="110">
        <v>2656.8</v>
      </c>
      <c r="BV69" s="110">
        <v>3.1016612774757979</v>
      </c>
      <c r="BW69" s="110">
        <v>2746.8312273325669</v>
      </c>
      <c r="BX69" s="110">
        <v>2.1227884775111798</v>
      </c>
      <c r="BY69" s="110">
        <v>1879.941475683901</v>
      </c>
      <c r="BZ69" s="110">
        <v>2.0748254953557232</v>
      </c>
      <c r="CA69" s="110">
        <v>1837.4654586870286</v>
      </c>
      <c r="CB69" s="110">
        <v>2.120701894576885</v>
      </c>
      <c r="CC69" s="110">
        <v>1878.0935978372893</v>
      </c>
      <c r="CD69" s="110">
        <v>2</v>
      </c>
      <c r="CE69" s="110">
        <v>1771.2</v>
      </c>
      <c r="CF69" s="110">
        <v>2.0869746180034539</v>
      </c>
      <c r="CG69" s="110">
        <v>1848.2247217038587</v>
      </c>
      <c r="CH69" s="110">
        <v>2</v>
      </c>
      <c r="CI69" s="110">
        <v>1771.2</v>
      </c>
      <c r="CJ69" s="110">
        <v>2</v>
      </c>
      <c r="CK69" s="110">
        <v>1771.2</v>
      </c>
      <c r="CL69" s="110">
        <v>1.2353230981834333</v>
      </c>
      <c r="CM69" s="110">
        <v>1094.0021357512485</v>
      </c>
      <c r="CN69" s="110">
        <v>3.6150362697584804</v>
      </c>
      <c r="CO69" s="110">
        <v>3201.4761204981105</v>
      </c>
      <c r="CP69" s="110">
        <v>2.5670449208767376</v>
      </c>
      <c r="CQ69" s="110">
        <v>2273.374981928439</v>
      </c>
      <c r="CR69" s="110">
        <v>4</v>
      </c>
      <c r="CS69" s="110">
        <v>3542.4</v>
      </c>
      <c r="CT69" s="110">
        <v>3.2940126365590734</v>
      </c>
      <c r="CU69" s="110">
        <v>2917.1775909367157</v>
      </c>
    </row>
    <row r="70" spans="2:99" x14ac:dyDescent="0.2">
      <c r="C70" s="109" t="s">
        <v>238</v>
      </c>
      <c r="D70" s="110">
        <v>5.3968256061287816</v>
      </c>
      <c r="E70" s="110">
        <v>3820.9525291391774</v>
      </c>
      <c r="F70" s="110">
        <v>5.0938796931603338</v>
      </c>
      <c r="G70" s="110">
        <v>3606.4668227575162</v>
      </c>
      <c r="H70" s="110">
        <v>8.2449128679292247</v>
      </c>
      <c r="I70" s="110">
        <v>5837.3983104938907</v>
      </c>
      <c r="J70" s="110">
        <v>8.4453217890144625</v>
      </c>
      <c r="K70" s="110">
        <v>5979.2878266222397</v>
      </c>
      <c r="L70" s="110">
        <v>15</v>
      </c>
      <c r="M70" s="110">
        <v>10620</v>
      </c>
      <c r="N70" s="110">
        <v>8.4960736411117299</v>
      </c>
      <c r="O70" s="110">
        <v>6015.2201379071048</v>
      </c>
      <c r="P70" s="110">
        <v>9.5080162276349203</v>
      </c>
      <c r="Q70" s="110">
        <v>6731.6754891655237</v>
      </c>
      <c r="R70" s="110">
        <v>14.318484359548524</v>
      </c>
      <c r="S70" s="110">
        <v>10137.486926560356</v>
      </c>
      <c r="T70" s="110">
        <v>13.096181051101075</v>
      </c>
      <c r="U70" s="110">
        <v>9272.0961841795615</v>
      </c>
      <c r="V70" s="110">
        <v>8.1924328601865071</v>
      </c>
      <c r="W70" s="110">
        <v>5800.2424650120474</v>
      </c>
      <c r="X70" s="110">
        <v>8.2194952867822977</v>
      </c>
      <c r="Y70" s="110">
        <v>5819.4026630418666</v>
      </c>
      <c r="Z70" s="110">
        <v>13.252481513099866</v>
      </c>
      <c r="AA70" s="110">
        <v>9382.756911274706</v>
      </c>
      <c r="AB70" s="110">
        <v>9.1277789462510874</v>
      </c>
      <c r="AC70" s="110">
        <v>6462.46749394577</v>
      </c>
      <c r="AD70" s="110">
        <v>10.211818032223061</v>
      </c>
      <c r="AE70" s="110">
        <v>7229.9671668139272</v>
      </c>
      <c r="AF70" s="110">
        <v>8.1144260041710918</v>
      </c>
      <c r="AG70" s="110">
        <v>5745.0136109531331</v>
      </c>
      <c r="AH70" s="110">
        <v>8.0736957496348563</v>
      </c>
      <c r="AI70" s="110">
        <v>5716.1765907414783</v>
      </c>
      <c r="AJ70" s="110">
        <v>5.0388446538068292</v>
      </c>
      <c r="AK70" s="110">
        <v>3567.5020148952349</v>
      </c>
      <c r="AL70" s="110">
        <v>8.097785987774607</v>
      </c>
      <c r="AM70" s="110">
        <v>5733.2324793444213</v>
      </c>
      <c r="AN70" s="110">
        <v>6.0988974237400093</v>
      </c>
      <c r="AO70" s="110">
        <v>4318.0193760079264</v>
      </c>
      <c r="AP70" s="110">
        <v>5.0561049935362776</v>
      </c>
      <c r="AQ70" s="110">
        <v>3579.7223354236844</v>
      </c>
      <c r="AR70" s="110">
        <v>4.1427431008282207</v>
      </c>
      <c r="AS70" s="110">
        <v>2933.0621153863804</v>
      </c>
      <c r="AT70" s="110">
        <v>5</v>
      </c>
      <c r="AU70" s="110">
        <v>3540</v>
      </c>
      <c r="AV70" s="110">
        <v>4.1530160690856501</v>
      </c>
      <c r="AW70" s="110">
        <v>2940.3353769126402</v>
      </c>
      <c r="AX70" s="110">
        <v>5</v>
      </c>
      <c r="AY70" s="110">
        <v>3540</v>
      </c>
      <c r="AZ70" s="110">
        <v>5.2949342795646501</v>
      </c>
      <c r="BA70" s="110">
        <v>3748.8134699317725</v>
      </c>
      <c r="BB70" s="110">
        <v>8</v>
      </c>
      <c r="BC70" s="110">
        <v>5664</v>
      </c>
      <c r="BD70" s="110">
        <v>6.2170860398499768</v>
      </c>
      <c r="BE70" s="110">
        <v>4401.6969162137839</v>
      </c>
      <c r="BF70" s="110">
        <v>8.8059070461443838</v>
      </c>
      <c r="BG70" s="110">
        <v>6234.5821886702233</v>
      </c>
      <c r="BH70" s="110">
        <v>4.2031094530991586</v>
      </c>
      <c r="BI70" s="110">
        <v>2975.8014927942045</v>
      </c>
      <c r="BJ70" s="110">
        <v>4.0546983823734903</v>
      </c>
      <c r="BK70" s="110">
        <v>2870.7264547204313</v>
      </c>
      <c r="BL70" s="110">
        <v>4.07510499229475</v>
      </c>
      <c r="BM70" s="110">
        <v>2885.174334544683</v>
      </c>
      <c r="BN70" s="110">
        <v>5.1365543220555825</v>
      </c>
      <c r="BO70" s="110">
        <v>3636.6804600153523</v>
      </c>
      <c r="BP70" s="110">
        <v>3.0489835829914815</v>
      </c>
      <c r="BQ70" s="110">
        <v>2158.680376757969</v>
      </c>
      <c r="BR70" s="110">
        <v>3.2711254062614623</v>
      </c>
      <c r="BS70" s="110">
        <v>2315.9567876331153</v>
      </c>
      <c r="BT70" s="110">
        <v>3</v>
      </c>
      <c r="BU70" s="110">
        <v>2124</v>
      </c>
      <c r="BV70" s="110">
        <v>3.1016612774757979</v>
      </c>
      <c r="BW70" s="110">
        <v>2195.9761844528648</v>
      </c>
      <c r="BX70" s="110">
        <v>2.1023237312593168</v>
      </c>
      <c r="BY70" s="110">
        <v>1488.4452017315964</v>
      </c>
      <c r="BZ70" s="110">
        <v>2.0748254953557232</v>
      </c>
      <c r="CA70" s="110">
        <v>1468.9764507118521</v>
      </c>
      <c r="CB70" s="110">
        <v>2.1056141577547742</v>
      </c>
      <c r="CC70" s="110">
        <v>1490.7748236903801</v>
      </c>
      <c r="CD70" s="110">
        <v>2</v>
      </c>
      <c r="CE70" s="110">
        <v>1416</v>
      </c>
      <c r="CF70" s="110">
        <v>2.1014703876706959</v>
      </c>
      <c r="CG70" s="110">
        <v>1487.8410344708527</v>
      </c>
      <c r="CH70" s="110">
        <v>2</v>
      </c>
      <c r="CI70" s="110">
        <v>1416</v>
      </c>
      <c r="CJ70" s="110">
        <v>3.3205826666567924</v>
      </c>
      <c r="CK70" s="110">
        <v>2350.972527993009</v>
      </c>
      <c r="CL70" s="110">
        <v>2.2353230981834336</v>
      </c>
      <c r="CM70" s="110">
        <v>1582.6087535138709</v>
      </c>
      <c r="CN70" s="110">
        <v>3.6150362697584804</v>
      </c>
      <c r="CO70" s="110">
        <v>2559.4456789890041</v>
      </c>
      <c r="CP70" s="110">
        <v>2.386275032560599</v>
      </c>
      <c r="CQ70" s="110">
        <v>1689.482723052904</v>
      </c>
      <c r="CR70" s="110">
        <v>4</v>
      </c>
      <c r="CS70" s="110">
        <v>2832</v>
      </c>
      <c r="CT70" s="110">
        <v>3.2646113729031661</v>
      </c>
      <c r="CU70" s="110">
        <v>2311.3448520154416</v>
      </c>
    </row>
    <row r="71" spans="2:99" x14ac:dyDescent="0.2">
      <c r="B71" s="109" t="s">
        <v>130</v>
      </c>
      <c r="C71" s="109" t="s">
        <v>239</v>
      </c>
      <c r="D71" s="110">
        <v>1.9530847490001506</v>
      </c>
      <c r="E71" s="110">
        <v>1094.5086933396844</v>
      </c>
      <c r="F71" s="110">
        <v>2.25763445085546</v>
      </c>
      <c r="G71" s="110">
        <v>1265.1783462593996</v>
      </c>
      <c r="H71" s="110">
        <v>1</v>
      </c>
      <c r="I71" s="110">
        <v>560.4</v>
      </c>
      <c r="J71" s="110">
        <v>2.3743959825247019</v>
      </c>
      <c r="K71" s="110">
        <v>1330.6115086068428</v>
      </c>
      <c r="L71" s="110">
        <v>12.847851061459979</v>
      </c>
      <c r="M71" s="110">
        <v>7199.9357348421718</v>
      </c>
      <c r="N71" s="110">
        <v>10.517490618852211</v>
      </c>
      <c r="O71" s="110">
        <v>5894.0017428047786</v>
      </c>
      <c r="P71" s="110">
        <v>16.598017646207214</v>
      </c>
      <c r="Q71" s="110">
        <v>9301.5290889345233</v>
      </c>
      <c r="R71" s="110">
        <v>11.713934048219373</v>
      </c>
      <c r="S71" s="110">
        <v>6564.4886406221367</v>
      </c>
      <c r="T71" s="110">
        <v>6.5840281764951012</v>
      </c>
      <c r="U71" s="110">
        <v>3689.6893901078547</v>
      </c>
      <c r="V71" s="110">
        <v>6</v>
      </c>
      <c r="W71" s="110">
        <v>3362.3999999999996</v>
      </c>
      <c r="X71" s="110">
        <v>7</v>
      </c>
      <c r="Y71" s="110">
        <v>3922.7999999999997</v>
      </c>
      <c r="Z71" s="110">
        <v>6</v>
      </c>
      <c r="AA71" s="110">
        <v>3362.3999999999996</v>
      </c>
      <c r="AB71" s="110">
        <v>11</v>
      </c>
      <c r="AC71" s="110">
        <v>6164.4</v>
      </c>
      <c r="AD71" s="110">
        <v>9.4949948403058073</v>
      </c>
      <c r="AE71" s="110">
        <v>5320.9951085073744</v>
      </c>
      <c r="AF71" s="110">
        <v>9</v>
      </c>
      <c r="AG71" s="110">
        <v>5043.5999999999995</v>
      </c>
      <c r="AH71" s="110">
        <v>7.6543352622037499</v>
      </c>
      <c r="AI71" s="110">
        <v>4289.4894809389816</v>
      </c>
      <c r="AJ71" s="110">
        <v>5.3459833156530099</v>
      </c>
      <c r="AK71" s="110">
        <v>2995.8890500919465</v>
      </c>
      <c r="AL71" s="110">
        <v>5</v>
      </c>
      <c r="AM71" s="110">
        <v>2802</v>
      </c>
      <c r="AN71" s="110">
        <v>4</v>
      </c>
      <c r="AO71" s="110">
        <v>2241.6</v>
      </c>
      <c r="AP71" s="110">
        <v>6</v>
      </c>
      <c r="AQ71" s="110">
        <v>3362.3999999999996</v>
      </c>
      <c r="AR71" s="110">
        <v>2</v>
      </c>
      <c r="AS71" s="110">
        <v>1120.8</v>
      </c>
      <c r="AT71" s="110">
        <v>2.3263622123167913</v>
      </c>
      <c r="AU71" s="110">
        <v>1303.6933837823299</v>
      </c>
      <c r="AV71" s="110">
        <v>2.4185098971463668</v>
      </c>
      <c r="AW71" s="110">
        <v>1355.3329463608238</v>
      </c>
      <c r="AX71" s="110">
        <v>2</v>
      </c>
      <c r="AY71" s="110">
        <v>1120.8</v>
      </c>
      <c r="AZ71" s="110">
        <v>11</v>
      </c>
      <c r="BA71" s="110">
        <v>6164.4</v>
      </c>
      <c r="BB71" s="110">
        <v>13</v>
      </c>
      <c r="BC71" s="110">
        <v>7285.2</v>
      </c>
      <c r="BD71" s="110">
        <v>11</v>
      </c>
      <c r="BE71" s="110">
        <v>6164.4</v>
      </c>
      <c r="BF71" s="110">
        <v>7.3618706485188286</v>
      </c>
      <c r="BG71" s="110">
        <v>4125.5923114299512</v>
      </c>
      <c r="BH71" s="110">
        <v>5.6176220586373073</v>
      </c>
      <c r="BI71" s="110">
        <v>3148.1154016603468</v>
      </c>
      <c r="BJ71" s="110">
        <v>7.5147428694171499</v>
      </c>
      <c r="BK71" s="110">
        <v>4211.2619040213704</v>
      </c>
      <c r="BL71" s="110">
        <v>3.2866510969658895</v>
      </c>
      <c r="BM71" s="110">
        <v>1841.8392747396845</v>
      </c>
      <c r="BN71" s="110">
        <v>6.5223339893819521</v>
      </c>
      <c r="BO71" s="110">
        <v>3655.1159676496459</v>
      </c>
      <c r="BP71" s="110">
        <v>5.1857096507011029</v>
      </c>
      <c r="BQ71" s="110">
        <v>2906.0716882528977</v>
      </c>
      <c r="BR71" s="110">
        <v>4</v>
      </c>
      <c r="BS71" s="110">
        <v>2241.6</v>
      </c>
      <c r="BT71" s="110">
        <v>3</v>
      </c>
      <c r="BU71" s="110">
        <v>1681.1999999999998</v>
      </c>
      <c r="BV71" s="110">
        <v>5.4386074390136319</v>
      </c>
      <c r="BW71" s="110">
        <v>3047.795608823239</v>
      </c>
      <c r="BX71" s="110">
        <v>5</v>
      </c>
      <c r="BY71" s="110">
        <v>2802</v>
      </c>
      <c r="BZ71" s="110">
        <v>4</v>
      </c>
      <c r="CA71" s="110">
        <v>2241.6</v>
      </c>
      <c r="CB71" s="110">
        <v>4</v>
      </c>
      <c r="CC71" s="110">
        <v>2241.6</v>
      </c>
      <c r="CD71" s="110">
        <v>4.4224312150460534</v>
      </c>
      <c r="CE71" s="110">
        <v>2478.3304529118082</v>
      </c>
      <c r="CF71" s="110">
        <v>13</v>
      </c>
      <c r="CG71" s="110">
        <v>7285.2</v>
      </c>
      <c r="CH71" s="110">
        <v>7.1583194592623638</v>
      </c>
      <c r="CI71" s="110">
        <v>4011.5222249706285</v>
      </c>
      <c r="CJ71" s="110">
        <v>13</v>
      </c>
      <c r="CK71" s="110">
        <v>7285.2</v>
      </c>
      <c r="CL71" s="110">
        <v>6</v>
      </c>
      <c r="CM71" s="110">
        <v>3362.3999999999996</v>
      </c>
      <c r="CN71" s="110">
        <v>3</v>
      </c>
      <c r="CO71" s="110">
        <v>1681.1999999999998</v>
      </c>
      <c r="CP71" s="110">
        <v>3.1276759652711874</v>
      </c>
      <c r="CQ71" s="110">
        <v>1752.7496109379733</v>
      </c>
      <c r="CR71" s="110">
        <v>4</v>
      </c>
      <c r="CS71" s="110">
        <v>2241.6</v>
      </c>
      <c r="CT71" s="110">
        <v>4.4814806371678326</v>
      </c>
      <c r="CU71" s="110">
        <v>2511.4217490688534</v>
      </c>
    </row>
    <row r="72" spans="2:99" x14ac:dyDescent="0.2">
      <c r="C72" s="109" t="s">
        <v>240</v>
      </c>
      <c r="D72" s="110">
        <v>1.9530847490001506</v>
      </c>
      <c r="E72" s="110">
        <v>1642.9348908589266</v>
      </c>
      <c r="F72" s="110">
        <v>2.2322919504541243</v>
      </c>
      <c r="G72" s="110">
        <v>1877.8039887220093</v>
      </c>
      <c r="H72" s="110">
        <v>1</v>
      </c>
      <c r="I72" s="110">
        <v>841.19999999999993</v>
      </c>
      <c r="J72" s="110">
        <v>2.3743959825247019</v>
      </c>
      <c r="K72" s="110">
        <v>1997.3419004997791</v>
      </c>
      <c r="L72" s="110">
        <v>11.847851061459979</v>
      </c>
      <c r="M72" s="110">
        <v>9966.4123129001327</v>
      </c>
      <c r="N72" s="110">
        <v>9.6434642723439978</v>
      </c>
      <c r="O72" s="110">
        <v>8112.0821458957707</v>
      </c>
      <c r="P72" s="110">
        <v>14.498348038506013</v>
      </c>
      <c r="Q72" s="110">
        <v>12196.010369991256</v>
      </c>
      <c r="R72" s="110">
        <v>11.713934048219373</v>
      </c>
      <c r="S72" s="110">
        <v>9853.7613213621353</v>
      </c>
      <c r="T72" s="110">
        <v>6.5840281764951012</v>
      </c>
      <c r="U72" s="110">
        <v>5538.4845020676785</v>
      </c>
      <c r="V72" s="110">
        <v>7</v>
      </c>
      <c r="W72" s="110">
        <v>5888.4</v>
      </c>
      <c r="X72" s="110">
        <v>6</v>
      </c>
      <c r="Y72" s="110">
        <v>5047.2</v>
      </c>
      <c r="Z72" s="110">
        <v>6</v>
      </c>
      <c r="AA72" s="110">
        <v>5047.2</v>
      </c>
      <c r="AB72" s="110">
        <v>11</v>
      </c>
      <c r="AC72" s="110">
        <v>9253.1999999999989</v>
      </c>
      <c r="AD72" s="110">
        <v>8.4949948403058073</v>
      </c>
      <c r="AE72" s="110">
        <v>7145.9896596652443</v>
      </c>
      <c r="AF72" s="110">
        <v>10</v>
      </c>
      <c r="AG72" s="110">
        <v>8412</v>
      </c>
      <c r="AH72" s="110">
        <v>6.6543352622037499</v>
      </c>
      <c r="AI72" s="110">
        <v>5597.6268225657941</v>
      </c>
      <c r="AJ72" s="110">
        <v>5.5023822033632106</v>
      </c>
      <c r="AK72" s="110">
        <v>4628.6039094691323</v>
      </c>
      <c r="AL72" s="110">
        <v>5</v>
      </c>
      <c r="AM72" s="110">
        <v>4206</v>
      </c>
      <c r="AN72" s="110">
        <v>3</v>
      </c>
      <c r="AO72" s="110">
        <v>2523.6</v>
      </c>
      <c r="AP72" s="110">
        <v>5</v>
      </c>
      <c r="AQ72" s="110">
        <v>4206</v>
      </c>
      <c r="AR72" s="110">
        <v>2</v>
      </c>
      <c r="AS72" s="110">
        <v>1682.3999999999999</v>
      </c>
      <c r="AT72" s="110">
        <v>2.3263622123167913</v>
      </c>
      <c r="AU72" s="110">
        <v>1956.9358930008848</v>
      </c>
      <c r="AV72" s="110">
        <v>2.3766589074317301</v>
      </c>
      <c r="AW72" s="110">
        <v>1999.2454729315712</v>
      </c>
      <c r="AX72" s="110">
        <v>1</v>
      </c>
      <c r="AY72" s="110">
        <v>841.19999999999993</v>
      </c>
      <c r="AZ72" s="110">
        <v>10</v>
      </c>
      <c r="BA72" s="110">
        <v>8412</v>
      </c>
      <c r="BB72" s="110">
        <v>12</v>
      </c>
      <c r="BC72" s="110">
        <v>10094.4</v>
      </c>
      <c r="BD72" s="110">
        <v>11</v>
      </c>
      <c r="BE72" s="110">
        <v>9253.1999999999989</v>
      </c>
      <c r="BF72" s="110">
        <v>7.3618706485188286</v>
      </c>
      <c r="BG72" s="110">
        <v>6192.8055895340385</v>
      </c>
      <c r="BH72" s="110">
        <v>6.6239234377531053</v>
      </c>
      <c r="BI72" s="110">
        <v>5572.0443958379119</v>
      </c>
      <c r="BJ72" s="110">
        <v>6.3431619129447663</v>
      </c>
      <c r="BK72" s="110">
        <v>5335.8678011691372</v>
      </c>
      <c r="BL72" s="110">
        <v>4.2833753316670835</v>
      </c>
      <c r="BM72" s="110">
        <v>3603.1753289983503</v>
      </c>
      <c r="BN72" s="110">
        <v>6.3482226595879681</v>
      </c>
      <c r="BO72" s="110">
        <v>5340.1249012453982</v>
      </c>
      <c r="BP72" s="110">
        <v>5.1857096507011029</v>
      </c>
      <c r="BQ72" s="110">
        <v>4362.2189581697676</v>
      </c>
      <c r="BR72" s="110">
        <v>4.1889979740065542</v>
      </c>
      <c r="BS72" s="110">
        <v>3523.785095734313</v>
      </c>
      <c r="BT72" s="110">
        <v>3</v>
      </c>
      <c r="BU72" s="110">
        <v>2523.6</v>
      </c>
      <c r="BV72" s="110">
        <v>6.3898732791232282</v>
      </c>
      <c r="BW72" s="110">
        <v>5375.1614023984594</v>
      </c>
      <c r="BX72" s="110">
        <v>4</v>
      </c>
      <c r="BY72" s="110">
        <v>3364.7999999999997</v>
      </c>
      <c r="BZ72" s="110">
        <v>4</v>
      </c>
      <c r="CA72" s="110">
        <v>3364.7999999999997</v>
      </c>
      <c r="CB72" s="110">
        <v>5</v>
      </c>
      <c r="CC72" s="110">
        <v>4206</v>
      </c>
      <c r="CD72" s="110">
        <v>4.3801880935414479</v>
      </c>
      <c r="CE72" s="110">
        <v>3684.6142242870656</v>
      </c>
      <c r="CF72" s="110">
        <v>11</v>
      </c>
      <c r="CG72" s="110">
        <v>9253.1999999999989</v>
      </c>
      <c r="CH72" s="110">
        <v>7.1451261709905003</v>
      </c>
      <c r="CI72" s="110">
        <v>6010.4801350372081</v>
      </c>
      <c r="CJ72" s="110">
        <v>14</v>
      </c>
      <c r="CK72" s="110">
        <v>11776.8</v>
      </c>
      <c r="CL72" s="110">
        <v>6</v>
      </c>
      <c r="CM72" s="110">
        <v>5047.2</v>
      </c>
      <c r="CN72" s="110">
        <v>3</v>
      </c>
      <c r="CO72" s="110">
        <v>2523.6</v>
      </c>
      <c r="CP72" s="110">
        <v>2.1550351006864417</v>
      </c>
      <c r="CQ72" s="110">
        <v>1812.8155266974345</v>
      </c>
      <c r="CR72" s="110">
        <v>4</v>
      </c>
      <c r="CS72" s="110">
        <v>3364.7999999999997</v>
      </c>
      <c r="CT72" s="110">
        <v>5.545678055456877</v>
      </c>
      <c r="CU72" s="110">
        <v>4665.0243802503246</v>
      </c>
    </row>
    <row r="73" spans="2:99" x14ac:dyDescent="0.2">
      <c r="C73" s="109" t="s">
        <v>241</v>
      </c>
      <c r="D73" s="110">
        <v>1.9530847490001506</v>
      </c>
      <c r="E73" s="110">
        <v>2031.9893728597565</v>
      </c>
      <c r="F73" s="110">
        <v>2.2069494500527891</v>
      </c>
      <c r="G73" s="110">
        <v>2296.1102078349213</v>
      </c>
      <c r="H73" s="110">
        <v>1</v>
      </c>
      <c r="I73" s="110">
        <v>1040.3999999999999</v>
      </c>
      <c r="J73" s="110">
        <v>2.3743959825247019</v>
      </c>
      <c r="K73" s="110">
        <v>2470.3215802186996</v>
      </c>
      <c r="L73" s="110">
        <v>12.847851061459979</v>
      </c>
      <c r="M73" s="110">
        <v>13366.904244342961</v>
      </c>
      <c r="N73" s="110">
        <v>9.6449749395534496</v>
      </c>
      <c r="O73" s="110">
        <v>10034.631927111408</v>
      </c>
      <c r="P73" s="110">
        <v>14.498348038506013</v>
      </c>
      <c r="Q73" s="110">
        <v>15084.081299261654</v>
      </c>
      <c r="R73" s="110">
        <v>12.712061453192796</v>
      </c>
      <c r="S73" s="110">
        <v>13225.628735901782</v>
      </c>
      <c r="T73" s="110">
        <v>5.4611113018822923</v>
      </c>
      <c r="U73" s="110">
        <v>5681.7401984783364</v>
      </c>
      <c r="V73" s="110">
        <v>6</v>
      </c>
      <c r="W73" s="110">
        <v>6242.4</v>
      </c>
      <c r="X73" s="110">
        <v>6</v>
      </c>
      <c r="Y73" s="110">
        <v>6242.4</v>
      </c>
      <c r="Z73" s="110">
        <v>5</v>
      </c>
      <c r="AA73" s="110">
        <v>5201.9999999999991</v>
      </c>
      <c r="AB73" s="110">
        <v>10</v>
      </c>
      <c r="AC73" s="110">
        <v>10403.999999999998</v>
      </c>
      <c r="AD73" s="110">
        <v>9.4949948403058073</v>
      </c>
      <c r="AE73" s="110">
        <v>9878.5926318541606</v>
      </c>
      <c r="AF73" s="110">
        <v>9</v>
      </c>
      <c r="AG73" s="110">
        <v>9363.5999999999985</v>
      </c>
      <c r="AH73" s="110">
        <v>7.6543352622037499</v>
      </c>
      <c r="AI73" s="110">
        <v>7963.5704067967799</v>
      </c>
      <c r="AJ73" s="110">
        <v>5.3459833156530099</v>
      </c>
      <c r="AK73" s="110">
        <v>5561.9610416053911</v>
      </c>
      <c r="AL73" s="110">
        <v>5</v>
      </c>
      <c r="AM73" s="110">
        <v>5201.9999999999991</v>
      </c>
      <c r="AN73" s="110">
        <v>3</v>
      </c>
      <c r="AO73" s="110">
        <v>3121.2</v>
      </c>
      <c r="AP73" s="110">
        <v>6</v>
      </c>
      <c r="AQ73" s="110">
        <v>6242.4</v>
      </c>
      <c r="AR73" s="110">
        <v>1</v>
      </c>
      <c r="AS73" s="110">
        <v>1040.3999999999999</v>
      </c>
      <c r="AT73" s="110">
        <v>2.3263622123167913</v>
      </c>
      <c r="AU73" s="110">
        <v>2420.3472456943891</v>
      </c>
      <c r="AV73" s="110">
        <v>2.4185098971463668</v>
      </c>
      <c r="AW73" s="110">
        <v>2516.2176969910797</v>
      </c>
      <c r="AX73" s="110">
        <v>1</v>
      </c>
      <c r="AY73" s="110">
        <v>1040.3999999999999</v>
      </c>
      <c r="AZ73" s="110">
        <v>10</v>
      </c>
      <c r="BA73" s="110">
        <v>10403.999999999998</v>
      </c>
      <c r="BB73" s="110">
        <v>11</v>
      </c>
      <c r="BC73" s="110">
        <v>11444.399999999998</v>
      </c>
      <c r="BD73" s="110">
        <v>10</v>
      </c>
      <c r="BE73" s="110">
        <v>10403.999999999998</v>
      </c>
      <c r="BF73" s="110">
        <v>7.3317147611422593</v>
      </c>
      <c r="BG73" s="110">
        <v>7627.9160374924058</v>
      </c>
      <c r="BH73" s="110">
        <v>5.6239234377531053</v>
      </c>
      <c r="BI73" s="110">
        <v>5851.12994463833</v>
      </c>
      <c r="BJ73" s="110">
        <v>6.5147428694171499</v>
      </c>
      <c r="BK73" s="110">
        <v>6777.9384813416018</v>
      </c>
      <c r="BL73" s="110">
        <v>3.2833753316670835</v>
      </c>
      <c r="BM73" s="110">
        <v>3416.0236950664334</v>
      </c>
      <c r="BN73" s="110">
        <v>6.3482226595879681</v>
      </c>
      <c r="BO73" s="110">
        <v>6604.690855035321</v>
      </c>
      <c r="BP73" s="110">
        <v>6.1857096507011029</v>
      </c>
      <c r="BQ73" s="110">
        <v>6435.6123205894264</v>
      </c>
      <c r="BR73" s="110">
        <v>4</v>
      </c>
      <c r="BS73" s="110">
        <v>4161.5999999999995</v>
      </c>
      <c r="BT73" s="110">
        <v>3</v>
      </c>
      <c r="BU73" s="110">
        <v>3121.2</v>
      </c>
      <c r="BV73" s="110">
        <v>6.4386074390136319</v>
      </c>
      <c r="BW73" s="110">
        <v>6698.7271795497818</v>
      </c>
      <c r="BX73" s="110">
        <v>4</v>
      </c>
      <c r="BY73" s="110">
        <v>4161.5999999999995</v>
      </c>
      <c r="BZ73" s="110">
        <v>4</v>
      </c>
      <c r="CA73" s="110">
        <v>4161.5999999999995</v>
      </c>
      <c r="CB73" s="110">
        <v>4</v>
      </c>
      <c r="CC73" s="110">
        <v>4161.5999999999995</v>
      </c>
      <c r="CD73" s="110">
        <v>4.4224312150460534</v>
      </c>
      <c r="CE73" s="110">
        <v>4601.0974361339131</v>
      </c>
      <c r="CF73" s="110">
        <v>12</v>
      </c>
      <c r="CG73" s="110">
        <v>12484.8</v>
      </c>
      <c r="CH73" s="110">
        <v>7.1583194592623638</v>
      </c>
      <c r="CI73" s="110">
        <v>7447.5155654165619</v>
      </c>
      <c r="CJ73" s="110">
        <v>11</v>
      </c>
      <c r="CK73" s="110">
        <v>11444.399999999998</v>
      </c>
      <c r="CL73" s="110">
        <v>7</v>
      </c>
      <c r="CM73" s="110">
        <v>7282.7999999999993</v>
      </c>
      <c r="CN73" s="110">
        <v>3</v>
      </c>
      <c r="CO73" s="110">
        <v>3121.2</v>
      </c>
      <c r="CP73" s="110">
        <v>3.1550351006864417</v>
      </c>
      <c r="CQ73" s="110">
        <v>3282.4985187541733</v>
      </c>
      <c r="CR73" s="110">
        <v>4</v>
      </c>
      <c r="CS73" s="110">
        <v>4161.5999999999995</v>
      </c>
      <c r="CT73" s="110">
        <v>4</v>
      </c>
      <c r="CU73" s="110">
        <v>4161.5999999999995</v>
      </c>
    </row>
    <row r="74" spans="2:99" x14ac:dyDescent="0.2">
      <c r="C74" s="109" t="s">
        <v>242</v>
      </c>
      <c r="D74" s="110">
        <v>1.9530847490001506</v>
      </c>
      <c r="E74" s="110">
        <v>742.9534385196572</v>
      </c>
      <c r="F74" s="110">
        <v>2.2333443121646508</v>
      </c>
      <c r="G74" s="110">
        <v>849.56417634743309</v>
      </c>
      <c r="H74" s="110">
        <v>1</v>
      </c>
      <c r="I74" s="110">
        <v>380.4</v>
      </c>
      <c r="J74" s="110">
        <v>2.4211954803402898</v>
      </c>
      <c r="K74" s="110">
        <v>921.02276072144616</v>
      </c>
      <c r="L74" s="110">
        <v>14.847851061459979</v>
      </c>
      <c r="M74" s="110">
        <v>5648.1225437793755</v>
      </c>
      <c r="N74" s="110">
        <v>10.646485606762901</v>
      </c>
      <c r="O74" s="110">
        <v>4049.9231248126075</v>
      </c>
      <c r="P74" s="110">
        <v>18.598017646207214</v>
      </c>
      <c r="Q74" s="110">
        <v>7074.6859126172239</v>
      </c>
      <c r="R74" s="110">
        <v>12.712061453192796</v>
      </c>
      <c r="S74" s="110">
        <v>4835.6681767945392</v>
      </c>
      <c r="T74" s="110">
        <v>5.6070750904850026</v>
      </c>
      <c r="U74" s="110">
        <v>2132.9313644204949</v>
      </c>
      <c r="V74" s="110">
        <v>7</v>
      </c>
      <c r="W74" s="110">
        <v>2662.7999999999997</v>
      </c>
      <c r="X74" s="110">
        <v>6</v>
      </c>
      <c r="Y74" s="110">
        <v>2282.3999999999996</v>
      </c>
      <c r="Z74" s="110">
        <v>6</v>
      </c>
      <c r="AA74" s="110">
        <v>2282.3999999999996</v>
      </c>
      <c r="AB74" s="110">
        <v>10</v>
      </c>
      <c r="AC74" s="110">
        <v>3804</v>
      </c>
      <c r="AD74" s="110">
        <v>10.494994840305807</v>
      </c>
      <c r="AE74" s="110">
        <v>3992.2960372523289</v>
      </c>
      <c r="AF74" s="110">
        <v>9</v>
      </c>
      <c r="AG74" s="110">
        <v>3423.6</v>
      </c>
      <c r="AH74" s="110">
        <v>7.8179190777546879</v>
      </c>
      <c r="AI74" s="110">
        <v>2973.936417177883</v>
      </c>
      <c r="AJ74" s="110">
        <v>5.9715788664938128</v>
      </c>
      <c r="AK74" s="110">
        <v>2271.5886008142461</v>
      </c>
      <c r="AL74" s="110">
        <v>5</v>
      </c>
      <c r="AM74" s="110">
        <v>1902</v>
      </c>
      <c r="AN74" s="110">
        <v>4</v>
      </c>
      <c r="AO74" s="110">
        <v>1521.6</v>
      </c>
      <c r="AP74" s="110">
        <v>6</v>
      </c>
      <c r="AQ74" s="110">
        <v>2282.3999999999996</v>
      </c>
      <c r="AR74" s="110">
        <v>2</v>
      </c>
      <c r="AS74" s="110">
        <v>760.8</v>
      </c>
      <c r="AT74" s="110">
        <v>2</v>
      </c>
      <c r="AU74" s="110">
        <v>760.8</v>
      </c>
      <c r="AV74" s="110">
        <v>2.4603608868610034</v>
      </c>
      <c r="AW74" s="110">
        <v>935.92128136192559</v>
      </c>
      <c r="AX74" s="110">
        <v>2</v>
      </c>
      <c r="AY74" s="110">
        <v>760.8</v>
      </c>
      <c r="AZ74" s="110">
        <v>10</v>
      </c>
      <c r="BA74" s="110">
        <v>3804</v>
      </c>
      <c r="BB74" s="110">
        <v>13</v>
      </c>
      <c r="BC74" s="110">
        <v>4945.2</v>
      </c>
      <c r="BD74" s="110">
        <v>12</v>
      </c>
      <c r="BE74" s="110">
        <v>4564.7999999999993</v>
      </c>
      <c r="BF74" s="110">
        <v>7.3618706485188286</v>
      </c>
      <c r="BG74" s="110">
        <v>2800.455594696562</v>
      </c>
      <c r="BH74" s="110">
        <v>5.7657261941808358</v>
      </c>
      <c r="BI74" s="110">
        <v>2193.2822442663896</v>
      </c>
      <c r="BJ74" s="110">
        <v>6.5147428694171499</v>
      </c>
      <c r="BK74" s="110">
        <v>2478.2081875262838</v>
      </c>
      <c r="BL74" s="110">
        <v>3.4201493495524167</v>
      </c>
      <c r="BM74" s="110">
        <v>1301.0248125697392</v>
      </c>
      <c r="BN74" s="110">
        <v>6.5223339893819521</v>
      </c>
      <c r="BO74" s="110">
        <v>2481.0958495608943</v>
      </c>
      <c r="BP74" s="110">
        <v>5.1857096507011029</v>
      </c>
      <c r="BQ74" s="110">
        <v>1972.6439511266994</v>
      </c>
      <c r="BR74" s="110">
        <v>5.1889979740065542</v>
      </c>
      <c r="BS74" s="110">
        <v>1973.8948293120932</v>
      </c>
      <c r="BT74" s="110">
        <v>3</v>
      </c>
      <c r="BU74" s="110">
        <v>1141.1999999999998</v>
      </c>
      <c r="BV74" s="110">
        <v>6.4386074390136319</v>
      </c>
      <c r="BW74" s="110">
        <v>2449.2462698007853</v>
      </c>
      <c r="BX74" s="110">
        <v>5</v>
      </c>
      <c r="BY74" s="110">
        <v>1902</v>
      </c>
      <c r="BZ74" s="110">
        <v>4</v>
      </c>
      <c r="CA74" s="110">
        <v>1521.6</v>
      </c>
      <c r="CB74" s="110">
        <v>4</v>
      </c>
      <c r="CC74" s="110">
        <v>1521.6</v>
      </c>
      <c r="CD74" s="110">
        <v>4.3801880935414479</v>
      </c>
      <c r="CE74" s="110">
        <v>1666.2235507831667</v>
      </c>
      <c r="CF74" s="110">
        <v>12</v>
      </c>
      <c r="CG74" s="110">
        <v>4564.7999999999993</v>
      </c>
      <c r="CH74" s="110">
        <v>7.1451261709905003</v>
      </c>
      <c r="CI74" s="110">
        <v>2718.0059954447861</v>
      </c>
      <c r="CJ74" s="110">
        <v>14</v>
      </c>
      <c r="CK74" s="110">
        <v>5325.5999999999995</v>
      </c>
      <c r="CL74" s="110">
        <v>7</v>
      </c>
      <c r="CM74" s="110">
        <v>2662.7999999999997</v>
      </c>
      <c r="CN74" s="110">
        <v>3</v>
      </c>
      <c r="CO74" s="110">
        <v>1141.1999999999998</v>
      </c>
      <c r="CP74" s="110">
        <v>3.1459153888813569</v>
      </c>
      <c r="CQ74" s="110">
        <v>1196.706213930468</v>
      </c>
      <c r="CR74" s="110">
        <v>4</v>
      </c>
      <c r="CS74" s="110">
        <v>1521.6</v>
      </c>
      <c r="CT74" s="110">
        <v>5.545678055456877</v>
      </c>
      <c r="CU74" s="110">
        <v>2109.5759322957961</v>
      </c>
    </row>
    <row r="75" spans="2:99" x14ac:dyDescent="0.2">
      <c r="C75" s="109" t="s">
        <v>243</v>
      </c>
      <c r="D75" s="110">
        <v>1.9530847490001506</v>
      </c>
      <c r="E75" s="110">
        <v>782.79636739926036</v>
      </c>
      <c r="F75" s="110">
        <v>2.209054173473842</v>
      </c>
      <c r="G75" s="110">
        <v>885.38891272831586</v>
      </c>
      <c r="H75" s="110">
        <v>1</v>
      </c>
      <c r="I75" s="110">
        <v>400.8</v>
      </c>
      <c r="J75" s="110">
        <v>2.4679949781558772</v>
      </c>
      <c r="K75" s="110">
        <v>989.17238724487561</v>
      </c>
      <c r="L75" s="110">
        <v>11.847851061459979</v>
      </c>
      <c r="M75" s="110">
        <v>4748.6187054331594</v>
      </c>
      <c r="N75" s="110">
        <v>10.64497493955345</v>
      </c>
      <c r="O75" s="110">
        <v>4266.5059557730228</v>
      </c>
      <c r="P75" s="110">
        <v>17.498348038506013</v>
      </c>
      <c r="Q75" s="110">
        <v>7013.3378938332098</v>
      </c>
      <c r="R75" s="110">
        <v>12.713934048219373</v>
      </c>
      <c r="S75" s="110">
        <v>5095.7447665263253</v>
      </c>
      <c r="T75" s="110">
        <v>6.4611113018822923</v>
      </c>
      <c r="U75" s="110">
        <v>2589.6134097944228</v>
      </c>
      <c r="V75" s="110">
        <v>7</v>
      </c>
      <c r="W75" s="110">
        <v>2805.6</v>
      </c>
      <c r="X75" s="110">
        <v>7</v>
      </c>
      <c r="Y75" s="110">
        <v>2805.6</v>
      </c>
      <c r="Z75" s="110">
        <v>6</v>
      </c>
      <c r="AA75" s="110">
        <v>2404.8000000000002</v>
      </c>
      <c r="AB75" s="110">
        <v>12</v>
      </c>
      <c r="AC75" s="110">
        <v>4809.6000000000004</v>
      </c>
      <c r="AD75" s="110">
        <v>9.4949948403058073</v>
      </c>
      <c r="AE75" s="110">
        <v>3805.5939319945678</v>
      </c>
      <c r="AF75" s="110">
        <v>10</v>
      </c>
      <c r="AG75" s="110">
        <v>4008</v>
      </c>
      <c r="AH75" s="110">
        <v>7.6543352622037499</v>
      </c>
      <c r="AI75" s="110">
        <v>3067.857573091263</v>
      </c>
      <c r="AJ75" s="110">
        <v>6.5023822033632106</v>
      </c>
      <c r="AK75" s="110">
        <v>2606.1547871079747</v>
      </c>
      <c r="AL75" s="110">
        <v>5</v>
      </c>
      <c r="AM75" s="110">
        <v>2004</v>
      </c>
      <c r="AN75" s="110">
        <v>4</v>
      </c>
      <c r="AO75" s="110">
        <v>1603.2</v>
      </c>
      <c r="AP75" s="110">
        <v>6</v>
      </c>
      <c r="AQ75" s="110">
        <v>2404.8000000000002</v>
      </c>
      <c r="AR75" s="110">
        <v>1</v>
      </c>
      <c r="AS75" s="110">
        <v>400.8</v>
      </c>
      <c r="AT75" s="110">
        <v>3.3263622123167913</v>
      </c>
      <c r="AU75" s="110">
        <v>1333.2059746965699</v>
      </c>
      <c r="AV75" s="110">
        <v>2.4185098971463668</v>
      </c>
      <c r="AW75" s="110">
        <v>969.33876677626381</v>
      </c>
      <c r="AX75" s="110">
        <v>2</v>
      </c>
      <c r="AY75" s="110">
        <v>801.6</v>
      </c>
      <c r="AZ75" s="110">
        <v>10</v>
      </c>
      <c r="BA75" s="110">
        <v>4008</v>
      </c>
      <c r="BB75" s="110">
        <v>13</v>
      </c>
      <c r="BC75" s="110">
        <v>5210.4000000000005</v>
      </c>
      <c r="BD75" s="110">
        <v>11</v>
      </c>
      <c r="BE75" s="110">
        <v>4408.8</v>
      </c>
      <c r="BF75" s="110">
        <v>8.4221824232719662</v>
      </c>
      <c r="BG75" s="110">
        <v>3375.6107152474042</v>
      </c>
      <c r="BH75" s="110">
        <v>6.6176220586373073</v>
      </c>
      <c r="BI75" s="110">
        <v>2652.3429211018329</v>
      </c>
      <c r="BJ75" s="110">
        <v>7.3431619129447663</v>
      </c>
      <c r="BK75" s="110">
        <v>2943.1392947082622</v>
      </c>
      <c r="BL75" s="110">
        <v>3.4201493495524167</v>
      </c>
      <c r="BM75" s="110">
        <v>1370.7958593006088</v>
      </c>
      <c r="BN75" s="110">
        <v>7.5223339893819521</v>
      </c>
      <c r="BO75" s="110">
        <v>3014.9514629442865</v>
      </c>
      <c r="BP75" s="110">
        <v>6.1857096507011029</v>
      </c>
      <c r="BQ75" s="110">
        <v>2479.2324280010021</v>
      </c>
      <c r="BR75" s="110">
        <v>5.1889979740065542</v>
      </c>
      <c r="BS75" s="110">
        <v>2079.7503879818269</v>
      </c>
      <c r="BT75" s="110">
        <v>3</v>
      </c>
      <c r="BU75" s="110">
        <v>1202.4000000000001</v>
      </c>
      <c r="BV75" s="110">
        <v>5.4386074390136319</v>
      </c>
      <c r="BW75" s="110">
        <v>2179.7938615566636</v>
      </c>
      <c r="BX75" s="110">
        <v>4</v>
      </c>
      <c r="BY75" s="110">
        <v>1603.2</v>
      </c>
      <c r="BZ75" s="110">
        <v>4</v>
      </c>
      <c r="CA75" s="110">
        <v>1603.2</v>
      </c>
      <c r="CB75" s="110">
        <v>5</v>
      </c>
      <c r="CC75" s="110">
        <v>2004</v>
      </c>
      <c r="CD75" s="110">
        <v>4.4435527757983557</v>
      </c>
      <c r="CE75" s="110">
        <v>1780.9759525399811</v>
      </c>
      <c r="CF75" s="110">
        <v>14</v>
      </c>
      <c r="CG75" s="110">
        <v>5611.2</v>
      </c>
      <c r="CH75" s="110">
        <v>7.1451261709905003</v>
      </c>
      <c r="CI75" s="110">
        <v>2863.7665693329927</v>
      </c>
      <c r="CJ75" s="110">
        <v>15</v>
      </c>
      <c r="CK75" s="110">
        <v>6012</v>
      </c>
      <c r="CL75" s="110">
        <v>7</v>
      </c>
      <c r="CM75" s="110">
        <v>2805.6</v>
      </c>
      <c r="CN75" s="110">
        <v>3</v>
      </c>
      <c r="CO75" s="110">
        <v>1202.4000000000001</v>
      </c>
      <c r="CP75" s="110">
        <v>2.1367956770762722</v>
      </c>
      <c r="CQ75" s="110">
        <v>856.42770737216995</v>
      </c>
      <c r="CR75" s="110">
        <v>4</v>
      </c>
      <c r="CS75" s="110">
        <v>1603.2</v>
      </c>
      <c r="CT75" s="110">
        <v>4.4814806371678326</v>
      </c>
      <c r="CU75" s="110">
        <v>1796.1774393768674</v>
      </c>
    </row>
    <row r="76" spans="2:99" x14ac:dyDescent="0.2">
      <c r="C76" s="109" t="s">
        <v>244</v>
      </c>
      <c r="D76" s="110">
        <v>1.9530847490001506</v>
      </c>
      <c r="E76" s="110">
        <v>1354.6595819065044</v>
      </c>
      <c r="F76" s="110">
        <v>2.2333443121646508</v>
      </c>
      <c r="G76" s="110">
        <v>1549.0476149174019</v>
      </c>
      <c r="H76" s="110">
        <v>1</v>
      </c>
      <c r="I76" s="110">
        <v>693.6</v>
      </c>
      <c r="J76" s="110">
        <v>2.3743959825247019</v>
      </c>
      <c r="K76" s="110">
        <v>1646.8810534791332</v>
      </c>
      <c r="L76" s="110">
        <v>13.847851061459979</v>
      </c>
      <c r="M76" s="110">
        <v>9604.8694962286409</v>
      </c>
      <c r="N76" s="110">
        <v>9.5174906188522108</v>
      </c>
      <c r="O76" s="110">
        <v>6601.3314932358935</v>
      </c>
      <c r="P76" s="110">
        <v>14.498348038506013</v>
      </c>
      <c r="Q76" s="110">
        <v>10056.054199507771</v>
      </c>
      <c r="R76" s="110">
        <v>11.713934048219373</v>
      </c>
      <c r="S76" s="110">
        <v>8124.7846558449573</v>
      </c>
      <c r="T76" s="110">
        <v>6.5917104811584011</v>
      </c>
      <c r="U76" s="110">
        <v>4572.0103897314675</v>
      </c>
      <c r="V76" s="110">
        <v>7</v>
      </c>
      <c r="W76" s="110">
        <v>4855.2</v>
      </c>
      <c r="X76" s="110">
        <v>6</v>
      </c>
      <c r="Y76" s="110">
        <v>4161.6000000000004</v>
      </c>
      <c r="Z76" s="110">
        <v>6</v>
      </c>
      <c r="AA76" s="110">
        <v>4161.6000000000004</v>
      </c>
      <c r="AB76" s="110">
        <v>11</v>
      </c>
      <c r="AC76" s="110">
        <v>7629.6</v>
      </c>
      <c r="AD76" s="110">
        <v>8.4949948403058073</v>
      </c>
      <c r="AE76" s="110">
        <v>5892.1284212361079</v>
      </c>
      <c r="AF76" s="110">
        <v>9</v>
      </c>
      <c r="AG76" s="110">
        <v>6242.4000000000005</v>
      </c>
      <c r="AH76" s="110">
        <v>7.6543352622037499</v>
      </c>
      <c r="AI76" s="110">
        <v>5309.0469378645212</v>
      </c>
      <c r="AJ76" s="110">
        <v>5.6587810910734113</v>
      </c>
      <c r="AK76" s="110">
        <v>3924.9305647685183</v>
      </c>
      <c r="AL76" s="110">
        <v>5</v>
      </c>
      <c r="AM76" s="110">
        <v>3468</v>
      </c>
      <c r="AN76" s="110">
        <v>4</v>
      </c>
      <c r="AO76" s="110">
        <v>2774.4</v>
      </c>
      <c r="AP76" s="110">
        <v>6</v>
      </c>
      <c r="AQ76" s="110">
        <v>4161.6000000000004</v>
      </c>
      <c r="AR76" s="110">
        <v>1</v>
      </c>
      <c r="AS76" s="110">
        <v>693.6</v>
      </c>
      <c r="AT76" s="110">
        <v>2.3263622123167913</v>
      </c>
      <c r="AU76" s="110">
        <v>1613.5648304629265</v>
      </c>
      <c r="AV76" s="110">
        <v>2.3766589074317301</v>
      </c>
      <c r="AW76" s="110">
        <v>1648.4506181946481</v>
      </c>
      <c r="AX76" s="110">
        <v>1</v>
      </c>
      <c r="AY76" s="110">
        <v>693.6</v>
      </c>
      <c r="AZ76" s="110">
        <v>10</v>
      </c>
      <c r="BA76" s="110">
        <v>6936</v>
      </c>
      <c r="BB76" s="110">
        <v>12</v>
      </c>
      <c r="BC76" s="110">
        <v>8323.2000000000007</v>
      </c>
      <c r="BD76" s="110">
        <v>10</v>
      </c>
      <c r="BE76" s="110">
        <v>6936</v>
      </c>
      <c r="BF76" s="110">
        <v>7.3920265358953978</v>
      </c>
      <c r="BG76" s="110">
        <v>5127.1096052970479</v>
      </c>
      <c r="BH76" s="110">
        <v>5.6239234377531053</v>
      </c>
      <c r="BI76" s="110">
        <v>3900.7532964255538</v>
      </c>
      <c r="BJ76" s="110">
        <v>6.3431619129447663</v>
      </c>
      <c r="BK76" s="110">
        <v>4399.6171028184899</v>
      </c>
      <c r="BL76" s="110">
        <v>3.2833753316670835</v>
      </c>
      <c r="BM76" s="110">
        <v>2277.3491300442893</v>
      </c>
      <c r="BN76" s="110">
        <v>7.5223339893819521</v>
      </c>
      <c r="BO76" s="110">
        <v>5217.4908550353221</v>
      </c>
      <c r="BP76" s="110">
        <v>6.1857096507011029</v>
      </c>
      <c r="BQ76" s="110">
        <v>4290.4082137262849</v>
      </c>
      <c r="BR76" s="110">
        <v>5.1889979740065542</v>
      </c>
      <c r="BS76" s="110">
        <v>3599.0889947709461</v>
      </c>
      <c r="BT76" s="110">
        <v>3</v>
      </c>
      <c r="BU76" s="110">
        <v>2080.8000000000002</v>
      </c>
      <c r="BV76" s="110">
        <v>5</v>
      </c>
      <c r="BW76" s="110">
        <v>3468</v>
      </c>
      <c r="BX76" s="110">
        <v>5</v>
      </c>
      <c r="BY76" s="110">
        <v>3468</v>
      </c>
      <c r="BZ76" s="110">
        <v>4</v>
      </c>
      <c r="CA76" s="110">
        <v>2774.4</v>
      </c>
      <c r="CB76" s="110">
        <v>5</v>
      </c>
      <c r="CC76" s="110">
        <v>3468</v>
      </c>
      <c r="CD76" s="110">
        <v>4.4224312150460534</v>
      </c>
      <c r="CE76" s="110">
        <v>3067.3982907559425</v>
      </c>
      <c r="CF76" s="110">
        <v>12</v>
      </c>
      <c r="CG76" s="110">
        <v>8323.2000000000007</v>
      </c>
      <c r="CH76" s="110">
        <v>7.1583194592623638</v>
      </c>
      <c r="CI76" s="110">
        <v>4965.0103769443758</v>
      </c>
      <c r="CJ76" s="110">
        <v>13</v>
      </c>
      <c r="CK76" s="110">
        <v>9016.8000000000011</v>
      </c>
      <c r="CL76" s="110">
        <v>6</v>
      </c>
      <c r="CM76" s="110">
        <v>4161.6000000000004</v>
      </c>
      <c r="CN76" s="110">
        <v>3</v>
      </c>
      <c r="CO76" s="110">
        <v>2080.8000000000002</v>
      </c>
      <c r="CP76" s="110">
        <v>3.1367956770762722</v>
      </c>
      <c r="CQ76" s="110">
        <v>2175.6814816201027</v>
      </c>
      <c r="CR76" s="110">
        <v>4</v>
      </c>
      <c r="CS76" s="110">
        <v>2774.4</v>
      </c>
      <c r="CT76" s="110">
        <v>4.5135793463123548</v>
      </c>
      <c r="CU76" s="110">
        <v>3130.6186346022496</v>
      </c>
    </row>
    <row r="77" spans="2:99" x14ac:dyDescent="0.2">
      <c r="C77" s="109" t="s">
        <v>245</v>
      </c>
      <c r="D77" s="110">
        <v>1.9530847490001506</v>
      </c>
      <c r="E77" s="110">
        <v>1877.3050607389446</v>
      </c>
      <c r="F77" s="110">
        <v>2.2080018117633156</v>
      </c>
      <c r="G77" s="110">
        <v>2122.3313414668987</v>
      </c>
      <c r="H77" s="110">
        <v>1</v>
      </c>
      <c r="I77" s="110">
        <v>961.19999999999993</v>
      </c>
      <c r="J77" s="110">
        <v>2.3743959825247019</v>
      </c>
      <c r="K77" s="110">
        <v>2282.2694184027432</v>
      </c>
      <c r="L77" s="110">
        <v>12.847851061459979</v>
      </c>
      <c r="M77" s="110">
        <v>12349.35444027533</v>
      </c>
      <c r="N77" s="110">
        <v>8.5174906188522108</v>
      </c>
      <c r="O77" s="110">
        <v>8187.0119828407442</v>
      </c>
      <c r="P77" s="110">
        <v>16.498348038506013</v>
      </c>
      <c r="Q77" s="110">
        <v>15858.212134611978</v>
      </c>
      <c r="R77" s="110">
        <v>11.712061453192796</v>
      </c>
      <c r="S77" s="110">
        <v>11257.633468808914</v>
      </c>
      <c r="T77" s="110">
        <v>5.5840281764951012</v>
      </c>
      <c r="U77" s="110">
        <v>5367.3678832470905</v>
      </c>
      <c r="V77" s="110">
        <v>7</v>
      </c>
      <c r="W77" s="110">
        <v>6728.4</v>
      </c>
      <c r="X77" s="110">
        <v>6</v>
      </c>
      <c r="Y77" s="110">
        <v>5767.2</v>
      </c>
      <c r="Z77" s="110">
        <v>6</v>
      </c>
      <c r="AA77" s="110">
        <v>5767.2</v>
      </c>
      <c r="AB77" s="110">
        <v>10</v>
      </c>
      <c r="AC77" s="110">
        <v>9612</v>
      </c>
      <c r="AD77" s="110">
        <v>9.4949948403058073</v>
      </c>
      <c r="AE77" s="110">
        <v>9126.5890405019418</v>
      </c>
      <c r="AF77" s="110">
        <v>8</v>
      </c>
      <c r="AG77" s="110">
        <v>7689.5999999999995</v>
      </c>
      <c r="AH77" s="110">
        <v>6.6543352622037499</v>
      </c>
      <c r="AI77" s="110">
        <v>6396.1470540302444</v>
      </c>
      <c r="AJ77" s="110">
        <v>5.3459833156530099</v>
      </c>
      <c r="AK77" s="110">
        <v>5138.5591630056724</v>
      </c>
      <c r="AL77" s="110">
        <v>5</v>
      </c>
      <c r="AM77" s="110">
        <v>4806</v>
      </c>
      <c r="AN77" s="110">
        <v>3</v>
      </c>
      <c r="AO77" s="110">
        <v>2883.6</v>
      </c>
      <c r="AP77" s="110">
        <v>6</v>
      </c>
      <c r="AQ77" s="110">
        <v>5767.2</v>
      </c>
      <c r="AR77" s="110">
        <v>2</v>
      </c>
      <c r="AS77" s="110">
        <v>1922.3999999999999</v>
      </c>
      <c r="AT77" s="110">
        <v>2.3263622123167913</v>
      </c>
      <c r="AU77" s="110">
        <v>2236.0993584788998</v>
      </c>
      <c r="AV77" s="110">
        <v>2.3766589074317301</v>
      </c>
      <c r="AW77" s="110">
        <v>2284.444541823379</v>
      </c>
      <c r="AX77" s="110">
        <v>1</v>
      </c>
      <c r="AY77" s="110">
        <v>961.19999999999993</v>
      </c>
      <c r="AZ77" s="110">
        <v>10</v>
      </c>
      <c r="BA77" s="110">
        <v>9612</v>
      </c>
      <c r="BB77" s="110">
        <v>12</v>
      </c>
      <c r="BC77" s="110">
        <v>11534.4</v>
      </c>
      <c r="BD77" s="110">
        <v>9</v>
      </c>
      <c r="BE77" s="110">
        <v>8650.7999999999993</v>
      </c>
      <c r="BF77" s="110">
        <v>7.3920265358953978</v>
      </c>
      <c r="BG77" s="110">
        <v>7105.2159063026556</v>
      </c>
      <c r="BH77" s="110">
        <v>5.6176220586373073</v>
      </c>
      <c r="BI77" s="110">
        <v>5399.6583227621795</v>
      </c>
      <c r="BJ77" s="110">
        <v>6.5147428694171499</v>
      </c>
      <c r="BK77" s="110">
        <v>6261.9708460837637</v>
      </c>
      <c r="BL77" s="110">
        <v>3.4201493495524167</v>
      </c>
      <c r="BM77" s="110">
        <v>3287.4475547897828</v>
      </c>
      <c r="BN77" s="110">
        <v>7.3482226595879681</v>
      </c>
      <c r="BO77" s="110">
        <v>7063.1116203959546</v>
      </c>
      <c r="BP77" s="110">
        <v>5.1857096507011029</v>
      </c>
      <c r="BQ77" s="110">
        <v>4984.5041162539001</v>
      </c>
      <c r="BR77" s="110">
        <v>5.1889979740065542</v>
      </c>
      <c r="BS77" s="110">
        <v>4987.6648526150993</v>
      </c>
      <c r="BT77" s="110">
        <v>3</v>
      </c>
      <c r="BU77" s="110">
        <v>2883.6</v>
      </c>
      <c r="BV77" s="110">
        <v>5</v>
      </c>
      <c r="BW77" s="110">
        <v>4806</v>
      </c>
      <c r="BX77" s="110">
        <v>4</v>
      </c>
      <c r="BY77" s="110">
        <v>3844.7999999999997</v>
      </c>
      <c r="BZ77" s="110">
        <v>4</v>
      </c>
      <c r="CA77" s="110">
        <v>3844.7999999999997</v>
      </c>
      <c r="CB77" s="110">
        <v>5</v>
      </c>
      <c r="CC77" s="110">
        <v>4806</v>
      </c>
      <c r="CD77" s="110">
        <v>4.3590665327891456</v>
      </c>
      <c r="CE77" s="110">
        <v>4189.9347513169268</v>
      </c>
      <c r="CF77" s="110">
        <v>12</v>
      </c>
      <c r="CG77" s="110">
        <v>11534.4</v>
      </c>
      <c r="CH77" s="110">
        <v>7.1451261709905003</v>
      </c>
      <c r="CI77" s="110">
        <v>6867.8952755560686</v>
      </c>
      <c r="CJ77" s="110">
        <v>13</v>
      </c>
      <c r="CK77" s="110">
        <v>12495.599999999999</v>
      </c>
      <c r="CL77" s="110">
        <v>7</v>
      </c>
      <c r="CM77" s="110">
        <v>6728.4</v>
      </c>
      <c r="CN77" s="110">
        <v>3</v>
      </c>
      <c r="CO77" s="110">
        <v>2883.6</v>
      </c>
      <c r="CP77" s="110">
        <v>3.1459153888813569</v>
      </c>
      <c r="CQ77" s="110">
        <v>3023.8538717927599</v>
      </c>
      <c r="CR77" s="110">
        <v>4</v>
      </c>
      <c r="CS77" s="110">
        <v>3844.7999999999997</v>
      </c>
      <c r="CT77" s="110">
        <v>5</v>
      </c>
      <c r="CU77" s="110">
        <v>4806</v>
      </c>
    </row>
    <row r="78" spans="2:99" x14ac:dyDescent="0.2">
      <c r="C78" s="109" t="s">
        <v>246</v>
      </c>
      <c r="D78" s="110">
        <v>1.9530847490001506</v>
      </c>
      <c r="E78" s="110">
        <v>850.76371666446551</v>
      </c>
      <c r="F78" s="110">
        <v>2.2333443121646508</v>
      </c>
      <c r="G78" s="110">
        <v>972.84478237892176</v>
      </c>
      <c r="H78" s="110">
        <v>1</v>
      </c>
      <c r="I78" s="110">
        <v>435.59999999999997</v>
      </c>
      <c r="J78" s="110">
        <v>2.3743959825247019</v>
      </c>
      <c r="K78" s="110">
        <v>1034.2868899877601</v>
      </c>
      <c r="L78" s="110">
        <v>13.847851061459979</v>
      </c>
      <c r="M78" s="110">
        <v>6032.1239223719667</v>
      </c>
      <c r="N78" s="110">
        <v>9.6449749395534496</v>
      </c>
      <c r="O78" s="110">
        <v>4201.3510836694823</v>
      </c>
      <c r="P78" s="110">
        <v>16.498348038506013</v>
      </c>
      <c r="Q78" s="110">
        <v>7186.6804055732182</v>
      </c>
      <c r="R78" s="110">
        <v>12.852601148804775</v>
      </c>
      <c r="S78" s="110">
        <v>5598.5930604193591</v>
      </c>
      <c r="T78" s="110">
        <v>6.5917104811584011</v>
      </c>
      <c r="U78" s="110">
        <v>2871.3490855925993</v>
      </c>
      <c r="V78" s="110">
        <v>6</v>
      </c>
      <c r="W78" s="110">
        <v>2613.6</v>
      </c>
      <c r="X78" s="110">
        <v>6</v>
      </c>
      <c r="Y78" s="110">
        <v>2613.6</v>
      </c>
      <c r="Z78" s="110">
        <v>6</v>
      </c>
      <c r="AA78" s="110">
        <v>2613.6</v>
      </c>
      <c r="AB78" s="110">
        <v>11</v>
      </c>
      <c r="AC78" s="110">
        <v>4791.5999999999995</v>
      </c>
      <c r="AD78" s="110">
        <v>9.4949948403058073</v>
      </c>
      <c r="AE78" s="110">
        <v>4136.0197524372097</v>
      </c>
      <c r="AF78" s="110">
        <v>9</v>
      </c>
      <c r="AG78" s="110">
        <v>3920.3999999999996</v>
      </c>
      <c r="AH78" s="110">
        <v>8.6543352622037499</v>
      </c>
      <c r="AI78" s="110">
        <v>3769.8284402159534</v>
      </c>
      <c r="AJ78" s="110">
        <v>5.6587810910734113</v>
      </c>
      <c r="AK78" s="110">
        <v>2464.965043271578</v>
      </c>
      <c r="AL78" s="110">
        <v>5</v>
      </c>
      <c r="AM78" s="110">
        <v>2178</v>
      </c>
      <c r="AN78" s="110">
        <v>4</v>
      </c>
      <c r="AO78" s="110">
        <v>1742.3999999999999</v>
      </c>
      <c r="AP78" s="110">
        <v>6</v>
      </c>
      <c r="AQ78" s="110">
        <v>2613.6</v>
      </c>
      <c r="AR78" s="110">
        <v>1</v>
      </c>
      <c r="AS78" s="110">
        <v>435.59999999999997</v>
      </c>
      <c r="AT78" s="110">
        <v>2.2797390391286783</v>
      </c>
      <c r="AU78" s="110">
        <v>993.05432544445216</v>
      </c>
      <c r="AV78" s="110">
        <v>2.3766589074317301</v>
      </c>
      <c r="AW78" s="110">
        <v>1035.2726200772615</v>
      </c>
      <c r="AX78" s="110">
        <v>1</v>
      </c>
      <c r="AY78" s="110">
        <v>435.59999999999997</v>
      </c>
      <c r="AZ78" s="110">
        <v>10</v>
      </c>
      <c r="BA78" s="110">
        <v>4356</v>
      </c>
      <c r="BB78" s="110">
        <v>12</v>
      </c>
      <c r="BC78" s="110">
        <v>5227.2</v>
      </c>
      <c r="BD78" s="110">
        <v>12</v>
      </c>
      <c r="BE78" s="110">
        <v>5227.2</v>
      </c>
      <c r="BF78" s="110">
        <v>7.3920265358953978</v>
      </c>
      <c r="BG78" s="110">
        <v>3219.966759036035</v>
      </c>
      <c r="BH78" s="110">
        <v>6.6239234377531053</v>
      </c>
      <c r="BI78" s="110">
        <v>2885.3810494852523</v>
      </c>
      <c r="BJ78" s="110">
        <v>7.3431619129447663</v>
      </c>
      <c r="BK78" s="110">
        <v>3198.6813292787401</v>
      </c>
      <c r="BL78" s="110">
        <v>4.4201493495524167</v>
      </c>
      <c r="BM78" s="110">
        <v>1925.4170566650325</v>
      </c>
      <c r="BN78" s="110">
        <v>7.5223339893819521</v>
      </c>
      <c r="BO78" s="110">
        <v>3276.7286857747781</v>
      </c>
      <c r="BP78" s="110">
        <v>5.3550967436584029</v>
      </c>
      <c r="BQ78" s="110">
        <v>2332.6801415376003</v>
      </c>
      <c r="BR78" s="110">
        <v>4.1889979740065542</v>
      </c>
      <c r="BS78" s="110">
        <v>1824.7275174772549</v>
      </c>
      <c r="BT78" s="110">
        <v>4</v>
      </c>
      <c r="BU78" s="110">
        <v>1742.3999999999999</v>
      </c>
      <c r="BV78" s="110">
        <v>6.3898732791232282</v>
      </c>
      <c r="BW78" s="110">
        <v>2783.4288003860779</v>
      </c>
      <c r="BX78" s="110">
        <v>4</v>
      </c>
      <c r="BY78" s="110">
        <v>1742.3999999999999</v>
      </c>
      <c r="BZ78" s="110">
        <v>4</v>
      </c>
      <c r="CA78" s="110">
        <v>1742.3999999999999</v>
      </c>
      <c r="CB78" s="110">
        <v>5</v>
      </c>
      <c r="CC78" s="110">
        <v>2178</v>
      </c>
      <c r="CD78" s="110">
        <v>4.4013096542937502</v>
      </c>
      <c r="CE78" s="110">
        <v>1917.2104854103575</v>
      </c>
      <c r="CF78" s="110">
        <v>13</v>
      </c>
      <c r="CG78" s="110">
        <v>5662.7999999999993</v>
      </c>
      <c r="CH78" s="110">
        <v>7.1583194592623638</v>
      </c>
      <c r="CI78" s="110">
        <v>3118.1639564546854</v>
      </c>
      <c r="CJ78" s="110">
        <v>15</v>
      </c>
      <c r="CK78" s="110">
        <v>6533.9999999999991</v>
      </c>
      <c r="CL78" s="110">
        <v>7</v>
      </c>
      <c r="CM78" s="110">
        <v>3049.2</v>
      </c>
      <c r="CN78" s="110">
        <v>3</v>
      </c>
      <c r="CO78" s="110">
        <v>1306.8</v>
      </c>
      <c r="CP78" s="110">
        <v>3.1459153888813569</v>
      </c>
      <c r="CQ78" s="110">
        <v>1370.360743396719</v>
      </c>
      <c r="CR78" s="110">
        <v>4</v>
      </c>
      <c r="CS78" s="110">
        <v>1742.3999999999999</v>
      </c>
      <c r="CT78" s="110">
        <v>5</v>
      </c>
      <c r="CU78" s="110">
        <v>2178</v>
      </c>
    </row>
    <row r="79" spans="2:99" x14ac:dyDescent="0.2">
      <c r="C79" s="109" t="s">
        <v>247</v>
      </c>
      <c r="D79" s="110">
        <v>1.9530847490001506</v>
      </c>
      <c r="E79" s="110">
        <v>63.27994586760488</v>
      </c>
      <c r="F79" s="110">
        <v>2.25763445085546</v>
      </c>
      <c r="G79" s="110">
        <v>73.147356207716896</v>
      </c>
      <c r="H79" s="110">
        <v>1</v>
      </c>
      <c r="I79" s="110">
        <v>32.4</v>
      </c>
      <c r="J79" s="110">
        <v>2.4211954803402898</v>
      </c>
      <c r="K79" s="110">
        <v>78.44673356302539</v>
      </c>
      <c r="L79" s="110">
        <v>14.847851061459979</v>
      </c>
      <c r="M79" s="110">
        <v>481.07037439130329</v>
      </c>
      <c r="N79" s="110">
        <v>10.643464272343998</v>
      </c>
      <c r="O79" s="110">
        <v>344.84824242394552</v>
      </c>
      <c r="P79" s="110">
        <v>17.498348038506013</v>
      </c>
      <c r="Q79" s="110">
        <v>566.94647644759482</v>
      </c>
      <c r="R79" s="110">
        <v>13.713934048219373</v>
      </c>
      <c r="S79" s="110">
        <v>444.33146316230767</v>
      </c>
      <c r="T79" s="110">
        <v>6.6070750904850026</v>
      </c>
      <c r="U79" s="110">
        <v>214.06923293171408</v>
      </c>
      <c r="V79" s="110">
        <v>8</v>
      </c>
      <c r="W79" s="110">
        <v>259.2</v>
      </c>
      <c r="X79" s="110">
        <v>7</v>
      </c>
      <c r="Y79" s="110">
        <v>226.79999999999998</v>
      </c>
      <c r="Z79" s="110">
        <v>6</v>
      </c>
      <c r="AA79" s="110">
        <v>194.39999999999998</v>
      </c>
      <c r="AB79" s="110">
        <v>12</v>
      </c>
      <c r="AC79" s="110">
        <v>388.79999999999995</v>
      </c>
      <c r="AD79" s="110">
        <v>9.4949948403058073</v>
      </c>
      <c r="AE79" s="110">
        <v>307.63783282590816</v>
      </c>
      <c r="AF79" s="110">
        <v>9</v>
      </c>
      <c r="AG79" s="110">
        <v>291.59999999999997</v>
      </c>
      <c r="AH79" s="110">
        <v>7.6543352622037499</v>
      </c>
      <c r="AI79" s="110">
        <v>248.00046249540148</v>
      </c>
      <c r="AJ79" s="110">
        <v>6.5023822033632106</v>
      </c>
      <c r="AK79" s="110">
        <v>210.67718338896802</v>
      </c>
      <c r="AL79" s="110">
        <v>5</v>
      </c>
      <c r="AM79" s="110">
        <v>162</v>
      </c>
      <c r="AN79" s="110">
        <v>4</v>
      </c>
      <c r="AO79" s="110">
        <v>129.6</v>
      </c>
      <c r="AP79" s="110">
        <v>7</v>
      </c>
      <c r="AQ79" s="110">
        <v>226.79999999999998</v>
      </c>
      <c r="AR79" s="110">
        <v>2</v>
      </c>
      <c r="AS79" s="110">
        <v>64.8</v>
      </c>
      <c r="AT79" s="110">
        <v>2</v>
      </c>
      <c r="AU79" s="110">
        <v>64.8</v>
      </c>
      <c r="AV79" s="110">
        <v>2.4603608868610034</v>
      </c>
      <c r="AW79" s="110">
        <v>79.71569273429651</v>
      </c>
      <c r="AX79" s="110">
        <v>1</v>
      </c>
      <c r="AY79" s="110">
        <v>32.4</v>
      </c>
      <c r="AZ79" s="110">
        <v>11</v>
      </c>
      <c r="BA79" s="110">
        <v>356.4</v>
      </c>
      <c r="BB79" s="110">
        <v>14</v>
      </c>
      <c r="BC79" s="110">
        <v>453.59999999999997</v>
      </c>
      <c r="BD79" s="110">
        <v>12</v>
      </c>
      <c r="BE79" s="110">
        <v>388.79999999999995</v>
      </c>
      <c r="BF79" s="110">
        <v>8.3920265358953969</v>
      </c>
      <c r="BG79" s="110">
        <v>271.90165976301085</v>
      </c>
      <c r="BH79" s="110">
        <v>6.6239234377531053</v>
      </c>
      <c r="BI79" s="110">
        <v>214.61511938320061</v>
      </c>
      <c r="BJ79" s="110">
        <v>7.5147428694171499</v>
      </c>
      <c r="BK79" s="110">
        <v>243.47766896911565</v>
      </c>
      <c r="BL79" s="110">
        <v>3.4234251148512227</v>
      </c>
      <c r="BM79" s="110">
        <v>110.91897372117961</v>
      </c>
      <c r="BN79" s="110">
        <v>7.5223339893819521</v>
      </c>
      <c r="BO79" s="110">
        <v>243.72362125597525</v>
      </c>
      <c r="BP79" s="110">
        <v>5.1857096507011029</v>
      </c>
      <c r="BQ79" s="110">
        <v>168.01699268271574</v>
      </c>
      <c r="BR79" s="110">
        <v>4.2126227207573734</v>
      </c>
      <c r="BS79" s="110">
        <v>136.4889761525389</v>
      </c>
      <c r="BT79" s="110">
        <v>4</v>
      </c>
      <c r="BU79" s="110">
        <v>129.6</v>
      </c>
      <c r="BV79" s="110">
        <v>6.3898732791232282</v>
      </c>
      <c r="BW79" s="110">
        <v>207.03189424359257</v>
      </c>
      <c r="BX79" s="110">
        <v>5</v>
      </c>
      <c r="BY79" s="110">
        <v>162</v>
      </c>
      <c r="BZ79" s="110">
        <v>5</v>
      </c>
      <c r="CA79" s="110">
        <v>162</v>
      </c>
      <c r="CB79" s="110">
        <v>5</v>
      </c>
      <c r="CC79" s="110">
        <v>162</v>
      </c>
      <c r="CD79" s="110">
        <v>5.4435527757983557</v>
      </c>
      <c r="CE79" s="110">
        <v>176.37110993586671</v>
      </c>
      <c r="CF79" s="110">
        <v>12</v>
      </c>
      <c r="CG79" s="110">
        <v>388.79999999999995</v>
      </c>
      <c r="CH79" s="110">
        <v>8.1715127475342282</v>
      </c>
      <c r="CI79" s="110">
        <v>264.75701302010896</v>
      </c>
      <c r="CJ79" s="110">
        <v>14</v>
      </c>
      <c r="CK79" s="110">
        <v>453.59999999999997</v>
      </c>
      <c r="CL79" s="110">
        <v>7</v>
      </c>
      <c r="CM79" s="110">
        <v>226.79999999999998</v>
      </c>
      <c r="CN79" s="110">
        <v>3</v>
      </c>
      <c r="CO79" s="110">
        <v>97.199999999999989</v>
      </c>
      <c r="CP79" s="110">
        <v>3.1641548124915264</v>
      </c>
      <c r="CQ79" s="110">
        <v>102.51861592472545</v>
      </c>
      <c r="CR79" s="110">
        <v>5</v>
      </c>
      <c r="CS79" s="110">
        <v>162</v>
      </c>
      <c r="CT79" s="110">
        <v>5</v>
      </c>
      <c r="CU79" s="110">
        <v>162</v>
      </c>
    </row>
    <row r="80" spans="2:99" x14ac:dyDescent="0.2">
      <c r="C80" s="109" t="s">
        <v>248</v>
      </c>
      <c r="D80" s="110">
        <v>1.9530847490001506</v>
      </c>
      <c r="E80" s="110">
        <v>942.16808291767256</v>
      </c>
      <c r="F80" s="110">
        <v>2.25763445085546</v>
      </c>
      <c r="G80" s="110">
        <v>1089.0828590926737</v>
      </c>
      <c r="H80" s="110">
        <v>1</v>
      </c>
      <c r="I80" s="110">
        <v>482.4</v>
      </c>
      <c r="J80" s="110">
        <v>2.4679949781558772</v>
      </c>
      <c r="K80" s="110">
        <v>1190.5607774623952</v>
      </c>
      <c r="L80" s="110">
        <v>13.017421273751975</v>
      </c>
      <c r="M80" s="110">
        <v>6279.6040224579519</v>
      </c>
      <c r="N80" s="110">
        <v>9.6449749395534496</v>
      </c>
      <c r="O80" s="110">
        <v>4652.7359108405835</v>
      </c>
      <c r="P80" s="110">
        <v>17.498348038506013</v>
      </c>
      <c r="Q80" s="110">
        <v>8441.2030937753007</v>
      </c>
      <c r="R80" s="110">
        <v>11.713934048219373</v>
      </c>
      <c r="S80" s="110">
        <v>5650.8017848610252</v>
      </c>
      <c r="T80" s="110">
        <v>5.5993927858217019</v>
      </c>
      <c r="U80" s="110">
        <v>2701.1470798803889</v>
      </c>
      <c r="V80" s="110">
        <v>7</v>
      </c>
      <c r="W80" s="110">
        <v>3376.7999999999997</v>
      </c>
      <c r="X80" s="110">
        <v>7</v>
      </c>
      <c r="Y80" s="110">
        <v>3376.7999999999997</v>
      </c>
      <c r="Z80" s="110">
        <v>6</v>
      </c>
      <c r="AA80" s="110">
        <v>2894.3999999999996</v>
      </c>
      <c r="AB80" s="110">
        <v>12</v>
      </c>
      <c r="AC80" s="110">
        <v>5788.7999999999993</v>
      </c>
      <c r="AD80" s="110">
        <v>9.4949948403058073</v>
      </c>
      <c r="AE80" s="110">
        <v>4580.3855109635215</v>
      </c>
      <c r="AF80" s="110">
        <v>9</v>
      </c>
      <c r="AG80" s="110">
        <v>4341.5999999999995</v>
      </c>
      <c r="AH80" s="110">
        <v>6.6543352622037499</v>
      </c>
      <c r="AI80" s="110">
        <v>3210.0513304870888</v>
      </c>
      <c r="AJ80" s="110">
        <v>5.6587810910734113</v>
      </c>
      <c r="AK80" s="110">
        <v>2729.7959983338137</v>
      </c>
      <c r="AL80" s="110">
        <v>5</v>
      </c>
      <c r="AM80" s="110">
        <v>2412</v>
      </c>
      <c r="AN80" s="110">
        <v>4</v>
      </c>
      <c r="AO80" s="110">
        <v>1929.6</v>
      </c>
      <c r="AP80" s="110">
        <v>6</v>
      </c>
      <c r="AQ80" s="110">
        <v>2894.3999999999996</v>
      </c>
      <c r="AR80" s="110">
        <v>1</v>
      </c>
      <c r="AS80" s="110">
        <v>482.4</v>
      </c>
      <c r="AT80" s="110">
        <v>2.3263622123167913</v>
      </c>
      <c r="AU80" s="110">
        <v>1122.2371312216201</v>
      </c>
      <c r="AV80" s="110">
        <v>2.4603608868610034</v>
      </c>
      <c r="AW80" s="110">
        <v>1186.8780918217481</v>
      </c>
      <c r="AX80" s="110">
        <v>2</v>
      </c>
      <c r="AY80" s="110">
        <v>964.8</v>
      </c>
      <c r="AZ80" s="110">
        <v>11</v>
      </c>
      <c r="BA80" s="110">
        <v>5306.4</v>
      </c>
      <c r="BB80" s="110">
        <v>13</v>
      </c>
      <c r="BC80" s="110">
        <v>6271.2</v>
      </c>
      <c r="BD80" s="110">
        <v>11</v>
      </c>
      <c r="BE80" s="110">
        <v>5306.4</v>
      </c>
      <c r="BF80" s="110">
        <v>7.3618706485188286</v>
      </c>
      <c r="BG80" s="110">
        <v>3551.3664008454825</v>
      </c>
      <c r="BH80" s="110">
        <v>5.6239234377531053</v>
      </c>
      <c r="BI80" s="110">
        <v>2712.9806663720979</v>
      </c>
      <c r="BJ80" s="110">
        <v>7.5147428694171499</v>
      </c>
      <c r="BK80" s="110">
        <v>3625.1119602068329</v>
      </c>
      <c r="BL80" s="110">
        <v>4.2866510969658895</v>
      </c>
      <c r="BM80" s="110">
        <v>2067.8804891763452</v>
      </c>
      <c r="BN80" s="110">
        <v>7.5223339893819521</v>
      </c>
      <c r="BO80" s="110">
        <v>3628.7739164778536</v>
      </c>
      <c r="BP80" s="110">
        <v>5.1857096507011029</v>
      </c>
      <c r="BQ80" s="110">
        <v>2501.5863354982121</v>
      </c>
      <c r="BR80" s="110">
        <v>4.2126227207573734</v>
      </c>
      <c r="BS80" s="110">
        <v>2032.1692004933568</v>
      </c>
      <c r="BT80" s="110">
        <v>3</v>
      </c>
      <c r="BU80" s="110">
        <v>1447.1999999999998</v>
      </c>
      <c r="BV80" s="110">
        <v>6.3898732791232282</v>
      </c>
      <c r="BW80" s="110">
        <v>3082.4748698490453</v>
      </c>
      <c r="BX80" s="110">
        <v>4</v>
      </c>
      <c r="BY80" s="110">
        <v>1929.6</v>
      </c>
      <c r="BZ80" s="110">
        <v>4</v>
      </c>
      <c r="CA80" s="110">
        <v>1929.6</v>
      </c>
      <c r="CB80" s="110">
        <v>5</v>
      </c>
      <c r="CC80" s="110">
        <v>2412</v>
      </c>
      <c r="CD80" s="110">
        <v>5.4013096542937502</v>
      </c>
      <c r="CE80" s="110">
        <v>2605.5917772313051</v>
      </c>
      <c r="CF80" s="110">
        <v>13</v>
      </c>
      <c r="CG80" s="110">
        <v>6271.2</v>
      </c>
      <c r="CH80" s="110">
        <v>7.1583194592623638</v>
      </c>
      <c r="CI80" s="110">
        <v>3453.173307148164</v>
      </c>
      <c r="CJ80" s="110">
        <v>12</v>
      </c>
      <c r="CK80" s="110">
        <v>5788.7999999999993</v>
      </c>
      <c r="CL80" s="110">
        <v>7</v>
      </c>
      <c r="CM80" s="110">
        <v>3376.7999999999997</v>
      </c>
      <c r="CN80" s="110">
        <v>3</v>
      </c>
      <c r="CO80" s="110">
        <v>1447.1999999999998</v>
      </c>
      <c r="CP80" s="110">
        <v>3.1367956770762722</v>
      </c>
      <c r="CQ80" s="110">
        <v>1513.1902346215936</v>
      </c>
      <c r="CR80" s="110">
        <v>4</v>
      </c>
      <c r="CS80" s="110">
        <v>1929.6</v>
      </c>
      <c r="CT80" s="110">
        <v>4.5135793463123548</v>
      </c>
      <c r="CU80" s="110">
        <v>2177.3506766610799</v>
      </c>
    </row>
    <row r="81" spans="2:99" x14ac:dyDescent="0.2">
      <c r="C81" s="109" t="s">
        <v>249</v>
      </c>
      <c r="D81" s="110">
        <v>1.9530847490001506</v>
      </c>
      <c r="E81" s="110">
        <v>588.26912639884529</v>
      </c>
      <c r="F81" s="110">
        <v>2.2565820891449331</v>
      </c>
      <c r="G81" s="110">
        <v>679.68252525045386</v>
      </c>
      <c r="H81" s="110">
        <v>1</v>
      </c>
      <c r="I81" s="110">
        <v>301.2</v>
      </c>
      <c r="J81" s="110">
        <v>2.3743959825247019</v>
      </c>
      <c r="K81" s="110">
        <v>715.16806993644013</v>
      </c>
      <c r="L81" s="110">
        <v>13.847851061459979</v>
      </c>
      <c r="M81" s="110">
        <v>4170.9727397117458</v>
      </c>
      <c r="N81" s="110">
        <v>10.643464272343998</v>
      </c>
      <c r="O81" s="110">
        <v>3205.8114388300119</v>
      </c>
      <c r="P81" s="110">
        <v>18.498348038506013</v>
      </c>
      <c r="Q81" s="110">
        <v>5571.7024291980106</v>
      </c>
      <c r="R81" s="110">
        <v>13.713934048219373</v>
      </c>
      <c r="S81" s="110">
        <v>4130.6369353236751</v>
      </c>
      <c r="T81" s="110">
        <v>6.6147573951483025</v>
      </c>
      <c r="U81" s="110">
        <v>1992.3649274186687</v>
      </c>
      <c r="V81" s="110">
        <v>8</v>
      </c>
      <c r="W81" s="110">
        <v>2409.6</v>
      </c>
      <c r="X81" s="110">
        <v>6</v>
      </c>
      <c r="Y81" s="110">
        <v>1807.1999999999998</v>
      </c>
      <c r="Z81" s="110">
        <v>6</v>
      </c>
      <c r="AA81" s="110">
        <v>1807.1999999999998</v>
      </c>
      <c r="AB81" s="110">
        <v>10</v>
      </c>
      <c r="AC81" s="110">
        <v>3012</v>
      </c>
      <c r="AD81" s="110">
        <v>9.4949948403058073</v>
      </c>
      <c r="AE81" s="110">
        <v>2859.8924459001091</v>
      </c>
      <c r="AF81" s="110">
        <v>9</v>
      </c>
      <c r="AG81" s="110">
        <v>2710.7999999999997</v>
      </c>
      <c r="AH81" s="110">
        <v>7.6543352622037499</v>
      </c>
      <c r="AI81" s="110">
        <v>2305.4857809757696</v>
      </c>
      <c r="AJ81" s="110">
        <v>5.6587810910734113</v>
      </c>
      <c r="AK81" s="110">
        <v>1704.4248646313115</v>
      </c>
      <c r="AL81" s="110">
        <v>5</v>
      </c>
      <c r="AM81" s="110">
        <v>1506</v>
      </c>
      <c r="AN81" s="110">
        <v>4</v>
      </c>
      <c r="AO81" s="110">
        <v>1204.8</v>
      </c>
      <c r="AP81" s="110">
        <v>6</v>
      </c>
      <c r="AQ81" s="110">
        <v>1807.1999999999998</v>
      </c>
      <c r="AR81" s="110">
        <v>1</v>
      </c>
      <c r="AS81" s="110">
        <v>301.2</v>
      </c>
      <c r="AT81" s="110">
        <v>3.3263622123167913</v>
      </c>
      <c r="AU81" s="110">
        <v>1001.9002983498175</v>
      </c>
      <c r="AV81" s="110">
        <v>2.4185098971463668</v>
      </c>
      <c r="AW81" s="110">
        <v>728.45518102048561</v>
      </c>
      <c r="AX81" s="110">
        <v>1</v>
      </c>
      <c r="AY81" s="110">
        <v>301.2</v>
      </c>
      <c r="AZ81" s="110">
        <v>11</v>
      </c>
      <c r="BA81" s="110">
        <v>3313.2</v>
      </c>
      <c r="BB81" s="110">
        <v>11</v>
      </c>
      <c r="BC81" s="110">
        <v>3313.2</v>
      </c>
      <c r="BD81" s="110">
        <v>11</v>
      </c>
      <c r="BE81" s="110">
        <v>3313.2</v>
      </c>
      <c r="BF81" s="110">
        <v>8.3920265358953969</v>
      </c>
      <c r="BG81" s="110">
        <v>2527.6783926116937</v>
      </c>
      <c r="BH81" s="110">
        <v>6.6176220586373073</v>
      </c>
      <c r="BI81" s="110">
        <v>1993.2277640615569</v>
      </c>
      <c r="BJ81" s="110">
        <v>6.3431619129447663</v>
      </c>
      <c r="BK81" s="110">
        <v>1910.5603681789635</v>
      </c>
      <c r="BL81" s="110">
        <v>3.4201493495524167</v>
      </c>
      <c r="BM81" s="110">
        <v>1030.148984085188</v>
      </c>
      <c r="BN81" s="110">
        <v>6.5223339893819521</v>
      </c>
      <c r="BO81" s="110">
        <v>1964.526997601844</v>
      </c>
      <c r="BP81" s="110">
        <v>5.1857096507011029</v>
      </c>
      <c r="BQ81" s="110">
        <v>1561.9357467911721</v>
      </c>
      <c r="BR81" s="110">
        <v>4</v>
      </c>
      <c r="BS81" s="110">
        <v>1204.8</v>
      </c>
      <c r="BT81" s="110">
        <v>3</v>
      </c>
      <c r="BU81" s="110">
        <v>903.59999999999991</v>
      </c>
      <c r="BV81" s="110">
        <v>6</v>
      </c>
      <c r="BW81" s="110">
        <v>1807.1999999999998</v>
      </c>
      <c r="BX81" s="110">
        <v>5</v>
      </c>
      <c r="BY81" s="110">
        <v>1506</v>
      </c>
      <c r="BZ81" s="110">
        <v>4</v>
      </c>
      <c r="CA81" s="110">
        <v>1204.8</v>
      </c>
      <c r="CB81" s="110">
        <v>5</v>
      </c>
      <c r="CC81" s="110">
        <v>1506</v>
      </c>
      <c r="CD81" s="110">
        <v>4.3801880935414479</v>
      </c>
      <c r="CE81" s="110">
        <v>1319.3126537746841</v>
      </c>
      <c r="CF81" s="110">
        <v>14</v>
      </c>
      <c r="CG81" s="110">
        <v>4216.8</v>
      </c>
      <c r="CH81" s="110">
        <v>7.1715127475342273</v>
      </c>
      <c r="CI81" s="110">
        <v>2160.0596395573093</v>
      </c>
      <c r="CJ81" s="110">
        <v>13</v>
      </c>
      <c r="CK81" s="110">
        <v>3915.6</v>
      </c>
      <c r="CL81" s="110">
        <v>7</v>
      </c>
      <c r="CM81" s="110">
        <v>2108.4</v>
      </c>
      <c r="CN81" s="110">
        <v>3</v>
      </c>
      <c r="CO81" s="110">
        <v>903.59999999999991</v>
      </c>
      <c r="CP81" s="110">
        <v>2.1550351006864417</v>
      </c>
      <c r="CQ81" s="110">
        <v>649.09657232675625</v>
      </c>
      <c r="CR81" s="110">
        <v>4</v>
      </c>
      <c r="CS81" s="110">
        <v>1204.8</v>
      </c>
      <c r="CT81" s="110">
        <v>5.4814806371678326</v>
      </c>
      <c r="CU81" s="110">
        <v>1651.0219679149511</v>
      </c>
    </row>
    <row r="82" spans="2:99" x14ac:dyDescent="0.2">
      <c r="C82" s="109" t="s">
        <v>250</v>
      </c>
      <c r="D82" s="110">
        <v>1.9530847490001506</v>
      </c>
      <c r="E82" s="110">
        <v>1603.0919619793235</v>
      </c>
      <c r="F82" s="110">
        <v>2.2565820891449331</v>
      </c>
      <c r="G82" s="110">
        <v>1852.2025787701609</v>
      </c>
      <c r="H82" s="110">
        <v>1</v>
      </c>
      <c r="I82" s="110">
        <v>820.8</v>
      </c>
      <c r="J82" s="110">
        <v>2.4211954803402898</v>
      </c>
      <c r="K82" s="110">
        <v>1987.3172502633097</v>
      </c>
      <c r="L82" s="110">
        <v>13.847851061459979</v>
      </c>
      <c r="M82" s="110">
        <v>11366.31615124635</v>
      </c>
      <c r="N82" s="110">
        <v>10.643464272343998</v>
      </c>
      <c r="O82" s="110">
        <v>8736.1554747399532</v>
      </c>
      <c r="P82" s="110">
        <v>15.498348038506013</v>
      </c>
      <c r="Q82" s="110">
        <v>12721.044070005735</v>
      </c>
      <c r="R82" s="110">
        <v>12.712061453192796</v>
      </c>
      <c r="S82" s="110">
        <v>10434.060040780647</v>
      </c>
      <c r="T82" s="110">
        <v>5.5917104811584011</v>
      </c>
      <c r="U82" s="110">
        <v>4589.6759629348153</v>
      </c>
      <c r="V82" s="110">
        <v>7</v>
      </c>
      <c r="W82" s="110">
        <v>5745.5999999999995</v>
      </c>
      <c r="X82" s="110">
        <v>6</v>
      </c>
      <c r="Y82" s="110">
        <v>4924.7999999999993</v>
      </c>
      <c r="Z82" s="110">
        <v>6</v>
      </c>
      <c r="AA82" s="110">
        <v>4924.7999999999993</v>
      </c>
      <c r="AB82" s="110">
        <v>11</v>
      </c>
      <c r="AC82" s="110">
        <v>9028.7999999999993</v>
      </c>
      <c r="AD82" s="110">
        <v>9.4949948403058073</v>
      </c>
      <c r="AE82" s="110">
        <v>7793.4917649230065</v>
      </c>
      <c r="AF82" s="110">
        <v>8</v>
      </c>
      <c r="AG82" s="110">
        <v>6566.4</v>
      </c>
      <c r="AH82" s="110">
        <v>6.6543352622037499</v>
      </c>
      <c r="AI82" s="110">
        <v>5461.8783832168374</v>
      </c>
      <c r="AJ82" s="110">
        <v>6.815179978783612</v>
      </c>
      <c r="AK82" s="110">
        <v>5593.8997265855887</v>
      </c>
      <c r="AL82" s="110">
        <v>5</v>
      </c>
      <c r="AM82" s="110">
        <v>4104</v>
      </c>
      <c r="AN82" s="110">
        <v>4</v>
      </c>
      <c r="AO82" s="110">
        <v>3283.2</v>
      </c>
      <c r="AP82" s="110">
        <v>6</v>
      </c>
      <c r="AQ82" s="110">
        <v>4924.7999999999993</v>
      </c>
      <c r="AR82" s="110">
        <v>1</v>
      </c>
      <c r="AS82" s="110">
        <v>820.8</v>
      </c>
      <c r="AT82" s="110">
        <v>2.3263622123167913</v>
      </c>
      <c r="AU82" s="110">
        <v>1909.4781038696221</v>
      </c>
      <c r="AV82" s="110">
        <v>2.3766589074317301</v>
      </c>
      <c r="AW82" s="110">
        <v>1950.7616312199641</v>
      </c>
      <c r="AX82" s="110">
        <v>1</v>
      </c>
      <c r="AY82" s="110">
        <v>820.8</v>
      </c>
      <c r="AZ82" s="110">
        <v>11</v>
      </c>
      <c r="BA82" s="110">
        <v>9028.7999999999993</v>
      </c>
      <c r="BB82" s="110">
        <v>12</v>
      </c>
      <c r="BC82" s="110">
        <v>9849.5999999999985</v>
      </c>
      <c r="BD82" s="110">
        <v>11</v>
      </c>
      <c r="BE82" s="110">
        <v>9028.7999999999993</v>
      </c>
      <c r="BF82" s="110">
        <v>7.3618706485188286</v>
      </c>
      <c r="BG82" s="110">
        <v>6042.623428304254</v>
      </c>
      <c r="BH82" s="110">
        <v>6.6239234377531053</v>
      </c>
      <c r="BI82" s="110">
        <v>5436.9163577077488</v>
      </c>
      <c r="BJ82" s="110">
        <v>6.5147428694171499</v>
      </c>
      <c r="BK82" s="110">
        <v>5347.3009472175963</v>
      </c>
      <c r="BL82" s="110">
        <v>3.4201493495524167</v>
      </c>
      <c r="BM82" s="110">
        <v>2807.2585861126236</v>
      </c>
      <c r="BN82" s="110">
        <v>6.3482226595879681</v>
      </c>
      <c r="BO82" s="110">
        <v>5210.6211589898039</v>
      </c>
      <c r="BP82" s="110">
        <v>6.3550967436584029</v>
      </c>
      <c r="BQ82" s="110">
        <v>5216.2634071948169</v>
      </c>
      <c r="BR82" s="110">
        <v>4.1889979740065542</v>
      </c>
      <c r="BS82" s="110">
        <v>3438.3295370645797</v>
      </c>
      <c r="BT82" s="110">
        <v>3</v>
      </c>
      <c r="BU82" s="110">
        <v>2462.3999999999996</v>
      </c>
      <c r="BV82" s="110">
        <v>6.4386074390136319</v>
      </c>
      <c r="BW82" s="110">
        <v>5284.808985942389</v>
      </c>
      <c r="BX82" s="110">
        <v>4</v>
      </c>
      <c r="BY82" s="110">
        <v>3283.2</v>
      </c>
      <c r="BZ82" s="110">
        <v>4</v>
      </c>
      <c r="CA82" s="110">
        <v>3283.2</v>
      </c>
      <c r="CB82" s="110">
        <v>5</v>
      </c>
      <c r="CC82" s="110">
        <v>4104</v>
      </c>
      <c r="CD82" s="110">
        <v>4.4224312150460534</v>
      </c>
      <c r="CE82" s="110">
        <v>3629.9315413098007</v>
      </c>
      <c r="CF82" s="110">
        <v>11</v>
      </c>
      <c r="CG82" s="110">
        <v>9028.7999999999993</v>
      </c>
      <c r="CH82" s="110">
        <v>6.1583194592623638</v>
      </c>
      <c r="CI82" s="110">
        <v>5054.7486121625479</v>
      </c>
      <c r="CJ82" s="110">
        <v>12</v>
      </c>
      <c r="CK82" s="110">
        <v>9849.5999999999985</v>
      </c>
      <c r="CL82" s="110">
        <v>7</v>
      </c>
      <c r="CM82" s="110">
        <v>5745.5999999999995</v>
      </c>
      <c r="CN82" s="110">
        <v>3</v>
      </c>
      <c r="CO82" s="110">
        <v>2462.3999999999996</v>
      </c>
      <c r="CP82" s="110">
        <v>3.1276759652711874</v>
      </c>
      <c r="CQ82" s="110">
        <v>2567.1964322945905</v>
      </c>
      <c r="CR82" s="110">
        <v>4</v>
      </c>
      <c r="CS82" s="110">
        <v>3283.2</v>
      </c>
      <c r="CT82" s="110">
        <v>4.5135793463123548</v>
      </c>
      <c r="CU82" s="110">
        <v>3704.7459274531807</v>
      </c>
    </row>
    <row r="83" spans="2:99" x14ac:dyDescent="0.2">
      <c r="C83" s="109" t="s">
        <v>251</v>
      </c>
      <c r="D83" s="110">
        <v>1.9530847490001506</v>
      </c>
      <c r="E83" s="110">
        <v>248.43238007281911</v>
      </c>
      <c r="F83" s="110">
        <v>2.2565820891449331</v>
      </c>
      <c r="G83" s="110">
        <v>287.03724173923541</v>
      </c>
      <c r="H83" s="110">
        <v>1</v>
      </c>
      <c r="I83" s="110">
        <v>127.19999999999997</v>
      </c>
      <c r="J83" s="110">
        <v>2.4679949781558772</v>
      </c>
      <c r="K83" s="110">
        <v>313.92896122142753</v>
      </c>
      <c r="L83" s="110">
        <v>14.847851061459979</v>
      </c>
      <c r="M83" s="110">
        <v>1888.646655017709</v>
      </c>
      <c r="N83" s="110">
        <v>10.643464272343998</v>
      </c>
      <c r="O83" s="110">
        <v>1353.8486554421563</v>
      </c>
      <c r="P83" s="110">
        <v>18.498348038506013</v>
      </c>
      <c r="Q83" s="110">
        <v>2352.9898704979641</v>
      </c>
      <c r="R83" s="110">
        <v>13.854473743831354</v>
      </c>
      <c r="S83" s="110">
        <v>1762.2890602153479</v>
      </c>
      <c r="T83" s="110">
        <v>6.5993927858217019</v>
      </c>
      <c r="U83" s="110">
        <v>839.44276235652035</v>
      </c>
      <c r="V83" s="110">
        <v>7</v>
      </c>
      <c r="W83" s="110">
        <v>890.39999999999986</v>
      </c>
      <c r="X83" s="110">
        <v>6</v>
      </c>
      <c r="Y83" s="110">
        <v>763.19999999999982</v>
      </c>
      <c r="Z83" s="110">
        <v>7</v>
      </c>
      <c r="AA83" s="110">
        <v>890.39999999999986</v>
      </c>
      <c r="AB83" s="110">
        <v>10</v>
      </c>
      <c r="AC83" s="110">
        <v>1271.9999999999998</v>
      </c>
      <c r="AD83" s="110">
        <v>10.494994840305807</v>
      </c>
      <c r="AE83" s="110">
        <v>1334.9633436868985</v>
      </c>
      <c r="AF83" s="110">
        <v>10</v>
      </c>
      <c r="AG83" s="110">
        <v>1271.9999999999998</v>
      </c>
      <c r="AH83" s="110">
        <v>7.6543352622037499</v>
      </c>
      <c r="AI83" s="110">
        <v>973.63144535231675</v>
      </c>
      <c r="AJ83" s="110">
        <v>6.5023822033632106</v>
      </c>
      <c r="AK83" s="110">
        <v>827.10301626780017</v>
      </c>
      <c r="AL83" s="110">
        <v>5</v>
      </c>
      <c r="AM83" s="110">
        <v>635.99999999999989</v>
      </c>
      <c r="AN83" s="110">
        <v>4</v>
      </c>
      <c r="AO83" s="110">
        <v>508.7999999999999</v>
      </c>
      <c r="AP83" s="110">
        <v>6</v>
      </c>
      <c r="AQ83" s="110">
        <v>763.19999999999982</v>
      </c>
      <c r="AR83" s="110">
        <v>2</v>
      </c>
      <c r="AS83" s="110">
        <v>254.39999999999995</v>
      </c>
      <c r="AT83" s="110">
        <v>2.3263622123167913</v>
      </c>
      <c r="AU83" s="110">
        <v>295.91327340669579</v>
      </c>
      <c r="AV83" s="110">
        <v>2.4185098971463668</v>
      </c>
      <c r="AW83" s="110">
        <v>307.63445891701781</v>
      </c>
      <c r="AX83" s="110">
        <v>1</v>
      </c>
      <c r="AY83" s="110">
        <v>127.19999999999997</v>
      </c>
      <c r="AZ83" s="110">
        <v>11</v>
      </c>
      <c r="BA83" s="110">
        <v>1399.1999999999998</v>
      </c>
      <c r="BB83" s="110">
        <v>14</v>
      </c>
      <c r="BC83" s="110">
        <v>1780.7999999999997</v>
      </c>
      <c r="BD83" s="110">
        <v>12</v>
      </c>
      <c r="BE83" s="110">
        <v>1526.3999999999996</v>
      </c>
      <c r="BF83" s="110">
        <v>7.3920265358953978</v>
      </c>
      <c r="BG83" s="110">
        <v>940.26577536589446</v>
      </c>
      <c r="BH83" s="110">
        <v>6.7720275732966346</v>
      </c>
      <c r="BI83" s="110">
        <v>861.40190732333178</v>
      </c>
      <c r="BJ83" s="110">
        <v>7.5147428694171499</v>
      </c>
      <c r="BK83" s="110">
        <v>955.87529298986124</v>
      </c>
      <c r="BL83" s="110">
        <v>4.4201493495524167</v>
      </c>
      <c r="BM83" s="110">
        <v>562.24299726306731</v>
      </c>
      <c r="BN83" s="110">
        <v>6.5223339893819521</v>
      </c>
      <c r="BO83" s="110">
        <v>829.64088344938409</v>
      </c>
      <c r="BP83" s="110">
        <v>6.1857096507011029</v>
      </c>
      <c r="BQ83" s="110">
        <v>786.8222675691801</v>
      </c>
      <c r="BR83" s="110">
        <v>5.2126227207573734</v>
      </c>
      <c r="BS83" s="110">
        <v>663.04561008033772</v>
      </c>
      <c r="BT83" s="110">
        <v>3</v>
      </c>
      <c r="BU83" s="110">
        <v>381.59999999999991</v>
      </c>
      <c r="BV83" s="110">
        <v>6.4386074390136319</v>
      </c>
      <c r="BW83" s="110">
        <v>818.9908662425338</v>
      </c>
      <c r="BX83" s="110">
        <v>5</v>
      </c>
      <c r="BY83" s="110">
        <v>635.99999999999989</v>
      </c>
      <c r="BZ83" s="110">
        <v>4</v>
      </c>
      <c r="CA83" s="110">
        <v>508.7999999999999</v>
      </c>
      <c r="CB83" s="110">
        <v>5</v>
      </c>
      <c r="CC83" s="110">
        <v>635.99999999999989</v>
      </c>
      <c r="CD83" s="110">
        <v>4.4013096542937502</v>
      </c>
      <c r="CE83" s="110">
        <v>559.84658802616491</v>
      </c>
      <c r="CF83" s="110">
        <v>14</v>
      </c>
      <c r="CG83" s="110">
        <v>1780.7999999999997</v>
      </c>
      <c r="CH83" s="110">
        <v>8.1715127475342282</v>
      </c>
      <c r="CI83" s="110">
        <v>1039.4164214863536</v>
      </c>
      <c r="CJ83" s="110">
        <v>13</v>
      </c>
      <c r="CK83" s="110">
        <v>1653.5999999999997</v>
      </c>
      <c r="CL83" s="110">
        <v>8</v>
      </c>
      <c r="CM83" s="110">
        <v>1017.5999999999998</v>
      </c>
      <c r="CN83" s="110">
        <v>3</v>
      </c>
      <c r="CO83" s="110">
        <v>381.59999999999991</v>
      </c>
      <c r="CP83" s="110">
        <v>3.1550351006864417</v>
      </c>
      <c r="CQ83" s="110">
        <v>401.32046480731532</v>
      </c>
      <c r="CR83" s="110">
        <v>4</v>
      </c>
      <c r="CS83" s="110">
        <v>508.7999999999999</v>
      </c>
      <c r="CT83" s="110">
        <v>5.5135793463123548</v>
      </c>
      <c r="CU83" s="110">
        <v>701.32729285093137</v>
      </c>
    </row>
    <row r="84" spans="2:99" x14ac:dyDescent="0.2">
      <c r="C84" s="109" t="s">
        <v>252</v>
      </c>
      <c r="D84" s="110">
        <v>1.9530847490001506</v>
      </c>
      <c r="E84" s="110">
        <v>1734.3392571121337</v>
      </c>
      <c r="F84" s="110">
        <v>2.2312395887435978</v>
      </c>
      <c r="G84" s="110">
        <v>1981.3407548043149</v>
      </c>
      <c r="H84" s="110">
        <v>1</v>
      </c>
      <c r="I84" s="110">
        <v>888</v>
      </c>
      <c r="J84" s="110">
        <v>2.4211954803402898</v>
      </c>
      <c r="K84" s="110">
        <v>2150.0215865421774</v>
      </c>
      <c r="L84" s="110">
        <v>12.847851061459979</v>
      </c>
      <c r="M84" s="110">
        <v>11408.891742576461</v>
      </c>
      <c r="N84" s="110">
        <v>9.6434642723439978</v>
      </c>
      <c r="O84" s="110">
        <v>8563.3962738414702</v>
      </c>
      <c r="P84" s="110">
        <v>16.498348038506013</v>
      </c>
      <c r="Q84" s="110">
        <v>14650.533058193339</v>
      </c>
      <c r="R84" s="110">
        <v>11.713934048219373</v>
      </c>
      <c r="S84" s="110">
        <v>10401.973434818803</v>
      </c>
      <c r="T84" s="110">
        <v>6.6070750904850026</v>
      </c>
      <c r="U84" s="110">
        <v>5867.0826803506825</v>
      </c>
      <c r="V84" s="110">
        <v>7</v>
      </c>
      <c r="W84" s="110">
        <v>6216</v>
      </c>
      <c r="X84" s="110">
        <v>6</v>
      </c>
      <c r="Y84" s="110">
        <v>5328</v>
      </c>
      <c r="Z84" s="110">
        <v>5</v>
      </c>
      <c r="AA84" s="110">
        <v>4440</v>
      </c>
      <c r="AB84" s="110">
        <v>11</v>
      </c>
      <c r="AC84" s="110">
        <v>9768</v>
      </c>
      <c r="AD84" s="110">
        <v>10.494994840305807</v>
      </c>
      <c r="AE84" s="110">
        <v>9319.5554181915577</v>
      </c>
      <c r="AF84" s="110">
        <v>10</v>
      </c>
      <c r="AG84" s="110">
        <v>8880</v>
      </c>
      <c r="AH84" s="110">
        <v>7.6543352622037499</v>
      </c>
      <c r="AI84" s="110">
        <v>6797.0497128369298</v>
      </c>
      <c r="AJ84" s="110">
        <v>5.6587810910734113</v>
      </c>
      <c r="AK84" s="110">
        <v>5024.9976088731892</v>
      </c>
      <c r="AL84" s="110">
        <v>5</v>
      </c>
      <c r="AM84" s="110">
        <v>4440</v>
      </c>
      <c r="AN84" s="110">
        <v>4</v>
      </c>
      <c r="AO84" s="110">
        <v>3552</v>
      </c>
      <c r="AP84" s="110">
        <v>6</v>
      </c>
      <c r="AQ84" s="110">
        <v>5328</v>
      </c>
      <c r="AR84" s="110">
        <v>2</v>
      </c>
      <c r="AS84" s="110">
        <v>1776</v>
      </c>
      <c r="AT84" s="110">
        <v>2.3263622123167913</v>
      </c>
      <c r="AU84" s="110">
        <v>2065.8096445373108</v>
      </c>
      <c r="AV84" s="110">
        <v>2.4185098971463668</v>
      </c>
      <c r="AW84" s="110">
        <v>2147.6367886659737</v>
      </c>
      <c r="AX84" s="110">
        <v>2</v>
      </c>
      <c r="AY84" s="110">
        <v>1776</v>
      </c>
      <c r="AZ84" s="110">
        <v>11</v>
      </c>
      <c r="BA84" s="110">
        <v>9768</v>
      </c>
      <c r="BB84" s="110">
        <v>13</v>
      </c>
      <c r="BC84" s="110">
        <v>11544</v>
      </c>
      <c r="BD84" s="110">
        <v>10</v>
      </c>
      <c r="BE84" s="110">
        <v>8880</v>
      </c>
      <c r="BF84" s="110">
        <v>7.3920265358953978</v>
      </c>
      <c r="BG84" s="110">
        <v>6564.1195638751133</v>
      </c>
      <c r="BH84" s="110">
        <v>5.6176220586373073</v>
      </c>
      <c r="BI84" s="110">
        <v>4988.448388069929</v>
      </c>
      <c r="BJ84" s="110">
        <v>6.3431619129447663</v>
      </c>
      <c r="BK84" s="110">
        <v>5632.7277786949526</v>
      </c>
      <c r="BL84" s="110">
        <v>3.2866510969658895</v>
      </c>
      <c r="BM84" s="110">
        <v>2918.5461741057097</v>
      </c>
      <c r="BN84" s="110">
        <v>7.3482226595879681</v>
      </c>
      <c r="BO84" s="110">
        <v>6525.221721714116</v>
      </c>
      <c r="BP84" s="110">
        <v>5.1857096507011029</v>
      </c>
      <c r="BQ84" s="110">
        <v>4604.9101698225795</v>
      </c>
      <c r="BR84" s="110">
        <v>5.1889979740065542</v>
      </c>
      <c r="BS84" s="110">
        <v>4607.8302009178205</v>
      </c>
      <c r="BT84" s="110">
        <v>3</v>
      </c>
      <c r="BU84" s="110">
        <v>2664</v>
      </c>
      <c r="BV84" s="110">
        <v>5.3898732791232282</v>
      </c>
      <c r="BW84" s="110">
        <v>4786.2074718614267</v>
      </c>
      <c r="BX84" s="110">
        <v>4</v>
      </c>
      <c r="BY84" s="110">
        <v>3552</v>
      </c>
      <c r="BZ84" s="110">
        <v>4</v>
      </c>
      <c r="CA84" s="110">
        <v>3552</v>
      </c>
      <c r="CB84" s="110">
        <v>4</v>
      </c>
      <c r="CC84" s="110">
        <v>3552</v>
      </c>
      <c r="CD84" s="110">
        <v>4.3590665327891456</v>
      </c>
      <c r="CE84" s="110">
        <v>3870.8510811167612</v>
      </c>
      <c r="CF84" s="110">
        <v>11</v>
      </c>
      <c r="CG84" s="110">
        <v>9768</v>
      </c>
      <c r="CH84" s="110">
        <v>7.1583194592623638</v>
      </c>
      <c r="CI84" s="110">
        <v>6356.5876798249792</v>
      </c>
      <c r="CJ84" s="110">
        <v>11</v>
      </c>
      <c r="CK84" s="110">
        <v>9768</v>
      </c>
      <c r="CL84" s="110">
        <v>7</v>
      </c>
      <c r="CM84" s="110">
        <v>6216</v>
      </c>
      <c r="CN84" s="110">
        <v>3</v>
      </c>
      <c r="CO84" s="110">
        <v>2664</v>
      </c>
      <c r="CP84" s="110">
        <v>3.1367956770762722</v>
      </c>
      <c r="CQ84" s="110">
        <v>2785.4745612437296</v>
      </c>
      <c r="CR84" s="110">
        <v>4</v>
      </c>
      <c r="CS84" s="110">
        <v>3552</v>
      </c>
      <c r="CT84" s="110">
        <v>5.4493819280233105</v>
      </c>
      <c r="CU84" s="110">
        <v>4839.0511520846994</v>
      </c>
    </row>
    <row r="85" spans="2:99" x14ac:dyDescent="0.2">
      <c r="C85" s="109" t="s">
        <v>253</v>
      </c>
      <c r="D85" s="110">
        <v>1.9530847490001506</v>
      </c>
      <c r="E85" s="110">
        <v>1277.3174258460986</v>
      </c>
      <c r="F85" s="110">
        <v>2.2333443121646508</v>
      </c>
      <c r="G85" s="110">
        <v>1460.6071801556816</v>
      </c>
      <c r="H85" s="110">
        <v>1</v>
      </c>
      <c r="I85" s="110">
        <v>654</v>
      </c>
      <c r="J85" s="110">
        <v>2.4679949781558772</v>
      </c>
      <c r="K85" s="110">
        <v>1614.0687157139437</v>
      </c>
      <c r="L85" s="110">
        <v>12.847851061459979</v>
      </c>
      <c r="M85" s="110">
        <v>8402.4945941948263</v>
      </c>
      <c r="N85" s="110">
        <v>9.6449749395534496</v>
      </c>
      <c r="O85" s="110">
        <v>6307.8136104679561</v>
      </c>
      <c r="P85" s="110">
        <v>16.598017646207214</v>
      </c>
      <c r="Q85" s="110">
        <v>10855.103540619519</v>
      </c>
      <c r="R85" s="110">
        <v>12.713934048219373</v>
      </c>
      <c r="S85" s="110">
        <v>8314.9128675354696</v>
      </c>
      <c r="T85" s="110">
        <v>6.5840281764951012</v>
      </c>
      <c r="U85" s="110">
        <v>4305.954427427796</v>
      </c>
      <c r="V85" s="110">
        <v>7</v>
      </c>
      <c r="W85" s="110">
        <v>4578</v>
      </c>
      <c r="X85" s="110">
        <v>6</v>
      </c>
      <c r="Y85" s="110">
        <v>3924</v>
      </c>
      <c r="Z85" s="110">
        <v>6</v>
      </c>
      <c r="AA85" s="110">
        <v>3924</v>
      </c>
      <c r="AB85" s="110">
        <v>12</v>
      </c>
      <c r="AC85" s="110">
        <v>7848</v>
      </c>
      <c r="AD85" s="110">
        <v>9.4949948403058073</v>
      </c>
      <c r="AE85" s="110">
        <v>6209.726625559998</v>
      </c>
      <c r="AF85" s="110">
        <v>10</v>
      </c>
      <c r="AG85" s="110">
        <v>6540</v>
      </c>
      <c r="AH85" s="110">
        <v>7.6543352622037499</v>
      </c>
      <c r="AI85" s="110">
        <v>5005.9352614812524</v>
      </c>
      <c r="AJ85" s="110">
        <v>5.3459833156530099</v>
      </c>
      <c r="AK85" s="110">
        <v>3496.2730884370685</v>
      </c>
      <c r="AL85" s="110">
        <v>5</v>
      </c>
      <c r="AM85" s="110">
        <v>3270</v>
      </c>
      <c r="AN85" s="110">
        <v>3</v>
      </c>
      <c r="AO85" s="110">
        <v>1962</v>
      </c>
      <c r="AP85" s="110">
        <v>6</v>
      </c>
      <c r="AQ85" s="110">
        <v>3924</v>
      </c>
      <c r="AR85" s="110">
        <v>1</v>
      </c>
      <c r="AS85" s="110">
        <v>654</v>
      </c>
      <c r="AT85" s="110">
        <v>2.3263622123167913</v>
      </c>
      <c r="AU85" s="110">
        <v>1521.4408868551816</v>
      </c>
      <c r="AV85" s="110">
        <v>2.4185098971463668</v>
      </c>
      <c r="AW85" s="110">
        <v>1581.7054727337238</v>
      </c>
      <c r="AX85" s="110">
        <v>2</v>
      </c>
      <c r="AY85" s="110">
        <v>1308</v>
      </c>
      <c r="AZ85" s="110">
        <v>10</v>
      </c>
      <c r="BA85" s="110">
        <v>6540</v>
      </c>
      <c r="BB85" s="110">
        <v>13</v>
      </c>
      <c r="BC85" s="110">
        <v>8502</v>
      </c>
      <c r="BD85" s="110">
        <v>11</v>
      </c>
      <c r="BE85" s="110">
        <v>7194</v>
      </c>
      <c r="BF85" s="110">
        <v>7.3618706485188286</v>
      </c>
      <c r="BG85" s="110">
        <v>4814.6634041313137</v>
      </c>
      <c r="BH85" s="110">
        <v>6.6239234377531053</v>
      </c>
      <c r="BI85" s="110">
        <v>4332.0459282905313</v>
      </c>
      <c r="BJ85" s="110">
        <v>6.3431619129447663</v>
      </c>
      <c r="BK85" s="110">
        <v>4148.4278910658768</v>
      </c>
      <c r="BL85" s="110">
        <v>4.4168735842536115</v>
      </c>
      <c r="BM85" s="110">
        <v>2888.6353241018619</v>
      </c>
      <c r="BN85" s="110">
        <v>6.3482226595879681</v>
      </c>
      <c r="BO85" s="110">
        <v>4151.7376193705313</v>
      </c>
      <c r="BP85" s="110">
        <v>5.1857096507011029</v>
      </c>
      <c r="BQ85" s="110">
        <v>3391.4541115585212</v>
      </c>
      <c r="BR85" s="110">
        <v>5</v>
      </c>
      <c r="BS85" s="110">
        <v>3270</v>
      </c>
      <c r="BT85" s="110">
        <v>3</v>
      </c>
      <c r="BU85" s="110">
        <v>1962</v>
      </c>
      <c r="BV85" s="110">
        <v>6.3898732791232282</v>
      </c>
      <c r="BW85" s="110">
        <v>4178.9771245465909</v>
      </c>
      <c r="BX85" s="110">
        <v>5</v>
      </c>
      <c r="BY85" s="110">
        <v>3270</v>
      </c>
      <c r="BZ85" s="110">
        <v>4</v>
      </c>
      <c r="CA85" s="110">
        <v>2616</v>
      </c>
      <c r="CB85" s="110">
        <v>5</v>
      </c>
      <c r="CC85" s="110">
        <v>3270</v>
      </c>
      <c r="CD85" s="110">
        <v>5.4013096542937502</v>
      </c>
      <c r="CE85" s="110">
        <v>3532.4565139081128</v>
      </c>
      <c r="CF85" s="110">
        <v>13</v>
      </c>
      <c r="CG85" s="110">
        <v>8502</v>
      </c>
      <c r="CH85" s="110">
        <v>7.1583194592623638</v>
      </c>
      <c r="CI85" s="110">
        <v>4681.5409263575857</v>
      </c>
      <c r="CJ85" s="110">
        <v>13</v>
      </c>
      <c r="CK85" s="110">
        <v>8502</v>
      </c>
      <c r="CL85" s="110">
        <v>8</v>
      </c>
      <c r="CM85" s="110">
        <v>5232</v>
      </c>
      <c r="CN85" s="110">
        <v>3</v>
      </c>
      <c r="CO85" s="110">
        <v>1962</v>
      </c>
      <c r="CP85" s="110">
        <v>2.1550351006864417</v>
      </c>
      <c r="CQ85" s="110">
        <v>1409.3929558489328</v>
      </c>
      <c r="CR85" s="110">
        <v>4</v>
      </c>
      <c r="CS85" s="110">
        <v>2616</v>
      </c>
      <c r="CT85" s="110">
        <v>5.545678055456877</v>
      </c>
      <c r="CU85" s="110">
        <v>3626.8734482687973</v>
      </c>
    </row>
    <row r="86" spans="2:99" x14ac:dyDescent="0.2">
      <c r="C86" s="109" t="s">
        <v>254</v>
      </c>
      <c r="D86" s="110">
        <v>1.9530847490001506</v>
      </c>
      <c r="E86" s="110">
        <v>742.9534385196572</v>
      </c>
      <c r="F86" s="110">
        <v>2.2322919504541243</v>
      </c>
      <c r="G86" s="110">
        <v>849.1638579527488</v>
      </c>
      <c r="H86" s="110">
        <v>1</v>
      </c>
      <c r="I86" s="110">
        <v>380.4</v>
      </c>
      <c r="J86" s="110">
        <v>2.4679949781558772</v>
      </c>
      <c r="K86" s="110">
        <v>938.82528969049565</v>
      </c>
      <c r="L86" s="110">
        <v>14.847851061459979</v>
      </c>
      <c r="M86" s="110">
        <v>5648.1225437793755</v>
      </c>
      <c r="N86" s="110">
        <v>11.64497493955345</v>
      </c>
      <c r="O86" s="110">
        <v>4429.7484670061322</v>
      </c>
      <c r="P86" s="110">
        <v>18.598017646207214</v>
      </c>
      <c r="Q86" s="110">
        <v>7074.6859126172239</v>
      </c>
      <c r="R86" s="110">
        <v>13.713934048219373</v>
      </c>
      <c r="S86" s="110">
        <v>5216.7805119426494</v>
      </c>
      <c r="T86" s="110">
        <v>6.5993927858217019</v>
      </c>
      <c r="U86" s="110">
        <v>2510.409015726575</v>
      </c>
      <c r="V86" s="110">
        <v>7</v>
      </c>
      <c r="W86" s="110">
        <v>2662.7999999999997</v>
      </c>
      <c r="X86" s="110">
        <v>6</v>
      </c>
      <c r="Y86" s="110">
        <v>2282.3999999999996</v>
      </c>
      <c r="Z86" s="110">
        <v>6</v>
      </c>
      <c r="AA86" s="110">
        <v>2282.3999999999996</v>
      </c>
      <c r="AB86" s="110">
        <v>10</v>
      </c>
      <c r="AC86" s="110">
        <v>3804</v>
      </c>
      <c r="AD86" s="110">
        <v>10.494994840305807</v>
      </c>
      <c r="AE86" s="110">
        <v>3992.2960372523289</v>
      </c>
      <c r="AF86" s="110">
        <v>11</v>
      </c>
      <c r="AG86" s="110">
        <v>4184.3999999999996</v>
      </c>
      <c r="AH86" s="110">
        <v>7.6543352622037499</v>
      </c>
      <c r="AI86" s="110">
        <v>2911.7091337423062</v>
      </c>
      <c r="AJ86" s="110">
        <v>5.5023822033632106</v>
      </c>
      <c r="AK86" s="110">
        <v>2093.1061901593653</v>
      </c>
      <c r="AL86" s="110">
        <v>5</v>
      </c>
      <c r="AM86" s="110">
        <v>1902</v>
      </c>
      <c r="AN86" s="110">
        <v>4</v>
      </c>
      <c r="AO86" s="110">
        <v>1521.6</v>
      </c>
      <c r="AP86" s="110">
        <v>6</v>
      </c>
      <c r="AQ86" s="110">
        <v>2282.3999999999996</v>
      </c>
      <c r="AR86" s="110">
        <v>1</v>
      </c>
      <c r="AS86" s="110">
        <v>380.4</v>
      </c>
      <c r="AT86" s="110">
        <v>2.3263622123167913</v>
      </c>
      <c r="AU86" s="110">
        <v>884.94818556530731</v>
      </c>
      <c r="AV86" s="110">
        <v>2.4603608868610034</v>
      </c>
      <c r="AW86" s="110">
        <v>935.92128136192559</v>
      </c>
      <c r="AX86" s="110">
        <v>2</v>
      </c>
      <c r="AY86" s="110">
        <v>760.8</v>
      </c>
      <c r="AZ86" s="110">
        <v>9</v>
      </c>
      <c r="BA86" s="110">
        <v>3423.6</v>
      </c>
      <c r="BB86" s="110">
        <v>13</v>
      </c>
      <c r="BC86" s="110">
        <v>4945.2</v>
      </c>
      <c r="BD86" s="110">
        <v>10</v>
      </c>
      <c r="BE86" s="110">
        <v>3804</v>
      </c>
      <c r="BF86" s="110">
        <v>8.3317147611422602</v>
      </c>
      <c r="BG86" s="110">
        <v>3169.3842951385154</v>
      </c>
      <c r="BH86" s="110">
        <v>6.6239234377531053</v>
      </c>
      <c r="BI86" s="110">
        <v>2519.7404757212812</v>
      </c>
      <c r="BJ86" s="110">
        <v>7.5147428694171499</v>
      </c>
      <c r="BK86" s="110">
        <v>2858.6081875262835</v>
      </c>
      <c r="BL86" s="110">
        <v>4.4201493495524167</v>
      </c>
      <c r="BM86" s="110">
        <v>1681.4248125697393</v>
      </c>
      <c r="BN86" s="110">
        <v>7.5223339893819521</v>
      </c>
      <c r="BO86" s="110">
        <v>2861.4958495608944</v>
      </c>
      <c r="BP86" s="110">
        <v>5.3550967436584029</v>
      </c>
      <c r="BQ86" s="110">
        <v>2037.0788012876565</v>
      </c>
      <c r="BR86" s="110">
        <v>5</v>
      </c>
      <c r="BS86" s="110">
        <v>1902</v>
      </c>
      <c r="BT86" s="110">
        <v>4</v>
      </c>
      <c r="BU86" s="110">
        <v>1521.6</v>
      </c>
      <c r="BV86" s="110">
        <v>6</v>
      </c>
      <c r="BW86" s="110">
        <v>2282.3999999999996</v>
      </c>
      <c r="BX86" s="110">
        <v>4</v>
      </c>
      <c r="BY86" s="110">
        <v>1521.6</v>
      </c>
      <c r="BZ86" s="110">
        <v>4</v>
      </c>
      <c r="CA86" s="110">
        <v>1521.6</v>
      </c>
      <c r="CB86" s="110">
        <v>5</v>
      </c>
      <c r="CC86" s="110">
        <v>1902</v>
      </c>
      <c r="CD86" s="110">
        <v>4.3801880935414479</v>
      </c>
      <c r="CE86" s="110">
        <v>1666.2235507831667</v>
      </c>
      <c r="CF86" s="110">
        <v>13</v>
      </c>
      <c r="CG86" s="110">
        <v>4945.2</v>
      </c>
      <c r="CH86" s="110">
        <v>7.1451261709905003</v>
      </c>
      <c r="CI86" s="110">
        <v>2718.0059954447861</v>
      </c>
      <c r="CJ86" s="110">
        <v>12</v>
      </c>
      <c r="CK86" s="110">
        <v>4564.7999999999993</v>
      </c>
      <c r="CL86" s="110">
        <v>7</v>
      </c>
      <c r="CM86" s="110">
        <v>2662.7999999999997</v>
      </c>
      <c r="CN86" s="110">
        <v>3</v>
      </c>
      <c r="CO86" s="110">
        <v>1141.1999999999998</v>
      </c>
      <c r="CP86" s="110">
        <v>2.1550351006864417</v>
      </c>
      <c r="CQ86" s="110">
        <v>819.77535230112233</v>
      </c>
      <c r="CR86" s="110">
        <v>4</v>
      </c>
      <c r="CS86" s="110">
        <v>1521.6</v>
      </c>
      <c r="CT86" s="110">
        <v>5.5135793463123548</v>
      </c>
      <c r="CU86" s="110">
        <v>2097.3655833372195</v>
      </c>
    </row>
    <row r="87" spans="2:99" x14ac:dyDescent="0.2">
      <c r="B87" s="109" t="s">
        <v>131</v>
      </c>
      <c r="C87" s="109" t="s">
        <v>255</v>
      </c>
      <c r="D87" s="110">
        <v>2.6998912568758016</v>
      </c>
      <c r="E87" s="110">
        <v>1522.738668877952</v>
      </c>
      <c r="F87" s="110">
        <v>6.8739809204755735</v>
      </c>
      <c r="G87" s="110">
        <v>3876.9252391482237</v>
      </c>
      <c r="H87" s="110">
        <v>4.5566791395927257</v>
      </c>
      <c r="I87" s="110">
        <v>2569.9670347302972</v>
      </c>
      <c r="J87" s="110">
        <v>4.6326957297889466</v>
      </c>
      <c r="K87" s="110">
        <v>2612.8403916009661</v>
      </c>
      <c r="L87" s="110">
        <v>6.3893090513240498</v>
      </c>
      <c r="M87" s="110">
        <v>3603.5703049467643</v>
      </c>
      <c r="N87" s="110">
        <v>7.2368468045263299</v>
      </c>
      <c r="O87" s="110">
        <v>4081.58159775285</v>
      </c>
      <c r="P87" s="110">
        <v>12.585641892171434</v>
      </c>
      <c r="Q87" s="110">
        <v>7098.302027184689</v>
      </c>
      <c r="R87" s="110">
        <v>7.4003119956224443</v>
      </c>
      <c r="S87" s="110">
        <v>4173.7759655310583</v>
      </c>
      <c r="T87" s="110">
        <v>9</v>
      </c>
      <c r="U87" s="110">
        <v>5076</v>
      </c>
      <c r="V87" s="110">
        <v>9</v>
      </c>
      <c r="W87" s="110">
        <v>5076</v>
      </c>
      <c r="X87" s="110">
        <v>11</v>
      </c>
      <c r="Y87" s="110">
        <v>6204</v>
      </c>
      <c r="Z87" s="110">
        <v>12</v>
      </c>
      <c r="AA87" s="110">
        <v>6768</v>
      </c>
      <c r="AB87" s="110">
        <v>8</v>
      </c>
      <c r="AC87" s="110">
        <v>4512</v>
      </c>
      <c r="AD87" s="110">
        <v>9.0091806652984516</v>
      </c>
      <c r="AE87" s="110">
        <v>5081.1778952283266</v>
      </c>
      <c r="AF87" s="110">
        <v>11</v>
      </c>
      <c r="AG87" s="110">
        <v>6204</v>
      </c>
      <c r="AH87" s="110">
        <v>10.01338578918153</v>
      </c>
      <c r="AI87" s="110">
        <v>5647.5495850983834</v>
      </c>
      <c r="AJ87" s="110">
        <v>3.0153476013004101</v>
      </c>
      <c r="AK87" s="110">
        <v>1700.6560471334312</v>
      </c>
      <c r="AL87" s="110">
        <v>2.3455412723612357</v>
      </c>
      <c r="AM87" s="110">
        <v>1322.8852776117369</v>
      </c>
      <c r="AN87" s="110">
        <v>4.3550397028649046</v>
      </c>
      <c r="AO87" s="110">
        <v>2456.2423924158061</v>
      </c>
      <c r="AP87" s="110">
        <v>3.2839108741759544</v>
      </c>
      <c r="AQ87" s="110">
        <v>1852.1257330352382</v>
      </c>
      <c r="AR87" s="110">
        <v>2.2839108741759544</v>
      </c>
      <c r="AS87" s="110">
        <v>1288.1257330352382</v>
      </c>
      <c r="AT87" s="110">
        <v>2</v>
      </c>
      <c r="AU87" s="110">
        <v>1128</v>
      </c>
      <c r="AV87" s="110">
        <v>3</v>
      </c>
      <c r="AW87" s="110">
        <v>1692</v>
      </c>
      <c r="AX87" s="110">
        <v>1.2662797771486787</v>
      </c>
      <c r="AY87" s="110">
        <v>714.18179431185479</v>
      </c>
      <c r="AZ87" s="110">
        <v>7.2783913837742231</v>
      </c>
      <c r="BA87" s="110">
        <v>4105.012740448662</v>
      </c>
      <c r="BB87" s="110">
        <v>9.2879392402592948</v>
      </c>
      <c r="BC87" s="110">
        <v>5238.3977315062421</v>
      </c>
      <c r="BD87" s="110">
        <v>12</v>
      </c>
      <c r="BE87" s="110">
        <v>6768</v>
      </c>
      <c r="BF87" s="110">
        <v>7.2606622007169896</v>
      </c>
      <c r="BG87" s="110">
        <v>4095.0134812043821</v>
      </c>
      <c r="BH87" s="110">
        <v>4</v>
      </c>
      <c r="BI87" s="110">
        <v>2256</v>
      </c>
      <c r="BJ87" s="110">
        <v>5</v>
      </c>
      <c r="BK87" s="110">
        <v>2820</v>
      </c>
      <c r="BL87" s="110">
        <v>6</v>
      </c>
      <c r="BM87" s="110">
        <v>3384</v>
      </c>
      <c r="BN87" s="110">
        <v>5</v>
      </c>
      <c r="BO87" s="110">
        <v>2820</v>
      </c>
      <c r="BP87" s="110">
        <v>2</v>
      </c>
      <c r="BQ87" s="110">
        <v>1128</v>
      </c>
      <c r="BR87" s="110">
        <v>2</v>
      </c>
      <c r="BS87" s="110">
        <v>1128</v>
      </c>
      <c r="BT87" s="110">
        <v>3</v>
      </c>
      <c r="BU87" s="110">
        <v>1692</v>
      </c>
      <c r="BV87" s="110">
        <v>2</v>
      </c>
      <c r="BW87" s="110">
        <v>1128</v>
      </c>
      <c r="BX87" s="110">
        <v>11</v>
      </c>
      <c r="BY87" s="110">
        <v>6204</v>
      </c>
      <c r="BZ87" s="110">
        <v>8</v>
      </c>
      <c r="CA87" s="110">
        <v>4512</v>
      </c>
      <c r="CB87" s="110">
        <v>7</v>
      </c>
      <c r="CC87" s="110">
        <v>3948</v>
      </c>
      <c r="CD87" s="110">
        <v>10</v>
      </c>
      <c r="CE87" s="110">
        <v>5640</v>
      </c>
      <c r="CF87" s="110">
        <v>14</v>
      </c>
      <c r="CG87" s="110">
        <v>7896</v>
      </c>
      <c r="CH87" s="110">
        <v>9.1294252317414362</v>
      </c>
      <c r="CI87" s="110">
        <v>5148.9958307021698</v>
      </c>
      <c r="CJ87" s="110">
        <v>11.146408298513384</v>
      </c>
      <c r="CK87" s="110">
        <v>6286.5742803615485</v>
      </c>
      <c r="CL87" s="110">
        <v>7.1659504240818563</v>
      </c>
      <c r="CM87" s="110">
        <v>4041.5960391821668</v>
      </c>
      <c r="CN87" s="110">
        <v>2.1058992045133533</v>
      </c>
      <c r="CO87" s="110">
        <v>1187.7271513455312</v>
      </c>
      <c r="CP87" s="110">
        <v>3</v>
      </c>
      <c r="CQ87" s="110">
        <v>1692</v>
      </c>
      <c r="CR87" s="110">
        <v>2.3585813757118039</v>
      </c>
      <c r="CS87" s="110">
        <v>1330.2398959014574</v>
      </c>
      <c r="CT87" s="110">
        <v>1.3203281552716655</v>
      </c>
      <c r="CU87" s="110">
        <v>744.66507957321937</v>
      </c>
    </row>
    <row r="88" spans="2:99" x14ac:dyDescent="0.2">
      <c r="C88" s="109" t="s">
        <v>256</v>
      </c>
      <c r="D88" s="110">
        <v>2.6998912568758016</v>
      </c>
      <c r="E88" s="110">
        <v>1312.1471508416396</v>
      </c>
      <c r="F88" s="110">
        <v>6.1114420528652733</v>
      </c>
      <c r="G88" s="110">
        <v>2970.1608376925228</v>
      </c>
      <c r="H88" s="110">
        <v>4.5566791395927257</v>
      </c>
      <c r="I88" s="110">
        <v>2214.5460618420648</v>
      </c>
      <c r="J88" s="110">
        <v>5.4048116847537706</v>
      </c>
      <c r="K88" s="110">
        <v>2626.7384787903325</v>
      </c>
      <c r="L88" s="110">
        <v>6.3936499436065848</v>
      </c>
      <c r="M88" s="110">
        <v>3107.3138725928002</v>
      </c>
      <c r="N88" s="110">
        <v>7.1894774436210636</v>
      </c>
      <c r="O88" s="110">
        <v>3494.0860375998368</v>
      </c>
      <c r="P88" s="110">
        <v>11.210939764160276</v>
      </c>
      <c r="Q88" s="110">
        <v>5448.5167253818945</v>
      </c>
      <c r="R88" s="110">
        <v>7.2673005245312954</v>
      </c>
      <c r="S88" s="110">
        <v>3531.9080549222094</v>
      </c>
      <c r="T88" s="110">
        <v>9</v>
      </c>
      <c r="U88" s="110">
        <v>4374</v>
      </c>
      <c r="V88" s="110">
        <v>8</v>
      </c>
      <c r="W88" s="110">
        <v>3888</v>
      </c>
      <c r="X88" s="110">
        <v>11</v>
      </c>
      <c r="Y88" s="110">
        <v>5346</v>
      </c>
      <c r="Z88" s="110">
        <v>11</v>
      </c>
      <c r="AA88" s="110">
        <v>5346</v>
      </c>
      <c r="AB88" s="110">
        <v>8</v>
      </c>
      <c r="AC88" s="110">
        <v>3888</v>
      </c>
      <c r="AD88" s="110">
        <v>11.007680632608771</v>
      </c>
      <c r="AE88" s="110">
        <v>5349.7327874478624</v>
      </c>
      <c r="AF88" s="110">
        <v>11</v>
      </c>
      <c r="AG88" s="110">
        <v>5346</v>
      </c>
      <c r="AH88" s="110">
        <v>12.01338578918153</v>
      </c>
      <c r="AI88" s="110">
        <v>5838.505493542224</v>
      </c>
      <c r="AJ88" s="110">
        <v>3.0143100009069079</v>
      </c>
      <c r="AK88" s="110">
        <v>1464.9546604407572</v>
      </c>
      <c r="AL88" s="110">
        <v>2.3023486133160813</v>
      </c>
      <c r="AM88" s="110">
        <v>1118.9414260716155</v>
      </c>
      <c r="AN88" s="110">
        <v>4.3550397028649046</v>
      </c>
      <c r="AO88" s="110">
        <v>2116.5492955923437</v>
      </c>
      <c r="AP88" s="110">
        <v>4.2839108741759544</v>
      </c>
      <c r="AQ88" s="110">
        <v>2081.9806848495136</v>
      </c>
      <c r="AR88" s="110">
        <v>2.2839108741759544</v>
      </c>
      <c r="AS88" s="110">
        <v>1109.9806848495139</v>
      </c>
      <c r="AT88" s="110">
        <v>2</v>
      </c>
      <c r="AU88" s="110">
        <v>972</v>
      </c>
      <c r="AV88" s="110">
        <v>2</v>
      </c>
      <c r="AW88" s="110">
        <v>972</v>
      </c>
      <c r="AX88" s="110">
        <v>1.2218998142905657</v>
      </c>
      <c r="AY88" s="110">
        <v>593.84330974521492</v>
      </c>
      <c r="AZ88" s="110">
        <v>8.2386211860921907</v>
      </c>
      <c r="BA88" s="110">
        <v>4003.9698964408049</v>
      </c>
      <c r="BB88" s="110">
        <v>9.2519468352268817</v>
      </c>
      <c r="BC88" s="110">
        <v>4496.4461619202648</v>
      </c>
      <c r="BD88" s="110">
        <v>11</v>
      </c>
      <c r="BE88" s="110">
        <v>5346</v>
      </c>
      <c r="BF88" s="110">
        <v>7.2606622007169896</v>
      </c>
      <c r="BG88" s="110">
        <v>3528.6818295484568</v>
      </c>
      <c r="BH88" s="110">
        <v>3</v>
      </c>
      <c r="BI88" s="110">
        <v>1458</v>
      </c>
      <c r="BJ88" s="110">
        <v>5</v>
      </c>
      <c r="BK88" s="110">
        <v>2430</v>
      </c>
      <c r="BL88" s="110">
        <v>6</v>
      </c>
      <c r="BM88" s="110">
        <v>2916</v>
      </c>
      <c r="BN88" s="110">
        <v>5</v>
      </c>
      <c r="BO88" s="110">
        <v>2430</v>
      </c>
      <c r="BP88" s="110">
        <v>2</v>
      </c>
      <c r="BQ88" s="110">
        <v>972</v>
      </c>
      <c r="BR88" s="110">
        <v>2</v>
      </c>
      <c r="BS88" s="110">
        <v>972</v>
      </c>
      <c r="BT88" s="110">
        <v>3</v>
      </c>
      <c r="BU88" s="110">
        <v>1458</v>
      </c>
      <c r="BV88" s="110">
        <v>2</v>
      </c>
      <c r="BW88" s="110">
        <v>972</v>
      </c>
      <c r="BX88" s="110">
        <v>11</v>
      </c>
      <c r="BY88" s="110">
        <v>5346</v>
      </c>
      <c r="BZ88" s="110">
        <v>8</v>
      </c>
      <c r="CA88" s="110">
        <v>3888</v>
      </c>
      <c r="CB88" s="110">
        <v>8</v>
      </c>
      <c r="CC88" s="110">
        <v>3888</v>
      </c>
      <c r="CD88" s="110">
        <v>11</v>
      </c>
      <c r="CE88" s="110">
        <v>5346</v>
      </c>
      <c r="CF88" s="110">
        <v>13</v>
      </c>
      <c r="CG88" s="110">
        <v>6318</v>
      </c>
      <c r="CH88" s="110">
        <v>9.1294252317414362</v>
      </c>
      <c r="CI88" s="110">
        <v>4436.9006626263381</v>
      </c>
      <c r="CJ88" s="110">
        <v>12.125821871856596</v>
      </c>
      <c r="CK88" s="110">
        <v>5893.1494297223053</v>
      </c>
      <c r="CL88" s="110">
        <v>7.1518186361430738</v>
      </c>
      <c r="CM88" s="110">
        <v>3475.7838571655338</v>
      </c>
      <c r="CN88" s="110">
        <v>2.1052124688720211</v>
      </c>
      <c r="CO88" s="110">
        <v>1023.1332598718022</v>
      </c>
      <c r="CP88" s="110">
        <v>2</v>
      </c>
      <c r="CQ88" s="110">
        <v>972</v>
      </c>
      <c r="CR88" s="110">
        <v>3.3227232381406235</v>
      </c>
      <c r="CS88" s="110">
        <v>1614.8434937363431</v>
      </c>
      <c r="CT88" s="110">
        <v>1.3559201725240726</v>
      </c>
      <c r="CU88" s="110">
        <v>658.97720384669924</v>
      </c>
    </row>
    <row r="89" spans="2:99" x14ac:dyDescent="0.2">
      <c r="C89" s="109" t="s">
        <v>257</v>
      </c>
      <c r="D89" s="110">
        <v>2.6998912568758016</v>
      </c>
      <c r="E89" s="110">
        <v>1875.8844452773069</v>
      </c>
      <c r="F89" s="110">
        <v>6.0413501084326153</v>
      </c>
      <c r="G89" s="110">
        <v>4197.5300553389807</v>
      </c>
      <c r="H89" s="110">
        <v>4.5566791395927257</v>
      </c>
      <c r="I89" s="110">
        <v>3165.9806661890257</v>
      </c>
      <c r="J89" s="110">
        <v>4.6326957297889466</v>
      </c>
      <c r="K89" s="110">
        <v>3218.7969930573599</v>
      </c>
      <c r="L89" s="110">
        <v>6.3893090513240498</v>
      </c>
      <c r="M89" s="110">
        <v>4439.2919288599496</v>
      </c>
      <c r="N89" s="110">
        <v>7.2368468045263299</v>
      </c>
      <c r="O89" s="110">
        <v>5028.1611597848932</v>
      </c>
      <c r="P89" s="110">
        <v>12.585641892171434</v>
      </c>
      <c r="Q89" s="110">
        <v>8744.5039866807128</v>
      </c>
      <c r="R89" s="110">
        <v>7.4003119956224443</v>
      </c>
      <c r="S89" s="110">
        <v>5141.7367745584743</v>
      </c>
      <c r="T89" s="110">
        <v>9</v>
      </c>
      <c r="U89" s="110">
        <v>6253.2</v>
      </c>
      <c r="V89" s="110">
        <v>9</v>
      </c>
      <c r="W89" s="110">
        <v>6253.2</v>
      </c>
      <c r="X89" s="110">
        <v>10</v>
      </c>
      <c r="Y89" s="110">
        <v>6948</v>
      </c>
      <c r="Z89" s="110">
        <v>11</v>
      </c>
      <c r="AA89" s="110">
        <v>7642.7999999999993</v>
      </c>
      <c r="AB89" s="110">
        <v>8</v>
      </c>
      <c r="AC89" s="110">
        <v>5558.4</v>
      </c>
      <c r="AD89" s="110">
        <v>10.009180665298452</v>
      </c>
      <c r="AE89" s="110">
        <v>6954.3787262493634</v>
      </c>
      <c r="AF89" s="110">
        <v>12</v>
      </c>
      <c r="AG89" s="110">
        <v>8337.5999999999985</v>
      </c>
      <c r="AH89" s="110">
        <v>12.012296088245188</v>
      </c>
      <c r="AI89" s="110">
        <v>8346.1433221127554</v>
      </c>
      <c r="AJ89" s="110">
        <v>3.0143100009069079</v>
      </c>
      <c r="AK89" s="110">
        <v>2094.3425886301193</v>
      </c>
      <c r="AL89" s="110">
        <v>2.3023486133160813</v>
      </c>
      <c r="AM89" s="110">
        <v>1599.6718165320133</v>
      </c>
      <c r="AN89" s="110">
        <v>4.3550397028649046</v>
      </c>
      <c r="AO89" s="110">
        <v>3025.8815855505354</v>
      </c>
      <c r="AP89" s="110">
        <v>4.324469570486805</v>
      </c>
      <c r="AQ89" s="110">
        <v>3004.6414575742319</v>
      </c>
      <c r="AR89" s="110">
        <v>2.2433521778651038</v>
      </c>
      <c r="AS89" s="110">
        <v>1558.681093180674</v>
      </c>
      <c r="AT89" s="110">
        <v>2</v>
      </c>
      <c r="AU89" s="110">
        <v>1389.6</v>
      </c>
      <c r="AV89" s="110">
        <v>2</v>
      </c>
      <c r="AW89" s="110">
        <v>1389.6</v>
      </c>
      <c r="AX89" s="110">
        <v>2.2218998142905657</v>
      </c>
      <c r="AY89" s="110">
        <v>1543.7759909690849</v>
      </c>
      <c r="AZ89" s="110">
        <v>7.2783913837742231</v>
      </c>
      <c r="BA89" s="110">
        <v>5057.0263334463298</v>
      </c>
      <c r="BB89" s="110">
        <v>10.251946835226882</v>
      </c>
      <c r="BC89" s="110">
        <v>7123.0526611156365</v>
      </c>
      <c r="BD89" s="110">
        <v>11</v>
      </c>
      <c r="BE89" s="110">
        <v>7642.7999999999993</v>
      </c>
      <c r="BF89" s="110">
        <v>6.2234247434717052</v>
      </c>
      <c r="BG89" s="110">
        <v>4324.0355117641402</v>
      </c>
      <c r="BH89" s="110">
        <v>3</v>
      </c>
      <c r="BI89" s="110">
        <v>2084.3999999999996</v>
      </c>
      <c r="BJ89" s="110">
        <v>6</v>
      </c>
      <c r="BK89" s="110">
        <v>4168.7999999999993</v>
      </c>
      <c r="BL89" s="110">
        <v>6</v>
      </c>
      <c r="BM89" s="110">
        <v>4168.7999999999993</v>
      </c>
      <c r="BN89" s="110">
        <v>6</v>
      </c>
      <c r="BO89" s="110">
        <v>4168.7999999999993</v>
      </c>
      <c r="BP89" s="110">
        <v>2</v>
      </c>
      <c r="BQ89" s="110">
        <v>1389.6</v>
      </c>
      <c r="BR89" s="110">
        <v>2</v>
      </c>
      <c r="BS89" s="110">
        <v>1389.6</v>
      </c>
      <c r="BT89" s="110">
        <v>3</v>
      </c>
      <c r="BU89" s="110">
        <v>2084.3999999999996</v>
      </c>
      <c r="BV89" s="110">
        <v>2</v>
      </c>
      <c r="BW89" s="110">
        <v>1389.6</v>
      </c>
      <c r="BX89" s="110">
        <v>10</v>
      </c>
      <c r="BY89" s="110">
        <v>6948</v>
      </c>
      <c r="BZ89" s="110">
        <v>8</v>
      </c>
      <c r="CA89" s="110">
        <v>5558.4</v>
      </c>
      <c r="CB89" s="110">
        <v>8</v>
      </c>
      <c r="CC89" s="110">
        <v>5558.4</v>
      </c>
      <c r="CD89" s="110">
        <v>10</v>
      </c>
      <c r="CE89" s="110">
        <v>6948</v>
      </c>
      <c r="CF89" s="110">
        <v>12</v>
      </c>
      <c r="CG89" s="110">
        <v>8337.5999999999985</v>
      </c>
      <c r="CH89" s="110">
        <v>8.1297921035832434</v>
      </c>
      <c r="CI89" s="110">
        <v>5648.579553569637</v>
      </c>
      <c r="CJ89" s="110">
        <v>11.146408298513384</v>
      </c>
      <c r="CK89" s="110">
        <v>7744.5244858070982</v>
      </c>
      <c r="CL89" s="110">
        <v>6.1790447745396291</v>
      </c>
      <c r="CM89" s="110">
        <v>4293.2003093501344</v>
      </c>
      <c r="CN89" s="110">
        <v>2.0852687521237487</v>
      </c>
      <c r="CO89" s="110">
        <v>1448.8447289755804</v>
      </c>
      <c r="CP89" s="110">
        <v>2</v>
      </c>
      <c r="CQ89" s="110">
        <v>1389.6</v>
      </c>
      <c r="CR89" s="110">
        <v>3.3227232381406235</v>
      </c>
      <c r="CS89" s="110">
        <v>2308.6281058601053</v>
      </c>
      <c r="CT89" s="110">
        <v>2.3559201725240726</v>
      </c>
      <c r="CU89" s="110">
        <v>1636.8933358697254</v>
      </c>
    </row>
    <row r="90" spans="2:99" x14ac:dyDescent="0.2">
      <c r="C90" s="109" t="s">
        <v>258</v>
      </c>
      <c r="D90" s="110">
        <v>2.2499093807298349</v>
      </c>
      <c r="E90" s="110">
        <v>1325.6466071260186</v>
      </c>
      <c r="F90" s="110">
        <v>6.0413501084326153</v>
      </c>
      <c r="G90" s="110">
        <v>3559.5634838884966</v>
      </c>
      <c r="H90" s="110">
        <v>4.5628922502424665</v>
      </c>
      <c r="I90" s="110">
        <v>2688.4561138428608</v>
      </c>
      <c r="J90" s="110">
        <v>5.4048116847537706</v>
      </c>
      <c r="K90" s="110">
        <v>3184.5150446569214</v>
      </c>
      <c r="L90" s="110">
        <v>5.3893090513240498</v>
      </c>
      <c r="M90" s="110">
        <v>3175.3808930401296</v>
      </c>
      <c r="N90" s="110">
        <v>6.2368468045263299</v>
      </c>
      <c r="O90" s="110">
        <v>3674.750137226913</v>
      </c>
      <c r="P90" s="110">
        <v>12.585641892171434</v>
      </c>
      <c r="Q90" s="110">
        <v>7415.460202867408</v>
      </c>
      <c r="R90" s="110">
        <v>7.3924462829795665</v>
      </c>
      <c r="S90" s="110">
        <v>4355.6293499315598</v>
      </c>
      <c r="T90" s="110">
        <v>8</v>
      </c>
      <c r="U90" s="110">
        <v>4713.5999999999995</v>
      </c>
      <c r="V90" s="110">
        <v>9</v>
      </c>
      <c r="W90" s="110">
        <v>5302.7999999999993</v>
      </c>
      <c r="X90" s="110">
        <v>11</v>
      </c>
      <c r="Y90" s="110">
        <v>6481.1999999999989</v>
      </c>
      <c r="Z90" s="110">
        <v>10</v>
      </c>
      <c r="AA90" s="110">
        <v>5891.9999999999991</v>
      </c>
      <c r="AB90" s="110">
        <v>8</v>
      </c>
      <c r="AC90" s="110">
        <v>4713.5999999999995</v>
      </c>
      <c r="AD90" s="110">
        <v>9.0084306489536115</v>
      </c>
      <c r="AE90" s="110">
        <v>5307.7673383634674</v>
      </c>
      <c r="AF90" s="110">
        <v>12</v>
      </c>
      <c r="AG90" s="110">
        <v>7070.4</v>
      </c>
      <c r="AH90" s="110">
        <v>10.01338578918153</v>
      </c>
      <c r="AI90" s="110">
        <v>5899.8869069857574</v>
      </c>
      <c r="AJ90" s="110">
        <v>3.0153886610899789</v>
      </c>
      <c r="AK90" s="110">
        <v>1776.6669991142153</v>
      </c>
      <c r="AL90" s="110">
        <v>2.3023486133160813</v>
      </c>
      <c r="AM90" s="110">
        <v>1356.5438029658349</v>
      </c>
      <c r="AN90" s="110">
        <v>4.3550397028649046</v>
      </c>
      <c r="AO90" s="110">
        <v>2565.9893929280015</v>
      </c>
      <c r="AP90" s="110">
        <v>4.324469570486805</v>
      </c>
      <c r="AQ90" s="110">
        <v>2547.9774709308253</v>
      </c>
      <c r="AR90" s="110">
        <v>2.2839108741759544</v>
      </c>
      <c r="AS90" s="110">
        <v>1345.6802870644722</v>
      </c>
      <c r="AT90" s="110">
        <v>2</v>
      </c>
      <c r="AU90" s="110">
        <v>1178.3999999999999</v>
      </c>
      <c r="AV90" s="110">
        <v>2</v>
      </c>
      <c r="AW90" s="110">
        <v>1178.3999999999999</v>
      </c>
      <c r="AX90" s="110">
        <v>2.2662797771486787</v>
      </c>
      <c r="AY90" s="110">
        <v>1335.2920446960013</v>
      </c>
      <c r="AZ90" s="110">
        <v>6.2386211860921916</v>
      </c>
      <c r="BA90" s="110">
        <v>3675.7956028455187</v>
      </c>
      <c r="BB90" s="110">
        <v>9.2879392402592948</v>
      </c>
      <c r="BC90" s="110">
        <v>5472.4538003607759</v>
      </c>
      <c r="BD90" s="110">
        <v>11</v>
      </c>
      <c r="BE90" s="110">
        <v>6481.1999999999989</v>
      </c>
      <c r="BF90" s="110">
        <v>6.2606622007169896</v>
      </c>
      <c r="BG90" s="110">
        <v>3688.7821686624497</v>
      </c>
      <c r="BH90" s="110">
        <v>4</v>
      </c>
      <c r="BI90" s="110">
        <v>2356.7999999999997</v>
      </c>
      <c r="BJ90" s="110">
        <v>6</v>
      </c>
      <c r="BK90" s="110">
        <v>3535.2</v>
      </c>
      <c r="BL90" s="110">
        <v>6</v>
      </c>
      <c r="BM90" s="110">
        <v>3535.2</v>
      </c>
      <c r="BN90" s="110">
        <v>5</v>
      </c>
      <c r="BO90" s="110">
        <v>2945.9999999999995</v>
      </c>
      <c r="BP90" s="110">
        <v>2</v>
      </c>
      <c r="BQ90" s="110">
        <v>1178.3999999999999</v>
      </c>
      <c r="BR90" s="110">
        <v>2</v>
      </c>
      <c r="BS90" s="110">
        <v>1178.3999999999999</v>
      </c>
      <c r="BT90" s="110">
        <v>3</v>
      </c>
      <c r="BU90" s="110">
        <v>1767.6</v>
      </c>
      <c r="BV90" s="110">
        <v>2</v>
      </c>
      <c r="BW90" s="110">
        <v>1178.3999999999999</v>
      </c>
      <c r="BX90" s="110">
        <v>11</v>
      </c>
      <c r="BY90" s="110">
        <v>6481.1999999999989</v>
      </c>
      <c r="BZ90" s="110">
        <v>7</v>
      </c>
      <c r="CA90" s="110">
        <v>4124.3999999999996</v>
      </c>
      <c r="CB90" s="110">
        <v>7</v>
      </c>
      <c r="CC90" s="110">
        <v>4124.3999999999996</v>
      </c>
      <c r="CD90" s="110">
        <v>11</v>
      </c>
      <c r="CE90" s="110">
        <v>6481.1999999999989</v>
      </c>
      <c r="CF90" s="110">
        <v>13</v>
      </c>
      <c r="CG90" s="110">
        <v>7659.5999999999995</v>
      </c>
      <c r="CH90" s="110">
        <v>9.1199774210807512</v>
      </c>
      <c r="CI90" s="110">
        <v>5373.4906965007776</v>
      </c>
      <c r="CJ90" s="110">
        <v>11.13611508518499</v>
      </c>
      <c r="CK90" s="110">
        <v>6561.3990081909951</v>
      </c>
      <c r="CL90" s="110">
        <v>7.1659504240818563</v>
      </c>
      <c r="CM90" s="110">
        <v>4222.1779898690293</v>
      </c>
      <c r="CN90" s="110">
        <v>2.1045257332306888</v>
      </c>
      <c r="CO90" s="110">
        <v>1239.9865620195217</v>
      </c>
      <c r="CP90" s="110">
        <v>3</v>
      </c>
      <c r="CQ90" s="110">
        <v>1767.6</v>
      </c>
      <c r="CR90" s="110">
        <v>3.2868651005694431</v>
      </c>
      <c r="CS90" s="110">
        <v>1936.6209172555157</v>
      </c>
      <c r="CT90" s="110">
        <v>2.3203281552716652</v>
      </c>
      <c r="CU90" s="110">
        <v>1367.1373490860651</v>
      </c>
    </row>
    <row r="91" spans="2:99" x14ac:dyDescent="0.2">
      <c r="C91" s="109" t="s">
        <v>259</v>
      </c>
      <c r="D91" s="110">
        <v>2.6998912568758016</v>
      </c>
      <c r="E91" s="110">
        <v>1723.6105783895116</v>
      </c>
      <c r="F91" s="110">
        <v>6.8739809204755735</v>
      </c>
      <c r="G91" s="110">
        <v>4388.349419631606</v>
      </c>
      <c r="H91" s="110">
        <v>4.5566791395927257</v>
      </c>
      <c r="I91" s="110">
        <v>2908.9839627159959</v>
      </c>
      <c r="J91" s="110">
        <v>5.4048116847537706</v>
      </c>
      <c r="K91" s="110">
        <v>3450.4317795468069</v>
      </c>
      <c r="L91" s="110">
        <v>6.3936499436065848</v>
      </c>
      <c r="M91" s="110">
        <v>4081.7061239984437</v>
      </c>
      <c r="N91" s="110">
        <v>6.1894774436210636</v>
      </c>
      <c r="O91" s="110">
        <v>3951.362400007687</v>
      </c>
      <c r="P91" s="110">
        <v>11.585641892171434</v>
      </c>
      <c r="Q91" s="110">
        <v>7396.2737839622432</v>
      </c>
      <c r="R91" s="110">
        <v>7.4003119956224443</v>
      </c>
      <c r="S91" s="110">
        <v>4724.3591780053684</v>
      </c>
      <c r="T91" s="110">
        <v>8</v>
      </c>
      <c r="U91" s="110">
        <v>5107.2</v>
      </c>
      <c r="V91" s="110">
        <v>9</v>
      </c>
      <c r="W91" s="110">
        <v>5745.5999999999995</v>
      </c>
      <c r="X91" s="110">
        <v>10</v>
      </c>
      <c r="Y91" s="110">
        <v>6384</v>
      </c>
      <c r="Z91" s="110">
        <v>10</v>
      </c>
      <c r="AA91" s="110">
        <v>6384</v>
      </c>
      <c r="AB91" s="110">
        <v>8</v>
      </c>
      <c r="AC91" s="110">
        <v>5107.2</v>
      </c>
      <c r="AD91" s="110">
        <v>10.007680632608771</v>
      </c>
      <c r="AE91" s="110">
        <v>6388.9033158574393</v>
      </c>
      <c r="AF91" s="110">
        <v>10</v>
      </c>
      <c r="AG91" s="110">
        <v>6384</v>
      </c>
      <c r="AH91" s="110">
        <v>11.014431293268526</v>
      </c>
      <c r="AI91" s="110">
        <v>7031.6129376226263</v>
      </c>
      <c r="AJ91" s="110">
        <v>3.0143100009069079</v>
      </c>
      <c r="AK91" s="110">
        <v>1924.3355045789699</v>
      </c>
      <c r="AL91" s="110">
        <v>2.3455412723612357</v>
      </c>
      <c r="AM91" s="110">
        <v>1497.3935482754127</v>
      </c>
      <c r="AN91" s="110">
        <v>4.3550397028649046</v>
      </c>
      <c r="AO91" s="110">
        <v>2780.2573463089552</v>
      </c>
      <c r="AP91" s="110">
        <v>4.324469570486805</v>
      </c>
      <c r="AQ91" s="110">
        <v>2760.7413737987763</v>
      </c>
      <c r="AR91" s="110">
        <v>2.2839108741759544</v>
      </c>
      <c r="AS91" s="110">
        <v>1458.0487020739292</v>
      </c>
      <c r="AT91" s="110">
        <v>2</v>
      </c>
      <c r="AU91" s="110">
        <v>1276.8</v>
      </c>
      <c r="AV91" s="110">
        <v>2</v>
      </c>
      <c r="AW91" s="110">
        <v>1276.8</v>
      </c>
      <c r="AX91" s="110">
        <v>1.2662797771486787</v>
      </c>
      <c r="AY91" s="110">
        <v>808.39300973171646</v>
      </c>
      <c r="AZ91" s="110">
        <v>7.2386211860921916</v>
      </c>
      <c r="BA91" s="110">
        <v>4621.1357652012548</v>
      </c>
      <c r="BB91" s="110">
        <v>10.251946835226882</v>
      </c>
      <c r="BC91" s="110">
        <v>6544.8428596088406</v>
      </c>
      <c r="BD91" s="110">
        <v>10</v>
      </c>
      <c r="BE91" s="110">
        <v>6384</v>
      </c>
      <c r="BF91" s="110">
        <v>7.2234247434717052</v>
      </c>
      <c r="BG91" s="110">
        <v>4611.4343562323365</v>
      </c>
      <c r="BH91" s="110">
        <v>4</v>
      </c>
      <c r="BI91" s="110">
        <v>2553.6</v>
      </c>
      <c r="BJ91" s="110">
        <v>6</v>
      </c>
      <c r="BK91" s="110">
        <v>3830.3999999999996</v>
      </c>
      <c r="BL91" s="110">
        <v>5</v>
      </c>
      <c r="BM91" s="110">
        <v>3192</v>
      </c>
      <c r="BN91" s="110">
        <v>5</v>
      </c>
      <c r="BO91" s="110">
        <v>3192</v>
      </c>
      <c r="BP91" s="110">
        <v>1</v>
      </c>
      <c r="BQ91" s="110">
        <v>638.4</v>
      </c>
      <c r="BR91" s="110">
        <v>2</v>
      </c>
      <c r="BS91" s="110">
        <v>1276.8</v>
      </c>
      <c r="BT91" s="110">
        <v>3</v>
      </c>
      <c r="BU91" s="110">
        <v>1915.1999999999998</v>
      </c>
      <c r="BV91" s="110">
        <v>2</v>
      </c>
      <c r="BW91" s="110">
        <v>1276.8</v>
      </c>
      <c r="BX91" s="110">
        <v>10</v>
      </c>
      <c r="BY91" s="110">
        <v>6384</v>
      </c>
      <c r="BZ91" s="110">
        <v>8</v>
      </c>
      <c r="CA91" s="110">
        <v>5107.2</v>
      </c>
      <c r="CB91" s="110">
        <v>7</v>
      </c>
      <c r="CC91" s="110">
        <v>4468.8</v>
      </c>
      <c r="CD91" s="110">
        <v>9</v>
      </c>
      <c r="CE91" s="110">
        <v>5745.5999999999995</v>
      </c>
      <c r="CF91" s="110">
        <v>13</v>
      </c>
      <c r="CG91" s="110">
        <v>8299.1999999999989</v>
      </c>
      <c r="CH91" s="110">
        <v>8.1396067860857357</v>
      </c>
      <c r="CI91" s="110">
        <v>5196.3249722371338</v>
      </c>
      <c r="CJ91" s="110">
        <v>11.126150916416007</v>
      </c>
      <c r="CK91" s="110">
        <v>7102.9347450399782</v>
      </c>
      <c r="CL91" s="110">
        <v>7.1518186361430738</v>
      </c>
      <c r="CM91" s="110">
        <v>4565.7210173137382</v>
      </c>
      <c r="CN91" s="110">
        <v>2.1058992045133533</v>
      </c>
      <c r="CO91" s="110">
        <v>1344.4060521613246</v>
      </c>
      <c r="CP91" s="110">
        <v>3</v>
      </c>
      <c r="CQ91" s="110">
        <v>1915.1999999999998</v>
      </c>
      <c r="CR91" s="110">
        <v>3.3227232381406235</v>
      </c>
      <c r="CS91" s="110">
        <v>2121.2265152289738</v>
      </c>
      <c r="CT91" s="110">
        <v>2.3203281552716652</v>
      </c>
      <c r="CU91" s="110">
        <v>1481.297494325431</v>
      </c>
    </row>
    <row r="92" spans="2:99" x14ac:dyDescent="0.2">
      <c r="C92" s="109" t="s">
        <v>260</v>
      </c>
      <c r="D92" s="110">
        <v>2.2499093807298349</v>
      </c>
      <c r="E92" s="110">
        <v>1123.1547628603337</v>
      </c>
      <c r="F92" s="110">
        <v>6.0426794038495801</v>
      </c>
      <c r="G92" s="110">
        <v>3016.5055584017105</v>
      </c>
      <c r="H92" s="110">
        <v>4.5566791395927257</v>
      </c>
      <c r="I92" s="110">
        <v>2274.6942264846884</v>
      </c>
      <c r="J92" s="110">
        <v>5.4048116847537706</v>
      </c>
      <c r="K92" s="110">
        <v>2698.0819930290822</v>
      </c>
      <c r="L92" s="110">
        <v>6.3893090513240498</v>
      </c>
      <c r="M92" s="110">
        <v>3189.5430784209657</v>
      </c>
      <c r="N92" s="110">
        <v>7.2368468045263299</v>
      </c>
      <c r="O92" s="110">
        <v>3612.6339248195436</v>
      </c>
      <c r="P92" s="110">
        <v>11.585641892171434</v>
      </c>
      <c r="Q92" s="110">
        <v>5783.5524325719798</v>
      </c>
      <c r="R92" s="110">
        <v>7.3924462829795665</v>
      </c>
      <c r="S92" s="110">
        <v>3690.3091844633996</v>
      </c>
      <c r="T92" s="110">
        <v>9</v>
      </c>
      <c r="U92" s="110">
        <v>4492.8</v>
      </c>
      <c r="V92" s="110">
        <v>9</v>
      </c>
      <c r="W92" s="110">
        <v>4492.8</v>
      </c>
      <c r="X92" s="110">
        <v>10</v>
      </c>
      <c r="Y92" s="110">
        <v>4992</v>
      </c>
      <c r="Z92" s="110">
        <v>11</v>
      </c>
      <c r="AA92" s="110">
        <v>5491.2</v>
      </c>
      <c r="AB92" s="110">
        <v>8</v>
      </c>
      <c r="AC92" s="110">
        <v>3993.6</v>
      </c>
      <c r="AD92" s="110">
        <v>11.008430648953611</v>
      </c>
      <c r="AE92" s="110">
        <v>5495.4085799576424</v>
      </c>
      <c r="AF92" s="110">
        <v>11</v>
      </c>
      <c r="AG92" s="110">
        <v>5491.2</v>
      </c>
      <c r="AH92" s="110">
        <v>11.014475490117873</v>
      </c>
      <c r="AI92" s="110">
        <v>5498.4261646668419</v>
      </c>
      <c r="AJ92" s="110">
        <v>3.0153476013004101</v>
      </c>
      <c r="AK92" s="110">
        <v>1505.2615225691648</v>
      </c>
      <c r="AL92" s="110">
        <v>3.3455412723612357</v>
      </c>
      <c r="AM92" s="110">
        <v>1670.0942031627287</v>
      </c>
      <c r="AN92" s="110">
        <v>4.3550397028649046</v>
      </c>
      <c r="AO92" s="110">
        <v>2174.0358196701604</v>
      </c>
      <c r="AP92" s="110">
        <v>4.324469570486805</v>
      </c>
      <c r="AQ92" s="110">
        <v>2158.7752095870128</v>
      </c>
      <c r="AR92" s="110">
        <v>2.2839108741759544</v>
      </c>
      <c r="AS92" s="110">
        <v>1140.1283083886365</v>
      </c>
      <c r="AT92" s="110">
        <v>2</v>
      </c>
      <c r="AU92" s="110">
        <v>998.4</v>
      </c>
      <c r="AV92" s="110">
        <v>2</v>
      </c>
      <c r="AW92" s="110">
        <v>998.4</v>
      </c>
      <c r="AX92" s="110">
        <v>2.2218998142905657</v>
      </c>
      <c r="AY92" s="110">
        <v>1109.1723872938503</v>
      </c>
      <c r="AZ92" s="110">
        <v>7.2386211860921916</v>
      </c>
      <c r="BA92" s="110">
        <v>3613.5196960972221</v>
      </c>
      <c r="BB92" s="110">
        <v>9.2519468352268817</v>
      </c>
      <c r="BC92" s="110">
        <v>4618.5718601452591</v>
      </c>
      <c r="BD92" s="110">
        <v>12</v>
      </c>
      <c r="BE92" s="110">
        <v>5990.4</v>
      </c>
      <c r="BF92" s="110">
        <v>6.2606622007169896</v>
      </c>
      <c r="BG92" s="110">
        <v>3125.3225705979212</v>
      </c>
      <c r="BH92" s="110">
        <v>4</v>
      </c>
      <c r="BI92" s="110">
        <v>1996.8</v>
      </c>
      <c r="BJ92" s="110">
        <v>6</v>
      </c>
      <c r="BK92" s="110">
        <v>2995.2</v>
      </c>
      <c r="BL92" s="110">
        <v>5</v>
      </c>
      <c r="BM92" s="110">
        <v>2496</v>
      </c>
      <c r="BN92" s="110">
        <v>5</v>
      </c>
      <c r="BO92" s="110">
        <v>2496</v>
      </c>
      <c r="BP92" s="110">
        <v>2</v>
      </c>
      <c r="BQ92" s="110">
        <v>998.4</v>
      </c>
      <c r="BR92" s="110">
        <v>2</v>
      </c>
      <c r="BS92" s="110">
        <v>998.4</v>
      </c>
      <c r="BT92" s="110">
        <v>3</v>
      </c>
      <c r="BU92" s="110">
        <v>1497.6</v>
      </c>
      <c r="BV92" s="110">
        <v>2</v>
      </c>
      <c r="BW92" s="110">
        <v>998.4</v>
      </c>
      <c r="BX92" s="110">
        <v>10</v>
      </c>
      <c r="BY92" s="110">
        <v>4992</v>
      </c>
      <c r="BZ92" s="110">
        <v>8</v>
      </c>
      <c r="CA92" s="110">
        <v>3993.6</v>
      </c>
      <c r="CB92" s="110">
        <v>7</v>
      </c>
      <c r="CC92" s="110">
        <v>3494.4</v>
      </c>
      <c r="CD92" s="110">
        <v>11</v>
      </c>
      <c r="CE92" s="110">
        <v>5491.2</v>
      </c>
      <c r="CF92" s="110">
        <v>13</v>
      </c>
      <c r="CG92" s="110">
        <v>6489.5999999999995</v>
      </c>
      <c r="CH92" s="110">
        <v>10.129792103583243</v>
      </c>
      <c r="CI92" s="110">
        <v>5056.7922181087552</v>
      </c>
      <c r="CJ92" s="110">
        <v>12.13611508518499</v>
      </c>
      <c r="CK92" s="110">
        <v>6058.3486505243472</v>
      </c>
      <c r="CL92" s="110">
        <v>7.1659504240818563</v>
      </c>
      <c r="CM92" s="110">
        <v>3577.2424517016625</v>
      </c>
      <c r="CN92" s="110">
        <v>2.1058992045133533</v>
      </c>
      <c r="CO92" s="110">
        <v>1051.264882893066</v>
      </c>
      <c r="CP92" s="110">
        <v>2</v>
      </c>
      <c r="CQ92" s="110">
        <v>998.4</v>
      </c>
      <c r="CR92" s="110">
        <v>3.3227232381406235</v>
      </c>
      <c r="CS92" s="110">
        <v>1658.7034404797992</v>
      </c>
      <c r="CT92" s="110">
        <v>1.3559201725240726</v>
      </c>
      <c r="CU92" s="110">
        <v>676.87535012401702</v>
      </c>
    </row>
    <row r="93" spans="2:99" x14ac:dyDescent="0.2">
      <c r="C93" s="109" t="s">
        <v>261</v>
      </c>
      <c r="D93" s="110">
        <v>2.6998912568758016</v>
      </c>
      <c r="E93" s="110">
        <v>469.7810786963895</v>
      </c>
      <c r="F93" s="110">
        <v>6.8753102158925392</v>
      </c>
      <c r="G93" s="110">
        <v>1196.3039775653019</v>
      </c>
      <c r="H93" s="110">
        <v>4.5566791395927257</v>
      </c>
      <c r="I93" s="110">
        <v>792.86217028913427</v>
      </c>
      <c r="J93" s="110">
        <v>5.4048116847537706</v>
      </c>
      <c r="K93" s="110">
        <v>940.43723314715612</v>
      </c>
      <c r="L93" s="110">
        <v>6.3936499436065848</v>
      </c>
      <c r="M93" s="110">
        <v>1112.4950901875457</v>
      </c>
      <c r="N93" s="110">
        <v>7.2368468045263299</v>
      </c>
      <c r="O93" s="110">
        <v>1259.2113439875814</v>
      </c>
      <c r="P93" s="110">
        <v>12.585641892171434</v>
      </c>
      <c r="Q93" s="110">
        <v>2189.9016892378295</v>
      </c>
      <c r="R93" s="110">
        <v>7.4003119956224443</v>
      </c>
      <c r="S93" s="110">
        <v>1287.6542872383054</v>
      </c>
      <c r="T93" s="110">
        <v>9</v>
      </c>
      <c r="U93" s="110">
        <v>1566</v>
      </c>
      <c r="V93" s="110">
        <v>10</v>
      </c>
      <c r="W93" s="110">
        <v>1740</v>
      </c>
      <c r="X93" s="110">
        <v>12</v>
      </c>
      <c r="Y93" s="110">
        <v>2088</v>
      </c>
      <c r="Z93" s="110">
        <v>11</v>
      </c>
      <c r="AA93" s="110">
        <v>1914</v>
      </c>
      <c r="AB93" s="110">
        <v>8</v>
      </c>
      <c r="AC93" s="110">
        <v>1392</v>
      </c>
      <c r="AD93" s="110">
        <v>9.0084306489536115</v>
      </c>
      <c r="AE93" s="110">
        <v>1567.4669329179285</v>
      </c>
      <c r="AF93" s="110">
        <v>12.014416412427453</v>
      </c>
      <c r="AG93" s="110">
        <v>2090.5084557623768</v>
      </c>
      <c r="AH93" s="110">
        <v>12.01338578918153</v>
      </c>
      <c r="AI93" s="110">
        <v>2090.3291273175864</v>
      </c>
      <c r="AJ93" s="110">
        <v>3.0143100009069079</v>
      </c>
      <c r="AK93" s="110">
        <v>524.48994015780193</v>
      </c>
      <c r="AL93" s="110">
        <v>3.3455412723612357</v>
      </c>
      <c r="AM93" s="110">
        <v>582.12418139085503</v>
      </c>
      <c r="AN93" s="110">
        <v>4.3550397028649046</v>
      </c>
      <c r="AO93" s="110">
        <v>757.77690829849337</v>
      </c>
      <c r="AP93" s="110">
        <v>4.324469570486805</v>
      </c>
      <c r="AQ93" s="110">
        <v>752.45770526470403</v>
      </c>
      <c r="AR93" s="110">
        <v>2.2839108741759544</v>
      </c>
      <c r="AS93" s="110">
        <v>397.40049210661607</v>
      </c>
      <c r="AT93" s="110">
        <v>2</v>
      </c>
      <c r="AU93" s="110">
        <v>348</v>
      </c>
      <c r="AV93" s="110">
        <v>2</v>
      </c>
      <c r="AW93" s="110">
        <v>348</v>
      </c>
      <c r="AX93" s="110">
        <v>2.2662797771486787</v>
      </c>
      <c r="AY93" s="110">
        <v>394.33268122387011</v>
      </c>
      <c r="AZ93" s="110">
        <v>7.2386211860921916</v>
      </c>
      <c r="BA93" s="110">
        <v>1259.5200863800414</v>
      </c>
      <c r="BB93" s="110">
        <v>10.287939240259295</v>
      </c>
      <c r="BC93" s="110">
        <v>1790.1014278051173</v>
      </c>
      <c r="BD93" s="110">
        <v>12</v>
      </c>
      <c r="BE93" s="110">
        <v>2088</v>
      </c>
      <c r="BF93" s="110">
        <v>7.2606622007169896</v>
      </c>
      <c r="BG93" s="110">
        <v>1263.3552229247562</v>
      </c>
      <c r="BH93" s="110">
        <v>4</v>
      </c>
      <c r="BI93" s="110">
        <v>696</v>
      </c>
      <c r="BJ93" s="110">
        <v>5</v>
      </c>
      <c r="BK93" s="110">
        <v>870</v>
      </c>
      <c r="BL93" s="110">
        <v>6</v>
      </c>
      <c r="BM93" s="110">
        <v>1044</v>
      </c>
      <c r="BN93" s="110">
        <v>6</v>
      </c>
      <c r="BO93" s="110">
        <v>1044</v>
      </c>
      <c r="BP93" s="110">
        <v>2</v>
      </c>
      <c r="BQ93" s="110">
        <v>348</v>
      </c>
      <c r="BR93" s="110">
        <v>2</v>
      </c>
      <c r="BS93" s="110">
        <v>348</v>
      </c>
      <c r="BT93" s="110">
        <v>3</v>
      </c>
      <c r="BU93" s="110">
        <v>522</v>
      </c>
      <c r="BV93" s="110">
        <v>2</v>
      </c>
      <c r="BW93" s="110">
        <v>348</v>
      </c>
      <c r="BX93" s="110">
        <v>12</v>
      </c>
      <c r="BY93" s="110">
        <v>2088</v>
      </c>
      <c r="BZ93" s="110">
        <v>7</v>
      </c>
      <c r="CA93" s="110">
        <v>1218</v>
      </c>
      <c r="CB93" s="110">
        <v>8</v>
      </c>
      <c r="CC93" s="110">
        <v>1392</v>
      </c>
      <c r="CD93" s="110">
        <v>10</v>
      </c>
      <c r="CE93" s="110">
        <v>1740</v>
      </c>
      <c r="CF93" s="110">
        <v>13</v>
      </c>
      <c r="CG93" s="110">
        <v>2262</v>
      </c>
      <c r="CH93" s="110">
        <v>9.1297921035832434</v>
      </c>
      <c r="CI93" s="110">
        <v>1588.5838260234843</v>
      </c>
      <c r="CJ93" s="110">
        <v>12.146408298513384</v>
      </c>
      <c r="CK93" s="110">
        <v>2113.4750439413287</v>
      </c>
      <c r="CL93" s="110">
        <v>7.1931765624784116</v>
      </c>
      <c r="CM93" s="110">
        <v>1251.6127218712436</v>
      </c>
      <c r="CN93" s="110">
        <v>2.1052124688720211</v>
      </c>
      <c r="CO93" s="110">
        <v>366.30696958373164</v>
      </c>
      <c r="CP93" s="110">
        <v>3</v>
      </c>
      <c r="CQ93" s="110">
        <v>522</v>
      </c>
      <c r="CR93" s="110">
        <v>3.3227232381406235</v>
      </c>
      <c r="CS93" s="110">
        <v>578.15384343646849</v>
      </c>
      <c r="CT93" s="110">
        <v>2.3559201725240726</v>
      </c>
      <c r="CU93" s="110">
        <v>409.93011001918865</v>
      </c>
    </row>
    <row r="94" spans="2:99" x14ac:dyDescent="0.2">
      <c r="C94" s="109" t="s">
        <v>262</v>
      </c>
      <c r="D94" s="110">
        <v>2.6998912568758016</v>
      </c>
      <c r="E94" s="110">
        <v>1930.9622269175732</v>
      </c>
      <c r="F94" s="110">
        <v>6.0413501084326153</v>
      </c>
      <c r="G94" s="110">
        <v>4320.7735975510059</v>
      </c>
      <c r="H94" s="110">
        <v>4.5566791395927257</v>
      </c>
      <c r="I94" s="110">
        <v>3258.9369206367173</v>
      </c>
      <c r="J94" s="110">
        <v>4.6326957297889466</v>
      </c>
      <c r="K94" s="110">
        <v>3313.3039859450541</v>
      </c>
      <c r="L94" s="110">
        <v>5.3893090513240498</v>
      </c>
      <c r="M94" s="110">
        <v>3854.4338335069601</v>
      </c>
      <c r="N94" s="110">
        <v>7.2368468045263299</v>
      </c>
      <c r="O94" s="110">
        <v>5175.7928345972305</v>
      </c>
      <c r="P94" s="110">
        <v>11.210939764160276</v>
      </c>
      <c r="Q94" s="110">
        <v>8018.0641193274287</v>
      </c>
      <c r="R94" s="110">
        <v>6.2227504371094131</v>
      </c>
      <c r="S94" s="110">
        <v>4450.5111126206521</v>
      </c>
      <c r="T94" s="110">
        <v>9</v>
      </c>
      <c r="U94" s="110">
        <v>6436.7999999999993</v>
      </c>
      <c r="V94" s="110">
        <v>8</v>
      </c>
      <c r="W94" s="110">
        <v>5721.5999999999995</v>
      </c>
      <c r="X94" s="110">
        <v>10</v>
      </c>
      <c r="Y94" s="110">
        <v>7151.9999999999991</v>
      </c>
      <c r="Z94" s="110">
        <v>11</v>
      </c>
      <c r="AA94" s="110">
        <v>7867.1999999999989</v>
      </c>
      <c r="AB94" s="110">
        <v>7</v>
      </c>
      <c r="AC94" s="110">
        <v>5006.3999999999996</v>
      </c>
      <c r="AD94" s="110">
        <v>10.008430648953611</v>
      </c>
      <c r="AE94" s="110">
        <v>7158.0296001316219</v>
      </c>
      <c r="AF94" s="110">
        <v>12</v>
      </c>
      <c r="AG94" s="110">
        <v>8582.4</v>
      </c>
      <c r="AH94" s="110">
        <v>12.01338578918153</v>
      </c>
      <c r="AI94" s="110">
        <v>8591.9735164226295</v>
      </c>
      <c r="AJ94" s="110">
        <v>3.0142689411173391</v>
      </c>
      <c r="AK94" s="110">
        <v>2155.8051466871207</v>
      </c>
      <c r="AL94" s="110">
        <v>3.3023486133160813</v>
      </c>
      <c r="AM94" s="110">
        <v>2361.8397282436613</v>
      </c>
      <c r="AN94" s="110">
        <v>4.3550397028649046</v>
      </c>
      <c r="AO94" s="110">
        <v>3114.7243954889796</v>
      </c>
      <c r="AP94" s="110">
        <v>4.2839108741759544</v>
      </c>
      <c r="AQ94" s="110">
        <v>3063.8530572106424</v>
      </c>
      <c r="AR94" s="110">
        <v>2.2839108741759544</v>
      </c>
      <c r="AS94" s="110">
        <v>1633.4530572106423</v>
      </c>
      <c r="AT94" s="110">
        <v>2</v>
      </c>
      <c r="AU94" s="110">
        <v>1430.3999999999999</v>
      </c>
      <c r="AV94" s="110">
        <v>2</v>
      </c>
      <c r="AW94" s="110">
        <v>1430.3999999999999</v>
      </c>
      <c r="AX94" s="110">
        <v>1.2662797771486787</v>
      </c>
      <c r="AY94" s="110">
        <v>905.64329661673492</v>
      </c>
      <c r="AZ94" s="110">
        <v>7.2386211860921916</v>
      </c>
      <c r="BA94" s="110">
        <v>5177.0618722931349</v>
      </c>
      <c r="BB94" s="110">
        <v>10.251946835226882</v>
      </c>
      <c r="BC94" s="110">
        <v>7332.1923765542651</v>
      </c>
      <c r="BD94" s="110">
        <v>11</v>
      </c>
      <c r="BE94" s="110">
        <v>7867.1999999999989</v>
      </c>
      <c r="BF94" s="110">
        <v>6.2234247434717052</v>
      </c>
      <c r="BG94" s="110">
        <v>4450.9933765309634</v>
      </c>
      <c r="BH94" s="110">
        <v>4</v>
      </c>
      <c r="BI94" s="110">
        <v>2860.7999999999997</v>
      </c>
      <c r="BJ94" s="110">
        <v>5</v>
      </c>
      <c r="BK94" s="110">
        <v>3575.9999999999995</v>
      </c>
      <c r="BL94" s="110">
        <v>6</v>
      </c>
      <c r="BM94" s="110">
        <v>4291.2</v>
      </c>
      <c r="BN94" s="110">
        <v>5</v>
      </c>
      <c r="BO94" s="110">
        <v>3575.9999999999995</v>
      </c>
      <c r="BP94" s="110">
        <v>2</v>
      </c>
      <c r="BQ94" s="110">
        <v>1430.3999999999999</v>
      </c>
      <c r="BR94" s="110">
        <v>2</v>
      </c>
      <c r="BS94" s="110">
        <v>1430.3999999999999</v>
      </c>
      <c r="BT94" s="110">
        <v>3</v>
      </c>
      <c r="BU94" s="110">
        <v>2145.6</v>
      </c>
      <c r="BV94" s="110">
        <v>2</v>
      </c>
      <c r="BW94" s="110">
        <v>1430.3999999999999</v>
      </c>
      <c r="BX94" s="110">
        <v>10</v>
      </c>
      <c r="BY94" s="110">
        <v>7151.9999999999991</v>
      </c>
      <c r="BZ94" s="110">
        <v>8</v>
      </c>
      <c r="CA94" s="110">
        <v>5721.5999999999995</v>
      </c>
      <c r="CB94" s="110">
        <v>8</v>
      </c>
      <c r="CC94" s="110">
        <v>5721.5999999999995</v>
      </c>
      <c r="CD94" s="110">
        <v>10</v>
      </c>
      <c r="CE94" s="110">
        <v>7151.9999999999991</v>
      </c>
      <c r="CF94" s="110">
        <v>13</v>
      </c>
      <c r="CG94" s="110">
        <v>9297.5999999999985</v>
      </c>
      <c r="CH94" s="110">
        <v>9.1396067860857357</v>
      </c>
      <c r="CI94" s="110">
        <v>6536.6467734085172</v>
      </c>
      <c r="CJ94" s="110">
        <v>10.146408298513384</v>
      </c>
      <c r="CK94" s="110">
        <v>7256.7112150967714</v>
      </c>
      <c r="CL94" s="110">
        <v>6.1518186361430738</v>
      </c>
      <c r="CM94" s="110">
        <v>4399.7806885695263</v>
      </c>
      <c r="CN94" s="110">
        <v>2.085955487765081</v>
      </c>
      <c r="CO94" s="110">
        <v>1491.8753648495858</v>
      </c>
      <c r="CP94" s="110">
        <v>2</v>
      </c>
      <c r="CQ94" s="110">
        <v>1430.3999999999999</v>
      </c>
      <c r="CR94" s="110">
        <v>2.2868651005694431</v>
      </c>
      <c r="CS94" s="110">
        <v>1635.5659199272657</v>
      </c>
      <c r="CT94" s="110">
        <v>2.3915121897764799</v>
      </c>
      <c r="CU94" s="110">
        <v>1710.4095181281382</v>
      </c>
    </row>
    <row r="95" spans="2:99" x14ac:dyDescent="0.2">
      <c r="B95" s="109" t="s">
        <v>132</v>
      </c>
      <c r="C95" s="109" t="s">
        <v>263</v>
      </c>
      <c r="D95" s="110">
        <v>1.7999275045838679</v>
      </c>
      <c r="E95" s="110">
        <v>1190.1120660308534</v>
      </c>
      <c r="F95" s="110">
        <v>3.4592922631316445</v>
      </c>
      <c r="G95" s="110">
        <v>2287.2840443826431</v>
      </c>
      <c r="H95" s="110">
        <v>5.2803820425651518</v>
      </c>
      <c r="I95" s="110">
        <v>3491.3886065440779</v>
      </c>
      <c r="J95" s="110">
        <v>3.8605797748241217</v>
      </c>
      <c r="K95" s="110">
        <v>2552.615347113709</v>
      </c>
      <c r="L95" s="110">
        <v>3.4045625658628658</v>
      </c>
      <c r="M95" s="110">
        <v>2251.0967685485266</v>
      </c>
      <c r="N95" s="110">
        <v>4.2368468045263299</v>
      </c>
      <c r="O95" s="110">
        <v>2801.4031071528088</v>
      </c>
      <c r="P95" s="110">
        <v>3.2953156698243879</v>
      </c>
      <c r="Q95" s="110">
        <v>2178.8627208878852</v>
      </c>
      <c r="R95" s="110">
        <v>3.2227504371094131</v>
      </c>
      <c r="S95" s="110">
        <v>2130.8825890167436</v>
      </c>
      <c r="T95" s="110">
        <v>7</v>
      </c>
      <c r="U95" s="110">
        <v>4628.3999999999996</v>
      </c>
      <c r="V95" s="110">
        <v>7</v>
      </c>
      <c r="W95" s="110">
        <v>4628.3999999999996</v>
      </c>
      <c r="X95" s="110">
        <v>6</v>
      </c>
      <c r="Y95" s="110">
        <v>3967.2</v>
      </c>
      <c r="Z95" s="110">
        <v>10</v>
      </c>
      <c r="AA95" s="110">
        <v>6611.9999999999991</v>
      </c>
      <c r="AB95" s="110">
        <v>5</v>
      </c>
      <c r="AC95" s="110">
        <v>3305.9999999999995</v>
      </c>
      <c r="AD95" s="110">
        <v>5.0030000653793625</v>
      </c>
      <c r="AE95" s="110">
        <v>3307.9836432288344</v>
      </c>
      <c r="AF95" s="110">
        <v>7</v>
      </c>
      <c r="AG95" s="110">
        <v>4628.3999999999996</v>
      </c>
      <c r="AH95" s="110">
        <v>8.0058020794764833</v>
      </c>
      <c r="AI95" s="110">
        <v>5293.4363349498499</v>
      </c>
      <c r="AJ95" s="110">
        <v>3.0055985998632004</v>
      </c>
      <c r="AK95" s="110">
        <v>1987.301794229548</v>
      </c>
      <c r="AL95" s="110">
        <v>3.259155954270927</v>
      </c>
      <c r="AM95" s="110">
        <v>2154.9539169639365</v>
      </c>
      <c r="AN95" s="110">
        <v>2.2218998142905657</v>
      </c>
      <c r="AO95" s="110">
        <v>1469.1201572089219</v>
      </c>
      <c r="AP95" s="110">
        <v>2.2839108741759544</v>
      </c>
      <c r="AQ95" s="110">
        <v>1510.1218700051409</v>
      </c>
      <c r="AR95" s="110">
        <v>3.3650282667976557</v>
      </c>
      <c r="AS95" s="110">
        <v>2224.9566900066097</v>
      </c>
      <c r="AT95" s="110">
        <v>4</v>
      </c>
      <c r="AU95" s="110">
        <v>2644.7999999999997</v>
      </c>
      <c r="AV95" s="110">
        <v>3</v>
      </c>
      <c r="AW95" s="110">
        <v>1983.6</v>
      </c>
      <c r="AX95" s="110">
        <v>4.3106597400067921</v>
      </c>
      <c r="AY95" s="110">
        <v>2850.2082200924906</v>
      </c>
      <c r="AZ95" s="110">
        <v>8.3181615814562555</v>
      </c>
      <c r="BA95" s="110">
        <v>5499.9684376588757</v>
      </c>
      <c r="BB95" s="110">
        <v>6.3239316452917063</v>
      </c>
      <c r="BC95" s="110">
        <v>4181.383603866876</v>
      </c>
      <c r="BD95" s="110">
        <v>7</v>
      </c>
      <c r="BE95" s="110">
        <v>4628.3999999999996</v>
      </c>
      <c r="BF95" s="110">
        <v>11.297899657962274</v>
      </c>
      <c r="BG95" s="110">
        <v>7470.1712538446545</v>
      </c>
      <c r="BH95" s="110">
        <v>3</v>
      </c>
      <c r="BI95" s="110">
        <v>1983.6</v>
      </c>
      <c r="BJ95" s="110">
        <v>2</v>
      </c>
      <c r="BK95" s="110">
        <v>1322.3999999999999</v>
      </c>
      <c r="BL95" s="110">
        <v>2</v>
      </c>
      <c r="BM95" s="110">
        <v>1322.3999999999999</v>
      </c>
      <c r="BN95" s="110">
        <v>2</v>
      </c>
      <c r="BO95" s="110">
        <v>1322.3999999999999</v>
      </c>
      <c r="BP95" s="110">
        <v>4</v>
      </c>
      <c r="BQ95" s="110">
        <v>2644.7999999999997</v>
      </c>
      <c r="BR95" s="110">
        <v>6</v>
      </c>
      <c r="BS95" s="110">
        <v>3967.2</v>
      </c>
      <c r="BT95" s="110">
        <v>5</v>
      </c>
      <c r="BU95" s="110">
        <v>3305.9999999999995</v>
      </c>
      <c r="BV95" s="110">
        <v>6</v>
      </c>
      <c r="BW95" s="110">
        <v>3967.2</v>
      </c>
      <c r="BX95" s="110">
        <v>10</v>
      </c>
      <c r="BY95" s="110">
        <v>6611.9999999999991</v>
      </c>
      <c r="BZ95" s="110">
        <v>11</v>
      </c>
      <c r="CA95" s="110">
        <v>7273.1999999999989</v>
      </c>
      <c r="CB95" s="110">
        <v>7</v>
      </c>
      <c r="CC95" s="110">
        <v>4628.3999999999996</v>
      </c>
      <c r="CD95" s="110">
        <v>8</v>
      </c>
      <c r="CE95" s="110">
        <v>5289.5999999999995</v>
      </c>
      <c r="CF95" s="110">
        <v>4</v>
      </c>
      <c r="CG95" s="110">
        <v>2644.7999999999997</v>
      </c>
      <c r="CH95" s="110">
        <v>3.0821861784380062</v>
      </c>
      <c r="CI95" s="110">
        <v>2037.9415011832095</v>
      </c>
      <c r="CJ95" s="110">
        <v>4.0872813750183079</v>
      </c>
      <c r="CK95" s="110">
        <v>2702.510445162105</v>
      </c>
      <c r="CL95" s="110">
        <v>4.0732525333964356</v>
      </c>
      <c r="CM95" s="110">
        <v>2693.2345750817231</v>
      </c>
      <c r="CN95" s="110">
        <v>3.1258429212616261</v>
      </c>
      <c r="CO95" s="110">
        <v>2066.8073395381871</v>
      </c>
      <c r="CP95" s="110">
        <v>5</v>
      </c>
      <c r="CQ95" s="110">
        <v>3305.9999999999995</v>
      </c>
      <c r="CR95" s="110">
        <v>3.3227232381406235</v>
      </c>
      <c r="CS95" s="110">
        <v>2196.9846050585802</v>
      </c>
      <c r="CT95" s="110">
        <v>5.2847361380192579</v>
      </c>
      <c r="CU95" s="110">
        <v>3494.2675344583331</v>
      </c>
    </row>
    <row r="96" spans="2:99" x14ac:dyDescent="0.2">
      <c r="C96" s="109" t="s">
        <v>264</v>
      </c>
      <c r="D96" s="110">
        <v>2.2499093807298349</v>
      </c>
      <c r="E96" s="110">
        <v>2513.5987601513716</v>
      </c>
      <c r="F96" s="110">
        <v>3.4592922631316445</v>
      </c>
      <c r="G96" s="110">
        <v>3864.7213163706733</v>
      </c>
      <c r="H96" s="110">
        <v>5.2803820425651518</v>
      </c>
      <c r="I96" s="110">
        <v>5899.2428179537874</v>
      </c>
      <c r="J96" s="110">
        <v>3.8605797748241217</v>
      </c>
      <c r="K96" s="110">
        <v>4313.039724433509</v>
      </c>
      <c r="L96" s="110">
        <v>3.5883648608185537</v>
      </c>
      <c r="M96" s="110">
        <v>4008.9212225064884</v>
      </c>
      <c r="N96" s="110">
        <v>4.2368468045263299</v>
      </c>
      <c r="O96" s="110">
        <v>4733.4052500168164</v>
      </c>
      <c r="P96" s="110">
        <v>3.2953156698243879</v>
      </c>
      <c r="Q96" s="110">
        <v>3681.5266663278062</v>
      </c>
      <c r="R96" s="110">
        <v>3.2227504371094131</v>
      </c>
      <c r="S96" s="110">
        <v>3600.4567883386367</v>
      </c>
      <c r="T96" s="110">
        <v>6</v>
      </c>
      <c r="U96" s="110">
        <v>6703.2000000000007</v>
      </c>
      <c r="V96" s="110">
        <v>7</v>
      </c>
      <c r="W96" s="110">
        <v>7820.4000000000005</v>
      </c>
      <c r="X96" s="110">
        <v>6</v>
      </c>
      <c r="Y96" s="110">
        <v>6703.2000000000007</v>
      </c>
      <c r="Z96" s="110">
        <v>10</v>
      </c>
      <c r="AA96" s="110">
        <v>11172</v>
      </c>
      <c r="AB96" s="110">
        <v>5</v>
      </c>
      <c r="AC96" s="110">
        <v>5586</v>
      </c>
      <c r="AD96" s="110">
        <v>6.0030000653793625</v>
      </c>
      <c r="AE96" s="110">
        <v>6706.551673041824</v>
      </c>
      <c r="AF96" s="110">
        <v>6</v>
      </c>
      <c r="AG96" s="110">
        <v>6703.2000000000007</v>
      </c>
      <c r="AH96" s="110">
        <v>8.0047123785401411</v>
      </c>
      <c r="AI96" s="110">
        <v>8942.8646693050468</v>
      </c>
      <c r="AJ96" s="110">
        <v>3.0055985998632004</v>
      </c>
      <c r="AK96" s="110">
        <v>3357.8547557671677</v>
      </c>
      <c r="AL96" s="110">
        <v>2.259155954270927</v>
      </c>
      <c r="AM96" s="110">
        <v>2523.9290321114795</v>
      </c>
      <c r="AN96" s="110">
        <v>2.2218998142905657</v>
      </c>
      <c r="AO96" s="110">
        <v>2482.3064725254203</v>
      </c>
      <c r="AP96" s="110">
        <v>2.324469570486805</v>
      </c>
      <c r="AQ96" s="110">
        <v>2596.8974041478587</v>
      </c>
      <c r="AR96" s="110">
        <v>3.324469570486805</v>
      </c>
      <c r="AS96" s="110">
        <v>3714.0974041478589</v>
      </c>
      <c r="AT96" s="110">
        <v>4</v>
      </c>
      <c r="AU96" s="110">
        <v>4468.8</v>
      </c>
      <c r="AV96" s="110">
        <v>3</v>
      </c>
      <c r="AW96" s="110">
        <v>3351.6000000000004</v>
      </c>
      <c r="AX96" s="110">
        <v>4.2662797771486787</v>
      </c>
      <c r="AY96" s="110">
        <v>4766.2877670305043</v>
      </c>
      <c r="AZ96" s="110">
        <v>7.3181615814562555</v>
      </c>
      <c r="BA96" s="110">
        <v>8175.8501188029286</v>
      </c>
      <c r="BB96" s="110">
        <v>7.3239316452917063</v>
      </c>
      <c r="BC96" s="110">
        <v>8182.2964341198949</v>
      </c>
      <c r="BD96" s="110">
        <v>6</v>
      </c>
      <c r="BE96" s="110">
        <v>6703.2000000000007</v>
      </c>
      <c r="BF96" s="110">
        <v>11.335137115207559</v>
      </c>
      <c r="BG96" s="110">
        <v>12663.615185109886</v>
      </c>
      <c r="BH96" s="110">
        <v>3</v>
      </c>
      <c r="BI96" s="110">
        <v>3351.6000000000004</v>
      </c>
      <c r="BJ96" s="110">
        <v>2</v>
      </c>
      <c r="BK96" s="110">
        <v>2234.4</v>
      </c>
      <c r="BL96" s="110">
        <v>2</v>
      </c>
      <c r="BM96" s="110">
        <v>2234.4</v>
      </c>
      <c r="BN96" s="110">
        <v>2</v>
      </c>
      <c r="BO96" s="110">
        <v>2234.4</v>
      </c>
      <c r="BP96" s="110">
        <v>4</v>
      </c>
      <c r="BQ96" s="110">
        <v>4468.8</v>
      </c>
      <c r="BR96" s="110">
        <v>6</v>
      </c>
      <c r="BS96" s="110">
        <v>6703.2000000000007</v>
      </c>
      <c r="BT96" s="110">
        <v>5</v>
      </c>
      <c r="BU96" s="110">
        <v>5586</v>
      </c>
      <c r="BV96" s="110">
        <v>5</v>
      </c>
      <c r="BW96" s="110">
        <v>5586</v>
      </c>
      <c r="BX96" s="110">
        <v>9</v>
      </c>
      <c r="BY96" s="110">
        <v>10054.800000000001</v>
      </c>
      <c r="BZ96" s="110">
        <v>10</v>
      </c>
      <c r="CA96" s="110">
        <v>11172</v>
      </c>
      <c r="CB96" s="110">
        <v>6</v>
      </c>
      <c r="CC96" s="110">
        <v>6703.2000000000007</v>
      </c>
      <c r="CD96" s="110">
        <v>6</v>
      </c>
      <c r="CE96" s="110">
        <v>6703.2000000000007</v>
      </c>
      <c r="CF96" s="110">
        <v>3</v>
      </c>
      <c r="CG96" s="110">
        <v>3351.6000000000004</v>
      </c>
      <c r="CH96" s="110">
        <v>3.0825530502798126</v>
      </c>
      <c r="CI96" s="110">
        <v>3443.828267772607</v>
      </c>
      <c r="CJ96" s="110">
        <v>5.0763300725710936</v>
      </c>
      <c r="CK96" s="110">
        <v>5671.2759570764256</v>
      </c>
      <c r="CL96" s="110">
        <v>3.07377125213694</v>
      </c>
      <c r="CM96" s="110">
        <v>3434.0172428873893</v>
      </c>
      <c r="CN96" s="110">
        <v>3.1258429212616261</v>
      </c>
      <c r="CO96" s="110">
        <v>3492.1917116334889</v>
      </c>
      <c r="CP96" s="110">
        <v>5</v>
      </c>
      <c r="CQ96" s="110">
        <v>5586</v>
      </c>
      <c r="CR96" s="110">
        <v>3.2868651005694431</v>
      </c>
      <c r="CS96" s="110">
        <v>3672.0856903561821</v>
      </c>
      <c r="CT96" s="110">
        <v>5.3203281552716657</v>
      </c>
      <c r="CU96" s="110">
        <v>5943.8706150695052</v>
      </c>
    </row>
    <row r="97" spans="2:99" x14ac:dyDescent="0.2">
      <c r="C97" s="109" t="s">
        <v>265</v>
      </c>
      <c r="D97" s="110">
        <v>2.2499093807298349</v>
      </c>
      <c r="E97" s="110">
        <v>1333.7462808966461</v>
      </c>
      <c r="F97" s="110">
        <v>3.4753883900016205</v>
      </c>
      <c r="G97" s="110">
        <v>2060.2102375929603</v>
      </c>
      <c r="H97" s="110">
        <v>6.2401018427841501</v>
      </c>
      <c r="I97" s="110">
        <v>3699.1323724024437</v>
      </c>
      <c r="J97" s="110">
        <v>3.8605797748241217</v>
      </c>
      <c r="K97" s="110">
        <v>2288.5516905157392</v>
      </c>
      <c r="L97" s="110">
        <v>3.6846069005789324</v>
      </c>
      <c r="M97" s="110">
        <v>2184.2349706631908</v>
      </c>
      <c r="N97" s="110">
        <v>4.2368468045263299</v>
      </c>
      <c r="O97" s="110">
        <v>2511.6027857232079</v>
      </c>
      <c r="P97" s="110">
        <v>3.2953156698243879</v>
      </c>
      <c r="Q97" s="110">
        <v>1953.4631290718971</v>
      </c>
      <c r="R97" s="110">
        <v>3.2673005245312958</v>
      </c>
      <c r="S97" s="110">
        <v>1936.8557509421521</v>
      </c>
      <c r="T97" s="110">
        <v>6</v>
      </c>
      <c r="U97" s="110">
        <v>3556.7999999999997</v>
      </c>
      <c r="V97" s="110">
        <v>7</v>
      </c>
      <c r="W97" s="110">
        <v>4149.5999999999995</v>
      </c>
      <c r="X97" s="110">
        <v>7</v>
      </c>
      <c r="Y97" s="110">
        <v>4149.5999999999995</v>
      </c>
      <c r="Z97" s="110">
        <v>10</v>
      </c>
      <c r="AA97" s="110">
        <v>5928</v>
      </c>
      <c r="AB97" s="110">
        <v>5</v>
      </c>
      <c r="AC97" s="110">
        <v>2964</v>
      </c>
      <c r="AD97" s="110">
        <v>5.0034692851963127</v>
      </c>
      <c r="AE97" s="110">
        <v>2966.0565922643741</v>
      </c>
      <c r="AF97" s="110">
        <v>7</v>
      </c>
      <c r="AG97" s="110">
        <v>4149.5999999999995</v>
      </c>
      <c r="AH97" s="110">
        <v>8.0058020794764833</v>
      </c>
      <c r="AI97" s="110">
        <v>4745.8394727136592</v>
      </c>
      <c r="AJ97" s="110">
        <v>3.0055985998632004</v>
      </c>
      <c r="AK97" s="110">
        <v>1781.7188499989052</v>
      </c>
      <c r="AL97" s="110">
        <v>2.259155954270927</v>
      </c>
      <c r="AM97" s="110">
        <v>1339.2276496918055</v>
      </c>
      <c r="AN97" s="110">
        <v>2.2662797771486787</v>
      </c>
      <c r="AO97" s="110">
        <v>1343.4506518937367</v>
      </c>
      <c r="AP97" s="110">
        <v>2.324469570486805</v>
      </c>
      <c r="AQ97" s="110">
        <v>1377.945561384578</v>
      </c>
      <c r="AR97" s="110">
        <v>3.3650282667976557</v>
      </c>
      <c r="AS97" s="110">
        <v>1994.7887565576502</v>
      </c>
      <c r="AT97" s="110">
        <v>4</v>
      </c>
      <c r="AU97" s="110">
        <v>2371.1999999999998</v>
      </c>
      <c r="AV97" s="110">
        <v>3</v>
      </c>
      <c r="AW97" s="110">
        <v>1778.3999999999999</v>
      </c>
      <c r="AX97" s="110">
        <v>4.3106597400067921</v>
      </c>
      <c r="AY97" s="110">
        <v>2555.3590938760262</v>
      </c>
      <c r="AZ97" s="110">
        <v>7.2783913837742231</v>
      </c>
      <c r="BA97" s="110">
        <v>4314.6304123013588</v>
      </c>
      <c r="BB97" s="110">
        <v>7.3239316452917063</v>
      </c>
      <c r="BC97" s="110">
        <v>4341.6266793289233</v>
      </c>
      <c r="BD97" s="110">
        <v>6</v>
      </c>
      <c r="BE97" s="110">
        <v>3556.7999999999997</v>
      </c>
      <c r="BF97" s="110">
        <v>11.297899657962274</v>
      </c>
      <c r="BG97" s="110">
        <v>6697.3949172400353</v>
      </c>
      <c r="BH97" s="110">
        <v>3</v>
      </c>
      <c r="BI97" s="110">
        <v>1778.3999999999999</v>
      </c>
      <c r="BJ97" s="110">
        <v>2</v>
      </c>
      <c r="BK97" s="110">
        <v>1185.5999999999999</v>
      </c>
      <c r="BL97" s="110">
        <v>2</v>
      </c>
      <c r="BM97" s="110">
        <v>1185.5999999999999</v>
      </c>
      <c r="BN97" s="110">
        <v>3</v>
      </c>
      <c r="BO97" s="110">
        <v>1778.3999999999999</v>
      </c>
      <c r="BP97" s="110">
        <v>4</v>
      </c>
      <c r="BQ97" s="110">
        <v>2371.1999999999998</v>
      </c>
      <c r="BR97" s="110">
        <v>6</v>
      </c>
      <c r="BS97" s="110">
        <v>3556.7999999999997</v>
      </c>
      <c r="BT97" s="110">
        <v>6</v>
      </c>
      <c r="BU97" s="110">
        <v>3556.7999999999997</v>
      </c>
      <c r="BV97" s="110">
        <v>5</v>
      </c>
      <c r="BW97" s="110">
        <v>2964</v>
      </c>
      <c r="BX97" s="110">
        <v>11</v>
      </c>
      <c r="BY97" s="110">
        <v>6520.7999999999993</v>
      </c>
      <c r="BZ97" s="110">
        <v>11</v>
      </c>
      <c r="CA97" s="110">
        <v>6520.7999999999993</v>
      </c>
      <c r="CB97" s="110">
        <v>6</v>
      </c>
      <c r="CC97" s="110">
        <v>3556.7999999999997</v>
      </c>
      <c r="CD97" s="110">
        <v>7</v>
      </c>
      <c r="CE97" s="110">
        <v>4149.5999999999995</v>
      </c>
      <c r="CF97" s="110">
        <v>4</v>
      </c>
      <c r="CG97" s="110">
        <v>2371.1999999999998</v>
      </c>
      <c r="CH97" s="110">
        <v>3.0821861784380062</v>
      </c>
      <c r="CI97" s="110">
        <v>1827.11996657805</v>
      </c>
      <c r="CJ97" s="110">
        <v>5.0866232858994866</v>
      </c>
      <c r="CK97" s="110">
        <v>3015.3502838812155</v>
      </c>
      <c r="CL97" s="110">
        <v>4.0737712521369396</v>
      </c>
      <c r="CM97" s="110">
        <v>2414.9315982667777</v>
      </c>
      <c r="CN97" s="110">
        <v>3.1464733736512307</v>
      </c>
      <c r="CO97" s="110">
        <v>1865.2294159004493</v>
      </c>
      <c r="CP97" s="110">
        <v>6</v>
      </c>
      <c r="CQ97" s="110">
        <v>3556.7999999999997</v>
      </c>
      <c r="CR97" s="110">
        <v>3.3227232381406235</v>
      </c>
      <c r="CS97" s="110">
        <v>1969.7103355697616</v>
      </c>
      <c r="CT97" s="110">
        <v>5.3203281552716657</v>
      </c>
      <c r="CU97" s="110">
        <v>3153.8905304450432</v>
      </c>
    </row>
    <row r="98" spans="2:99" x14ac:dyDescent="0.2">
      <c r="C98" s="109" t="s">
        <v>266</v>
      </c>
      <c r="D98" s="110">
        <v>2.2499093807298349</v>
      </c>
      <c r="E98" s="110">
        <v>1031.3584601265563</v>
      </c>
      <c r="F98" s="110">
        <v>3.4592922631316445</v>
      </c>
      <c r="G98" s="110">
        <v>1585.7395734195456</v>
      </c>
      <c r="H98" s="110">
        <v>6.2803820425651518</v>
      </c>
      <c r="I98" s="110">
        <v>2878.9271283118655</v>
      </c>
      <c r="J98" s="110">
        <v>3.8605797748241217</v>
      </c>
      <c r="K98" s="110">
        <v>1769.6897687793773</v>
      </c>
      <c r="L98" s="110">
        <v>3.4964637133407095</v>
      </c>
      <c r="M98" s="110">
        <v>1602.7789661953811</v>
      </c>
      <c r="N98" s="110">
        <v>4.2368468045263299</v>
      </c>
      <c r="O98" s="110">
        <v>1942.1705751948696</v>
      </c>
      <c r="P98" s="110">
        <v>3.2531277169923323</v>
      </c>
      <c r="Q98" s="110">
        <v>1491.2337454692849</v>
      </c>
      <c r="R98" s="110">
        <v>3.2673005245312958</v>
      </c>
      <c r="S98" s="110">
        <v>1497.730560445146</v>
      </c>
      <c r="T98" s="110">
        <v>7</v>
      </c>
      <c r="U98" s="110">
        <v>3208.7999999999997</v>
      </c>
      <c r="V98" s="110">
        <v>7</v>
      </c>
      <c r="W98" s="110">
        <v>3208.7999999999997</v>
      </c>
      <c r="X98" s="110">
        <v>7</v>
      </c>
      <c r="Y98" s="110">
        <v>3208.7999999999997</v>
      </c>
      <c r="Z98" s="110">
        <v>10</v>
      </c>
      <c r="AA98" s="110">
        <v>4584</v>
      </c>
      <c r="AB98" s="110">
        <v>6</v>
      </c>
      <c r="AC98" s="110">
        <v>2750.3999999999996</v>
      </c>
      <c r="AD98" s="110">
        <v>6.0030000653793625</v>
      </c>
      <c r="AE98" s="110">
        <v>2751.7752299698996</v>
      </c>
      <c r="AF98" s="110">
        <v>8</v>
      </c>
      <c r="AG98" s="110">
        <v>3667.2</v>
      </c>
      <c r="AH98" s="110">
        <v>8.0057578826271367</v>
      </c>
      <c r="AI98" s="110">
        <v>3669.8394133962793</v>
      </c>
      <c r="AJ98" s="110">
        <v>3.0066772600462719</v>
      </c>
      <c r="AK98" s="110">
        <v>1378.2608560052111</v>
      </c>
      <c r="AL98" s="110">
        <v>2.3023486133160813</v>
      </c>
      <c r="AM98" s="110">
        <v>1055.3966043440917</v>
      </c>
      <c r="AN98" s="110">
        <v>2.2662797771486787</v>
      </c>
      <c r="AO98" s="110">
        <v>1038.8626498449541</v>
      </c>
      <c r="AP98" s="110">
        <v>2.324469570486805</v>
      </c>
      <c r="AQ98" s="110">
        <v>1065.5368511111515</v>
      </c>
      <c r="AR98" s="110">
        <v>3.324469570486805</v>
      </c>
      <c r="AS98" s="110">
        <v>1523.9368511111513</v>
      </c>
      <c r="AT98" s="110">
        <v>4</v>
      </c>
      <c r="AU98" s="110">
        <v>1833.6</v>
      </c>
      <c r="AV98" s="110">
        <v>3</v>
      </c>
      <c r="AW98" s="110">
        <v>1375.1999999999998</v>
      </c>
      <c r="AX98" s="110">
        <v>4.3106597400067921</v>
      </c>
      <c r="AY98" s="110">
        <v>1976.0064248191134</v>
      </c>
      <c r="AZ98" s="110">
        <v>7.3181615814562555</v>
      </c>
      <c r="BA98" s="110">
        <v>3354.6452689395473</v>
      </c>
      <c r="BB98" s="110">
        <v>8.3239316452917063</v>
      </c>
      <c r="BC98" s="110">
        <v>3815.6902662017178</v>
      </c>
      <c r="BD98" s="110">
        <v>7</v>
      </c>
      <c r="BE98" s="110">
        <v>3208.7999999999997</v>
      </c>
      <c r="BF98" s="110">
        <v>12.335137115207559</v>
      </c>
      <c r="BG98" s="110">
        <v>5654.4268536111449</v>
      </c>
      <c r="BH98" s="110">
        <v>3</v>
      </c>
      <c r="BI98" s="110">
        <v>1375.1999999999998</v>
      </c>
      <c r="BJ98" s="110">
        <v>2</v>
      </c>
      <c r="BK98" s="110">
        <v>916.8</v>
      </c>
      <c r="BL98" s="110">
        <v>2</v>
      </c>
      <c r="BM98" s="110">
        <v>916.8</v>
      </c>
      <c r="BN98" s="110">
        <v>2</v>
      </c>
      <c r="BO98" s="110">
        <v>916.8</v>
      </c>
      <c r="BP98" s="110">
        <v>4</v>
      </c>
      <c r="BQ98" s="110">
        <v>1833.6</v>
      </c>
      <c r="BR98" s="110">
        <v>6</v>
      </c>
      <c r="BS98" s="110">
        <v>2750.3999999999996</v>
      </c>
      <c r="BT98" s="110">
        <v>5</v>
      </c>
      <c r="BU98" s="110">
        <v>2292</v>
      </c>
      <c r="BV98" s="110">
        <v>5</v>
      </c>
      <c r="BW98" s="110">
        <v>2292</v>
      </c>
      <c r="BX98" s="110">
        <v>10</v>
      </c>
      <c r="BY98" s="110">
        <v>4584</v>
      </c>
      <c r="BZ98" s="110">
        <v>10</v>
      </c>
      <c r="CA98" s="110">
        <v>4584</v>
      </c>
      <c r="CB98" s="110">
        <v>6</v>
      </c>
      <c r="CC98" s="110">
        <v>2750.3999999999996</v>
      </c>
      <c r="CD98" s="110">
        <v>7</v>
      </c>
      <c r="CE98" s="110">
        <v>3208.7999999999997</v>
      </c>
      <c r="CF98" s="110">
        <v>3</v>
      </c>
      <c r="CG98" s="110">
        <v>1375.1999999999998</v>
      </c>
      <c r="CH98" s="110">
        <v>3.0731052396191263</v>
      </c>
      <c r="CI98" s="110">
        <v>1408.7114418414073</v>
      </c>
      <c r="CJ98" s="110">
        <v>4.0769881616899148</v>
      </c>
      <c r="CK98" s="110">
        <v>1868.8913733186569</v>
      </c>
      <c r="CL98" s="110">
        <v>4.0606769016791668</v>
      </c>
      <c r="CM98" s="110">
        <v>1861.4142917297299</v>
      </c>
      <c r="CN98" s="110">
        <v>3.1258429212616261</v>
      </c>
      <c r="CO98" s="110">
        <v>1432.8863951063292</v>
      </c>
      <c r="CP98" s="110">
        <v>5</v>
      </c>
      <c r="CQ98" s="110">
        <v>2292</v>
      </c>
      <c r="CR98" s="110">
        <v>4.3227232381406235</v>
      </c>
      <c r="CS98" s="110">
        <v>1981.5363323636618</v>
      </c>
      <c r="CT98" s="110">
        <v>5.3203281552716657</v>
      </c>
      <c r="CU98" s="110">
        <v>2438.8384263765315</v>
      </c>
    </row>
    <row r="99" spans="2:99" x14ac:dyDescent="0.2">
      <c r="C99" s="109" t="s">
        <v>267</v>
      </c>
      <c r="D99" s="110">
        <v>1.7999275045838679</v>
      </c>
      <c r="E99" s="110">
        <v>7777.8467328078095</v>
      </c>
      <c r="F99" s="110">
        <v>2.6105653242187103</v>
      </c>
      <c r="G99" s="110">
        <v>11280.77487901389</v>
      </c>
      <c r="H99" s="110">
        <v>4.967975383637528</v>
      </c>
      <c r="I99" s="110">
        <v>21467.615227774484</v>
      </c>
      <c r="J99" s="110">
        <v>3.0884638198592977</v>
      </c>
      <c r="K99" s="110">
        <v>13345.869858375996</v>
      </c>
      <c r="L99" s="110">
        <v>3.1288591234293346</v>
      </c>
      <c r="M99" s="110">
        <v>13520.426044162839</v>
      </c>
      <c r="N99" s="110">
        <v>3.189477443621064</v>
      </c>
      <c r="O99" s="110">
        <v>13782.369929375342</v>
      </c>
      <c r="P99" s="110">
        <v>2.2531277169923323</v>
      </c>
      <c r="Q99" s="110">
        <v>9736.2154906672658</v>
      </c>
      <c r="R99" s="110">
        <v>2.2227504371094131</v>
      </c>
      <c r="S99" s="110">
        <v>9604.9491888371958</v>
      </c>
      <c r="T99" s="110">
        <v>4</v>
      </c>
      <c r="U99" s="110">
        <v>17284.8</v>
      </c>
      <c r="V99" s="110">
        <v>5</v>
      </c>
      <c r="W99" s="110">
        <v>21606</v>
      </c>
      <c r="X99" s="110">
        <v>4</v>
      </c>
      <c r="Y99" s="110">
        <v>17284.8</v>
      </c>
      <c r="Z99" s="110">
        <v>7</v>
      </c>
      <c r="AA99" s="110">
        <v>30248.399999999998</v>
      </c>
      <c r="AB99" s="110">
        <v>4</v>
      </c>
      <c r="AC99" s="110">
        <v>17284.8</v>
      </c>
      <c r="AD99" s="110">
        <v>4.0022500490345214</v>
      </c>
      <c r="AE99" s="110">
        <v>17294.522911887972</v>
      </c>
      <c r="AF99" s="110">
        <v>5</v>
      </c>
      <c r="AG99" s="110">
        <v>21606</v>
      </c>
      <c r="AH99" s="110">
        <v>5.0046681816907945</v>
      </c>
      <c r="AI99" s="110">
        <v>21626.17214672226</v>
      </c>
      <c r="AJ99" s="110">
        <v>3.0055575400736316</v>
      </c>
      <c r="AK99" s="110">
        <v>12987.615242166177</v>
      </c>
      <c r="AL99" s="110">
        <v>2.2159632952257722</v>
      </c>
      <c r="AM99" s="110">
        <v>9575.6205913296071</v>
      </c>
      <c r="AN99" s="110">
        <v>2.1775198514324523</v>
      </c>
      <c r="AO99" s="110">
        <v>9409.4987820099122</v>
      </c>
      <c r="AP99" s="110">
        <v>2.2839108741759544</v>
      </c>
      <c r="AQ99" s="110">
        <v>9869.2356694891332</v>
      </c>
      <c r="AR99" s="110">
        <v>3.2839108741759544</v>
      </c>
      <c r="AS99" s="110">
        <v>14190.435669489134</v>
      </c>
      <c r="AT99" s="110">
        <v>3</v>
      </c>
      <c r="AU99" s="110">
        <v>12963.599999999999</v>
      </c>
      <c r="AV99" s="110">
        <v>2</v>
      </c>
      <c r="AW99" s="110">
        <v>8642.4</v>
      </c>
      <c r="AX99" s="110">
        <v>3.2218998142905657</v>
      </c>
      <c r="AY99" s="110">
        <v>13922.473477512392</v>
      </c>
      <c r="AZ99" s="110">
        <v>4.2783913837742231</v>
      </c>
      <c r="BA99" s="110">
        <v>18487.784847565174</v>
      </c>
      <c r="BB99" s="110">
        <v>5.2519468352268825</v>
      </c>
      <c r="BC99" s="110">
        <v>22694.712664382405</v>
      </c>
      <c r="BD99" s="110">
        <v>5</v>
      </c>
      <c r="BE99" s="110">
        <v>21606</v>
      </c>
      <c r="BF99" s="110">
        <v>7.2606622007169896</v>
      </c>
      <c r="BG99" s="110">
        <v>31374.773501738255</v>
      </c>
      <c r="BH99" s="110">
        <v>2</v>
      </c>
      <c r="BI99" s="110">
        <v>8642.4</v>
      </c>
      <c r="BJ99" s="110">
        <v>2</v>
      </c>
      <c r="BK99" s="110">
        <v>8642.4</v>
      </c>
      <c r="BL99" s="110">
        <v>2</v>
      </c>
      <c r="BM99" s="110">
        <v>8642.4</v>
      </c>
      <c r="BN99" s="110">
        <v>2</v>
      </c>
      <c r="BO99" s="110">
        <v>8642.4</v>
      </c>
      <c r="BP99" s="110">
        <v>3</v>
      </c>
      <c r="BQ99" s="110">
        <v>12963.599999999999</v>
      </c>
      <c r="BR99" s="110">
        <v>5</v>
      </c>
      <c r="BS99" s="110">
        <v>21606</v>
      </c>
      <c r="BT99" s="110">
        <v>4</v>
      </c>
      <c r="BU99" s="110">
        <v>17284.8</v>
      </c>
      <c r="BV99" s="110">
        <v>4</v>
      </c>
      <c r="BW99" s="110">
        <v>17284.8</v>
      </c>
      <c r="BX99" s="110">
        <v>7</v>
      </c>
      <c r="BY99" s="110">
        <v>30248.399999999998</v>
      </c>
      <c r="BZ99" s="110">
        <v>7</v>
      </c>
      <c r="CA99" s="110">
        <v>30248.399999999998</v>
      </c>
      <c r="CB99" s="110">
        <v>5</v>
      </c>
      <c r="CC99" s="110">
        <v>21606</v>
      </c>
      <c r="CD99" s="110">
        <v>5</v>
      </c>
      <c r="CE99" s="110">
        <v>21606</v>
      </c>
      <c r="CF99" s="110">
        <v>3</v>
      </c>
      <c r="CG99" s="110">
        <v>12963.599999999999</v>
      </c>
      <c r="CH99" s="110">
        <v>2.0723714959355135</v>
      </c>
      <c r="CI99" s="110">
        <v>8955.1317082365404</v>
      </c>
      <c r="CJ99" s="110">
        <v>3.065707814683289</v>
      </c>
      <c r="CK99" s="110">
        <v>13247.536608809429</v>
      </c>
      <c r="CL99" s="110">
        <v>3.0586020267171481</v>
      </c>
      <c r="CM99" s="110">
        <v>13216.83107785014</v>
      </c>
      <c r="CN99" s="110">
        <v>2.1052124688720211</v>
      </c>
      <c r="CO99" s="110">
        <v>9097.0441204897779</v>
      </c>
      <c r="CP99" s="110">
        <v>4</v>
      </c>
      <c r="CQ99" s="110">
        <v>17284.8</v>
      </c>
      <c r="CR99" s="110">
        <v>2.2868651005694431</v>
      </c>
      <c r="CS99" s="110">
        <v>9882.0014725806777</v>
      </c>
      <c r="CT99" s="110">
        <v>3.249144120766851</v>
      </c>
      <c r="CU99" s="110">
        <v>14040.201574657716</v>
      </c>
    </row>
    <row r="100" spans="2:99" x14ac:dyDescent="0.2">
      <c r="C100" s="109" t="s">
        <v>268</v>
      </c>
      <c r="D100" s="110">
        <v>2.2499093807298349</v>
      </c>
      <c r="E100" s="110">
        <v>1744.1297519417678</v>
      </c>
      <c r="F100" s="110">
        <v>3.4753883900016205</v>
      </c>
      <c r="G100" s="110">
        <v>2694.1210799292558</v>
      </c>
      <c r="H100" s="110">
        <v>6.3271123829926772</v>
      </c>
      <c r="I100" s="110">
        <v>4904.7775192959225</v>
      </c>
      <c r="J100" s="110">
        <v>3.8605797748241217</v>
      </c>
      <c r="K100" s="110">
        <v>2992.7214414436589</v>
      </c>
      <c r="L100" s="110">
        <v>3.5927057531010886</v>
      </c>
      <c r="M100" s="110">
        <v>2785.0654998039636</v>
      </c>
      <c r="N100" s="110">
        <v>4.2368468045263299</v>
      </c>
      <c r="O100" s="110">
        <v>3284.4036428688105</v>
      </c>
      <c r="P100" s="110">
        <v>3.2531277169923323</v>
      </c>
      <c r="Q100" s="110">
        <v>2521.8246062124558</v>
      </c>
      <c r="R100" s="110">
        <v>3.2673005245312958</v>
      </c>
      <c r="S100" s="110">
        <v>2532.8113666166605</v>
      </c>
      <c r="T100" s="110">
        <v>6</v>
      </c>
      <c r="U100" s="110">
        <v>4651.2</v>
      </c>
      <c r="V100" s="110">
        <v>6</v>
      </c>
      <c r="W100" s="110">
        <v>4651.2</v>
      </c>
      <c r="X100" s="110">
        <v>6</v>
      </c>
      <c r="Y100" s="110">
        <v>4651.2</v>
      </c>
      <c r="Z100" s="110">
        <v>10</v>
      </c>
      <c r="AA100" s="110">
        <v>7751.9999999999991</v>
      </c>
      <c r="AB100" s="110">
        <v>5</v>
      </c>
      <c r="AC100" s="110">
        <v>3875.9999999999995</v>
      </c>
      <c r="AD100" s="110">
        <v>5.0034692851963127</v>
      </c>
      <c r="AE100" s="110">
        <v>3878.6893898841813</v>
      </c>
      <c r="AF100" s="110">
        <v>6</v>
      </c>
      <c r="AG100" s="110">
        <v>4651.2</v>
      </c>
      <c r="AH100" s="110">
        <v>8.0047123785401411</v>
      </c>
      <c r="AI100" s="110">
        <v>6205.2530358443164</v>
      </c>
      <c r="AJ100" s="110">
        <v>3.0066772600462719</v>
      </c>
      <c r="AK100" s="110">
        <v>2330.7762119878698</v>
      </c>
      <c r="AL100" s="110">
        <v>2.3023486133160813</v>
      </c>
      <c r="AM100" s="110">
        <v>1784.780645042626</v>
      </c>
      <c r="AN100" s="110">
        <v>2.2218998142905657</v>
      </c>
      <c r="AO100" s="110">
        <v>1722.4167360380463</v>
      </c>
      <c r="AP100" s="110">
        <v>2.324469570486805</v>
      </c>
      <c r="AQ100" s="110">
        <v>1801.9288110413711</v>
      </c>
      <c r="AR100" s="110">
        <v>3.2839108741759544</v>
      </c>
      <c r="AS100" s="110">
        <v>2545.6877096611997</v>
      </c>
      <c r="AT100" s="110">
        <v>4</v>
      </c>
      <c r="AU100" s="110">
        <v>3100.7999999999997</v>
      </c>
      <c r="AV100" s="110">
        <v>3</v>
      </c>
      <c r="AW100" s="110">
        <v>2325.6</v>
      </c>
      <c r="AX100" s="110">
        <v>4.3106597400067921</v>
      </c>
      <c r="AY100" s="110">
        <v>3341.623430453265</v>
      </c>
      <c r="AZ100" s="110">
        <v>7.3181615814562555</v>
      </c>
      <c r="BA100" s="110">
        <v>5673.0388579448891</v>
      </c>
      <c r="BB100" s="110">
        <v>8.3239316452917063</v>
      </c>
      <c r="BC100" s="110">
        <v>6452.7118114301302</v>
      </c>
      <c r="BD100" s="110">
        <v>7</v>
      </c>
      <c r="BE100" s="110">
        <v>5426.4</v>
      </c>
      <c r="BF100" s="110">
        <v>11.297899657962274</v>
      </c>
      <c r="BG100" s="110">
        <v>8758.1318148523533</v>
      </c>
      <c r="BH100" s="110">
        <v>3</v>
      </c>
      <c r="BI100" s="110">
        <v>2325.6</v>
      </c>
      <c r="BJ100" s="110">
        <v>2</v>
      </c>
      <c r="BK100" s="110">
        <v>1550.3999999999999</v>
      </c>
      <c r="BL100" s="110">
        <v>2</v>
      </c>
      <c r="BM100" s="110">
        <v>1550.3999999999999</v>
      </c>
      <c r="BN100" s="110">
        <v>2</v>
      </c>
      <c r="BO100" s="110">
        <v>1550.3999999999999</v>
      </c>
      <c r="BP100" s="110">
        <v>4</v>
      </c>
      <c r="BQ100" s="110">
        <v>3100.7999999999997</v>
      </c>
      <c r="BR100" s="110">
        <v>7</v>
      </c>
      <c r="BS100" s="110">
        <v>5426.4</v>
      </c>
      <c r="BT100" s="110">
        <v>6</v>
      </c>
      <c r="BU100" s="110">
        <v>4651.2</v>
      </c>
      <c r="BV100" s="110">
        <v>5</v>
      </c>
      <c r="BW100" s="110">
        <v>3875.9999999999995</v>
      </c>
      <c r="BX100" s="110">
        <v>10</v>
      </c>
      <c r="BY100" s="110">
        <v>7751.9999999999991</v>
      </c>
      <c r="BZ100" s="110">
        <v>12</v>
      </c>
      <c r="CA100" s="110">
        <v>9302.4</v>
      </c>
      <c r="CB100" s="110">
        <v>6</v>
      </c>
      <c r="CC100" s="110">
        <v>4651.2</v>
      </c>
      <c r="CD100" s="110">
        <v>7</v>
      </c>
      <c r="CE100" s="110">
        <v>5426.4</v>
      </c>
      <c r="CF100" s="110">
        <v>3</v>
      </c>
      <c r="CG100" s="110">
        <v>2325.6</v>
      </c>
      <c r="CH100" s="110">
        <v>3.0821861784380062</v>
      </c>
      <c r="CI100" s="110">
        <v>2389.3107255251421</v>
      </c>
      <c r="CJ100" s="110">
        <v>4.0869523304588977</v>
      </c>
      <c r="CK100" s="110">
        <v>3168.2054465717374</v>
      </c>
      <c r="CL100" s="110">
        <v>4.0732525333964356</v>
      </c>
      <c r="CM100" s="110">
        <v>3157.5853638889166</v>
      </c>
      <c r="CN100" s="110">
        <v>3.1258429212616261</v>
      </c>
      <c r="CO100" s="110">
        <v>2423.1534325620123</v>
      </c>
      <c r="CP100" s="110">
        <v>5</v>
      </c>
      <c r="CQ100" s="110">
        <v>3875.9999999999995</v>
      </c>
      <c r="CR100" s="110">
        <v>3.2868651005694431</v>
      </c>
      <c r="CS100" s="110">
        <v>2547.9778259614322</v>
      </c>
      <c r="CT100" s="110">
        <v>5.3203281552716657</v>
      </c>
      <c r="CU100" s="110">
        <v>4124.3183859665951</v>
      </c>
    </row>
    <row r="101" spans="2:99" x14ac:dyDescent="0.2">
      <c r="C101" s="109" t="s">
        <v>269</v>
      </c>
      <c r="D101" s="110">
        <v>2.2499093807298349</v>
      </c>
      <c r="E101" s="110">
        <v>1379.6444322635346</v>
      </c>
      <c r="F101" s="110">
        <v>3.4592922631316445</v>
      </c>
      <c r="G101" s="110">
        <v>2121.2380157523244</v>
      </c>
      <c r="H101" s="110">
        <v>5.2803820425651518</v>
      </c>
      <c r="I101" s="110">
        <v>3237.9302685009507</v>
      </c>
      <c r="J101" s="110">
        <v>3.8605797748241217</v>
      </c>
      <c r="K101" s="110">
        <v>2367.307517922151</v>
      </c>
      <c r="L101" s="110">
        <v>3.6802660082963974</v>
      </c>
      <c r="M101" s="110">
        <v>2256.7391162873505</v>
      </c>
      <c r="N101" s="110">
        <v>4.2368468045263299</v>
      </c>
      <c r="O101" s="110">
        <v>2598.0344605355453</v>
      </c>
      <c r="P101" s="110">
        <v>3.2953156698243879</v>
      </c>
      <c r="Q101" s="110">
        <v>2020.6875687363145</v>
      </c>
      <c r="R101" s="110">
        <v>3.2227504371094131</v>
      </c>
      <c r="S101" s="110">
        <v>1976.1905680354919</v>
      </c>
      <c r="T101" s="110">
        <v>6</v>
      </c>
      <c r="U101" s="110">
        <v>3679.2</v>
      </c>
      <c r="V101" s="110">
        <v>6</v>
      </c>
      <c r="W101" s="110">
        <v>3679.2</v>
      </c>
      <c r="X101" s="110">
        <v>6</v>
      </c>
      <c r="Y101" s="110">
        <v>3679.2</v>
      </c>
      <c r="Z101" s="110">
        <v>12</v>
      </c>
      <c r="AA101" s="110">
        <v>7358.4</v>
      </c>
      <c r="AB101" s="110">
        <v>6</v>
      </c>
      <c r="AC101" s="110">
        <v>3679.2</v>
      </c>
      <c r="AD101" s="110">
        <v>5.0034692851963127</v>
      </c>
      <c r="AE101" s="110">
        <v>3068.1273656823787</v>
      </c>
      <c r="AF101" s="110">
        <v>7</v>
      </c>
      <c r="AG101" s="110">
        <v>4292.3999999999996</v>
      </c>
      <c r="AH101" s="110">
        <v>8.0057578826271367</v>
      </c>
      <c r="AI101" s="110">
        <v>4909.1307336269601</v>
      </c>
      <c r="AJ101" s="110">
        <v>3.0055985998632004</v>
      </c>
      <c r="AK101" s="110">
        <v>1843.0330614361144</v>
      </c>
      <c r="AL101" s="110">
        <v>2.259155954270927</v>
      </c>
      <c r="AM101" s="110">
        <v>1385.3144311589322</v>
      </c>
      <c r="AN101" s="110">
        <v>2.2218998142905657</v>
      </c>
      <c r="AO101" s="110">
        <v>1362.4689661229747</v>
      </c>
      <c r="AP101" s="110">
        <v>2.2839108741759544</v>
      </c>
      <c r="AQ101" s="110">
        <v>1400.4941480446951</v>
      </c>
      <c r="AR101" s="110">
        <v>3.3650282667976557</v>
      </c>
      <c r="AS101" s="110">
        <v>2063.435333200322</v>
      </c>
      <c r="AT101" s="110">
        <v>4</v>
      </c>
      <c r="AU101" s="110">
        <v>2452.7999999999997</v>
      </c>
      <c r="AV101" s="110">
        <v>3</v>
      </c>
      <c r="AW101" s="110">
        <v>1839.6</v>
      </c>
      <c r="AX101" s="110">
        <v>4.3106597400067921</v>
      </c>
      <c r="AY101" s="110">
        <v>2643.2965525721647</v>
      </c>
      <c r="AZ101" s="110">
        <v>6.3181615814562555</v>
      </c>
      <c r="BA101" s="110">
        <v>3874.2966817489755</v>
      </c>
      <c r="BB101" s="110">
        <v>7.3239316452917063</v>
      </c>
      <c r="BC101" s="110">
        <v>4491.0348848928734</v>
      </c>
      <c r="BD101" s="110">
        <v>7</v>
      </c>
      <c r="BE101" s="110">
        <v>4292.3999999999996</v>
      </c>
      <c r="BF101" s="110">
        <v>12.335137115207559</v>
      </c>
      <c r="BG101" s="110">
        <v>7563.9060790452741</v>
      </c>
      <c r="BH101" s="110">
        <v>3</v>
      </c>
      <c r="BI101" s="110">
        <v>1839.6</v>
      </c>
      <c r="BJ101" s="110">
        <v>2</v>
      </c>
      <c r="BK101" s="110">
        <v>1226.3999999999999</v>
      </c>
      <c r="BL101" s="110">
        <v>2</v>
      </c>
      <c r="BM101" s="110">
        <v>1226.3999999999999</v>
      </c>
      <c r="BN101" s="110">
        <v>2</v>
      </c>
      <c r="BO101" s="110">
        <v>1226.3999999999999</v>
      </c>
      <c r="BP101" s="110">
        <v>5</v>
      </c>
      <c r="BQ101" s="110">
        <v>3065.9999999999995</v>
      </c>
      <c r="BR101" s="110">
        <v>7</v>
      </c>
      <c r="BS101" s="110">
        <v>4292.3999999999996</v>
      </c>
      <c r="BT101" s="110">
        <v>6</v>
      </c>
      <c r="BU101" s="110">
        <v>3679.2</v>
      </c>
      <c r="BV101" s="110">
        <v>5</v>
      </c>
      <c r="BW101" s="110">
        <v>3065.9999999999995</v>
      </c>
      <c r="BX101" s="110">
        <v>9</v>
      </c>
      <c r="BY101" s="110">
        <v>5518.7999999999993</v>
      </c>
      <c r="BZ101" s="110">
        <v>10</v>
      </c>
      <c r="CA101" s="110">
        <v>6131.9999999999991</v>
      </c>
      <c r="CB101" s="110">
        <v>6</v>
      </c>
      <c r="CC101" s="110">
        <v>3679.2</v>
      </c>
      <c r="CD101" s="110">
        <v>7</v>
      </c>
      <c r="CE101" s="110">
        <v>4292.3999999999996</v>
      </c>
      <c r="CF101" s="110">
        <v>4</v>
      </c>
      <c r="CG101" s="110">
        <v>2452.7999999999997</v>
      </c>
      <c r="CH101" s="110">
        <v>3.0825530502798126</v>
      </c>
      <c r="CI101" s="110">
        <v>1890.221530431581</v>
      </c>
      <c r="CJ101" s="110">
        <v>5.0866232858994866</v>
      </c>
      <c r="CK101" s="110">
        <v>3119.117398913565</v>
      </c>
      <c r="CL101" s="110">
        <v>3.07377125213694</v>
      </c>
      <c r="CM101" s="110">
        <v>1884.8365318103715</v>
      </c>
      <c r="CN101" s="110">
        <v>3.1457866380098984</v>
      </c>
      <c r="CO101" s="110">
        <v>1928.9963664276695</v>
      </c>
      <c r="CP101" s="110">
        <v>6</v>
      </c>
      <c r="CQ101" s="110">
        <v>3679.2</v>
      </c>
      <c r="CR101" s="110">
        <v>3.3227232381406235</v>
      </c>
      <c r="CS101" s="110">
        <v>2037.4938896278302</v>
      </c>
      <c r="CT101" s="110">
        <v>5.3203281552716657</v>
      </c>
      <c r="CU101" s="110">
        <v>3262.4252248125849</v>
      </c>
    </row>
    <row r="102" spans="2:99" x14ac:dyDescent="0.2">
      <c r="C102" s="109" t="s">
        <v>270</v>
      </c>
      <c r="D102" s="110">
        <v>2.2499093807298349</v>
      </c>
      <c r="E102" s="110">
        <v>896.36389728276617</v>
      </c>
      <c r="F102" s="110">
        <v>3.4753883900016205</v>
      </c>
      <c r="G102" s="110">
        <v>1384.5947345766456</v>
      </c>
      <c r="H102" s="110">
        <v>6.3271123829926772</v>
      </c>
      <c r="I102" s="110">
        <v>2520.7215733842822</v>
      </c>
      <c r="J102" s="110">
        <v>3.8605797748241217</v>
      </c>
      <c r="K102" s="110">
        <v>1538.05498228993</v>
      </c>
      <c r="L102" s="110">
        <v>3.5927057531010886</v>
      </c>
      <c r="M102" s="110">
        <v>1431.3339720354736</v>
      </c>
      <c r="N102" s="110">
        <v>4.2368468045263299</v>
      </c>
      <c r="O102" s="110">
        <v>1687.9597669232896</v>
      </c>
      <c r="P102" s="110">
        <v>3.2953156698243879</v>
      </c>
      <c r="Q102" s="110">
        <v>1312.8537628580361</v>
      </c>
      <c r="R102" s="110">
        <v>3.2673005245312958</v>
      </c>
      <c r="S102" s="110">
        <v>1301.6925289732683</v>
      </c>
      <c r="T102" s="110">
        <v>6</v>
      </c>
      <c r="U102" s="110">
        <v>2390.3999999999996</v>
      </c>
      <c r="V102" s="110">
        <v>7</v>
      </c>
      <c r="W102" s="110">
        <v>2788.7999999999997</v>
      </c>
      <c r="X102" s="110">
        <v>6</v>
      </c>
      <c r="Y102" s="110">
        <v>2390.3999999999996</v>
      </c>
      <c r="Z102" s="110">
        <v>11</v>
      </c>
      <c r="AA102" s="110">
        <v>4382.3999999999996</v>
      </c>
      <c r="AB102" s="110">
        <v>6</v>
      </c>
      <c r="AC102" s="110">
        <v>2390.3999999999996</v>
      </c>
      <c r="AD102" s="110">
        <v>6.0030000653793625</v>
      </c>
      <c r="AE102" s="110">
        <v>2391.5952260471377</v>
      </c>
      <c r="AF102" s="110">
        <v>8</v>
      </c>
      <c r="AG102" s="110">
        <v>3187.2</v>
      </c>
      <c r="AH102" s="110">
        <v>9.0057578826271367</v>
      </c>
      <c r="AI102" s="110">
        <v>3587.893940438651</v>
      </c>
      <c r="AJ102" s="110">
        <v>3.0055985998632004</v>
      </c>
      <c r="AK102" s="110">
        <v>1197.4304821854989</v>
      </c>
      <c r="AL102" s="110">
        <v>3.3023486133160813</v>
      </c>
      <c r="AM102" s="110">
        <v>1315.6556875451267</v>
      </c>
      <c r="AN102" s="110">
        <v>2.2218998142905657</v>
      </c>
      <c r="AO102" s="110">
        <v>885.20488601336137</v>
      </c>
      <c r="AP102" s="110">
        <v>2.324469570486805</v>
      </c>
      <c r="AQ102" s="110">
        <v>926.06867688194302</v>
      </c>
      <c r="AR102" s="110">
        <v>3.3650282667976557</v>
      </c>
      <c r="AS102" s="110">
        <v>1340.6272614921859</v>
      </c>
      <c r="AT102" s="110">
        <v>4</v>
      </c>
      <c r="AU102" s="110">
        <v>1593.6</v>
      </c>
      <c r="AV102" s="110">
        <v>3</v>
      </c>
      <c r="AW102" s="110">
        <v>1195.1999999999998</v>
      </c>
      <c r="AX102" s="110">
        <v>4.3106597400067921</v>
      </c>
      <c r="AY102" s="110">
        <v>1717.3668404187058</v>
      </c>
      <c r="AZ102" s="110">
        <v>7.3181615814562555</v>
      </c>
      <c r="BA102" s="110">
        <v>2915.5555740521722</v>
      </c>
      <c r="BB102" s="110">
        <v>7.3599240503241177</v>
      </c>
      <c r="BC102" s="110">
        <v>2932.1937416491282</v>
      </c>
      <c r="BD102" s="110">
        <v>7</v>
      </c>
      <c r="BE102" s="110">
        <v>2788.7999999999997</v>
      </c>
      <c r="BF102" s="110">
        <v>12.372374572452841</v>
      </c>
      <c r="BG102" s="110">
        <v>4929.154029665212</v>
      </c>
      <c r="BH102" s="110">
        <v>3</v>
      </c>
      <c r="BI102" s="110">
        <v>1195.1999999999998</v>
      </c>
      <c r="BJ102" s="110">
        <v>2</v>
      </c>
      <c r="BK102" s="110">
        <v>796.8</v>
      </c>
      <c r="BL102" s="110">
        <v>2</v>
      </c>
      <c r="BM102" s="110">
        <v>796.8</v>
      </c>
      <c r="BN102" s="110">
        <v>2</v>
      </c>
      <c r="BO102" s="110">
        <v>796.8</v>
      </c>
      <c r="BP102" s="110">
        <v>5</v>
      </c>
      <c r="BQ102" s="110">
        <v>1992</v>
      </c>
      <c r="BR102" s="110">
        <v>6</v>
      </c>
      <c r="BS102" s="110">
        <v>2390.3999999999996</v>
      </c>
      <c r="BT102" s="110">
        <v>5</v>
      </c>
      <c r="BU102" s="110">
        <v>1992</v>
      </c>
      <c r="BV102" s="110">
        <v>5</v>
      </c>
      <c r="BW102" s="110">
        <v>1992</v>
      </c>
      <c r="BX102" s="110">
        <v>10</v>
      </c>
      <c r="BY102" s="110">
        <v>3984</v>
      </c>
      <c r="BZ102" s="110">
        <v>11</v>
      </c>
      <c r="CA102" s="110">
        <v>4382.3999999999996</v>
      </c>
      <c r="CB102" s="110">
        <v>6</v>
      </c>
      <c r="CC102" s="110">
        <v>2390.3999999999996</v>
      </c>
      <c r="CD102" s="110">
        <v>7</v>
      </c>
      <c r="CE102" s="110">
        <v>2788.7999999999997</v>
      </c>
      <c r="CF102" s="110">
        <v>4</v>
      </c>
      <c r="CG102" s="110">
        <v>1593.6</v>
      </c>
      <c r="CH102" s="110">
        <v>3.0821861784380062</v>
      </c>
      <c r="CI102" s="110">
        <v>1227.9429734897017</v>
      </c>
      <c r="CJ102" s="110">
        <v>5.0760010280116825</v>
      </c>
      <c r="CK102" s="110">
        <v>2022.2788095598542</v>
      </c>
      <c r="CL102" s="110">
        <v>4.0742899708774445</v>
      </c>
      <c r="CM102" s="110">
        <v>1623.1971243975738</v>
      </c>
      <c r="CN102" s="110">
        <v>3.1457866380098984</v>
      </c>
      <c r="CO102" s="110">
        <v>1253.2813965831435</v>
      </c>
      <c r="CP102" s="110">
        <v>6</v>
      </c>
      <c r="CQ102" s="110">
        <v>2390.3999999999996</v>
      </c>
      <c r="CR102" s="110">
        <v>3.2868651005694431</v>
      </c>
      <c r="CS102" s="110">
        <v>1309.487056066866</v>
      </c>
      <c r="CT102" s="110">
        <v>5.2847361380192579</v>
      </c>
      <c r="CU102" s="110">
        <v>2105.4388773868723</v>
      </c>
    </row>
    <row r="103" spans="2:99" x14ac:dyDescent="0.2">
      <c r="C103" s="109" t="s">
        <v>271</v>
      </c>
      <c r="D103" s="110">
        <v>2.2499093807298349</v>
      </c>
      <c r="E103" s="110">
        <v>1290.5480207866333</v>
      </c>
      <c r="F103" s="110">
        <v>3.4592922631316445</v>
      </c>
      <c r="G103" s="110">
        <v>1984.2500421323114</v>
      </c>
      <c r="H103" s="110">
        <v>5.3271123829926772</v>
      </c>
      <c r="I103" s="110">
        <v>3055.6316628845998</v>
      </c>
      <c r="J103" s="110">
        <v>3.0884638198592977</v>
      </c>
      <c r="K103" s="110">
        <v>1771.5428470712932</v>
      </c>
      <c r="L103" s="110">
        <v>3.5008046056232445</v>
      </c>
      <c r="M103" s="110">
        <v>2008.0615217854931</v>
      </c>
      <c r="N103" s="110">
        <v>4.2368468045263299</v>
      </c>
      <c r="O103" s="110">
        <v>2430.2553270763028</v>
      </c>
      <c r="P103" s="110">
        <v>3.2953156698243879</v>
      </c>
      <c r="Q103" s="110">
        <v>1890.1930682112691</v>
      </c>
      <c r="R103" s="110">
        <v>3.2227504371094131</v>
      </c>
      <c r="S103" s="110">
        <v>1848.5696507259595</v>
      </c>
      <c r="T103" s="110">
        <v>6</v>
      </c>
      <c r="U103" s="110">
        <v>3441.6000000000004</v>
      </c>
      <c r="V103" s="110">
        <v>7</v>
      </c>
      <c r="W103" s="110">
        <v>4015.2000000000003</v>
      </c>
      <c r="X103" s="110">
        <v>6</v>
      </c>
      <c r="Y103" s="110">
        <v>3441.6000000000004</v>
      </c>
      <c r="Z103" s="110">
        <v>11</v>
      </c>
      <c r="AA103" s="110">
        <v>6309.6</v>
      </c>
      <c r="AB103" s="110">
        <v>5</v>
      </c>
      <c r="AC103" s="110">
        <v>2868</v>
      </c>
      <c r="AD103" s="110">
        <v>5.0030000653793625</v>
      </c>
      <c r="AE103" s="110">
        <v>2869.7208375016025</v>
      </c>
      <c r="AF103" s="110">
        <v>7</v>
      </c>
      <c r="AG103" s="110">
        <v>4015.2000000000003</v>
      </c>
      <c r="AH103" s="110">
        <v>8.0058020794764833</v>
      </c>
      <c r="AI103" s="110">
        <v>4592.1280727877111</v>
      </c>
      <c r="AJ103" s="110">
        <v>3.0066772600462719</v>
      </c>
      <c r="AK103" s="110">
        <v>1724.6300763625416</v>
      </c>
      <c r="AL103" s="110">
        <v>2.259155954270927</v>
      </c>
      <c r="AM103" s="110">
        <v>1295.8518553698038</v>
      </c>
      <c r="AN103" s="110">
        <v>2.2218998142905657</v>
      </c>
      <c r="AO103" s="110">
        <v>1274.4817334770685</v>
      </c>
      <c r="AP103" s="110">
        <v>2.324469570486805</v>
      </c>
      <c r="AQ103" s="110">
        <v>1333.3157456312315</v>
      </c>
      <c r="AR103" s="110">
        <v>3.3650282667976557</v>
      </c>
      <c r="AS103" s="110">
        <v>1930.1802138351354</v>
      </c>
      <c r="AT103" s="110">
        <v>4</v>
      </c>
      <c r="AU103" s="110">
        <v>2294.4</v>
      </c>
      <c r="AV103" s="110">
        <v>3</v>
      </c>
      <c r="AW103" s="110">
        <v>1720.8000000000002</v>
      </c>
      <c r="AX103" s="110">
        <v>4.3106597400067921</v>
      </c>
      <c r="AY103" s="110">
        <v>2472.5944268678959</v>
      </c>
      <c r="AZ103" s="110">
        <v>8.3181615814562555</v>
      </c>
      <c r="BA103" s="110">
        <v>4771.2974831233087</v>
      </c>
      <c r="BB103" s="110">
        <v>6.3599240503241177</v>
      </c>
      <c r="BC103" s="110">
        <v>3648.052435265914</v>
      </c>
      <c r="BD103" s="110">
        <v>7</v>
      </c>
      <c r="BE103" s="110">
        <v>4015.2000000000003</v>
      </c>
      <c r="BF103" s="110">
        <v>11.297899657962274</v>
      </c>
      <c r="BG103" s="110">
        <v>6480.475243807161</v>
      </c>
      <c r="BH103" s="110">
        <v>3</v>
      </c>
      <c r="BI103" s="110">
        <v>1720.8000000000002</v>
      </c>
      <c r="BJ103" s="110">
        <v>2</v>
      </c>
      <c r="BK103" s="110">
        <v>1147.2</v>
      </c>
      <c r="BL103" s="110">
        <v>2</v>
      </c>
      <c r="BM103" s="110">
        <v>1147.2</v>
      </c>
      <c r="BN103" s="110">
        <v>2</v>
      </c>
      <c r="BO103" s="110">
        <v>1147.2</v>
      </c>
      <c r="BP103" s="110">
        <v>4</v>
      </c>
      <c r="BQ103" s="110">
        <v>2294.4</v>
      </c>
      <c r="BR103" s="110">
        <v>7</v>
      </c>
      <c r="BS103" s="110">
        <v>4015.2000000000003</v>
      </c>
      <c r="BT103" s="110">
        <v>5</v>
      </c>
      <c r="BU103" s="110">
        <v>2868</v>
      </c>
      <c r="BV103" s="110">
        <v>6</v>
      </c>
      <c r="BW103" s="110">
        <v>3441.6000000000004</v>
      </c>
      <c r="BX103" s="110">
        <v>9</v>
      </c>
      <c r="BY103" s="110">
        <v>5162.4000000000005</v>
      </c>
      <c r="BZ103" s="110">
        <v>11</v>
      </c>
      <c r="CA103" s="110">
        <v>6309.6</v>
      </c>
      <c r="CB103" s="110">
        <v>7</v>
      </c>
      <c r="CC103" s="110">
        <v>4015.2000000000003</v>
      </c>
      <c r="CD103" s="110">
        <v>7</v>
      </c>
      <c r="CE103" s="110">
        <v>4015.2000000000003</v>
      </c>
      <c r="CF103" s="110">
        <v>4</v>
      </c>
      <c r="CG103" s="110">
        <v>2294.4</v>
      </c>
      <c r="CH103" s="110">
        <v>3.0727383677773199</v>
      </c>
      <c r="CI103" s="110">
        <v>1762.5227277570707</v>
      </c>
      <c r="CJ103" s="110">
        <v>5.0763300725710936</v>
      </c>
      <c r="CK103" s="110">
        <v>2911.7829296267796</v>
      </c>
      <c r="CL103" s="110">
        <v>3.0732525333964351</v>
      </c>
      <c r="CM103" s="110">
        <v>1762.8176531561953</v>
      </c>
      <c r="CN103" s="110">
        <v>3.1258429212616261</v>
      </c>
      <c r="CO103" s="110">
        <v>1792.9834996356687</v>
      </c>
      <c r="CP103" s="110">
        <v>5</v>
      </c>
      <c r="CQ103" s="110">
        <v>2868</v>
      </c>
      <c r="CR103" s="110">
        <v>3.2868651005694431</v>
      </c>
      <c r="CS103" s="110">
        <v>1885.3458216866327</v>
      </c>
      <c r="CT103" s="110">
        <v>5.2847361380192579</v>
      </c>
      <c r="CU103" s="110">
        <v>3031.3246487678466</v>
      </c>
    </row>
    <row r="104" spans="2:99" x14ac:dyDescent="0.2">
      <c r="C104" s="109" t="s">
        <v>272</v>
      </c>
      <c r="D104" s="110">
        <v>2.2499093807298349</v>
      </c>
      <c r="E104" s="110">
        <v>1538.9380164192071</v>
      </c>
      <c r="F104" s="110">
        <v>3.4753883900016205</v>
      </c>
      <c r="G104" s="110">
        <v>2377.1656587611083</v>
      </c>
      <c r="H104" s="110">
        <v>5.2803820425651518</v>
      </c>
      <c r="I104" s="110">
        <v>3611.781317114564</v>
      </c>
      <c r="J104" s="110">
        <v>3.8605797748241217</v>
      </c>
      <c r="K104" s="110">
        <v>2640.6365659796993</v>
      </c>
      <c r="L104" s="110">
        <v>3.6846069005789324</v>
      </c>
      <c r="M104" s="110">
        <v>2520.2711199959899</v>
      </c>
      <c r="N104" s="110">
        <v>4.2368468045263299</v>
      </c>
      <c r="O104" s="110">
        <v>2898.0032142960094</v>
      </c>
      <c r="P104" s="110">
        <v>3.2531277169923323</v>
      </c>
      <c r="Q104" s="110">
        <v>2225.1393584227553</v>
      </c>
      <c r="R104" s="110">
        <v>3.2227504371094131</v>
      </c>
      <c r="S104" s="110">
        <v>2204.3612989828384</v>
      </c>
      <c r="T104" s="110">
        <v>6</v>
      </c>
      <c r="U104" s="110">
        <v>4104</v>
      </c>
      <c r="V104" s="110">
        <v>6</v>
      </c>
      <c r="W104" s="110">
        <v>4104</v>
      </c>
      <c r="X104" s="110">
        <v>6</v>
      </c>
      <c r="Y104" s="110">
        <v>4104</v>
      </c>
      <c r="Z104" s="110">
        <v>10</v>
      </c>
      <c r="AA104" s="110">
        <v>6840</v>
      </c>
      <c r="AB104" s="110">
        <v>5</v>
      </c>
      <c r="AC104" s="110">
        <v>3420</v>
      </c>
      <c r="AD104" s="110">
        <v>6.0030000653793625</v>
      </c>
      <c r="AE104" s="110">
        <v>4106.052044719484</v>
      </c>
      <c r="AF104" s="110">
        <v>7</v>
      </c>
      <c r="AG104" s="110">
        <v>4788</v>
      </c>
      <c r="AH104" s="110">
        <v>8.0047123785401411</v>
      </c>
      <c r="AI104" s="110">
        <v>5475.2232669214563</v>
      </c>
      <c r="AJ104" s="110">
        <v>3.0066772600462719</v>
      </c>
      <c r="AK104" s="110">
        <v>2056.5672458716499</v>
      </c>
      <c r="AL104" s="110">
        <v>2.259155954270927</v>
      </c>
      <c r="AM104" s="110">
        <v>1545.2626727213139</v>
      </c>
      <c r="AN104" s="110">
        <v>2.2218998142905657</v>
      </c>
      <c r="AO104" s="110">
        <v>1519.779472974747</v>
      </c>
      <c r="AP104" s="110">
        <v>2.324469570486805</v>
      </c>
      <c r="AQ104" s="110">
        <v>1589.9371862129747</v>
      </c>
      <c r="AR104" s="110">
        <v>4.324469570486805</v>
      </c>
      <c r="AS104" s="110">
        <v>2957.9371862129747</v>
      </c>
      <c r="AT104" s="110">
        <v>4</v>
      </c>
      <c r="AU104" s="110">
        <v>2736</v>
      </c>
      <c r="AV104" s="110">
        <v>3</v>
      </c>
      <c r="AW104" s="110">
        <v>2052</v>
      </c>
      <c r="AX104" s="110">
        <v>4.2662797771486787</v>
      </c>
      <c r="AY104" s="110">
        <v>2918.1353675696964</v>
      </c>
      <c r="AZ104" s="110">
        <v>7.3181615814562555</v>
      </c>
      <c r="BA104" s="110">
        <v>5005.6225217160791</v>
      </c>
      <c r="BB104" s="110">
        <v>7.3239316452917063</v>
      </c>
      <c r="BC104" s="110">
        <v>5009.5692453795273</v>
      </c>
      <c r="BD104" s="110">
        <v>7</v>
      </c>
      <c r="BE104" s="110">
        <v>4788</v>
      </c>
      <c r="BF104" s="110">
        <v>11.297899657962274</v>
      </c>
      <c r="BG104" s="110">
        <v>7727.7633660461952</v>
      </c>
      <c r="BH104" s="110">
        <v>3</v>
      </c>
      <c r="BI104" s="110">
        <v>2052</v>
      </c>
      <c r="BJ104" s="110">
        <v>2</v>
      </c>
      <c r="BK104" s="110">
        <v>1368</v>
      </c>
      <c r="BL104" s="110">
        <v>2</v>
      </c>
      <c r="BM104" s="110">
        <v>1368</v>
      </c>
      <c r="BN104" s="110">
        <v>3</v>
      </c>
      <c r="BO104" s="110">
        <v>2052</v>
      </c>
      <c r="BP104" s="110">
        <v>4</v>
      </c>
      <c r="BQ104" s="110">
        <v>2736</v>
      </c>
      <c r="BR104" s="110">
        <v>7</v>
      </c>
      <c r="BS104" s="110">
        <v>4788</v>
      </c>
      <c r="BT104" s="110">
        <v>5</v>
      </c>
      <c r="BU104" s="110">
        <v>3420</v>
      </c>
      <c r="BV104" s="110">
        <v>5</v>
      </c>
      <c r="BW104" s="110">
        <v>3420</v>
      </c>
      <c r="BX104" s="110">
        <v>10</v>
      </c>
      <c r="BY104" s="110">
        <v>6840</v>
      </c>
      <c r="BZ104" s="110">
        <v>11</v>
      </c>
      <c r="CA104" s="110">
        <v>7524</v>
      </c>
      <c r="CB104" s="110">
        <v>7</v>
      </c>
      <c r="CC104" s="110">
        <v>4788</v>
      </c>
      <c r="CD104" s="110">
        <v>7</v>
      </c>
      <c r="CE104" s="110">
        <v>4788</v>
      </c>
      <c r="CF104" s="110">
        <v>4</v>
      </c>
      <c r="CG104" s="110">
        <v>2736</v>
      </c>
      <c r="CH104" s="110">
        <v>3.0825530502798126</v>
      </c>
      <c r="CI104" s="110">
        <v>2108.4662863913918</v>
      </c>
      <c r="CJ104" s="110">
        <v>4.0866232858994866</v>
      </c>
      <c r="CK104" s="110">
        <v>2795.250327555249</v>
      </c>
      <c r="CL104" s="110">
        <v>4.0737712521369396</v>
      </c>
      <c r="CM104" s="110">
        <v>2786.4595364616666</v>
      </c>
      <c r="CN104" s="110">
        <v>3.1457866380098984</v>
      </c>
      <c r="CO104" s="110">
        <v>2151.7180603987704</v>
      </c>
      <c r="CP104" s="110">
        <v>6</v>
      </c>
      <c r="CQ104" s="110">
        <v>4104</v>
      </c>
      <c r="CR104" s="110">
        <v>3.2868651005694431</v>
      </c>
      <c r="CS104" s="110">
        <v>2248.2157287894993</v>
      </c>
      <c r="CT104" s="110">
        <v>4.3203281552716657</v>
      </c>
      <c r="CU104" s="110">
        <v>2955.1044582058194</v>
      </c>
    </row>
    <row r="105" spans="2:99" x14ac:dyDescent="0.2">
      <c r="C105" s="109" t="s">
        <v>273</v>
      </c>
      <c r="D105" s="110">
        <v>2.2499093807298349</v>
      </c>
      <c r="E105" s="110">
        <v>1379.6444322635346</v>
      </c>
      <c r="F105" s="110">
        <v>3.4592922631316445</v>
      </c>
      <c r="G105" s="110">
        <v>2121.2380157523244</v>
      </c>
      <c r="H105" s="110">
        <v>5.2803820425651518</v>
      </c>
      <c r="I105" s="110">
        <v>3237.9302685009507</v>
      </c>
      <c r="J105" s="110">
        <v>3.8605797748241217</v>
      </c>
      <c r="K105" s="110">
        <v>2367.307517922151</v>
      </c>
      <c r="L105" s="110">
        <v>3.7765080480567761</v>
      </c>
      <c r="M105" s="110">
        <v>2315.7547350684149</v>
      </c>
      <c r="N105" s="110">
        <v>4.2368468045263299</v>
      </c>
      <c r="O105" s="110">
        <v>2598.0344605355453</v>
      </c>
      <c r="P105" s="110">
        <v>3.2953156698243879</v>
      </c>
      <c r="Q105" s="110">
        <v>2020.6875687363145</v>
      </c>
      <c r="R105" s="110">
        <v>3.2673005245312958</v>
      </c>
      <c r="S105" s="110">
        <v>2003.5086816425903</v>
      </c>
      <c r="T105" s="110">
        <v>6</v>
      </c>
      <c r="U105" s="110">
        <v>3679.2</v>
      </c>
      <c r="V105" s="110">
        <v>6</v>
      </c>
      <c r="W105" s="110">
        <v>3679.2</v>
      </c>
      <c r="X105" s="110">
        <v>7</v>
      </c>
      <c r="Y105" s="110">
        <v>4292.3999999999996</v>
      </c>
      <c r="Z105" s="110">
        <v>10</v>
      </c>
      <c r="AA105" s="110">
        <v>6131.9999999999991</v>
      </c>
      <c r="AB105" s="110">
        <v>6</v>
      </c>
      <c r="AC105" s="110">
        <v>3679.2</v>
      </c>
      <c r="AD105" s="110">
        <v>6.0030000653793625</v>
      </c>
      <c r="AE105" s="110">
        <v>3681.0396400906247</v>
      </c>
      <c r="AF105" s="110">
        <v>7</v>
      </c>
      <c r="AG105" s="110">
        <v>4292.3999999999996</v>
      </c>
      <c r="AH105" s="110">
        <v>8.0058020794764833</v>
      </c>
      <c r="AI105" s="110">
        <v>4909.157835134979</v>
      </c>
      <c r="AJ105" s="110">
        <v>3.0066772600462719</v>
      </c>
      <c r="AK105" s="110">
        <v>1843.6944958603738</v>
      </c>
      <c r="AL105" s="110">
        <v>2.3023486133160813</v>
      </c>
      <c r="AM105" s="110">
        <v>1411.800169685421</v>
      </c>
      <c r="AN105" s="110">
        <v>2.2662797771486787</v>
      </c>
      <c r="AO105" s="110">
        <v>1389.6827593475696</v>
      </c>
      <c r="AP105" s="110">
        <v>2.324469570486805</v>
      </c>
      <c r="AQ105" s="110">
        <v>1425.3647406225086</v>
      </c>
      <c r="AR105" s="110">
        <v>3.324469570486805</v>
      </c>
      <c r="AS105" s="110">
        <v>2038.5647406225087</v>
      </c>
      <c r="AT105" s="110">
        <v>4</v>
      </c>
      <c r="AU105" s="110">
        <v>2452.7999999999997</v>
      </c>
      <c r="AV105" s="110">
        <v>4</v>
      </c>
      <c r="AW105" s="110">
        <v>2452.7999999999997</v>
      </c>
      <c r="AX105" s="110">
        <v>4.3106597400067921</v>
      </c>
      <c r="AY105" s="110">
        <v>2643.2965525721647</v>
      </c>
      <c r="AZ105" s="110">
        <v>7.3181615814562555</v>
      </c>
      <c r="BA105" s="110">
        <v>4487.4966817489758</v>
      </c>
      <c r="BB105" s="110">
        <v>7.3239316452917063</v>
      </c>
      <c r="BC105" s="110">
        <v>4491.0348848928734</v>
      </c>
      <c r="BD105" s="110">
        <v>6</v>
      </c>
      <c r="BE105" s="110">
        <v>3679.2</v>
      </c>
      <c r="BF105" s="110">
        <v>10.335137115207559</v>
      </c>
      <c r="BG105" s="110">
        <v>6337.5060790452744</v>
      </c>
      <c r="BH105" s="110">
        <v>3</v>
      </c>
      <c r="BI105" s="110">
        <v>1839.6</v>
      </c>
      <c r="BJ105" s="110">
        <v>2</v>
      </c>
      <c r="BK105" s="110">
        <v>1226.3999999999999</v>
      </c>
      <c r="BL105" s="110">
        <v>2</v>
      </c>
      <c r="BM105" s="110">
        <v>1226.3999999999999</v>
      </c>
      <c r="BN105" s="110">
        <v>2</v>
      </c>
      <c r="BO105" s="110">
        <v>1226.3999999999999</v>
      </c>
      <c r="BP105" s="110">
        <v>4</v>
      </c>
      <c r="BQ105" s="110">
        <v>2452.7999999999997</v>
      </c>
      <c r="BR105" s="110">
        <v>7</v>
      </c>
      <c r="BS105" s="110">
        <v>4292.3999999999996</v>
      </c>
      <c r="BT105" s="110">
        <v>5</v>
      </c>
      <c r="BU105" s="110">
        <v>3065.9999999999995</v>
      </c>
      <c r="BV105" s="110">
        <v>5</v>
      </c>
      <c r="BW105" s="110">
        <v>3065.9999999999995</v>
      </c>
      <c r="BX105" s="110">
        <v>10</v>
      </c>
      <c r="BY105" s="110">
        <v>6131.9999999999991</v>
      </c>
      <c r="BZ105" s="110">
        <v>12</v>
      </c>
      <c r="CA105" s="110">
        <v>7358.4</v>
      </c>
      <c r="CB105" s="110">
        <v>7</v>
      </c>
      <c r="CC105" s="110">
        <v>4292.3999999999996</v>
      </c>
      <c r="CD105" s="110">
        <v>7</v>
      </c>
      <c r="CE105" s="110">
        <v>4292.3999999999996</v>
      </c>
      <c r="CF105" s="110">
        <v>3</v>
      </c>
      <c r="CG105" s="110">
        <v>1839.6</v>
      </c>
      <c r="CH105" s="110">
        <v>3.082919922121619</v>
      </c>
      <c r="CI105" s="110">
        <v>1890.4464962449765</v>
      </c>
      <c r="CJ105" s="110">
        <v>5.0763300725710936</v>
      </c>
      <c r="CK105" s="110">
        <v>3112.8056005005942</v>
      </c>
      <c r="CL105" s="110">
        <v>3.0606769016791668</v>
      </c>
      <c r="CM105" s="110">
        <v>1876.8070761096649</v>
      </c>
      <c r="CN105" s="110">
        <v>3.1450999023685662</v>
      </c>
      <c r="CO105" s="110">
        <v>1928.5752601324045</v>
      </c>
      <c r="CP105" s="110">
        <v>6</v>
      </c>
      <c r="CQ105" s="110">
        <v>3679.2</v>
      </c>
      <c r="CR105" s="110">
        <v>3.2868651005694431</v>
      </c>
      <c r="CS105" s="110">
        <v>2015.5056796691822</v>
      </c>
      <c r="CT105" s="110">
        <v>4.2847361380192579</v>
      </c>
      <c r="CU105" s="110">
        <v>2627.4001998334088</v>
      </c>
    </row>
    <row r="107" spans="2:99" x14ac:dyDescent="0.2">
      <c r="B107" s="114" t="s">
        <v>278</v>
      </c>
    </row>
    <row r="108" spans="2:99" x14ac:dyDescent="0.2">
      <c r="C108" s="109" t="s">
        <v>279</v>
      </c>
      <c r="D108" s="109" t="s">
        <v>92</v>
      </c>
      <c r="E108" s="109" t="s">
        <v>93</v>
      </c>
      <c r="F108" s="109" t="s">
        <v>94</v>
      </c>
      <c r="G108" s="109" t="s">
        <v>95</v>
      </c>
      <c r="H108" s="109" t="s">
        <v>96</v>
      </c>
      <c r="I108" s="109" t="s">
        <v>97</v>
      </c>
      <c r="J108" s="109" t="s">
        <v>98</v>
      </c>
      <c r="K108" s="109" t="s">
        <v>99</v>
      </c>
      <c r="L108" s="109" t="s">
        <v>100</v>
      </c>
      <c r="M108" s="109" t="s">
        <v>101</v>
      </c>
      <c r="N108" s="109" t="s">
        <v>102</v>
      </c>
      <c r="O108" s="109" t="s">
        <v>103</v>
      </c>
    </row>
    <row r="109" spans="2:99" x14ac:dyDescent="0.2">
      <c r="C109" s="109" t="s">
        <v>126</v>
      </c>
      <c r="D109" s="110">
        <f>SUM(D$6:D$19)+SUM(F$6:F$19)+SUM(H$6:H$19)+SUM(J$6:J$19)</f>
        <v>151.81001640163984</v>
      </c>
      <c r="E109" s="110">
        <f>SUM(L$6:L$19)+SUM(N$6:N$19)+SUM(P$6:P$19)+SUM(R$6:R$19)</f>
        <v>412.37940161805386</v>
      </c>
      <c r="F109" s="110">
        <f>SUM(T$6:T$19)+SUM(V$6:V$19)+SUM(X$6:X$19)+SUM(Z$6:Z$19)</f>
        <v>483.91031468608708</v>
      </c>
      <c r="G109" s="110">
        <f>SUM(AB$6:AB$19)+SUM(AD$6:AD$19)+SUM(AF$6:AF$19)+SUM(AH$6:AH$19)</f>
        <v>644.20804873158443</v>
      </c>
      <c r="H109" s="110">
        <f>SUM(AJ$6:AJ$19)+SUM(AL$6:AL$19)+SUM(AN$6:AN$19)+SUM(AP$6:AP$19)</f>
        <v>624.71118516170327</v>
      </c>
      <c r="I109" s="110">
        <f>SUM(AR$6:AR$19)+SUM(AT$6:AT$19)+SUM(AV$6:AV$19)+SUM(AX$6:AX$19)</f>
        <v>581.3136511570068</v>
      </c>
      <c r="J109" s="110">
        <f>SUM(AZ$6:AZ$19)+SUM(BB$6:BB$19)+SUM(BD$6:BD$19)+SUM(BF$6:BF$19)</f>
        <v>760.22823296530021</v>
      </c>
      <c r="K109" s="110">
        <f>SUM(BH$6:BH$19)+SUM(BJ$6:BJ$19)+SUM(BL$6:BL$19)+SUM(BN$6:BN$19)</f>
        <v>664.0845983596821</v>
      </c>
      <c r="L109" s="110">
        <f>SUM(BP$6:BP$19)+SUM(BR$6:BR$19)+SUM(BT$6:BT$19)+SUM(BV$6:BV$19)</f>
        <v>154.8063328008877</v>
      </c>
      <c r="M109" s="110">
        <f>SUM(BX$6:BX$19)+SUM(BZ$6:BZ$19)+SUM(CB$6:CB$19)+SUM(CD$6:CD$19)</f>
        <v>620.1660416438009</v>
      </c>
      <c r="N109" s="110">
        <f>SUM(CF$6:CF$19)+SUM(CH$6:CH$19)+SUM(CJ$6:CJ$19)+SUM(CL$6:CL$19)</f>
        <v>687.0155805570414</v>
      </c>
      <c r="O109" s="110">
        <f>SUM(CN$6:CN$19)+SUM(CP$6:CP$19)+SUM(CR$6:CR$19)+SUM(CT$6:CT$19)</f>
        <v>1011.17586699327</v>
      </c>
    </row>
    <row r="110" spans="2:99" x14ac:dyDescent="0.2">
      <c r="C110" s="109" t="s">
        <v>127</v>
      </c>
      <c r="D110" s="110">
        <f>SUM(D$20:D$36)+SUM(F$20:F$36)+SUM(H$20:H$36)+SUM(J$20:J$36)</f>
        <v>187.73416228483194</v>
      </c>
      <c r="E110" s="110">
        <f>SUM(L$20:L$36)+SUM(N$20:N$36)+SUM(P$20:P$36)+SUM(R$20:R$36)</f>
        <v>152.72330610856389</v>
      </c>
      <c r="F110" s="110">
        <f>SUM(T$20:T$36)+SUM(V$20:V$36)+SUM(X$20:X$36)+SUM(Z$20:Z$36)</f>
        <v>658.06338323639375</v>
      </c>
      <c r="G110" s="110">
        <f>SUM(AB$20:AB$36)+SUM(AD$20:AD$36)+SUM(AF$20:AF$36)+SUM(AH$20:AH$36)</f>
        <v>741.92747629674955</v>
      </c>
      <c r="H110" s="110">
        <f>SUM(AJ$20:AJ$36)+SUM(AL$20:AL$36)+SUM(AN$20:AN$36)+SUM(AP$20:AP$36)</f>
        <v>791.00289759845191</v>
      </c>
      <c r="I110" s="110">
        <f>SUM(AR$20:AR$36)+SUM(AT$20:AT$36)+SUM(AV$20:AV$36)+SUM(AX$20:AX$36)</f>
        <v>507.50546624772085</v>
      </c>
      <c r="J110" s="110">
        <f>SUM(AZ$20:AZ$36)+SUM(BB$20:BB$36)+SUM(BD$20:BD$36)+SUM(BF$20:BF$36)</f>
        <v>584.95559796242947</v>
      </c>
      <c r="K110" s="110">
        <f>SUM(BH$20:BH$36)+SUM(BJ$20:BJ$36)+SUM(BL$20:BL$36)+SUM(BN$20:BN$36)</f>
        <v>213.34532354009946</v>
      </c>
      <c r="L110" s="110">
        <f>SUM(BP$20:BP$36)+SUM(BR$20:BR$36)+SUM(BT$20:BT$36)+SUM(BV$20:BV$36)</f>
        <v>639.94477594079217</v>
      </c>
      <c r="M110" s="110">
        <f>SUM(BX$20:BX$36)+SUM(BZ$20:BZ$36)+SUM(CB$20:CB$36)+SUM(CD$20:CD$36)</f>
        <v>115</v>
      </c>
      <c r="N110" s="110">
        <f>SUM(CF$20:CF$36)+SUM(CH$20:CH$36)+SUM(CJ$20:CJ$36)+SUM(CL$20:CL$36)</f>
        <v>155.7787388616444</v>
      </c>
      <c r="O110" s="110">
        <f>SUM(CN$20:CN$36)+SUM(CP$20:CP$36)+SUM(CR$20:CR$36)+SUM(CT$20:CT$36)</f>
        <v>1169.3214424409912</v>
      </c>
    </row>
    <row r="111" spans="2:99" x14ac:dyDescent="0.2">
      <c r="C111" s="109" t="s">
        <v>128</v>
      </c>
      <c r="D111" s="110">
        <f>SUM(D$37:D$48)+SUM(F$37:F$48)+SUM(H$37:H$48)+SUM(J$37:J$48)</f>
        <v>592.72918826586852</v>
      </c>
      <c r="E111" s="110">
        <f>SUM(L$37:L$48)+SUM(N$37:N$48)+SUM(P$37:P$48)+SUM(R$37:R$48)</f>
        <v>166.94277844730757</v>
      </c>
      <c r="F111" s="110">
        <f>SUM(T$37:T$48)+SUM(V$37:V$48)+SUM(X$37:X$48)+SUM(Z$37:Z$48)</f>
        <v>662.77805158550541</v>
      </c>
      <c r="G111" s="110">
        <f>SUM(AB$37:AB$48)+SUM(AD$37:AD$48)+SUM(AF$37:AF$48)+SUM(AH$37:AH$48)</f>
        <v>134.89828495096359</v>
      </c>
      <c r="H111" s="110">
        <f>SUM(AJ$37:AJ$48)+SUM(AL$37:AL$48)+SUM(AN$37:AN$48)+SUM(AP$37:AP$48)</f>
        <v>143.18768137495525</v>
      </c>
      <c r="I111" s="110">
        <f>SUM(AR$37:AR$48)+SUM(AT$37:AT$48)+SUM(AV$37:AV$48)+SUM(AX$37:AX$48)</f>
        <v>389.64766434419209</v>
      </c>
      <c r="J111" s="110">
        <f>SUM(AZ$37:AZ$48)+SUM(BB$37:BB$48)+SUM(BD$37:BD$48)+SUM(BF$37:BF$48)</f>
        <v>727.82998730912948</v>
      </c>
      <c r="K111" s="110">
        <f>SUM(BH$37:BH$48)+SUM(BJ$37:BJ$48)+SUM(BL$37:BL$48)+SUM(BN$37:BN$48)</f>
        <v>181.12565880205722</v>
      </c>
      <c r="L111" s="110">
        <f>SUM(BP$37:BP$48)+SUM(BR$37:BR$48)+SUM(BT$37:BT$48)+SUM(BV$37:BV$48)</f>
        <v>126.83337199384073</v>
      </c>
      <c r="M111" s="110">
        <f>SUM(BX$37:BX$48)+SUM(BZ$37:BZ$48)+SUM(CB$37:CB$48)+SUM(CD$37:CD$48)</f>
        <v>854.86033119579565</v>
      </c>
      <c r="N111" s="110">
        <f>SUM(CF$37:CF$48)+SUM(CH$37:CH$48)+SUM(CJ$37:CJ$48)+SUM(CL$37:CL$48)</f>
        <v>591.59377438049091</v>
      </c>
      <c r="O111" s="110">
        <f>SUM(CN$37:CN$48)+SUM(CP$37:CP$48)+SUM(CR$37:CR$48)+SUM(CT$37:CT$48)</f>
        <v>357.20135763205911</v>
      </c>
    </row>
    <row r="112" spans="2:99" x14ac:dyDescent="0.2">
      <c r="C112" s="109" t="s">
        <v>129</v>
      </c>
      <c r="D112" s="110">
        <f>SUM(D$49:D$70)+SUM(F$49:F$70)+SUM(H$49:H$70)+SUM(J$49:J$70)</f>
        <v>561.06052544684997</v>
      </c>
      <c r="E112" s="110">
        <f>SUM(L$49:L$70)+SUM(N$49:N$70)+SUM(P$49:P$70)+SUM(R$49:R$70)</f>
        <v>1045.5410238289794</v>
      </c>
      <c r="F112" s="110">
        <f>SUM(T$49:T$70)+SUM(V$49:V$70)+SUM(X$49:X$70)+SUM(Z$49:Z$70)</f>
        <v>953.25353196469371</v>
      </c>
      <c r="G112" s="110">
        <f>SUM(AB$49:AB$70)+SUM(AD$49:AD$70)+SUM(AF$49:AF$70)+SUM(AH$49:AH$70)</f>
        <v>781.12847607797858</v>
      </c>
      <c r="H112" s="110">
        <f>SUM(AJ$49:AJ$70)+SUM(AL$49:AL$70)+SUM(AN$49:AN$70)+SUM(AP$49:AP$70)</f>
        <v>573.62768615068342</v>
      </c>
      <c r="I112" s="110">
        <f>SUM(AR$49:AR$70)+SUM(AT$49:AT$70)+SUM(AV$49:AV$70)+SUM(AX$49:AX$70)</f>
        <v>417.76701872126802</v>
      </c>
      <c r="J112" s="110">
        <f>SUM(AZ$49:AZ$70)+SUM(BB$49:BB$70)+SUM(BD$49:BD$70)+SUM(BF$49:BF$70)</f>
        <v>654.26810808148923</v>
      </c>
      <c r="K112" s="110">
        <f>SUM(BH$49:BH$70)+SUM(BJ$49:BJ$70)+SUM(BL$49:BL$70)+SUM(BN$49:BN$70)</f>
        <v>405.54670307411982</v>
      </c>
      <c r="L112" s="110">
        <f>SUM(BP$49:BP$70)+SUM(BR$49:BR$70)+SUM(BT$49:BT$70)+SUM(BV$49:BV$70)</f>
        <v>286.87441524032988</v>
      </c>
      <c r="M112" s="110">
        <f>SUM(BX$49:BX$70)+SUM(BZ$49:BZ$70)+SUM(CB$49:CB$70)+SUM(CD$49:CD$70)</f>
        <v>186.87025820771382</v>
      </c>
      <c r="N112" s="110">
        <f>SUM(CF$49:CF$70)+SUM(CH$49:CH$70)+SUM(CJ$49:CJ$70)+SUM(CL$49:CL$70)</f>
        <v>175.29442324341312</v>
      </c>
      <c r="O112" s="110">
        <f>SUM(CN$49:CN$70)+SUM(CP$49:CP$70)+SUM(CR$49:CR$70)+SUM(CT$49:CT$70)</f>
        <v>291.91476665098907</v>
      </c>
    </row>
    <row r="113" spans="2:15" x14ac:dyDescent="0.2">
      <c r="C113" s="109" t="s">
        <v>130</v>
      </c>
      <c r="D113" s="110">
        <f>SUM(D$71:D$86)+SUM(F$71:F$86)+SUM(H$71:H$86)+SUM(J$71:J$86)</f>
        <v>121.69074046741746</v>
      </c>
      <c r="E113" s="110">
        <f>SUM(L$71:L$86)+SUM(N$71:N$86)+SUM(P$71:P$86)+SUM(R$71:R$86)</f>
        <v>847.73168816485793</v>
      </c>
      <c r="F113" s="110">
        <f>SUM(T$71:T$86)+SUM(V$71:V$86)+SUM(X$71:X$86)+SUM(Z$71:Z$86)</f>
        <v>406.26762777728862</v>
      </c>
      <c r="G113" s="110">
        <f>SUM(AB$71:AB$86)+SUM(AD$71:AD$86)+SUM(AF$71:AF$86)+SUM(AH$71:AH$86)</f>
        <v>596.5528654557038</v>
      </c>
      <c r="H113" s="110">
        <f>SUM(AJ$71:AJ$86)+SUM(AL$71:AL$86)+SUM(AN$71:AN$86)+SUM(AP$71:AP$86)</f>
        <v>328.97650858007256</v>
      </c>
      <c r="I113" s="110">
        <f>SUM(AR$71:AR$86)+SUM(AT$71:AT$86)+SUM(AV$71:AV$86)+SUM(AX$71:AX$86)</f>
        <v>123.1767551638742</v>
      </c>
      <c r="J113" s="110">
        <f>SUM(AZ$71:AZ$86)+SUM(BB$71:BB$86)+SUM(BD$71:BD$86)+SUM(BF$71:BF$86)</f>
        <v>663.0010215879372</v>
      </c>
      <c r="K113" s="110">
        <f>SUM(BH$71:BH$86)+SUM(BJ$71:BJ$86)+SUM(BL$71:BL$86)+SUM(BN$71:BN$86)</f>
        <v>380.50024284858006</v>
      </c>
      <c r="L113" s="110">
        <f>SUM(BP$71:BP$86)+SUM(BR$71:BR$86)+SUM(BT$71:BT$86)+SUM(BV$71:BV$86)</f>
        <v>309.60025195323527</v>
      </c>
      <c r="M113" s="110">
        <f>SUM(BX$71:BX$86)+SUM(BZ$71:BZ$86)+SUM(CB$71:CB$86)+SUM(CD$71:CD$86)</f>
        <v>285.42095446870002</v>
      </c>
      <c r="N113" s="110">
        <f>SUM(CF$71:CF$86)+SUM(CH$71:CH$86)+SUM(CJ$71:CJ$86)+SUM(CL$71:CL$86)</f>
        <v>634.50672477165404</v>
      </c>
      <c r="O113" s="110">
        <f>SUM(CN$71:CN$86)+SUM(CP$71:CP$86)+SUM(CR$71:CR$86)+SUM(CT$71:CT$86)</f>
        <v>238.43340095956091</v>
      </c>
    </row>
    <row r="114" spans="2:15" x14ac:dyDescent="0.2">
      <c r="C114" s="109" t="s">
        <v>131</v>
      </c>
      <c r="D114" s="110">
        <f>SUM(D$87:D$94)+SUM(F$87:F$94)+SUM(H$87:H$94)+SUM(J$87:J$94)</f>
        <v>148.98240198209811</v>
      </c>
      <c r="E114" s="110">
        <f>SUM(L$87:L$94)+SUM(N$87:N$94)+SUM(P$87:P$94)+SUM(R$87:R$94)</f>
        <v>258.73945319327891</v>
      </c>
      <c r="F114" s="110">
        <f>SUM(T$87:T$94)+SUM(V$87:V$94)+SUM(X$87:X$94)+SUM(Z$87:Z$94)</f>
        <v>313</v>
      </c>
      <c r="G114" s="110">
        <f>SUM(AB$87:AB$94)+SUM(AD$87:AD$94)+SUM(AF$87:AF$94)+SUM(AH$87:AH$94)</f>
        <v>323.1899934215956</v>
      </c>
      <c r="H114" s="110">
        <f>SUM(AJ$87:AJ$94)+SUM(AL$87:AL$94)+SUM(AN$87:AN$94)+SUM(AP$87:AP$94)</f>
        <v>114.02355044902615</v>
      </c>
      <c r="I114" s="110">
        <f>SUM(AR$87:AR$94)+SUM(AT$87:AT$94)+SUM(AV$87:AV$94)+SUM(AX$87:AX$94)</f>
        <v>65.227826625711884</v>
      </c>
      <c r="J114" s="110">
        <f>SUM(AZ$87:AZ$94)+SUM(BB$87:BB$94)+SUM(BD$87:BD$94)+SUM(BF$87:BF$94)</f>
        <v>280.08564701501393</v>
      </c>
      <c r="K114" s="110">
        <f>SUM(BH$87:BH$94)+SUM(BJ$87:BJ$94)+SUM(BL$87:BL$94)+SUM(BN$87:BN$94)</f>
        <v>162</v>
      </c>
      <c r="L114" s="110">
        <f>SUM(BP$87:BP$94)+SUM(BR$87:BR$94)+SUM(BT$87:BT$94)+SUM(BV$87:BV$94)</f>
        <v>71</v>
      </c>
      <c r="M114" s="110">
        <f>SUM(BX$87:BX$94)+SUM(BZ$87:BZ$94)+SUM(CB$87:CB$94)+SUM(CD$87:CD$94)</f>
        <v>289</v>
      </c>
      <c r="N114" s="110">
        <f>SUM(CF$87:CF$94)+SUM(CH$87:CH$94)+SUM(CJ$87:CJ$94)+SUM(CL$87:CL$94)</f>
        <v>322.48278243787377</v>
      </c>
      <c r="O114" s="110">
        <f>SUM(CN$87:CN$94)+SUM(CP$87:CP$94)+SUM(CR$87:CR$94)+SUM(CT$87:CT$94)</f>
        <v>77.125977637645192</v>
      </c>
    </row>
    <row r="115" spans="2:15" x14ac:dyDescent="0.2">
      <c r="C115" s="109" t="s">
        <v>132</v>
      </c>
      <c r="D115" s="110">
        <f>SUM(D$95:D$105)+SUM(F$95:F$105)+SUM(H$95:H$105)+SUM(J$95:J$105)</f>
        <v>163.91076414267764</v>
      </c>
      <c r="E115" s="110">
        <f>SUM(L$95:L$105)+SUM(N$95:N$105)+SUM(P$95:P$105)+SUM(R$95:R$105)</f>
        <v>154.44112552372528</v>
      </c>
      <c r="F115" s="110">
        <f>SUM(T$95:T$105)+SUM(V$95:V$105)+SUM(X$95:X$105)+SUM(Z$95:Z$105)</f>
        <v>315</v>
      </c>
      <c r="G115" s="110">
        <f>SUM(AB$95:AB$105)+SUM(AD$95:AD$105)+SUM(AF$95:AF$105)+SUM(AH$95:AH$105)</f>
        <v>278.09294564537754</v>
      </c>
      <c r="H115" s="110">
        <f>SUM(AJ$95:AJ$105)+SUM(AL$95:AL$105)+SUM(AN$95:AN$105)+SUM(AP$95:AP$105)</f>
        <v>110.0243773830714</v>
      </c>
      <c r="I115" s="110">
        <f>SUM(AR$95:AR$105)+SUM(AT$95:AT$105)+SUM(AV$95:AV$105)+SUM(AX$95:AX$105)</f>
        <v>159.93057865292965</v>
      </c>
      <c r="J115" s="110">
        <f>SUM(AZ$95:AZ$105)+SUM(BB$95:BB$105)+SUM(BD$95:BD$105)+SUM(BF$95:BF$105)</f>
        <v>351.44656862267493</v>
      </c>
      <c r="K115" s="110">
        <f>SUM(BH$95:BH$105)+SUM(BJ$95:BJ$105)+SUM(BL$95:BL$105)+SUM(BN$95:BN$105)</f>
        <v>100</v>
      </c>
      <c r="L115" s="110">
        <f>SUM(BP$95:BP$105)+SUM(BR$95:BR$105)+SUM(BT$95:BT$105)+SUM(BV$95:BV$105)</f>
        <v>228</v>
      </c>
      <c r="M115" s="110">
        <f>SUM(BX$95:BX$105)+SUM(BZ$95:BZ$105)+SUM(CB$95:CB$105)+SUM(CD$95:CD$105)</f>
        <v>365</v>
      </c>
      <c r="N115" s="110">
        <f>SUM(CF$95:CF$105)+SUM(CH$95:CH$105)+SUM(CJ$95:CJ$105)+SUM(CL$95:CL$105)</f>
        <v>161.52841808500887</v>
      </c>
      <c r="O115" s="110">
        <f>SUM(CN$95:CN$105)+SUM(CP$95:CP$105)+SUM(CR$95:CR$105)+SUM(CT$95:CT$105)</f>
        <v>183.0723665262521</v>
      </c>
    </row>
    <row r="116" spans="2:15" x14ac:dyDescent="0.2">
      <c r="C116" s="109" t="s">
        <v>280</v>
      </c>
      <c r="D116" s="110">
        <f t="shared" ref="D116:O116" si="0">SUM(D$109:D$115)</f>
        <v>1927.9177989913835</v>
      </c>
      <c r="E116" s="110">
        <f t="shared" si="0"/>
        <v>3038.4987768847664</v>
      </c>
      <c r="F116" s="110">
        <f t="shared" si="0"/>
        <v>3792.2729092499685</v>
      </c>
      <c r="G116" s="110">
        <f t="shared" si="0"/>
        <v>3499.998090579953</v>
      </c>
      <c r="H116" s="110">
        <f t="shared" si="0"/>
        <v>2685.5538866979641</v>
      </c>
      <c r="I116" s="110">
        <f t="shared" si="0"/>
        <v>2244.5689609127039</v>
      </c>
      <c r="J116" s="110">
        <f t="shared" si="0"/>
        <v>4021.8151635439744</v>
      </c>
      <c r="K116" s="110">
        <f t="shared" si="0"/>
        <v>2106.6025266245388</v>
      </c>
      <c r="L116" s="110">
        <f t="shared" si="0"/>
        <v>1817.0591479290858</v>
      </c>
      <c r="M116" s="110">
        <f t="shared" si="0"/>
        <v>2716.3175855160102</v>
      </c>
      <c r="N116" s="110">
        <f t="shared" si="0"/>
        <v>2728.2004423371268</v>
      </c>
      <c r="O116" s="110">
        <f t="shared" si="0"/>
        <v>3328.2451788407675</v>
      </c>
    </row>
    <row r="118" spans="2:15" x14ac:dyDescent="0.2">
      <c r="B118" s="113" t="s">
        <v>281</v>
      </c>
    </row>
    <row r="119" spans="2:15" x14ac:dyDescent="0.2">
      <c r="C119" s="109" t="s">
        <v>279</v>
      </c>
      <c r="D119" s="109" t="s">
        <v>92</v>
      </c>
      <c r="E119" s="109" t="s">
        <v>93</v>
      </c>
      <c r="F119" s="109" t="s">
        <v>94</v>
      </c>
      <c r="G119" s="109" t="s">
        <v>95</v>
      </c>
      <c r="H119" s="109" t="s">
        <v>96</v>
      </c>
      <c r="I119" s="109" t="s">
        <v>97</v>
      </c>
      <c r="J119" s="109" t="s">
        <v>98</v>
      </c>
      <c r="K119" s="109" t="s">
        <v>99</v>
      </c>
      <c r="L119" s="109" t="s">
        <v>100</v>
      </c>
      <c r="M119" s="109" t="s">
        <v>101</v>
      </c>
      <c r="N119" s="109" t="s">
        <v>102</v>
      </c>
      <c r="O119" s="109" t="s">
        <v>103</v>
      </c>
    </row>
    <row r="120" spans="2:15" x14ac:dyDescent="0.2">
      <c r="C120" s="109" t="s">
        <v>126</v>
      </c>
      <c r="D120" s="110">
        <f>D109*pricing!D33*2000</f>
        <v>1025030.1869275997</v>
      </c>
      <c r="E120" s="110">
        <f>E109*pricing!E33*2000</f>
        <v>1864614.7023561925</v>
      </c>
      <c r="F120" s="110">
        <f>F109*pricing!F33*2000</f>
        <v>2153841.3335884539</v>
      </c>
      <c r="G120" s="110">
        <f>G109*pricing!G33*2000</f>
        <v>2641056.8306503384</v>
      </c>
      <c r="H120" s="110">
        <f>H109*pricing!H33*2000</f>
        <v>2661394.5910258885</v>
      </c>
      <c r="I120" s="110">
        <f>I109*pricing!I33*2000</f>
        <v>2525765.4074192997</v>
      </c>
      <c r="J120" s="110">
        <f>J109*pricing!J33*2000</f>
        <v>2913802.7713094028</v>
      </c>
      <c r="K120" s="110">
        <f>K109*pricing!K33*2000</f>
        <v>2628410.7539933273</v>
      </c>
      <c r="L120" s="110">
        <f>L109*pricing!L33*2000</f>
        <v>1238450.6624071016</v>
      </c>
      <c r="M120" s="110">
        <f>M109*pricing!M33*2000</f>
        <v>2666962.0454850015</v>
      </c>
      <c r="N120" s="110">
        <f>N109*pricing!N33*2000</f>
        <v>2792806.7807264728</v>
      </c>
      <c r="O120" s="110">
        <f>O109*pricing!O33*2000</f>
        <v>3856421.5542837731</v>
      </c>
    </row>
    <row r="121" spans="2:15" x14ac:dyDescent="0.2">
      <c r="C121" s="109" t="s">
        <v>127</v>
      </c>
      <c r="D121" s="110">
        <f>D110*pricing!D34*2000</f>
        <v>1170986.3674290869</v>
      </c>
      <c r="E121" s="110">
        <f>E110*pricing!E34*2000</f>
        <v>1221786.448868511</v>
      </c>
      <c r="F121" s="110">
        <f>F110*pricing!F34*2000</f>
        <v>2615933.5610413123</v>
      </c>
      <c r="G121" s="110">
        <f>G110*pricing!G34*2000</f>
        <v>3083747.3624798097</v>
      </c>
      <c r="H121" s="110">
        <f>H110*pricing!H34*2000</f>
        <v>3146953.4570443267</v>
      </c>
      <c r="I121" s="110">
        <f>I110*pricing!I34*2000</f>
        <v>2183912.8108706609</v>
      </c>
      <c r="J121" s="110">
        <f>J110*pricing!J34*2000</f>
        <v>2546194.7268108628</v>
      </c>
      <c r="K121" s="110">
        <f>K110*pricing!K34*2000</f>
        <v>1706762.5883207957</v>
      </c>
      <c r="L121" s="110">
        <f>L110*pricing!L34*2000</f>
        <v>2819468.6938399421</v>
      </c>
      <c r="M121" s="110">
        <f>M110*pricing!M34*2000</f>
        <v>920000</v>
      </c>
      <c r="N121" s="110">
        <f>N110*pricing!N34*2000</f>
        <v>1246229.9108931553</v>
      </c>
      <c r="O121" s="110">
        <f>O110*pricing!O34*2000</f>
        <v>3862979.7589453175</v>
      </c>
    </row>
    <row r="122" spans="2:15" x14ac:dyDescent="0.2">
      <c r="C122" s="109" t="s">
        <v>128</v>
      </c>
      <c r="D122" s="110">
        <f>D111*pricing!D35*2000</f>
        <v>2707355.4285739679</v>
      </c>
      <c r="E122" s="110">
        <f>E111*pricing!E35*2000</f>
        <v>1335542.2275784607</v>
      </c>
      <c r="F122" s="110">
        <f>F111*pricing!F35*2000</f>
        <v>2883084.5243969485</v>
      </c>
      <c r="G122" s="110">
        <f>G111*pricing!G35*2000</f>
        <v>1079186.2796077088</v>
      </c>
      <c r="H122" s="110">
        <f>H111*pricing!H35*2000</f>
        <v>1145501.450999642</v>
      </c>
      <c r="I122" s="110">
        <f>I111*pricing!I35*2000</f>
        <v>2174383.6953431433</v>
      </c>
      <c r="J122" s="110">
        <f>J111*pricing!J35*2000</f>
        <v>2925585.4169877768</v>
      </c>
      <c r="K122" s="110">
        <f>K111*pricing!K35*2000</f>
        <v>1449005.2704164577</v>
      </c>
      <c r="L122" s="110">
        <f>L111*pricing!L35*2000</f>
        <v>1014666.9759507258</v>
      </c>
      <c r="M122" s="110">
        <f>M111*pricing!M35*2000</f>
        <v>3326834.5585244796</v>
      </c>
      <c r="N122" s="110">
        <f>N111*pricing!N35*2000</f>
        <v>2565689.9163188594</v>
      </c>
      <c r="O122" s="110">
        <f>O111*pricing!O35*2000</f>
        <v>1976206.2714762134</v>
      </c>
    </row>
    <row r="123" spans="2:15" x14ac:dyDescent="0.2">
      <c r="C123" s="109" t="s">
        <v>129</v>
      </c>
      <c r="D123" s="110">
        <f>D112*pricing!D36*2000</f>
        <v>2945955.5939284195</v>
      </c>
      <c r="E123" s="110">
        <f>E112*pricing!E36*2000</f>
        <v>4317194.8706956245</v>
      </c>
      <c r="F123" s="110">
        <f>F112*pricing!F36*2000</f>
        <v>3936937.0870141848</v>
      </c>
      <c r="G123" s="110">
        <f>G112*pricing!G36*2000</f>
        <v>3655720.0979414852</v>
      </c>
      <c r="H123" s="110">
        <f>H112*pricing!H36*2000</f>
        <v>2826291.1610021829</v>
      </c>
      <c r="I123" s="110">
        <f>I112*pricing!I36*2000</f>
        <v>2547522.9424282871</v>
      </c>
      <c r="J123" s="110">
        <f>J112*pricing!J36*2000</f>
        <v>3195870.3202708452</v>
      </c>
      <c r="K123" s="110">
        <f>K112*pricing!K36*2000</f>
        <v>2382230.7075462923</v>
      </c>
      <c r="L123" s="110">
        <f>L112*pricing!L36*2000</f>
        <v>1924594.0699919171</v>
      </c>
      <c r="M123" s="110">
        <f>M112*pricing!M36*2000</f>
        <v>1494962.0656617105</v>
      </c>
      <c r="N123" s="110">
        <f>N112*pricing!N36*2000</f>
        <v>1402355.385947305</v>
      </c>
      <c r="O123" s="110">
        <f>O112*pricing!O36*2000</f>
        <v>1929488.9031873788</v>
      </c>
    </row>
    <row r="124" spans="2:15" x14ac:dyDescent="0.2">
      <c r="C124" s="109" t="s">
        <v>130</v>
      </c>
      <c r="D124" s="110">
        <f>D113*pricing!D37*2000</f>
        <v>973525.92373933969</v>
      </c>
      <c r="E124" s="110">
        <f>E113*pricing!E37*2000</f>
        <v>3068935.0491652363</v>
      </c>
      <c r="F124" s="110">
        <f>F113*pricing!F37*2000</f>
        <v>2006468.1727268291</v>
      </c>
      <c r="G124" s="110">
        <f>G113*pricing!G37*2000</f>
        <v>2534542.8869673354</v>
      </c>
      <c r="H124" s="110">
        <f>H113*pricing!H37*2000</f>
        <v>1812331.2521854399</v>
      </c>
      <c r="I124" s="110">
        <f>I113*pricing!I37*2000</f>
        <v>985414.04131099361</v>
      </c>
      <c r="J124" s="110">
        <f>J113*pricing!J37*2000</f>
        <v>2773707.7396381241</v>
      </c>
      <c r="K124" s="110">
        <f>K113*pricing!K37*2000</f>
        <v>2035441.5990801095</v>
      </c>
      <c r="L124" s="110">
        <f>L113*pricing!L37*2000</f>
        <v>1772778.2935221258</v>
      </c>
      <c r="M124" s="110">
        <f>M113*pricing!M37*2000</f>
        <v>1573190.8398634328</v>
      </c>
      <c r="N124" s="110">
        <f>N113*pricing!N37*2000</f>
        <v>2597287.3827660624</v>
      </c>
      <c r="O124" s="110">
        <f>O113*pricing!O37*2000</f>
        <v>1467751.1960732115</v>
      </c>
    </row>
    <row r="125" spans="2:15" x14ac:dyDescent="0.2">
      <c r="C125" s="109" t="s">
        <v>131</v>
      </c>
      <c r="D125" s="110">
        <f>D114*pricing!D38*2000</f>
        <v>766504.49991618143</v>
      </c>
      <c r="E125" s="110">
        <f>E114*pricing!E38*2000</f>
        <v>1147183.7214231428</v>
      </c>
      <c r="F125" s="110">
        <f>F114*pricing!F38*2000</f>
        <v>1403513.0329740001</v>
      </c>
      <c r="G125" s="110">
        <f>G114*pricing!G38*2000</f>
        <v>1401601.154744748</v>
      </c>
      <c r="H125" s="110">
        <f>H114*pricing!H38*2000</f>
        <v>773076.78519614693</v>
      </c>
      <c r="I125" s="110">
        <f>I114*pricing!I38*2000</f>
        <v>521822.61300569505</v>
      </c>
      <c r="J125" s="110">
        <f>J114*pricing!J38*2000</f>
        <v>1228934.1435512919</v>
      </c>
      <c r="K125" s="110">
        <f>K114*pricing!K38*2000</f>
        <v>962170.069716</v>
      </c>
      <c r="L125" s="110">
        <f>L114*pricing!L38*2000</f>
        <v>568000</v>
      </c>
      <c r="M125" s="110">
        <f>M114*pricing!M38*2000</f>
        <v>1305471.6554399999</v>
      </c>
      <c r="N125" s="110">
        <f>N114*pricing!N38*2000</f>
        <v>1415821.7235921265</v>
      </c>
      <c r="O125" s="110">
        <f>O114*pricing!O38*2000</f>
        <v>617007.82110116153</v>
      </c>
    </row>
    <row r="126" spans="2:15" x14ac:dyDescent="0.2">
      <c r="C126" s="109" t="s">
        <v>132</v>
      </c>
      <c r="D126" s="110">
        <f>D115*pricing!D39*2000</f>
        <v>938641.10637365363</v>
      </c>
      <c r="E126" s="110">
        <f>E115*pricing!E39*2000</f>
        <v>1077855.712242712</v>
      </c>
      <c r="F126" s="110">
        <f>F115*pricing!F39*2000</f>
        <v>1540833.7987200124</v>
      </c>
      <c r="G126" s="110">
        <f>G115*pricing!G39*2000</f>
        <v>1500951.6545440012</v>
      </c>
      <c r="H126" s="110">
        <f>H115*pricing!H39*2000</f>
        <v>880195.01906457113</v>
      </c>
      <c r="I126" s="110">
        <f>I115*pricing!I39*2000</f>
        <v>1111888.1009398529</v>
      </c>
      <c r="J126" s="110">
        <f>J115*pricing!J39*2000</f>
        <v>1643590.8583002905</v>
      </c>
      <c r="K126" s="110">
        <f>K115*pricing!K39*2000</f>
        <v>800000</v>
      </c>
      <c r="L126" s="110">
        <f>L115*pricing!L39*2000</f>
        <v>1386038.4589440001</v>
      </c>
      <c r="M126" s="110">
        <f>M115*pricing!M39*2000</f>
        <v>1804024.2795723139</v>
      </c>
      <c r="N126" s="110">
        <f>N115*pricing!N39*2000</f>
        <v>1125986.5217242832</v>
      </c>
      <c r="O126" s="110">
        <f>O115*pricing!O39*2000</f>
        <v>1205542.4483498624</v>
      </c>
    </row>
    <row r="127" spans="2:15" x14ac:dyDescent="0.2">
      <c r="C127" s="109" t="s">
        <v>280</v>
      </c>
      <c r="D127" s="110">
        <f>SUM(D$120:D$126)</f>
        <v>10527999.106888248</v>
      </c>
      <c r="E127" s="110">
        <f t="shared" ref="E127:O127" si="1">SUM(E$120:E$126)</f>
        <v>14033112.732329879</v>
      </c>
      <c r="F127" s="110">
        <f t="shared" si="1"/>
        <v>16540611.51046174</v>
      </c>
      <c r="G127" s="110">
        <f t="shared" si="1"/>
        <v>15896806.266935427</v>
      </c>
      <c r="H127" s="110">
        <f t="shared" si="1"/>
        <v>13245743.716518197</v>
      </c>
      <c r="I127" s="110">
        <f t="shared" si="1"/>
        <v>12050709.611317934</v>
      </c>
      <c r="J127" s="110">
        <f t="shared" si="1"/>
        <v>17227685.976868592</v>
      </c>
      <c r="K127" s="110">
        <f t="shared" si="1"/>
        <v>11964020.989072982</v>
      </c>
      <c r="L127" s="110">
        <f t="shared" si="1"/>
        <v>10723997.154655812</v>
      </c>
      <c r="M127" s="110">
        <f t="shared" si="1"/>
        <v>13091445.444546936</v>
      </c>
      <c r="N127" s="110">
        <f t="shared" si="1"/>
        <v>13146177.621968264</v>
      </c>
      <c r="O127" s="110">
        <f t="shared" si="1"/>
        <v>14915397.953416917</v>
      </c>
    </row>
    <row r="129" spans="2:15" x14ac:dyDescent="0.2">
      <c r="B129" s="113" t="s">
        <v>282</v>
      </c>
    </row>
    <row r="130" spans="2:15" x14ac:dyDescent="0.2">
      <c r="C130" s="115" t="s">
        <v>279</v>
      </c>
      <c r="D130" s="115" t="s">
        <v>92</v>
      </c>
      <c r="E130" s="115" t="s">
        <v>93</v>
      </c>
      <c r="F130" s="115" t="s">
        <v>94</v>
      </c>
      <c r="G130" s="115" t="s">
        <v>95</v>
      </c>
      <c r="H130" s="115" t="s">
        <v>96</v>
      </c>
      <c r="I130" s="115" t="s">
        <v>97</v>
      </c>
      <c r="J130" s="115" t="s">
        <v>98</v>
      </c>
      <c r="K130" s="115" t="s">
        <v>99</v>
      </c>
      <c r="L130" s="115" t="s">
        <v>100</v>
      </c>
      <c r="M130" s="115" t="s">
        <v>101</v>
      </c>
      <c r="N130" s="115" t="s">
        <v>102</v>
      </c>
      <c r="O130" s="115" t="s">
        <v>103</v>
      </c>
    </row>
    <row r="131" spans="2:15" x14ac:dyDescent="0.2">
      <c r="C131" s="115" t="s">
        <v>126</v>
      </c>
      <c r="D131" s="116">
        <f>SUM(E$6:E$19)+SUM(G$6:G$19)+SUM(I$6:I$19)+SUM(K$6:K$19)</f>
        <v>87204.061454653085</v>
      </c>
      <c r="E131" s="116">
        <f>SUM(M$6:M$19)+SUM(O$6:O$19)+SUM(Q$6:Q$19)+SUM(S$6:S$19)</f>
        <v>234963.08261800301</v>
      </c>
      <c r="F131" s="116">
        <f>SUM(U$6:U$19)+SUM(W$6:W$19)+SUM(Y$6:Y$19)+SUM(AA$6:AA$19)</f>
        <v>275696.66020059411</v>
      </c>
      <c r="G131" s="116">
        <f>SUM(AC$6:AC$19)+SUM(AE$6:AE$19)+SUM(AG$6:AG$19)+SUM(AI$6:AI$19)</f>
        <v>368588.31796527194</v>
      </c>
      <c r="H131" s="116">
        <f>SUM(AK$6:AK$19)+SUM(AM$6:AM$19)+SUM(AO$6:AO$19)+SUM(AQ$6:AQ$19)</f>
        <v>358781.85473504342</v>
      </c>
      <c r="I131" s="116">
        <f>SUM(AS$6:AS$19)+SUM(AU$6:AU$19)+SUM(AW$6:AW$19)+SUM(AY$6:AY$19)</f>
        <v>332486.0949878823</v>
      </c>
      <c r="J131" s="116">
        <f>SUM(BA$6:BA$19)+SUM(BC$6:BC$19)+SUM(BE$6:BE$19)+SUM(BG$6:BG$19)</f>
        <v>434726.72976116545</v>
      </c>
      <c r="K131" s="116">
        <f>SUM(BI$6:BI$19)+SUM(BK$6:BK$19)+SUM(BM$6:BM$19)+SUM(BO$6:BO$19)</f>
        <v>379586.96312871238</v>
      </c>
      <c r="L131" s="116">
        <f>SUM(BQ$6:BQ$19)+SUM(BS$6:BS$19)+SUM(BU$6:BU$19)+SUM(BW$6:BW$19)</f>
        <v>88118.442498718694</v>
      </c>
      <c r="M131" s="116">
        <f>SUM(BY$6:BY$19)+SUM(CA$6:CA$19)+SUM(CC$6:CC$19)+SUM(CE$6:CE$19)</f>
        <v>352943.46744529856</v>
      </c>
      <c r="N131" s="116">
        <f>SUM(CG$6:CG$19)+SUM(CI$6:CI$19)+SUM(CK$6:CK$19)+SUM(CM$6:CM$19)</f>
        <v>391465.02589120797</v>
      </c>
      <c r="O131" s="116">
        <f>SUM(CO$6:CO$19)+SUM(CQ$6:CQ$19)+SUM(CS$6:CS$19)+SUM(CU$6:CU$19)</f>
        <v>578237.00093931938</v>
      </c>
    </row>
    <row r="132" spans="2:15" x14ac:dyDescent="0.2">
      <c r="C132" s="115" t="s">
        <v>127</v>
      </c>
      <c r="D132" s="116">
        <f>SUM(E$20:E$36)+SUM(G$20:G$36)+SUM(I$20:I$36)+SUM(K$20:K$36)</f>
        <v>59357.952741280395</v>
      </c>
      <c r="E132" s="116">
        <f>SUM(M$20:M$36)+SUM(O$20:O$36)+SUM(Q$20:Q$36)+SUM(S$20:S$36)</f>
        <v>56432.784096748452</v>
      </c>
      <c r="F132" s="116">
        <f>SUM(U$20:U$36)+SUM(W$20:W$36)+SUM(Y$20:Y$36)+SUM(AA$20:AA$36)</f>
        <v>204516.38420692249</v>
      </c>
      <c r="G132" s="116">
        <f>SUM(AC$20:AC$36)+SUM(AE$20:AE$36)+SUM(AG$20:AG$36)+SUM(AI$20:AI$36)</f>
        <v>234565.59478809219</v>
      </c>
      <c r="H132" s="116">
        <f>SUM(AK$20:AK$36)+SUM(AM$20:AM$36)+SUM(AO$20:AO$36)+SUM(AQ$20:AQ$36)</f>
        <v>243872.28728393256</v>
      </c>
      <c r="I132" s="116">
        <f>SUM(AS$20:AS$36)+SUM(AU$20:AU$36)+SUM(AW$20:AW$36)+SUM(AY$20:AY$36)</f>
        <v>158810.26033734198</v>
      </c>
      <c r="J132" s="116">
        <f>SUM(BA$20:BA$36)+SUM(BC$20:BC$36)+SUM(BE$20:BE$36)+SUM(BG$20:BG$36)</f>
        <v>183924.05872253538</v>
      </c>
      <c r="K132" s="116">
        <f>SUM(BI$20:BI$36)+SUM(BK$20:BK$36)+SUM(BM$20:BM$36)+SUM(BO$20:BO$36)</f>
        <v>80100.481024839304</v>
      </c>
      <c r="L132" s="116">
        <f>SUM(BQ$20:BQ$36)+SUM(BS$20:BS$36)+SUM(BU$20:BU$36)+SUM(BW$20:BW$36)</f>
        <v>202480.12748847291</v>
      </c>
      <c r="M132" s="116">
        <f>SUM(BY$20:BY$36)+SUM(CA$20:CA$36)+SUM(CC$20:CC$36)+SUM(CE$20:CE$36)</f>
        <v>36002.399999999994</v>
      </c>
      <c r="N132" s="116">
        <f>SUM(CG$20:CG$36)+SUM(CI$20:CI$36)+SUM(CK$20:CK$36)+SUM(CM$20:CM$36)</f>
        <v>47403.916657925889</v>
      </c>
      <c r="O132" s="116">
        <f>SUM(CO$20:CO$36)+SUM(CQ$20:CQ$36)+SUM(CS$20:CS$36)+SUM(CU$20:CU$36)</f>
        <v>362610.24268848251</v>
      </c>
    </row>
    <row r="133" spans="2:15" x14ac:dyDescent="0.2">
      <c r="C133" s="115" t="s">
        <v>128</v>
      </c>
      <c r="D133" s="116">
        <f>SUM(E$37:E$48)+SUM(G$37:G$48)+SUM(I$37:I$48)+SUM(K$37:K$48)</f>
        <v>501968.6298690465</v>
      </c>
      <c r="E133" s="116">
        <f>SUM(M$37:M$48)+SUM(O$37:O$48)+SUM(Q$37:Q$48)+SUM(S$37:S$48)</f>
        <v>141220.0278648177</v>
      </c>
      <c r="F133" s="116">
        <f>SUM(U$37:U$48)+SUM(W$37:W$48)+SUM(Y$37:Y$48)+SUM(AA$37:AA$48)</f>
        <v>558443.22120246547</v>
      </c>
      <c r="G133" s="116">
        <f>SUM(AC$37:AC$48)+SUM(AE$37:AE$48)+SUM(AG$37:AG$48)+SUM(AI$37:AI$48)</f>
        <v>114976.77796984036</v>
      </c>
      <c r="H133" s="116">
        <f>SUM(AK$37:AK$48)+SUM(AM$37:AM$48)+SUM(AO$37:AO$48)+SUM(AQ$37:AQ$48)</f>
        <v>121816.08486350274</v>
      </c>
      <c r="I133" s="116">
        <f>SUM(AS$37:AS$48)+SUM(AU$37:AU$48)+SUM(AW$37:AW$48)+SUM(AY$37:AY$48)</f>
        <v>331289.11074348737</v>
      </c>
      <c r="J133" s="116">
        <f>SUM(BA$37:BA$48)+SUM(BC$37:BC$48)+SUM(BE$37:BE$48)+SUM(BG$37:BG$48)</f>
        <v>615346.57946167421</v>
      </c>
      <c r="K133" s="116">
        <f>SUM(BI$37:BI$48)+SUM(BK$37:BK$48)+SUM(BM$37:BM$48)+SUM(BO$37:BO$48)</f>
        <v>154132.4743804505</v>
      </c>
      <c r="L133" s="116">
        <f>SUM(BQ$37:BQ$48)+SUM(BS$37:BS$48)+SUM(BU$37:BU$48)+SUM(BW$37:BW$48)</f>
        <v>107066.0763246803</v>
      </c>
      <c r="M133" s="116">
        <f>SUM(BY$37:BY$48)+SUM(CA$37:CA$48)+SUM(CC$37:CC$48)+SUM(CE$37:CE$48)</f>
        <v>722320.03264995466</v>
      </c>
      <c r="N133" s="116">
        <f>SUM(CG$37:CG$48)+SUM(CI$37:CI$48)+SUM(CK$37:CK$48)+SUM(CM$37:CM$48)</f>
        <v>501681.01692712639</v>
      </c>
      <c r="O133" s="116">
        <f>SUM(CO$37:CO$48)+SUM(CQ$37:CQ$48)+SUM(CS$37:CS$48)+SUM(CU$37:CU$48)</f>
        <v>302776.72747825133</v>
      </c>
    </row>
    <row r="134" spans="2:15" x14ac:dyDescent="0.2">
      <c r="C134" s="115" t="s">
        <v>129</v>
      </c>
      <c r="D134" s="116">
        <f>SUM(E$49:E$70)+SUM(G$49:G$70)+SUM(I$49:I$70)+SUM(K$49:K$70)</f>
        <v>387472.51339871343</v>
      </c>
      <c r="E134" s="116">
        <f>SUM(M$49:M$70)+SUM(O$49:O$70)+SUM(Q$49:Q$70)+SUM(S$49:S$70)</f>
        <v>727069.12074950221</v>
      </c>
      <c r="F134" s="116">
        <f>SUM(U$49:U$70)+SUM(W$49:W$70)+SUM(Y$49:Y$70)+SUM(AA$49:AA$70)</f>
        <v>659790.33415752021</v>
      </c>
      <c r="G134" s="116">
        <f>SUM(AC$49:AC$70)+SUM(AE$49:AE$70)+SUM(AG$49:AG$70)+SUM(AI$49:AI$70)</f>
        <v>542683.03338003985</v>
      </c>
      <c r="H134" s="116">
        <f>SUM(AK$49:AK$70)+SUM(AM$49:AM$70)+SUM(AO$49:AO$70)+SUM(AQ$49:AQ$70)</f>
        <v>399425.90939181414</v>
      </c>
      <c r="I134" s="116">
        <f>SUM(AS$49:AS$70)+SUM(AU$49:AU$70)+SUM(AW$49:AW$70)+SUM(AY$49:AY$70)</f>
        <v>292586.10059540812</v>
      </c>
      <c r="J134" s="116">
        <f>SUM(BA$49:BA$70)+SUM(BC$49:BC$70)+SUM(BE$49:BE$70)+SUM(BG$49:BG$70)</f>
        <v>453528.75398732926</v>
      </c>
      <c r="K134" s="116">
        <f>SUM(BI$49:BI$70)+SUM(BK$49:BK$70)+SUM(BM$49:BM$70)+SUM(BO$49:BO$70)</f>
        <v>280983.49853559613</v>
      </c>
      <c r="L134" s="116">
        <f>SUM(BQ$49:BQ$70)+SUM(BS$49:BS$70)+SUM(BU$49:BU$70)+SUM(BW$49:BW$70)</f>
        <v>199967.22271764741</v>
      </c>
      <c r="M134" s="116">
        <f>SUM(BY$49:BY$70)+SUM(CA$49:CA$70)+SUM(CC$49:CC$70)+SUM(CE$49:CE$70)</f>
        <v>130334.01800972564</v>
      </c>
      <c r="N134" s="116">
        <f>SUM(CG$49:CG$70)+SUM(CI$49:CI$70)+SUM(CK$49:CK$70)+SUM(CM$49:CM$70)</f>
        <v>120222.67255754423</v>
      </c>
      <c r="O134" s="116">
        <f>SUM(CO$49:CO$70)+SUM(CQ$49:CQ$70)+SUM(CS$49:CS$70)+SUM(CU$49:CU$70)</f>
        <v>203164.98592405359</v>
      </c>
    </row>
    <row r="135" spans="2:15" x14ac:dyDescent="0.2">
      <c r="C135" s="115" t="s">
        <v>130</v>
      </c>
      <c r="D135" s="116">
        <f>SUM(E$71:E$86)+SUM(G$71:G$86)+SUM(I$71:I$86)+SUM(K$71:K$86)</f>
        <v>68328.541349184132</v>
      </c>
      <c r="E135" s="116">
        <f>SUM(M$71:M$86)+SUM(O$71:O$86)+SUM(Q$71:Q$86)+SUM(S$71:S$86)</f>
        <v>464420.54643389105</v>
      </c>
      <c r="F135" s="116">
        <f>SUM(U$71:U$86)+SUM(W$71:W$86)+SUM(Y$71:Y$86)+SUM(AA$71:AA$86)</f>
        <v>224435.3323124671</v>
      </c>
      <c r="G135" s="116">
        <f>SUM(AC$71:AC$86)+SUM(AE$71:AE$86)+SUM(AG$71:AG$86)+SUM(AI$71:AI$86)</f>
        <v>332246.19820602157</v>
      </c>
      <c r="H135" s="116">
        <f>SUM(AK$71:AK$86)+SUM(AM$71:AM$86)+SUM(AO$71:AO$86)+SUM(AQ$71:AQ$86)</f>
        <v>181967.32983681155</v>
      </c>
      <c r="I135" s="116">
        <f>SUM(AS$71:AS$86)+SUM(AU$71:AU$86)+SUM(AW$71:AW$86)+SUM(AY$71:AY$86)</f>
        <v>68684.361078358081</v>
      </c>
      <c r="J135" s="116">
        <f>SUM(BA$71:BA$86)+SUM(BC$71:BC$86)+SUM(BE$71:BE$86)+SUM(BG$71:BG$86)</f>
        <v>366063.47543907136</v>
      </c>
      <c r="K135" s="116">
        <f>SUM(BI$71:BI$86)+SUM(BK$71:BK$86)+SUM(BM$71:BM$86)+SUM(BO$71:BO$86)</f>
        <v>210150.04024427623</v>
      </c>
      <c r="L135" s="116">
        <f>SUM(BQ$71:BQ$86)+SUM(BS$71:BS$86)+SUM(BU$71:BU$86)+SUM(BW$71:BW$86)</f>
        <v>172782.85918786319</v>
      </c>
      <c r="M135" s="116">
        <f>SUM(BY$71:BY$86)+SUM(CA$71:CA$86)+SUM(CC$71:CC$86)+SUM(CE$71:CE$86)</f>
        <v>157658.76996022504</v>
      </c>
      <c r="N135" s="116">
        <f>SUM(CG$71:CG$86)+SUM(CI$71:CI$86)+SUM(CK$71:CK$86)+SUM(CM$71:CM$86)</f>
        <v>349424.24969415914</v>
      </c>
      <c r="O135" s="116">
        <f>SUM(CO$71:CO$86)+SUM(CQ$71:CQ$86)+SUM(CS$71:CS$86)+SUM(CU$71:CU$86)</f>
        <v>133069.61304803551</v>
      </c>
    </row>
    <row r="136" spans="2:15" x14ac:dyDescent="0.2">
      <c r="C136" s="115" t="s">
        <v>131</v>
      </c>
      <c r="D136" s="116">
        <f>SUM(E$87:E$94)+SUM(G$87:G$94)+SUM(I$87:I$94)+SUM(K$87:K$94)</f>
        <v>80729.610744709047</v>
      </c>
      <c r="E136" s="116">
        <f>SUM(M$87:M$94)+SUM(O$87:O$94)+SUM(Q$87:Q$94)+SUM(S$87:S$94)</f>
        <v>140291.77343581532</v>
      </c>
      <c r="F136" s="116">
        <f>SUM(U$87:U$94)+SUM(W$87:W$94)+SUM(Y$87:Y$94)+SUM(AA$87:AA$94)</f>
        <v>169140</v>
      </c>
      <c r="G136" s="116">
        <f>SUM(AC$87:AC$94)+SUM(AE$87:AE$94)+SUM(AG$87:AG$94)+SUM(AI$87:AI$94)</f>
        <v>175924.60068568483</v>
      </c>
      <c r="H136" s="116">
        <f>SUM(AK$87:AK$94)+SUM(AM$87:AM$94)+SUM(AO$87:AO$94)+SUM(AQ$87:AQ$94)</f>
        <v>61870.016222069666</v>
      </c>
      <c r="I136" s="116">
        <f>SUM(AS$87:AS$94)+SUM(AU$87:AU$94)+SUM(AW$87:AW$94)+SUM(AY$87:AY$94)</f>
        <v>35343.332872498046</v>
      </c>
      <c r="J136" s="116">
        <f>SUM(BA$87:BA$94)+SUM(BC$87:BC$94)+SUM(BE$87:BE$94)+SUM(BG$87:BG$94)</f>
        <v>151784.31938963477</v>
      </c>
      <c r="K136" s="116">
        <f>SUM(BI$87:BI$94)+SUM(BK$87:BK$94)+SUM(BM$87:BM$94)+SUM(BO$87:BO$94)</f>
        <v>88188</v>
      </c>
      <c r="L136" s="116">
        <f>SUM(BQ$87:BQ$94)+SUM(BS$87:BS$94)+SUM(BU$87:BU$94)+SUM(BW$87:BW$94)</f>
        <v>38608.800000000003</v>
      </c>
      <c r="M136" s="116">
        <f>SUM(BY$87:BY$94)+SUM(CA$87:CA$94)+SUM(CC$87:CC$94)+SUM(CE$87:CE$94)</f>
        <v>156858</v>
      </c>
      <c r="N136" s="116">
        <f>SUM(CG$87:CG$94)+SUM(CI$87:CI$94)+SUM(CK$87:CK$94)+SUM(CM$87:CM$94)</f>
        <v>174390.14646688421</v>
      </c>
      <c r="O136" s="116">
        <f>SUM(CO$87:CO$94)+SUM(CQ$87:CQ$94)+SUM(CS$87:CS$94)+SUM(CU$87:CU$94)</f>
        <v>41710.912544498555</v>
      </c>
    </row>
    <row r="137" spans="2:15" x14ac:dyDescent="0.2">
      <c r="C137" s="115" t="s">
        <v>132</v>
      </c>
      <c r="D137" s="116">
        <f>SUM(E$95:E$105)+SUM(G$95:G$105)+SUM(I$95:I$105)+SUM(K$95:K$105)</f>
        <v>151789.68447316953</v>
      </c>
      <c r="E137" s="116">
        <f>SUM(M$95:M$105)+SUM(O$95:O$105)+SUM(Q$95:Q$105)+SUM(S$95:S$105)</f>
        <v>139823.02311490962</v>
      </c>
      <c r="F137" s="116">
        <f>SUM(U$95:U$105)+SUM(W$95:W$105)+SUM(Y$95:Y$105)+SUM(AA$95:AA$105)</f>
        <v>276849.59999999998</v>
      </c>
      <c r="G137" s="116">
        <f>SUM(AC$95:AC$105)+SUM(AE$95:AE$105)+SUM(AG$95:AG$105)+SUM(AI$95:AI$105)</f>
        <v>244763.85347615945</v>
      </c>
      <c r="H137" s="116">
        <f>SUM(AK$95:AK$105)+SUM(AM$95:AM$105)+SUM(AO$95:AO$105)+SUM(AQ$95:AQ$105)</f>
        <v>106670.7962598645</v>
      </c>
      <c r="I137" s="116">
        <f>SUM(AS$95:AS$105)+SUM(AU$95:AU$105)+SUM(AW$95:AW$105)+SUM(AY$95:AY$105)</f>
        <v>145960.89597012114</v>
      </c>
      <c r="J137" s="116">
        <f>SUM(BA$95:BA$105)+SUM(BC$95:BC$105)+SUM(BE$95:BE$105)+SUM(BG$95:BG$105)</f>
        <v>307151.01186101796</v>
      </c>
      <c r="K137" s="116">
        <f>SUM(BI$95:BI$105)+SUM(BK$95:BK$105)+SUM(BM$95:BM$105)+SUM(BO$95:BO$105)</f>
        <v>94231.2</v>
      </c>
      <c r="L137" s="116">
        <f>SUM(BQ$95:BQ$105)+SUM(BS$95:BS$105)+SUM(BU$95:BU$105)+SUM(BW$95:BW$105)</f>
        <v>206370</v>
      </c>
      <c r="M137" s="116">
        <f>SUM(BY$95:BY$105)+SUM(CA$95:CA$105)+SUM(CC$95:CC$105)+SUM(CE$95:CE$105)</f>
        <v>323838</v>
      </c>
      <c r="N137" s="116">
        <f>SUM(CG$95:CG$105)+SUM(CI$95:CI$105)+SUM(CK$95:CK$105)+SUM(CM$95:CM$105)</f>
        <v>145237.18087806745</v>
      </c>
      <c r="O137" s="116">
        <f>SUM(CO$95:CO$105)+SUM(CQ$95:CQ$105)+SUM(CS$95:CS$105)+SUM(CU$95:CU$105)</f>
        <v>160978.69191211846</v>
      </c>
    </row>
    <row r="138" spans="2:15" x14ac:dyDescent="0.2">
      <c r="C138" s="115" t="s">
        <v>280</v>
      </c>
      <c r="D138" s="110">
        <f t="shared" ref="D138:O138" si="2">SUM(D$131:D$137)</f>
        <v>1336850.9940307562</v>
      </c>
      <c r="E138" s="110">
        <f t="shared" si="2"/>
        <v>1904220.3583136874</v>
      </c>
      <c r="F138" s="110">
        <f t="shared" si="2"/>
        <v>2368871.5320799695</v>
      </c>
      <c r="G138" s="110">
        <f t="shared" si="2"/>
        <v>2013748.3764711104</v>
      </c>
      <c r="H138" s="110">
        <f t="shared" si="2"/>
        <v>1474404.2785930387</v>
      </c>
      <c r="I138" s="110">
        <f t="shared" si="2"/>
        <v>1365160.1565850968</v>
      </c>
      <c r="J138" s="110">
        <f t="shared" si="2"/>
        <v>2512524.9286224283</v>
      </c>
      <c r="K138" s="110">
        <f t="shared" si="2"/>
        <v>1287372.6573138745</v>
      </c>
      <c r="L138" s="110">
        <f t="shared" si="2"/>
        <v>1015393.5282173825</v>
      </c>
      <c r="M138" s="110">
        <f t="shared" si="2"/>
        <v>1879954.6880652041</v>
      </c>
      <c r="N138" s="110">
        <f t="shared" si="2"/>
        <v>1729824.2090729154</v>
      </c>
      <c r="O138" s="110">
        <f t="shared" si="2"/>
        <v>1782548.174534759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10"/>
    <col min="3" max="3" width="14.5703125" style="110" bestFit="1" customWidth="1"/>
    <col min="4" max="4" width="16.85546875" style="110" bestFit="1" customWidth="1"/>
    <col min="5" max="5" width="22.85546875" style="110" bestFit="1" customWidth="1"/>
    <col min="6" max="16384" width="9.140625" style="110"/>
  </cols>
  <sheetData>
    <row r="1" spans="1:5" x14ac:dyDescent="0.2">
      <c r="A1" s="109" t="s">
        <v>169</v>
      </c>
      <c r="B1" s="109" t="s">
        <v>170</v>
      </c>
      <c r="C1" s="109" t="s">
        <v>171</v>
      </c>
      <c r="D1" s="109" t="s">
        <v>172</v>
      </c>
      <c r="E1" s="109" t="s">
        <v>173</v>
      </c>
    </row>
    <row r="2" spans="1:5" x14ac:dyDescent="0.2">
      <c r="A2" s="109" t="s">
        <v>126</v>
      </c>
      <c r="B2" s="109" t="s">
        <v>174</v>
      </c>
      <c r="C2" s="110" t="s">
        <v>49</v>
      </c>
      <c r="D2" s="110">
        <v>569</v>
      </c>
      <c r="E2" s="110">
        <v>682.8</v>
      </c>
    </row>
    <row r="3" spans="1:5" x14ac:dyDescent="0.2">
      <c r="B3" s="109" t="s">
        <v>175</v>
      </c>
      <c r="C3" s="110" t="s">
        <v>49</v>
      </c>
      <c r="D3" s="110">
        <v>719</v>
      </c>
      <c r="E3" s="110">
        <v>862.8</v>
      </c>
    </row>
    <row r="4" spans="1:5" x14ac:dyDescent="0.2">
      <c r="B4" s="109" t="s">
        <v>176</v>
      </c>
      <c r="C4" s="110" t="s">
        <v>49</v>
      </c>
      <c r="D4" s="110">
        <v>273</v>
      </c>
      <c r="E4" s="110">
        <v>327.59999999999997</v>
      </c>
    </row>
    <row r="5" spans="1:5" x14ac:dyDescent="0.2">
      <c r="B5" s="109" t="s">
        <v>177</v>
      </c>
      <c r="C5" s="110" t="s">
        <v>49</v>
      </c>
      <c r="D5" s="110">
        <v>669</v>
      </c>
      <c r="E5" s="110">
        <v>802.8</v>
      </c>
    </row>
    <row r="6" spans="1:5" x14ac:dyDescent="0.2">
      <c r="B6" s="109" t="s">
        <v>178</v>
      </c>
      <c r="C6" s="110" t="s">
        <v>49</v>
      </c>
      <c r="D6" s="110">
        <v>464</v>
      </c>
      <c r="E6" s="110">
        <v>556.79999999999995</v>
      </c>
    </row>
    <row r="7" spans="1:5" x14ac:dyDescent="0.2">
      <c r="B7" s="109" t="s">
        <v>179</v>
      </c>
      <c r="C7" s="110" t="s">
        <v>49</v>
      </c>
      <c r="D7" s="110">
        <v>499</v>
      </c>
      <c r="E7" s="110">
        <v>598.79999999999995</v>
      </c>
    </row>
    <row r="8" spans="1:5" x14ac:dyDescent="0.2">
      <c r="B8" s="109" t="s">
        <v>180</v>
      </c>
      <c r="C8" s="110" t="s">
        <v>49</v>
      </c>
      <c r="D8" s="110">
        <v>504</v>
      </c>
      <c r="E8" s="110">
        <v>604.79999999999995</v>
      </c>
    </row>
    <row r="9" spans="1:5" x14ac:dyDescent="0.2">
      <c r="B9" s="109" t="s">
        <v>181</v>
      </c>
      <c r="C9" s="110" t="s">
        <v>49</v>
      </c>
      <c r="D9" s="110">
        <v>139</v>
      </c>
      <c r="E9" s="110">
        <v>166.79999999999998</v>
      </c>
    </row>
    <row r="10" spans="1:5" x14ac:dyDescent="0.2">
      <c r="B10" s="109" t="s">
        <v>182</v>
      </c>
      <c r="C10" s="110" t="s">
        <v>49</v>
      </c>
      <c r="D10" s="110">
        <v>416</v>
      </c>
      <c r="E10" s="110">
        <v>499.2</v>
      </c>
    </row>
    <row r="11" spans="1:5" x14ac:dyDescent="0.2">
      <c r="B11" s="109" t="s">
        <v>183</v>
      </c>
      <c r="C11" s="110" t="s">
        <v>49</v>
      </c>
      <c r="D11" s="110">
        <v>687</v>
      </c>
      <c r="E11" s="110">
        <v>824.4</v>
      </c>
    </row>
    <row r="12" spans="1:5" x14ac:dyDescent="0.2">
      <c r="B12" s="109" t="s">
        <v>184</v>
      </c>
      <c r="C12" s="110" t="s">
        <v>49</v>
      </c>
      <c r="D12" s="110">
        <v>424</v>
      </c>
      <c r="E12" s="110">
        <v>508.7999999999999</v>
      </c>
    </row>
    <row r="13" spans="1:5" x14ac:dyDescent="0.2">
      <c r="B13" s="109" t="s">
        <v>185</v>
      </c>
      <c r="C13" s="110" t="s">
        <v>49</v>
      </c>
      <c r="D13" s="110">
        <v>414</v>
      </c>
      <c r="E13" s="110">
        <v>496.79999999999995</v>
      </c>
    </row>
    <row r="14" spans="1:5" x14ac:dyDescent="0.2">
      <c r="B14" s="109" t="s">
        <v>186</v>
      </c>
      <c r="C14" s="110" t="s">
        <v>49</v>
      </c>
      <c r="D14" s="110">
        <v>609</v>
      </c>
      <c r="E14" s="110">
        <v>730.8</v>
      </c>
    </row>
    <row r="15" spans="1:5" x14ac:dyDescent="0.2">
      <c r="B15" s="109" t="s">
        <v>187</v>
      </c>
      <c r="C15" s="110" t="s">
        <v>49</v>
      </c>
      <c r="D15" s="110">
        <v>322</v>
      </c>
      <c r="E15" s="110">
        <v>386.4</v>
      </c>
    </row>
    <row r="16" spans="1:5" x14ac:dyDescent="0.2">
      <c r="A16" s="109" t="s">
        <v>127</v>
      </c>
      <c r="B16" s="109" t="s">
        <v>188</v>
      </c>
      <c r="C16" s="110" t="s">
        <v>49</v>
      </c>
      <c r="D16" s="110">
        <v>80</v>
      </c>
      <c r="E16" s="110">
        <v>96</v>
      </c>
    </row>
    <row r="17" spans="2:5" x14ac:dyDescent="0.2">
      <c r="B17" s="109" t="s">
        <v>189</v>
      </c>
      <c r="C17" s="110" t="s">
        <v>49</v>
      </c>
      <c r="D17" s="110">
        <v>202</v>
      </c>
      <c r="E17" s="110">
        <v>242.39999999999998</v>
      </c>
    </row>
    <row r="18" spans="2:5" x14ac:dyDescent="0.2">
      <c r="B18" s="109" t="s">
        <v>190</v>
      </c>
      <c r="C18" s="110" t="s">
        <v>49</v>
      </c>
      <c r="D18" s="110">
        <v>52</v>
      </c>
      <c r="E18" s="110">
        <v>62.4</v>
      </c>
    </row>
    <row r="19" spans="2:5" x14ac:dyDescent="0.2">
      <c r="B19" s="109" t="s">
        <v>191</v>
      </c>
      <c r="C19" s="110" t="s">
        <v>49</v>
      </c>
      <c r="D19" s="110">
        <v>233</v>
      </c>
      <c r="E19" s="110">
        <v>279.59999999999997</v>
      </c>
    </row>
    <row r="20" spans="2:5" x14ac:dyDescent="0.2">
      <c r="B20" s="109" t="s">
        <v>192</v>
      </c>
      <c r="C20" s="110" t="s">
        <v>49</v>
      </c>
      <c r="D20" s="110">
        <v>254</v>
      </c>
      <c r="E20" s="110">
        <v>304.8</v>
      </c>
    </row>
    <row r="21" spans="2:5" x14ac:dyDescent="0.2">
      <c r="B21" s="109" t="s">
        <v>193</v>
      </c>
      <c r="C21" s="110" t="s">
        <v>49</v>
      </c>
      <c r="D21" s="110">
        <v>271</v>
      </c>
      <c r="E21" s="110">
        <v>325.2</v>
      </c>
    </row>
    <row r="22" spans="2:5" x14ac:dyDescent="0.2">
      <c r="B22" s="109" t="s">
        <v>194</v>
      </c>
      <c r="C22" s="110" t="s">
        <v>49</v>
      </c>
      <c r="D22" s="110">
        <v>239</v>
      </c>
      <c r="E22" s="110">
        <v>286.8</v>
      </c>
    </row>
    <row r="23" spans="2:5" x14ac:dyDescent="0.2">
      <c r="B23" s="109" t="s">
        <v>195</v>
      </c>
      <c r="C23" s="110" t="s">
        <v>49</v>
      </c>
      <c r="D23" s="110">
        <v>263</v>
      </c>
      <c r="E23" s="110">
        <v>315.59999999999997</v>
      </c>
    </row>
    <row r="24" spans="2:5" x14ac:dyDescent="0.2">
      <c r="B24" s="109" t="s">
        <v>196</v>
      </c>
      <c r="C24" s="110" t="s">
        <v>42</v>
      </c>
      <c r="D24" s="110">
        <v>492</v>
      </c>
      <c r="E24" s="110">
        <v>590.4</v>
      </c>
    </row>
    <row r="25" spans="2:5" x14ac:dyDescent="0.2">
      <c r="B25" s="109" t="s">
        <v>197</v>
      </c>
      <c r="C25" s="110" t="s">
        <v>49</v>
      </c>
      <c r="D25" s="110">
        <v>196</v>
      </c>
      <c r="E25" s="110">
        <v>235.2</v>
      </c>
    </row>
    <row r="26" spans="2:5" x14ac:dyDescent="0.2">
      <c r="B26" s="109" t="s">
        <v>198</v>
      </c>
      <c r="C26" s="110" t="s">
        <v>49</v>
      </c>
      <c r="D26" s="110">
        <v>193</v>
      </c>
      <c r="E26" s="110">
        <v>231.6</v>
      </c>
    </row>
    <row r="27" spans="2:5" x14ac:dyDescent="0.2">
      <c r="B27" s="109" t="s">
        <v>199</v>
      </c>
      <c r="C27" s="110" t="s">
        <v>49</v>
      </c>
      <c r="D27" s="110">
        <v>148</v>
      </c>
      <c r="E27" s="110">
        <v>177.6</v>
      </c>
    </row>
    <row r="28" spans="2:5" x14ac:dyDescent="0.2">
      <c r="B28" s="109" t="s">
        <v>200</v>
      </c>
      <c r="C28" s="110" t="s">
        <v>42</v>
      </c>
      <c r="D28" s="110">
        <v>429</v>
      </c>
      <c r="E28" s="110">
        <v>514.79999999999995</v>
      </c>
    </row>
    <row r="29" spans="2:5" x14ac:dyDescent="0.2">
      <c r="B29" s="109" t="s">
        <v>201</v>
      </c>
      <c r="C29" s="110" t="s">
        <v>49</v>
      </c>
      <c r="D29" s="110">
        <v>279</v>
      </c>
      <c r="E29" s="110">
        <v>334.8</v>
      </c>
    </row>
    <row r="30" spans="2:5" x14ac:dyDescent="0.2">
      <c r="B30" s="109" t="s">
        <v>202</v>
      </c>
      <c r="C30" s="110" t="s">
        <v>49</v>
      </c>
      <c r="D30" s="110">
        <v>317</v>
      </c>
      <c r="E30" s="110">
        <v>380.4</v>
      </c>
    </row>
    <row r="31" spans="2:5" x14ac:dyDescent="0.2">
      <c r="B31" s="109" t="s">
        <v>203</v>
      </c>
      <c r="C31" s="110" t="s">
        <v>49</v>
      </c>
      <c r="D31" s="110">
        <v>342</v>
      </c>
      <c r="E31" s="110">
        <v>410.4</v>
      </c>
    </row>
    <row r="32" spans="2:5" x14ac:dyDescent="0.2">
      <c r="B32" s="109" t="s">
        <v>204</v>
      </c>
      <c r="C32" s="110" t="s">
        <v>42</v>
      </c>
      <c r="D32" s="110">
        <v>467</v>
      </c>
      <c r="E32" s="110">
        <v>560.4</v>
      </c>
    </row>
    <row r="33" spans="1:5" x14ac:dyDescent="0.2">
      <c r="A33" s="109" t="s">
        <v>128</v>
      </c>
      <c r="B33" s="109" t="s">
        <v>205</v>
      </c>
      <c r="C33" s="110" t="s">
        <v>49</v>
      </c>
      <c r="D33" s="110">
        <v>543</v>
      </c>
      <c r="E33" s="110">
        <v>651.6</v>
      </c>
    </row>
    <row r="34" spans="1:5" x14ac:dyDescent="0.2">
      <c r="B34" s="109" t="s">
        <v>206</v>
      </c>
      <c r="C34" s="110" t="s">
        <v>49</v>
      </c>
      <c r="D34" s="110">
        <v>860</v>
      </c>
      <c r="E34" s="110">
        <v>1032</v>
      </c>
    </row>
    <row r="35" spans="1:5" x14ac:dyDescent="0.2">
      <c r="B35" s="109" t="s">
        <v>207</v>
      </c>
      <c r="C35" s="110" t="s">
        <v>49</v>
      </c>
      <c r="D35" s="110">
        <v>1010</v>
      </c>
      <c r="E35" s="110">
        <v>1212</v>
      </c>
    </row>
    <row r="36" spans="1:5" x14ac:dyDescent="0.2">
      <c r="B36" s="109" t="s">
        <v>208</v>
      </c>
      <c r="C36" s="110" t="s">
        <v>49</v>
      </c>
      <c r="D36" s="110">
        <v>431</v>
      </c>
      <c r="E36" s="110">
        <v>517.19999999999993</v>
      </c>
    </row>
    <row r="37" spans="1:5" x14ac:dyDescent="0.2">
      <c r="B37" s="109" t="s">
        <v>209</v>
      </c>
      <c r="C37" s="110" t="s">
        <v>49</v>
      </c>
      <c r="D37" s="110">
        <v>379</v>
      </c>
      <c r="E37" s="110">
        <v>454.8</v>
      </c>
    </row>
    <row r="38" spans="1:5" x14ac:dyDescent="0.2">
      <c r="B38" s="109" t="s">
        <v>210</v>
      </c>
      <c r="C38" s="110" t="s">
        <v>49</v>
      </c>
      <c r="D38" s="110">
        <v>580</v>
      </c>
      <c r="E38" s="110">
        <v>696</v>
      </c>
    </row>
    <row r="39" spans="1:5" x14ac:dyDescent="0.2">
      <c r="B39" s="109" t="s">
        <v>211</v>
      </c>
      <c r="C39" s="110" t="s">
        <v>49</v>
      </c>
      <c r="D39" s="110">
        <v>679</v>
      </c>
      <c r="E39" s="110">
        <v>814.8</v>
      </c>
    </row>
    <row r="40" spans="1:5" x14ac:dyDescent="0.2">
      <c r="B40" s="109" t="s">
        <v>212</v>
      </c>
      <c r="C40" s="110" t="s">
        <v>49</v>
      </c>
      <c r="D40" s="110">
        <v>703</v>
      </c>
      <c r="E40" s="110">
        <v>843.6</v>
      </c>
    </row>
    <row r="41" spans="1:5" x14ac:dyDescent="0.2">
      <c r="B41" s="109" t="s">
        <v>213</v>
      </c>
      <c r="C41" s="110" t="s">
        <v>49</v>
      </c>
      <c r="D41" s="110">
        <v>867</v>
      </c>
      <c r="E41" s="110">
        <v>1040.3999999999999</v>
      </c>
    </row>
    <row r="42" spans="1:5" x14ac:dyDescent="0.2">
      <c r="B42" s="109" t="s">
        <v>214</v>
      </c>
      <c r="C42" s="110" t="s">
        <v>49</v>
      </c>
      <c r="D42" s="110">
        <v>848</v>
      </c>
      <c r="E42" s="110">
        <v>1017.5999999999998</v>
      </c>
    </row>
    <row r="43" spans="1:5" x14ac:dyDescent="0.2">
      <c r="B43" s="109" t="s">
        <v>215</v>
      </c>
      <c r="C43" s="110" t="s">
        <v>49</v>
      </c>
      <c r="D43" s="110">
        <v>1098</v>
      </c>
      <c r="E43" s="110">
        <v>1317.6</v>
      </c>
    </row>
    <row r="44" spans="1:5" x14ac:dyDescent="0.2">
      <c r="B44" s="109" t="s">
        <v>216</v>
      </c>
      <c r="C44" s="110" t="s">
        <v>49</v>
      </c>
      <c r="D44" s="110">
        <v>548</v>
      </c>
      <c r="E44" s="110">
        <v>657.6</v>
      </c>
    </row>
    <row r="45" spans="1:5" x14ac:dyDescent="0.2">
      <c r="A45" s="109" t="s">
        <v>129</v>
      </c>
      <c r="B45" s="109" t="s">
        <v>217</v>
      </c>
      <c r="C45" s="110" t="s">
        <v>42</v>
      </c>
      <c r="D45" s="110">
        <v>281</v>
      </c>
      <c r="E45" s="110">
        <v>337.2</v>
      </c>
    </row>
    <row r="46" spans="1:5" x14ac:dyDescent="0.2">
      <c r="B46" s="109" t="s">
        <v>218</v>
      </c>
      <c r="C46" s="110" t="s">
        <v>49</v>
      </c>
      <c r="D46" s="110">
        <v>322</v>
      </c>
      <c r="E46" s="110">
        <v>386.4</v>
      </c>
    </row>
    <row r="47" spans="1:5" x14ac:dyDescent="0.2">
      <c r="B47" s="109" t="s">
        <v>219</v>
      </c>
      <c r="C47" s="110" t="s">
        <v>42</v>
      </c>
      <c r="D47" s="110">
        <v>586</v>
      </c>
      <c r="E47" s="110">
        <v>703.19999999999993</v>
      </c>
    </row>
    <row r="48" spans="1:5" x14ac:dyDescent="0.2">
      <c r="B48" s="109" t="s">
        <v>220</v>
      </c>
      <c r="C48" s="110" t="s">
        <v>49</v>
      </c>
      <c r="D48" s="110">
        <v>515</v>
      </c>
      <c r="E48" s="110">
        <v>618</v>
      </c>
    </row>
    <row r="49" spans="2:5" x14ac:dyDescent="0.2">
      <c r="B49" s="109" t="s">
        <v>221</v>
      </c>
      <c r="C49" s="110" t="s">
        <v>49</v>
      </c>
      <c r="D49" s="110">
        <v>413</v>
      </c>
      <c r="E49" s="110">
        <v>495.59999999999997</v>
      </c>
    </row>
    <row r="50" spans="2:5" x14ac:dyDescent="0.2">
      <c r="B50" s="109" t="s">
        <v>222</v>
      </c>
      <c r="C50" s="110" t="s">
        <v>49</v>
      </c>
      <c r="D50" s="110">
        <v>340</v>
      </c>
      <c r="E50" s="110">
        <v>408</v>
      </c>
    </row>
    <row r="51" spans="2:5" x14ac:dyDescent="0.2">
      <c r="B51" s="109" t="s">
        <v>223</v>
      </c>
      <c r="C51" s="110" t="s">
        <v>49</v>
      </c>
      <c r="D51" s="110">
        <v>671</v>
      </c>
      <c r="E51" s="110">
        <v>805.19999999999993</v>
      </c>
    </row>
    <row r="52" spans="2:5" x14ac:dyDescent="0.2">
      <c r="B52" s="109" t="s">
        <v>224</v>
      </c>
      <c r="C52" s="110" t="s">
        <v>66</v>
      </c>
      <c r="D52" s="110">
        <v>700</v>
      </c>
      <c r="E52" s="110">
        <v>840</v>
      </c>
    </row>
    <row r="53" spans="2:5" x14ac:dyDescent="0.2">
      <c r="B53" s="109" t="s">
        <v>225</v>
      </c>
      <c r="C53" s="110" t="s">
        <v>42</v>
      </c>
      <c r="D53" s="110">
        <v>1052</v>
      </c>
      <c r="E53" s="110">
        <v>1262.3999999999999</v>
      </c>
    </row>
    <row r="54" spans="2:5" x14ac:dyDescent="0.2">
      <c r="B54" s="109" t="s">
        <v>226</v>
      </c>
      <c r="C54" s="110" t="s">
        <v>42</v>
      </c>
      <c r="D54" s="110">
        <v>586</v>
      </c>
      <c r="E54" s="110">
        <v>703.19999999999993</v>
      </c>
    </row>
    <row r="55" spans="2:5" x14ac:dyDescent="0.2">
      <c r="B55" s="109" t="s">
        <v>227</v>
      </c>
      <c r="C55" s="110" t="s">
        <v>49</v>
      </c>
      <c r="D55" s="110">
        <v>366</v>
      </c>
      <c r="E55" s="110">
        <v>439.2</v>
      </c>
    </row>
    <row r="56" spans="2:5" x14ac:dyDescent="0.2">
      <c r="B56" s="109" t="s">
        <v>228</v>
      </c>
      <c r="C56" s="110" t="s">
        <v>49</v>
      </c>
      <c r="D56" s="110">
        <v>589</v>
      </c>
      <c r="E56" s="110">
        <v>706.8</v>
      </c>
    </row>
    <row r="57" spans="2:5" x14ac:dyDescent="0.2">
      <c r="B57" s="109" t="s">
        <v>229</v>
      </c>
      <c r="C57" s="110" t="s">
        <v>42</v>
      </c>
      <c r="D57" s="110">
        <v>562</v>
      </c>
      <c r="E57" s="110">
        <v>674.4</v>
      </c>
    </row>
    <row r="58" spans="2:5" x14ac:dyDescent="0.2">
      <c r="B58" s="109" t="s">
        <v>230</v>
      </c>
      <c r="C58" s="110" t="s">
        <v>66</v>
      </c>
      <c r="D58" s="110">
        <v>1065</v>
      </c>
      <c r="E58" s="110">
        <v>1278</v>
      </c>
    </row>
    <row r="59" spans="2:5" x14ac:dyDescent="0.2">
      <c r="B59" s="109" t="s">
        <v>231</v>
      </c>
      <c r="C59" s="110" t="s">
        <v>42</v>
      </c>
      <c r="D59" s="110">
        <v>722</v>
      </c>
      <c r="E59" s="110">
        <v>866.4</v>
      </c>
    </row>
    <row r="60" spans="2:5" x14ac:dyDescent="0.2">
      <c r="B60" s="109" t="s">
        <v>232</v>
      </c>
      <c r="C60" s="110" t="s">
        <v>42</v>
      </c>
      <c r="D60" s="110">
        <v>728</v>
      </c>
      <c r="E60" s="110">
        <v>873.6</v>
      </c>
    </row>
    <row r="61" spans="2:5" x14ac:dyDescent="0.2">
      <c r="B61" s="109" t="s">
        <v>233</v>
      </c>
      <c r="C61" s="110" t="s">
        <v>42</v>
      </c>
      <c r="D61" s="110">
        <v>290</v>
      </c>
      <c r="E61" s="110">
        <v>348</v>
      </c>
    </row>
    <row r="62" spans="2:5" x14ac:dyDescent="0.2">
      <c r="B62" s="109" t="s">
        <v>234</v>
      </c>
      <c r="C62" s="110" t="s">
        <v>42</v>
      </c>
      <c r="D62" s="110">
        <v>631</v>
      </c>
      <c r="E62" s="110">
        <v>757.19999999999993</v>
      </c>
    </row>
    <row r="63" spans="2:5" x14ac:dyDescent="0.2">
      <c r="B63" s="109" t="s">
        <v>235</v>
      </c>
      <c r="C63" s="110" t="s">
        <v>42</v>
      </c>
      <c r="D63" s="110">
        <v>333</v>
      </c>
      <c r="E63" s="110">
        <v>399.59999999999997</v>
      </c>
    </row>
    <row r="64" spans="2:5" x14ac:dyDescent="0.2">
      <c r="B64" s="109" t="s">
        <v>236</v>
      </c>
      <c r="C64" s="110" t="s">
        <v>42</v>
      </c>
      <c r="D64" s="110">
        <v>786</v>
      </c>
      <c r="E64" s="110">
        <v>943.19999999999993</v>
      </c>
    </row>
    <row r="65" spans="1:5" x14ac:dyDescent="0.2">
      <c r="B65" s="109" t="s">
        <v>237</v>
      </c>
      <c r="C65" s="110" t="s">
        <v>49</v>
      </c>
      <c r="D65" s="110">
        <v>738</v>
      </c>
      <c r="E65" s="110">
        <v>885.6</v>
      </c>
    </row>
    <row r="66" spans="1:5" x14ac:dyDescent="0.2">
      <c r="B66" s="109" t="s">
        <v>238</v>
      </c>
      <c r="C66" s="110" t="s">
        <v>49</v>
      </c>
      <c r="D66" s="110">
        <v>590</v>
      </c>
      <c r="E66" s="110">
        <v>708</v>
      </c>
    </row>
    <row r="67" spans="1:5" x14ac:dyDescent="0.2">
      <c r="A67" s="109" t="s">
        <v>130</v>
      </c>
      <c r="B67" s="109" t="s">
        <v>239</v>
      </c>
      <c r="C67" s="110" t="s">
        <v>42</v>
      </c>
      <c r="D67" s="110">
        <v>467</v>
      </c>
      <c r="E67" s="110">
        <v>560.4</v>
      </c>
    </row>
    <row r="68" spans="1:5" x14ac:dyDescent="0.2">
      <c r="B68" s="109" t="s">
        <v>240</v>
      </c>
      <c r="C68" s="110" t="s">
        <v>42</v>
      </c>
      <c r="D68" s="110">
        <v>701</v>
      </c>
      <c r="E68" s="110">
        <v>841.19999999999993</v>
      </c>
    </row>
    <row r="69" spans="1:5" x14ac:dyDescent="0.2">
      <c r="B69" s="109" t="s">
        <v>241</v>
      </c>
      <c r="C69" s="110" t="s">
        <v>42</v>
      </c>
      <c r="D69" s="110">
        <v>867</v>
      </c>
      <c r="E69" s="110">
        <v>1040.3999999999999</v>
      </c>
    </row>
    <row r="70" spans="1:5" x14ac:dyDescent="0.2">
      <c r="B70" s="109" t="s">
        <v>242</v>
      </c>
      <c r="C70" s="110" t="s">
        <v>42</v>
      </c>
      <c r="D70" s="110">
        <v>317</v>
      </c>
      <c r="E70" s="110">
        <v>380.4</v>
      </c>
    </row>
    <row r="71" spans="1:5" x14ac:dyDescent="0.2">
      <c r="B71" s="109" t="s">
        <v>243</v>
      </c>
      <c r="C71" s="110" t="s">
        <v>42</v>
      </c>
      <c r="D71" s="110">
        <v>334</v>
      </c>
      <c r="E71" s="110">
        <v>400.8</v>
      </c>
    </row>
    <row r="72" spans="1:5" x14ac:dyDescent="0.2">
      <c r="B72" s="109" t="s">
        <v>244</v>
      </c>
      <c r="C72" s="110" t="s">
        <v>42</v>
      </c>
      <c r="D72" s="110">
        <v>578</v>
      </c>
      <c r="E72" s="110">
        <v>693.6</v>
      </c>
    </row>
    <row r="73" spans="1:5" x14ac:dyDescent="0.2">
      <c r="B73" s="109" t="s">
        <v>245</v>
      </c>
      <c r="C73" s="110" t="s">
        <v>42</v>
      </c>
      <c r="D73" s="110">
        <v>801</v>
      </c>
      <c r="E73" s="110">
        <v>961.19999999999993</v>
      </c>
    </row>
    <row r="74" spans="1:5" x14ac:dyDescent="0.2">
      <c r="B74" s="109" t="s">
        <v>246</v>
      </c>
      <c r="C74" s="110" t="s">
        <v>42</v>
      </c>
      <c r="D74" s="110">
        <v>363</v>
      </c>
      <c r="E74" s="110">
        <v>435.59999999999997</v>
      </c>
    </row>
    <row r="75" spans="1:5" x14ac:dyDescent="0.2">
      <c r="B75" s="109" t="s">
        <v>247</v>
      </c>
      <c r="C75" s="110" t="s">
        <v>42</v>
      </c>
      <c r="D75" s="110">
        <v>27</v>
      </c>
      <c r="E75" s="110">
        <v>32.4</v>
      </c>
    </row>
    <row r="76" spans="1:5" x14ac:dyDescent="0.2">
      <c r="B76" s="109" t="s">
        <v>248</v>
      </c>
      <c r="C76" s="110" t="s">
        <v>42</v>
      </c>
      <c r="D76" s="110">
        <v>402</v>
      </c>
      <c r="E76" s="110">
        <v>482.4</v>
      </c>
    </row>
    <row r="77" spans="1:5" x14ac:dyDescent="0.2">
      <c r="B77" s="109" t="s">
        <v>249</v>
      </c>
      <c r="C77" s="110" t="s">
        <v>42</v>
      </c>
      <c r="D77" s="110">
        <v>251</v>
      </c>
      <c r="E77" s="110">
        <v>301.2</v>
      </c>
    </row>
    <row r="78" spans="1:5" x14ac:dyDescent="0.2">
      <c r="B78" s="109" t="s">
        <v>250</v>
      </c>
      <c r="C78" s="110" t="s">
        <v>42</v>
      </c>
      <c r="D78" s="110">
        <v>684</v>
      </c>
      <c r="E78" s="110">
        <v>820.8</v>
      </c>
    </row>
    <row r="79" spans="1:5" x14ac:dyDescent="0.2">
      <c r="B79" s="109" t="s">
        <v>251</v>
      </c>
      <c r="C79" s="110" t="s">
        <v>42</v>
      </c>
      <c r="D79" s="110">
        <v>106</v>
      </c>
      <c r="E79" s="110">
        <v>127.19999999999997</v>
      </c>
    </row>
    <row r="80" spans="1:5" x14ac:dyDescent="0.2">
      <c r="B80" s="109" t="s">
        <v>252</v>
      </c>
      <c r="C80" s="110" t="s">
        <v>42</v>
      </c>
      <c r="D80" s="110">
        <v>740</v>
      </c>
      <c r="E80" s="110">
        <v>888</v>
      </c>
    </row>
    <row r="81" spans="1:5" x14ac:dyDescent="0.2">
      <c r="B81" s="109" t="s">
        <v>253</v>
      </c>
      <c r="C81" s="110" t="s">
        <v>42</v>
      </c>
      <c r="D81" s="110">
        <v>545</v>
      </c>
      <c r="E81" s="110">
        <v>654</v>
      </c>
    </row>
    <row r="82" spans="1:5" x14ac:dyDescent="0.2">
      <c r="B82" s="109" t="s">
        <v>254</v>
      </c>
      <c r="C82" s="110" t="s">
        <v>42</v>
      </c>
      <c r="D82" s="110">
        <v>317</v>
      </c>
      <c r="E82" s="110">
        <v>380.4</v>
      </c>
    </row>
    <row r="83" spans="1:5" x14ac:dyDescent="0.2">
      <c r="A83" s="109" t="s">
        <v>131</v>
      </c>
      <c r="B83" s="109" t="s">
        <v>255</v>
      </c>
      <c r="C83" s="110" t="s">
        <v>66</v>
      </c>
      <c r="D83" s="110">
        <v>470</v>
      </c>
      <c r="E83" s="110">
        <v>564</v>
      </c>
    </row>
    <row r="84" spans="1:5" x14ac:dyDescent="0.2">
      <c r="B84" s="109" t="s">
        <v>256</v>
      </c>
      <c r="C84" s="110" t="s">
        <v>66</v>
      </c>
      <c r="D84" s="110">
        <v>405</v>
      </c>
      <c r="E84" s="110">
        <v>486</v>
      </c>
    </row>
    <row r="85" spans="1:5" x14ac:dyDescent="0.2">
      <c r="B85" s="109" t="s">
        <v>257</v>
      </c>
      <c r="C85" s="110" t="s">
        <v>66</v>
      </c>
      <c r="D85" s="110">
        <v>579</v>
      </c>
      <c r="E85" s="110">
        <v>694.8</v>
      </c>
    </row>
    <row r="86" spans="1:5" x14ac:dyDescent="0.2">
      <c r="B86" s="109" t="s">
        <v>258</v>
      </c>
      <c r="C86" s="110" t="s">
        <v>66</v>
      </c>
      <c r="D86" s="110">
        <v>491</v>
      </c>
      <c r="E86" s="110">
        <v>589.19999999999993</v>
      </c>
    </row>
    <row r="87" spans="1:5" x14ac:dyDescent="0.2">
      <c r="B87" s="109" t="s">
        <v>259</v>
      </c>
      <c r="C87" s="110" t="s">
        <v>66</v>
      </c>
      <c r="D87" s="110">
        <v>532</v>
      </c>
      <c r="E87" s="110">
        <v>638.4</v>
      </c>
    </row>
    <row r="88" spans="1:5" x14ac:dyDescent="0.2">
      <c r="B88" s="109" t="s">
        <v>260</v>
      </c>
      <c r="C88" s="110" t="s">
        <v>66</v>
      </c>
      <c r="D88" s="110">
        <v>416</v>
      </c>
      <c r="E88" s="110">
        <v>499.2</v>
      </c>
    </row>
    <row r="89" spans="1:5" x14ac:dyDescent="0.2">
      <c r="B89" s="109" t="s">
        <v>261</v>
      </c>
      <c r="C89" s="110" t="s">
        <v>66</v>
      </c>
      <c r="D89" s="110">
        <v>145</v>
      </c>
      <c r="E89" s="110">
        <v>174</v>
      </c>
    </row>
    <row r="90" spans="1:5" x14ac:dyDescent="0.2">
      <c r="B90" s="109" t="s">
        <v>262</v>
      </c>
      <c r="C90" s="110" t="s">
        <v>66</v>
      </c>
      <c r="D90" s="110">
        <v>596</v>
      </c>
      <c r="E90" s="110">
        <v>715.19999999999993</v>
      </c>
    </row>
    <row r="91" spans="1:5" x14ac:dyDescent="0.2">
      <c r="A91" s="109" t="s">
        <v>132</v>
      </c>
      <c r="B91" s="109" t="s">
        <v>263</v>
      </c>
      <c r="C91" s="110" t="s">
        <v>66</v>
      </c>
      <c r="D91" s="110">
        <v>551</v>
      </c>
      <c r="E91" s="110">
        <v>661.19999999999993</v>
      </c>
    </row>
    <row r="92" spans="1:5" x14ac:dyDescent="0.2">
      <c r="B92" s="109" t="s">
        <v>264</v>
      </c>
      <c r="C92" s="110" t="s">
        <v>66</v>
      </c>
      <c r="D92" s="110">
        <v>931</v>
      </c>
      <c r="E92" s="110">
        <v>1117.2</v>
      </c>
    </row>
    <row r="93" spans="1:5" x14ac:dyDescent="0.2">
      <c r="B93" s="109" t="s">
        <v>265</v>
      </c>
      <c r="C93" s="110" t="s">
        <v>66</v>
      </c>
      <c r="D93" s="110">
        <v>494</v>
      </c>
      <c r="E93" s="110">
        <v>592.79999999999995</v>
      </c>
    </row>
    <row r="94" spans="1:5" x14ac:dyDescent="0.2">
      <c r="B94" s="109" t="s">
        <v>266</v>
      </c>
      <c r="C94" s="110" t="s">
        <v>66</v>
      </c>
      <c r="D94" s="110">
        <v>382</v>
      </c>
      <c r="E94" s="110">
        <v>458.4</v>
      </c>
    </row>
    <row r="95" spans="1:5" x14ac:dyDescent="0.2">
      <c r="B95" s="109" t="s">
        <v>267</v>
      </c>
      <c r="C95" s="110" t="s">
        <v>66</v>
      </c>
      <c r="D95" s="110">
        <v>3601</v>
      </c>
      <c r="E95" s="110">
        <v>4321.2</v>
      </c>
    </row>
    <row r="96" spans="1:5" x14ac:dyDescent="0.2">
      <c r="B96" s="109" t="s">
        <v>268</v>
      </c>
      <c r="C96" s="110" t="s">
        <v>66</v>
      </c>
      <c r="D96" s="110">
        <v>646</v>
      </c>
      <c r="E96" s="110">
        <v>775.19999999999993</v>
      </c>
    </row>
    <row r="97" spans="2:5" x14ac:dyDescent="0.2">
      <c r="B97" s="109" t="s">
        <v>269</v>
      </c>
      <c r="C97" s="110" t="s">
        <v>66</v>
      </c>
      <c r="D97" s="110">
        <v>511</v>
      </c>
      <c r="E97" s="110">
        <v>613.19999999999993</v>
      </c>
    </row>
    <row r="98" spans="2:5" x14ac:dyDescent="0.2">
      <c r="B98" s="109" t="s">
        <v>270</v>
      </c>
      <c r="C98" s="110" t="s">
        <v>66</v>
      </c>
      <c r="D98" s="110">
        <v>332</v>
      </c>
      <c r="E98" s="110">
        <v>398.4</v>
      </c>
    </row>
    <row r="99" spans="2:5" x14ac:dyDescent="0.2">
      <c r="B99" s="109" t="s">
        <v>271</v>
      </c>
      <c r="C99" s="110" t="s">
        <v>66</v>
      </c>
      <c r="D99" s="110">
        <v>478</v>
      </c>
      <c r="E99" s="110">
        <v>573.6</v>
      </c>
    </row>
    <row r="100" spans="2:5" x14ac:dyDescent="0.2">
      <c r="B100" s="109" t="s">
        <v>272</v>
      </c>
      <c r="C100" s="110" t="s">
        <v>66</v>
      </c>
      <c r="D100" s="110">
        <v>570</v>
      </c>
      <c r="E100" s="110">
        <v>684</v>
      </c>
    </row>
    <row r="101" spans="2:5" x14ac:dyDescent="0.2">
      <c r="B101" s="109" t="s">
        <v>273</v>
      </c>
      <c r="C101" s="110" t="s">
        <v>66</v>
      </c>
      <c r="D101" s="110">
        <v>511</v>
      </c>
      <c r="E101" s="110">
        <v>613.19999999999993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9</vt:i4>
      </vt:variant>
    </vt:vector>
  </HeadingPairs>
  <TitlesOfParts>
    <vt:vector size="25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P07</vt:lpstr>
      <vt:lpstr>S44</vt:lpstr>
      <vt:lpstr>S51</vt:lpstr>
      <vt:lpstr>S68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2016-11-29T22:18:21Z</dcterms:modified>
</cp:coreProperties>
</file>