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S39" i="20" s="1"/>
  <c r="H38" i="20"/>
  <c r="H35" i="20"/>
  <c r="H34" i="20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F116" i="12" s="1"/>
  <c r="H8" i="20" s="1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N116" i="13" s="1"/>
  <c r="O115" i="13"/>
  <c r="D116" i="13"/>
  <c r="E116" i="13"/>
  <c r="F116" i="13"/>
  <c r="G116" i="13"/>
  <c r="H116" i="13"/>
  <c r="I116" i="13"/>
  <c r="J116" i="13"/>
  <c r="K116" i="13"/>
  <c r="L116" i="13"/>
  <c r="M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N138" i="13" s="1"/>
  <c r="O137" i="13"/>
  <c r="D138" i="13"/>
  <c r="E138" i="13"/>
  <c r="F138" i="13"/>
  <c r="G138" i="13"/>
  <c r="H138" i="13"/>
  <c r="I138" i="13"/>
  <c r="J138" i="13"/>
  <c r="K138" i="13"/>
  <c r="L138" i="13"/>
  <c r="M138" i="13"/>
  <c r="O138" i="13"/>
  <c r="AZ14" i="14"/>
  <c r="AY259" i="14" s="1"/>
  <c r="AY181" i="14"/>
  <c r="AY179" i="14"/>
  <c r="AY177" i="14"/>
  <c r="AY175" i="14"/>
  <c r="AX260" i="14"/>
  <c r="AY14" i="14"/>
  <c r="AX259" i="14" s="1"/>
  <c r="AX181" i="14"/>
  <c r="AX179" i="14"/>
  <c r="AX177" i="14"/>
  <c r="AX175" i="14"/>
  <c r="AW259" i="14"/>
  <c r="AX14" i="14"/>
  <c r="AW181" i="14"/>
  <c r="AW179" i="14"/>
  <c r="AW260" i="14" s="1"/>
  <c r="AW177" i="14"/>
  <c r="AW175" i="14"/>
  <c r="AV259" i="14"/>
  <c r="AW14" i="14"/>
  <c r="AV181" i="14"/>
  <c r="AV179" i="14"/>
  <c r="AV177" i="14"/>
  <c r="AV175" i="14"/>
  <c r="AV14" i="14"/>
  <c r="AU259" i="14" s="1"/>
  <c r="AU181" i="14"/>
  <c r="AU179" i="14"/>
  <c r="AU177" i="14"/>
  <c r="AU175" i="14"/>
  <c r="AT260" i="14"/>
  <c r="AU14" i="14"/>
  <c r="AT259" i="14" s="1"/>
  <c r="AT181" i="14"/>
  <c r="AT179" i="14"/>
  <c r="AT177" i="14"/>
  <c r="AT175" i="14"/>
  <c r="AS259" i="14"/>
  <c r="AT14" i="14"/>
  <c r="AS181" i="14"/>
  <c r="AS179" i="14"/>
  <c r="AS260" i="14" s="1"/>
  <c r="AS177" i="14"/>
  <c r="AS175" i="14"/>
  <c r="AR259" i="14"/>
  <c r="AS14" i="14"/>
  <c r="AR181" i="14"/>
  <c r="AR179" i="14"/>
  <c r="AR177" i="14"/>
  <c r="AR175" i="14"/>
  <c r="AR14" i="14"/>
  <c r="AQ259" i="14" s="1"/>
  <c r="AQ181" i="14"/>
  <c r="AQ179" i="14"/>
  <c r="AQ177" i="14"/>
  <c r="AQ175" i="14"/>
  <c r="AP260" i="14"/>
  <c r="AQ14" i="14"/>
  <c r="AP259" i="14" s="1"/>
  <c r="AP181" i="14"/>
  <c r="AP179" i="14"/>
  <c r="AP177" i="14"/>
  <c r="AP175" i="14"/>
  <c r="AO259" i="14"/>
  <c r="AP14" i="14"/>
  <c r="AO181" i="14"/>
  <c r="AO179" i="14"/>
  <c r="AO260" i="14" s="1"/>
  <c r="AO177" i="14"/>
  <c r="AO175" i="14"/>
  <c r="AN259" i="14"/>
  <c r="AO14" i="14"/>
  <c r="AN181" i="14"/>
  <c r="AN179" i="14"/>
  <c r="AN177" i="14"/>
  <c r="AN175" i="14"/>
  <c r="AN14" i="14"/>
  <c r="AM259" i="14" s="1"/>
  <c r="AM181" i="14"/>
  <c r="AM179" i="14"/>
  <c r="AM177" i="14"/>
  <c r="AM175" i="14"/>
  <c r="AL260" i="14"/>
  <c r="AM14" i="14"/>
  <c r="AL259" i="14" s="1"/>
  <c r="AL181" i="14"/>
  <c r="AL179" i="14"/>
  <c r="AL177" i="14"/>
  <c r="AL175" i="14"/>
  <c r="AK259" i="14"/>
  <c r="AL14" i="14"/>
  <c r="AK181" i="14"/>
  <c r="AK179" i="14"/>
  <c r="AK260" i="14" s="1"/>
  <c r="AK177" i="14"/>
  <c r="AK175" i="14"/>
  <c r="AJ259" i="14"/>
  <c r="AK14" i="14"/>
  <c r="AJ181" i="14"/>
  <c r="AJ179" i="14"/>
  <c r="AJ177" i="14"/>
  <c r="AJ175" i="14"/>
  <c r="AJ14" i="14"/>
  <c r="AI259" i="14" s="1"/>
  <c r="AI181" i="14"/>
  <c r="AI179" i="14"/>
  <c r="AI177" i="14"/>
  <c r="AI175" i="14"/>
  <c r="AH260" i="14"/>
  <c r="AI14" i="14"/>
  <c r="AH259" i="14" s="1"/>
  <c r="AH181" i="14"/>
  <c r="AH179" i="14"/>
  <c r="AH177" i="14"/>
  <c r="AH175" i="14"/>
  <c r="AG259" i="14"/>
  <c r="AH14" i="14"/>
  <c r="AG181" i="14"/>
  <c r="AG179" i="14"/>
  <c r="AG260" i="14" s="1"/>
  <c r="AG177" i="14"/>
  <c r="AG175" i="14"/>
  <c r="AF259" i="14"/>
  <c r="AG14" i="14"/>
  <c r="AF181" i="14"/>
  <c r="AF179" i="14"/>
  <c r="AF177" i="14"/>
  <c r="AF175" i="14"/>
  <c r="AF14" i="14"/>
  <c r="AE259" i="14" s="1"/>
  <c r="AE181" i="14"/>
  <c r="AE179" i="14"/>
  <c r="AE177" i="14"/>
  <c r="AE175" i="14"/>
  <c r="AD260" i="14"/>
  <c r="AE14" i="14"/>
  <c r="AD259" i="14" s="1"/>
  <c r="AD181" i="14"/>
  <c r="AD179" i="14"/>
  <c r="AD177" i="14"/>
  <c r="AD175" i="14"/>
  <c r="AC259" i="14"/>
  <c r="AD14" i="14"/>
  <c r="AC181" i="14"/>
  <c r="AC179" i="14"/>
  <c r="AC260" i="14" s="1"/>
  <c r="AC177" i="14"/>
  <c r="AC175" i="14"/>
  <c r="AB259" i="14"/>
  <c r="AC14" i="14"/>
  <c r="AB181" i="14"/>
  <c r="AB179" i="14"/>
  <c r="AB177" i="14"/>
  <c r="AB175" i="14"/>
  <c r="AB14" i="14"/>
  <c r="AA259" i="14" s="1"/>
  <c r="AA181" i="14"/>
  <c r="AA179" i="14"/>
  <c r="AA177" i="14"/>
  <c r="AA175" i="14"/>
  <c r="Z260" i="14"/>
  <c r="AA14" i="14"/>
  <c r="Z259" i="14" s="1"/>
  <c r="Z181" i="14"/>
  <c r="Z179" i="14"/>
  <c r="Z177" i="14"/>
  <c r="Z175" i="14"/>
  <c r="Y259" i="14"/>
  <c r="Z14" i="14"/>
  <c r="Y181" i="14"/>
  <c r="Y179" i="14"/>
  <c r="Y260" i="14" s="1"/>
  <c r="Y177" i="14"/>
  <c r="Y175" i="14"/>
  <c r="X259" i="14"/>
  <c r="Y14" i="14"/>
  <c r="X181" i="14"/>
  <c r="X179" i="14"/>
  <c r="X177" i="14"/>
  <c r="X175" i="14"/>
  <c r="X14" i="14"/>
  <c r="W259" i="14" s="1"/>
  <c r="W181" i="14"/>
  <c r="W179" i="14"/>
  <c r="W177" i="14"/>
  <c r="W175" i="14"/>
  <c r="V260" i="14"/>
  <c r="W14" i="14"/>
  <c r="V259" i="14" s="1"/>
  <c r="V181" i="14"/>
  <c r="V179" i="14"/>
  <c r="V177" i="14"/>
  <c r="V175" i="14"/>
  <c r="U259" i="14"/>
  <c r="V14" i="14"/>
  <c r="U181" i="14"/>
  <c r="U179" i="14"/>
  <c r="U260" i="14" s="1"/>
  <c r="U177" i="14"/>
  <c r="U175" i="14"/>
  <c r="T259" i="14"/>
  <c r="U14" i="14"/>
  <c r="T181" i="14"/>
  <c r="T179" i="14"/>
  <c r="T177" i="14"/>
  <c r="T175" i="14"/>
  <c r="T14" i="14"/>
  <c r="S259" i="14" s="1"/>
  <c r="S181" i="14"/>
  <c r="S179" i="14"/>
  <c r="S177" i="14"/>
  <c r="S175" i="14"/>
  <c r="R260" i="14"/>
  <c r="S14" i="14"/>
  <c r="R259" i="14" s="1"/>
  <c r="R181" i="14"/>
  <c r="R179" i="14"/>
  <c r="R177" i="14"/>
  <c r="R175" i="14"/>
  <c r="Q259" i="14"/>
  <c r="R14" i="14"/>
  <c r="Q181" i="14"/>
  <c r="Q179" i="14"/>
  <c r="Q260" i="14" s="1"/>
  <c r="Q177" i="14"/>
  <c r="Q175" i="14"/>
  <c r="P259" i="14"/>
  <c r="Q14" i="14"/>
  <c r="P181" i="14"/>
  <c r="P179" i="14"/>
  <c r="P177" i="14"/>
  <c r="P175" i="14"/>
  <c r="P14" i="14"/>
  <c r="O259" i="14" s="1"/>
  <c r="O181" i="14"/>
  <c r="O179" i="14"/>
  <c r="O177" i="14"/>
  <c r="O175" i="14"/>
  <c r="N260" i="14"/>
  <c r="O14" i="14"/>
  <c r="N259" i="14" s="1"/>
  <c r="N181" i="14"/>
  <c r="N179" i="14"/>
  <c r="N177" i="14"/>
  <c r="N175" i="14"/>
  <c r="M259" i="14"/>
  <c r="N14" i="14"/>
  <c r="M181" i="14"/>
  <c r="M179" i="14"/>
  <c r="M260" i="14" s="1"/>
  <c r="M177" i="14"/>
  <c r="M175" i="14"/>
  <c r="L259" i="14"/>
  <c r="M14" i="14"/>
  <c r="L181" i="14"/>
  <c r="L179" i="14"/>
  <c r="L177" i="14"/>
  <c r="L175" i="14"/>
  <c r="L14" i="14"/>
  <c r="K259" i="14" s="1"/>
  <c r="K181" i="14"/>
  <c r="K179" i="14"/>
  <c r="K177" i="14"/>
  <c r="K175" i="14"/>
  <c r="J260" i="14"/>
  <c r="K14" i="14"/>
  <c r="J259" i="14" s="1"/>
  <c r="J181" i="14"/>
  <c r="J179" i="14"/>
  <c r="J177" i="14"/>
  <c r="J175" i="14"/>
  <c r="I259" i="14"/>
  <c r="J14" i="14"/>
  <c r="I181" i="14"/>
  <c r="I179" i="14"/>
  <c r="I260" i="14" s="1"/>
  <c r="I177" i="14"/>
  <c r="I175" i="14"/>
  <c r="H259" i="14"/>
  <c r="I14" i="14"/>
  <c r="H181" i="14"/>
  <c r="H179" i="14"/>
  <c r="H177" i="14"/>
  <c r="H175" i="14"/>
  <c r="H14" i="14"/>
  <c r="G259" i="14" s="1"/>
  <c r="G181" i="14"/>
  <c r="G179" i="14"/>
  <c r="G177" i="14"/>
  <c r="G175" i="14"/>
  <c r="F260" i="14"/>
  <c r="G14" i="14"/>
  <c r="F259" i="14" s="1"/>
  <c r="F181" i="14"/>
  <c r="F179" i="14"/>
  <c r="F177" i="14"/>
  <c r="F175" i="14"/>
  <c r="E259" i="14"/>
  <c r="F14" i="14"/>
  <c r="E181" i="14"/>
  <c r="E179" i="14"/>
  <c r="E260" i="14" s="1"/>
  <c r="E177" i="14"/>
  <c r="E175" i="14"/>
  <c r="D259" i="14"/>
  <c r="AZ259" i="14" s="1"/>
  <c r="E14" i="14"/>
  <c r="BA14" i="14" s="1"/>
  <c r="D181" i="14"/>
  <c r="D179" i="14"/>
  <c r="D177" i="14"/>
  <c r="D175" i="14"/>
  <c r="AZ14" i="15"/>
  <c r="AY259" i="15" s="1"/>
  <c r="AY181" i="15"/>
  <c r="AY179" i="15"/>
  <c r="AY177" i="15"/>
  <c r="AY175" i="15"/>
  <c r="AX260" i="15"/>
  <c r="AY14" i="15"/>
  <c r="AX259" i="15" s="1"/>
  <c r="AX181" i="15"/>
  <c r="AX179" i="15"/>
  <c r="AX177" i="15"/>
  <c r="AX175" i="15"/>
  <c r="AW259" i="15"/>
  <c r="AX14" i="15"/>
  <c r="AW181" i="15"/>
  <c r="AW179" i="15"/>
  <c r="AW260" i="15" s="1"/>
  <c r="AW177" i="15"/>
  <c r="AW175" i="15"/>
  <c r="AV259" i="15"/>
  <c r="AW14" i="15"/>
  <c r="AV181" i="15"/>
  <c r="AV179" i="15"/>
  <c r="AV177" i="15"/>
  <c r="AV175" i="15"/>
  <c r="AV260" i="15" s="1"/>
  <c r="AV14" i="15"/>
  <c r="AU259" i="15" s="1"/>
  <c r="AU181" i="15"/>
  <c r="AU179" i="15"/>
  <c r="AU177" i="15"/>
  <c r="AU175" i="15"/>
  <c r="AU14" i="15"/>
  <c r="AT259" i="15" s="1"/>
  <c r="AT181" i="15"/>
  <c r="AT260" i="15" s="1"/>
  <c r="AT179" i="15"/>
  <c r="AT177" i="15"/>
  <c r="AT175" i="15"/>
  <c r="AS259" i="15"/>
  <c r="AT14" i="15"/>
  <c r="AS181" i="15"/>
  <c r="AS179" i="15"/>
  <c r="AS260" i="15" s="1"/>
  <c r="AS177" i="15"/>
  <c r="AS175" i="15"/>
  <c r="AS14" i="15"/>
  <c r="AR259" i="15" s="1"/>
  <c r="AR181" i="15"/>
  <c r="AR179" i="15"/>
  <c r="AR177" i="15"/>
  <c r="AR175" i="15"/>
  <c r="AR260" i="15" s="1"/>
  <c r="AR14" i="15"/>
  <c r="AQ259" i="15" s="1"/>
  <c r="AQ181" i="15"/>
  <c r="AQ179" i="15"/>
  <c r="AQ177" i="15"/>
  <c r="AQ175" i="15"/>
  <c r="AQ14" i="15"/>
  <c r="AP259" i="15" s="1"/>
  <c r="AP181" i="15"/>
  <c r="AP260" i="15" s="1"/>
  <c r="AP179" i="15"/>
  <c r="AP177" i="15"/>
  <c r="AP175" i="15"/>
  <c r="AO259" i="15"/>
  <c r="AP14" i="15"/>
  <c r="AO181" i="15"/>
  <c r="AO179" i="15"/>
  <c r="AO260" i="15" s="1"/>
  <c r="AO177" i="15"/>
  <c r="AO175" i="15"/>
  <c r="AN259" i="15"/>
  <c r="AO14" i="15"/>
  <c r="AN181" i="15"/>
  <c r="AN179" i="15"/>
  <c r="AN177" i="15"/>
  <c r="AN175" i="15"/>
  <c r="AN14" i="15"/>
  <c r="AM259" i="15" s="1"/>
  <c r="AM181" i="15"/>
  <c r="AM179" i="15"/>
  <c r="AM177" i="15"/>
  <c r="AM175" i="15"/>
  <c r="AM14" i="15"/>
  <c r="AL259" i="15" s="1"/>
  <c r="AL181" i="15"/>
  <c r="AL260" i="15" s="1"/>
  <c r="AL179" i="15"/>
  <c r="AL177" i="15"/>
  <c r="AL175" i="15"/>
  <c r="AK259" i="15"/>
  <c r="AL14" i="15"/>
  <c r="AK181" i="15"/>
  <c r="AK179" i="15"/>
  <c r="AK260" i="15" s="1"/>
  <c r="AK177" i="15"/>
  <c r="AK175" i="15"/>
  <c r="AK14" i="15"/>
  <c r="AJ259" i="15" s="1"/>
  <c r="AJ181" i="15"/>
  <c r="AJ179" i="15"/>
  <c r="AJ177" i="15"/>
  <c r="AJ175" i="15"/>
  <c r="AJ260" i="15" s="1"/>
  <c r="AJ14" i="15"/>
  <c r="AI259" i="15" s="1"/>
  <c r="AI181" i="15"/>
  <c r="AI179" i="15"/>
  <c r="AI177" i="15"/>
  <c r="AI175" i="15"/>
  <c r="AI14" i="15"/>
  <c r="AH259" i="15" s="1"/>
  <c r="AH181" i="15"/>
  <c r="AH260" i="15" s="1"/>
  <c r="AH179" i="15"/>
  <c r="AH177" i="15"/>
  <c r="AH175" i="15"/>
  <c r="AG259" i="15"/>
  <c r="AH14" i="15"/>
  <c r="AG181" i="15"/>
  <c r="AG179" i="15"/>
  <c r="AG260" i="15" s="1"/>
  <c r="AG177" i="15"/>
  <c r="AG175" i="15"/>
  <c r="AG14" i="15"/>
  <c r="AF259" i="15" s="1"/>
  <c r="AF181" i="15"/>
  <c r="AF179" i="15"/>
  <c r="AF177" i="15"/>
  <c r="AF175" i="15"/>
  <c r="AF260" i="15" s="1"/>
  <c r="AF14" i="15"/>
  <c r="AE259" i="15" s="1"/>
  <c r="AE181" i="15"/>
  <c r="AE179" i="15"/>
  <c r="AE177" i="15"/>
  <c r="AE175" i="15"/>
  <c r="AE14" i="15"/>
  <c r="AD259" i="15" s="1"/>
  <c r="AD181" i="15"/>
  <c r="AD260" i="15" s="1"/>
  <c r="AD179" i="15"/>
  <c r="AD177" i="15"/>
  <c r="AD175" i="15"/>
  <c r="AC259" i="15"/>
  <c r="AD14" i="15"/>
  <c r="AC181" i="15"/>
  <c r="AC179" i="15"/>
  <c r="AC260" i="15" s="1"/>
  <c r="AC177" i="15"/>
  <c r="AC175" i="15"/>
  <c r="AC14" i="15"/>
  <c r="AB259" i="15" s="1"/>
  <c r="AB181" i="15"/>
  <c r="AB179" i="15"/>
  <c r="AB177" i="15"/>
  <c r="AB175" i="15"/>
  <c r="AB260" i="15" s="1"/>
  <c r="AB14" i="15"/>
  <c r="AA259" i="15" s="1"/>
  <c r="AA181" i="15"/>
  <c r="AA179" i="15"/>
  <c r="AA177" i="15"/>
  <c r="AA175" i="15"/>
  <c r="AA14" i="15"/>
  <c r="Z259" i="15" s="1"/>
  <c r="Z181" i="15"/>
  <c r="Z260" i="15" s="1"/>
  <c r="Z179" i="15"/>
  <c r="Z177" i="15"/>
  <c r="Z175" i="15"/>
  <c r="Y259" i="15"/>
  <c r="Z14" i="15"/>
  <c r="Y181" i="15"/>
  <c r="Y179" i="15"/>
  <c r="Y260" i="15" s="1"/>
  <c r="Y177" i="15"/>
  <c r="Y175" i="15"/>
  <c r="X259" i="15"/>
  <c r="Y14" i="15"/>
  <c r="X181" i="15"/>
  <c r="X179" i="15"/>
  <c r="X177" i="15"/>
  <c r="X175" i="15"/>
  <c r="X14" i="15"/>
  <c r="W259" i="15" s="1"/>
  <c r="W181" i="15"/>
  <c r="W179" i="15"/>
  <c r="W177" i="15"/>
  <c r="W175" i="15"/>
  <c r="W14" i="15"/>
  <c r="V259" i="15" s="1"/>
  <c r="V181" i="15"/>
  <c r="V260" i="15" s="1"/>
  <c r="V179" i="15"/>
  <c r="V177" i="15"/>
  <c r="V175" i="15"/>
  <c r="U259" i="15"/>
  <c r="V14" i="15"/>
  <c r="U181" i="15"/>
  <c r="U179" i="15"/>
  <c r="U260" i="15" s="1"/>
  <c r="U177" i="15"/>
  <c r="U175" i="15"/>
  <c r="U14" i="15"/>
  <c r="T259" i="15" s="1"/>
  <c r="T181" i="15"/>
  <c r="T179" i="15"/>
  <c r="T177" i="15"/>
  <c r="T175" i="15"/>
  <c r="T260" i="15" s="1"/>
  <c r="T14" i="15"/>
  <c r="S259" i="15" s="1"/>
  <c r="S181" i="15"/>
  <c r="S179" i="15"/>
  <c r="S177" i="15"/>
  <c r="S175" i="15"/>
  <c r="S14" i="15"/>
  <c r="R259" i="15" s="1"/>
  <c r="R181" i="15"/>
  <c r="R260" i="15" s="1"/>
  <c r="R179" i="15"/>
  <c r="R177" i="15"/>
  <c r="R175" i="15"/>
  <c r="Q260" i="15"/>
  <c r="Q259" i="15"/>
  <c r="R14" i="15"/>
  <c r="Q181" i="15"/>
  <c r="Q179" i="15"/>
  <c r="Q177" i="15"/>
  <c r="Q175" i="15"/>
  <c r="Q14" i="15"/>
  <c r="P259" i="15" s="1"/>
  <c r="P181" i="15"/>
  <c r="P179" i="15"/>
  <c r="P177" i="15"/>
  <c r="P175" i="15"/>
  <c r="P260" i="15" s="1"/>
  <c r="P14" i="15"/>
  <c r="O259" i="15" s="1"/>
  <c r="O181" i="15"/>
  <c r="O179" i="15"/>
  <c r="O177" i="15"/>
  <c r="O175" i="15"/>
  <c r="O14" i="15"/>
  <c r="N259" i="15" s="1"/>
  <c r="N181" i="15"/>
  <c r="N179" i="15"/>
  <c r="N177" i="15"/>
  <c r="N175" i="15"/>
  <c r="N260" i="15" s="1"/>
  <c r="M259" i="15"/>
  <c r="N14" i="15"/>
  <c r="M181" i="15"/>
  <c r="M179" i="15"/>
  <c r="M260" i="15" s="1"/>
  <c r="M177" i="15"/>
  <c r="M175" i="15"/>
  <c r="L259" i="15"/>
  <c r="M14" i="15"/>
  <c r="L181" i="15"/>
  <c r="L179" i="15"/>
  <c r="L260" i="15" s="1"/>
  <c r="L177" i="15"/>
  <c r="L175" i="15"/>
  <c r="L14" i="15"/>
  <c r="K259" i="15" s="1"/>
  <c r="K181" i="15"/>
  <c r="K179" i="15"/>
  <c r="K177" i="15"/>
  <c r="K175" i="15"/>
  <c r="K260" i="15" s="1"/>
  <c r="K14" i="15"/>
  <c r="J259" i="15" s="1"/>
  <c r="J181" i="15"/>
  <c r="J179" i="15"/>
  <c r="J260" i="15" s="1"/>
  <c r="J177" i="15"/>
  <c r="J175" i="15"/>
  <c r="I259" i="15"/>
  <c r="J14" i="15"/>
  <c r="I181" i="15"/>
  <c r="I179" i="15"/>
  <c r="I177" i="15"/>
  <c r="I260" i="15" s="1"/>
  <c r="I175" i="15"/>
  <c r="I14" i="15"/>
  <c r="H259" i="15" s="1"/>
  <c r="H181" i="15"/>
  <c r="H179" i="15"/>
  <c r="H177" i="15"/>
  <c r="H175" i="15"/>
  <c r="H260" i="15" s="1"/>
  <c r="G259" i="15"/>
  <c r="H14" i="15"/>
  <c r="G181" i="15"/>
  <c r="G179" i="15"/>
  <c r="G177" i="15"/>
  <c r="G175" i="15"/>
  <c r="G14" i="15"/>
  <c r="F259" i="15" s="1"/>
  <c r="F181" i="15"/>
  <c r="F179" i="15"/>
  <c r="F177" i="15"/>
  <c r="F175" i="15"/>
  <c r="F260" i="15" s="1"/>
  <c r="E259" i="15"/>
  <c r="F14" i="15"/>
  <c r="E181" i="15"/>
  <c r="E179" i="15"/>
  <c r="E260" i="15" s="1"/>
  <c r="E177" i="15"/>
  <c r="E175" i="15"/>
  <c r="D259" i="15"/>
  <c r="E14" i="15"/>
  <c r="D181" i="15"/>
  <c r="D179" i="15"/>
  <c r="D260" i="15" s="1"/>
  <c r="D177" i="15"/>
  <c r="D175" i="15"/>
  <c r="AY14" i="16"/>
  <c r="AY15" i="16"/>
  <c r="AY10" i="16" s="1"/>
  <c r="AY13" i="16" s="1"/>
  <c r="AY16" i="16"/>
  <c r="AY17" i="16"/>
  <c r="AY29" i="16"/>
  <c r="AX10" i="16"/>
  <c r="AX13" i="16" s="1"/>
  <c r="AX21" i="16"/>
  <c r="AX22" i="16"/>
  <c r="AX24" i="16" s="1"/>
  <c r="AX29" i="16"/>
  <c r="AX34" i="16"/>
  <c r="AX40" i="16" s="1"/>
  <c r="AX45" i="16"/>
  <c r="AX51" i="16"/>
  <c r="AW14" i="16"/>
  <c r="AX15" i="16" s="1"/>
  <c r="AW15" i="16"/>
  <c r="AX16" i="16" s="1"/>
  <c r="AW16" i="16"/>
  <c r="AX17" i="16" s="1"/>
  <c r="AW10" i="16"/>
  <c r="AW13" i="16" s="1"/>
  <c r="AX14" i="16" s="1"/>
  <c r="AW17" i="16"/>
  <c r="AW29" i="16"/>
  <c r="AV14" i="16"/>
  <c r="AV10" i="16" s="1"/>
  <c r="AV15" i="16"/>
  <c r="AV16" i="16"/>
  <c r="AV13" i="16"/>
  <c r="AV17" i="16"/>
  <c r="AV29" i="16"/>
  <c r="AU14" i="16"/>
  <c r="AU15" i="16"/>
  <c r="AU16" i="16"/>
  <c r="AU17" i="16"/>
  <c r="AU29" i="16"/>
  <c r="AT14" i="16"/>
  <c r="AT15" i="16"/>
  <c r="AT16" i="16"/>
  <c r="AT10" i="16" s="1"/>
  <c r="AT13" i="16" s="1"/>
  <c r="AT17" i="16"/>
  <c r="AT29" i="16"/>
  <c r="AS14" i="16"/>
  <c r="AS15" i="16"/>
  <c r="AS16" i="16"/>
  <c r="AS17" i="16"/>
  <c r="AS29" i="16"/>
  <c r="AR14" i="16"/>
  <c r="AR15" i="16"/>
  <c r="AR16" i="16"/>
  <c r="AR10" i="16"/>
  <c r="AR13" i="16" s="1"/>
  <c r="AR17" i="16"/>
  <c r="AR29" i="16"/>
  <c r="AQ14" i="16"/>
  <c r="AQ15" i="16"/>
  <c r="AQ16" i="16"/>
  <c r="AQ10" i="16"/>
  <c r="AQ13" i="16" s="1"/>
  <c r="AQ17" i="16"/>
  <c r="AQ29" i="16"/>
  <c r="AP14" i="16"/>
  <c r="AP10" i="16" s="1"/>
  <c r="AP13" i="16" s="1"/>
  <c r="AP15" i="16"/>
  <c r="AP16" i="16"/>
  <c r="AP17" i="16"/>
  <c r="AP29" i="16"/>
  <c r="AO14" i="16"/>
  <c r="AO15" i="16"/>
  <c r="AO16" i="16"/>
  <c r="AO17" i="16"/>
  <c r="AO29" i="16"/>
  <c r="AN14" i="16"/>
  <c r="AN15" i="16"/>
  <c r="AN10" i="16" s="1"/>
  <c r="AN13" i="16" s="1"/>
  <c r="AN16" i="16"/>
  <c r="AN17" i="16"/>
  <c r="AN29" i="16"/>
  <c r="AM14" i="16"/>
  <c r="AM15" i="16"/>
  <c r="AM16" i="16"/>
  <c r="AM10" i="16" s="1"/>
  <c r="AM13" i="16" s="1"/>
  <c r="AN21" i="16" s="1"/>
  <c r="AM17" i="16"/>
  <c r="AM29" i="16"/>
  <c r="AL14" i="16"/>
  <c r="AL15" i="16"/>
  <c r="AL10" i="16" s="1"/>
  <c r="AL13" i="16" s="1"/>
  <c r="AL16" i="16"/>
  <c r="AL17" i="16"/>
  <c r="AL29" i="16"/>
  <c r="AK14" i="16"/>
  <c r="AK10" i="16" s="1"/>
  <c r="AK15" i="16"/>
  <c r="AK16" i="16"/>
  <c r="AK13" i="16"/>
  <c r="AK17" i="16"/>
  <c r="AK29" i="16"/>
  <c r="AJ14" i="16"/>
  <c r="AJ15" i="16"/>
  <c r="AJ10" i="16" s="1"/>
  <c r="AJ13" i="16" s="1"/>
  <c r="AJ16" i="16"/>
  <c r="AJ17" i="16"/>
  <c r="AJ29" i="16"/>
  <c r="AI14" i="16"/>
  <c r="AI15" i="16"/>
  <c r="AI16" i="16"/>
  <c r="AI10" i="16"/>
  <c r="AI13" i="16" s="1"/>
  <c r="AI17" i="16"/>
  <c r="AI29" i="16"/>
  <c r="AH14" i="16"/>
  <c r="AH15" i="16"/>
  <c r="AH16" i="16"/>
  <c r="AH10" i="16"/>
  <c r="AH13" i="16" s="1"/>
  <c r="AH17" i="16"/>
  <c r="AH29" i="16"/>
  <c r="AG14" i="16"/>
  <c r="AG15" i="16"/>
  <c r="AG16" i="16"/>
  <c r="AG17" i="16"/>
  <c r="AG29" i="16"/>
  <c r="AF14" i="16"/>
  <c r="AF15" i="16"/>
  <c r="AF16" i="16"/>
  <c r="AF10" i="16"/>
  <c r="AF13" i="16" s="1"/>
  <c r="AF17" i="16"/>
  <c r="AF29" i="16"/>
  <c r="AE14" i="16"/>
  <c r="AE10" i="16" s="1"/>
  <c r="AE15" i="16"/>
  <c r="AE16" i="16"/>
  <c r="AE13" i="16"/>
  <c r="AE17" i="16"/>
  <c r="AE29" i="16"/>
  <c r="AD14" i="16"/>
  <c r="AD15" i="16"/>
  <c r="AD10" i="16" s="1"/>
  <c r="AD13" i="16" s="1"/>
  <c r="AD16" i="16"/>
  <c r="AD17" i="16"/>
  <c r="AD29" i="16"/>
  <c r="AC14" i="16"/>
  <c r="AC10" i="16" s="1"/>
  <c r="AC13" i="16" s="1"/>
  <c r="AC15" i="16"/>
  <c r="AC16" i="16"/>
  <c r="AC17" i="16"/>
  <c r="AC29" i="16"/>
  <c r="AB14" i="16"/>
  <c r="AB15" i="16"/>
  <c r="AB10" i="16" s="1"/>
  <c r="AB13" i="16" s="1"/>
  <c r="AB16" i="16"/>
  <c r="AB17" i="16"/>
  <c r="AB21" i="16"/>
  <c r="AB29" i="16"/>
  <c r="AA14" i="16"/>
  <c r="AA15" i="16"/>
  <c r="AA16" i="16"/>
  <c r="AA10" i="16" s="1"/>
  <c r="AA13" i="16" s="1"/>
  <c r="AA17" i="16"/>
  <c r="AA29" i="16"/>
  <c r="Z14" i="16"/>
  <c r="Z15" i="16"/>
  <c r="Z16" i="16"/>
  <c r="Z10" i="16"/>
  <c r="Z13" i="16" s="1"/>
  <c r="AA21" i="16" s="1"/>
  <c r="Z17" i="16"/>
  <c r="Z29" i="16"/>
  <c r="Y15" i="16"/>
  <c r="Y16" i="16"/>
  <c r="Y21" i="16"/>
  <c r="Y22" i="16"/>
  <c r="Y24" i="16"/>
  <c r="Y29" i="16"/>
  <c r="Y34" i="16"/>
  <c r="Y40" i="16" s="1"/>
  <c r="Y45" i="16"/>
  <c r="Y51" i="16"/>
  <c r="X14" i="16"/>
  <c r="X15" i="16"/>
  <c r="X10" i="16" s="1"/>
  <c r="X13" i="16" s="1"/>
  <c r="Y14" i="16" s="1"/>
  <c r="X16" i="16"/>
  <c r="Y17" i="16" s="1"/>
  <c r="X17" i="16"/>
  <c r="X29" i="16"/>
  <c r="W14" i="16"/>
  <c r="W15" i="16"/>
  <c r="W16" i="16"/>
  <c r="W10" i="16" s="1"/>
  <c r="W13" i="16" s="1"/>
  <c r="W17" i="16"/>
  <c r="W29" i="16"/>
  <c r="V14" i="16"/>
  <c r="V15" i="16"/>
  <c r="V16" i="16"/>
  <c r="V10" i="16"/>
  <c r="V13" i="16" s="1"/>
  <c r="W21" i="16" s="1"/>
  <c r="V17" i="16"/>
  <c r="V29" i="16"/>
  <c r="U14" i="16"/>
  <c r="U15" i="16"/>
  <c r="U16" i="16"/>
  <c r="U17" i="16"/>
  <c r="U29" i="16"/>
  <c r="T14" i="16"/>
  <c r="T15" i="16"/>
  <c r="T16" i="16"/>
  <c r="T10" i="16" s="1"/>
  <c r="T13" i="16" s="1"/>
  <c r="T17" i="16"/>
  <c r="T29" i="16"/>
  <c r="S14" i="16"/>
  <c r="S10" i="16" s="1"/>
  <c r="S13" i="16" s="1"/>
  <c r="S15" i="16"/>
  <c r="S16" i="16"/>
  <c r="S17" i="16"/>
  <c r="S29" i="16"/>
  <c r="R14" i="16"/>
  <c r="R15" i="16"/>
  <c r="R10" i="16" s="1"/>
  <c r="R13" i="16" s="1"/>
  <c r="R16" i="16"/>
  <c r="R17" i="16"/>
  <c r="R29" i="16"/>
  <c r="Q14" i="16"/>
  <c r="Q10" i="16" s="1"/>
  <c r="Q15" i="16"/>
  <c r="Q16" i="16"/>
  <c r="Q13" i="16"/>
  <c r="Q17" i="16"/>
  <c r="Q29" i="16"/>
  <c r="P14" i="16"/>
  <c r="P15" i="16"/>
  <c r="P10" i="16" s="1"/>
  <c r="P13" i="16" s="1"/>
  <c r="P16" i="16"/>
  <c r="P17" i="16"/>
  <c r="P29" i="16"/>
  <c r="O14" i="16"/>
  <c r="O15" i="16"/>
  <c r="O16" i="16"/>
  <c r="O10" i="16"/>
  <c r="O13" i="16" s="1"/>
  <c r="O17" i="16"/>
  <c r="O29" i="16"/>
  <c r="N14" i="16"/>
  <c r="N10" i="16" s="1"/>
  <c r="N13" i="16" s="1"/>
  <c r="N15" i="16"/>
  <c r="N16" i="16"/>
  <c r="N17" i="16"/>
  <c r="N29" i="16"/>
  <c r="M14" i="16"/>
  <c r="M15" i="16"/>
  <c r="M16" i="16"/>
  <c r="M17" i="16"/>
  <c r="M29" i="16"/>
  <c r="L14" i="16"/>
  <c r="L15" i="16"/>
  <c r="L16" i="16"/>
  <c r="L10" i="16"/>
  <c r="L13" i="16" s="1"/>
  <c r="L17" i="16"/>
  <c r="L29" i="16"/>
  <c r="K14" i="16"/>
  <c r="K10" i="16" s="1"/>
  <c r="K15" i="16"/>
  <c r="K16" i="16"/>
  <c r="K13" i="16"/>
  <c r="K17" i="16"/>
  <c r="K29" i="16"/>
  <c r="J14" i="16"/>
  <c r="J15" i="16"/>
  <c r="J10" i="16" s="1"/>
  <c r="J13" i="16" s="1"/>
  <c r="J16" i="16"/>
  <c r="J17" i="16"/>
  <c r="J29" i="16"/>
  <c r="I14" i="16"/>
  <c r="I10" i="16" s="1"/>
  <c r="I13" i="16" s="1"/>
  <c r="I15" i="16"/>
  <c r="I16" i="16"/>
  <c r="I17" i="16"/>
  <c r="I29" i="16"/>
  <c r="H14" i="16"/>
  <c r="H15" i="16"/>
  <c r="H10" i="16" s="1"/>
  <c r="H13" i="16" s="1"/>
  <c r="H16" i="16"/>
  <c r="H17" i="16"/>
  <c r="H29" i="16"/>
  <c r="G14" i="16"/>
  <c r="G15" i="16"/>
  <c r="G16" i="16"/>
  <c r="G10" i="16"/>
  <c r="G13" i="16" s="1"/>
  <c r="G17" i="16"/>
  <c r="G29" i="16"/>
  <c r="F14" i="16"/>
  <c r="F15" i="16"/>
  <c r="F16" i="16"/>
  <c r="F10" i="16"/>
  <c r="F13" i="16" s="1"/>
  <c r="F17" i="16"/>
  <c r="F29" i="16"/>
  <c r="E14" i="16"/>
  <c r="E10" i="16" s="1"/>
  <c r="E13" i="16" s="1"/>
  <c r="E15" i="16"/>
  <c r="E16" i="16"/>
  <c r="E17" i="16"/>
  <c r="E29" i="16"/>
  <c r="D14" i="16"/>
  <c r="D15" i="16"/>
  <c r="D16" i="16"/>
  <c r="D17" i="16"/>
  <c r="D27" i="16"/>
  <c r="D29" i="16"/>
  <c r="AY14" i="17"/>
  <c r="AY15" i="17"/>
  <c r="AY16" i="17"/>
  <c r="AY10" i="17"/>
  <c r="AY13" i="17" s="1"/>
  <c r="AY17" i="17"/>
  <c r="AY29" i="17"/>
  <c r="AX14" i="17"/>
  <c r="AX15" i="17"/>
  <c r="AX16" i="17"/>
  <c r="AX10" i="17"/>
  <c r="AX13" i="17" s="1"/>
  <c r="AX17" i="17"/>
  <c r="AX29" i="17"/>
  <c r="AW21" i="17"/>
  <c r="AW22" i="17"/>
  <c r="AW23" i="17"/>
  <c r="AW24" i="17"/>
  <c r="AW29" i="17"/>
  <c r="AW33" i="17"/>
  <c r="AW35" i="17" s="1"/>
  <c r="AW34" i="17"/>
  <c r="AW39" i="17"/>
  <c r="AW40" i="17"/>
  <c r="AW44" i="17"/>
  <c r="AW45" i="17"/>
  <c r="AW46" i="17"/>
  <c r="AW50" i="17"/>
  <c r="AW51" i="17"/>
  <c r="AV15" i="17"/>
  <c r="AW16" i="17" s="1"/>
  <c r="AV16" i="17"/>
  <c r="AW17" i="17" s="1"/>
  <c r="AV21" i="17"/>
  <c r="AV23" i="17" s="1"/>
  <c r="AV22" i="17"/>
  <c r="AV24" i="17"/>
  <c r="AV29" i="17"/>
  <c r="AV33" i="17"/>
  <c r="AV34" i="17"/>
  <c r="AV40" i="17" s="1"/>
  <c r="AV44" i="17"/>
  <c r="AV46" i="17" s="1"/>
  <c r="AV45" i="17"/>
  <c r="AV50" i="17"/>
  <c r="AV51" i="17"/>
  <c r="AU14" i="17"/>
  <c r="AU15" i="17"/>
  <c r="AU16" i="17"/>
  <c r="AU17" i="17"/>
  <c r="AU29" i="17"/>
  <c r="AT14" i="17"/>
  <c r="AT15" i="17"/>
  <c r="AT16" i="17"/>
  <c r="AT10" i="17"/>
  <c r="AT13" i="17" s="1"/>
  <c r="AT17" i="17"/>
  <c r="AT29" i="17"/>
  <c r="AS14" i="17"/>
  <c r="AS15" i="17"/>
  <c r="AS16" i="17"/>
  <c r="AS17" i="17"/>
  <c r="AS29" i="17"/>
  <c r="AR14" i="17"/>
  <c r="AR15" i="17"/>
  <c r="AR16" i="17"/>
  <c r="AR17" i="17"/>
  <c r="AR29" i="17"/>
  <c r="AQ14" i="17"/>
  <c r="AQ10" i="17" s="1"/>
  <c r="AQ13" i="17" s="1"/>
  <c r="AQ15" i="17"/>
  <c r="AQ16" i="17"/>
  <c r="AQ17" i="17"/>
  <c r="AQ29" i="17"/>
  <c r="AP14" i="17"/>
  <c r="AP15" i="17"/>
  <c r="AP16" i="17"/>
  <c r="AP10" i="17" s="1"/>
  <c r="AP13" i="17" s="1"/>
  <c r="AP17" i="17"/>
  <c r="AP29" i="17"/>
  <c r="AO14" i="17"/>
  <c r="AO10" i="17" s="1"/>
  <c r="AO15" i="17"/>
  <c r="AO16" i="17"/>
  <c r="AO13" i="17"/>
  <c r="AO17" i="17"/>
  <c r="AO29" i="17"/>
  <c r="AN14" i="17"/>
  <c r="AN15" i="17"/>
  <c r="AN16" i="17"/>
  <c r="AN17" i="17"/>
  <c r="AN29" i="17"/>
  <c r="AM14" i="17"/>
  <c r="AM15" i="17"/>
  <c r="AM16" i="17"/>
  <c r="AM17" i="17"/>
  <c r="AM21" i="17"/>
  <c r="AM29" i="17"/>
  <c r="AL14" i="17"/>
  <c r="AL15" i="17"/>
  <c r="AL16" i="17"/>
  <c r="AL10" i="17" s="1"/>
  <c r="AL13" i="17" s="1"/>
  <c r="AL17" i="17"/>
  <c r="AL29" i="17"/>
  <c r="AK21" i="17"/>
  <c r="AK22" i="17"/>
  <c r="AK23" i="17"/>
  <c r="AK29" i="17"/>
  <c r="AK33" i="17"/>
  <c r="AK39" i="17"/>
  <c r="AK44" i="17"/>
  <c r="AK45" i="17"/>
  <c r="AK50" i="17"/>
  <c r="AJ14" i="17"/>
  <c r="AJ15" i="17"/>
  <c r="AK16" i="17" s="1"/>
  <c r="AJ16" i="17"/>
  <c r="AK17" i="17" s="1"/>
  <c r="AJ17" i="17"/>
  <c r="AJ29" i="17"/>
  <c r="AI14" i="17"/>
  <c r="AI15" i="17"/>
  <c r="AI16" i="17"/>
  <c r="AI17" i="17"/>
  <c r="AI29" i="17"/>
  <c r="AH14" i="17"/>
  <c r="AH15" i="17"/>
  <c r="AH16" i="17"/>
  <c r="AH10" i="17"/>
  <c r="AH13" i="17" s="1"/>
  <c r="AH17" i="17"/>
  <c r="AH21" i="17"/>
  <c r="AH29" i="17"/>
  <c r="AG14" i="17"/>
  <c r="AG15" i="17"/>
  <c r="AG16" i="17"/>
  <c r="AG10" i="17"/>
  <c r="AG13" i="17" s="1"/>
  <c r="AG17" i="17"/>
  <c r="AG29" i="17"/>
  <c r="AF14" i="17"/>
  <c r="AF15" i="17"/>
  <c r="AF16" i="17"/>
  <c r="AF17" i="17"/>
  <c r="AF29" i="17"/>
  <c r="AE14" i="17"/>
  <c r="AE15" i="17"/>
  <c r="AE16" i="17"/>
  <c r="AE17" i="17"/>
  <c r="AE29" i="17"/>
  <c r="AD14" i="17"/>
  <c r="AD15" i="17"/>
  <c r="AD16" i="17"/>
  <c r="AD10" i="17"/>
  <c r="AD13" i="17" s="1"/>
  <c r="AD17" i="17"/>
  <c r="AD21" i="17"/>
  <c r="AD29" i="17"/>
  <c r="AC14" i="17"/>
  <c r="AC15" i="17"/>
  <c r="AC16" i="17"/>
  <c r="AC10" i="17"/>
  <c r="AC13" i="17" s="1"/>
  <c r="AC17" i="17"/>
  <c r="AC29" i="17"/>
  <c r="AB14" i="17"/>
  <c r="AB15" i="17"/>
  <c r="AB16" i="17"/>
  <c r="AB17" i="17"/>
  <c r="AB29" i="17"/>
  <c r="AA14" i="17"/>
  <c r="AA15" i="17"/>
  <c r="AA16" i="17"/>
  <c r="AA17" i="17"/>
  <c r="AA29" i="17"/>
  <c r="Z14" i="17"/>
  <c r="Z15" i="17"/>
  <c r="Z16" i="17"/>
  <c r="Z10" i="17"/>
  <c r="Z13" i="17" s="1"/>
  <c r="AA21" i="17" s="1"/>
  <c r="Z17" i="17"/>
  <c r="Z29" i="17"/>
  <c r="Y14" i="17"/>
  <c r="Y15" i="17"/>
  <c r="Y16" i="17"/>
  <c r="Y10" i="17"/>
  <c r="Y13" i="17" s="1"/>
  <c r="Y17" i="17"/>
  <c r="Y29" i="17"/>
  <c r="X14" i="17"/>
  <c r="X15" i="17"/>
  <c r="X16" i="17"/>
  <c r="X17" i="17"/>
  <c r="X29" i="17"/>
  <c r="W14" i="17"/>
  <c r="W15" i="17"/>
  <c r="W16" i="17"/>
  <c r="W17" i="17"/>
  <c r="W29" i="17"/>
  <c r="V14" i="17"/>
  <c r="V15" i="17"/>
  <c r="V16" i="17"/>
  <c r="V10" i="17"/>
  <c r="V13" i="17" s="1"/>
  <c r="V17" i="17"/>
  <c r="V29" i="17"/>
  <c r="U14" i="17"/>
  <c r="U15" i="17"/>
  <c r="U16" i="17"/>
  <c r="U10" i="17"/>
  <c r="U13" i="17" s="1"/>
  <c r="U17" i="17"/>
  <c r="U29" i="17"/>
  <c r="T14" i="17"/>
  <c r="T15" i="17"/>
  <c r="T16" i="17"/>
  <c r="T17" i="17"/>
  <c r="T29" i="17"/>
  <c r="S14" i="17"/>
  <c r="S15" i="17"/>
  <c r="S16" i="17"/>
  <c r="S17" i="17"/>
  <c r="S29" i="17"/>
  <c r="R14" i="17"/>
  <c r="R15" i="17"/>
  <c r="R16" i="17"/>
  <c r="R10" i="17"/>
  <c r="R13" i="17" s="1"/>
  <c r="R17" i="17"/>
  <c r="R21" i="17"/>
  <c r="R29" i="17"/>
  <c r="Q14" i="17"/>
  <c r="Q15" i="17"/>
  <c r="Q16" i="17"/>
  <c r="Q10" i="17"/>
  <c r="Q13" i="17" s="1"/>
  <c r="Q17" i="17"/>
  <c r="Q29" i="17"/>
  <c r="P14" i="17"/>
  <c r="P15" i="17"/>
  <c r="P16" i="17"/>
  <c r="P17" i="17"/>
  <c r="P29" i="17"/>
  <c r="O14" i="17"/>
  <c r="O15" i="17"/>
  <c r="O16" i="17"/>
  <c r="O17" i="17"/>
  <c r="O29" i="17"/>
  <c r="N14" i="17"/>
  <c r="N15" i="17"/>
  <c r="N16" i="17"/>
  <c r="N10" i="17"/>
  <c r="N13" i="17" s="1"/>
  <c r="N17" i="17"/>
  <c r="N21" i="17"/>
  <c r="N29" i="17"/>
  <c r="M14" i="17"/>
  <c r="M15" i="17"/>
  <c r="M16" i="17"/>
  <c r="M10" i="17"/>
  <c r="M13" i="17" s="1"/>
  <c r="M17" i="17"/>
  <c r="M29" i="17"/>
  <c r="L14" i="17"/>
  <c r="L15" i="17"/>
  <c r="L16" i="17"/>
  <c r="L17" i="17"/>
  <c r="L29" i="17"/>
  <c r="K14" i="17"/>
  <c r="K15" i="17"/>
  <c r="K16" i="17"/>
  <c r="K17" i="17"/>
  <c r="K29" i="17"/>
  <c r="J14" i="17"/>
  <c r="J15" i="17"/>
  <c r="J16" i="17"/>
  <c r="J10" i="17"/>
  <c r="J13" i="17" s="1"/>
  <c r="J17" i="17"/>
  <c r="J29" i="17"/>
  <c r="I14" i="17"/>
  <c r="I15" i="17"/>
  <c r="I16" i="17"/>
  <c r="I10" i="17"/>
  <c r="I13" i="17" s="1"/>
  <c r="I17" i="17"/>
  <c r="I29" i="17"/>
  <c r="H14" i="17"/>
  <c r="H15" i="17"/>
  <c r="H16" i="17"/>
  <c r="H17" i="17"/>
  <c r="H29" i="17"/>
  <c r="G14" i="17"/>
  <c r="G15" i="17"/>
  <c r="G16" i="17"/>
  <c r="G17" i="17"/>
  <c r="G29" i="17"/>
  <c r="F14" i="17"/>
  <c r="F15" i="17"/>
  <c r="F16" i="17"/>
  <c r="F10" i="17"/>
  <c r="F13" i="17" s="1"/>
  <c r="F17" i="17"/>
  <c r="F29" i="17"/>
  <c r="E14" i="17"/>
  <c r="E15" i="17"/>
  <c r="E16" i="17"/>
  <c r="E10" i="17"/>
  <c r="E13" i="17" s="1"/>
  <c r="F21" i="17" s="1"/>
  <c r="E17" i="17"/>
  <c r="E29" i="17"/>
  <c r="D14" i="17"/>
  <c r="D15" i="17"/>
  <c r="D16" i="17"/>
  <c r="D17" i="17"/>
  <c r="D27" i="17"/>
  <c r="E27" i="17" s="1"/>
  <c r="F27" i="17" s="1"/>
  <c r="D29" i="17"/>
  <c r="D30" i="17"/>
  <c r="AY14" i="18"/>
  <c r="AY15" i="18"/>
  <c r="AY16" i="18"/>
  <c r="AY17" i="18"/>
  <c r="AY29" i="18"/>
  <c r="AX14" i="18"/>
  <c r="AX15" i="18"/>
  <c r="AX16" i="18"/>
  <c r="AX10" i="18"/>
  <c r="AX13" i="18" s="1"/>
  <c r="AX17" i="18"/>
  <c r="AX29" i="18"/>
  <c r="AW14" i="18"/>
  <c r="AW10" i="18" s="1"/>
  <c r="AW13" i="18" s="1"/>
  <c r="AW15" i="18"/>
  <c r="AW16" i="18"/>
  <c r="AW17" i="18"/>
  <c r="AW29" i="18"/>
  <c r="AV14" i="18"/>
  <c r="AV10" i="18" s="1"/>
  <c r="AV15" i="18"/>
  <c r="AV16" i="18"/>
  <c r="AV13" i="18"/>
  <c r="AV17" i="18"/>
  <c r="AV29" i="18"/>
  <c r="AU14" i="18"/>
  <c r="AU15" i="18"/>
  <c r="AU10" i="18" s="1"/>
  <c r="AU13" i="18" s="1"/>
  <c r="AU16" i="18"/>
  <c r="AU17" i="18"/>
  <c r="AU29" i="18"/>
  <c r="AT14" i="18"/>
  <c r="AT15" i="18"/>
  <c r="AT16" i="18"/>
  <c r="AT10" i="18"/>
  <c r="AT13" i="18" s="1"/>
  <c r="AT17" i="18"/>
  <c r="AT29" i="18"/>
  <c r="AS14" i="18"/>
  <c r="AS10" i="18" s="1"/>
  <c r="AS13" i="18" s="1"/>
  <c r="AS15" i="18"/>
  <c r="AS16" i="18"/>
  <c r="AS17" i="18"/>
  <c r="AS29" i="18"/>
  <c r="AR14" i="18"/>
  <c r="AR10" i="18" s="1"/>
  <c r="AR13" i="18" s="1"/>
  <c r="AR15" i="18"/>
  <c r="AR16" i="18"/>
  <c r="AR17" i="18"/>
  <c r="AR29" i="18"/>
  <c r="AQ15" i="18"/>
  <c r="AQ16" i="18"/>
  <c r="AQ21" i="18"/>
  <c r="AQ23" i="18" s="1"/>
  <c r="AQ22" i="18"/>
  <c r="AQ24" i="18"/>
  <c r="AQ29" i="18"/>
  <c r="AQ33" i="18"/>
  <c r="AQ34" i="18"/>
  <c r="AQ40" i="18" s="1"/>
  <c r="AQ44" i="18"/>
  <c r="AQ46" i="18" s="1"/>
  <c r="AQ45" i="18"/>
  <c r="AQ50" i="18"/>
  <c r="AQ51" i="18"/>
  <c r="AP14" i="18"/>
  <c r="AP15" i="18"/>
  <c r="AP16" i="18"/>
  <c r="AQ17" i="18" s="1"/>
  <c r="AP17" i="18"/>
  <c r="AP29" i="18"/>
  <c r="AO14" i="18"/>
  <c r="AO10" i="18" s="1"/>
  <c r="AO15" i="18"/>
  <c r="AO16" i="18"/>
  <c r="AO13" i="18"/>
  <c r="AP21" i="18" s="1"/>
  <c r="AP44" i="18" s="1"/>
  <c r="AO17" i="18"/>
  <c r="AO29" i="18"/>
  <c r="AN14" i="18"/>
  <c r="AN15" i="18"/>
  <c r="AN16" i="18"/>
  <c r="AN17" i="18"/>
  <c r="AN29" i="18"/>
  <c r="AM14" i="18"/>
  <c r="AM15" i="18"/>
  <c r="AM10" i="18" s="1"/>
  <c r="AM13" i="18" s="1"/>
  <c r="AM16" i="18"/>
  <c r="AM17" i="18"/>
  <c r="AM29" i="18"/>
  <c r="AL14" i="18"/>
  <c r="AL15" i="18"/>
  <c r="AL16" i="18"/>
  <c r="AL10" i="18" s="1"/>
  <c r="AL13" i="18" s="1"/>
  <c r="AL17" i="18"/>
  <c r="AL29" i="18"/>
  <c r="AK14" i="18"/>
  <c r="AK10" i="18" s="1"/>
  <c r="AK13" i="18" s="1"/>
  <c r="AK15" i="18"/>
  <c r="AK16" i="18"/>
  <c r="AK17" i="18"/>
  <c r="AK29" i="18"/>
  <c r="AJ14" i="18"/>
  <c r="AJ15" i="18"/>
  <c r="AJ16" i="18"/>
  <c r="AJ17" i="18"/>
  <c r="AJ29" i="18"/>
  <c r="AI14" i="18"/>
  <c r="AI10" i="18" s="1"/>
  <c r="AI13" i="18" s="1"/>
  <c r="AI15" i="18"/>
  <c r="AI16" i="18"/>
  <c r="AI17" i="18"/>
  <c r="AI29" i="18"/>
  <c r="AH14" i="18"/>
  <c r="AH15" i="18"/>
  <c r="AH16" i="18"/>
  <c r="AH10" i="18" s="1"/>
  <c r="AH13" i="18" s="1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6" i="18"/>
  <c r="AF17" i="18"/>
  <c r="AF29" i="18"/>
  <c r="AE14" i="18"/>
  <c r="AE10" i="18" s="1"/>
  <c r="AE13" i="18" s="1"/>
  <c r="AE15" i="18"/>
  <c r="AE16" i="18"/>
  <c r="AE17" i="18"/>
  <c r="AE29" i="18"/>
  <c r="AD14" i="18"/>
  <c r="AD15" i="18"/>
  <c r="AD16" i="18"/>
  <c r="AD10" i="18" s="1"/>
  <c r="AD13" i="18" s="1"/>
  <c r="AD17" i="18"/>
  <c r="AD29" i="18"/>
  <c r="AC14" i="18"/>
  <c r="AC10" i="18" s="1"/>
  <c r="AC13" i="18" s="1"/>
  <c r="AC15" i="18"/>
  <c r="AC16" i="18"/>
  <c r="AC17" i="18"/>
  <c r="AC29" i="18"/>
  <c r="AB14" i="18"/>
  <c r="AB15" i="18"/>
  <c r="AB16" i="18"/>
  <c r="AB17" i="18"/>
  <c r="AB29" i="18"/>
  <c r="AA14" i="18"/>
  <c r="AA10" i="18" s="1"/>
  <c r="AA13" i="18" s="1"/>
  <c r="AA15" i="18"/>
  <c r="AA16" i="18"/>
  <c r="AA17" i="18"/>
  <c r="AA29" i="18"/>
  <c r="Z14" i="18"/>
  <c r="Z15" i="18"/>
  <c r="Z16" i="18"/>
  <c r="Z10" i="18" s="1"/>
  <c r="Z13" i="18" s="1"/>
  <c r="Z17" i="18"/>
  <c r="Z29" i="18"/>
  <c r="Y14" i="18"/>
  <c r="Y10" i="18" s="1"/>
  <c r="Y13" i="18" s="1"/>
  <c r="Y15" i="18"/>
  <c r="Y16" i="18"/>
  <c r="Y17" i="18"/>
  <c r="Y29" i="18"/>
  <c r="X14" i="18"/>
  <c r="X15" i="18"/>
  <c r="X16" i="18"/>
  <c r="X17" i="18"/>
  <c r="X29" i="18"/>
  <c r="W15" i="18"/>
  <c r="W16" i="18"/>
  <c r="W21" i="18"/>
  <c r="W23" i="18" s="1"/>
  <c r="W22" i="18"/>
  <c r="W24" i="18"/>
  <c r="W29" i="18"/>
  <c r="W33" i="18"/>
  <c r="W34" i="18"/>
  <c r="W40" i="18" s="1"/>
  <c r="W45" i="18"/>
  <c r="W51" i="18"/>
  <c r="V14" i="18"/>
  <c r="V15" i="18"/>
  <c r="V16" i="18"/>
  <c r="W17" i="18" s="1"/>
  <c r="V17" i="18"/>
  <c r="V29" i="18"/>
  <c r="U14" i="18"/>
  <c r="U15" i="18"/>
  <c r="U16" i="18"/>
  <c r="U10" i="18"/>
  <c r="U13" i="18" s="1"/>
  <c r="U17" i="18"/>
  <c r="U29" i="18"/>
  <c r="T14" i="18"/>
  <c r="T15" i="18"/>
  <c r="T16" i="18"/>
  <c r="T17" i="18"/>
  <c r="T29" i="18"/>
  <c r="S14" i="18"/>
  <c r="S15" i="18"/>
  <c r="S16" i="18"/>
  <c r="S17" i="18"/>
  <c r="S29" i="18"/>
  <c r="R14" i="18"/>
  <c r="R15" i="18"/>
  <c r="R16" i="18"/>
  <c r="R10" i="18" s="1"/>
  <c r="R13" i="18" s="1"/>
  <c r="R17" i="18"/>
  <c r="R29" i="18"/>
  <c r="Q14" i="18"/>
  <c r="Q15" i="18"/>
  <c r="Q16" i="18"/>
  <c r="Q10" i="18"/>
  <c r="Q13" i="18" s="1"/>
  <c r="Q17" i="18"/>
  <c r="Q29" i="18"/>
  <c r="P14" i="18"/>
  <c r="P15" i="18"/>
  <c r="P16" i="18"/>
  <c r="P17" i="18"/>
  <c r="P29" i="18"/>
  <c r="O14" i="18"/>
  <c r="O15" i="18"/>
  <c r="O16" i="18"/>
  <c r="O17" i="18"/>
  <c r="O29" i="18"/>
  <c r="N14" i="18"/>
  <c r="N15" i="18"/>
  <c r="N16" i="18"/>
  <c r="N10" i="18" s="1"/>
  <c r="N13" i="18" s="1"/>
  <c r="N17" i="18"/>
  <c r="N29" i="18"/>
  <c r="M14" i="18"/>
  <c r="M15" i="18"/>
  <c r="M16" i="18"/>
  <c r="M10" i="18"/>
  <c r="M13" i="18" s="1"/>
  <c r="M17" i="18"/>
  <c r="M29" i="18"/>
  <c r="L14" i="18"/>
  <c r="L15" i="18"/>
  <c r="L16" i="18"/>
  <c r="L17" i="18"/>
  <c r="L29" i="18"/>
  <c r="K14" i="18"/>
  <c r="K15" i="18"/>
  <c r="K16" i="18"/>
  <c r="K17" i="18"/>
  <c r="K29" i="18"/>
  <c r="J14" i="18"/>
  <c r="J15" i="18"/>
  <c r="J16" i="18"/>
  <c r="J10" i="18" s="1"/>
  <c r="J13" i="18" s="1"/>
  <c r="J17" i="18"/>
  <c r="J29" i="18"/>
  <c r="I14" i="18"/>
  <c r="I15" i="18"/>
  <c r="I16" i="18"/>
  <c r="I10" i="18"/>
  <c r="I13" i="18" s="1"/>
  <c r="I17" i="18"/>
  <c r="I29" i="18"/>
  <c r="H15" i="18"/>
  <c r="H21" i="18"/>
  <c r="H22" i="18"/>
  <c r="H34" i="18" s="1"/>
  <c r="H40" i="18" s="1"/>
  <c r="H23" i="18"/>
  <c r="H24" i="18"/>
  <c r="H29" i="18"/>
  <c r="H33" i="18"/>
  <c r="H44" i="18"/>
  <c r="H45" i="18"/>
  <c r="H51" i="18" s="1"/>
  <c r="H46" i="18"/>
  <c r="H50" i="18"/>
  <c r="G14" i="18"/>
  <c r="G10" i="18" s="1"/>
  <c r="G13" i="18" s="1"/>
  <c r="H14" i="18" s="1"/>
  <c r="H10" i="18" s="1"/>
  <c r="H13" i="18" s="1"/>
  <c r="G15" i="18"/>
  <c r="H16" i="18" s="1"/>
  <c r="G16" i="18"/>
  <c r="H17" i="18" s="1"/>
  <c r="G17" i="18"/>
  <c r="G29" i="18"/>
  <c r="F14" i="18"/>
  <c r="F15" i="18"/>
  <c r="F16" i="18"/>
  <c r="F10" i="18" s="1"/>
  <c r="F13" i="18" s="1"/>
  <c r="F17" i="18"/>
  <c r="F29" i="18"/>
  <c r="E14" i="18"/>
  <c r="E10" i="18" s="1"/>
  <c r="E13" i="18" s="1"/>
  <c r="E15" i="18"/>
  <c r="E16" i="18"/>
  <c r="E17" i="18"/>
  <c r="E29" i="18"/>
  <c r="F27" i="18" s="1"/>
  <c r="E30" i="18"/>
  <c r="D14" i="18"/>
  <c r="D15" i="18"/>
  <c r="D16" i="18"/>
  <c r="D17" i="18"/>
  <c r="D27" i="18"/>
  <c r="D29" i="18"/>
  <c r="E27" i="18" s="1"/>
  <c r="D30" i="18"/>
  <c r="B21" i="16"/>
  <c r="X21" i="16" s="1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AP50" i="18" l="1"/>
  <c r="K22" i="18"/>
  <c r="K21" i="18"/>
  <c r="R21" i="18"/>
  <c r="R22" i="18"/>
  <c r="AE22" i="18"/>
  <c r="AE21" i="18"/>
  <c r="AM21" i="18"/>
  <c r="F33" i="17"/>
  <c r="F23" i="17"/>
  <c r="F44" i="17"/>
  <c r="O22" i="18"/>
  <c r="O21" i="18"/>
  <c r="V21" i="18"/>
  <c r="AD21" i="18"/>
  <c r="AD22" i="18"/>
  <c r="AH21" i="18"/>
  <c r="AL21" i="18"/>
  <c r="AL22" i="18"/>
  <c r="F30" i="18"/>
  <c r="G27" i="18"/>
  <c r="F21" i="18"/>
  <c r="F22" i="18"/>
  <c r="J21" i="18"/>
  <c r="S22" i="18"/>
  <c r="S21" i="18"/>
  <c r="N21" i="18"/>
  <c r="I21" i="18"/>
  <c r="I22" i="18"/>
  <c r="AA21" i="18"/>
  <c r="AI22" i="18"/>
  <c r="AI21" i="18"/>
  <c r="AS21" i="18"/>
  <c r="G22" i="18"/>
  <c r="G21" i="18"/>
  <c r="Z21" i="18"/>
  <c r="AN22" i="18"/>
  <c r="AN21" i="18"/>
  <c r="AA23" i="17"/>
  <c r="AA33" i="17"/>
  <c r="AA44" i="17"/>
  <c r="AH33" i="17"/>
  <c r="AH23" i="17"/>
  <c r="AH44" i="17"/>
  <c r="AM23" i="17"/>
  <c r="AM44" i="17"/>
  <c r="AV17" i="17"/>
  <c r="AZ17" i="17" s="1"/>
  <c r="AU10" i="17"/>
  <c r="AU13" i="17" s="1"/>
  <c r="AV14" i="17" s="1"/>
  <c r="AV39" i="17"/>
  <c r="AV35" i="17"/>
  <c r="O22" i="16"/>
  <c r="O21" i="16"/>
  <c r="AD21" i="16"/>
  <c r="AD22" i="16"/>
  <c r="AI22" i="16"/>
  <c r="AI21" i="16"/>
  <c r="AL21" i="16"/>
  <c r="AL22" i="16"/>
  <c r="AR21" i="16"/>
  <c r="AU22" i="16"/>
  <c r="AU21" i="16"/>
  <c r="AY21" i="16"/>
  <c r="T10" i="18"/>
  <c r="T13" i="18" s="1"/>
  <c r="X23" i="16"/>
  <c r="X33" i="16"/>
  <c r="X44" i="16"/>
  <c r="H35" i="18"/>
  <c r="K10" i="18"/>
  <c r="K13" i="18" s="1"/>
  <c r="O10" i="18"/>
  <c r="O13" i="18" s="1"/>
  <c r="S10" i="18"/>
  <c r="S13" i="18" s="1"/>
  <c r="AW21" i="18"/>
  <c r="AX21" i="18"/>
  <c r="AX22" i="18"/>
  <c r="J22" i="17"/>
  <c r="V21" i="17"/>
  <c r="AK34" i="17"/>
  <c r="AK24" i="17"/>
  <c r="AP21" i="17"/>
  <c r="AQ21" i="17"/>
  <c r="AR21" i="17"/>
  <c r="F21" i="16"/>
  <c r="F22" i="16"/>
  <c r="L21" i="16"/>
  <c r="L22" i="16"/>
  <c r="U21" i="16"/>
  <c r="W33" i="16"/>
  <c r="W23" i="16"/>
  <c r="W44" i="16"/>
  <c r="AJ22" i="16"/>
  <c r="AJ21" i="16"/>
  <c r="AS22" i="16"/>
  <c r="AS21" i="16"/>
  <c r="W35" i="18"/>
  <c r="W39" i="18"/>
  <c r="AB22" i="18"/>
  <c r="AB21" i="18"/>
  <c r="AF21" i="18"/>
  <c r="AF22" i="18"/>
  <c r="AJ21" i="18"/>
  <c r="AP33" i="18"/>
  <c r="AP23" i="18"/>
  <c r="AP22" i="18"/>
  <c r="AU21" i="18"/>
  <c r="AV22" i="18"/>
  <c r="AV21" i="18"/>
  <c r="R33" i="17"/>
  <c r="R23" i="17"/>
  <c r="R44" i="17"/>
  <c r="D21" i="18"/>
  <c r="B22" i="18"/>
  <c r="D22" i="18" s="1"/>
  <c r="L10" i="18"/>
  <c r="L13" i="18" s="1"/>
  <c r="P10" i="18"/>
  <c r="P13" i="18" s="1"/>
  <c r="W44" i="18"/>
  <c r="AY22" i="18"/>
  <c r="AY21" i="18"/>
  <c r="AY10" i="18"/>
  <c r="AY13" i="18" s="1"/>
  <c r="N33" i="17"/>
  <c r="N23" i="17"/>
  <c r="N44" i="17"/>
  <c r="R22" i="17"/>
  <c r="AD33" i="17"/>
  <c r="AD23" i="17"/>
  <c r="AD44" i="17"/>
  <c r="AH22" i="17"/>
  <c r="AK51" i="17"/>
  <c r="AK46" i="17"/>
  <c r="AU21" i="17"/>
  <c r="AU22" i="17"/>
  <c r="H21" i="16"/>
  <c r="J21" i="16"/>
  <c r="J22" i="16"/>
  <c r="AN23" i="16"/>
  <c r="AN33" i="16"/>
  <c r="AN44" i="16"/>
  <c r="AQ21" i="16"/>
  <c r="D21" i="17"/>
  <c r="B22" i="17"/>
  <c r="AZ17" i="18"/>
  <c r="D10" i="18"/>
  <c r="H39" i="18"/>
  <c r="V10" i="18"/>
  <c r="V13" i="18" s="1"/>
  <c r="W14" i="18" s="1"/>
  <c r="W10" i="18" s="1"/>
  <c r="W13" i="18" s="1"/>
  <c r="X10" i="18"/>
  <c r="X13" i="18" s="1"/>
  <c r="AB10" i="18"/>
  <c r="AB13" i="18" s="1"/>
  <c r="AF10" i="18"/>
  <c r="AF13" i="18" s="1"/>
  <c r="AJ10" i="18"/>
  <c r="AJ13" i="18" s="1"/>
  <c r="AP10" i="18"/>
  <c r="AP13" i="18" s="1"/>
  <c r="AQ14" i="18" s="1"/>
  <c r="AQ10" i="18" s="1"/>
  <c r="AQ13" i="18" s="1"/>
  <c r="AT21" i="18"/>
  <c r="AT22" i="18"/>
  <c r="F30" i="17"/>
  <c r="G27" i="17"/>
  <c r="J21" i="17"/>
  <c r="Z21" i="17"/>
  <c r="AD22" i="17"/>
  <c r="AM33" i="17"/>
  <c r="I22" i="16"/>
  <c r="I21" i="16"/>
  <c r="AA33" i="16"/>
  <c r="AA23" i="16"/>
  <c r="AA44" i="16"/>
  <c r="AB23" i="16"/>
  <c r="AB33" i="16"/>
  <c r="AB44" i="16"/>
  <c r="H10" i="17"/>
  <c r="H13" i="17" s="1"/>
  <c r="L10" i="17"/>
  <c r="L13" i="17" s="1"/>
  <c r="T10" i="17"/>
  <c r="T13" i="17" s="1"/>
  <c r="X10" i="17"/>
  <c r="X13" i="17" s="1"/>
  <c r="AB10" i="17"/>
  <c r="AB13" i="17" s="1"/>
  <c r="AF10" i="17"/>
  <c r="AF13" i="17" s="1"/>
  <c r="S22" i="16"/>
  <c r="S21" i="16"/>
  <c r="Y10" i="16"/>
  <c r="Y13" i="16" s="1"/>
  <c r="AF21" i="16"/>
  <c r="AF22" i="16"/>
  <c r="AQ39" i="18"/>
  <c r="AQ35" i="18"/>
  <c r="E30" i="17"/>
  <c r="G22" i="17"/>
  <c r="K22" i="17"/>
  <c r="K10" i="17"/>
  <c r="K13" i="17" s="1"/>
  <c r="O10" i="17"/>
  <c r="O13" i="17" s="1"/>
  <c r="S22" i="17"/>
  <c r="S10" i="17"/>
  <c r="S13" i="17" s="1"/>
  <c r="W10" i="17"/>
  <c r="W13" i="17" s="1"/>
  <c r="AA10" i="17"/>
  <c r="AA13" i="17" s="1"/>
  <c r="AE10" i="17"/>
  <c r="AE13" i="17" s="1"/>
  <c r="AI22" i="17"/>
  <c r="D30" i="16"/>
  <c r="E27" i="16"/>
  <c r="D10" i="16"/>
  <c r="T21" i="16"/>
  <c r="T22" i="16"/>
  <c r="AG21" i="16"/>
  <c r="AM21" i="16"/>
  <c r="S31" i="20"/>
  <c r="T32" i="20" s="1"/>
  <c r="AN10" i="18"/>
  <c r="AN13" i="18" s="1"/>
  <c r="G21" i="17"/>
  <c r="K21" i="17"/>
  <c r="O21" i="17"/>
  <c r="S21" i="17"/>
  <c r="W21" i="17"/>
  <c r="AE21" i="17"/>
  <c r="AI21" i="17"/>
  <c r="AM10" i="17"/>
  <c r="AM13" i="17" s="1"/>
  <c r="AR10" i="17"/>
  <c r="AR13" i="17" s="1"/>
  <c r="AS10" i="17"/>
  <c r="AS13" i="17" s="1"/>
  <c r="G22" i="16"/>
  <c r="G21" i="16"/>
  <c r="P22" i="16"/>
  <c r="P21" i="16"/>
  <c r="R21" i="16"/>
  <c r="AC22" i="16"/>
  <c r="AC21" i="16"/>
  <c r="AM22" i="16"/>
  <c r="AX33" i="16"/>
  <c r="AX44" i="16"/>
  <c r="AX23" i="16"/>
  <c r="D10" i="17"/>
  <c r="P10" i="17"/>
  <c r="P13" i="17" s="1"/>
  <c r="AJ10" i="17"/>
  <c r="AJ13" i="17" s="1"/>
  <c r="AK14" i="17" s="1"/>
  <c r="AK15" i="17"/>
  <c r="AY22" i="17"/>
  <c r="AY21" i="17"/>
  <c r="M22" i="16"/>
  <c r="M21" i="16"/>
  <c r="AN22" i="16"/>
  <c r="B22" i="16"/>
  <c r="D21" i="16"/>
  <c r="G10" i="17"/>
  <c r="G13" i="17" s="1"/>
  <c r="AA22" i="17"/>
  <c r="AI10" i="17"/>
  <c r="AI13" i="17" s="1"/>
  <c r="AN10" i="17"/>
  <c r="AN13" i="17" s="1"/>
  <c r="AW21" i="16"/>
  <c r="AW22" i="16"/>
  <c r="S9" i="20"/>
  <c r="H9" i="20"/>
  <c r="S10" i="20"/>
  <c r="AZ17" i="16"/>
  <c r="Y33" i="16"/>
  <c r="Y44" i="16"/>
  <c r="Y23" i="16"/>
  <c r="AO22" i="16"/>
  <c r="AO21" i="16"/>
  <c r="X260" i="15"/>
  <c r="AN260" i="15"/>
  <c r="K22" i="16"/>
  <c r="K21" i="16"/>
  <c r="Q22" i="16"/>
  <c r="Q21" i="16"/>
  <c r="AE22" i="16"/>
  <c r="AE21" i="16"/>
  <c r="AK22" i="16"/>
  <c r="AK21" i="16"/>
  <c r="AZ259" i="15"/>
  <c r="M10" i="16"/>
  <c r="M13" i="16" s="1"/>
  <c r="U10" i="16"/>
  <c r="U13" i="16" s="1"/>
  <c r="AG10" i="16"/>
  <c r="AG13" i="16" s="1"/>
  <c r="AO10" i="16"/>
  <c r="AO13" i="16" s="1"/>
  <c r="AS10" i="16"/>
  <c r="AS13" i="16" s="1"/>
  <c r="AU10" i="16"/>
  <c r="AU13" i="16" s="1"/>
  <c r="D260" i="14"/>
  <c r="H260" i="14"/>
  <c r="L260" i="14"/>
  <c r="P260" i="14"/>
  <c r="T260" i="14"/>
  <c r="X260" i="14"/>
  <c r="AB260" i="14"/>
  <c r="AF260" i="14"/>
  <c r="AJ260" i="14"/>
  <c r="AN260" i="14"/>
  <c r="AR260" i="14"/>
  <c r="AV260" i="14"/>
  <c r="S42" i="20"/>
  <c r="T43" i="20" s="1"/>
  <c r="BA14" i="15"/>
  <c r="G260" i="15"/>
  <c r="AZ260" i="15" s="1"/>
  <c r="O260" i="15"/>
  <c r="S260" i="15"/>
  <c r="W260" i="15"/>
  <c r="AA260" i="15"/>
  <c r="AE260" i="15"/>
  <c r="AI260" i="15"/>
  <c r="AM260" i="15"/>
  <c r="AQ260" i="15"/>
  <c r="AU260" i="15"/>
  <c r="AY260" i="15"/>
  <c r="G260" i="14"/>
  <c r="K260" i="14"/>
  <c r="O260" i="14"/>
  <c r="S260" i="14"/>
  <c r="W260" i="14"/>
  <c r="AA260" i="14"/>
  <c r="AE260" i="14"/>
  <c r="AI260" i="14"/>
  <c r="AM260" i="14"/>
  <c r="AQ260" i="14"/>
  <c r="AU260" i="14"/>
  <c r="AY260" i="14"/>
  <c r="S7" i="20"/>
  <c r="H7" i="20"/>
  <c r="S8" i="20"/>
  <c r="H10" i="20"/>
  <c r="AH50" i="17" l="1"/>
  <c r="AH46" i="17"/>
  <c r="AA39" i="17"/>
  <c r="AN44" i="18"/>
  <c r="AN23" i="18"/>
  <c r="AN33" i="18"/>
  <c r="G23" i="18"/>
  <c r="G44" i="18"/>
  <c r="G33" i="18"/>
  <c r="AI23" i="18"/>
  <c r="AI44" i="18"/>
  <c r="AI33" i="18"/>
  <c r="I24" i="18"/>
  <c r="I34" i="18"/>
  <c r="I40" i="18" s="1"/>
  <c r="I45" i="18"/>
  <c r="I51" i="18" s="1"/>
  <c r="S23" i="18"/>
  <c r="S44" i="18"/>
  <c r="S33" i="18"/>
  <c r="F24" i="18"/>
  <c r="F45" i="18"/>
  <c r="F51" i="18" s="1"/>
  <c r="F34" i="18"/>
  <c r="F40" i="18" s="1"/>
  <c r="AL24" i="18"/>
  <c r="AL45" i="18"/>
  <c r="AL51" i="18" s="1"/>
  <c r="AL34" i="18"/>
  <c r="AL40" i="18" s="1"/>
  <c r="AD24" i="18"/>
  <c r="AD45" i="18"/>
  <c r="AD51" i="18" s="1"/>
  <c r="AD34" i="18"/>
  <c r="AD40" i="18" s="1"/>
  <c r="O23" i="18"/>
  <c r="O44" i="18"/>
  <c r="O33" i="18"/>
  <c r="F39" i="17"/>
  <c r="AE45" i="18"/>
  <c r="AE51" i="18" s="1"/>
  <c r="AE24" i="18"/>
  <c r="AE34" i="18"/>
  <c r="AE40" i="18" s="1"/>
  <c r="K45" i="18"/>
  <c r="K51" i="18" s="1"/>
  <c r="K24" i="18"/>
  <c r="K34" i="18"/>
  <c r="K40" i="18" s="1"/>
  <c r="AZ260" i="14"/>
  <c r="AH21" i="16"/>
  <c r="AH22" i="16"/>
  <c r="AK23" i="16"/>
  <c r="AK33" i="16"/>
  <c r="AK44" i="16"/>
  <c r="Q23" i="16"/>
  <c r="Q33" i="16"/>
  <c r="Q44" i="16"/>
  <c r="AW44" i="16"/>
  <c r="AW33" i="16"/>
  <c r="AW23" i="16"/>
  <c r="H22" i="17"/>
  <c r="H21" i="17"/>
  <c r="M33" i="16"/>
  <c r="M44" i="16"/>
  <c r="M23" i="16"/>
  <c r="AC23" i="16"/>
  <c r="AC44" i="16"/>
  <c r="AC33" i="16"/>
  <c r="P23" i="16"/>
  <c r="P33" i="16"/>
  <c r="P44" i="16"/>
  <c r="AT21" i="17"/>
  <c r="AT22" i="17"/>
  <c r="AE23" i="17"/>
  <c r="AE33" i="17"/>
  <c r="AE44" i="17"/>
  <c r="K23" i="17"/>
  <c r="K33" i="17"/>
  <c r="K44" i="17"/>
  <c r="AM23" i="16"/>
  <c r="AM33" i="16"/>
  <c r="AM44" i="16"/>
  <c r="T23" i="16"/>
  <c r="T44" i="16"/>
  <c r="T33" i="16"/>
  <c r="AI45" i="17"/>
  <c r="AI51" i="17" s="1"/>
  <c r="AI24" i="17"/>
  <c r="AI34" i="17"/>
  <c r="AI40" i="17" s="1"/>
  <c r="X22" i="17"/>
  <c r="X21" i="17"/>
  <c r="P22" i="17"/>
  <c r="P21" i="17"/>
  <c r="G45" i="17"/>
  <c r="G51" i="17" s="1"/>
  <c r="G24" i="17"/>
  <c r="G34" i="17"/>
  <c r="G40" i="17" s="1"/>
  <c r="AF34" i="16"/>
  <c r="AF40" i="16" s="1"/>
  <c r="AF45" i="16"/>
  <c r="AF51" i="16" s="1"/>
  <c r="AF24" i="16"/>
  <c r="S33" i="16"/>
  <c r="S44" i="16"/>
  <c r="S23" i="16"/>
  <c r="Y21" i="17"/>
  <c r="Y22" i="17"/>
  <c r="AA50" i="16"/>
  <c r="I45" i="16"/>
  <c r="I51" i="16" s="1"/>
  <c r="I34" i="16"/>
  <c r="I40" i="16" s="1"/>
  <c r="I24" i="16"/>
  <c r="Z33" i="17"/>
  <c r="Z23" i="17"/>
  <c r="Z44" i="17"/>
  <c r="AK21" i="18"/>
  <c r="AK22" i="18"/>
  <c r="X22" i="18"/>
  <c r="X21" i="18"/>
  <c r="D22" i="17"/>
  <c r="AP22" i="17"/>
  <c r="AN50" i="16"/>
  <c r="J44" i="16"/>
  <c r="J23" i="16"/>
  <c r="J33" i="16"/>
  <c r="AU33" i="17"/>
  <c r="AU23" i="17"/>
  <c r="AU44" i="17"/>
  <c r="AD50" i="17"/>
  <c r="N50" i="17"/>
  <c r="AY23" i="18"/>
  <c r="AY33" i="18"/>
  <c r="AY44" i="18"/>
  <c r="M21" i="18"/>
  <c r="M22" i="18"/>
  <c r="AV45" i="18"/>
  <c r="AV51" i="18" s="1"/>
  <c r="AV34" i="18"/>
  <c r="AV40" i="18" s="1"/>
  <c r="AV24" i="18"/>
  <c r="AF34" i="18"/>
  <c r="AF40" i="18" s="1"/>
  <c r="AF45" i="18"/>
  <c r="AF51" i="18" s="1"/>
  <c r="AF24" i="18"/>
  <c r="AJ23" i="16"/>
  <c r="AJ33" i="16"/>
  <c r="AJ44" i="16"/>
  <c r="W39" i="16"/>
  <c r="L23" i="16"/>
  <c r="L33" i="16"/>
  <c r="L44" i="16"/>
  <c r="AQ22" i="17"/>
  <c r="AK40" i="17"/>
  <c r="AK35" i="17"/>
  <c r="AX24" i="18"/>
  <c r="AX34" i="18"/>
  <c r="AX40" i="18" s="1"/>
  <c r="AX45" i="18"/>
  <c r="AX51" i="18" s="1"/>
  <c r="T22" i="18"/>
  <c r="T21" i="18"/>
  <c r="X50" i="16"/>
  <c r="AU23" i="16"/>
  <c r="AU44" i="16"/>
  <c r="AU33" i="16"/>
  <c r="AL34" i="16"/>
  <c r="AL40" i="16" s="1"/>
  <c r="AL24" i="16"/>
  <c r="AL45" i="16"/>
  <c r="AL51" i="16" s="1"/>
  <c r="AD34" i="16"/>
  <c r="AD40" i="16" s="1"/>
  <c r="AD24" i="16"/>
  <c r="AD45" i="16"/>
  <c r="AD51" i="16" s="1"/>
  <c r="AR22" i="17"/>
  <c r="AN45" i="18"/>
  <c r="AN51" i="18" s="1"/>
  <c r="AN34" i="18"/>
  <c r="AN40" i="18" s="1"/>
  <c r="AN24" i="18"/>
  <c r="G45" i="18"/>
  <c r="G51" i="18" s="1"/>
  <c r="G24" i="18"/>
  <c r="G34" i="18"/>
  <c r="G40" i="18" s="1"/>
  <c r="AI45" i="18"/>
  <c r="AI51" i="18" s="1"/>
  <c r="AI24" i="18"/>
  <c r="AI34" i="18"/>
  <c r="AI40" i="18" s="1"/>
  <c r="I33" i="18"/>
  <c r="I44" i="18"/>
  <c r="I23" i="18"/>
  <c r="S45" i="18"/>
  <c r="S51" i="18" s="1"/>
  <c r="S24" i="18"/>
  <c r="S34" i="18"/>
  <c r="S40" i="18" s="1"/>
  <c r="F33" i="18"/>
  <c r="F23" i="18"/>
  <c r="F44" i="18"/>
  <c r="AL33" i="18"/>
  <c r="AL23" i="18"/>
  <c r="AL44" i="18"/>
  <c r="AD23" i="18"/>
  <c r="AD33" i="18"/>
  <c r="AD44" i="18"/>
  <c r="O45" i="18"/>
  <c r="O51" i="18" s="1"/>
  <c r="O24" i="18"/>
  <c r="O34" i="18"/>
  <c r="O40" i="18" s="1"/>
  <c r="AM23" i="18"/>
  <c r="AM44" i="18"/>
  <c r="AM33" i="18"/>
  <c r="R24" i="18"/>
  <c r="R45" i="18"/>
  <c r="R51" i="18" s="1"/>
  <c r="R34" i="18"/>
  <c r="R40" i="18" s="1"/>
  <c r="AV22" i="16"/>
  <c r="AV21" i="16"/>
  <c r="V21" i="16"/>
  <c r="V22" i="16"/>
  <c r="AK45" i="16"/>
  <c r="AK51" i="16" s="1"/>
  <c r="AK24" i="16"/>
  <c r="AK34" i="16"/>
  <c r="AK40" i="16" s="1"/>
  <c r="Q45" i="16"/>
  <c r="Q51" i="16" s="1"/>
  <c r="Q24" i="16"/>
  <c r="Q34" i="16"/>
  <c r="Q40" i="16" s="1"/>
  <c r="Y50" i="16"/>
  <c r="Y46" i="16"/>
  <c r="AO21" i="17"/>
  <c r="AO22" i="17"/>
  <c r="D23" i="16"/>
  <c r="D33" i="16"/>
  <c r="D44" i="16"/>
  <c r="M45" i="16"/>
  <c r="M51" i="16" s="1"/>
  <c r="M34" i="16"/>
  <c r="M40" i="16" s="1"/>
  <c r="M24" i="16"/>
  <c r="AK10" i="17"/>
  <c r="AK13" i="17" s="1"/>
  <c r="AX50" i="16"/>
  <c r="AX46" i="16"/>
  <c r="AC45" i="16"/>
  <c r="AC51" i="16" s="1"/>
  <c r="AC34" i="16"/>
  <c r="AC40" i="16" s="1"/>
  <c r="AC24" i="16"/>
  <c r="P24" i="16"/>
  <c r="P34" i="16"/>
  <c r="P40" i="16" s="1"/>
  <c r="P45" i="16"/>
  <c r="P51" i="16" s="1"/>
  <c r="AS22" i="17"/>
  <c r="AS21" i="17"/>
  <c r="W23" i="17"/>
  <c r="W33" i="17"/>
  <c r="W44" i="17"/>
  <c r="G23" i="17"/>
  <c r="G33" i="17"/>
  <c r="G44" i="17"/>
  <c r="AG33" i="16"/>
  <c r="AG44" i="16"/>
  <c r="AG23" i="16"/>
  <c r="AZ10" i="16"/>
  <c r="D13" i="16"/>
  <c r="AF22" i="17"/>
  <c r="AF21" i="17"/>
  <c r="W22" i="17"/>
  <c r="O22" i="17"/>
  <c r="AF23" i="16"/>
  <c r="AF33" i="16"/>
  <c r="AF44" i="16"/>
  <c r="S24" i="16"/>
  <c r="S45" i="16"/>
  <c r="S51" i="16" s="1"/>
  <c r="S34" i="16"/>
  <c r="S40" i="16" s="1"/>
  <c r="U21" i="17"/>
  <c r="U22" i="17"/>
  <c r="AB50" i="16"/>
  <c r="AM39" i="17"/>
  <c r="N22" i="17"/>
  <c r="AT24" i="18"/>
  <c r="AT34" i="18"/>
  <c r="AT40" i="18" s="1"/>
  <c r="AT45" i="18"/>
  <c r="AT51" i="18" s="1"/>
  <c r="AG21" i="18"/>
  <c r="AG22" i="18"/>
  <c r="D44" i="17"/>
  <c r="D33" i="17"/>
  <c r="D23" i="17"/>
  <c r="AN39" i="16"/>
  <c r="H23" i="16"/>
  <c r="H33" i="16"/>
  <c r="H44" i="16"/>
  <c r="AY45" i="18"/>
  <c r="AY51" i="18" s="1"/>
  <c r="AY24" i="18"/>
  <c r="AY34" i="18"/>
  <c r="AY40" i="18" s="1"/>
  <c r="D34" i="18"/>
  <c r="D40" i="18" s="1"/>
  <c r="D45" i="18"/>
  <c r="D51" i="18" s="1"/>
  <c r="D24" i="18"/>
  <c r="R39" i="17"/>
  <c r="AU23" i="18"/>
  <c r="AU44" i="18"/>
  <c r="AU33" i="18"/>
  <c r="AP39" i="18"/>
  <c r="AF44" i="18"/>
  <c r="AF33" i="18"/>
  <c r="AF23" i="18"/>
  <c r="AJ24" i="16"/>
  <c r="AJ34" i="16"/>
  <c r="AJ40" i="16" s="1"/>
  <c r="AJ45" i="16"/>
  <c r="AJ51" i="16" s="1"/>
  <c r="U33" i="16"/>
  <c r="U44" i="16"/>
  <c r="U23" i="16"/>
  <c r="F34" i="16"/>
  <c r="F40" i="16" s="1"/>
  <c r="F24" i="16"/>
  <c r="F45" i="16"/>
  <c r="F51" i="16" s="1"/>
  <c r="AQ33" i="17"/>
  <c r="AQ23" i="17"/>
  <c r="AQ44" i="17"/>
  <c r="Z22" i="17"/>
  <c r="AX33" i="18"/>
  <c r="AX23" i="18"/>
  <c r="AX44" i="18"/>
  <c r="P21" i="18"/>
  <c r="P22" i="18"/>
  <c r="X39" i="16"/>
  <c r="AU24" i="16"/>
  <c r="AU34" i="16"/>
  <c r="AU40" i="16" s="1"/>
  <c r="AU45" i="16"/>
  <c r="AU51" i="16" s="1"/>
  <c r="AL44" i="16"/>
  <c r="AL23" i="16"/>
  <c r="AL33" i="16"/>
  <c r="AD44" i="16"/>
  <c r="AD23" i="16"/>
  <c r="AD33" i="16"/>
  <c r="AM50" i="17"/>
  <c r="AH39" i="17"/>
  <c r="V22" i="17"/>
  <c r="Z22" i="18"/>
  <c r="AS22" i="18"/>
  <c r="AA23" i="18"/>
  <c r="AA44" i="18"/>
  <c r="AA33" i="18"/>
  <c r="N22" i="18"/>
  <c r="J22" i="18"/>
  <c r="H27" i="18"/>
  <c r="G30" i="18"/>
  <c r="AH23" i="18"/>
  <c r="AH33" i="18"/>
  <c r="AH44" i="18"/>
  <c r="V22" i="18"/>
  <c r="F50" i="17"/>
  <c r="AM22" i="18"/>
  <c r="R23" i="18"/>
  <c r="R33" i="18"/>
  <c r="R44" i="18"/>
  <c r="T11" i="20"/>
  <c r="T45" i="20" s="1"/>
  <c r="AT22" i="16"/>
  <c r="AT21" i="16"/>
  <c r="N21" i="16"/>
  <c r="N22" i="16"/>
  <c r="AE33" i="16"/>
  <c r="AE44" i="16"/>
  <c r="AE23" i="16"/>
  <c r="K33" i="16"/>
  <c r="K44" i="16"/>
  <c r="K23" i="16"/>
  <c r="AO44" i="16"/>
  <c r="AO23" i="16"/>
  <c r="AO33" i="16"/>
  <c r="Y35" i="16"/>
  <c r="Y39" i="16"/>
  <c r="AJ22" i="17"/>
  <c r="AJ21" i="17"/>
  <c r="D22" i="16"/>
  <c r="R22" i="16"/>
  <c r="AA22" i="16"/>
  <c r="W22" i="16"/>
  <c r="AY33" i="17"/>
  <c r="AY23" i="17"/>
  <c r="AY44" i="17"/>
  <c r="Q21" i="17"/>
  <c r="Q22" i="17"/>
  <c r="AX39" i="16"/>
  <c r="AX35" i="16"/>
  <c r="X22" i="16"/>
  <c r="G33" i="16"/>
  <c r="G23" i="16"/>
  <c r="G44" i="16"/>
  <c r="AN22" i="17"/>
  <c r="AN21" i="17"/>
  <c r="S23" i="17"/>
  <c r="S33" i="17"/>
  <c r="S44" i="17"/>
  <c r="AO21" i="18"/>
  <c r="AO22" i="18"/>
  <c r="AG22" i="16"/>
  <c r="F27" i="16"/>
  <c r="E30" i="16"/>
  <c r="AE22" i="17"/>
  <c r="T22" i="17"/>
  <c r="T21" i="17"/>
  <c r="L22" i="17"/>
  <c r="L21" i="17"/>
  <c r="AB22" i="16"/>
  <c r="AG21" i="17"/>
  <c r="AG22" i="17"/>
  <c r="M21" i="17"/>
  <c r="M22" i="17"/>
  <c r="AB39" i="16"/>
  <c r="AA39" i="16"/>
  <c r="AM22" i="17"/>
  <c r="J33" i="17"/>
  <c r="J23" i="17"/>
  <c r="J44" i="17"/>
  <c r="AT33" i="18"/>
  <c r="AT23" i="18"/>
  <c r="AT44" i="18"/>
  <c r="AC21" i="18"/>
  <c r="AC22" i="18"/>
  <c r="AZ10" i="18"/>
  <c r="D13" i="18"/>
  <c r="AQ22" i="16"/>
  <c r="H22" i="16"/>
  <c r="AD39" i="17"/>
  <c r="AD35" i="17"/>
  <c r="N39" i="17"/>
  <c r="W46" i="18"/>
  <c r="W50" i="18"/>
  <c r="D44" i="18"/>
  <c r="D33" i="18"/>
  <c r="D23" i="18"/>
  <c r="F22" i="17"/>
  <c r="AU22" i="18"/>
  <c r="AJ22" i="18"/>
  <c r="AB44" i="18"/>
  <c r="AB23" i="18"/>
  <c r="AB33" i="18"/>
  <c r="AS33" i="16"/>
  <c r="AS44" i="16"/>
  <c r="AS23" i="16"/>
  <c r="W50" i="16"/>
  <c r="U22" i="16"/>
  <c r="F44" i="16"/>
  <c r="F33" i="16"/>
  <c r="F23" i="16"/>
  <c r="AP33" i="17"/>
  <c r="AP23" i="17"/>
  <c r="AP44" i="17"/>
  <c r="V33" i="17"/>
  <c r="V23" i="17"/>
  <c r="V44" i="17"/>
  <c r="AW22" i="18"/>
  <c r="L21" i="18"/>
  <c r="L22" i="18"/>
  <c r="AY22" i="16"/>
  <c r="AR22" i="16"/>
  <c r="AI33" i="16"/>
  <c r="AI23" i="16"/>
  <c r="AI44" i="16"/>
  <c r="O33" i="16"/>
  <c r="O23" i="16"/>
  <c r="O44" i="16"/>
  <c r="AV10" i="17"/>
  <c r="AV13" i="17" s="1"/>
  <c r="AW14" i="17" s="1"/>
  <c r="AW15" i="17"/>
  <c r="AA50" i="17"/>
  <c r="Z23" i="18"/>
  <c r="Z33" i="18"/>
  <c r="Z44" i="18"/>
  <c r="AS44" i="18"/>
  <c r="AS33" i="18"/>
  <c r="AS23" i="18"/>
  <c r="AA22" i="18"/>
  <c r="N23" i="18"/>
  <c r="N33" i="18"/>
  <c r="N44" i="18"/>
  <c r="J23" i="18"/>
  <c r="J33" i="18"/>
  <c r="J44" i="18"/>
  <c r="AH22" i="18"/>
  <c r="V23" i="18"/>
  <c r="V33" i="18"/>
  <c r="V44" i="18"/>
  <c r="AE23" i="18"/>
  <c r="AE44" i="18"/>
  <c r="AE33" i="18"/>
  <c r="K23" i="18"/>
  <c r="K33" i="18"/>
  <c r="K44" i="18"/>
  <c r="AP21" i="16"/>
  <c r="AP22" i="16"/>
  <c r="AE24" i="16"/>
  <c r="AE34" i="16"/>
  <c r="AE40" i="16" s="1"/>
  <c r="AE45" i="16"/>
  <c r="AE51" i="16" s="1"/>
  <c r="K24" i="16"/>
  <c r="K34" i="16"/>
  <c r="K40" i="16" s="1"/>
  <c r="K45" i="16"/>
  <c r="K51" i="16" s="1"/>
  <c r="AO45" i="16"/>
  <c r="AO51" i="16" s="1"/>
  <c r="AO34" i="16"/>
  <c r="AO40" i="16" s="1"/>
  <c r="AO24" i="16"/>
  <c r="AW34" i="16"/>
  <c r="AW40" i="16" s="1"/>
  <c r="AW24" i="16"/>
  <c r="AW45" i="16"/>
  <c r="AW51" i="16" s="1"/>
  <c r="AA45" i="17"/>
  <c r="AA51" i="17" s="1"/>
  <c r="AA24" i="17"/>
  <c r="AA34" i="17"/>
  <c r="AA40" i="17" s="1"/>
  <c r="AN45" i="16"/>
  <c r="AN51" i="16" s="1"/>
  <c r="AN24" i="16"/>
  <c r="AN34" i="16"/>
  <c r="AN40" i="16" s="1"/>
  <c r="AY24" i="17"/>
  <c r="AY34" i="17"/>
  <c r="AY40" i="17" s="1"/>
  <c r="AY45" i="17"/>
  <c r="AY51" i="17" s="1"/>
  <c r="D13" i="17"/>
  <c r="AM24" i="16"/>
  <c r="AM45" i="16"/>
  <c r="AM51" i="16" s="1"/>
  <c r="AM34" i="16"/>
  <c r="AM40" i="16" s="1"/>
  <c r="R44" i="16"/>
  <c r="R23" i="16"/>
  <c r="R33" i="16"/>
  <c r="G24" i="16"/>
  <c r="G34" i="16"/>
  <c r="G40" i="16" s="1"/>
  <c r="G45" i="16"/>
  <c r="G51" i="16" s="1"/>
  <c r="AI23" i="17"/>
  <c r="AI33" i="17"/>
  <c r="AI44" i="17"/>
  <c r="O23" i="17"/>
  <c r="O33" i="17"/>
  <c r="O44" i="17"/>
  <c r="T45" i="16"/>
  <c r="T51" i="16" s="1"/>
  <c r="T24" i="16"/>
  <c r="T34" i="16"/>
  <c r="T40" i="16" s="1"/>
  <c r="AB22" i="17"/>
  <c r="AB21" i="17"/>
  <c r="S45" i="17"/>
  <c r="S51" i="17" s="1"/>
  <c r="S24" i="17"/>
  <c r="S34" i="17"/>
  <c r="S40" i="17" s="1"/>
  <c r="K45" i="17"/>
  <c r="K51" i="17" s="1"/>
  <c r="K24" i="17"/>
  <c r="K34" i="17"/>
  <c r="K40" i="17" s="1"/>
  <c r="Z21" i="16"/>
  <c r="Z22" i="16"/>
  <c r="AC21" i="17"/>
  <c r="AC22" i="17"/>
  <c r="I21" i="17"/>
  <c r="I22" i="17"/>
  <c r="I44" i="16"/>
  <c r="I23" i="16"/>
  <c r="I33" i="16"/>
  <c r="AD24" i="17"/>
  <c r="AD45" i="17"/>
  <c r="AD51" i="17" s="1"/>
  <c r="AD34" i="17"/>
  <c r="AD40" i="17" s="1"/>
  <c r="G30" i="17"/>
  <c r="H27" i="17"/>
  <c r="AR22" i="18"/>
  <c r="AR21" i="18"/>
  <c r="Y21" i="18"/>
  <c r="Y22" i="18"/>
  <c r="AQ33" i="16"/>
  <c r="AQ44" i="16"/>
  <c r="AQ23" i="16"/>
  <c r="J24" i="16"/>
  <c r="J34" i="16"/>
  <c r="J40" i="16" s="1"/>
  <c r="J45" i="16"/>
  <c r="J51" i="16" s="1"/>
  <c r="AU24" i="17"/>
  <c r="AU45" i="17"/>
  <c r="AU51" i="17" s="1"/>
  <c r="AU34" i="17"/>
  <c r="AU40" i="17" s="1"/>
  <c r="AH24" i="17"/>
  <c r="AH45" i="17"/>
  <c r="AH51" i="17" s="1"/>
  <c r="AH34" i="17"/>
  <c r="AH40" i="17" s="1"/>
  <c r="R24" i="17"/>
  <c r="R45" i="17"/>
  <c r="R51" i="17" s="1"/>
  <c r="R34" i="17"/>
  <c r="R40" i="17" s="1"/>
  <c r="Q21" i="18"/>
  <c r="Q22" i="18"/>
  <c r="R50" i="17"/>
  <c r="R46" i="17"/>
  <c r="AV44" i="18"/>
  <c r="AV23" i="18"/>
  <c r="AV33" i="18"/>
  <c r="AP24" i="18"/>
  <c r="AP34" i="18"/>
  <c r="AP40" i="18" s="1"/>
  <c r="AP45" i="18"/>
  <c r="AJ44" i="18"/>
  <c r="AJ33" i="18"/>
  <c r="AJ23" i="18"/>
  <c r="AB34" i="18"/>
  <c r="AB40" i="18" s="1"/>
  <c r="AB45" i="18"/>
  <c r="AB51" i="18" s="1"/>
  <c r="AB24" i="18"/>
  <c r="AS45" i="16"/>
  <c r="AS51" i="16" s="1"/>
  <c r="AS24" i="16"/>
  <c r="AS34" i="16"/>
  <c r="AS40" i="16" s="1"/>
  <c r="L34" i="16"/>
  <c r="L40" i="16" s="1"/>
  <c r="L24" i="16"/>
  <c r="L45" i="16"/>
  <c r="L51" i="16" s="1"/>
  <c r="AR23" i="17"/>
  <c r="AR44" i="17"/>
  <c r="AR33" i="17"/>
  <c r="J24" i="17"/>
  <c r="J45" i="17"/>
  <c r="J51" i="17" s="1"/>
  <c r="J34" i="17"/>
  <c r="J40" i="17" s="1"/>
  <c r="AW44" i="18"/>
  <c r="AW33" i="18"/>
  <c r="AW23" i="18"/>
  <c r="U21" i="18"/>
  <c r="U22" i="18"/>
  <c r="AY23" i="16"/>
  <c r="AY33" i="16"/>
  <c r="AY44" i="16"/>
  <c r="AR23" i="16"/>
  <c r="AR33" i="16"/>
  <c r="AR44" i="16"/>
  <c r="AI24" i="16"/>
  <c r="AI34" i="16"/>
  <c r="AI40" i="16" s="1"/>
  <c r="AI45" i="16"/>
  <c r="AI51" i="16" s="1"/>
  <c r="O24" i="16"/>
  <c r="O34" i="16"/>
  <c r="O40" i="16" s="1"/>
  <c r="O45" i="16"/>
  <c r="O51" i="16" s="1"/>
  <c r="AR39" i="16" l="1"/>
  <c r="AR35" i="16"/>
  <c r="Q24" i="18"/>
  <c r="Q34" i="18"/>
  <c r="Q40" i="18" s="1"/>
  <c r="Q45" i="18"/>
  <c r="Q51" i="18" s="1"/>
  <c r="AQ39" i="16"/>
  <c r="AQ35" i="16"/>
  <c r="AC44" i="17"/>
  <c r="AC33" i="17"/>
  <c r="AC23" i="17"/>
  <c r="R39" i="16"/>
  <c r="AH24" i="18"/>
  <c r="AH45" i="18"/>
  <c r="AH51" i="18" s="1"/>
  <c r="AH34" i="18"/>
  <c r="AH40" i="18" s="1"/>
  <c r="AR45" i="16"/>
  <c r="AR51" i="16" s="1"/>
  <c r="AR34" i="16"/>
  <c r="AR40" i="16" s="1"/>
  <c r="AR24" i="16"/>
  <c r="AP50" i="17"/>
  <c r="AU45" i="18"/>
  <c r="AU51" i="18" s="1"/>
  <c r="AU34" i="18"/>
  <c r="AU40" i="18" s="1"/>
  <c r="AU24" i="18"/>
  <c r="AG44" i="17"/>
  <c r="AG33" i="17"/>
  <c r="AG23" i="17"/>
  <c r="R46" i="16"/>
  <c r="R50" i="16"/>
  <c r="E21" i="17"/>
  <c r="E22" i="17"/>
  <c r="AE35" i="18"/>
  <c r="AE39" i="18"/>
  <c r="V39" i="18"/>
  <c r="V35" i="18"/>
  <c r="J39" i="18"/>
  <c r="AS50" i="18"/>
  <c r="AS46" i="18"/>
  <c r="L34" i="18"/>
  <c r="L40" i="18" s="1"/>
  <c r="L45" i="18"/>
  <c r="L51" i="18" s="1"/>
  <c r="L24" i="18"/>
  <c r="U45" i="16"/>
  <c r="U51" i="16" s="1"/>
  <c r="U34" i="16"/>
  <c r="U40" i="16" s="1"/>
  <c r="U24" i="16"/>
  <c r="AS46" i="16"/>
  <c r="AS50" i="16"/>
  <c r="AB46" i="18"/>
  <c r="AB50" i="18"/>
  <c r="AT50" i="18"/>
  <c r="AT46" i="18"/>
  <c r="M44" i="17"/>
  <c r="M33" i="17"/>
  <c r="M23" i="17"/>
  <c r="AE45" i="17"/>
  <c r="AE51" i="17" s="1"/>
  <c r="AE24" i="17"/>
  <c r="AE34" i="17"/>
  <c r="AE40" i="17" s="1"/>
  <c r="AO34" i="18"/>
  <c r="AO40" i="18" s="1"/>
  <c r="AO24" i="18"/>
  <c r="AO45" i="18"/>
  <c r="AO51" i="18" s="1"/>
  <c r="AO50" i="16"/>
  <c r="AO46" i="16"/>
  <c r="N44" i="16"/>
  <c r="N23" i="16"/>
  <c r="N33" i="16"/>
  <c r="R50" i="18"/>
  <c r="R46" i="18"/>
  <c r="J24" i="18"/>
  <c r="J34" i="18"/>
  <c r="J40" i="18" s="1"/>
  <c r="J45" i="18"/>
  <c r="J51" i="18" s="1"/>
  <c r="AH35" i="17"/>
  <c r="P44" i="18"/>
  <c r="P23" i="18"/>
  <c r="P33" i="18"/>
  <c r="U46" i="16"/>
  <c r="U50" i="16"/>
  <c r="D39" i="17"/>
  <c r="AG33" i="18"/>
  <c r="AG44" i="18"/>
  <c r="AG23" i="18"/>
  <c r="AF45" i="17"/>
  <c r="AF51" i="17" s="1"/>
  <c r="AF34" i="17"/>
  <c r="AF40" i="17" s="1"/>
  <c r="AF24" i="17"/>
  <c r="AG50" i="16"/>
  <c r="AR46" i="16"/>
  <c r="AR50" i="16"/>
  <c r="AY39" i="16"/>
  <c r="AJ50" i="18"/>
  <c r="AV35" i="18"/>
  <c r="AV39" i="18"/>
  <c r="AQ50" i="16"/>
  <c r="AQ46" i="16"/>
  <c r="AR44" i="18"/>
  <c r="AR23" i="18"/>
  <c r="AR33" i="18"/>
  <c r="AC34" i="17"/>
  <c r="AC40" i="17" s="1"/>
  <c r="AC24" i="17"/>
  <c r="AC45" i="17"/>
  <c r="AC51" i="17" s="1"/>
  <c r="O46" i="17"/>
  <c r="O50" i="17"/>
  <c r="AI39" i="17"/>
  <c r="AI35" i="17"/>
  <c r="K46" i="18"/>
  <c r="K50" i="18"/>
  <c r="AE46" i="18"/>
  <c r="AE50" i="18"/>
  <c r="AA45" i="18"/>
  <c r="AA51" i="18" s="1"/>
  <c r="AA24" i="18"/>
  <c r="AA34" i="18"/>
  <c r="AA40" i="18" s="1"/>
  <c r="Z50" i="18"/>
  <c r="Z46" i="18"/>
  <c r="AA46" i="17"/>
  <c r="AI35" i="16"/>
  <c r="AI39" i="16"/>
  <c r="L44" i="18"/>
  <c r="L23" i="18"/>
  <c r="L33" i="18"/>
  <c r="V39" i="17"/>
  <c r="V35" i="17"/>
  <c r="AS35" i="16"/>
  <c r="AS39" i="16"/>
  <c r="AJ34" i="18"/>
  <c r="AJ40" i="18" s="1"/>
  <c r="AJ45" i="18"/>
  <c r="AJ51" i="18" s="1"/>
  <c r="AJ24" i="18"/>
  <c r="D35" i="18"/>
  <c r="D39" i="18"/>
  <c r="J39" i="17"/>
  <c r="J35" i="17"/>
  <c r="AG34" i="17"/>
  <c r="AG40" i="17" s="1"/>
  <c r="AG24" i="17"/>
  <c r="AG45" i="17"/>
  <c r="AG51" i="17" s="1"/>
  <c r="L45" i="17"/>
  <c r="L51" i="17" s="1"/>
  <c r="L34" i="17"/>
  <c r="L40" i="17" s="1"/>
  <c r="L24" i="17"/>
  <c r="AO44" i="18"/>
  <c r="AO33" i="18"/>
  <c r="AO23" i="18"/>
  <c r="AN44" i="17"/>
  <c r="AN23" i="17"/>
  <c r="AN33" i="17"/>
  <c r="G39" i="16"/>
  <c r="G35" i="16"/>
  <c r="Q34" i="17"/>
  <c r="Q40" i="17" s="1"/>
  <c r="Q24" i="17"/>
  <c r="Q45" i="17"/>
  <c r="Q51" i="17" s="1"/>
  <c r="AY39" i="17"/>
  <c r="AY35" i="17"/>
  <c r="D45" i="16"/>
  <c r="D51" i="16" s="1"/>
  <c r="D24" i="16"/>
  <c r="D34" i="16"/>
  <c r="D40" i="16" s="1"/>
  <c r="AE50" i="16"/>
  <c r="AE46" i="16"/>
  <c r="AT44" i="16"/>
  <c r="AT23" i="16"/>
  <c r="AT33" i="16"/>
  <c r="R39" i="18"/>
  <c r="R35" i="18"/>
  <c r="N24" i="18"/>
  <c r="N45" i="18"/>
  <c r="N51" i="18" s="1"/>
  <c r="N34" i="18"/>
  <c r="N40" i="18" s="1"/>
  <c r="AS34" i="18"/>
  <c r="AS40" i="18" s="1"/>
  <c r="AS24" i="18"/>
  <c r="AS45" i="18"/>
  <c r="AS51" i="18" s="1"/>
  <c r="AL46" i="16"/>
  <c r="AL50" i="16"/>
  <c r="AX50" i="18"/>
  <c r="AX46" i="18"/>
  <c r="AQ50" i="17"/>
  <c r="U35" i="16"/>
  <c r="U39" i="16"/>
  <c r="R35" i="17"/>
  <c r="AN35" i="16"/>
  <c r="D50" i="17"/>
  <c r="U34" i="17"/>
  <c r="U40" i="17" s="1"/>
  <c r="U24" i="17"/>
  <c r="U45" i="17"/>
  <c r="U51" i="17" s="1"/>
  <c r="O45" i="17"/>
  <c r="O51" i="17" s="1"/>
  <c r="O24" i="17"/>
  <c r="O34" i="17"/>
  <c r="O40" i="17" s="1"/>
  <c r="E22" i="16"/>
  <c r="E21" i="16"/>
  <c r="AG39" i="16"/>
  <c r="W46" i="17"/>
  <c r="W50" i="17"/>
  <c r="AS45" i="17"/>
  <c r="AS51" i="17" s="1"/>
  <c r="AS24" i="17"/>
  <c r="AS34" i="17"/>
  <c r="AS40" i="17" s="1"/>
  <c r="V44" i="16"/>
  <c r="V33" i="16"/>
  <c r="V23" i="16"/>
  <c r="AD46" i="18"/>
  <c r="AD50" i="18"/>
  <c r="F39" i="18"/>
  <c r="F35" i="18"/>
  <c r="AR24" i="17"/>
  <c r="AR34" i="17"/>
  <c r="AR40" i="17" s="1"/>
  <c r="AR45" i="17"/>
  <c r="AR51" i="17" s="1"/>
  <c r="AU46" i="16"/>
  <c r="AU50" i="16"/>
  <c r="T44" i="18"/>
  <c r="T23" i="18"/>
  <c r="T33" i="18"/>
  <c r="L46" i="16"/>
  <c r="L50" i="16"/>
  <c r="AY46" i="18"/>
  <c r="AY50" i="18"/>
  <c r="J50" i="16"/>
  <c r="J46" i="16"/>
  <c r="D45" i="17"/>
  <c r="D51" i="17" s="1"/>
  <c r="D34" i="17"/>
  <c r="D40" i="17" s="1"/>
  <c r="D24" i="17"/>
  <c r="AK33" i="18"/>
  <c r="AK44" i="18"/>
  <c r="AK23" i="18"/>
  <c r="S50" i="16"/>
  <c r="S46" i="16"/>
  <c r="P44" i="17"/>
  <c r="P33" i="17"/>
  <c r="P23" i="17"/>
  <c r="T46" i="16"/>
  <c r="T50" i="16"/>
  <c r="AE50" i="17"/>
  <c r="AT44" i="17"/>
  <c r="AT23" i="17"/>
  <c r="AT33" i="17"/>
  <c r="AC35" i="16"/>
  <c r="AC39" i="16"/>
  <c r="M46" i="16"/>
  <c r="M50" i="16"/>
  <c r="Q35" i="16"/>
  <c r="Q39" i="16"/>
  <c r="O35" i="18"/>
  <c r="O39" i="18"/>
  <c r="S35" i="18"/>
  <c r="S39" i="18"/>
  <c r="AN35" i="18"/>
  <c r="AN39" i="18"/>
  <c r="AW39" i="18"/>
  <c r="AW35" i="18"/>
  <c r="AP51" i="18"/>
  <c r="AP46" i="18"/>
  <c r="AR45" i="18"/>
  <c r="AR51" i="18" s="1"/>
  <c r="AR34" i="18"/>
  <c r="AR40" i="18" s="1"/>
  <c r="AR24" i="18"/>
  <c r="I50" i="16"/>
  <c r="I46" i="16"/>
  <c r="O39" i="17"/>
  <c r="O35" i="17"/>
  <c r="K39" i="18"/>
  <c r="K35" i="18"/>
  <c r="N46" i="18"/>
  <c r="N50" i="18"/>
  <c r="Z39" i="18"/>
  <c r="O35" i="16"/>
  <c r="O39" i="16"/>
  <c r="AW34" i="18"/>
  <c r="AW40" i="18" s="1"/>
  <c r="AW24" i="18"/>
  <c r="AW45" i="18"/>
  <c r="AW51" i="18" s="1"/>
  <c r="F39" i="16"/>
  <c r="F35" i="16"/>
  <c r="AB35" i="18"/>
  <c r="AB39" i="18"/>
  <c r="D46" i="18"/>
  <c r="D50" i="18"/>
  <c r="H45" i="16"/>
  <c r="H51" i="16" s="1"/>
  <c r="H34" i="16"/>
  <c r="H40" i="16" s="1"/>
  <c r="H24" i="16"/>
  <c r="AC24" i="18"/>
  <c r="AC34" i="18"/>
  <c r="AC40" i="18" s="1"/>
  <c r="AC45" i="18"/>
  <c r="AC51" i="18" s="1"/>
  <c r="AT39" i="18"/>
  <c r="AT35" i="18"/>
  <c r="AM45" i="17"/>
  <c r="AM24" i="17"/>
  <c r="AM34" i="17"/>
  <c r="T44" i="17"/>
  <c r="T33" i="17"/>
  <c r="T23" i="17"/>
  <c r="F30" i="16"/>
  <c r="G27" i="16"/>
  <c r="S46" i="17"/>
  <c r="S50" i="17"/>
  <c r="AN45" i="17"/>
  <c r="AN51" i="17" s="1"/>
  <c r="AN34" i="17"/>
  <c r="AN40" i="17" s="1"/>
  <c r="AN24" i="17"/>
  <c r="X24" i="16"/>
  <c r="X34" i="16"/>
  <c r="X45" i="16"/>
  <c r="Q44" i="17"/>
  <c r="Q33" i="17"/>
  <c r="Q23" i="17"/>
  <c r="W24" i="16"/>
  <c r="W34" i="16"/>
  <c r="W45" i="16"/>
  <c r="AJ44" i="17"/>
  <c r="AJ33" i="17"/>
  <c r="AJ23" i="17"/>
  <c r="AO35" i="16"/>
  <c r="AO39" i="16"/>
  <c r="K50" i="16"/>
  <c r="K46" i="16"/>
  <c r="AE39" i="16"/>
  <c r="AE35" i="16"/>
  <c r="AT24" i="16"/>
  <c r="AT34" i="16"/>
  <c r="AT40" i="16" s="1"/>
  <c r="AT45" i="16"/>
  <c r="AT51" i="16" s="1"/>
  <c r="V24" i="18"/>
  <c r="V45" i="18"/>
  <c r="V51" i="18" s="1"/>
  <c r="V34" i="18"/>
  <c r="V40" i="18" s="1"/>
  <c r="AA35" i="18"/>
  <c r="AA39" i="18"/>
  <c r="Z24" i="18"/>
  <c r="Z45" i="18"/>
  <c r="Z51" i="18" s="1"/>
  <c r="Z34" i="18"/>
  <c r="Z40" i="18" s="1"/>
  <c r="AD46" i="16"/>
  <c r="AD50" i="16"/>
  <c r="AF35" i="18"/>
  <c r="AF39" i="18"/>
  <c r="AU39" i="18"/>
  <c r="H46" i="16"/>
  <c r="H50" i="16"/>
  <c r="U44" i="17"/>
  <c r="U33" i="17"/>
  <c r="U23" i="17"/>
  <c r="AF46" i="16"/>
  <c r="AF50" i="16"/>
  <c r="W45" i="17"/>
  <c r="W51" i="17" s="1"/>
  <c r="W24" i="17"/>
  <c r="W34" i="17"/>
  <c r="W40" i="17" s="1"/>
  <c r="G46" i="17"/>
  <c r="G50" i="17"/>
  <c r="W39" i="17"/>
  <c r="W35" i="17"/>
  <c r="AL21" i="17"/>
  <c r="AL22" i="17"/>
  <c r="D46" i="16"/>
  <c r="D50" i="16"/>
  <c r="AO34" i="17"/>
  <c r="AO40" i="17" s="1"/>
  <c r="AO24" i="17"/>
  <c r="AO45" i="17"/>
  <c r="AO51" i="17" s="1"/>
  <c r="AV23" i="16"/>
  <c r="AV33" i="16"/>
  <c r="AV44" i="16"/>
  <c r="AD39" i="18"/>
  <c r="AD35" i="18"/>
  <c r="AL39" i="18"/>
  <c r="AL35" i="18"/>
  <c r="I50" i="18"/>
  <c r="I46" i="18"/>
  <c r="T34" i="18"/>
  <c r="T40" i="18" s="1"/>
  <c r="T45" i="18"/>
  <c r="T51" i="18" s="1"/>
  <c r="T24" i="18"/>
  <c r="L39" i="16"/>
  <c r="L35" i="16"/>
  <c r="AJ46" i="16"/>
  <c r="AJ50" i="16"/>
  <c r="AY39" i="18"/>
  <c r="AY35" i="18"/>
  <c r="AD46" i="17"/>
  <c r="AU39" i="17"/>
  <c r="AU35" i="17"/>
  <c r="X44" i="18"/>
  <c r="X33" i="18"/>
  <c r="X23" i="18"/>
  <c r="Z50" i="17"/>
  <c r="Y34" i="17"/>
  <c r="Y40" i="17" s="1"/>
  <c r="Y24" i="17"/>
  <c r="Y45" i="17"/>
  <c r="Y51" i="17" s="1"/>
  <c r="S39" i="16"/>
  <c r="S35" i="16"/>
  <c r="P45" i="17"/>
  <c r="P51" i="17" s="1"/>
  <c r="P34" i="17"/>
  <c r="P40" i="17" s="1"/>
  <c r="P24" i="17"/>
  <c r="K46" i="17"/>
  <c r="K50" i="17"/>
  <c r="AE39" i="17"/>
  <c r="AE35" i="17"/>
  <c r="P46" i="16"/>
  <c r="P50" i="16"/>
  <c r="AC50" i="16"/>
  <c r="AC46" i="16"/>
  <c r="M35" i="16"/>
  <c r="M39" i="16"/>
  <c r="AW35" i="16"/>
  <c r="AW39" i="16"/>
  <c r="AH34" i="16"/>
  <c r="AH40" i="16" s="1"/>
  <c r="AH45" i="16"/>
  <c r="AH51" i="16" s="1"/>
  <c r="AH24" i="16"/>
  <c r="O46" i="18"/>
  <c r="O50" i="18"/>
  <c r="S46" i="18"/>
  <c r="S50" i="18"/>
  <c r="G35" i="18"/>
  <c r="G39" i="18"/>
  <c r="U24" i="18"/>
  <c r="U34" i="18"/>
  <c r="U40" i="18" s="1"/>
  <c r="U45" i="18"/>
  <c r="U51" i="18" s="1"/>
  <c r="AW50" i="18"/>
  <c r="AW46" i="18"/>
  <c r="AR39" i="17"/>
  <c r="AV50" i="18"/>
  <c r="AV46" i="18"/>
  <c r="Q33" i="18"/>
  <c r="Q44" i="18"/>
  <c r="Q23" i="18"/>
  <c r="Y34" i="18"/>
  <c r="Y40" i="18" s="1"/>
  <c r="Y24" i="18"/>
  <c r="Y45" i="18"/>
  <c r="Y51" i="18" s="1"/>
  <c r="I27" i="17"/>
  <c r="H30" i="17"/>
  <c r="I34" i="17"/>
  <c r="I40" i="17" s="1"/>
  <c r="I24" i="17"/>
  <c r="I45" i="17"/>
  <c r="I51" i="17" s="1"/>
  <c r="Z34" i="16"/>
  <c r="Z40" i="16" s="1"/>
  <c r="Z24" i="16"/>
  <c r="Z45" i="16"/>
  <c r="Z51" i="16" s="1"/>
  <c r="AB44" i="17"/>
  <c r="AB23" i="17"/>
  <c r="AB33" i="17"/>
  <c r="AP34" i="16"/>
  <c r="AP40" i="16" s="1"/>
  <c r="AP45" i="16"/>
  <c r="AP51" i="16" s="1"/>
  <c r="AP24" i="16"/>
  <c r="V50" i="18"/>
  <c r="V46" i="18"/>
  <c r="J46" i="18"/>
  <c r="J50" i="18"/>
  <c r="N39" i="18"/>
  <c r="AS39" i="18"/>
  <c r="AS35" i="18"/>
  <c r="AW10" i="17"/>
  <c r="AW13" i="17" s="1"/>
  <c r="AI50" i="16"/>
  <c r="AI46" i="16"/>
  <c r="AY24" i="16"/>
  <c r="AY34" i="16"/>
  <c r="AY40" i="16" s="1"/>
  <c r="AY45" i="16"/>
  <c r="AY51" i="16" s="1"/>
  <c r="V50" i="17"/>
  <c r="F50" i="16"/>
  <c r="F46" i="16"/>
  <c r="F24" i="17"/>
  <c r="F45" i="17"/>
  <c r="F34" i="17"/>
  <c r="AQ24" i="16"/>
  <c r="AQ45" i="16"/>
  <c r="AQ51" i="16" s="1"/>
  <c r="AQ34" i="16"/>
  <c r="AQ40" i="16" s="1"/>
  <c r="AC33" i="18"/>
  <c r="AC44" i="18"/>
  <c r="AC23" i="18"/>
  <c r="J50" i="17"/>
  <c r="J46" i="17"/>
  <c r="M34" i="17"/>
  <c r="M40" i="17" s="1"/>
  <c r="M24" i="17"/>
  <c r="M45" i="17"/>
  <c r="M51" i="17" s="1"/>
  <c r="AB24" i="16"/>
  <c r="AB34" i="16"/>
  <c r="AB45" i="16"/>
  <c r="T45" i="17"/>
  <c r="T51" i="17" s="1"/>
  <c r="T34" i="17"/>
  <c r="T40" i="17" s="1"/>
  <c r="T24" i="17"/>
  <c r="AG45" i="16"/>
  <c r="AG51" i="16" s="1"/>
  <c r="AG34" i="16"/>
  <c r="AG40" i="16" s="1"/>
  <c r="AG24" i="16"/>
  <c r="S39" i="17"/>
  <c r="S35" i="17"/>
  <c r="G50" i="16"/>
  <c r="G46" i="16"/>
  <c r="AY50" i="17"/>
  <c r="AY46" i="17"/>
  <c r="AA24" i="16"/>
  <c r="AA34" i="16"/>
  <c r="AA45" i="16"/>
  <c r="AJ45" i="17"/>
  <c r="AJ51" i="17" s="1"/>
  <c r="AJ34" i="17"/>
  <c r="AJ40" i="17" s="1"/>
  <c r="AJ24" i="17"/>
  <c r="K39" i="16"/>
  <c r="K35" i="16"/>
  <c r="N34" i="16"/>
  <c r="N40" i="16" s="1"/>
  <c r="N45" i="16"/>
  <c r="N51" i="16" s="1"/>
  <c r="N24" i="16"/>
  <c r="AM45" i="18"/>
  <c r="AM51" i="18" s="1"/>
  <c r="AM34" i="18"/>
  <c r="AM40" i="18" s="1"/>
  <c r="AM24" i="18"/>
  <c r="AH50" i="18"/>
  <c r="I27" i="18"/>
  <c r="H30" i="18"/>
  <c r="AA50" i="18"/>
  <c r="V24" i="17"/>
  <c r="V45" i="17"/>
  <c r="V51" i="17" s="1"/>
  <c r="V34" i="17"/>
  <c r="V40" i="17" s="1"/>
  <c r="AL35" i="16"/>
  <c r="AL39" i="16"/>
  <c r="P45" i="18"/>
  <c r="P51" i="18" s="1"/>
  <c r="P34" i="18"/>
  <c r="P40" i="18" s="1"/>
  <c r="P24" i="18"/>
  <c r="AX39" i="18"/>
  <c r="AX35" i="18"/>
  <c r="AQ39" i="17"/>
  <c r="AF46" i="18"/>
  <c r="AF50" i="18"/>
  <c r="AU50" i="18"/>
  <c r="H39" i="16"/>
  <c r="AG34" i="18"/>
  <c r="AG40" i="18" s="1"/>
  <c r="AG24" i="18"/>
  <c r="AG45" i="18"/>
  <c r="AG51" i="18" s="1"/>
  <c r="AF39" i="16"/>
  <c r="AF35" i="16"/>
  <c r="AF44" i="17"/>
  <c r="AF33" i="17"/>
  <c r="AF23" i="17"/>
  <c r="G39" i="17"/>
  <c r="G35" i="17"/>
  <c r="D39" i="16"/>
  <c r="AO44" i="17"/>
  <c r="AO33" i="17"/>
  <c r="AO23" i="17"/>
  <c r="AV45" i="16"/>
  <c r="AV51" i="16" s="1"/>
  <c r="AV24" i="16"/>
  <c r="AV34" i="16"/>
  <c r="AV40" i="16" s="1"/>
  <c r="AM39" i="18"/>
  <c r="F46" i="18"/>
  <c r="F50" i="18"/>
  <c r="I35" i="18"/>
  <c r="I39" i="18"/>
  <c r="AJ39" i="16"/>
  <c r="AJ35" i="16"/>
  <c r="M24" i="18"/>
  <c r="M34" i="18"/>
  <c r="M40" i="18" s="1"/>
  <c r="M45" i="18"/>
  <c r="M51" i="18" s="1"/>
  <c r="J39" i="16"/>
  <c r="J35" i="16"/>
  <c r="AN46" i="16"/>
  <c r="X34" i="18"/>
  <c r="X40" i="18" s="1"/>
  <c r="X45" i="18"/>
  <c r="X51" i="18" s="1"/>
  <c r="X24" i="18"/>
  <c r="Y44" i="17"/>
  <c r="Y33" i="17"/>
  <c r="Y23" i="17"/>
  <c r="X44" i="17"/>
  <c r="X23" i="17"/>
  <c r="X33" i="17"/>
  <c r="AM50" i="16"/>
  <c r="AM46" i="16"/>
  <c r="K39" i="17"/>
  <c r="K35" i="17"/>
  <c r="P39" i="16"/>
  <c r="P35" i="16"/>
  <c r="H44" i="17"/>
  <c r="H23" i="17"/>
  <c r="H33" i="17"/>
  <c r="AW46" i="16"/>
  <c r="AW50" i="16"/>
  <c r="AK50" i="16"/>
  <c r="AK46" i="16"/>
  <c r="AH44" i="16"/>
  <c r="AH23" i="16"/>
  <c r="AH33" i="16"/>
  <c r="AI35" i="18"/>
  <c r="AI39" i="18"/>
  <c r="G46" i="18"/>
  <c r="G50" i="18"/>
  <c r="AN46" i="18"/>
  <c r="AN50" i="18"/>
  <c r="AY46" i="16"/>
  <c r="AY50" i="16"/>
  <c r="U44" i="18"/>
  <c r="U33" i="18"/>
  <c r="U23" i="18"/>
  <c r="AR46" i="17"/>
  <c r="AR50" i="17"/>
  <c r="AJ39" i="18"/>
  <c r="Y33" i="18"/>
  <c r="Y44" i="18"/>
  <c r="Y23" i="18"/>
  <c r="I35" i="16"/>
  <c r="I39" i="16"/>
  <c r="I44" i="17"/>
  <c r="I33" i="17"/>
  <c r="I23" i="17"/>
  <c r="Z44" i="16"/>
  <c r="Z33" i="16"/>
  <c r="Z23" i="16"/>
  <c r="AB45" i="17"/>
  <c r="AB51" i="17" s="1"/>
  <c r="AB34" i="17"/>
  <c r="AB40" i="17" s="1"/>
  <c r="AB24" i="17"/>
  <c r="AI46" i="17"/>
  <c r="AI50" i="17"/>
  <c r="AP44" i="16"/>
  <c r="AP23" i="16"/>
  <c r="AP33" i="16"/>
  <c r="O50" i="16"/>
  <c r="O46" i="16"/>
  <c r="AP39" i="17"/>
  <c r="E21" i="18"/>
  <c r="E22" i="18"/>
  <c r="L44" i="17"/>
  <c r="L23" i="17"/>
  <c r="L33" i="17"/>
  <c r="R34" i="16"/>
  <c r="R40" i="16" s="1"/>
  <c r="R24" i="16"/>
  <c r="R45" i="16"/>
  <c r="R51" i="16" s="1"/>
  <c r="AH39" i="18"/>
  <c r="AH35" i="18"/>
  <c r="AD35" i="16"/>
  <c r="AD39" i="16"/>
  <c r="Z24" i="17"/>
  <c r="Z45" i="17"/>
  <c r="Z51" i="17" s="1"/>
  <c r="Z34" i="17"/>
  <c r="Z40" i="17" s="1"/>
  <c r="AP35" i="18"/>
  <c r="N24" i="17"/>
  <c r="N45" i="17"/>
  <c r="N34" i="17"/>
  <c r="AS33" i="17"/>
  <c r="AS44" i="17"/>
  <c r="AS23" i="17"/>
  <c r="V34" i="16"/>
  <c r="V40" i="16" s="1"/>
  <c r="V24" i="16"/>
  <c r="V45" i="16"/>
  <c r="V51" i="16" s="1"/>
  <c r="AM46" i="18"/>
  <c r="AM50" i="18"/>
  <c r="AL46" i="18"/>
  <c r="AL50" i="18"/>
  <c r="AU39" i="16"/>
  <c r="AU35" i="16"/>
  <c r="AQ24" i="17"/>
  <c r="AQ45" i="17"/>
  <c r="AQ51" i="17" s="1"/>
  <c r="AQ34" i="17"/>
  <c r="AQ40" i="17" s="1"/>
  <c r="M33" i="18"/>
  <c r="M44" i="18"/>
  <c r="M23" i="18"/>
  <c r="AU50" i="17"/>
  <c r="AU46" i="17"/>
  <c r="AP24" i="17"/>
  <c r="AP34" i="17"/>
  <c r="AP40" i="17" s="1"/>
  <c r="AP45" i="17"/>
  <c r="AP51" i="17" s="1"/>
  <c r="AK24" i="18"/>
  <c r="AK34" i="18"/>
  <c r="AK40" i="18" s="1"/>
  <c r="AK45" i="18"/>
  <c r="AK51" i="18" s="1"/>
  <c r="Z39" i="17"/>
  <c r="Z35" i="17"/>
  <c r="X45" i="17"/>
  <c r="X51" i="17" s="1"/>
  <c r="X34" i="17"/>
  <c r="X40" i="17" s="1"/>
  <c r="X24" i="17"/>
  <c r="T39" i="16"/>
  <c r="T35" i="16"/>
  <c r="AM39" i="16"/>
  <c r="AM35" i="16"/>
  <c r="AT34" i="17"/>
  <c r="AT40" i="17" s="1"/>
  <c r="AT24" i="17"/>
  <c r="AT45" i="17"/>
  <c r="AT51" i="17" s="1"/>
  <c r="H45" i="17"/>
  <c r="H51" i="17" s="1"/>
  <c r="H34" i="17"/>
  <c r="H40" i="17" s="1"/>
  <c r="H24" i="17"/>
  <c r="Q50" i="16"/>
  <c r="Q46" i="16"/>
  <c r="AK35" i="16"/>
  <c r="AK39" i="16"/>
  <c r="AI46" i="18"/>
  <c r="AI50" i="18"/>
  <c r="AA35" i="17"/>
  <c r="N51" i="17" l="1"/>
  <c r="N46" i="17"/>
  <c r="E24" i="18"/>
  <c r="AZ24" i="18" s="1"/>
  <c r="E34" i="18"/>
  <c r="E40" i="18" s="1"/>
  <c r="E45" i="18"/>
  <c r="E51" i="18" s="1"/>
  <c r="AZ22" i="18"/>
  <c r="Z39" i="16"/>
  <c r="Z35" i="16"/>
  <c r="I50" i="17"/>
  <c r="I46" i="17"/>
  <c r="Y50" i="18"/>
  <c r="Y46" i="18"/>
  <c r="U50" i="18"/>
  <c r="U46" i="18"/>
  <c r="H35" i="17"/>
  <c r="H39" i="17"/>
  <c r="AO35" i="17"/>
  <c r="AO39" i="17"/>
  <c r="AF46" i="17"/>
  <c r="AF50" i="17"/>
  <c r="AA40" i="16"/>
  <c r="AA35" i="16"/>
  <c r="AC35" i="18"/>
  <c r="AC39" i="18"/>
  <c r="F40" i="17"/>
  <c r="F35" i="17"/>
  <c r="AX21" i="17"/>
  <c r="AZ21" i="17" s="1"/>
  <c r="AX22" i="17"/>
  <c r="AB35" i="17"/>
  <c r="AB39" i="17"/>
  <c r="Q39" i="18"/>
  <c r="Q35" i="18"/>
  <c r="AJ46" i="17"/>
  <c r="AJ50" i="17"/>
  <c r="X40" i="16"/>
  <c r="X35" i="16"/>
  <c r="AM40" i="17"/>
  <c r="AM35" i="17"/>
  <c r="P46" i="17"/>
  <c r="P50" i="17"/>
  <c r="AK50" i="18"/>
  <c r="AK46" i="18"/>
  <c r="T35" i="18"/>
  <c r="T39" i="18"/>
  <c r="E45" i="16"/>
  <c r="E51" i="16" s="1"/>
  <c r="E34" i="16"/>
  <c r="E40" i="16" s="1"/>
  <c r="E24" i="16"/>
  <c r="AO50" i="18"/>
  <c r="AO46" i="18"/>
  <c r="L46" i="18"/>
  <c r="L50" i="18"/>
  <c r="AG50" i="18"/>
  <c r="AG46" i="18"/>
  <c r="P46" i="18"/>
  <c r="P50" i="18"/>
  <c r="M50" i="17"/>
  <c r="M46" i="17"/>
  <c r="R35" i="16"/>
  <c r="AS50" i="17"/>
  <c r="AS46" i="17"/>
  <c r="L35" i="17"/>
  <c r="L39" i="17"/>
  <c r="E33" i="18"/>
  <c r="E44" i="18"/>
  <c r="E23" i="18"/>
  <c r="AZ23" i="18" s="1"/>
  <c r="AZ21" i="18"/>
  <c r="AP50" i="16"/>
  <c r="AP46" i="16"/>
  <c r="Z50" i="16"/>
  <c r="Z46" i="16"/>
  <c r="Y35" i="18"/>
  <c r="Y39" i="18"/>
  <c r="AH39" i="16"/>
  <c r="AH35" i="16"/>
  <c r="X35" i="17"/>
  <c r="X39" i="17"/>
  <c r="Y35" i="17"/>
  <c r="Y39" i="17"/>
  <c r="AO50" i="17"/>
  <c r="AO46" i="17"/>
  <c r="J27" i="18"/>
  <c r="I30" i="18"/>
  <c r="F51" i="17"/>
  <c r="F46" i="17"/>
  <c r="V46" i="17"/>
  <c r="W51" i="16"/>
  <c r="W46" i="16"/>
  <c r="Q35" i="17"/>
  <c r="Q39" i="17"/>
  <c r="AT50" i="17"/>
  <c r="AT46" i="17"/>
  <c r="AK35" i="18"/>
  <c r="AK39" i="18"/>
  <c r="V39" i="16"/>
  <c r="V35" i="16"/>
  <c r="AT50" i="16"/>
  <c r="AT46" i="16"/>
  <c r="AZ24" i="16"/>
  <c r="AN46" i="17"/>
  <c r="AN50" i="17"/>
  <c r="AZ10" i="17"/>
  <c r="AR35" i="18"/>
  <c r="AR39" i="18"/>
  <c r="AJ46" i="18"/>
  <c r="AG35" i="18"/>
  <c r="AG39" i="18"/>
  <c r="N50" i="16"/>
  <c r="N46" i="16"/>
  <c r="E34" i="17"/>
  <c r="E40" i="17" s="1"/>
  <c r="E24" i="17"/>
  <c r="E45" i="17"/>
  <c r="E51" i="17" s="1"/>
  <c r="M50" i="18"/>
  <c r="M46" i="18"/>
  <c r="AS35" i="17"/>
  <c r="AS39" i="17"/>
  <c r="H46" i="17"/>
  <c r="H50" i="17"/>
  <c r="Y50" i="17"/>
  <c r="Y46" i="17"/>
  <c r="AM35" i="18"/>
  <c r="D35" i="16"/>
  <c r="AQ35" i="17"/>
  <c r="AH46" i="18"/>
  <c r="AB51" i="16"/>
  <c r="AB46" i="16"/>
  <c r="AB46" i="17"/>
  <c r="AB50" i="17"/>
  <c r="J27" i="17"/>
  <c r="I30" i="17"/>
  <c r="X35" i="18"/>
  <c r="X39" i="18"/>
  <c r="AV50" i="16"/>
  <c r="AV46" i="16"/>
  <c r="AL24" i="17"/>
  <c r="AL34" i="17"/>
  <c r="AL40" i="17" s="1"/>
  <c r="AL45" i="17"/>
  <c r="AL51" i="17" s="1"/>
  <c r="U35" i="17"/>
  <c r="U39" i="17"/>
  <c r="AU35" i="18"/>
  <c r="W40" i="16"/>
  <c r="W35" i="16"/>
  <c r="Q50" i="17"/>
  <c r="Q46" i="17"/>
  <c r="T35" i="17"/>
  <c r="T39" i="17"/>
  <c r="AM51" i="17"/>
  <c r="AM46" i="17"/>
  <c r="Z35" i="18"/>
  <c r="T46" i="18"/>
  <c r="T50" i="18"/>
  <c r="V50" i="16"/>
  <c r="V46" i="16"/>
  <c r="AG35" i="16"/>
  <c r="AQ46" i="17"/>
  <c r="L35" i="18"/>
  <c r="L39" i="18"/>
  <c r="AY35" i="16"/>
  <c r="P35" i="18"/>
  <c r="P39" i="18"/>
  <c r="E44" i="17"/>
  <c r="E33" i="17"/>
  <c r="E23" i="17"/>
  <c r="AG35" i="17"/>
  <c r="AG39" i="17"/>
  <c r="AC35" i="17"/>
  <c r="AC39" i="17"/>
  <c r="M39" i="18"/>
  <c r="M35" i="18"/>
  <c r="N40" i="17"/>
  <c r="N35" i="17"/>
  <c r="L46" i="17"/>
  <c r="L50" i="17"/>
  <c r="AP35" i="17"/>
  <c r="AP39" i="16"/>
  <c r="AP35" i="16"/>
  <c r="I35" i="17"/>
  <c r="I39" i="17"/>
  <c r="AJ35" i="18"/>
  <c r="U35" i="18"/>
  <c r="U39" i="18"/>
  <c r="AH50" i="16"/>
  <c r="AH46" i="16"/>
  <c r="X46" i="17"/>
  <c r="X50" i="17"/>
  <c r="AF35" i="17"/>
  <c r="AF39" i="17"/>
  <c r="H35" i="16"/>
  <c r="AU46" i="18"/>
  <c r="AA46" i="18"/>
  <c r="AA51" i="16"/>
  <c r="AA46" i="16"/>
  <c r="AB40" i="16"/>
  <c r="AB35" i="16"/>
  <c r="AC50" i="18"/>
  <c r="AC46" i="18"/>
  <c r="N35" i="18"/>
  <c r="Q50" i="18"/>
  <c r="Q46" i="18"/>
  <c r="AR35" i="17"/>
  <c r="Z46" i="17"/>
  <c r="X46" i="18"/>
  <c r="X50" i="18"/>
  <c r="AV35" i="16"/>
  <c r="AV39" i="16"/>
  <c r="AL33" i="17"/>
  <c r="AL23" i="17"/>
  <c r="AL44" i="17"/>
  <c r="U50" i="17"/>
  <c r="U46" i="17"/>
  <c r="AJ35" i="17"/>
  <c r="AJ39" i="17"/>
  <c r="X51" i="16"/>
  <c r="X46" i="16"/>
  <c r="G30" i="16"/>
  <c r="H27" i="16"/>
  <c r="T46" i="17"/>
  <c r="T50" i="17"/>
  <c r="AT39" i="17"/>
  <c r="AT35" i="17"/>
  <c r="AE46" i="17"/>
  <c r="P35" i="17"/>
  <c r="P39" i="17"/>
  <c r="E44" i="16"/>
  <c r="E23" i="16"/>
  <c r="AZ23" i="16" s="1"/>
  <c r="E33" i="16"/>
  <c r="AZ21" i="16"/>
  <c r="D46" i="17"/>
  <c r="AT39" i="16"/>
  <c r="AT35" i="16"/>
  <c r="AZ22" i="16"/>
  <c r="AN35" i="17"/>
  <c r="AN39" i="17"/>
  <c r="AO35" i="18"/>
  <c r="AO39" i="18"/>
  <c r="AR50" i="18"/>
  <c r="AR46" i="18"/>
  <c r="AG46" i="16"/>
  <c r="D35" i="17"/>
  <c r="N39" i="16"/>
  <c r="N35" i="16"/>
  <c r="M35" i="17"/>
  <c r="M39" i="17"/>
  <c r="J35" i="18"/>
  <c r="AG50" i="17"/>
  <c r="AG46" i="17"/>
  <c r="AP46" i="17"/>
  <c r="AC50" i="17"/>
  <c r="AC46" i="17"/>
  <c r="E35" i="17" l="1"/>
  <c r="E39" i="17"/>
  <c r="H30" i="16"/>
  <c r="I27" i="16"/>
  <c r="AL50" i="17"/>
  <c r="AL46" i="17"/>
  <c r="E50" i="17"/>
  <c r="E46" i="17"/>
  <c r="J30" i="17"/>
  <c r="K27" i="17"/>
  <c r="E50" i="18"/>
  <c r="E46" i="18"/>
  <c r="AX44" i="17"/>
  <c r="AX33" i="17"/>
  <c r="AX23" i="17"/>
  <c r="AZ23" i="17" s="1"/>
  <c r="E50" i="16"/>
  <c r="E46" i="16"/>
  <c r="J30" i="18"/>
  <c r="K27" i="18"/>
  <c r="E35" i="16"/>
  <c r="E39" i="16"/>
  <c r="AL39" i="17"/>
  <c r="AL35" i="17"/>
  <c r="E35" i="18"/>
  <c r="E39" i="18"/>
  <c r="AX34" i="17"/>
  <c r="AX40" i="17" s="1"/>
  <c r="AX24" i="17"/>
  <c r="AZ24" i="17" s="1"/>
  <c r="AX45" i="17"/>
  <c r="AX51" i="17" s="1"/>
  <c r="AZ22" i="17"/>
  <c r="AX39" i="17" l="1"/>
  <c r="AX35" i="17"/>
  <c r="K30" i="17"/>
  <c r="L27" i="17"/>
  <c r="L27" i="18"/>
  <c r="K30" i="18"/>
  <c r="AX50" i="17"/>
  <c r="AX46" i="17"/>
  <c r="J27" i="16"/>
  <c r="I30" i="16"/>
  <c r="M27" i="17" l="1"/>
  <c r="L30" i="17"/>
  <c r="K27" i="16"/>
  <c r="J30" i="16"/>
  <c r="M27" i="18"/>
  <c r="L30" i="18"/>
  <c r="N27" i="18" l="1"/>
  <c r="M30" i="18"/>
  <c r="K30" i="16"/>
  <c r="L27" i="16"/>
  <c r="N27" i="17"/>
  <c r="M30" i="17"/>
  <c r="L30" i="16" l="1"/>
  <c r="M27" i="16"/>
  <c r="N30" i="17"/>
  <c r="O27" i="17"/>
  <c r="N30" i="18"/>
  <c r="O27" i="18"/>
  <c r="N27" i="16" l="1"/>
  <c r="M30" i="16"/>
  <c r="O30" i="17"/>
  <c r="P27" i="17"/>
  <c r="P27" i="18"/>
  <c r="O30" i="18"/>
  <c r="Q27" i="17" l="1"/>
  <c r="P30" i="17"/>
  <c r="Q27" i="18"/>
  <c r="P30" i="18"/>
  <c r="O27" i="16"/>
  <c r="N30" i="16"/>
  <c r="R27" i="18" l="1"/>
  <c r="Q30" i="18"/>
  <c r="P27" i="16"/>
  <c r="O30" i="16"/>
  <c r="R27" i="17"/>
  <c r="Q30" i="17"/>
  <c r="P30" i="16" l="1"/>
  <c r="Q27" i="16"/>
  <c r="R30" i="17"/>
  <c r="S27" i="17"/>
  <c r="R30" i="18"/>
  <c r="S27" i="18"/>
  <c r="T27" i="18" l="1"/>
  <c r="S30" i="18"/>
  <c r="S30" i="17"/>
  <c r="T27" i="17"/>
  <c r="R27" i="16"/>
  <c r="Q30" i="16"/>
  <c r="U27" i="17" l="1"/>
  <c r="T30" i="17"/>
  <c r="S27" i="16"/>
  <c r="R30" i="16"/>
  <c r="U27" i="18"/>
  <c r="T30" i="18"/>
  <c r="S30" i="16" l="1"/>
  <c r="T27" i="16"/>
  <c r="V27" i="18"/>
  <c r="U30" i="18"/>
  <c r="V27" i="17"/>
  <c r="U30" i="17"/>
  <c r="V30" i="18" l="1"/>
  <c r="W27" i="18"/>
  <c r="T30" i="16"/>
  <c r="U27" i="16"/>
  <c r="V30" i="17"/>
  <c r="W27" i="17"/>
  <c r="W30" i="17" l="1"/>
  <c r="X27" i="17"/>
  <c r="V27" i="16"/>
  <c r="U30" i="16"/>
  <c r="X27" i="18"/>
  <c r="W30" i="18"/>
  <c r="W27" i="16" l="1"/>
  <c r="V30" i="16"/>
  <c r="Y27" i="17"/>
  <c r="X30" i="17"/>
  <c r="Y27" i="18"/>
  <c r="X30" i="18"/>
  <c r="Z27" i="17" l="1"/>
  <c r="Y30" i="17"/>
  <c r="Z27" i="18"/>
  <c r="Y30" i="18"/>
  <c r="W30" i="16"/>
  <c r="X27" i="16"/>
  <c r="Z30" i="18" l="1"/>
  <c r="AA27" i="18"/>
  <c r="X30" i="16"/>
  <c r="Y27" i="16"/>
  <c r="Z30" i="17"/>
  <c r="AA27" i="17"/>
  <c r="AA30" i="17" l="1"/>
  <c r="AB27" i="17"/>
  <c r="Z27" i="16"/>
  <c r="Y30" i="16"/>
  <c r="AB27" i="18"/>
  <c r="AA30" i="18"/>
  <c r="AA27" i="16" l="1"/>
  <c r="Z30" i="16"/>
  <c r="AC27" i="17"/>
  <c r="AB30" i="17"/>
  <c r="AC27" i="18"/>
  <c r="AB30" i="18"/>
  <c r="AD27" i="17" l="1"/>
  <c r="AC30" i="17"/>
  <c r="AD27" i="18"/>
  <c r="AC30" i="18"/>
  <c r="AA30" i="16"/>
  <c r="AB27" i="16"/>
  <c r="AD30" i="18" l="1"/>
  <c r="AE27" i="18"/>
  <c r="AB30" i="16"/>
  <c r="AC27" i="16"/>
  <c r="AD30" i="17"/>
  <c r="AE27" i="17"/>
  <c r="AE30" i="17" l="1"/>
  <c r="AF27" i="17"/>
  <c r="AD27" i="16"/>
  <c r="AC30" i="16"/>
  <c r="AF27" i="18"/>
  <c r="AE30" i="18"/>
  <c r="AE27" i="16" l="1"/>
  <c r="AD30" i="16"/>
  <c r="AG27" i="17"/>
  <c r="AF30" i="17"/>
  <c r="AG27" i="18"/>
  <c r="AF30" i="18"/>
  <c r="AH27" i="17" l="1"/>
  <c r="AG30" i="17"/>
  <c r="AH27" i="18"/>
  <c r="AG30" i="18"/>
  <c r="AE30" i="16"/>
  <c r="AF27" i="16"/>
  <c r="AF30" i="16" l="1"/>
  <c r="AG27" i="16"/>
  <c r="AH30" i="18"/>
  <c r="AI27" i="18"/>
  <c r="AH30" i="17"/>
  <c r="AI27" i="17"/>
  <c r="AJ27" i="18" l="1"/>
  <c r="AI30" i="18"/>
  <c r="AI30" i="17"/>
  <c r="AJ27" i="17"/>
  <c r="AH27" i="16"/>
  <c r="AG30" i="16"/>
  <c r="AI27" i="16" l="1"/>
  <c r="AH30" i="16"/>
  <c r="AK27" i="18"/>
  <c r="AJ30" i="18"/>
  <c r="AK27" i="17"/>
  <c r="AJ30" i="17"/>
  <c r="AL27" i="18" l="1"/>
  <c r="AK30" i="18"/>
  <c r="AJ27" i="16"/>
  <c r="AI30" i="16"/>
  <c r="AL27" i="17"/>
  <c r="AK30" i="17"/>
  <c r="AJ30" i="16" l="1"/>
  <c r="AK27" i="16"/>
  <c r="AL30" i="17"/>
  <c r="AM27" i="17"/>
  <c r="AM27" i="18"/>
  <c r="AL30" i="18"/>
  <c r="AM30" i="17" l="1"/>
  <c r="AN27" i="17"/>
  <c r="AL27" i="16"/>
  <c r="AK30" i="16"/>
  <c r="AM30" i="18"/>
  <c r="AN27" i="18"/>
  <c r="AM27" i="16" l="1"/>
  <c r="AL30" i="16"/>
  <c r="AO27" i="18"/>
  <c r="AN30" i="18"/>
  <c r="AO27" i="17"/>
  <c r="AN30" i="17"/>
  <c r="AO30" i="18" l="1"/>
  <c r="AP27" i="18"/>
  <c r="AP27" i="17"/>
  <c r="AO30" i="17"/>
  <c r="AM30" i="16"/>
  <c r="AN27" i="16"/>
  <c r="AN30" i="16" l="1"/>
  <c r="AO27" i="16"/>
  <c r="AQ27" i="17"/>
  <c r="AP30" i="17"/>
  <c r="AP30" i="18"/>
  <c r="AQ27" i="18"/>
  <c r="AQ30" i="18" l="1"/>
  <c r="AR27" i="18"/>
  <c r="AR27" i="17"/>
  <c r="AQ30" i="17"/>
  <c r="AP27" i="16"/>
  <c r="AO30" i="16"/>
  <c r="AS27" i="18" l="1"/>
  <c r="AR30" i="18"/>
  <c r="AR30" i="17"/>
  <c r="AS27" i="17"/>
  <c r="AP30" i="16"/>
  <c r="AQ27" i="16"/>
  <c r="AT27" i="17" l="1"/>
  <c r="AS30" i="17"/>
  <c r="AR27" i="16"/>
  <c r="AQ30" i="16"/>
  <c r="AT27" i="18"/>
  <c r="AS30" i="18"/>
  <c r="AR30" i="16" l="1"/>
  <c r="AS27" i="16"/>
  <c r="AT30" i="18"/>
  <c r="AU27" i="18"/>
  <c r="AU27" i="17"/>
  <c r="AT30" i="17"/>
  <c r="AU30" i="18" l="1"/>
  <c r="AV27" i="18"/>
  <c r="AT27" i="16"/>
  <c r="AS30" i="16"/>
  <c r="AU30" i="17"/>
  <c r="AV27" i="17"/>
  <c r="AU27" i="16" l="1"/>
  <c r="AT30" i="16"/>
  <c r="AW27" i="18"/>
  <c r="AV30" i="18"/>
  <c r="AV30" i="17"/>
  <c r="AW27" i="17"/>
  <c r="AX27" i="18" l="1"/>
  <c r="AW30" i="18"/>
  <c r="AX27" i="17"/>
  <c r="AW30" i="17"/>
  <c r="AU30" i="16"/>
  <c r="AV27" i="16"/>
  <c r="AW27" i="16" l="1"/>
  <c r="AV30" i="16"/>
  <c r="AX30" i="17"/>
  <c r="AY27" i="17"/>
  <c r="AY30" i="17" s="1"/>
  <c r="AZ30" i="17" s="1"/>
  <c r="AX30" i="18"/>
  <c r="AY27" i="18"/>
  <c r="AY30" i="18" s="1"/>
  <c r="AZ30" i="18" s="1"/>
  <c r="AX27" i="16" l="1"/>
  <c r="AW30" i="16"/>
  <c r="AX30" i="16" l="1"/>
  <c r="AY27" i="16"/>
  <c r="AY30" i="16" s="1"/>
  <c r="AZ30" i="16" s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<sst xmlns="http://schemas.openxmlformats.org/spreadsheetml/2006/main" count="2532" uniqueCount="414">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</sst>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2009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33" sqref="C33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-100</v>
      </c>
      <c r="D6" s="15">
        <v>221</v>
      </c>
      <c r="E6" s="15" t="s">
        <v>166</v>
      </c>
      <c r="F6" s="15" t="s">
        <v>6</v>
      </c>
      <c r="G6" s="15">
        <f t="shared" ref="G6:G15" si="0">$D6+$C6</f>
        <v>121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-150</v>
      </c>
      <c r="D10" s="15">
        <v>163</v>
      </c>
      <c r="E10" s="15" t="s">
        <v>166</v>
      </c>
      <c r="F10" s="15" t="s">
        <v>6</v>
      </c>
      <c r="G10" s="15">
        <f t="shared" si="0"/>
        <v>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4397</v>
      </c>
      <c r="E12" s="15" t="s">
        <v>166</v>
      </c>
      <c r="F12" s="15" t="s">
        <v>6</v>
      </c>
      <c r="G12" s="15">
        <f t="shared" si="0"/>
        <v>4105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-3</v>
      </c>
      <c r="D25" s="15">
        <v>6</v>
      </c>
      <c r="E25" s="15"/>
      <c r="F25" s="15" t="s">
        <v>6</v>
      </c>
      <c r="G25" s="15">
        <f t="shared" si="2"/>
        <v>3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-13</v>
      </c>
      <c r="D27" s="15">
        <v>26</v>
      </c>
      <c r="E27" s="15"/>
      <c r="F27" s="15" t="s">
        <v>6</v>
      </c>
      <c r="G27" s="15">
        <f t="shared" si="2"/>
        <v>13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32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2004</v>
      </c>
      <c r="E28" s="49"/>
      <c r="F28" s="45">
        <f>basic_info!$D$5-4</f>
        <v>2005</v>
      </c>
      <c r="G28" s="49"/>
      <c r="H28" s="45">
        <f>basic_info!$D$5-3</f>
        <v>2006</v>
      </c>
      <c r="I28" s="49"/>
      <c r="J28" s="45">
        <f>basic_info!$D$5-2</f>
        <v>2007</v>
      </c>
      <c r="K28" s="49"/>
      <c r="L28" s="45">
        <f>basic_info!$D$5-1</f>
        <v>2008</v>
      </c>
      <c r="N28" s="45">
        <f>basic_info!$D$5</f>
        <v>2009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2009</v>
      </c>
      <c r="D30" s="44">
        <v>0.7399849637887721</v>
      </c>
      <c r="E30" s="35">
        <v>0</v>
      </c>
      <c r="F30" s="47">
        <v>0.69782766257496576</v>
      </c>
      <c r="G30" s="46">
        <v>400000</v>
      </c>
      <c r="H30" s="47">
        <v>0.7777456783815756</v>
      </c>
      <c r="I30" s="46"/>
      <c r="J30" s="47">
        <v>0.76161556793937901</v>
      </c>
      <c r="K30" s="46"/>
      <c r="L30" s="47">
        <v>0.94501843727299595</v>
      </c>
      <c r="M30" s="46"/>
      <c r="N30" s="60"/>
      <c r="O30" s="71" t="s">
        <v>162</v>
      </c>
      <c r="P30" s="41">
        <f>M30+K30+I30+E30+G30</f>
        <v>400000</v>
      </c>
      <c r="Q30" s="70"/>
    </row>
    <row r="31" spans="2:33" x14ac:dyDescent="0.2">
      <c r="B31" s="36"/>
      <c r="C31" s="47">
        <f>basic_info!$D$5+1</f>
        <v>2010</v>
      </c>
      <c r="D31" s="76"/>
      <c r="E31" s="75"/>
      <c r="F31" s="69">
        <v>0.64606856993436812</v>
      </c>
      <c r="G31" s="79">
        <v>400000</v>
      </c>
      <c r="H31" s="61">
        <v>0.72055098531842476</v>
      </c>
      <c r="I31" s="62">
        <v>400000</v>
      </c>
      <c r="J31" s="61">
        <v>0.71377004027579827</v>
      </c>
      <c r="K31" s="62"/>
      <c r="L31" s="61">
        <v>0.86435813324293276</v>
      </c>
      <c r="M31" s="62"/>
      <c r="N31" s="63">
        <v>0.95621221546499158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2011</v>
      </c>
      <c r="D32" s="76"/>
      <c r="E32" s="75"/>
      <c r="F32" s="75"/>
      <c r="G32" s="75"/>
      <c r="H32" s="69">
        <v>0.6808876388132572</v>
      </c>
      <c r="I32" s="79">
        <v>400000</v>
      </c>
      <c r="J32" s="61">
        <v>0.71201828987937288</v>
      </c>
      <c r="K32" s="62">
        <v>400000</v>
      </c>
      <c r="L32" s="61">
        <v>0.87454112416799612</v>
      </c>
      <c r="M32" s="62"/>
      <c r="N32" s="63">
        <v>0.87348276589188312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2012</v>
      </c>
      <c r="D33" s="76"/>
      <c r="E33" s="75"/>
      <c r="F33" s="75"/>
      <c r="G33" s="75"/>
      <c r="H33" s="75"/>
      <c r="I33" s="75"/>
      <c r="J33" s="69">
        <v>0.66759713542461396</v>
      </c>
      <c r="K33" s="79">
        <v>400000</v>
      </c>
      <c r="L33" s="61">
        <v>0.81134172439645946</v>
      </c>
      <c r="M33" s="62">
        <v>400000</v>
      </c>
      <c r="N33" s="63">
        <v>0.81188912511999345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2013</v>
      </c>
      <c r="D34" s="76"/>
      <c r="E34" s="75"/>
      <c r="F34" s="75"/>
      <c r="G34" s="75"/>
      <c r="H34" s="75"/>
      <c r="I34" s="75"/>
      <c r="J34" s="75"/>
      <c r="K34" s="75"/>
      <c r="L34" s="69">
        <v>0.77419792761206629</v>
      </c>
      <c r="M34" s="79">
        <v>400000</v>
      </c>
      <c r="N34" s="63">
        <v>0.75988620984963406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0.72473765751123431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2009</v>
      </c>
      <c r="D36" s="44">
        <v>1.0257547201122916</v>
      </c>
      <c r="E36" s="35">
        <v>0</v>
      </c>
      <c r="F36" s="73">
        <v>1.1300023102276531</v>
      </c>
      <c r="G36" s="74">
        <v>300000</v>
      </c>
      <c r="H36" s="73">
        <v>1.0547878477209383</v>
      </c>
      <c r="I36" s="74">
        <v>300000</v>
      </c>
      <c r="J36" s="73">
        <v>0.98750252831704477</v>
      </c>
      <c r="K36" s="74">
        <v>300000</v>
      </c>
      <c r="L36" s="66">
        <v>1.0498900180253841</v>
      </c>
      <c r="M36" s="67">
        <v>600000</v>
      </c>
      <c r="N36" s="68"/>
      <c r="O36" s="71" t="s">
        <v>162</v>
      </c>
      <c r="P36" s="41">
        <f>M36+K36+I36+E36+G36</f>
        <v>1500000</v>
      </c>
      <c r="Q36" s="70"/>
    </row>
    <row r="37" spans="2:17" x14ac:dyDescent="0.2">
      <c r="B37" s="36"/>
      <c r="C37" s="47">
        <f>basic_info!$D$5+1</f>
        <v>2010</v>
      </c>
      <c r="D37" s="76"/>
      <c r="E37" s="75"/>
      <c r="F37" s="69">
        <v>1.051191025570035</v>
      </c>
      <c r="G37" s="79">
        <v>300000</v>
      </c>
      <c r="H37" s="61">
        <v>1.0390313119782215</v>
      </c>
      <c r="I37" s="62">
        <v>300000</v>
      </c>
      <c r="J37" s="61">
        <v>0.93822729942509209</v>
      </c>
      <c r="K37" s="62">
        <v>300000</v>
      </c>
      <c r="L37" s="61">
        <v>1.0511225064186411</v>
      </c>
      <c r="M37" s="62">
        <v>300000</v>
      </c>
      <c r="N37" s="61">
        <v>1.0950496136559948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2011</v>
      </c>
      <c r="D38" s="76"/>
      <c r="E38" s="75"/>
      <c r="F38" s="75"/>
      <c r="G38" s="75"/>
      <c r="H38" s="69">
        <v>0.95771333889663224</v>
      </c>
      <c r="I38" s="79">
        <v>300000</v>
      </c>
      <c r="J38" s="61">
        <v>0.89726357364389364</v>
      </c>
      <c r="K38" s="62">
        <v>300000</v>
      </c>
      <c r="L38" s="61">
        <v>0.95780442275518196</v>
      </c>
      <c r="M38" s="62">
        <v>300000</v>
      </c>
      <c r="N38" s="61">
        <v>1.0668653165767679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2012</v>
      </c>
      <c r="D39" s="76"/>
      <c r="E39" s="75"/>
      <c r="F39" s="75"/>
      <c r="G39" s="75"/>
      <c r="H39" s="75"/>
      <c r="I39" s="75"/>
      <c r="J39" s="69">
        <v>0.89032073213160046</v>
      </c>
      <c r="K39" s="79">
        <v>300000</v>
      </c>
      <c r="L39" s="61">
        <v>0.91383547859681491</v>
      </c>
      <c r="M39" s="62">
        <v>300000</v>
      </c>
      <c r="N39" s="61">
        <v>1.0175796433406761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2013</v>
      </c>
      <c r="D40" s="76"/>
      <c r="E40" s="75"/>
      <c r="F40" s="75"/>
      <c r="G40" s="75"/>
      <c r="H40" s="75"/>
      <c r="I40" s="75"/>
      <c r="J40" s="75"/>
      <c r="K40" s="75"/>
      <c r="L40" s="69">
        <v>0.87400841210782521</v>
      </c>
      <c r="M40" s="79">
        <v>300000</v>
      </c>
      <c r="N40" s="61">
        <v>0.98773074448833686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0.97905324764549728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19639</v>
      </c>
      <c r="L7" s="189"/>
      <c r="M7" s="189" t="s">
        <v>356</v>
      </c>
      <c r="S7" s="194">
        <f>SUM(ORA!$D$127:$O$127)</f>
        <v>72267702.170493364</v>
      </c>
    </row>
    <row r="8" spans="1:20" x14ac:dyDescent="0.2">
      <c r="A8" s="189"/>
      <c r="B8" s="189" t="s">
        <v>357</v>
      </c>
      <c r="G8" s="192"/>
      <c r="H8" s="195">
        <f>SUM(POJ!$D$116:$O$116)</f>
        <v>9282</v>
      </c>
      <c r="L8" s="189"/>
      <c r="M8" s="189" t="s">
        <v>357</v>
      </c>
      <c r="S8" s="196">
        <f>SUM(POJ!$D$127:$O$127)</f>
        <v>37531334.503808074</v>
      </c>
    </row>
    <row r="9" spans="1:20" x14ac:dyDescent="0.2">
      <c r="A9" s="189"/>
      <c r="B9" s="189" t="s">
        <v>358</v>
      </c>
      <c r="G9" s="192"/>
      <c r="H9" s="195">
        <f>SUM(ROJ!$D$116:$O$116)</f>
        <v>31816.913825182266</v>
      </c>
      <c r="L9" s="189"/>
      <c r="M9" s="189" t="s">
        <v>358</v>
      </c>
      <c r="S9" s="196">
        <f>SUM(ROJ!$D$127:$O$127)</f>
        <v>116629168.65681113</v>
      </c>
    </row>
    <row r="10" spans="1:20" x14ac:dyDescent="0.2">
      <c r="A10" s="189"/>
      <c r="B10" s="189" t="s">
        <v>359</v>
      </c>
      <c r="G10" s="192"/>
      <c r="H10" s="197">
        <f>SUM(FCOJ!$D$116:$O$116)</f>
        <v>69909.202695893153</v>
      </c>
      <c r="L10" s="189"/>
      <c r="M10" s="189" t="s">
        <v>359</v>
      </c>
      <c r="S10" s="198">
        <f>SUM(FCOJ!$D$127:$O$127)</f>
        <v>230152710.00737822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456580915.33849078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285037.42313451105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400000</v>
      </c>
      <c r="L14" s="189"/>
      <c r="M14" s="189" t="s">
        <v>365</v>
      </c>
      <c r="S14" s="194">
        <f>SUM(grove!$C$58:$AX$63)</f>
        <v>411022808.84004533</v>
      </c>
    </row>
    <row r="15" spans="1:20" x14ac:dyDescent="0.2">
      <c r="A15" s="189"/>
      <c r="B15" s="189" t="s">
        <v>366</v>
      </c>
      <c r="G15" s="192"/>
      <c r="H15" s="197">
        <f>raw_materials!$P$36</f>
        <v>1500000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558262130.05997264</v>
      </c>
    </row>
    <row r="16" spans="1:20" x14ac:dyDescent="0.2">
      <c r="A16" s="189"/>
      <c r="B16" s="189" t="s">
        <v>368</v>
      </c>
      <c r="G16" s="192"/>
      <c r="H16" s="201">
        <v>100793.42993208126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3163243633.3898425</v>
      </c>
    </row>
    <row r="17" spans="1:21" x14ac:dyDescent="0.2">
      <c r="A17" s="189"/>
      <c r="B17" s="189" t="s">
        <v>370</v>
      </c>
      <c r="G17" s="192"/>
      <c r="H17" s="202">
        <v>0</v>
      </c>
      <c r="L17" s="189"/>
      <c r="M17" s="189" t="s">
        <v>371</v>
      </c>
      <c r="S17" s="196">
        <v>202141848.02004358</v>
      </c>
    </row>
    <row r="18" spans="1:21" x14ac:dyDescent="0.2">
      <c r="A18" s="189"/>
      <c r="B18" s="189" t="s">
        <v>372</v>
      </c>
      <c r="G18" s="192"/>
      <c r="H18" s="203">
        <v>1184245.1984061382</v>
      </c>
      <c r="L18" s="189"/>
      <c r="M18" s="189" t="s">
        <v>373</v>
      </c>
      <c r="S18" s="198">
        <v>388364044.0998863</v>
      </c>
    </row>
    <row r="19" spans="1:21" x14ac:dyDescent="0.2">
      <c r="A19" s="189"/>
      <c r="B19" s="189" t="s">
        <v>374</v>
      </c>
      <c r="G19" s="192"/>
      <c r="H19" s="202">
        <v>2028833.3587211126</v>
      </c>
      <c r="L19" s="189"/>
      <c r="M19" s="189" t="s">
        <v>375</v>
      </c>
      <c r="S19" s="204" t="s">
        <v>376</v>
      </c>
      <c r="T19" s="205">
        <f>SUM($S$14:$S$18)</f>
        <v>4723034464.40979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7748.2516373087983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201586859.86416271</v>
      </c>
    </row>
    <row r="23" spans="1:21" x14ac:dyDescent="0.2">
      <c r="A23" s="189"/>
      <c r="B23" s="189" t="s">
        <v>382</v>
      </c>
      <c r="G23" s="192"/>
      <c r="H23" s="193">
        <f>SUM(raw_materials!$O$31:$O$35)</f>
        <v>800000</v>
      </c>
      <c r="L23" s="189"/>
      <c r="M23" s="189" t="s">
        <v>383</v>
      </c>
      <c r="S23" s="196">
        <v>0</v>
      </c>
    </row>
    <row r="24" spans="1:21" x14ac:dyDescent="0.2">
      <c r="A24" s="189"/>
      <c r="B24" s="189" t="s">
        <v>384</v>
      </c>
      <c r="G24" s="192"/>
      <c r="H24" s="197">
        <f>SUM(raw_materials!$O$37:$O$41)</f>
        <v>1800000</v>
      </c>
      <c r="L24" s="189"/>
      <c r="M24" s="189" t="s">
        <v>385</v>
      </c>
      <c r="S24" s="198">
        <v>769759378.96398985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971346238.82815254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21771288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-542</v>
      </c>
      <c r="L29" s="189"/>
      <c r="M29" s="189" t="s">
        <v>393</v>
      </c>
      <c r="S29" s="196">
        <v>35486940.980647169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211512155.78174952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145175516.98864564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413945901.75104237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35952500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-3035200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80650000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16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8210</v>
      </c>
    </row>
    <row r="42" spans="1:21" x14ac:dyDescent="0.2">
      <c r="L42" s="189"/>
      <c r="M42" s="189" t="s">
        <v>410</v>
      </c>
      <c r="S42" s="198">
        <f>H35*100000-H40*60/100*100000</f>
        <v>-960000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112615510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-5764361199.6504936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0.76068135877156595</v>
      </c>
      <c r="D5" s="106">
        <v>0.71797509255679481</v>
      </c>
      <c r="E5" s="106">
        <v>0.58849468458036047</v>
      </c>
      <c r="F5" s="106">
        <v>0.71100083243533418</v>
      </c>
      <c r="G5" s="106">
        <v>0.6110162308224234</v>
      </c>
      <c r="H5" s="106">
        <v>0.7289837175682844</v>
      </c>
      <c r="I5" s="106">
        <v>0.54277518949959358</v>
      </c>
      <c r="J5" s="106">
        <v>0.57150718566872583</v>
      </c>
      <c r="K5" s="106">
        <v>0.52413513884431873</v>
      </c>
      <c r="L5" s="106">
        <v>0.6501727816564753</v>
      </c>
      <c r="M5" s="106">
        <v>0.7238301364320926</v>
      </c>
      <c r="N5" s="106">
        <v>0.84849217123746312</v>
      </c>
    </row>
    <row r="6" spans="2:14" x14ac:dyDescent="0.2">
      <c r="B6" s="177" t="s">
        <v>105</v>
      </c>
      <c r="C6" s="106">
        <v>0.77014555868959689</v>
      </c>
      <c r="D6" s="106">
        <v>0.64604644379450715</v>
      </c>
      <c r="E6" s="106">
        <v>0.64778965141439382</v>
      </c>
      <c r="F6" s="106">
        <v>0.73561408484344926</v>
      </c>
      <c r="G6" s="106">
        <v>0.71534581099755823</v>
      </c>
      <c r="H6" s="106">
        <v>0.74323523769467281</v>
      </c>
      <c r="I6" s="106">
        <v>0.67301789728520034</v>
      </c>
      <c r="J6" s="106">
        <v>0.68385465964535974</v>
      </c>
      <c r="K6" s="106">
        <v>0.70578394998294969</v>
      </c>
      <c r="L6" s="106">
        <v>0.69035132104505925</v>
      </c>
      <c r="M6" s="106">
        <v>0.67091211760718672</v>
      </c>
      <c r="N6" s="106">
        <v>0.68603439120459686</v>
      </c>
    </row>
    <row r="7" spans="2:14" x14ac:dyDescent="0.2">
      <c r="B7" s="177" t="s">
        <v>106</v>
      </c>
      <c r="C7" s="106">
        <v>0.82624904698658796</v>
      </c>
      <c r="D7" s="106">
        <v>0.82317833501183602</v>
      </c>
      <c r="E7" s="106">
        <v>0.68512952415511386</v>
      </c>
      <c r="F7" s="106">
        <v>0.66107375855739126</v>
      </c>
      <c r="G7" s="106">
        <v>0.70992547386173954</v>
      </c>
      <c r="H7" s="106">
        <v>0.67608664955000852</v>
      </c>
      <c r="I7" s="106">
        <v>0.68024117136085194</v>
      </c>
      <c r="J7" s="106">
        <v>0.78055917775555383</v>
      </c>
      <c r="K7" s="106">
        <v>0.80736855347221603</v>
      </c>
      <c r="L7" s="106">
        <v>0.71185989685064543</v>
      </c>
      <c r="M7" s="106">
        <v>0.89317456170475529</v>
      </c>
      <c r="N7" s="106">
        <v>0.81296570865915563</v>
      </c>
    </row>
    <row r="8" spans="2:14" x14ac:dyDescent="0.2">
      <c r="B8" s="177" t="s">
        <v>107</v>
      </c>
      <c r="C8" s="106">
        <v>0.69762375080015171</v>
      </c>
      <c r="D8" s="106">
        <v>0.66892992595290435</v>
      </c>
      <c r="E8" s="106">
        <v>0.64331665307542285</v>
      </c>
      <c r="F8" s="106">
        <v>0.71742289097874856</v>
      </c>
      <c r="G8" s="106">
        <v>0.66073840061584976</v>
      </c>
      <c r="H8" s="106">
        <v>0.67797274739676316</v>
      </c>
      <c r="I8" s="106">
        <v>0.65543534129218317</v>
      </c>
      <c r="J8" s="106">
        <v>1.069400630028764</v>
      </c>
      <c r="K8" s="106">
        <v>0.68808508686076864</v>
      </c>
      <c r="L8" s="106">
        <v>0.76367828017595629</v>
      </c>
      <c r="M8" s="106">
        <v>0.98438670722872013</v>
      </c>
      <c r="N8" s="106">
        <v>0.72422930185926937</v>
      </c>
    </row>
    <row r="9" spans="2:14" x14ac:dyDescent="0.2">
      <c r="B9" s="177" t="s">
        <v>108</v>
      </c>
      <c r="C9" s="106">
        <v>2.0952510690689086</v>
      </c>
      <c r="D9" s="106">
        <v>2.0390837705135345</v>
      </c>
      <c r="E9" s="106">
        <v>2.0874867892265319</v>
      </c>
      <c r="F9" s="106">
        <v>2.0213243639469147</v>
      </c>
      <c r="G9" s="106">
        <v>2.0264217472076416</v>
      </c>
      <c r="H9" s="106">
        <v>2.060049275159836</v>
      </c>
      <c r="I9" s="106">
        <v>2.1061576581001282</v>
      </c>
      <c r="J9" s="106">
        <v>2.045609608888626</v>
      </c>
      <c r="K9" s="106">
        <v>2.0376724576950074</v>
      </c>
      <c r="L9" s="106">
        <v>2.0989778077602388</v>
      </c>
      <c r="M9" s="106">
        <v>2.0963300681114196</v>
      </c>
      <c r="N9" s="106">
        <v>2.0792183554172516</v>
      </c>
    </row>
    <row r="10" spans="2:14" x14ac:dyDescent="0.2">
      <c r="B10" s="177" t="s">
        <v>109</v>
      </c>
      <c r="C10" s="106">
        <v>0.63946828842163084</v>
      </c>
      <c r="D10" s="106">
        <v>0.64072410464286811</v>
      </c>
      <c r="E10" s="106">
        <v>0.69468981027603149</v>
      </c>
      <c r="F10" s="106">
        <v>0.67834323048591616</v>
      </c>
      <c r="G10" s="106">
        <v>0.63448135852813725</v>
      </c>
      <c r="H10" s="106">
        <v>0.61352180838584902</v>
      </c>
      <c r="I10" s="106">
        <v>0.6277859568595886</v>
      </c>
      <c r="J10" s="106">
        <v>0.64958701729774482</v>
      </c>
      <c r="K10" s="106">
        <v>0.63415331840515143</v>
      </c>
      <c r="L10" s="106">
        <v>0.69929596781730652</v>
      </c>
      <c r="M10" s="106">
        <v>0.64109336137771611</v>
      </c>
      <c r="N10" s="106">
        <v>0.62277515530586247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0.36533636782321538</v>
      </c>
      <c r="D14" s="107">
        <v>0.36669245024312003</v>
      </c>
      <c r="E14" s="107">
        <v>0.36804471689488055</v>
      </c>
      <c r="F14" s="107">
        <v>0.36938936274722722</v>
      </c>
      <c r="G14" s="107">
        <v>0.37072260421242725</v>
      </c>
      <c r="H14" s="106">
        <v>0.37204068979260957</v>
      </c>
      <c r="I14" s="106">
        <v>0.37333991063579414</v>
      </c>
      <c r="J14" s="106">
        <v>0.37461661097192395</v>
      </c>
      <c r="K14" s="106">
        <v>0.37586719839953386</v>
      </c>
      <c r="L14" s="106">
        <v>0.37708815399411172</v>
      </c>
      <c r="M14" s="106">
        <v>0.3782760422097094</v>
      </c>
      <c r="N14" s="106">
        <v>0.37942752054594098</v>
      </c>
    </row>
    <row r="15" spans="2:14" x14ac:dyDescent="0.2">
      <c r="B15" s="176" t="s">
        <v>318</v>
      </c>
      <c r="C15" s="106">
        <v>1.058185295746392</v>
      </c>
      <c r="D15" s="106">
        <v>1.0609909029365809</v>
      </c>
      <c r="E15" s="106">
        <v>1.0637886156607819</v>
      </c>
      <c r="F15" s="106">
        <v>1.0665705616665908</v>
      </c>
      <c r="G15" s="106">
        <v>1.0693289130662691</v>
      </c>
      <c r="H15" s="106">
        <v>1.0720559083629886</v>
      </c>
      <c r="I15" s="106">
        <v>1.0747438742902651</v>
      </c>
      <c r="J15" s="106">
        <v>1.0773852474031282</v>
      </c>
      <c r="K15" s="106">
        <v>1.0799725953602741</v>
      </c>
      <c r="L15" s="106">
        <v>1.0824986378373165</v>
      </c>
      <c r="M15" s="106">
        <v>1.0849562670122865</v>
      </c>
      <c r="N15" s="106">
        <v>1.0873385675657481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0.76068135877156595</v>
      </c>
      <c r="D19" s="106">
        <f t="shared" ref="D19:N20" si="0">D5</f>
        <v>0.71797509255679481</v>
      </c>
      <c r="E19" s="106">
        <f t="shared" si="0"/>
        <v>0.58849468458036047</v>
      </c>
      <c r="F19" s="106">
        <f t="shared" si="0"/>
        <v>0.71100083243533418</v>
      </c>
      <c r="G19" s="106">
        <f t="shared" si="0"/>
        <v>0.6110162308224234</v>
      </c>
      <c r="H19" s="106">
        <f t="shared" si="0"/>
        <v>0.7289837175682844</v>
      </c>
      <c r="I19" s="106">
        <f t="shared" si="0"/>
        <v>0.54277518949959358</v>
      </c>
      <c r="J19" s="106">
        <f t="shared" si="0"/>
        <v>0.57150718566872583</v>
      </c>
      <c r="K19" s="106">
        <f t="shared" si="0"/>
        <v>0.52413513884431873</v>
      </c>
      <c r="L19" s="106">
        <f t="shared" si="0"/>
        <v>0.6501727816564753</v>
      </c>
      <c r="M19" s="106">
        <f t="shared" si="0"/>
        <v>0.7238301364320926</v>
      </c>
      <c r="N19" s="106">
        <f t="shared" si="0"/>
        <v>0.84849217123746312</v>
      </c>
    </row>
    <row r="20" spans="2:14" x14ac:dyDescent="0.2">
      <c r="B20" s="179" t="s">
        <v>105</v>
      </c>
      <c r="C20" s="106">
        <f>C6</f>
        <v>0.77014555868959689</v>
      </c>
      <c r="D20" s="106">
        <f t="shared" si="0"/>
        <v>0.64604644379450715</v>
      </c>
      <c r="E20" s="106">
        <f t="shared" si="0"/>
        <v>0.64778965141439382</v>
      </c>
      <c r="F20" s="106">
        <f t="shared" si="0"/>
        <v>0.73561408484344926</v>
      </c>
      <c r="G20" s="106">
        <f t="shared" si="0"/>
        <v>0.71534581099755823</v>
      </c>
      <c r="H20" s="106">
        <f t="shared" si="0"/>
        <v>0.74323523769467281</v>
      </c>
      <c r="I20" s="106">
        <f t="shared" si="0"/>
        <v>0.67301789728520034</v>
      </c>
      <c r="J20" s="106">
        <f t="shared" si="0"/>
        <v>0.68385465964535974</v>
      </c>
      <c r="K20" s="106">
        <f t="shared" si="0"/>
        <v>0.70578394998294969</v>
      </c>
      <c r="L20" s="106">
        <f t="shared" si="0"/>
        <v>0.69035132104505925</v>
      </c>
      <c r="M20" s="106">
        <f t="shared" si="0"/>
        <v>0.67091211760718672</v>
      </c>
      <c r="N20" s="106">
        <f t="shared" si="0"/>
        <v>0.68603439120459686</v>
      </c>
    </row>
    <row r="21" spans="2:14" x14ac:dyDescent="0.2">
      <c r="B21" s="179" t="s">
        <v>106</v>
      </c>
      <c r="C21" s="106">
        <f t="shared" ref="C21:N22" si="1">C7</f>
        <v>0.82624904698658796</v>
      </c>
      <c r="D21" s="106">
        <f t="shared" si="1"/>
        <v>0.82317833501183602</v>
      </c>
      <c r="E21" s="106">
        <f t="shared" si="1"/>
        <v>0.68512952415511386</v>
      </c>
      <c r="F21" s="106">
        <f t="shared" si="1"/>
        <v>0.66107375855739126</v>
      </c>
      <c r="G21" s="106">
        <f t="shared" si="1"/>
        <v>0.70992547386173954</v>
      </c>
      <c r="H21" s="106">
        <f t="shared" si="1"/>
        <v>0.67608664955000852</v>
      </c>
      <c r="I21" s="106">
        <f t="shared" si="1"/>
        <v>0.68024117136085194</v>
      </c>
      <c r="J21" s="106">
        <f t="shared" si="1"/>
        <v>0.78055917775555383</v>
      </c>
      <c r="K21" s="106">
        <f t="shared" si="1"/>
        <v>0.80736855347221603</v>
      </c>
      <c r="L21" s="106">
        <f t="shared" si="1"/>
        <v>0.71185989685064543</v>
      </c>
      <c r="M21" s="106">
        <f t="shared" si="1"/>
        <v>0.89317456170475529</v>
      </c>
      <c r="N21" s="106">
        <f t="shared" si="1"/>
        <v>0.81296570865915563</v>
      </c>
    </row>
    <row r="22" spans="2:14" x14ac:dyDescent="0.2">
      <c r="B22" s="179" t="s">
        <v>107</v>
      </c>
      <c r="C22" s="106">
        <f t="shared" si="1"/>
        <v>0.69762375080015171</v>
      </c>
      <c r="D22" s="106">
        <f t="shared" si="1"/>
        <v>0.66892992595290435</v>
      </c>
      <c r="E22" s="106">
        <f t="shared" si="1"/>
        <v>0.64331665307542285</v>
      </c>
      <c r="F22" s="106">
        <f t="shared" si="1"/>
        <v>0.71742289097874856</v>
      </c>
      <c r="G22" s="106">
        <f t="shared" si="1"/>
        <v>0.66073840061584976</v>
      </c>
      <c r="H22" s="106">
        <f t="shared" si="1"/>
        <v>0.67797274739676316</v>
      </c>
      <c r="I22" s="106">
        <f t="shared" si="1"/>
        <v>0.65543534129218317</v>
      </c>
      <c r="J22" s="106">
        <f t="shared" si="1"/>
        <v>1.069400630028764</v>
      </c>
      <c r="K22" s="106">
        <f t="shared" si="1"/>
        <v>0.68808508686076864</v>
      </c>
      <c r="L22" s="106">
        <f t="shared" si="1"/>
        <v>0.76367828017595629</v>
      </c>
      <c r="M22" s="106">
        <f t="shared" si="1"/>
        <v>0.98438670722872013</v>
      </c>
      <c r="N22" s="106">
        <f t="shared" si="1"/>
        <v>0.72422930185926937</v>
      </c>
    </row>
    <row r="23" spans="2:14" x14ac:dyDescent="0.2">
      <c r="B23" s="179" t="s">
        <v>108</v>
      </c>
      <c r="C23" s="106">
        <f>C9*C14</f>
        <v>0.76547141525134399</v>
      </c>
      <c r="D23" s="106">
        <f t="shared" ref="D23:N24" si="2">D9*D14</f>
        <v>0.74771662406058781</v>
      </c>
      <c r="E23" s="106">
        <f t="shared" si="2"/>
        <v>0.76828848436268216</v>
      </c>
      <c r="F23" s="106">
        <f t="shared" si="2"/>
        <v>0.74665571870379521</v>
      </c>
      <c r="G23" s="106">
        <f t="shared" si="2"/>
        <v>0.75124034735751377</v>
      </c>
      <c r="H23" s="106">
        <f t="shared" si="2"/>
        <v>0.76642215333723074</v>
      </c>
      <c r="I23" s="106">
        <f t="shared" si="2"/>
        <v>0.78631271185999529</v>
      </c>
      <c r="J23" s="106">
        <f t="shared" si="2"/>
        <v>0.76631933905345995</v>
      </c>
      <c r="K23" s="106">
        <f t="shared" si="2"/>
        <v>0.76589423792971512</v>
      </c>
      <c r="L23" s="106">
        <f t="shared" si="2"/>
        <v>0.79149966680291595</v>
      </c>
      <c r="M23" s="106">
        <f t="shared" si="2"/>
        <v>0.79299144133039834</v>
      </c>
      <c r="N23" s="106">
        <f t="shared" si="2"/>
        <v>0.78891266526957682</v>
      </c>
    </row>
    <row r="24" spans="2:14" x14ac:dyDescent="0.2">
      <c r="B24" s="179" t="s">
        <v>109</v>
      </c>
      <c r="C24" s="106">
        <f>C10*C15</f>
        <v>0.67667593990388253</v>
      </c>
      <c r="D24" s="106">
        <f t="shared" si="2"/>
        <v>0.67980244631826903</v>
      </c>
      <c r="E24" s="106">
        <f t="shared" si="2"/>
        <v>0.73900311158719079</v>
      </c>
      <c r="F24" s="106">
        <f t="shared" si="2"/>
        <v>0.72350092034209323</v>
      </c>
      <c r="G24" s="106">
        <f t="shared" si="2"/>
        <v>0.67846926147570275</v>
      </c>
      <c r="H24" s="106">
        <f t="shared" si="2"/>
        <v>0.65772967958959483</v>
      </c>
      <c r="I24" s="106">
        <f t="shared" si="2"/>
        <v>0.67470911150029544</v>
      </c>
      <c r="J24" s="106">
        <f t="shared" si="2"/>
        <v>0.69985546934119092</v>
      </c>
      <c r="K24" s="106">
        <f t="shared" si="2"/>
        <v>0.68486820513434166</v>
      </c>
      <c r="L24" s="106">
        <f t="shared" si="2"/>
        <v>0.75698693260736216</v>
      </c>
      <c r="M24" s="106">
        <f t="shared" si="2"/>
        <v>0.69555826016672562</v>
      </c>
      <c r="N24" s="106">
        <f t="shared" si="2"/>
        <v>0.67716744528581285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17615.313738968809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18225.636168145524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27020.719306543244</v>
      </c>
      <c r="AO38" s="106">
        <v>27069.954839740756</v>
      </c>
      <c r="AP38" s="106">
        <v>27118.877415268147</v>
      </c>
      <c r="AQ38" s="106">
        <v>19017.235395524818</v>
      </c>
      <c r="AR38" s="106">
        <v>27215.752159530173</v>
      </c>
      <c r="AS38" s="106">
        <v>27263.688694937566</v>
      </c>
      <c r="AT38" s="106">
        <v>19117.896706176456</v>
      </c>
      <c r="AU38" s="106">
        <v>10943.408569751928</v>
      </c>
      <c r="AV38" s="106">
        <v>19183.781626262014</v>
      </c>
      <c r="AW38" s="106">
        <v>19216.341302764056</v>
      </c>
      <c r="AX38" s="106">
        <v>10999.222159076764</v>
      </c>
    </row>
    <row r="39" spans="2:50" x14ac:dyDescent="0.2">
      <c r="B39" s="176" t="s">
        <v>105</v>
      </c>
      <c r="C39" s="106">
        <v>10523.059055884833</v>
      </c>
      <c r="D39" s="106">
        <v>15065.890051575743</v>
      </c>
      <c r="E39" s="106">
        <v>15098.84034768755</v>
      </c>
      <c r="F39" s="106">
        <v>10592.250978559117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6196.9828614107873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10957.902773918835</v>
      </c>
      <c r="W39" s="106">
        <v>15686.226899584581</v>
      </c>
      <c r="X39" s="106">
        <v>11002.746246145731</v>
      </c>
      <c r="Y39" s="106">
        <v>15750.087730770527</v>
      </c>
      <c r="Z39" s="106">
        <v>11047.300725264813</v>
      </c>
      <c r="AA39" s="106">
        <v>15813.515140569893</v>
      </c>
      <c r="AB39" s="106">
        <v>15845.053506225015</v>
      </c>
      <c r="AC39" s="106">
        <v>15876.468185043188</v>
      </c>
      <c r="AD39" s="106">
        <v>11135.427873913615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11369.381032691117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2004.3922011209206</v>
      </c>
      <c r="D40" s="106">
        <v>2008.7853402100993</v>
      </c>
      <c r="E40" s="106">
        <v>5032.946782562517</v>
      </c>
      <c r="F40" s="106">
        <v>5043.9290374091042</v>
      </c>
      <c r="G40" s="106">
        <v>505.49083529701255</v>
      </c>
      <c r="H40" s="106">
        <v>5065.8829668698918</v>
      </c>
      <c r="I40" s="106">
        <v>5076.851116761226</v>
      </c>
      <c r="J40" s="106">
        <v>5087.8110406349388</v>
      </c>
      <c r="K40" s="106">
        <v>3569.1326839905992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3675.0204705131227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3719.0781172473316</v>
      </c>
      <c r="AF40" s="106">
        <v>3726.3145473720992</v>
      </c>
      <c r="AG40" s="106">
        <v>3733.5174132101797</v>
      </c>
      <c r="AH40" s="106">
        <v>5343.8365023790293</v>
      </c>
      <c r="AI40" s="106">
        <v>2141.6101744119314</v>
      </c>
      <c r="AJ40" s="106">
        <v>2145.6645840835231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3796.6428381375404</v>
      </c>
      <c r="AQ40" s="106">
        <v>2173.3983309171226</v>
      </c>
      <c r="AR40" s="106">
        <v>5443.150431906035</v>
      </c>
      <c r="AS40" s="106">
        <v>545.2737738987513</v>
      </c>
      <c r="AT40" s="106">
        <v>5462.2562017647024</v>
      </c>
      <c r="AU40" s="106">
        <v>2188.6817139503855</v>
      </c>
      <c r="AV40" s="106">
        <v>2192.4321858585163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2164.3856999539785</v>
      </c>
      <c r="Q41" s="106">
        <v>3098.4914307053937</v>
      </c>
      <c r="R41" s="106">
        <v>2173.4929484692389</v>
      </c>
      <c r="S41" s="106">
        <v>3111.4740113769658</v>
      </c>
      <c r="T41" s="106">
        <v>3117.9426407169926</v>
      </c>
      <c r="U41" s="106">
        <v>3124.3947716820899</v>
      </c>
      <c r="V41" s="106">
        <v>2191.5805547837667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2227.0855747827231</v>
      </c>
      <c r="AE41" s="106">
        <v>1275.1124973419426</v>
      </c>
      <c r="AF41" s="106">
        <v>1277.5935590990057</v>
      </c>
      <c r="AG41" s="106">
        <v>1280.0631131006332</v>
      </c>
      <c r="AH41" s="106">
        <v>1282.5207605709672</v>
      </c>
      <c r="AI41" s="106">
        <v>2248.6906831325277</v>
      </c>
      <c r="AJ41" s="106">
        <v>2252.9478132876989</v>
      </c>
      <c r="AK41" s="106">
        <v>3224.5457628873069</v>
      </c>
      <c r="AL41" s="106">
        <v>3230.5609451524278</v>
      </c>
      <c r="AM41" s="106">
        <v>3236.5414516542737</v>
      </c>
      <c r="AN41" s="106">
        <v>2269.7404217496323</v>
      </c>
      <c r="AO41" s="106">
        <v>1299.3578323075562</v>
      </c>
      <c r="AP41" s="106">
        <v>3254.2652898321776</v>
      </c>
      <c r="AQ41" s="106">
        <v>3260.0974963756835</v>
      </c>
      <c r="AR41" s="106">
        <v>1306.3561036574483</v>
      </c>
      <c r="AS41" s="106">
        <v>1308.6570573570032</v>
      </c>
      <c r="AT41" s="106">
        <v>327.73537210588216</v>
      </c>
      <c r="AU41" s="106">
        <v>328.30225709255785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3203.3999387586405</v>
      </c>
      <c r="T49" s="106">
        <v>3203.3999387586405</v>
      </c>
      <c r="U49" s="106">
        <v>3203.3999387586405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3203.3999387586405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2004.3922011209206</v>
      </c>
      <c r="D50" s="106">
        <v>2008.7853402100993</v>
      </c>
      <c r="E50" s="106">
        <v>2958.1665880602222</v>
      </c>
      <c r="F50" s="106">
        <v>2958.1665880602222</v>
      </c>
      <c r="G50" s="106">
        <v>505.49083529701255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2958.1665880602222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2141.6101744119314</v>
      </c>
      <c r="AJ50" s="106">
        <v>2145.6645840835231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2173.3983309171226</v>
      </c>
      <c r="AR50" s="106">
        <v>2958.1665880602222</v>
      </c>
      <c r="AS50" s="106">
        <v>545.2737738987513</v>
      </c>
      <c r="AT50" s="106">
        <v>2958.1665880602222</v>
      </c>
      <c r="AU50" s="106">
        <v>2188.6817139503855</v>
      </c>
      <c r="AV50" s="106">
        <v>2192.4321858585163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4934168.4710829873</v>
      </c>
      <c r="D59" s="106">
        <v>4934168.4710829873</v>
      </c>
      <c r="E59" s="106">
        <v>4934168.4710829873</v>
      </c>
      <c r="F59" s="106">
        <v>4934168.4710829873</v>
      </c>
      <c r="G59" s="106">
        <v>4139090.2769731237</v>
      </c>
      <c r="H59" s="106">
        <v>4139090.2769731237</v>
      </c>
      <c r="I59" s="106">
        <v>4139090.2769731237</v>
      </c>
      <c r="J59" s="106">
        <v>4139090.2769731237</v>
      </c>
      <c r="K59" s="106">
        <v>4150258.6593387006</v>
      </c>
      <c r="L59" s="106">
        <v>4150258.6593387006</v>
      </c>
      <c r="M59" s="106">
        <v>4150258.6593387006</v>
      </c>
      <c r="N59" s="106">
        <v>4150258.6593387006</v>
      </c>
      <c r="O59" s="106">
        <v>4712932.2286749976</v>
      </c>
      <c r="P59" s="106">
        <v>4712932.2286749976</v>
      </c>
      <c r="Q59" s="106">
        <v>4712932.2286749976</v>
      </c>
      <c r="R59" s="106">
        <v>4712932.2286749976</v>
      </c>
      <c r="S59" s="106">
        <v>4583077.4542816561</v>
      </c>
      <c r="T59" s="106">
        <v>4583077.4542816561</v>
      </c>
      <c r="U59" s="106">
        <v>4583077.4542816561</v>
      </c>
      <c r="V59" s="106">
        <v>4583077.4542816561</v>
      </c>
      <c r="W59" s="106">
        <v>4761759.4298287565</v>
      </c>
      <c r="X59" s="106">
        <v>4761759.4298287565</v>
      </c>
      <c r="Y59" s="106">
        <v>4761759.4298287565</v>
      </c>
      <c r="Z59" s="106">
        <v>4761759.4298287565</v>
      </c>
      <c r="AA59" s="106">
        <v>4311890.9818937592</v>
      </c>
      <c r="AB59" s="106">
        <v>4311890.9818937592</v>
      </c>
      <c r="AC59" s="106">
        <v>4311890.9818937592</v>
      </c>
      <c r="AD59" s="106">
        <v>4311890.9818937592</v>
      </c>
      <c r="AE59" s="106">
        <v>4381319.9496555123</v>
      </c>
      <c r="AF59" s="106">
        <v>4381319.9496555123</v>
      </c>
      <c r="AG59" s="106">
        <v>4381319.9496555123</v>
      </c>
      <c r="AH59" s="106">
        <v>4381319.9496555123</v>
      </c>
      <c r="AI59" s="106">
        <v>4521816.5243044253</v>
      </c>
      <c r="AJ59" s="106">
        <v>4521816.5243044253</v>
      </c>
      <c r="AK59" s="106">
        <v>4521816.5243044253</v>
      </c>
      <c r="AL59" s="106">
        <v>4521816.5243044253</v>
      </c>
      <c r="AM59" s="106">
        <v>4422942.7591153793</v>
      </c>
      <c r="AN59" s="106">
        <v>4422942.7591153793</v>
      </c>
      <c r="AO59" s="106">
        <v>4422942.7591153793</v>
      </c>
      <c r="AP59" s="106">
        <v>4422942.7591153793</v>
      </c>
      <c r="AQ59" s="106">
        <v>4298399.6729105841</v>
      </c>
      <c r="AR59" s="106">
        <v>4298399.6729105841</v>
      </c>
      <c r="AS59" s="106">
        <v>4298399.6729105841</v>
      </c>
      <c r="AT59" s="106">
        <v>4298399.6729105841</v>
      </c>
      <c r="AU59" s="106">
        <v>4395285.0535422536</v>
      </c>
      <c r="AV59" s="106">
        <v>4395285.0535422536</v>
      </c>
      <c r="AW59" s="106">
        <v>4395285.0535422536</v>
      </c>
      <c r="AX59" s="106">
        <v>4395285.0535422536</v>
      </c>
    </row>
    <row r="60" spans="2:51" x14ac:dyDescent="0.2">
      <c r="B60" s="111" t="s">
        <v>106</v>
      </c>
      <c r="C60" s="106">
        <v>3312254.2919270201</v>
      </c>
      <c r="D60" s="106">
        <v>3319513.9458984467</v>
      </c>
      <c r="E60" s="106">
        <v>4888364.6484246505</v>
      </c>
      <c r="F60" s="106">
        <v>4888364.6484246505</v>
      </c>
      <c r="G60" s="106">
        <v>832218.20832707407</v>
      </c>
      <c r="H60" s="106">
        <v>4870197.293294115</v>
      </c>
      <c r="I60" s="106">
        <v>4870197.293294115</v>
      </c>
      <c r="J60" s="106">
        <v>4870197.293294115</v>
      </c>
      <c r="K60" s="106">
        <v>4053454.5336985132</v>
      </c>
      <c r="L60" s="106">
        <v>4053454.5336985132</v>
      </c>
      <c r="M60" s="106">
        <v>4053454.5336985132</v>
      </c>
      <c r="N60" s="106">
        <v>4053454.5336985132</v>
      </c>
      <c r="O60" s="106">
        <v>3911132.6096157306</v>
      </c>
      <c r="P60" s="106">
        <v>3911132.6096157306</v>
      </c>
      <c r="Q60" s="106">
        <v>3911132.6096157306</v>
      </c>
      <c r="R60" s="106">
        <v>3911132.6096157306</v>
      </c>
      <c r="S60" s="106">
        <v>4200155.6335812379</v>
      </c>
      <c r="T60" s="106">
        <v>4200155.6335812379</v>
      </c>
      <c r="U60" s="106">
        <v>4200155.6335812379</v>
      </c>
      <c r="V60" s="106">
        <v>4200155.6335812379</v>
      </c>
      <c r="W60" s="106">
        <v>3999953.8746648319</v>
      </c>
      <c r="X60" s="106">
        <v>3999953.8746648319</v>
      </c>
      <c r="Y60" s="106">
        <v>3999953.8746648319</v>
      </c>
      <c r="Z60" s="106">
        <v>3999953.8746648319</v>
      </c>
      <c r="AA60" s="106">
        <v>4024533.4098852407</v>
      </c>
      <c r="AB60" s="106">
        <v>4024533.4098852407</v>
      </c>
      <c r="AC60" s="106">
        <v>4024533.4098852407</v>
      </c>
      <c r="AD60" s="106">
        <v>4024533.4098852407</v>
      </c>
      <c r="AE60" s="106">
        <v>4618048.159280478</v>
      </c>
      <c r="AF60" s="106">
        <v>4618048.159280478</v>
      </c>
      <c r="AG60" s="106">
        <v>4618048.159280478</v>
      </c>
      <c r="AH60" s="106">
        <v>4618048.159280478</v>
      </c>
      <c r="AI60" s="106">
        <v>3458137.4172326829</v>
      </c>
      <c r="AJ60" s="106">
        <v>3464684.222976156</v>
      </c>
      <c r="AK60" s="106">
        <v>4776661.3582640449</v>
      </c>
      <c r="AL60" s="106">
        <v>4776661.3582640449</v>
      </c>
      <c r="AM60" s="106">
        <v>4211600.3244871506</v>
      </c>
      <c r="AN60" s="106">
        <v>4211600.3244871506</v>
      </c>
      <c r="AO60" s="106">
        <v>4211600.3244871506</v>
      </c>
      <c r="AP60" s="106">
        <v>4211600.3244871506</v>
      </c>
      <c r="AQ60" s="106">
        <v>3882448.203253495</v>
      </c>
      <c r="AR60" s="106">
        <v>5284318.2914806809</v>
      </c>
      <c r="AS60" s="106">
        <v>974049.32802223007</v>
      </c>
      <c r="AT60" s="106">
        <v>5284318.2914806809</v>
      </c>
      <c r="AU60" s="106">
        <v>3558646.3612220208</v>
      </c>
      <c r="AV60" s="106">
        <v>3564744.3713272205</v>
      </c>
      <c r="AW60" s="106">
        <v>4809775.9931884306</v>
      </c>
      <c r="AX60" s="106">
        <v>4809775.9931884306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36000</v>
      </c>
      <c r="D67" s="106">
        <v>32000</v>
      </c>
      <c r="E67" s="106">
        <v>32000</v>
      </c>
      <c r="F67" s="106">
        <v>36000</v>
      </c>
      <c r="G67" s="106">
        <v>32000</v>
      </c>
      <c r="H67" s="106">
        <v>32000</v>
      </c>
      <c r="I67" s="106">
        <v>36000</v>
      </c>
      <c r="J67" s="106">
        <v>32000</v>
      </c>
      <c r="K67" s="106">
        <v>32000</v>
      </c>
      <c r="L67" s="106">
        <v>36000</v>
      </c>
      <c r="M67" s="106">
        <v>32000</v>
      </c>
      <c r="N67" s="106">
        <v>32000</v>
      </c>
    </row>
    <row r="68" spans="1:14" x14ac:dyDescent="0.2">
      <c r="B68" s="105" t="s">
        <v>330</v>
      </c>
      <c r="C68" s="106">
        <v>135000</v>
      </c>
      <c r="D68" s="106">
        <v>120000</v>
      </c>
      <c r="E68" s="106">
        <v>120000</v>
      </c>
      <c r="F68" s="106">
        <v>135000</v>
      </c>
      <c r="G68" s="106">
        <v>120000</v>
      </c>
      <c r="H68" s="106">
        <v>120000</v>
      </c>
      <c r="I68" s="106">
        <v>135000</v>
      </c>
      <c r="J68" s="106">
        <v>120000</v>
      </c>
      <c r="K68" s="106">
        <v>120000</v>
      </c>
      <c r="L68" s="106">
        <v>135000</v>
      </c>
      <c r="M68" s="106">
        <v>120000</v>
      </c>
      <c r="N68" s="106">
        <v>120000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4531657.5780550865</v>
      </c>
      <c r="D72" s="106">
        <v>30421106.390934676</v>
      </c>
    </row>
    <row r="73" spans="1:14" x14ac:dyDescent="0.2">
      <c r="B73" s="111" t="s">
        <v>93</v>
      </c>
      <c r="C73" s="106">
        <v>4028140.0693822992</v>
      </c>
      <c r="D73" s="106">
        <v>27040983.458608601</v>
      </c>
    </row>
    <row r="74" spans="1:14" x14ac:dyDescent="0.2">
      <c r="B74" s="111" t="s">
        <v>94</v>
      </c>
      <c r="C74" s="106">
        <v>4028140.0693822992</v>
      </c>
      <c r="D74" s="106">
        <v>27040983.458608601</v>
      </c>
    </row>
    <row r="75" spans="1:14" x14ac:dyDescent="0.2">
      <c r="B75" s="111" t="s">
        <v>95</v>
      </c>
      <c r="C75" s="106">
        <v>4531657.5780550865</v>
      </c>
      <c r="D75" s="106">
        <v>30421106.390934676</v>
      </c>
    </row>
    <row r="76" spans="1:14" x14ac:dyDescent="0.2">
      <c r="B76" s="111" t="s">
        <v>96</v>
      </c>
      <c r="C76" s="106">
        <v>4028140.0693822992</v>
      </c>
      <c r="D76" s="106">
        <v>27040983.458608601</v>
      </c>
    </row>
    <row r="77" spans="1:14" x14ac:dyDescent="0.2">
      <c r="B77" s="111" t="s">
        <v>97</v>
      </c>
      <c r="C77" s="106">
        <v>4028140.0693822992</v>
      </c>
      <c r="D77" s="106">
        <v>27040983.458608601</v>
      </c>
    </row>
    <row r="78" spans="1:14" x14ac:dyDescent="0.2">
      <c r="B78" s="111" t="s">
        <v>98</v>
      </c>
      <c r="C78" s="106">
        <v>4531657.5780550865</v>
      </c>
      <c r="D78" s="106">
        <v>30421106.390934676</v>
      </c>
    </row>
    <row r="79" spans="1:14" x14ac:dyDescent="0.2">
      <c r="B79" s="111" t="s">
        <v>99</v>
      </c>
      <c r="C79" s="106">
        <v>4028140.0693822992</v>
      </c>
      <c r="D79" s="106">
        <v>27040983.458608601</v>
      </c>
    </row>
    <row r="80" spans="1:14" x14ac:dyDescent="0.2">
      <c r="B80" s="111" t="s">
        <v>100</v>
      </c>
      <c r="C80" s="106">
        <v>4028140.0693822992</v>
      </c>
      <c r="D80" s="106">
        <v>27040983.458608601</v>
      </c>
    </row>
    <row r="81" spans="2:50" x14ac:dyDescent="0.2">
      <c r="B81" s="111" t="s">
        <v>101</v>
      </c>
      <c r="C81" s="106">
        <v>4531657.5780550865</v>
      </c>
      <c r="D81" s="106">
        <v>30421106.390934676</v>
      </c>
    </row>
    <row r="82" spans="2:50" x14ac:dyDescent="0.2">
      <c r="B82" s="111" t="s">
        <v>102</v>
      </c>
      <c r="C82" s="106">
        <v>4028140.0693822992</v>
      </c>
      <c r="D82" s="106">
        <v>27040983.458608601</v>
      </c>
    </row>
    <row r="83" spans="2:50" x14ac:dyDescent="0.2">
      <c r="B83" s="111" t="s">
        <v>103</v>
      </c>
      <c r="C83" s="106">
        <v>4028140.0693822992</v>
      </c>
      <c r="D83" s="106">
        <v>27040983.458608601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9000</v>
      </c>
      <c r="D88" s="106">
        <f>D48+$C$67/4</f>
        <v>9000</v>
      </c>
      <c r="E88" s="106">
        <f>E48+$C$67/4</f>
        <v>9000</v>
      </c>
      <c r="F88" s="106">
        <f>F48+$C$67/4</f>
        <v>9000</v>
      </c>
      <c r="G88" s="106">
        <f>G48+$D$67/4</f>
        <v>8000</v>
      </c>
      <c r="H88" s="106">
        <f>H48+$D$67/4</f>
        <v>8000</v>
      </c>
      <c r="I88" s="106">
        <f>I48+$D$67/4</f>
        <v>8000</v>
      </c>
      <c r="J88" s="106">
        <f>J48+$D$67/4</f>
        <v>8000</v>
      </c>
      <c r="K88" s="106">
        <f>K48+$E$67/4</f>
        <v>8000</v>
      </c>
      <c r="L88" s="106">
        <f>L48+$E$67/4</f>
        <v>8000</v>
      </c>
      <c r="M88" s="106">
        <f>M48+$E$67/4</f>
        <v>8000</v>
      </c>
      <c r="N88" s="106">
        <f>N48+$E$67/4</f>
        <v>8000</v>
      </c>
      <c r="O88" s="106">
        <f>O48+$F$67/4</f>
        <v>9000</v>
      </c>
      <c r="P88" s="106">
        <f>P48+$F$67/4</f>
        <v>9000</v>
      </c>
      <c r="Q88" s="106">
        <f>Q48+$F$67/4</f>
        <v>9000</v>
      </c>
      <c r="R88" s="106">
        <f>R48+$F$67/4</f>
        <v>9000</v>
      </c>
      <c r="S88" s="106">
        <f>S48+$G$67/4</f>
        <v>8000</v>
      </c>
      <c r="T88" s="106">
        <f>T48+$G$67/4</f>
        <v>8000</v>
      </c>
      <c r="U88" s="106">
        <f>U48+$G$67/4</f>
        <v>8000</v>
      </c>
      <c r="V88" s="106">
        <f>V48+$G$67/4</f>
        <v>8000</v>
      </c>
      <c r="W88" s="106">
        <f>W48+$H$67/4</f>
        <v>8000</v>
      </c>
      <c r="X88" s="106">
        <f>X48+$H$67/4</f>
        <v>8000</v>
      </c>
      <c r="Y88" s="106">
        <f>Y48+$H$67/4</f>
        <v>8000</v>
      </c>
      <c r="Z88" s="106">
        <f>Z48+$H$67/4</f>
        <v>8000</v>
      </c>
      <c r="AA88" s="106">
        <f>AA48+$I$67/4</f>
        <v>9000</v>
      </c>
      <c r="AB88" s="106">
        <f>AB48+$I$67/4</f>
        <v>9000</v>
      </c>
      <c r="AC88" s="106">
        <f>AC48+$I$67/4</f>
        <v>9000</v>
      </c>
      <c r="AD88" s="106">
        <f>AD48+$I$67/4</f>
        <v>9000</v>
      </c>
      <c r="AE88" s="106">
        <f>AE48+$J$67/4</f>
        <v>8000</v>
      </c>
      <c r="AF88" s="106">
        <f>AF48+$J$67/4</f>
        <v>8000</v>
      </c>
      <c r="AG88" s="106">
        <f>AG48+$J$67/4</f>
        <v>8000</v>
      </c>
      <c r="AH88" s="106">
        <f>AH48+$J$67/4</f>
        <v>8000</v>
      </c>
      <c r="AI88" s="106">
        <f>AI48+$K$67/4</f>
        <v>8000</v>
      </c>
      <c r="AJ88" s="106">
        <f>AJ48+$K$67/4</f>
        <v>8000</v>
      </c>
      <c r="AK88" s="106">
        <f>AK48+$K$67/4</f>
        <v>8000</v>
      </c>
      <c r="AL88" s="106">
        <f>AL48+$K$67/4</f>
        <v>8000</v>
      </c>
      <c r="AM88" s="106">
        <f>AM48+$L$67/4</f>
        <v>9000</v>
      </c>
      <c r="AN88" s="106">
        <f>AN48+$L$67/4</f>
        <v>9000</v>
      </c>
      <c r="AO88" s="106">
        <f>AO48+$L$67/4</f>
        <v>9000</v>
      </c>
      <c r="AP88" s="106">
        <f>AP48+$L$67/4</f>
        <v>9000</v>
      </c>
      <c r="AQ88" s="106">
        <f>AQ48+$M$67/4</f>
        <v>8000</v>
      </c>
      <c r="AR88" s="106">
        <f>AR48+$M$67/4</f>
        <v>8000</v>
      </c>
      <c r="AS88" s="106">
        <f>AS48+$M$67/4</f>
        <v>8000</v>
      </c>
      <c r="AT88" s="106">
        <f>AT48+$M$67/4</f>
        <v>8000</v>
      </c>
      <c r="AU88" s="106">
        <f>AU48+$N$67/4</f>
        <v>8000</v>
      </c>
      <c r="AV88" s="106">
        <f>AV48+$N$67/4</f>
        <v>8000</v>
      </c>
      <c r="AW88" s="106">
        <f>AW48+$N$67/4</f>
        <v>8000</v>
      </c>
      <c r="AX88" s="106">
        <f>AX48+$N$67/4</f>
        <v>8000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3203.3999387586405</v>
      </c>
      <c r="T89" s="106">
        <f t="shared" si="3"/>
        <v>3203.3999387586405</v>
      </c>
      <c r="U89" s="106">
        <f t="shared" si="3"/>
        <v>3203.3999387586405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3203.3999387586405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2004.3922011209206</v>
      </c>
      <c r="D90" s="106">
        <f t="shared" si="4"/>
        <v>2008.7853402100993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505.49083529701255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2958.1665880602222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2141.6101744119314</v>
      </c>
      <c r="AJ90" s="106">
        <f t="shared" si="3"/>
        <v>2145.6645840835231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2173.3983309171226</v>
      </c>
      <c r="AR90" s="106">
        <f t="shared" si="3"/>
        <v>2958.1665880602222</v>
      </c>
      <c r="AS90" s="106">
        <f t="shared" si="3"/>
        <v>545.2737738987513</v>
      </c>
      <c r="AT90" s="106">
        <f t="shared" si="3"/>
        <v>2958.1665880602222</v>
      </c>
      <c r="AU90" s="106">
        <f t="shared" si="3"/>
        <v>2188.6817139503855</v>
      </c>
      <c r="AV90" s="106">
        <f t="shared" si="3"/>
        <v>2192.4321858585163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54683.831088354265</v>
      </c>
      <c r="D98" s="106">
        <v>54683.831088354265</v>
      </c>
      <c r="E98" s="106">
        <v>54683.831088354265</v>
      </c>
      <c r="F98" s="106">
        <v>54683.831088354265</v>
      </c>
      <c r="G98" s="106">
        <v>48607.849856314897</v>
      </c>
      <c r="H98" s="106">
        <v>48607.849856314897</v>
      </c>
      <c r="I98" s="106">
        <v>48607.849856314897</v>
      </c>
      <c r="J98" s="106">
        <v>48607.849856314897</v>
      </c>
      <c r="K98" s="106">
        <v>48607.849856314897</v>
      </c>
      <c r="L98" s="106">
        <v>48607.849856314897</v>
      </c>
      <c r="M98" s="106">
        <v>48607.849856314897</v>
      </c>
      <c r="N98" s="106">
        <v>48607.849856314897</v>
      </c>
      <c r="O98" s="106">
        <v>54683.831088354265</v>
      </c>
      <c r="P98" s="106">
        <v>54683.831088354265</v>
      </c>
      <c r="Q98" s="106">
        <v>54683.831088354265</v>
      </c>
      <c r="R98" s="106">
        <v>54683.831088354265</v>
      </c>
      <c r="S98" s="106">
        <v>48607.849856314897</v>
      </c>
      <c r="T98" s="106">
        <v>48607.849856314897</v>
      </c>
      <c r="U98" s="106">
        <v>48607.849856314897</v>
      </c>
      <c r="V98" s="106">
        <v>48607.849856314897</v>
      </c>
      <c r="W98" s="106">
        <v>48607.849856314897</v>
      </c>
      <c r="X98" s="106">
        <v>48607.849856314897</v>
      </c>
      <c r="Y98" s="106">
        <v>48607.849856314897</v>
      </c>
      <c r="Z98" s="106">
        <v>48607.849856314897</v>
      </c>
      <c r="AA98" s="106">
        <v>54683.831088354265</v>
      </c>
      <c r="AB98" s="106">
        <v>54683.831088354265</v>
      </c>
      <c r="AC98" s="106">
        <v>54683.831088354265</v>
      </c>
      <c r="AD98" s="106">
        <v>54683.831088354265</v>
      </c>
      <c r="AE98" s="106">
        <v>48607.849856314897</v>
      </c>
      <c r="AF98" s="106">
        <v>48607.849856314897</v>
      </c>
      <c r="AG98" s="106">
        <v>48607.849856314897</v>
      </c>
      <c r="AH98" s="106">
        <v>48607.849856314897</v>
      </c>
      <c r="AI98" s="106">
        <v>48607.849856314897</v>
      </c>
      <c r="AJ98" s="106">
        <v>48607.849856314897</v>
      </c>
      <c r="AK98" s="106">
        <v>48607.849856314897</v>
      </c>
      <c r="AL98" s="106">
        <v>48607.849856314897</v>
      </c>
      <c r="AM98" s="106">
        <v>54683.831088354265</v>
      </c>
      <c r="AN98" s="106">
        <v>54683.831088354265</v>
      </c>
      <c r="AO98" s="106">
        <v>54683.831088354265</v>
      </c>
      <c r="AP98" s="106">
        <v>54683.831088354265</v>
      </c>
      <c r="AQ98" s="106">
        <v>48607.849856314897</v>
      </c>
      <c r="AR98" s="106">
        <v>48607.849856314897</v>
      </c>
      <c r="AS98" s="106">
        <v>48607.849856314897</v>
      </c>
      <c r="AT98" s="106">
        <v>48607.849856314897</v>
      </c>
      <c r="AU98" s="106">
        <v>48607.849856314897</v>
      </c>
      <c r="AV98" s="106">
        <v>48607.849856314897</v>
      </c>
      <c r="AW98" s="106">
        <v>48607.849856314897</v>
      </c>
      <c r="AX98" s="106">
        <v>48607.849856314897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490158.71387568861</v>
      </c>
      <c r="D100" s="106">
        <v>490158.71387568861</v>
      </c>
      <c r="E100" s="106">
        <v>490158.71387568861</v>
      </c>
      <c r="F100" s="106">
        <v>490158.71387568861</v>
      </c>
      <c r="G100" s="106">
        <v>435696.63455616758</v>
      </c>
      <c r="H100" s="106">
        <v>435696.63455616758</v>
      </c>
      <c r="I100" s="106">
        <v>435696.63455616758</v>
      </c>
      <c r="J100" s="106">
        <v>435696.63455616758</v>
      </c>
      <c r="K100" s="106">
        <v>435696.63455616758</v>
      </c>
      <c r="L100" s="106">
        <v>435696.63455616758</v>
      </c>
      <c r="M100" s="106">
        <v>435696.63455616758</v>
      </c>
      <c r="N100" s="106">
        <v>435696.63455616758</v>
      </c>
      <c r="O100" s="106">
        <v>490158.71387568861</v>
      </c>
      <c r="P100" s="106">
        <v>490158.71387568861</v>
      </c>
      <c r="Q100" s="106">
        <v>490158.71387568861</v>
      </c>
      <c r="R100" s="106">
        <v>490158.71387568861</v>
      </c>
      <c r="S100" s="106">
        <v>435696.63455616758</v>
      </c>
      <c r="T100" s="106">
        <v>435696.63455616758</v>
      </c>
      <c r="U100" s="106">
        <v>435696.63455616758</v>
      </c>
      <c r="V100" s="106">
        <v>435696.63455616758</v>
      </c>
      <c r="W100" s="106">
        <v>435696.63455616758</v>
      </c>
      <c r="X100" s="106">
        <v>435696.63455616758</v>
      </c>
      <c r="Y100" s="106">
        <v>435696.63455616758</v>
      </c>
      <c r="Z100" s="106">
        <v>435696.63455616758</v>
      </c>
      <c r="AA100" s="106">
        <v>490158.71387568861</v>
      </c>
      <c r="AB100" s="106">
        <v>490158.71387568861</v>
      </c>
      <c r="AC100" s="106">
        <v>490158.71387568861</v>
      </c>
      <c r="AD100" s="106">
        <v>490158.71387568861</v>
      </c>
      <c r="AE100" s="106">
        <v>435696.63455616758</v>
      </c>
      <c r="AF100" s="106">
        <v>435696.63455616758</v>
      </c>
      <c r="AG100" s="106">
        <v>435696.63455616758</v>
      </c>
      <c r="AH100" s="106">
        <v>435696.63455616758</v>
      </c>
      <c r="AI100" s="106">
        <v>435696.63455616758</v>
      </c>
      <c r="AJ100" s="106">
        <v>435696.63455616758</v>
      </c>
      <c r="AK100" s="106">
        <v>435696.63455616758</v>
      </c>
      <c r="AL100" s="106">
        <v>435696.63455616758</v>
      </c>
      <c r="AM100" s="106">
        <v>490158.71387568861</v>
      </c>
      <c r="AN100" s="106">
        <v>490158.71387568861</v>
      </c>
      <c r="AO100" s="106">
        <v>490158.71387568861</v>
      </c>
      <c r="AP100" s="106">
        <v>490158.71387568861</v>
      </c>
      <c r="AQ100" s="106">
        <v>435696.63455616758</v>
      </c>
      <c r="AR100" s="106">
        <v>435696.63455616758</v>
      </c>
      <c r="AS100" s="106">
        <v>435696.63455616758</v>
      </c>
      <c r="AT100" s="106">
        <v>435696.63455616758</v>
      </c>
      <c r="AU100" s="106">
        <v>435696.63455616758</v>
      </c>
      <c r="AV100" s="106">
        <v>435696.63455616758</v>
      </c>
      <c r="AW100" s="106">
        <v>435696.63455616758</v>
      </c>
      <c r="AX100" s="106">
        <v>435696.63455616758</v>
      </c>
    </row>
    <row r="101" spans="1:50" x14ac:dyDescent="0.2">
      <c r="B101" s="111" t="s">
        <v>22</v>
      </c>
      <c r="C101" s="106">
        <v>1267460.2512000001</v>
      </c>
      <c r="D101" s="106">
        <v>1267460.2512000001</v>
      </c>
      <c r="E101" s="106">
        <v>1267460.2512000001</v>
      </c>
      <c r="F101" s="106">
        <v>1267460.2512000001</v>
      </c>
      <c r="G101" s="106">
        <v>1126631.3343999998</v>
      </c>
      <c r="H101" s="106">
        <v>1126631.3343999998</v>
      </c>
      <c r="I101" s="106">
        <v>1126631.3343999998</v>
      </c>
      <c r="J101" s="106">
        <v>1126631.3343999998</v>
      </c>
      <c r="K101" s="106">
        <v>1126631.3343999998</v>
      </c>
      <c r="L101" s="106">
        <v>1126631.3343999998</v>
      </c>
      <c r="M101" s="106">
        <v>1126631.3343999998</v>
      </c>
      <c r="N101" s="106">
        <v>1126631.3343999998</v>
      </c>
      <c r="O101" s="106">
        <v>1267460.2512000001</v>
      </c>
      <c r="P101" s="106">
        <v>1267460.2512000001</v>
      </c>
      <c r="Q101" s="106">
        <v>1267460.2512000001</v>
      </c>
      <c r="R101" s="106">
        <v>1267460.2512000001</v>
      </c>
      <c r="S101" s="106">
        <v>1126631.3343999998</v>
      </c>
      <c r="T101" s="106">
        <v>1126631.3343999998</v>
      </c>
      <c r="U101" s="106">
        <v>1126631.3343999998</v>
      </c>
      <c r="V101" s="106">
        <v>1126631.3343999998</v>
      </c>
      <c r="W101" s="106">
        <v>1126631.3343999998</v>
      </c>
      <c r="X101" s="106">
        <v>1126631.3343999998</v>
      </c>
      <c r="Y101" s="106">
        <v>1126631.3343999998</v>
      </c>
      <c r="Z101" s="106">
        <v>1126631.3343999998</v>
      </c>
      <c r="AA101" s="106">
        <v>1267460.2512000001</v>
      </c>
      <c r="AB101" s="106">
        <v>1267460.2512000001</v>
      </c>
      <c r="AC101" s="106">
        <v>1267460.2512000001</v>
      </c>
      <c r="AD101" s="106">
        <v>1267460.2512000001</v>
      </c>
      <c r="AE101" s="106">
        <v>1126631.3343999998</v>
      </c>
      <c r="AF101" s="106">
        <v>1126631.3343999998</v>
      </c>
      <c r="AG101" s="106">
        <v>1126631.3343999998</v>
      </c>
      <c r="AH101" s="106">
        <v>1126631.3343999998</v>
      </c>
      <c r="AI101" s="106">
        <v>1126631.3343999998</v>
      </c>
      <c r="AJ101" s="106">
        <v>1126631.3343999998</v>
      </c>
      <c r="AK101" s="106">
        <v>1126631.3343999998</v>
      </c>
      <c r="AL101" s="106">
        <v>1126631.3343999998</v>
      </c>
      <c r="AM101" s="106">
        <v>1267460.2512000001</v>
      </c>
      <c r="AN101" s="106">
        <v>1267460.2512000001</v>
      </c>
      <c r="AO101" s="106">
        <v>1267460.2512000001</v>
      </c>
      <c r="AP101" s="106">
        <v>1267460.2512000001</v>
      </c>
      <c r="AQ101" s="106">
        <v>1126631.3343999998</v>
      </c>
      <c r="AR101" s="106">
        <v>1126631.3343999998</v>
      </c>
      <c r="AS101" s="106">
        <v>1126631.3343999998</v>
      </c>
      <c r="AT101" s="106">
        <v>1126631.3343999998</v>
      </c>
      <c r="AU101" s="106">
        <v>1126631.3343999998</v>
      </c>
      <c r="AV101" s="106">
        <v>1126631.3343999998</v>
      </c>
      <c r="AW101" s="106">
        <v>1126631.3343999998</v>
      </c>
      <c r="AX101" s="106">
        <v>1126631.3343999998</v>
      </c>
    </row>
    <row r="102" spans="1:50" x14ac:dyDescent="0.2">
      <c r="B102" s="111" t="s">
        <v>59</v>
      </c>
      <c r="C102" s="106">
        <v>656721.5901712355</v>
      </c>
      <c r="D102" s="106">
        <v>656721.5901712355</v>
      </c>
      <c r="E102" s="106">
        <v>656721.5901712355</v>
      </c>
      <c r="F102" s="106">
        <v>656721.5901712355</v>
      </c>
      <c r="G102" s="106">
        <v>583752.52459665376</v>
      </c>
      <c r="H102" s="106">
        <v>583752.52459665376</v>
      </c>
      <c r="I102" s="106">
        <v>583752.52459665376</v>
      </c>
      <c r="J102" s="106">
        <v>583752.52459665376</v>
      </c>
      <c r="K102" s="106">
        <v>583752.52459665376</v>
      </c>
      <c r="L102" s="106">
        <v>583752.52459665376</v>
      </c>
      <c r="M102" s="106">
        <v>583752.52459665376</v>
      </c>
      <c r="N102" s="106">
        <v>583752.52459665376</v>
      </c>
      <c r="O102" s="106">
        <v>656721.5901712355</v>
      </c>
      <c r="P102" s="106">
        <v>656721.5901712355</v>
      </c>
      <c r="Q102" s="106">
        <v>656721.5901712355</v>
      </c>
      <c r="R102" s="106">
        <v>656721.5901712355</v>
      </c>
      <c r="S102" s="106">
        <v>583752.52459665376</v>
      </c>
      <c r="T102" s="106">
        <v>583752.52459665376</v>
      </c>
      <c r="U102" s="106">
        <v>583752.52459665376</v>
      </c>
      <c r="V102" s="106">
        <v>583752.52459665376</v>
      </c>
      <c r="W102" s="106">
        <v>583752.52459665376</v>
      </c>
      <c r="X102" s="106">
        <v>583752.52459665376</v>
      </c>
      <c r="Y102" s="106">
        <v>583752.52459665376</v>
      </c>
      <c r="Z102" s="106">
        <v>583752.52459665376</v>
      </c>
      <c r="AA102" s="106">
        <v>656721.5901712355</v>
      </c>
      <c r="AB102" s="106">
        <v>656721.5901712355</v>
      </c>
      <c r="AC102" s="106">
        <v>656721.5901712355</v>
      </c>
      <c r="AD102" s="106">
        <v>656721.5901712355</v>
      </c>
      <c r="AE102" s="106">
        <v>583752.52459665376</v>
      </c>
      <c r="AF102" s="106">
        <v>583752.52459665376</v>
      </c>
      <c r="AG102" s="106">
        <v>583752.52459665376</v>
      </c>
      <c r="AH102" s="106">
        <v>583752.52459665376</v>
      </c>
      <c r="AI102" s="106">
        <v>583752.52459665376</v>
      </c>
      <c r="AJ102" s="106">
        <v>583752.52459665376</v>
      </c>
      <c r="AK102" s="106">
        <v>583752.52459665376</v>
      </c>
      <c r="AL102" s="106">
        <v>583752.52459665376</v>
      </c>
      <c r="AM102" s="106">
        <v>656721.5901712355</v>
      </c>
      <c r="AN102" s="106">
        <v>656721.5901712355</v>
      </c>
      <c r="AO102" s="106">
        <v>656721.5901712355</v>
      </c>
      <c r="AP102" s="106">
        <v>656721.5901712355</v>
      </c>
      <c r="AQ102" s="106">
        <v>583752.52459665376</v>
      </c>
      <c r="AR102" s="106">
        <v>583752.52459665376</v>
      </c>
      <c r="AS102" s="106">
        <v>583752.52459665376</v>
      </c>
      <c r="AT102" s="106">
        <v>583752.52459665376</v>
      </c>
      <c r="AU102" s="106">
        <v>583752.52459665376</v>
      </c>
      <c r="AV102" s="106">
        <v>583752.52459665376</v>
      </c>
      <c r="AW102" s="106">
        <v>583752.52459665376</v>
      </c>
      <c r="AX102" s="106">
        <v>583752.52459665376</v>
      </c>
    </row>
    <row r="103" spans="1:50" x14ac:dyDescent="0.2">
      <c r="B103" s="106" t="s">
        <v>278</v>
      </c>
      <c r="C103" s="111">
        <f>SUM(C$98:C$102)</f>
        <v>2469024.3863352784</v>
      </c>
      <c r="D103" s="111">
        <f t="shared" ref="D103:AX103" si="5">SUM(D$98:D$102)</f>
        <v>2469024.3863352784</v>
      </c>
      <c r="E103" s="111">
        <f t="shared" si="5"/>
        <v>2469024.3863352784</v>
      </c>
      <c r="F103" s="111">
        <f t="shared" si="5"/>
        <v>2469024.3863352784</v>
      </c>
      <c r="G103" s="111">
        <f t="shared" si="5"/>
        <v>2194688.3434091359</v>
      </c>
      <c r="H103" s="111">
        <f t="shared" si="5"/>
        <v>2194688.3434091359</v>
      </c>
      <c r="I103" s="111">
        <f t="shared" si="5"/>
        <v>2194688.3434091359</v>
      </c>
      <c r="J103" s="111">
        <f t="shared" si="5"/>
        <v>2194688.3434091359</v>
      </c>
      <c r="K103" s="111">
        <f t="shared" si="5"/>
        <v>2194688.3434091359</v>
      </c>
      <c r="L103" s="111">
        <f t="shared" si="5"/>
        <v>2194688.3434091359</v>
      </c>
      <c r="M103" s="111">
        <f t="shared" si="5"/>
        <v>2194688.3434091359</v>
      </c>
      <c r="N103" s="111">
        <f t="shared" si="5"/>
        <v>2194688.3434091359</v>
      </c>
      <c r="O103" s="111">
        <f t="shared" si="5"/>
        <v>2469024.3863352784</v>
      </c>
      <c r="P103" s="111">
        <f t="shared" si="5"/>
        <v>2469024.3863352784</v>
      </c>
      <c r="Q103" s="111">
        <f t="shared" si="5"/>
        <v>2469024.3863352784</v>
      </c>
      <c r="R103" s="111">
        <f t="shared" si="5"/>
        <v>2469024.3863352784</v>
      </c>
      <c r="S103" s="111">
        <f t="shared" si="5"/>
        <v>2194688.3434091359</v>
      </c>
      <c r="T103" s="111">
        <f t="shared" si="5"/>
        <v>2194688.3434091359</v>
      </c>
      <c r="U103" s="111">
        <f t="shared" si="5"/>
        <v>2194688.3434091359</v>
      </c>
      <c r="V103" s="111">
        <f t="shared" si="5"/>
        <v>2194688.3434091359</v>
      </c>
      <c r="W103" s="111">
        <f t="shared" si="5"/>
        <v>2194688.3434091359</v>
      </c>
      <c r="X103" s="111">
        <f t="shared" si="5"/>
        <v>2194688.3434091359</v>
      </c>
      <c r="Y103" s="111">
        <f t="shared" si="5"/>
        <v>2194688.3434091359</v>
      </c>
      <c r="Z103" s="111">
        <f t="shared" si="5"/>
        <v>2194688.3434091359</v>
      </c>
      <c r="AA103" s="111">
        <f t="shared" si="5"/>
        <v>2469024.3863352784</v>
      </c>
      <c r="AB103" s="111">
        <f t="shared" si="5"/>
        <v>2469024.3863352784</v>
      </c>
      <c r="AC103" s="111">
        <f t="shared" si="5"/>
        <v>2469024.3863352784</v>
      </c>
      <c r="AD103" s="111">
        <f t="shared" si="5"/>
        <v>2469024.3863352784</v>
      </c>
      <c r="AE103" s="111">
        <f t="shared" si="5"/>
        <v>2194688.3434091359</v>
      </c>
      <c r="AF103" s="111">
        <f t="shared" si="5"/>
        <v>2194688.3434091359</v>
      </c>
      <c r="AG103" s="111">
        <f t="shared" si="5"/>
        <v>2194688.3434091359</v>
      </c>
      <c r="AH103" s="111">
        <f t="shared" si="5"/>
        <v>2194688.3434091359</v>
      </c>
      <c r="AI103" s="111">
        <f t="shared" si="5"/>
        <v>2194688.3434091359</v>
      </c>
      <c r="AJ103" s="111">
        <f t="shared" si="5"/>
        <v>2194688.3434091359</v>
      </c>
      <c r="AK103" s="111">
        <f t="shared" si="5"/>
        <v>2194688.3434091359</v>
      </c>
      <c r="AL103" s="111">
        <f t="shared" si="5"/>
        <v>2194688.3434091359</v>
      </c>
      <c r="AM103" s="111">
        <f t="shared" si="5"/>
        <v>2469024.3863352784</v>
      </c>
      <c r="AN103" s="111">
        <f t="shared" si="5"/>
        <v>2469024.3863352784</v>
      </c>
      <c r="AO103" s="111">
        <f t="shared" si="5"/>
        <v>2469024.3863352784</v>
      </c>
      <c r="AP103" s="111">
        <f t="shared" si="5"/>
        <v>2469024.3863352784</v>
      </c>
      <c r="AQ103" s="111">
        <f t="shared" si="5"/>
        <v>2194688.3434091359</v>
      </c>
      <c r="AR103" s="111">
        <f t="shared" si="5"/>
        <v>2194688.3434091359</v>
      </c>
      <c r="AS103" s="111">
        <f t="shared" si="5"/>
        <v>2194688.3434091359</v>
      </c>
      <c r="AT103" s="111">
        <f t="shared" si="5"/>
        <v>2194688.3434091359</v>
      </c>
      <c r="AU103" s="111">
        <f t="shared" si="5"/>
        <v>2194688.3434091359</v>
      </c>
      <c r="AV103" s="111">
        <f t="shared" si="5"/>
        <v>2194688.3434091359</v>
      </c>
      <c r="AW103" s="111">
        <f t="shared" si="5"/>
        <v>2194688.3434091359</v>
      </c>
      <c r="AX103" s="111">
        <f t="shared" si="5"/>
        <v>2194688.3434091359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72412.357484990862</v>
      </c>
      <c r="D105" s="106">
        <v>72412.357484990862</v>
      </c>
      <c r="E105" s="106">
        <v>72412.357484990862</v>
      </c>
      <c r="F105" s="106">
        <v>72412.357484990862</v>
      </c>
      <c r="G105" s="106">
        <v>72412.357484990862</v>
      </c>
      <c r="H105" s="106">
        <v>72412.357484990862</v>
      </c>
      <c r="I105" s="106">
        <v>72412.357484990862</v>
      </c>
      <c r="J105" s="106">
        <v>72412.357484990862</v>
      </c>
      <c r="K105" s="106">
        <v>72412.357484990862</v>
      </c>
      <c r="L105" s="106">
        <v>72412.357484990862</v>
      </c>
      <c r="M105" s="106">
        <v>72412.357484990862</v>
      </c>
      <c r="N105" s="106">
        <v>72412.357484990862</v>
      </c>
      <c r="O105" s="106">
        <v>72412.357484990862</v>
      </c>
      <c r="P105" s="106">
        <v>72412.357484990862</v>
      </c>
      <c r="Q105" s="106">
        <v>72412.357484990862</v>
      </c>
      <c r="R105" s="106">
        <v>72412.357484990862</v>
      </c>
      <c r="S105" s="106">
        <v>72412.357484990862</v>
      </c>
      <c r="T105" s="106">
        <v>72412.357484990862</v>
      </c>
      <c r="U105" s="106">
        <v>72412.357484990862</v>
      </c>
      <c r="V105" s="106">
        <v>72412.357484990862</v>
      </c>
      <c r="W105" s="106">
        <v>72412.357484990862</v>
      </c>
      <c r="X105" s="106">
        <v>72412.357484990862</v>
      </c>
      <c r="Y105" s="106">
        <v>72412.357484990862</v>
      </c>
      <c r="Z105" s="106">
        <v>72412.357484990862</v>
      </c>
      <c r="AA105" s="106">
        <v>72412.357484990862</v>
      </c>
      <c r="AB105" s="106">
        <v>72412.357484990862</v>
      </c>
      <c r="AC105" s="106">
        <v>72412.357484990862</v>
      </c>
      <c r="AD105" s="106">
        <v>72412.357484990862</v>
      </c>
      <c r="AE105" s="106">
        <v>72412.357484990862</v>
      </c>
      <c r="AF105" s="106">
        <v>72412.357484990862</v>
      </c>
      <c r="AG105" s="106">
        <v>72412.357484990862</v>
      </c>
      <c r="AH105" s="106">
        <v>72412.357484990862</v>
      </c>
      <c r="AI105" s="106">
        <v>72412.357484990862</v>
      </c>
      <c r="AJ105" s="106">
        <v>72412.357484990862</v>
      </c>
      <c r="AK105" s="106">
        <v>72412.357484990862</v>
      </c>
      <c r="AL105" s="106">
        <v>72412.357484990862</v>
      </c>
      <c r="AM105" s="106">
        <v>72412.357484990862</v>
      </c>
      <c r="AN105" s="106">
        <v>72412.357484990862</v>
      </c>
      <c r="AO105" s="106">
        <v>72412.357484990862</v>
      </c>
      <c r="AP105" s="106">
        <v>72412.357484990862</v>
      </c>
      <c r="AQ105" s="106">
        <v>72412.357484990862</v>
      </c>
      <c r="AR105" s="106">
        <v>72412.357484990862</v>
      </c>
      <c r="AS105" s="106">
        <v>72412.357484990862</v>
      </c>
      <c r="AT105" s="106">
        <v>72412.357484990862</v>
      </c>
      <c r="AU105" s="106">
        <v>72412.357484990862</v>
      </c>
      <c r="AV105" s="106">
        <v>72412.357484990862</v>
      </c>
      <c r="AW105" s="106">
        <v>72412.357484990862</v>
      </c>
      <c r="AX105" s="106">
        <v>72412.357484990862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57426.278346636958</v>
      </c>
      <c r="D107" s="106">
        <v>57426.278346636958</v>
      </c>
      <c r="E107" s="106">
        <v>57426.278346636958</v>
      </c>
      <c r="F107" s="106">
        <v>57426.278346636958</v>
      </c>
      <c r="G107" s="106">
        <v>57426.278346636958</v>
      </c>
      <c r="H107" s="106">
        <v>57426.278346636958</v>
      </c>
      <c r="I107" s="106">
        <v>57426.278346636958</v>
      </c>
      <c r="J107" s="106">
        <v>57426.278346636958</v>
      </c>
      <c r="K107" s="106">
        <v>57426.278346636958</v>
      </c>
      <c r="L107" s="106">
        <v>57426.278346636958</v>
      </c>
      <c r="M107" s="106">
        <v>57426.278346636958</v>
      </c>
      <c r="N107" s="106">
        <v>57426.278346636958</v>
      </c>
      <c r="O107" s="106">
        <v>57426.278346636958</v>
      </c>
      <c r="P107" s="106">
        <v>57426.278346636958</v>
      </c>
      <c r="Q107" s="106">
        <v>57426.278346636958</v>
      </c>
      <c r="R107" s="106">
        <v>57426.278346636958</v>
      </c>
      <c r="S107" s="106">
        <v>57426.278346636958</v>
      </c>
      <c r="T107" s="106">
        <v>57426.278346636958</v>
      </c>
      <c r="U107" s="106">
        <v>57426.278346636958</v>
      </c>
      <c r="V107" s="106">
        <v>57426.278346636958</v>
      </c>
      <c r="W107" s="106">
        <v>57426.278346636958</v>
      </c>
      <c r="X107" s="106">
        <v>57426.278346636958</v>
      </c>
      <c r="Y107" s="106">
        <v>57426.278346636958</v>
      </c>
      <c r="Z107" s="106">
        <v>57426.278346636958</v>
      </c>
      <c r="AA107" s="106">
        <v>57426.278346636958</v>
      </c>
      <c r="AB107" s="106">
        <v>57426.278346636958</v>
      </c>
      <c r="AC107" s="106">
        <v>57426.278346636958</v>
      </c>
      <c r="AD107" s="106">
        <v>57426.278346636958</v>
      </c>
      <c r="AE107" s="106">
        <v>57426.278346636958</v>
      </c>
      <c r="AF107" s="106">
        <v>57426.278346636958</v>
      </c>
      <c r="AG107" s="106">
        <v>57426.278346636958</v>
      </c>
      <c r="AH107" s="106">
        <v>57426.278346636958</v>
      </c>
      <c r="AI107" s="106">
        <v>57426.278346636958</v>
      </c>
      <c r="AJ107" s="106">
        <v>57426.278346636958</v>
      </c>
      <c r="AK107" s="106">
        <v>57426.278346636958</v>
      </c>
      <c r="AL107" s="106">
        <v>57426.278346636958</v>
      </c>
      <c r="AM107" s="106">
        <v>57426.278346636958</v>
      </c>
      <c r="AN107" s="106">
        <v>57426.278346636958</v>
      </c>
      <c r="AO107" s="106">
        <v>57426.278346636958</v>
      </c>
      <c r="AP107" s="106">
        <v>57426.278346636958</v>
      </c>
      <c r="AQ107" s="106">
        <v>57426.278346636958</v>
      </c>
      <c r="AR107" s="106">
        <v>57426.278346636958</v>
      </c>
      <c r="AS107" s="106">
        <v>57426.278346636958</v>
      </c>
      <c r="AT107" s="106">
        <v>57426.278346636958</v>
      </c>
      <c r="AU107" s="106">
        <v>57426.278346636958</v>
      </c>
      <c r="AV107" s="106">
        <v>57426.278346636958</v>
      </c>
      <c r="AW107" s="106">
        <v>57426.278346636958</v>
      </c>
      <c r="AX107" s="106">
        <v>57426.278346636958</v>
      </c>
    </row>
    <row r="108" spans="1:50" x14ac:dyDescent="0.2">
      <c r="B108" s="111" t="s">
        <v>59</v>
      </c>
      <c r="C108" s="106">
        <v>1231990.4634140832</v>
      </c>
      <c r="D108" s="106">
        <v>1231990.4634140832</v>
      </c>
      <c r="E108" s="106">
        <v>1231990.4634140832</v>
      </c>
      <c r="F108" s="106">
        <v>1231990.4634140832</v>
      </c>
      <c r="G108" s="106">
        <v>1231990.4634140832</v>
      </c>
      <c r="H108" s="106">
        <v>1231990.4634140832</v>
      </c>
      <c r="I108" s="106">
        <v>1231990.4634140832</v>
      </c>
      <c r="J108" s="106">
        <v>1231990.4634140832</v>
      </c>
      <c r="K108" s="106">
        <v>1231990.4634140832</v>
      </c>
      <c r="L108" s="106">
        <v>1231990.4634140832</v>
      </c>
      <c r="M108" s="106">
        <v>1231990.4634140832</v>
      </c>
      <c r="N108" s="106">
        <v>1231990.4634140832</v>
      </c>
      <c r="O108" s="106">
        <v>1231990.4634140832</v>
      </c>
      <c r="P108" s="106">
        <v>1231990.4634140832</v>
      </c>
      <c r="Q108" s="106">
        <v>1231990.4634140832</v>
      </c>
      <c r="R108" s="106">
        <v>1231990.4634140832</v>
      </c>
      <c r="S108" s="106">
        <v>1231990.4634140832</v>
      </c>
      <c r="T108" s="106">
        <v>1231990.4634140832</v>
      </c>
      <c r="U108" s="106">
        <v>1231990.4634140832</v>
      </c>
      <c r="V108" s="106">
        <v>1231990.4634140832</v>
      </c>
      <c r="W108" s="106">
        <v>1231990.4634140832</v>
      </c>
      <c r="X108" s="106">
        <v>1231990.4634140832</v>
      </c>
      <c r="Y108" s="106">
        <v>1231990.4634140832</v>
      </c>
      <c r="Z108" s="106">
        <v>1231990.4634140832</v>
      </c>
      <c r="AA108" s="106">
        <v>1231990.4634140832</v>
      </c>
      <c r="AB108" s="106">
        <v>1231990.4634140832</v>
      </c>
      <c r="AC108" s="106">
        <v>1231990.4634140832</v>
      </c>
      <c r="AD108" s="106">
        <v>1231990.4634140832</v>
      </c>
      <c r="AE108" s="106">
        <v>1231990.4634140832</v>
      </c>
      <c r="AF108" s="106">
        <v>1231990.4634140832</v>
      </c>
      <c r="AG108" s="106">
        <v>1231990.4634140832</v>
      </c>
      <c r="AH108" s="106">
        <v>1231990.4634140832</v>
      </c>
      <c r="AI108" s="106">
        <v>1231990.4634140832</v>
      </c>
      <c r="AJ108" s="106">
        <v>1231990.4634140832</v>
      </c>
      <c r="AK108" s="106">
        <v>1231990.4634140832</v>
      </c>
      <c r="AL108" s="106">
        <v>1231990.4634140832</v>
      </c>
      <c r="AM108" s="106">
        <v>1231990.4634140832</v>
      </c>
      <c r="AN108" s="106">
        <v>1231990.4634140832</v>
      </c>
      <c r="AO108" s="106">
        <v>1231990.4634140832</v>
      </c>
      <c r="AP108" s="106">
        <v>1231990.4634140832</v>
      </c>
      <c r="AQ108" s="106">
        <v>1231990.4634140832</v>
      </c>
      <c r="AR108" s="106">
        <v>1231990.4634140832</v>
      </c>
      <c r="AS108" s="106">
        <v>1231990.4634140832</v>
      </c>
      <c r="AT108" s="106">
        <v>1231990.4634140832</v>
      </c>
      <c r="AU108" s="106">
        <v>1231990.4634140832</v>
      </c>
      <c r="AV108" s="106">
        <v>1231990.4634140832</v>
      </c>
      <c r="AW108" s="106">
        <v>1231990.4634140832</v>
      </c>
      <c r="AX108" s="106">
        <v>1231990.4634140832</v>
      </c>
    </row>
    <row r="109" spans="1:50" x14ac:dyDescent="0.2">
      <c r="B109" s="107" t="s">
        <v>278</v>
      </c>
      <c r="C109" s="111">
        <f>SUM(C$104:C$108)</f>
        <v>1361829.099245711</v>
      </c>
      <c r="D109" s="111">
        <f t="shared" ref="D109:AX109" si="6">SUM(D$104:D$108)</f>
        <v>1361829.099245711</v>
      </c>
      <c r="E109" s="111">
        <f t="shared" si="6"/>
        <v>1361829.099245711</v>
      </c>
      <c r="F109" s="111">
        <f t="shared" si="6"/>
        <v>1361829.099245711</v>
      </c>
      <c r="G109" s="111">
        <f t="shared" si="6"/>
        <v>1361829.099245711</v>
      </c>
      <c r="H109" s="111">
        <f t="shared" si="6"/>
        <v>1361829.099245711</v>
      </c>
      <c r="I109" s="111">
        <f t="shared" si="6"/>
        <v>1361829.099245711</v>
      </c>
      <c r="J109" s="111">
        <f t="shared" si="6"/>
        <v>1361829.099245711</v>
      </c>
      <c r="K109" s="111">
        <f t="shared" si="6"/>
        <v>1361829.099245711</v>
      </c>
      <c r="L109" s="111">
        <f t="shared" si="6"/>
        <v>1361829.099245711</v>
      </c>
      <c r="M109" s="111">
        <f t="shared" si="6"/>
        <v>1361829.099245711</v>
      </c>
      <c r="N109" s="111">
        <f t="shared" si="6"/>
        <v>1361829.099245711</v>
      </c>
      <c r="O109" s="111">
        <f t="shared" si="6"/>
        <v>1361829.099245711</v>
      </c>
      <c r="P109" s="111">
        <f t="shared" si="6"/>
        <v>1361829.099245711</v>
      </c>
      <c r="Q109" s="111">
        <f t="shared" si="6"/>
        <v>1361829.099245711</v>
      </c>
      <c r="R109" s="111">
        <f t="shared" si="6"/>
        <v>1361829.099245711</v>
      </c>
      <c r="S109" s="111">
        <f t="shared" si="6"/>
        <v>1361829.099245711</v>
      </c>
      <c r="T109" s="111">
        <f t="shared" si="6"/>
        <v>1361829.099245711</v>
      </c>
      <c r="U109" s="111">
        <f t="shared" si="6"/>
        <v>1361829.099245711</v>
      </c>
      <c r="V109" s="111">
        <f t="shared" si="6"/>
        <v>1361829.099245711</v>
      </c>
      <c r="W109" s="111">
        <f t="shared" si="6"/>
        <v>1361829.099245711</v>
      </c>
      <c r="X109" s="111">
        <f t="shared" si="6"/>
        <v>1361829.099245711</v>
      </c>
      <c r="Y109" s="111">
        <f t="shared" si="6"/>
        <v>1361829.099245711</v>
      </c>
      <c r="Z109" s="111">
        <f t="shared" si="6"/>
        <v>1361829.099245711</v>
      </c>
      <c r="AA109" s="111">
        <f t="shared" si="6"/>
        <v>1361829.099245711</v>
      </c>
      <c r="AB109" s="111">
        <f t="shared" si="6"/>
        <v>1361829.099245711</v>
      </c>
      <c r="AC109" s="111">
        <f t="shared" si="6"/>
        <v>1361829.099245711</v>
      </c>
      <c r="AD109" s="111">
        <f t="shared" si="6"/>
        <v>1361829.099245711</v>
      </c>
      <c r="AE109" s="111">
        <f t="shared" si="6"/>
        <v>1361829.099245711</v>
      </c>
      <c r="AF109" s="111">
        <f t="shared" si="6"/>
        <v>1361829.099245711</v>
      </c>
      <c r="AG109" s="111">
        <f t="shared" si="6"/>
        <v>1361829.099245711</v>
      </c>
      <c r="AH109" s="111">
        <f t="shared" si="6"/>
        <v>1361829.099245711</v>
      </c>
      <c r="AI109" s="111">
        <f t="shared" si="6"/>
        <v>1361829.099245711</v>
      </c>
      <c r="AJ109" s="111">
        <f t="shared" si="6"/>
        <v>1361829.099245711</v>
      </c>
      <c r="AK109" s="111">
        <f t="shared" si="6"/>
        <v>1361829.099245711</v>
      </c>
      <c r="AL109" s="111">
        <f t="shared" si="6"/>
        <v>1361829.099245711</v>
      </c>
      <c r="AM109" s="111">
        <f t="shared" si="6"/>
        <v>1361829.099245711</v>
      </c>
      <c r="AN109" s="111">
        <f t="shared" si="6"/>
        <v>1361829.099245711</v>
      </c>
      <c r="AO109" s="111">
        <f t="shared" si="6"/>
        <v>1361829.099245711</v>
      </c>
      <c r="AP109" s="111">
        <f t="shared" si="6"/>
        <v>1361829.099245711</v>
      </c>
      <c r="AQ109" s="111">
        <f t="shared" si="6"/>
        <v>1361829.099245711</v>
      </c>
      <c r="AR109" s="111">
        <f t="shared" si="6"/>
        <v>1361829.099245711</v>
      </c>
      <c r="AS109" s="111">
        <f t="shared" si="6"/>
        <v>1361829.099245711</v>
      </c>
      <c r="AT109" s="111">
        <f t="shared" si="6"/>
        <v>1361829.099245711</v>
      </c>
      <c r="AU109" s="111">
        <f t="shared" si="6"/>
        <v>1361829.099245711</v>
      </c>
      <c r="AV109" s="111">
        <f t="shared" si="6"/>
        <v>1361829.099245711</v>
      </c>
      <c r="AW109" s="111">
        <f t="shared" si="6"/>
        <v>1361829.099245711</v>
      </c>
      <c r="AX109" s="111">
        <f t="shared" si="6"/>
        <v>1361829.099245711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71085.531881622577</v>
      </c>
      <c r="D111" s="106">
        <v>71241.334038809975</v>
      </c>
      <c r="E111" s="106">
        <v>104911.02748708996</v>
      </c>
      <c r="F111" s="106">
        <v>104911.02748708996</v>
      </c>
      <c r="G111" s="106">
        <v>17927.17257045746</v>
      </c>
      <c r="H111" s="106">
        <v>104911.02748708996</v>
      </c>
      <c r="I111" s="106">
        <v>104911.02748708996</v>
      </c>
      <c r="J111" s="106">
        <v>104911.02748708996</v>
      </c>
      <c r="K111" s="106">
        <v>104911.02748708996</v>
      </c>
      <c r="L111" s="106">
        <v>104911.02748708996</v>
      </c>
      <c r="M111" s="106">
        <v>104911.02748708996</v>
      </c>
      <c r="N111" s="106">
        <v>104911.02748708996</v>
      </c>
      <c r="O111" s="106">
        <v>104911.02748708996</v>
      </c>
      <c r="P111" s="106">
        <v>104911.02748708996</v>
      </c>
      <c r="Q111" s="106">
        <v>104911.02748708996</v>
      </c>
      <c r="R111" s="106">
        <v>104911.02748708996</v>
      </c>
      <c r="S111" s="106">
        <v>104911.02748708996</v>
      </c>
      <c r="T111" s="106">
        <v>104911.02748708996</v>
      </c>
      <c r="U111" s="106">
        <v>104911.02748708996</v>
      </c>
      <c r="V111" s="106">
        <v>104911.02748708996</v>
      </c>
      <c r="W111" s="106">
        <v>104911.02748708996</v>
      </c>
      <c r="X111" s="106">
        <v>104911.02748708996</v>
      </c>
      <c r="Y111" s="106">
        <v>104911.02748708996</v>
      </c>
      <c r="Z111" s="106">
        <v>104911.02748708996</v>
      </c>
      <c r="AA111" s="106">
        <v>104911.02748708996</v>
      </c>
      <c r="AB111" s="106">
        <v>104911.02748708996</v>
      </c>
      <c r="AC111" s="106">
        <v>104911.02748708996</v>
      </c>
      <c r="AD111" s="106">
        <v>104911.02748708996</v>
      </c>
      <c r="AE111" s="106">
        <v>104911.02748708996</v>
      </c>
      <c r="AF111" s="106">
        <v>104911.02748708996</v>
      </c>
      <c r="AG111" s="106">
        <v>104911.02748708996</v>
      </c>
      <c r="AH111" s="106">
        <v>104911.02748708996</v>
      </c>
      <c r="AI111" s="106">
        <v>75951.951043329027</v>
      </c>
      <c r="AJ111" s="106">
        <v>76095.740201862922</v>
      </c>
      <c r="AK111" s="106">
        <v>104911.02748708996</v>
      </c>
      <c r="AL111" s="106">
        <v>104911.02748708996</v>
      </c>
      <c r="AM111" s="106">
        <v>104911.02748708996</v>
      </c>
      <c r="AN111" s="106">
        <v>104911.02748708996</v>
      </c>
      <c r="AO111" s="106">
        <v>104911.02748708996</v>
      </c>
      <c r="AP111" s="106">
        <v>104911.02748708996</v>
      </c>
      <c r="AQ111" s="106">
        <v>77079.314246720111</v>
      </c>
      <c r="AR111" s="106">
        <v>104911.02748708996</v>
      </c>
      <c r="AS111" s="106">
        <v>19338.069773478423</v>
      </c>
      <c r="AT111" s="106">
        <v>104911.02748708996</v>
      </c>
      <c r="AU111" s="106">
        <v>77621.33761483265</v>
      </c>
      <c r="AV111" s="106">
        <v>77754.347656603641</v>
      </c>
      <c r="AW111" s="106">
        <v>104911.02748708996</v>
      </c>
      <c r="AX111" s="106">
        <v>104911.02748708996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17365.896932027954</v>
      </c>
      <c r="D113" s="106">
        <v>17403.95874477502</v>
      </c>
      <c r="E113" s="106">
        <v>25629.323466382564</v>
      </c>
      <c r="F113" s="106">
        <v>25629.323466382564</v>
      </c>
      <c r="G113" s="106">
        <v>4379.5329780985621</v>
      </c>
      <c r="H113" s="106">
        <v>25629.323466382564</v>
      </c>
      <c r="I113" s="106">
        <v>25629.323466382564</v>
      </c>
      <c r="J113" s="106">
        <v>25629.323466382564</v>
      </c>
      <c r="K113" s="106">
        <v>25629.323466382564</v>
      </c>
      <c r="L113" s="106">
        <v>25629.323466382564</v>
      </c>
      <c r="M113" s="106">
        <v>25629.323466382564</v>
      </c>
      <c r="N113" s="106">
        <v>25629.323466382564</v>
      </c>
      <c r="O113" s="106">
        <v>25629.323466382564</v>
      </c>
      <c r="P113" s="106">
        <v>25629.323466382564</v>
      </c>
      <c r="Q113" s="106">
        <v>25629.323466382564</v>
      </c>
      <c r="R113" s="106">
        <v>25629.323466382564</v>
      </c>
      <c r="S113" s="106">
        <v>25629.323466382564</v>
      </c>
      <c r="T113" s="106">
        <v>25629.323466382564</v>
      </c>
      <c r="U113" s="106">
        <v>25629.323466382564</v>
      </c>
      <c r="V113" s="106">
        <v>25629.323466382564</v>
      </c>
      <c r="W113" s="106">
        <v>25629.323466382564</v>
      </c>
      <c r="X113" s="106">
        <v>25629.323466382564</v>
      </c>
      <c r="Y113" s="106">
        <v>25629.323466382564</v>
      </c>
      <c r="Z113" s="106">
        <v>25629.323466382564</v>
      </c>
      <c r="AA113" s="106">
        <v>25629.323466382564</v>
      </c>
      <c r="AB113" s="106">
        <v>25629.323466382564</v>
      </c>
      <c r="AC113" s="106">
        <v>25629.323466382564</v>
      </c>
      <c r="AD113" s="106">
        <v>25629.323466382564</v>
      </c>
      <c r="AE113" s="106">
        <v>25629.323466382564</v>
      </c>
      <c r="AF113" s="106">
        <v>25629.323466382564</v>
      </c>
      <c r="AG113" s="106">
        <v>25629.323466382564</v>
      </c>
      <c r="AH113" s="106">
        <v>25629.323466382564</v>
      </c>
      <c r="AI113" s="106">
        <v>18554.742697872014</v>
      </c>
      <c r="AJ113" s="106">
        <v>18589.869785493738</v>
      </c>
      <c r="AK113" s="106">
        <v>25629.323466382564</v>
      </c>
      <c r="AL113" s="106">
        <v>25629.323466382564</v>
      </c>
      <c r="AM113" s="106">
        <v>25629.323466382564</v>
      </c>
      <c r="AN113" s="106">
        <v>25629.323466382564</v>
      </c>
      <c r="AO113" s="106">
        <v>25629.323466382564</v>
      </c>
      <c r="AP113" s="106">
        <v>25629.323466382564</v>
      </c>
      <c r="AQ113" s="106">
        <v>18830.1527943689</v>
      </c>
      <c r="AR113" s="106">
        <v>25629.323466382564</v>
      </c>
      <c r="AS113" s="106">
        <v>4724.2092400719612</v>
      </c>
      <c r="AT113" s="106">
        <v>25629.323466382564</v>
      </c>
      <c r="AU113" s="106">
        <v>18962.566827101578</v>
      </c>
      <c r="AV113" s="106">
        <v>18995.060621762441</v>
      </c>
      <c r="AW113" s="106">
        <v>25629.323466382564</v>
      </c>
      <c r="AX113" s="106">
        <v>25629.323466382564</v>
      </c>
    </row>
    <row r="114" spans="1:50" x14ac:dyDescent="0.2">
      <c r="B114" s="111" t="s">
        <v>59</v>
      </c>
      <c r="C114" s="106">
        <v>324409.74967949017</v>
      </c>
      <c r="D114" s="106">
        <v>325120.77676861512</v>
      </c>
      <c r="E114" s="106">
        <v>478777.59742139117</v>
      </c>
      <c r="F114" s="106">
        <v>478777.59742139117</v>
      </c>
      <c r="G114" s="106">
        <v>81813.407202579358</v>
      </c>
      <c r="H114" s="106">
        <v>478777.59742139117</v>
      </c>
      <c r="I114" s="106">
        <v>478777.59742139117</v>
      </c>
      <c r="J114" s="106">
        <v>478777.59742139117</v>
      </c>
      <c r="K114" s="106">
        <v>478777.59742139117</v>
      </c>
      <c r="L114" s="106">
        <v>478777.59742139117</v>
      </c>
      <c r="M114" s="106">
        <v>478777.59742139117</v>
      </c>
      <c r="N114" s="106">
        <v>478777.59742139117</v>
      </c>
      <c r="O114" s="106">
        <v>478777.59742139117</v>
      </c>
      <c r="P114" s="106">
        <v>478777.59742139117</v>
      </c>
      <c r="Q114" s="106">
        <v>478777.59742139117</v>
      </c>
      <c r="R114" s="106">
        <v>478777.59742139117</v>
      </c>
      <c r="S114" s="106">
        <v>478777.59742139117</v>
      </c>
      <c r="T114" s="106">
        <v>478777.59742139117</v>
      </c>
      <c r="U114" s="106">
        <v>478777.59742139117</v>
      </c>
      <c r="V114" s="106">
        <v>478777.59742139117</v>
      </c>
      <c r="W114" s="106">
        <v>478777.59742139117</v>
      </c>
      <c r="X114" s="106">
        <v>478777.59742139117</v>
      </c>
      <c r="Y114" s="106">
        <v>478777.59742139117</v>
      </c>
      <c r="Z114" s="106">
        <v>478777.59742139117</v>
      </c>
      <c r="AA114" s="106">
        <v>478777.59742139117</v>
      </c>
      <c r="AB114" s="106">
        <v>478777.59742139117</v>
      </c>
      <c r="AC114" s="106">
        <v>478777.59742139117</v>
      </c>
      <c r="AD114" s="106">
        <v>478777.59742139117</v>
      </c>
      <c r="AE114" s="106">
        <v>478777.59742139117</v>
      </c>
      <c r="AF114" s="106">
        <v>478777.59742139117</v>
      </c>
      <c r="AG114" s="106">
        <v>478777.59742139117</v>
      </c>
      <c r="AH114" s="106">
        <v>478777.59742139117</v>
      </c>
      <c r="AI114" s="106">
        <v>346618.40143036493</v>
      </c>
      <c r="AJ114" s="106">
        <v>347274.60535389028</v>
      </c>
      <c r="AK114" s="106">
        <v>478777.59742139117</v>
      </c>
      <c r="AL114" s="106">
        <v>478777.59742139117</v>
      </c>
      <c r="AM114" s="106">
        <v>478777.59742139117</v>
      </c>
      <c r="AN114" s="106">
        <v>478777.59742139117</v>
      </c>
      <c r="AO114" s="106">
        <v>478777.59742139117</v>
      </c>
      <c r="AP114" s="106">
        <v>478777.59742139117</v>
      </c>
      <c r="AQ114" s="106">
        <v>351763.2966703556</v>
      </c>
      <c r="AR114" s="106">
        <v>478777.59742139117</v>
      </c>
      <c r="AS114" s="106">
        <v>88252.253425432937</v>
      </c>
      <c r="AT114" s="106">
        <v>478777.59742139117</v>
      </c>
      <c r="AU114" s="106">
        <v>354236.90361280128</v>
      </c>
      <c r="AV114" s="106">
        <v>354843.91538036661</v>
      </c>
      <c r="AW114" s="106">
        <v>478777.59742139117</v>
      </c>
      <c r="AX114" s="106">
        <v>478777.59742139117</v>
      </c>
    </row>
    <row r="115" spans="1:50" x14ac:dyDescent="0.2">
      <c r="B115" s="106" t="s">
        <v>278</v>
      </c>
      <c r="C115" s="111">
        <f>SUM(C$110:C$114)</f>
        <v>412861.17849314073</v>
      </c>
      <c r="D115" s="111">
        <f t="shared" ref="D115:AX115" si="7">SUM(D$110:D$114)</f>
        <v>413766.06955220015</v>
      </c>
      <c r="E115" s="111">
        <f t="shared" si="7"/>
        <v>609317.94837486371</v>
      </c>
      <c r="F115" s="111">
        <f t="shared" si="7"/>
        <v>609317.94837486371</v>
      </c>
      <c r="G115" s="111">
        <f t="shared" si="7"/>
        <v>104120.11275113538</v>
      </c>
      <c r="H115" s="111">
        <f t="shared" si="7"/>
        <v>609317.94837486371</v>
      </c>
      <c r="I115" s="111">
        <f t="shared" si="7"/>
        <v>609317.94837486371</v>
      </c>
      <c r="J115" s="111">
        <f t="shared" si="7"/>
        <v>609317.94837486371</v>
      </c>
      <c r="K115" s="111">
        <f t="shared" si="7"/>
        <v>609317.94837486371</v>
      </c>
      <c r="L115" s="111">
        <f t="shared" si="7"/>
        <v>609317.94837486371</v>
      </c>
      <c r="M115" s="111">
        <f t="shared" si="7"/>
        <v>609317.94837486371</v>
      </c>
      <c r="N115" s="111">
        <f t="shared" si="7"/>
        <v>609317.94837486371</v>
      </c>
      <c r="O115" s="111">
        <f t="shared" si="7"/>
        <v>609317.94837486371</v>
      </c>
      <c r="P115" s="111">
        <f t="shared" si="7"/>
        <v>609317.94837486371</v>
      </c>
      <c r="Q115" s="111">
        <f t="shared" si="7"/>
        <v>609317.94837486371</v>
      </c>
      <c r="R115" s="111">
        <f t="shared" si="7"/>
        <v>609317.94837486371</v>
      </c>
      <c r="S115" s="111">
        <f t="shared" si="7"/>
        <v>609317.94837486371</v>
      </c>
      <c r="T115" s="111">
        <f t="shared" si="7"/>
        <v>609317.94837486371</v>
      </c>
      <c r="U115" s="111">
        <f t="shared" si="7"/>
        <v>609317.94837486371</v>
      </c>
      <c r="V115" s="111">
        <f t="shared" si="7"/>
        <v>609317.94837486371</v>
      </c>
      <c r="W115" s="111">
        <f t="shared" si="7"/>
        <v>609317.94837486371</v>
      </c>
      <c r="X115" s="111">
        <f t="shared" si="7"/>
        <v>609317.94837486371</v>
      </c>
      <c r="Y115" s="111">
        <f t="shared" si="7"/>
        <v>609317.94837486371</v>
      </c>
      <c r="Z115" s="111">
        <f t="shared" si="7"/>
        <v>609317.94837486371</v>
      </c>
      <c r="AA115" s="111">
        <f t="shared" si="7"/>
        <v>609317.94837486371</v>
      </c>
      <c r="AB115" s="111">
        <f t="shared" si="7"/>
        <v>609317.94837486371</v>
      </c>
      <c r="AC115" s="111">
        <f t="shared" si="7"/>
        <v>609317.94837486371</v>
      </c>
      <c r="AD115" s="111">
        <f t="shared" si="7"/>
        <v>609317.94837486371</v>
      </c>
      <c r="AE115" s="111">
        <f t="shared" si="7"/>
        <v>609317.94837486371</v>
      </c>
      <c r="AF115" s="111">
        <f t="shared" si="7"/>
        <v>609317.94837486371</v>
      </c>
      <c r="AG115" s="111">
        <f t="shared" si="7"/>
        <v>609317.94837486371</v>
      </c>
      <c r="AH115" s="111">
        <f t="shared" si="7"/>
        <v>609317.94837486371</v>
      </c>
      <c r="AI115" s="111">
        <f t="shared" si="7"/>
        <v>441125.095171566</v>
      </c>
      <c r="AJ115" s="111">
        <f t="shared" si="7"/>
        <v>441960.21534124692</v>
      </c>
      <c r="AK115" s="111">
        <f t="shared" si="7"/>
        <v>609317.94837486371</v>
      </c>
      <c r="AL115" s="111">
        <f t="shared" si="7"/>
        <v>609317.94837486371</v>
      </c>
      <c r="AM115" s="111">
        <f t="shared" si="7"/>
        <v>609317.94837486371</v>
      </c>
      <c r="AN115" s="111">
        <f t="shared" si="7"/>
        <v>609317.94837486371</v>
      </c>
      <c r="AO115" s="111">
        <f t="shared" si="7"/>
        <v>609317.94837486371</v>
      </c>
      <c r="AP115" s="111">
        <f t="shared" si="7"/>
        <v>609317.94837486371</v>
      </c>
      <c r="AQ115" s="111">
        <f t="shared" si="7"/>
        <v>447672.76371144463</v>
      </c>
      <c r="AR115" s="111">
        <f t="shared" si="7"/>
        <v>609317.94837486371</v>
      </c>
      <c r="AS115" s="111">
        <f t="shared" si="7"/>
        <v>112314.53243898333</v>
      </c>
      <c r="AT115" s="111">
        <f t="shared" si="7"/>
        <v>609317.94837486371</v>
      </c>
      <c r="AU115" s="111">
        <f t="shared" si="7"/>
        <v>450820.80805473553</v>
      </c>
      <c r="AV115" s="111">
        <f t="shared" si="7"/>
        <v>451593.3236587327</v>
      </c>
      <c r="AW115" s="111">
        <f t="shared" si="7"/>
        <v>609317.94837486371</v>
      </c>
      <c r="AX115" s="111">
        <f t="shared" si="7"/>
        <v>609317.94837486371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221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547.49530524984243</v>
      </c>
      <c r="E7" s="150">
        <v>547.49530524984243</v>
      </c>
      <c r="F7" s="150">
        <v>547.49530524984243</v>
      </c>
      <c r="G7" s="150">
        <v>547.49530524984243</v>
      </c>
      <c r="H7" s="150">
        <v>486.66249355541549</v>
      </c>
      <c r="I7" s="150">
        <v>486.66249355541549</v>
      </c>
      <c r="J7" s="150">
        <v>486.66249355541549</v>
      </c>
      <c r="K7" s="150">
        <v>486.66249355541549</v>
      </c>
      <c r="L7" s="150">
        <v>486.66249355541549</v>
      </c>
      <c r="M7" s="150">
        <v>486.66249355541549</v>
      </c>
      <c r="N7" s="150">
        <v>486.66249355541549</v>
      </c>
      <c r="O7" s="150">
        <v>486.66249355541549</v>
      </c>
      <c r="P7" s="150">
        <v>547.49530524984243</v>
      </c>
      <c r="Q7" s="150">
        <v>547.49530524984243</v>
      </c>
      <c r="R7" s="150">
        <v>547.49530524984243</v>
      </c>
      <c r="S7" s="150">
        <v>547.49530524984243</v>
      </c>
      <c r="T7" s="150">
        <v>486.66249355541549</v>
      </c>
      <c r="U7" s="150">
        <v>486.66249355541549</v>
      </c>
      <c r="V7" s="150">
        <v>486.66249355541549</v>
      </c>
      <c r="W7" s="150">
        <v>486.66249355541549</v>
      </c>
      <c r="X7" s="150">
        <v>486.66249355541549</v>
      </c>
      <c r="Y7" s="150">
        <v>486.66249355541549</v>
      </c>
      <c r="Z7" s="150">
        <v>486.66249355541549</v>
      </c>
      <c r="AA7" s="150">
        <v>486.66249355541549</v>
      </c>
      <c r="AB7" s="150">
        <v>547.49530524984243</v>
      </c>
      <c r="AC7" s="150">
        <v>547.49530524984243</v>
      </c>
      <c r="AD7" s="150">
        <v>547.49530524984243</v>
      </c>
      <c r="AE7" s="150">
        <v>547.49530524984243</v>
      </c>
      <c r="AF7" s="150">
        <v>486.66249355541549</v>
      </c>
      <c r="AG7" s="150">
        <v>486.66249355541549</v>
      </c>
      <c r="AH7" s="150">
        <v>486.66249355541549</v>
      </c>
      <c r="AI7" s="150">
        <v>486.66249355541549</v>
      </c>
      <c r="AJ7" s="150">
        <v>486.66249355541549</v>
      </c>
      <c r="AK7" s="150">
        <v>486.66249355541549</v>
      </c>
      <c r="AL7" s="150">
        <v>486.66249355541549</v>
      </c>
      <c r="AM7" s="150">
        <v>486.66249355541549</v>
      </c>
      <c r="AN7" s="150">
        <v>547.49530524984243</v>
      </c>
      <c r="AO7" s="150">
        <v>547.49530524984243</v>
      </c>
      <c r="AP7" s="150">
        <v>547.49530524984243</v>
      </c>
      <c r="AQ7" s="150">
        <v>547.49530524984243</v>
      </c>
      <c r="AR7" s="150">
        <v>486.66249355541549</v>
      </c>
      <c r="AS7" s="150">
        <v>486.66249355541549</v>
      </c>
      <c r="AT7" s="150">
        <v>486.66249355541549</v>
      </c>
      <c r="AU7" s="150">
        <v>486.66249355541549</v>
      </c>
      <c r="AV7" s="150">
        <v>486.66249355541549</v>
      </c>
      <c r="AW7" s="150">
        <v>486.66249355541549</v>
      </c>
      <c r="AX7" s="150">
        <v>486.66249355541549</v>
      </c>
      <c r="AY7" s="150">
        <v>486.66249355541549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326.49530524984243</v>
      </c>
      <c r="E10" s="150">
        <f t="shared" si="0"/>
        <v>326.49530524984243</v>
      </c>
      <c r="F10" s="150">
        <f t="shared" si="0"/>
        <v>326.49530524984243</v>
      </c>
      <c r="G10" s="150">
        <f t="shared" si="0"/>
        <v>326.49530524984243</v>
      </c>
      <c r="H10" s="150">
        <f t="shared" si="0"/>
        <v>486.66249355541549</v>
      </c>
      <c r="I10" s="150">
        <f t="shared" si="0"/>
        <v>265.66249355541549</v>
      </c>
      <c r="J10" s="150">
        <f t="shared" si="0"/>
        <v>265.66249355541549</v>
      </c>
      <c r="K10" s="150">
        <f t="shared" si="0"/>
        <v>265.66249355541549</v>
      </c>
      <c r="L10" s="150">
        <f t="shared" si="0"/>
        <v>265.66249355541549</v>
      </c>
      <c r="M10" s="150">
        <f t="shared" si="0"/>
        <v>265.66249355541549</v>
      </c>
      <c r="N10" s="150">
        <f t="shared" si="0"/>
        <v>265.66249355541549</v>
      </c>
      <c r="O10" s="150">
        <f t="shared" si="0"/>
        <v>265.66249355541549</v>
      </c>
      <c r="P10" s="150">
        <f t="shared" si="0"/>
        <v>326.49530524984243</v>
      </c>
      <c r="Q10" s="150">
        <f t="shared" si="0"/>
        <v>326.49530524984243</v>
      </c>
      <c r="R10" s="150">
        <f t="shared" si="0"/>
        <v>326.49530524984243</v>
      </c>
      <c r="S10" s="150">
        <f t="shared" si="0"/>
        <v>326.49530524984243</v>
      </c>
      <c r="T10" s="150">
        <f t="shared" si="0"/>
        <v>265.66249355541549</v>
      </c>
      <c r="U10" s="150">
        <f t="shared" si="0"/>
        <v>265.66249355541549</v>
      </c>
      <c r="V10" s="150">
        <f t="shared" si="0"/>
        <v>265.66249355541549</v>
      </c>
      <c r="W10" s="150">
        <f t="shared" si="0"/>
        <v>486.66249355541549</v>
      </c>
      <c r="X10" s="150">
        <f t="shared" si="0"/>
        <v>265.66249355541549</v>
      </c>
      <c r="Y10" s="150">
        <f t="shared" si="0"/>
        <v>265.66249355541549</v>
      </c>
      <c r="Z10" s="150">
        <f t="shared" si="0"/>
        <v>265.66249355541549</v>
      </c>
      <c r="AA10" s="150">
        <f t="shared" si="0"/>
        <v>265.66249355541549</v>
      </c>
      <c r="AB10" s="150">
        <f t="shared" si="0"/>
        <v>326.49530524984243</v>
      </c>
      <c r="AC10" s="150">
        <f t="shared" si="0"/>
        <v>326.49530524984243</v>
      </c>
      <c r="AD10" s="150">
        <f t="shared" si="0"/>
        <v>326.49530524984243</v>
      </c>
      <c r="AE10" s="150">
        <f t="shared" si="0"/>
        <v>326.49530524984243</v>
      </c>
      <c r="AF10" s="150">
        <f t="shared" si="0"/>
        <v>265.66249355541549</v>
      </c>
      <c r="AG10" s="150">
        <f t="shared" si="0"/>
        <v>265.66249355541549</v>
      </c>
      <c r="AH10" s="150">
        <f t="shared" si="0"/>
        <v>265.66249355541549</v>
      </c>
      <c r="AI10" s="150">
        <f t="shared" si="0"/>
        <v>265.66249355541549</v>
      </c>
      <c r="AJ10" s="150">
        <f t="shared" si="0"/>
        <v>265.66249355541549</v>
      </c>
      <c r="AK10" s="150">
        <f t="shared" si="0"/>
        <v>265.66249355541549</v>
      </c>
      <c r="AL10" s="150">
        <f t="shared" si="0"/>
        <v>265.66249355541549</v>
      </c>
      <c r="AM10" s="150">
        <f t="shared" si="0"/>
        <v>265.66249355541549</v>
      </c>
      <c r="AN10" s="150">
        <f t="shared" si="0"/>
        <v>326.49530524984243</v>
      </c>
      <c r="AO10" s="150">
        <f t="shared" si="0"/>
        <v>326.49530524984243</v>
      </c>
      <c r="AP10" s="150">
        <f t="shared" si="0"/>
        <v>326.49530524984243</v>
      </c>
      <c r="AQ10" s="150">
        <f t="shared" si="0"/>
        <v>547.49530524984243</v>
      </c>
      <c r="AR10" s="150">
        <f t="shared" si="0"/>
        <v>265.66249355541549</v>
      </c>
      <c r="AS10" s="150">
        <f t="shared" si="0"/>
        <v>265.66249355541549</v>
      </c>
      <c r="AT10" s="150">
        <f t="shared" si="0"/>
        <v>265.66249355541549</v>
      </c>
      <c r="AU10" s="150">
        <f t="shared" si="0"/>
        <v>265.66249355541549</v>
      </c>
      <c r="AV10" s="150">
        <f t="shared" si="0"/>
        <v>265.66249355541549</v>
      </c>
      <c r="AW10" s="150">
        <f t="shared" si="0"/>
        <v>265.66249355541549</v>
      </c>
      <c r="AX10" s="150">
        <f t="shared" si="0"/>
        <v>265.66249355541549</v>
      </c>
      <c r="AY10" s="150">
        <f t="shared" si="0"/>
        <v>265.66249355541549</v>
      </c>
      <c r="AZ10" s="157">
        <f>SUM($D10:$AY10)</f>
        <v>14388.124677770773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0</v>
      </c>
      <c r="D13" s="144">
        <f t="shared" ref="D13:AY13" si="1">D$7-D$10</f>
        <v>221</v>
      </c>
      <c r="E13" s="144">
        <f t="shared" si="1"/>
        <v>221</v>
      </c>
      <c r="F13" s="144">
        <f t="shared" si="1"/>
        <v>221</v>
      </c>
      <c r="G13" s="144">
        <f t="shared" si="1"/>
        <v>221</v>
      </c>
      <c r="H13" s="144">
        <f t="shared" si="1"/>
        <v>0</v>
      </c>
      <c r="I13" s="144">
        <f t="shared" si="1"/>
        <v>221</v>
      </c>
      <c r="J13" s="144">
        <f t="shared" si="1"/>
        <v>221</v>
      </c>
      <c r="K13" s="144">
        <f t="shared" si="1"/>
        <v>221</v>
      </c>
      <c r="L13" s="144">
        <f t="shared" si="1"/>
        <v>221</v>
      </c>
      <c r="M13" s="144">
        <f t="shared" si="1"/>
        <v>221</v>
      </c>
      <c r="N13" s="144">
        <f t="shared" si="1"/>
        <v>221</v>
      </c>
      <c r="O13" s="144">
        <f t="shared" si="1"/>
        <v>221</v>
      </c>
      <c r="P13" s="144">
        <f t="shared" si="1"/>
        <v>221</v>
      </c>
      <c r="Q13" s="144">
        <f t="shared" si="1"/>
        <v>221</v>
      </c>
      <c r="R13" s="144">
        <f t="shared" si="1"/>
        <v>221</v>
      </c>
      <c r="S13" s="144">
        <f t="shared" si="1"/>
        <v>221</v>
      </c>
      <c r="T13" s="144">
        <f t="shared" si="1"/>
        <v>221</v>
      </c>
      <c r="U13" s="144">
        <f t="shared" si="1"/>
        <v>221</v>
      </c>
      <c r="V13" s="144">
        <f t="shared" si="1"/>
        <v>221</v>
      </c>
      <c r="W13" s="144">
        <f t="shared" si="1"/>
        <v>0</v>
      </c>
      <c r="X13" s="144">
        <f t="shared" si="1"/>
        <v>221</v>
      </c>
      <c r="Y13" s="144">
        <f t="shared" si="1"/>
        <v>221</v>
      </c>
      <c r="Z13" s="144">
        <f t="shared" si="1"/>
        <v>221</v>
      </c>
      <c r="AA13" s="144">
        <f t="shared" si="1"/>
        <v>221</v>
      </c>
      <c r="AB13" s="144">
        <f t="shared" si="1"/>
        <v>221</v>
      </c>
      <c r="AC13" s="144">
        <f t="shared" si="1"/>
        <v>221</v>
      </c>
      <c r="AD13" s="144">
        <f t="shared" si="1"/>
        <v>221</v>
      </c>
      <c r="AE13" s="144">
        <f t="shared" si="1"/>
        <v>221</v>
      </c>
      <c r="AF13" s="144">
        <f t="shared" si="1"/>
        <v>221</v>
      </c>
      <c r="AG13" s="144">
        <f t="shared" si="1"/>
        <v>221</v>
      </c>
      <c r="AH13" s="144">
        <f t="shared" si="1"/>
        <v>221</v>
      </c>
      <c r="AI13" s="144">
        <f t="shared" si="1"/>
        <v>221</v>
      </c>
      <c r="AJ13" s="144">
        <f t="shared" si="1"/>
        <v>221</v>
      </c>
      <c r="AK13" s="144">
        <f t="shared" si="1"/>
        <v>221</v>
      </c>
      <c r="AL13" s="144">
        <f t="shared" si="1"/>
        <v>221</v>
      </c>
      <c r="AM13" s="144">
        <f t="shared" si="1"/>
        <v>221</v>
      </c>
      <c r="AN13" s="144">
        <f t="shared" si="1"/>
        <v>221</v>
      </c>
      <c r="AO13" s="144">
        <f t="shared" si="1"/>
        <v>221</v>
      </c>
      <c r="AP13" s="144">
        <f t="shared" si="1"/>
        <v>221</v>
      </c>
      <c r="AQ13" s="144">
        <f t="shared" si="1"/>
        <v>0</v>
      </c>
      <c r="AR13" s="144">
        <f t="shared" si="1"/>
        <v>221</v>
      </c>
      <c r="AS13" s="144">
        <f t="shared" si="1"/>
        <v>221</v>
      </c>
      <c r="AT13" s="144">
        <f t="shared" si="1"/>
        <v>221</v>
      </c>
      <c r="AU13" s="144">
        <f t="shared" si="1"/>
        <v>221</v>
      </c>
      <c r="AV13" s="144">
        <f t="shared" si="1"/>
        <v>221</v>
      </c>
      <c r="AW13" s="144">
        <f t="shared" si="1"/>
        <v>221</v>
      </c>
      <c r="AX13" s="144">
        <f t="shared" si="1"/>
        <v>221</v>
      </c>
      <c r="AY13" s="144">
        <f t="shared" si="1"/>
        <v>221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221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221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221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 t="s">
        <v>339</v>
      </c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 t="s">
        <v>339</v>
      </c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 t="s">
        <v>339</v>
      </c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0</v>
      </c>
      <c r="E21" s="112">
        <f t="shared" ref="E21:AY21" si="3">IF(D$20="Yes",0,SUM(D$13:D$16)*$B$21)</f>
        <v>221</v>
      </c>
      <c r="F21" s="112">
        <f t="shared" si="3"/>
        <v>221</v>
      </c>
      <c r="G21" s="112">
        <f t="shared" si="3"/>
        <v>221</v>
      </c>
      <c r="H21" s="112">
        <f t="shared" si="3"/>
        <v>0</v>
      </c>
      <c r="I21" s="112">
        <f t="shared" si="3"/>
        <v>221</v>
      </c>
      <c r="J21" s="112">
        <f t="shared" si="3"/>
        <v>221</v>
      </c>
      <c r="K21" s="112">
        <f t="shared" si="3"/>
        <v>221</v>
      </c>
      <c r="L21" s="112">
        <f t="shared" si="3"/>
        <v>221</v>
      </c>
      <c r="M21" s="112">
        <f t="shared" si="3"/>
        <v>221</v>
      </c>
      <c r="N21" s="112">
        <f t="shared" si="3"/>
        <v>221</v>
      </c>
      <c r="O21" s="112">
        <f t="shared" si="3"/>
        <v>221</v>
      </c>
      <c r="P21" s="112">
        <f t="shared" si="3"/>
        <v>221</v>
      </c>
      <c r="Q21" s="112">
        <f t="shared" si="3"/>
        <v>221</v>
      </c>
      <c r="R21" s="112">
        <f t="shared" si="3"/>
        <v>221</v>
      </c>
      <c r="S21" s="112">
        <f t="shared" si="3"/>
        <v>221</v>
      </c>
      <c r="T21" s="112">
        <f t="shared" si="3"/>
        <v>221</v>
      </c>
      <c r="U21" s="112">
        <f t="shared" si="3"/>
        <v>221</v>
      </c>
      <c r="V21" s="112">
        <f t="shared" si="3"/>
        <v>221</v>
      </c>
      <c r="W21" s="112">
        <f t="shared" si="3"/>
        <v>0</v>
      </c>
      <c r="X21" s="112">
        <f t="shared" si="3"/>
        <v>221</v>
      </c>
      <c r="Y21" s="112">
        <f t="shared" si="3"/>
        <v>221</v>
      </c>
      <c r="Z21" s="112">
        <f t="shared" si="3"/>
        <v>221</v>
      </c>
      <c r="AA21" s="112">
        <f t="shared" si="3"/>
        <v>221</v>
      </c>
      <c r="AB21" s="112">
        <f t="shared" si="3"/>
        <v>221</v>
      </c>
      <c r="AC21" s="112">
        <f t="shared" si="3"/>
        <v>221</v>
      </c>
      <c r="AD21" s="112">
        <f t="shared" si="3"/>
        <v>221</v>
      </c>
      <c r="AE21" s="112">
        <f t="shared" si="3"/>
        <v>221</v>
      </c>
      <c r="AF21" s="112">
        <f t="shared" si="3"/>
        <v>221</v>
      </c>
      <c r="AG21" s="112">
        <f t="shared" si="3"/>
        <v>221</v>
      </c>
      <c r="AH21" s="112">
        <f t="shared" si="3"/>
        <v>221</v>
      </c>
      <c r="AI21" s="112">
        <f t="shared" si="3"/>
        <v>221</v>
      </c>
      <c r="AJ21" s="112">
        <f t="shared" si="3"/>
        <v>221</v>
      </c>
      <c r="AK21" s="112">
        <f t="shared" si="3"/>
        <v>221</v>
      </c>
      <c r="AL21" s="112">
        <f t="shared" si="3"/>
        <v>221</v>
      </c>
      <c r="AM21" s="112">
        <f t="shared" si="3"/>
        <v>221</v>
      </c>
      <c r="AN21" s="112">
        <f t="shared" si="3"/>
        <v>221</v>
      </c>
      <c r="AO21" s="112">
        <f t="shared" si="3"/>
        <v>221</v>
      </c>
      <c r="AP21" s="112">
        <f t="shared" si="3"/>
        <v>221</v>
      </c>
      <c r="AQ21" s="112">
        <f t="shared" si="3"/>
        <v>0</v>
      </c>
      <c r="AR21" s="112">
        <f t="shared" si="3"/>
        <v>221</v>
      </c>
      <c r="AS21" s="112">
        <f t="shared" si="3"/>
        <v>221</v>
      </c>
      <c r="AT21" s="112">
        <f t="shared" si="3"/>
        <v>221</v>
      </c>
      <c r="AU21" s="112">
        <f t="shared" si="3"/>
        <v>221</v>
      </c>
      <c r="AV21" s="112">
        <f t="shared" si="3"/>
        <v>221</v>
      </c>
      <c r="AW21" s="112">
        <f t="shared" si="3"/>
        <v>221</v>
      </c>
      <c r="AX21" s="112">
        <f t="shared" si="3"/>
        <v>221</v>
      </c>
      <c r="AY21" s="112">
        <f t="shared" si="3"/>
        <v>221</v>
      </c>
      <c r="AZ21" s="163">
        <f>SUM($D21:$AY21)</f>
        <v>9724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0</v>
      </c>
      <c r="E23" s="106">
        <f t="shared" ref="E23:AY23" si="6">E$21*$B$23</f>
        <v>442000</v>
      </c>
      <c r="F23" s="106">
        <f t="shared" si="6"/>
        <v>442000</v>
      </c>
      <c r="G23" s="106">
        <f t="shared" si="6"/>
        <v>442000</v>
      </c>
      <c r="H23" s="106">
        <f t="shared" si="6"/>
        <v>0</v>
      </c>
      <c r="I23" s="106">
        <f t="shared" si="6"/>
        <v>442000</v>
      </c>
      <c r="J23" s="106">
        <f t="shared" si="6"/>
        <v>442000</v>
      </c>
      <c r="K23" s="106">
        <f t="shared" si="6"/>
        <v>442000</v>
      </c>
      <c r="L23" s="106">
        <f t="shared" si="6"/>
        <v>442000</v>
      </c>
      <c r="M23" s="106">
        <f t="shared" si="6"/>
        <v>442000</v>
      </c>
      <c r="N23" s="106">
        <f t="shared" si="6"/>
        <v>442000</v>
      </c>
      <c r="O23" s="106">
        <f t="shared" si="6"/>
        <v>442000</v>
      </c>
      <c r="P23" s="106">
        <f t="shared" si="6"/>
        <v>442000</v>
      </c>
      <c r="Q23" s="106">
        <f t="shared" si="6"/>
        <v>442000</v>
      </c>
      <c r="R23" s="106">
        <f t="shared" si="6"/>
        <v>442000</v>
      </c>
      <c r="S23" s="106">
        <f t="shared" si="6"/>
        <v>442000</v>
      </c>
      <c r="T23" s="106">
        <f t="shared" si="6"/>
        <v>442000</v>
      </c>
      <c r="U23" s="106">
        <f t="shared" si="6"/>
        <v>442000</v>
      </c>
      <c r="V23" s="106">
        <f t="shared" si="6"/>
        <v>442000</v>
      </c>
      <c r="W23" s="106">
        <f t="shared" si="6"/>
        <v>0</v>
      </c>
      <c r="X23" s="106">
        <f t="shared" si="6"/>
        <v>442000</v>
      </c>
      <c r="Y23" s="106">
        <f t="shared" si="6"/>
        <v>442000</v>
      </c>
      <c r="Z23" s="106">
        <f t="shared" si="6"/>
        <v>442000</v>
      </c>
      <c r="AA23" s="106">
        <f t="shared" si="6"/>
        <v>442000</v>
      </c>
      <c r="AB23" s="106">
        <f t="shared" si="6"/>
        <v>442000</v>
      </c>
      <c r="AC23" s="106">
        <f t="shared" si="6"/>
        <v>442000</v>
      </c>
      <c r="AD23" s="106">
        <f t="shared" si="6"/>
        <v>442000</v>
      </c>
      <c r="AE23" s="106">
        <f t="shared" si="6"/>
        <v>442000</v>
      </c>
      <c r="AF23" s="106">
        <f t="shared" si="6"/>
        <v>442000</v>
      </c>
      <c r="AG23" s="106">
        <f t="shared" si="6"/>
        <v>442000</v>
      </c>
      <c r="AH23" s="106">
        <f t="shared" si="6"/>
        <v>442000</v>
      </c>
      <c r="AI23" s="106">
        <f t="shared" si="6"/>
        <v>442000</v>
      </c>
      <c r="AJ23" s="106">
        <f t="shared" si="6"/>
        <v>442000</v>
      </c>
      <c r="AK23" s="106">
        <f t="shared" si="6"/>
        <v>442000</v>
      </c>
      <c r="AL23" s="106">
        <f t="shared" si="6"/>
        <v>442000</v>
      </c>
      <c r="AM23" s="106">
        <f t="shared" si="6"/>
        <v>442000</v>
      </c>
      <c r="AN23" s="106">
        <f t="shared" si="6"/>
        <v>442000</v>
      </c>
      <c r="AO23" s="106">
        <f t="shared" si="6"/>
        <v>442000</v>
      </c>
      <c r="AP23" s="106">
        <f t="shared" si="6"/>
        <v>442000</v>
      </c>
      <c r="AQ23" s="106">
        <f t="shared" si="6"/>
        <v>0</v>
      </c>
      <c r="AR23" s="106">
        <f t="shared" si="6"/>
        <v>442000</v>
      </c>
      <c r="AS23" s="106">
        <f t="shared" si="6"/>
        <v>442000</v>
      </c>
      <c r="AT23" s="106">
        <f t="shared" si="6"/>
        <v>442000</v>
      </c>
      <c r="AU23" s="106">
        <f t="shared" si="6"/>
        <v>442000</v>
      </c>
      <c r="AV23" s="106">
        <f t="shared" si="6"/>
        <v>442000</v>
      </c>
      <c r="AW23" s="106">
        <f t="shared" si="6"/>
        <v>442000</v>
      </c>
      <c r="AX23" s="106">
        <f t="shared" si="6"/>
        <v>442000</v>
      </c>
      <c r="AY23" s="106">
        <f t="shared" si="6"/>
        <v>442000</v>
      </c>
      <c r="AZ23" s="145">
        <f t="shared" si="5"/>
        <v>19448000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0</v>
      </c>
      <c r="E27" s="130">
        <f t="shared" ref="E27:AY27" si="8">D27-D28+D29</f>
        <v>0</v>
      </c>
      <c r="F27" s="130">
        <f t="shared" si="8"/>
        <v>0</v>
      </c>
      <c r="G27" s="130">
        <f t="shared" si="8"/>
        <v>0</v>
      </c>
      <c r="H27" s="130">
        <f t="shared" si="8"/>
        <v>0</v>
      </c>
      <c r="I27" s="130">
        <f t="shared" si="8"/>
        <v>0</v>
      </c>
      <c r="J27" s="130">
        <f t="shared" si="8"/>
        <v>0</v>
      </c>
      <c r="K27" s="130">
        <f t="shared" si="8"/>
        <v>0</v>
      </c>
      <c r="L27" s="130">
        <f t="shared" si="8"/>
        <v>0</v>
      </c>
      <c r="M27" s="130">
        <f t="shared" si="8"/>
        <v>0</v>
      </c>
      <c r="N27" s="130">
        <f t="shared" si="8"/>
        <v>0</v>
      </c>
      <c r="O27" s="130">
        <f t="shared" si="8"/>
        <v>0</v>
      </c>
      <c r="P27" s="130">
        <f t="shared" si="8"/>
        <v>0</v>
      </c>
      <c r="Q27" s="130">
        <f t="shared" si="8"/>
        <v>0</v>
      </c>
      <c r="R27" s="130">
        <f t="shared" si="8"/>
        <v>0</v>
      </c>
      <c r="S27" s="130">
        <f t="shared" si="8"/>
        <v>0</v>
      </c>
      <c r="T27" s="130">
        <f t="shared" si="8"/>
        <v>0</v>
      </c>
      <c r="U27" s="130">
        <f t="shared" si="8"/>
        <v>0</v>
      </c>
      <c r="V27" s="130">
        <f t="shared" si="8"/>
        <v>0</v>
      </c>
      <c r="W27" s="130">
        <f t="shared" si="8"/>
        <v>0</v>
      </c>
      <c r="X27" s="130">
        <f t="shared" si="8"/>
        <v>0</v>
      </c>
      <c r="Y27" s="130">
        <f t="shared" si="8"/>
        <v>0</v>
      </c>
      <c r="Z27" s="130">
        <f t="shared" si="8"/>
        <v>0</v>
      </c>
      <c r="AA27" s="130">
        <f t="shared" si="8"/>
        <v>0</v>
      </c>
      <c r="AB27" s="130">
        <f t="shared" si="8"/>
        <v>0</v>
      </c>
      <c r="AC27" s="130">
        <f t="shared" si="8"/>
        <v>0</v>
      </c>
      <c r="AD27" s="130">
        <f t="shared" si="8"/>
        <v>0</v>
      </c>
      <c r="AE27" s="130">
        <f t="shared" si="8"/>
        <v>0</v>
      </c>
      <c r="AF27" s="130">
        <f t="shared" si="8"/>
        <v>0</v>
      </c>
      <c r="AG27" s="130">
        <f t="shared" si="8"/>
        <v>0</v>
      </c>
      <c r="AH27" s="130">
        <f t="shared" si="8"/>
        <v>0</v>
      </c>
      <c r="AI27" s="130">
        <f t="shared" si="8"/>
        <v>0</v>
      </c>
      <c r="AJ27" s="130">
        <f t="shared" si="8"/>
        <v>0</v>
      </c>
      <c r="AK27" s="130">
        <f t="shared" si="8"/>
        <v>0</v>
      </c>
      <c r="AL27" s="130">
        <f t="shared" si="8"/>
        <v>0</v>
      </c>
      <c r="AM27" s="130">
        <f t="shared" si="8"/>
        <v>0</v>
      </c>
      <c r="AN27" s="130">
        <f t="shared" si="8"/>
        <v>0</v>
      </c>
      <c r="AO27" s="130">
        <f t="shared" si="8"/>
        <v>0</v>
      </c>
      <c r="AP27" s="130">
        <f t="shared" si="8"/>
        <v>0</v>
      </c>
      <c r="AQ27" s="130">
        <f t="shared" si="8"/>
        <v>0</v>
      </c>
      <c r="AR27" s="130">
        <f t="shared" si="8"/>
        <v>0</v>
      </c>
      <c r="AS27" s="130">
        <f t="shared" si="8"/>
        <v>0</v>
      </c>
      <c r="AT27" s="130">
        <f t="shared" si="8"/>
        <v>0</v>
      </c>
      <c r="AU27" s="130">
        <f t="shared" si="8"/>
        <v>0</v>
      </c>
      <c r="AV27" s="130">
        <f t="shared" si="8"/>
        <v>0</v>
      </c>
      <c r="AW27" s="130">
        <f t="shared" si="8"/>
        <v>0</v>
      </c>
      <c r="AX27" s="130">
        <f t="shared" si="8"/>
        <v>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0</v>
      </c>
      <c r="F30" s="123">
        <f t="shared" si="10"/>
        <v>0</v>
      </c>
      <c r="G30" s="123">
        <f t="shared" si="10"/>
        <v>0</v>
      </c>
      <c r="H30" s="123">
        <f t="shared" si="10"/>
        <v>0</v>
      </c>
      <c r="I30" s="123">
        <f t="shared" si="10"/>
        <v>0</v>
      </c>
      <c r="J30" s="123">
        <f t="shared" si="10"/>
        <v>0</v>
      </c>
      <c r="K30" s="123">
        <f t="shared" si="10"/>
        <v>0</v>
      </c>
      <c r="L30" s="123">
        <f t="shared" si="10"/>
        <v>0</v>
      </c>
      <c r="M30" s="123">
        <f t="shared" si="10"/>
        <v>0</v>
      </c>
      <c r="N30" s="123">
        <f t="shared" si="10"/>
        <v>0</v>
      </c>
      <c r="O30" s="123">
        <f t="shared" si="10"/>
        <v>0</v>
      </c>
      <c r="P30" s="123">
        <f t="shared" si="10"/>
        <v>0</v>
      </c>
      <c r="Q30" s="123">
        <f t="shared" si="10"/>
        <v>0</v>
      </c>
      <c r="R30" s="123">
        <f>R$27*$B$30</f>
        <v>0</v>
      </c>
      <c r="S30" s="123">
        <f t="shared" si="10"/>
        <v>0</v>
      </c>
      <c r="T30" s="123">
        <f t="shared" si="10"/>
        <v>0</v>
      </c>
      <c r="U30" s="123">
        <f t="shared" si="10"/>
        <v>0</v>
      </c>
      <c r="V30" s="123">
        <f t="shared" si="10"/>
        <v>0</v>
      </c>
      <c r="W30" s="123">
        <f t="shared" si="10"/>
        <v>0</v>
      </c>
      <c r="X30" s="123">
        <f t="shared" si="10"/>
        <v>0</v>
      </c>
      <c r="Y30" s="123">
        <f t="shared" si="10"/>
        <v>0</v>
      </c>
      <c r="Z30" s="123">
        <f t="shared" si="10"/>
        <v>0</v>
      </c>
      <c r="AA30" s="123">
        <f t="shared" si="10"/>
        <v>0</v>
      </c>
      <c r="AB30" s="123">
        <f t="shared" si="10"/>
        <v>0</v>
      </c>
      <c r="AC30" s="123">
        <f t="shared" si="10"/>
        <v>0</v>
      </c>
      <c r="AD30" s="123">
        <f t="shared" si="10"/>
        <v>0</v>
      </c>
      <c r="AE30" s="123">
        <f>AE$27*$B$30</f>
        <v>0</v>
      </c>
      <c r="AF30" s="123">
        <f t="shared" si="10"/>
        <v>0</v>
      </c>
      <c r="AG30" s="123">
        <f t="shared" si="10"/>
        <v>0</v>
      </c>
      <c r="AH30" s="123">
        <f t="shared" si="10"/>
        <v>0</v>
      </c>
      <c r="AI30" s="123">
        <f t="shared" si="10"/>
        <v>0</v>
      </c>
      <c r="AJ30" s="123">
        <f t="shared" si="10"/>
        <v>0</v>
      </c>
      <c r="AK30" s="123">
        <f t="shared" si="10"/>
        <v>0</v>
      </c>
      <c r="AL30" s="123">
        <f t="shared" si="10"/>
        <v>0</v>
      </c>
      <c r="AM30" s="123">
        <f t="shared" si="10"/>
        <v>0</v>
      </c>
      <c r="AN30" s="123">
        <f t="shared" si="10"/>
        <v>0</v>
      </c>
      <c r="AO30" s="123">
        <f t="shared" si="10"/>
        <v>0</v>
      </c>
      <c r="AP30" s="123">
        <f t="shared" si="10"/>
        <v>0</v>
      </c>
      <c r="AQ30" s="123">
        <f t="shared" si="10"/>
        <v>0</v>
      </c>
      <c r="AR30" s="123">
        <f t="shared" si="10"/>
        <v>0</v>
      </c>
      <c r="AS30" s="123">
        <f t="shared" si="10"/>
        <v>0</v>
      </c>
      <c r="AT30" s="123">
        <f t="shared" si="10"/>
        <v>0</v>
      </c>
      <c r="AU30" s="123">
        <f t="shared" si="10"/>
        <v>0</v>
      </c>
      <c r="AV30" s="123">
        <f t="shared" si="10"/>
        <v>0</v>
      </c>
      <c r="AW30" s="123">
        <f t="shared" si="10"/>
        <v>0</v>
      </c>
      <c r="AX30" s="123">
        <f t="shared" si="10"/>
        <v>0</v>
      </c>
      <c r="AY30" s="123">
        <f t="shared" si="10"/>
        <v>0</v>
      </c>
      <c r="AZ30" s="147">
        <f t="shared" si="5"/>
        <v>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0</v>
      </c>
      <c r="E33" s="130">
        <f>E$21*shipping_manufacturing!$D$27/100</f>
        <v>221</v>
      </c>
      <c r="F33" s="130">
        <f>F$21*shipping_manufacturing!$D$27/100</f>
        <v>221</v>
      </c>
      <c r="G33" s="130">
        <f>G$21*shipping_manufacturing!$D$27/100</f>
        <v>221</v>
      </c>
      <c r="H33" s="130">
        <f>H$21*shipping_manufacturing!$D$27/100</f>
        <v>0</v>
      </c>
      <c r="I33" s="130">
        <f>I$21*shipping_manufacturing!$D$27/100</f>
        <v>221</v>
      </c>
      <c r="J33" s="130">
        <f>J$21*shipping_manufacturing!$D$27/100</f>
        <v>221</v>
      </c>
      <c r="K33" s="130">
        <f>K$21*shipping_manufacturing!$D$27/100</f>
        <v>221</v>
      </c>
      <c r="L33" s="130">
        <f>L$21*shipping_manufacturing!$D$27/100</f>
        <v>221</v>
      </c>
      <c r="M33" s="130">
        <f>M$21*shipping_manufacturing!$D$27/100</f>
        <v>221</v>
      </c>
      <c r="N33" s="130">
        <f>N$21*shipping_manufacturing!$D$27/100</f>
        <v>221</v>
      </c>
      <c r="O33" s="130">
        <f>O$21*shipping_manufacturing!$D$27/100</f>
        <v>221</v>
      </c>
      <c r="P33" s="130">
        <f>P$21*shipping_manufacturing!$D$27/100</f>
        <v>221</v>
      </c>
      <c r="Q33" s="130">
        <f>Q$21*shipping_manufacturing!$D$27/100</f>
        <v>221</v>
      </c>
      <c r="R33" s="130">
        <f>R$21*shipping_manufacturing!$D$27/100</f>
        <v>221</v>
      </c>
      <c r="S33" s="130">
        <f>S$21*shipping_manufacturing!$D$27/100</f>
        <v>221</v>
      </c>
      <c r="T33" s="130">
        <f>T$21*shipping_manufacturing!$D$27/100</f>
        <v>221</v>
      </c>
      <c r="U33" s="130">
        <f>U$21*shipping_manufacturing!$D$27/100</f>
        <v>221</v>
      </c>
      <c r="V33" s="130">
        <f>V$21*shipping_manufacturing!$D$27/100</f>
        <v>221</v>
      </c>
      <c r="W33" s="130">
        <f>W$21*shipping_manufacturing!$D$27/100</f>
        <v>0</v>
      </c>
      <c r="X33" s="130">
        <f>X$21*shipping_manufacturing!$D$27/100</f>
        <v>221</v>
      </c>
      <c r="Y33" s="130">
        <f>Y$21*shipping_manufacturing!$D$27/100</f>
        <v>221</v>
      </c>
      <c r="Z33" s="130">
        <f>Z$21*shipping_manufacturing!$D$27/100</f>
        <v>221</v>
      </c>
      <c r="AA33" s="130">
        <f>AA$21*shipping_manufacturing!$D$27/100</f>
        <v>221</v>
      </c>
      <c r="AB33" s="130">
        <f>AB$21*shipping_manufacturing!$D$27/100</f>
        <v>221</v>
      </c>
      <c r="AC33" s="130">
        <f>AC$21*shipping_manufacturing!$D$27/100</f>
        <v>221</v>
      </c>
      <c r="AD33" s="130">
        <f>AD$21*shipping_manufacturing!$D$27/100</f>
        <v>221</v>
      </c>
      <c r="AE33" s="130">
        <f>AE$21*shipping_manufacturing!$D$27/100</f>
        <v>221</v>
      </c>
      <c r="AF33" s="130">
        <f>AF$21*shipping_manufacturing!$D$27/100</f>
        <v>221</v>
      </c>
      <c r="AG33" s="130">
        <f>AG$21*shipping_manufacturing!$D$27/100</f>
        <v>221</v>
      </c>
      <c r="AH33" s="130">
        <f>AH$21*shipping_manufacturing!$D$27/100</f>
        <v>221</v>
      </c>
      <c r="AI33" s="130">
        <f>AI$21*shipping_manufacturing!$D$27/100</f>
        <v>221</v>
      </c>
      <c r="AJ33" s="130">
        <f>AJ$21*shipping_manufacturing!$D$27/100</f>
        <v>221</v>
      </c>
      <c r="AK33" s="130">
        <f>AK$21*shipping_manufacturing!$D$27/100</f>
        <v>221</v>
      </c>
      <c r="AL33" s="130">
        <f>AL$21*shipping_manufacturing!$D$27/100</f>
        <v>221</v>
      </c>
      <c r="AM33" s="130">
        <f>AM$21*shipping_manufacturing!$D$27/100</f>
        <v>221</v>
      </c>
      <c r="AN33" s="130">
        <f>AN$21*shipping_manufacturing!$D$27/100</f>
        <v>221</v>
      </c>
      <c r="AO33" s="130">
        <f>AO$21*shipping_manufacturing!$D$27/100</f>
        <v>221</v>
      </c>
      <c r="AP33" s="130">
        <f>AP$21*shipping_manufacturing!$D$27/100</f>
        <v>221</v>
      </c>
      <c r="AQ33" s="130">
        <f>AQ$21*shipping_manufacturing!$D$27/100</f>
        <v>0</v>
      </c>
      <c r="AR33" s="130">
        <f>AR$21*shipping_manufacturing!$D$27/100</f>
        <v>221</v>
      </c>
      <c r="AS33" s="130">
        <f>AS$21*shipping_manufacturing!$D$27/100</f>
        <v>221</v>
      </c>
      <c r="AT33" s="130">
        <f>AT$21*shipping_manufacturing!$D$27/100</f>
        <v>221</v>
      </c>
      <c r="AU33" s="130">
        <f>AU$21*shipping_manufacturing!$D$27/100</f>
        <v>221</v>
      </c>
      <c r="AV33" s="130">
        <f>AV$21*shipping_manufacturing!$D$27/100</f>
        <v>221</v>
      </c>
      <c r="AW33" s="130">
        <f>AW$21*shipping_manufacturing!$D$27/100</f>
        <v>221</v>
      </c>
      <c r="AX33" s="130">
        <f>AX$21*shipping_manufacturing!$D$27/100</f>
        <v>221</v>
      </c>
      <c r="AY33" s="130">
        <f>AY$21*shipping_manufacturing!$D$27/100</f>
        <v>221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221</v>
      </c>
      <c r="F35" s="116">
        <f t="shared" si="11"/>
        <v>221</v>
      </c>
      <c r="G35" s="116">
        <f t="shared" si="11"/>
        <v>221</v>
      </c>
      <c r="H35" s="116">
        <f t="shared" si="11"/>
        <v>0</v>
      </c>
      <c r="I35" s="116">
        <f t="shared" si="11"/>
        <v>221</v>
      </c>
      <c r="J35" s="116">
        <f t="shared" si="11"/>
        <v>221</v>
      </c>
      <c r="K35" s="116">
        <f t="shared" si="11"/>
        <v>221</v>
      </c>
      <c r="L35" s="116">
        <f t="shared" si="11"/>
        <v>221</v>
      </c>
      <c r="M35" s="116">
        <f t="shared" si="11"/>
        <v>221</v>
      </c>
      <c r="N35" s="116">
        <f t="shared" si="11"/>
        <v>221</v>
      </c>
      <c r="O35" s="116">
        <f t="shared" si="11"/>
        <v>221</v>
      </c>
      <c r="P35" s="116">
        <f t="shared" si="11"/>
        <v>221</v>
      </c>
      <c r="Q35" s="116">
        <f t="shared" si="11"/>
        <v>221</v>
      </c>
      <c r="R35" s="116">
        <f t="shared" si="11"/>
        <v>221</v>
      </c>
      <c r="S35" s="116">
        <f t="shared" si="11"/>
        <v>221</v>
      </c>
      <c r="T35" s="116">
        <f t="shared" si="11"/>
        <v>221</v>
      </c>
      <c r="U35" s="116">
        <f t="shared" si="11"/>
        <v>221</v>
      </c>
      <c r="V35" s="116">
        <f t="shared" si="11"/>
        <v>221</v>
      </c>
      <c r="W35" s="116">
        <f t="shared" si="11"/>
        <v>0</v>
      </c>
      <c r="X35" s="116">
        <f t="shared" si="11"/>
        <v>221</v>
      </c>
      <c r="Y35" s="116">
        <f t="shared" si="11"/>
        <v>221</v>
      </c>
      <c r="Z35" s="116">
        <f t="shared" si="11"/>
        <v>221</v>
      </c>
      <c r="AA35" s="116">
        <f t="shared" si="11"/>
        <v>221</v>
      </c>
      <c r="AB35" s="116">
        <f t="shared" si="11"/>
        <v>221</v>
      </c>
      <c r="AC35" s="116">
        <f t="shared" si="11"/>
        <v>221</v>
      </c>
      <c r="AD35" s="116">
        <f t="shared" si="11"/>
        <v>221</v>
      </c>
      <c r="AE35" s="116">
        <f t="shared" si="11"/>
        <v>221</v>
      </c>
      <c r="AF35" s="116">
        <f t="shared" si="11"/>
        <v>221</v>
      </c>
      <c r="AG35" s="116">
        <f t="shared" si="11"/>
        <v>221</v>
      </c>
      <c r="AH35" s="116">
        <f t="shared" si="11"/>
        <v>221</v>
      </c>
      <c r="AI35" s="116">
        <f t="shared" si="11"/>
        <v>221</v>
      </c>
      <c r="AJ35" s="116">
        <f t="shared" si="11"/>
        <v>221</v>
      </c>
      <c r="AK35" s="116">
        <f t="shared" si="11"/>
        <v>221</v>
      </c>
      <c r="AL35" s="116">
        <f t="shared" si="11"/>
        <v>221</v>
      </c>
      <c r="AM35" s="116">
        <f t="shared" si="11"/>
        <v>221</v>
      </c>
      <c r="AN35" s="116">
        <f t="shared" si="11"/>
        <v>221</v>
      </c>
      <c r="AO35" s="116">
        <f t="shared" si="11"/>
        <v>221</v>
      </c>
      <c r="AP35" s="116">
        <f t="shared" si="11"/>
        <v>221</v>
      </c>
      <c r="AQ35" s="116">
        <f t="shared" si="11"/>
        <v>0</v>
      </c>
      <c r="AR35" s="116">
        <f t="shared" si="11"/>
        <v>221</v>
      </c>
      <c r="AS35" s="116">
        <f t="shared" si="11"/>
        <v>221</v>
      </c>
      <c r="AT35" s="116">
        <f t="shared" si="11"/>
        <v>221</v>
      </c>
      <c r="AU35" s="116">
        <f t="shared" si="11"/>
        <v>221</v>
      </c>
      <c r="AV35" s="116">
        <f t="shared" si="11"/>
        <v>221</v>
      </c>
      <c r="AW35" s="116">
        <f t="shared" si="11"/>
        <v>221</v>
      </c>
      <c r="AX35" s="116">
        <f t="shared" si="11"/>
        <v>221</v>
      </c>
      <c r="AY35" s="116">
        <f t="shared" si="11"/>
        <v>221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221</v>
      </c>
      <c r="F39" s="116">
        <f t="shared" si="12"/>
        <v>221</v>
      </c>
      <c r="G39" s="116">
        <f t="shared" si="12"/>
        <v>221</v>
      </c>
      <c r="H39" s="116">
        <f t="shared" si="12"/>
        <v>0</v>
      </c>
      <c r="I39" s="116">
        <f t="shared" si="12"/>
        <v>221</v>
      </c>
      <c r="J39" s="116">
        <f t="shared" si="12"/>
        <v>221</v>
      </c>
      <c r="K39" s="116">
        <f t="shared" si="12"/>
        <v>221</v>
      </c>
      <c r="L39" s="116">
        <f t="shared" si="12"/>
        <v>221</v>
      </c>
      <c r="M39" s="116">
        <f t="shared" si="12"/>
        <v>221</v>
      </c>
      <c r="N39" s="116">
        <f t="shared" si="12"/>
        <v>221</v>
      </c>
      <c r="O39" s="116">
        <f t="shared" si="12"/>
        <v>221</v>
      </c>
      <c r="P39" s="116">
        <f t="shared" si="12"/>
        <v>221</v>
      </c>
      <c r="Q39" s="116">
        <f t="shared" si="12"/>
        <v>221</v>
      </c>
      <c r="R39" s="116">
        <f t="shared" si="12"/>
        <v>221</v>
      </c>
      <c r="S39" s="116">
        <f t="shared" si="12"/>
        <v>221</v>
      </c>
      <c r="T39" s="116">
        <f t="shared" si="12"/>
        <v>221</v>
      </c>
      <c r="U39" s="116">
        <f t="shared" si="12"/>
        <v>221</v>
      </c>
      <c r="V39" s="116">
        <f t="shared" si="12"/>
        <v>221</v>
      </c>
      <c r="W39" s="116">
        <f t="shared" si="12"/>
        <v>0</v>
      </c>
      <c r="X39" s="116">
        <f t="shared" si="12"/>
        <v>221</v>
      </c>
      <c r="Y39" s="116">
        <f t="shared" si="12"/>
        <v>221</v>
      </c>
      <c r="Z39" s="116">
        <f t="shared" si="12"/>
        <v>221</v>
      </c>
      <c r="AA39" s="116">
        <f t="shared" si="12"/>
        <v>221</v>
      </c>
      <c r="AB39" s="116">
        <f t="shared" si="12"/>
        <v>221</v>
      </c>
      <c r="AC39" s="116">
        <f t="shared" si="12"/>
        <v>221</v>
      </c>
      <c r="AD39" s="116">
        <f t="shared" si="12"/>
        <v>221</v>
      </c>
      <c r="AE39" s="116">
        <f t="shared" si="12"/>
        <v>221</v>
      </c>
      <c r="AF39" s="116">
        <f t="shared" si="12"/>
        <v>221</v>
      </c>
      <c r="AG39" s="116">
        <f t="shared" si="12"/>
        <v>221</v>
      </c>
      <c r="AH39" s="116">
        <f t="shared" si="12"/>
        <v>221</v>
      </c>
      <c r="AI39" s="116">
        <f t="shared" si="12"/>
        <v>221</v>
      </c>
      <c r="AJ39" s="116">
        <f t="shared" si="12"/>
        <v>221</v>
      </c>
      <c r="AK39" s="116">
        <f t="shared" si="12"/>
        <v>221</v>
      </c>
      <c r="AL39" s="116">
        <f t="shared" si="12"/>
        <v>221</v>
      </c>
      <c r="AM39" s="116">
        <f t="shared" si="12"/>
        <v>221</v>
      </c>
      <c r="AN39" s="116">
        <f t="shared" si="12"/>
        <v>221</v>
      </c>
      <c r="AO39" s="116">
        <f t="shared" si="12"/>
        <v>221</v>
      </c>
      <c r="AP39" s="116">
        <f t="shared" si="12"/>
        <v>221</v>
      </c>
      <c r="AQ39" s="116">
        <f t="shared" si="12"/>
        <v>0</v>
      </c>
      <c r="AR39" s="116">
        <f t="shared" si="12"/>
        <v>221</v>
      </c>
      <c r="AS39" s="116">
        <f t="shared" si="12"/>
        <v>221</v>
      </c>
      <c r="AT39" s="116">
        <f t="shared" si="12"/>
        <v>221</v>
      </c>
      <c r="AU39" s="116">
        <f t="shared" si="12"/>
        <v>221</v>
      </c>
      <c r="AV39" s="116">
        <f t="shared" si="12"/>
        <v>221</v>
      </c>
      <c r="AW39" s="116">
        <f t="shared" si="12"/>
        <v>221</v>
      </c>
      <c r="AX39" s="116">
        <f t="shared" si="12"/>
        <v>221</v>
      </c>
      <c r="AY39" s="116">
        <f t="shared" si="12"/>
        <v>221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1</v>
      </c>
      <c r="G41" s="116">
        <v>1</v>
      </c>
      <c r="H41" s="116">
        <v>2</v>
      </c>
      <c r="I41" s="116">
        <v>2</v>
      </c>
      <c r="J41" s="116">
        <v>1</v>
      </c>
      <c r="K41" s="116">
        <v>2</v>
      </c>
      <c r="L41" s="116">
        <v>1</v>
      </c>
      <c r="M41" s="116">
        <v>2</v>
      </c>
      <c r="N41" s="116">
        <v>1</v>
      </c>
      <c r="O41" s="116">
        <v>1</v>
      </c>
      <c r="P41" s="116">
        <v>2</v>
      </c>
      <c r="Q41" s="116">
        <v>1</v>
      </c>
      <c r="R41" s="116">
        <v>1</v>
      </c>
      <c r="S41" s="116">
        <v>1</v>
      </c>
      <c r="T41" s="116">
        <v>1</v>
      </c>
      <c r="U41" s="116">
        <v>1</v>
      </c>
      <c r="V41" s="116">
        <v>3</v>
      </c>
      <c r="W41" s="116">
        <v>1</v>
      </c>
      <c r="X41" s="116">
        <v>1</v>
      </c>
      <c r="Y41" s="116">
        <v>1</v>
      </c>
      <c r="Z41" s="116">
        <v>2</v>
      </c>
      <c r="AA41" s="116">
        <v>1</v>
      </c>
      <c r="AB41" s="116">
        <v>1</v>
      </c>
      <c r="AC41" s="116">
        <v>1</v>
      </c>
      <c r="AD41" s="116">
        <v>1</v>
      </c>
      <c r="AE41" s="116">
        <v>2</v>
      </c>
      <c r="AF41" s="116">
        <v>1</v>
      </c>
      <c r="AG41" s="116">
        <v>2</v>
      </c>
      <c r="AH41" s="116">
        <v>2</v>
      </c>
      <c r="AI41" s="116">
        <v>1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3</v>
      </c>
      <c r="AP41" s="116">
        <v>2</v>
      </c>
      <c r="AQ41" s="116">
        <v>1</v>
      </c>
      <c r="AR41" s="116">
        <v>2</v>
      </c>
      <c r="AS41" s="116">
        <v>1</v>
      </c>
      <c r="AT41" s="116">
        <v>1</v>
      </c>
      <c r="AU41" s="116">
        <v>3</v>
      </c>
      <c r="AV41" s="116">
        <v>2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191772.75</v>
      </c>
      <c r="F43" s="116">
        <v>191772.75</v>
      </c>
      <c r="G43" s="116">
        <v>191772.75</v>
      </c>
      <c r="H43" s="116">
        <v>0</v>
      </c>
      <c r="I43" s="116">
        <v>191772.75</v>
      </c>
      <c r="J43" s="116">
        <v>191772.75</v>
      </c>
      <c r="K43" s="116">
        <v>191772.75</v>
      </c>
      <c r="L43" s="116">
        <v>191772.75</v>
      </c>
      <c r="M43" s="116">
        <v>191772.75</v>
      </c>
      <c r="N43" s="116">
        <v>191772.75</v>
      </c>
      <c r="O43" s="116">
        <v>191772.75</v>
      </c>
      <c r="P43" s="116">
        <v>191772.75</v>
      </c>
      <c r="Q43" s="116">
        <v>191772.75</v>
      </c>
      <c r="R43" s="116">
        <v>191772.75</v>
      </c>
      <c r="S43" s="116">
        <v>191772.75</v>
      </c>
      <c r="T43" s="116">
        <v>191772.75</v>
      </c>
      <c r="U43" s="116">
        <v>191772.75</v>
      </c>
      <c r="V43" s="116">
        <v>191772.75</v>
      </c>
      <c r="W43" s="116">
        <v>0</v>
      </c>
      <c r="X43" s="116">
        <v>191772.75</v>
      </c>
      <c r="Y43" s="116">
        <v>191772.75</v>
      </c>
      <c r="Z43" s="116">
        <v>191772.75</v>
      </c>
      <c r="AA43" s="116">
        <v>191772.75</v>
      </c>
      <c r="AB43" s="116">
        <v>191772.75</v>
      </c>
      <c r="AC43" s="116">
        <v>191772.75</v>
      </c>
      <c r="AD43" s="116">
        <v>191772.75</v>
      </c>
      <c r="AE43" s="116">
        <v>191772.75</v>
      </c>
      <c r="AF43" s="116">
        <v>191772.75</v>
      </c>
      <c r="AG43" s="116">
        <v>191772.75</v>
      </c>
      <c r="AH43" s="116">
        <v>191772.75</v>
      </c>
      <c r="AI43" s="116">
        <v>191772.75</v>
      </c>
      <c r="AJ43" s="116">
        <v>191772.75</v>
      </c>
      <c r="AK43" s="116">
        <v>191772.75</v>
      </c>
      <c r="AL43" s="116">
        <v>191772.75</v>
      </c>
      <c r="AM43" s="116">
        <v>191772.75</v>
      </c>
      <c r="AN43" s="116">
        <v>191772.75</v>
      </c>
      <c r="AO43" s="116">
        <v>191772.75</v>
      </c>
      <c r="AP43" s="116">
        <v>191772.75</v>
      </c>
      <c r="AQ43" s="116">
        <v>0</v>
      </c>
      <c r="AR43" s="116">
        <v>191772.75</v>
      </c>
      <c r="AS43" s="116">
        <v>191772.75</v>
      </c>
      <c r="AT43" s="116">
        <v>191772.75</v>
      </c>
      <c r="AU43" s="116">
        <v>191772.75</v>
      </c>
      <c r="AV43" s="116">
        <v>191772.75</v>
      </c>
      <c r="AW43" s="116">
        <v>191772.75</v>
      </c>
      <c r="AX43" s="116">
        <v>191772.75</v>
      </c>
      <c r="AY43" s="116">
        <v>191772.75</v>
      </c>
      <c r="AZ43" s="106">
        <f>SUM($D$43:$AY$43)</f>
        <v>8438001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1</v>
      </c>
      <c r="F52" s="116">
        <v>1</v>
      </c>
      <c r="G52" s="116">
        <v>2</v>
      </c>
      <c r="H52" s="116">
        <v>2</v>
      </c>
      <c r="I52" s="116">
        <v>1</v>
      </c>
      <c r="J52" s="116">
        <v>2</v>
      </c>
      <c r="K52" s="116">
        <v>2</v>
      </c>
      <c r="L52" s="116">
        <v>1</v>
      </c>
      <c r="M52" s="116">
        <v>1</v>
      </c>
      <c r="N52" s="116">
        <v>1</v>
      </c>
      <c r="O52" s="116">
        <v>3</v>
      </c>
      <c r="P52" s="116">
        <v>2</v>
      </c>
      <c r="Q52" s="116">
        <v>3</v>
      </c>
      <c r="R52" s="116">
        <v>1</v>
      </c>
      <c r="S52" s="116">
        <v>1</v>
      </c>
      <c r="T52" s="116">
        <v>3</v>
      </c>
      <c r="U52" s="116">
        <v>1</v>
      </c>
      <c r="V52" s="116">
        <v>1</v>
      </c>
      <c r="W52" s="116">
        <v>1</v>
      </c>
      <c r="X52" s="116">
        <v>1</v>
      </c>
      <c r="Y52" s="116">
        <v>1</v>
      </c>
      <c r="Z52" s="116">
        <v>2</v>
      </c>
      <c r="AA52" s="116">
        <v>1</v>
      </c>
      <c r="AB52" s="116">
        <v>1</v>
      </c>
      <c r="AC52" s="116">
        <v>3</v>
      </c>
      <c r="AD52" s="116">
        <v>1</v>
      </c>
      <c r="AE52" s="116">
        <v>1</v>
      </c>
      <c r="AF52" s="116">
        <v>1</v>
      </c>
      <c r="AG52" s="116">
        <v>2</v>
      </c>
      <c r="AH52" s="116">
        <v>1</v>
      </c>
      <c r="AI52" s="116">
        <v>1</v>
      </c>
      <c r="AJ52" s="116">
        <v>1</v>
      </c>
      <c r="AK52" s="116">
        <v>1</v>
      </c>
      <c r="AL52" s="116">
        <v>1</v>
      </c>
      <c r="AM52" s="116">
        <v>2</v>
      </c>
      <c r="AN52" s="116">
        <v>1</v>
      </c>
      <c r="AO52" s="116">
        <v>2</v>
      </c>
      <c r="AP52" s="116">
        <v>3</v>
      </c>
      <c r="AQ52" s="116">
        <v>1</v>
      </c>
      <c r="AR52" s="116">
        <v>2</v>
      </c>
      <c r="AS52" s="116">
        <v>2</v>
      </c>
      <c r="AT52" s="116">
        <v>3</v>
      </c>
      <c r="AU52" s="116">
        <v>2</v>
      </c>
      <c r="AV52" s="116">
        <v>1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163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1204.5585179621648</v>
      </c>
      <c r="E7" s="150">
        <v>1205.1433169907191</v>
      </c>
      <c r="F7" s="150">
        <v>1331.5215673033081</v>
      </c>
      <c r="G7" s="150">
        <v>1331.5215673033081</v>
      </c>
      <c r="H7" s="150">
        <v>1005.0301067649382</v>
      </c>
      <c r="I7" s="150">
        <v>1331.5215673033081</v>
      </c>
      <c r="J7" s="150">
        <v>1331.5215673033081</v>
      </c>
      <c r="K7" s="150">
        <v>1331.5215673033081</v>
      </c>
      <c r="L7" s="150">
        <v>1331.5215673033081</v>
      </c>
      <c r="M7" s="150">
        <v>1331.5215673033081</v>
      </c>
      <c r="N7" s="150">
        <v>1331.5215673033081</v>
      </c>
      <c r="O7" s="150">
        <v>1331.5215673033081</v>
      </c>
      <c r="P7" s="150">
        <v>1331.5215673033081</v>
      </c>
      <c r="Q7" s="150">
        <v>1331.5215673033081</v>
      </c>
      <c r="R7" s="150">
        <v>1331.5215673033081</v>
      </c>
      <c r="S7" s="150">
        <v>1331.5215673033081</v>
      </c>
      <c r="T7" s="150">
        <v>1331.5215673033081</v>
      </c>
      <c r="U7" s="150">
        <v>1331.5215673033081</v>
      </c>
      <c r="V7" s="150">
        <v>1331.5215673033081</v>
      </c>
      <c r="W7" s="150">
        <v>1331.5215673033081</v>
      </c>
      <c r="X7" s="150">
        <v>1331.5215673033081</v>
      </c>
      <c r="Y7" s="150">
        <v>1331.5215673033081</v>
      </c>
      <c r="Z7" s="150">
        <v>1331.5215673033081</v>
      </c>
      <c r="AA7" s="150">
        <v>1331.5215673033081</v>
      </c>
      <c r="AB7" s="150">
        <v>1331.5215673033081</v>
      </c>
      <c r="AC7" s="150">
        <v>1331.5215673033081</v>
      </c>
      <c r="AD7" s="150">
        <v>1331.5215673033081</v>
      </c>
      <c r="AE7" s="150">
        <v>1331.5215673033081</v>
      </c>
      <c r="AF7" s="150">
        <v>1331.5215673033081</v>
      </c>
      <c r="AG7" s="150">
        <v>1331.5215673033081</v>
      </c>
      <c r="AH7" s="150">
        <v>1331.5215673033081</v>
      </c>
      <c r="AI7" s="150">
        <v>1331.5215673033081</v>
      </c>
      <c r="AJ7" s="150">
        <v>1222.8244858388498</v>
      </c>
      <c r="AK7" s="150">
        <v>1223.3641944137839</v>
      </c>
      <c r="AL7" s="150">
        <v>1331.5215673033081</v>
      </c>
      <c r="AM7" s="150">
        <v>1331.5215673033081</v>
      </c>
      <c r="AN7" s="150">
        <v>1331.5215673033081</v>
      </c>
      <c r="AO7" s="150">
        <v>1331.5215673033081</v>
      </c>
      <c r="AP7" s="150">
        <v>1331.5215673033081</v>
      </c>
      <c r="AQ7" s="150">
        <v>1331.5215673033081</v>
      </c>
      <c r="AR7" s="150">
        <v>1227.0560120132777</v>
      </c>
      <c r="AS7" s="150">
        <v>1331.5215673033081</v>
      </c>
      <c r="AT7" s="150">
        <v>1010.325869857127</v>
      </c>
      <c r="AU7" s="150">
        <v>1331.5215673033081</v>
      </c>
      <c r="AV7" s="150">
        <v>1229.090481528001</v>
      </c>
      <c r="AW7" s="150">
        <v>1229.5897309903949</v>
      </c>
      <c r="AX7" s="150">
        <v>1331.5215673033081</v>
      </c>
      <c r="AY7" s="150">
        <v>1331.5215673033081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1041.5585179621648</v>
      </c>
      <c r="E10" s="150">
        <f t="shared" si="0"/>
        <v>1042.1433169907191</v>
      </c>
      <c r="F10" s="150">
        <f t="shared" si="0"/>
        <v>1168.5215673033081</v>
      </c>
      <c r="G10" s="150">
        <f t="shared" si="0"/>
        <v>1168.5215673033081</v>
      </c>
      <c r="H10" s="150">
        <f t="shared" si="0"/>
        <v>842.03010676493818</v>
      </c>
      <c r="I10" s="150">
        <f t="shared" si="0"/>
        <v>1168.5215673033081</v>
      </c>
      <c r="J10" s="150">
        <f t="shared" si="0"/>
        <v>1168.5215673033081</v>
      </c>
      <c r="K10" s="150">
        <f t="shared" si="0"/>
        <v>1168.5215673033081</v>
      </c>
      <c r="L10" s="150">
        <f t="shared" si="0"/>
        <v>1168.5215673033081</v>
      </c>
      <c r="M10" s="150">
        <f t="shared" si="0"/>
        <v>1168.5215673033081</v>
      </c>
      <c r="N10" s="150">
        <f t="shared" si="0"/>
        <v>1168.5215673033081</v>
      </c>
      <c r="O10" s="150">
        <f t="shared" si="0"/>
        <v>1168.5215673033081</v>
      </c>
      <c r="P10" s="150">
        <f t="shared" si="0"/>
        <v>1168.5215673033081</v>
      </c>
      <c r="Q10" s="150">
        <f t="shared" si="0"/>
        <v>1168.5215673033081</v>
      </c>
      <c r="R10" s="150">
        <f t="shared" si="0"/>
        <v>1168.5215673033081</v>
      </c>
      <c r="S10" s="150">
        <f t="shared" si="0"/>
        <v>1168.5215673033081</v>
      </c>
      <c r="T10" s="150">
        <f t="shared" si="0"/>
        <v>1168.5215673033081</v>
      </c>
      <c r="U10" s="150">
        <f t="shared" si="0"/>
        <v>1168.5215673033081</v>
      </c>
      <c r="V10" s="150">
        <f t="shared" si="0"/>
        <v>1168.5215673033081</v>
      </c>
      <c r="W10" s="150">
        <f t="shared" si="0"/>
        <v>1168.5215673033081</v>
      </c>
      <c r="X10" s="150">
        <f t="shared" si="0"/>
        <v>1168.5215673033081</v>
      </c>
      <c r="Y10" s="150">
        <f t="shared" si="0"/>
        <v>1168.5215673033081</v>
      </c>
      <c r="Z10" s="150">
        <f t="shared" si="0"/>
        <v>1168.5215673033081</v>
      </c>
      <c r="AA10" s="150">
        <f t="shared" si="0"/>
        <v>1168.5215673033081</v>
      </c>
      <c r="AB10" s="150">
        <f t="shared" si="0"/>
        <v>1168.5215673033081</v>
      </c>
      <c r="AC10" s="150">
        <f t="shared" si="0"/>
        <v>1168.5215673033081</v>
      </c>
      <c r="AD10" s="150">
        <f t="shared" si="0"/>
        <v>1168.5215673033081</v>
      </c>
      <c r="AE10" s="150">
        <f t="shared" si="0"/>
        <v>1168.5215673033081</v>
      </c>
      <c r="AF10" s="150">
        <f t="shared" si="0"/>
        <v>1168.5215673033081</v>
      </c>
      <c r="AG10" s="150">
        <f t="shared" si="0"/>
        <v>1168.5215673033081</v>
      </c>
      <c r="AH10" s="150">
        <f t="shared" si="0"/>
        <v>1168.5215673033081</v>
      </c>
      <c r="AI10" s="150">
        <f t="shared" si="0"/>
        <v>1168.5215673033081</v>
      </c>
      <c r="AJ10" s="150">
        <f t="shared" si="0"/>
        <v>1059.8244858388498</v>
      </c>
      <c r="AK10" s="150">
        <f t="shared" si="0"/>
        <v>1223.3641944137839</v>
      </c>
      <c r="AL10" s="150">
        <f t="shared" si="0"/>
        <v>1168.5215673033081</v>
      </c>
      <c r="AM10" s="150">
        <f t="shared" si="0"/>
        <v>1168.5215673033081</v>
      </c>
      <c r="AN10" s="150">
        <f t="shared" si="0"/>
        <v>1168.5215673033081</v>
      </c>
      <c r="AO10" s="150">
        <f t="shared" si="0"/>
        <v>1168.5215673033081</v>
      </c>
      <c r="AP10" s="150">
        <f t="shared" si="0"/>
        <v>1168.5215673033081</v>
      </c>
      <c r="AQ10" s="150">
        <f t="shared" si="0"/>
        <v>1168.5215673033081</v>
      </c>
      <c r="AR10" s="150">
        <f t="shared" si="0"/>
        <v>1064.0560120132777</v>
      </c>
      <c r="AS10" s="150">
        <f t="shared" si="0"/>
        <v>1168.5215673033081</v>
      </c>
      <c r="AT10" s="150">
        <f t="shared" si="0"/>
        <v>847.32586985712703</v>
      </c>
      <c r="AU10" s="150">
        <f t="shared" si="0"/>
        <v>1168.5215673033081</v>
      </c>
      <c r="AV10" s="150">
        <f t="shared" si="0"/>
        <v>1229.090481528001</v>
      </c>
      <c r="AW10" s="150">
        <f t="shared" si="0"/>
        <v>1229.5897309903949</v>
      </c>
      <c r="AX10" s="150">
        <f t="shared" si="0"/>
        <v>1168.5215673033081</v>
      </c>
      <c r="AY10" s="150">
        <f t="shared" si="0"/>
        <v>1168.5215673033081</v>
      </c>
      <c r="AZ10" s="157">
        <f>SUM($D10:$AY10)</f>
        <v>55151.323841188307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313</v>
      </c>
      <c r="D13" s="144">
        <f t="shared" ref="D13:AY13" si="1">D$7-D$10</f>
        <v>163</v>
      </c>
      <c r="E13" s="144">
        <f t="shared" si="1"/>
        <v>163</v>
      </c>
      <c r="F13" s="144">
        <f t="shared" si="1"/>
        <v>163</v>
      </c>
      <c r="G13" s="144">
        <f t="shared" si="1"/>
        <v>163</v>
      </c>
      <c r="H13" s="144">
        <f t="shared" si="1"/>
        <v>163</v>
      </c>
      <c r="I13" s="144">
        <f t="shared" si="1"/>
        <v>163</v>
      </c>
      <c r="J13" s="144">
        <f t="shared" si="1"/>
        <v>163</v>
      </c>
      <c r="K13" s="144">
        <f t="shared" si="1"/>
        <v>163</v>
      </c>
      <c r="L13" s="144">
        <f t="shared" si="1"/>
        <v>163</v>
      </c>
      <c r="M13" s="144">
        <f t="shared" si="1"/>
        <v>163</v>
      </c>
      <c r="N13" s="144">
        <f t="shared" si="1"/>
        <v>163</v>
      </c>
      <c r="O13" s="144">
        <f t="shared" si="1"/>
        <v>163</v>
      </c>
      <c r="P13" s="144">
        <f t="shared" si="1"/>
        <v>163</v>
      </c>
      <c r="Q13" s="144">
        <f t="shared" si="1"/>
        <v>163</v>
      </c>
      <c r="R13" s="144">
        <f t="shared" si="1"/>
        <v>163</v>
      </c>
      <c r="S13" s="144">
        <f t="shared" si="1"/>
        <v>163</v>
      </c>
      <c r="T13" s="144">
        <f t="shared" si="1"/>
        <v>163</v>
      </c>
      <c r="U13" s="144">
        <f t="shared" si="1"/>
        <v>163</v>
      </c>
      <c r="V13" s="144">
        <f t="shared" si="1"/>
        <v>163</v>
      </c>
      <c r="W13" s="144">
        <f t="shared" si="1"/>
        <v>163</v>
      </c>
      <c r="X13" s="144">
        <f t="shared" si="1"/>
        <v>163</v>
      </c>
      <c r="Y13" s="144">
        <f t="shared" si="1"/>
        <v>163</v>
      </c>
      <c r="Z13" s="144">
        <f t="shared" si="1"/>
        <v>163</v>
      </c>
      <c r="AA13" s="144">
        <f t="shared" si="1"/>
        <v>163</v>
      </c>
      <c r="AB13" s="144">
        <f t="shared" si="1"/>
        <v>163</v>
      </c>
      <c r="AC13" s="144">
        <f t="shared" si="1"/>
        <v>163</v>
      </c>
      <c r="AD13" s="144">
        <f t="shared" si="1"/>
        <v>163</v>
      </c>
      <c r="AE13" s="144">
        <f t="shared" si="1"/>
        <v>163</v>
      </c>
      <c r="AF13" s="144">
        <f t="shared" si="1"/>
        <v>163</v>
      </c>
      <c r="AG13" s="144">
        <f t="shared" si="1"/>
        <v>163</v>
      </c>
      <c r="AH13" s="144">
        <f t="shared" si="1"/>
        <v>163</v>
      </c>
      <c r="AI13" s="144">
        <f t="shared" si="1"/>
        <v>163</v>
      </c>
      <c r="AJ13" s="144">
        <f t="shared" si="1"/>
        <v>163</v>
      </c>
      <c r="AK13" s="144">
        <f t="shared" si="1"/>
        <v>0</v>
      </c>
      <c r="AL13" s="144">
        <f t="shared" si="1"/>
        <v>163</v>
      </c>
      <c r="AM13" s="144">
        <f t="shared" si="1"/>
        <v>163</v>
      </c>
      <c r="AN13" s="144">
        <f t="shared" si="1"/>
        <v>163</v>
      </c>
      <c r="AO13" s="144">
        <f t="shared" si="1"/>
        <v>163</v>
      </c>
      <c r="AP13" s="144">
        <f t="shared" si="1"/>
        <v>163</v>
      </c>
      <c r="AQ13" s="144">
        <f t="shared" si="1"/>
        <v>163</v>
      </c>
      <c r="AR13" s="144">
        <f t="shared" si="1"/>
        <v>163</v>
      </c>
      <c r="AS13" s="144">
        <f t="shared" si="1"/>
        <v>163</v>
      </c>
      <c r="AT13" s="144">
        <f t="shared" si="1"/>
        <v>163</v>
      </c>
      <c r="AU13" s="144">
        <f t="shared" si="1"/>
        <v>163</v>
      </c>
      <c r="AV13" s="144">
        <f t="shared" si="1"/>
        <v>0</v>
      </c>
      <c r="AW13" s="144">
        <f t="shared" si="1"/>
        <v>0</v>
      </c>
      <c r="AX13" s="144">
        <f t="shared" si="1"/>
        <v>163</v>
      </c>
      <c r="AY13" s="144">
        <f t="shared" si="1"/>
        <v>163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163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163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163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 t="s">
        <v>339</v>
      </c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 t="s">
        <v>339</v>
      </c>
      <c r="AV20" s="123" t="s">
        <v>339</v>
      </c>
      <c r="AW20" s="123"/>
      <c r="AX20" s="123"/>
      <c r="AY20" s="123" t="s">
        <v>339</v>
      </c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313</v>
      </c>
      <c r="E21" s="112">
        <f t="shared" ref="E21:AY21" si="3">IF(D$20="Yes",0,SUM(D$13:D$16)*$B$21)</f>
        <v>163</v>
      </c>
      <c r="F21" s="112">
        <f t="shared" si="3"/>
        <v>163</v>
      </c>
      <c r="G21" s="112">
        <f t="shared" si="3"/>
        <v>163</v>
      </c>
      <c r="H21" s="112">
        <f t="shared" si="3"/>
        <v>163</v>
      </c>
      <c r="I21" s="112">
        <f t="shared" si="3"/>
        <v>163</v>
      </c>
      <c r="J21" s="112">
        <f t="shared" si="3"/>
        <v>163</v>
      </c>
      <c r="K21" s="112">
        <f t="shared" si="3"/>
        <v>163</v>
      </c>
      <c r="L21" s="112">
        <f t="shared" si="3"/>
        <v>163</v>
      </c>
      <c r="M21" s="112">
        <f t="shared" si="3"/>
        <v>163</v>
      </c>
      <c r="N21" s="112">
        <f t="shared" si="3"/>
        <v>163</v>
      </c>
      <c r="O21" s="112">
        <f t="shared" si="3"/>
        <v>163</v>
      </c>
      <c r="P21" s="112">
        <f t="shared" si="3"/>
        <v>163</v>
      </c>
      <c r="Q21" s="112">
        <f t="shared" si="3"/>
        <v>163</v>
      </c>
      <c r="R21" s="112">
        <f t="shared" si="3"/>
        <v>163</v>
      </c>
      <c r="S21" s="112">
        <f t="shared" si="3"/>
        <v>163</v>
      </c>
      <c r="T21" s="112">
        <f t="shared" si="3"/>
        <v>163</v>
      </c>
      <c r="U21" s="112">
        <f t="shared" si="3"/>
        <v>163</v>
      </c>
      <c r="V21" s="112">
        <f t="shared" si="3"/>
        <v>163</v>
      </c>
      <c r="W21" s="112">
        <f t="shared" si="3"/>
        <v>163</v>
      </c>
      <c r="X21" s="112">
        <f t="shared" si="3"/>
        <v>163</v>
      </c>
      <c r="Y21" s="112">
        <f t="shared" si="3"/>
        <v>163</v>
      </c>
      <c r="Z21" s="112">
        <f t="shared" si="3"/>
        <v>163</v>
      </c>
      <c r="AA21" s="112">
        <f t="shared" si="3"/>
        <v>163</v>
      </c>
      <c r="AB21" s="112">
        <f t="shared" si="3"/>
        <v>163</v>
      </c>
      <c r="AC21" s="112">
        <f t="shared" si="3"/>
        <v>163</v>
      </c>
      <c r="AD21" s="112">
        <f t="shared" si="3"/>
        <v>163</v>
      </c>
      <c r="AE21" s="112">
        <f t="shared" si="3"/>
        <v>163</v>
      </c>
      <c r="AF21" s="112">
        <f t="shared" si="3"/>
        <v>163</v>
      </c>
      <c r="AG21" s="112">
        <f t="shared" si="3"/>
        <v>163</v>
      </c>
      <c r="AH21" s="112">
        <f t="shared" si="3"/>
        <v>163</v>
      </c>
      <c r="AI21" s="112">
        <f t="shared" si="3"/>
        <v>163</v>
      </c>
      <c r="AJ21" s="112">
        <f t="shared" si="3"/>
        <v>163</v>
      </c>
      <c r="AK21" s="112">
        <f t="shared" si="3"/>
        <v>0</v>
      </c>
      <c r="AL21" s="112">
        <f t="shared" si="3"/>
        <v>163</v>
      </c>
      <c r="AM21" s="112">
        <f t="shared" si="3"/>
        <v>163</v>
      </c>
      <c r="AN21" s="112">
        <f t="shared" si="3"/>
        <v>163</v>
      </c>
      <c r="AO21" s="112">
        <f t="shared" si="3"/>
        <v>163</v>
      </c>
      <c r="AP21" s="112">
        <f t="shared" si="3"/>
        <v>163</v>
      </c>
      <c r="AQ21" s="112">
        <f t="shared" si="3"/>
        <v>163</v>
      </c>
      <c r="AR21" s="112">
        <f t="shared" si="3"/>
        <v>163</v>
      </c>
      <c r="AS21" s="112">
        <f t="shared" si="3"/>
        <v>163</v>
      </c>
      <c r="AT21" s="112">
        <f t="shared" si="3"/>
        <v>163</v>
      </c>
      <c r="AU21" s="112">
        <f t="shared" si="3"/>
        <v>163</v>
      </c>
      <c r="AV21" s="112">
        <f t="shared" si="3"/>
        <v>0</v>
      </c>
      <c r="AW21" s="112">
        <f t="shared" si="3"/>
        <v>0</v>
      </c>
      <c r="AX21" s="112">
        <f t="shared" si="3"/>
        <v>163</v>
      </c>
      <c r="AY21" s="112">
        <f t="shared" si="3"/>
        <v>163</v>
      </c>
      <c r="AZ21" s="163">
        <f>SUM($D21:$AY21)</f>
        <v>7485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626000</v>
      </c>
      <c r="E23" s="106">
        <f t="shared" ref="E23:AY23" si="6">E$21*$B$23</f>
        <v>326000</v>
      </c>
      <c r="F23" s="106">
        <f t="shared" si="6"/>
        <v>326000</v>
      </c>
      <c r="G23" s="106">
        <f t="shared" si="6"/>
        <v>326000</v>
      </c>
      <c r="H23" s="106">
        <f t="shared" si="6"/>
        <v>326000</v>
      </c>
      <c r="I23" s="106">
        <f t="shared" si="6"/>
        <v>326000</v>
      </c>
      <c r="J23" s="106">
        <f t="shared" si="6"/>
        <v>326000</v>
      </c>
      <c r="K23" s="106">
        <f t="shared" si="6"/>
        <v>326000</v>
      </c>
      <c r="L23" s="106">
        <f t="shared" si="6"/>
        <v>326000</v>
      </c>
      <c r="M23" s="106">
        <f t="shared" si="6"/>
        <v>326000</v>
      </c>
      <c r="N23" s="106">
        <f t="shared" si="6"/>
        <v>326000</v>
      </c>
      <c r="O23" s="106">
        <f t="shared" si="6"/>
        <v>326000</v>
      </c>
      <c r="P23" s="106">
        <f t="shared" si="6"/>
        <v>326000</v>
      </c>
      <c r="Q23" s="106">
        <f t="shared" si="6"/>
        <v>326000</v>
      </c>
      <c r="R23" s="106">
        <f t="shared" si="6"/>
        <v>326000</v>
      </c>
      <c r="S23" s="106">
        <f t="shared" si="6"/>
        <v>326000</v>
      </c>
      <c r="T23" s="106">
        <f t="shared" si="6"/>
        <v>326000</v>
      </c>
      <c r="U23" s="106">
        <f t="shared" si="6"/>
        <v>326000</v>
      </c>
      <c r="V23" s="106">
        <f t="shared" si="6"/>
        <v>326000</v>
      </c>
      <c r="W23" s="106">
        <f t="shared" si="6"/>
        <v>326000</v>
      </c>
      <c r="X23" s="106">
        <f t="shared" si="6"/>
        <v>326000</v>
      </c>
      <c r="Y23" s="106">
        <f t="shared" si="6"/>
        <v>326000</v>
      </c>
      <c r="Z23" s="106">
        <f t="shared" si="6"/>
        <v>326000</v>
      </c>
      <c r="AA23" s="106">
        <f t="shared" si="6"/>
        <v>326000</v>
      </c>
      <c r="AB23" s="106">
        <f t="shared" si="6"/>
        <v>326000</v>
      </c>
      <c r="AC23" s="106">
        <f t="shared" si="6"/>
        <v>326000</v>
      </c>
      <c r="AD23" s="106">
        <f t="shared" si="6"/>
        <v>326000</v>
      </c>
      <c r="AE23" s="106">
        <f t="shared" si="6"/>
        <v>326000</v>
      </c>
      <c r="AF23" s="106">
        <f t="shared" si="6"/>
        <v>326000</v>
      </c>
      <c r="AG23" s="106">
        <f t="shared" si="6"/>
        <v>326000</v>
      </c>
      <c r="AH23" s="106">
        <f t="shared" si="6"/>
        <v>326000</v>
      </c>
      <c r="AI23" s="106">
        <f t="shared" si="6"/>
        <v>326000</v>
      </c>
      <c r="AJ23" s="106">
        <f t="shared" si="6"/>
        <v>326000</v>
      </c>
      <c r="AK23" s="106">
        <f t="shared" si="6"/>
        <v>0</v>
      </c>
      <c r="AL23" s="106">
        <f t="shared" si="6"/>
        <v>326000</v>
      </c>
      <c r="AM23" s="106">
        <f t="shared" si="6"/>
        <v>326000</v>
      </c>
      <c r="AN23" s="106">
        <f t="shared" si="6"/>
        <v>326000</v>
      </c>
      <c r="AO23" s="106">
        <f t="shared" si="6"/>
        <v>326000</v>
      </c>
      <c r="AP23" s="106">
        <f t="shared" si="6"/>
        <v>326000</v>
      </c>
      <c r="AQ23" s="106">
        <f t="shared" si="6"/>
        <v>326000</v>
      </c>
      <c r="AR23" s="106">
        <f t="shared" si="6"/>
        <v>326000</v>
      </c>
      <c r="AS23" s="106">
        <f t="shared" si="6"/>
        <v>326000</v>
      </c>
      <c r="AT23" s="106">
        <f t="shared" si="6"/>
        <v>326000</v>
      </c>
      <c r="AU23" s="106">
        <f t="shared" si="6"/>
        <v>326000</v>
      </c>
      <c r="AV23" s="106">
        <f t="shared" si="6"/>
        <v>0</v>
      </c>
      <c r="AW23" s="106">
        <f t="shared" si="6"/>
        <v>0</v>
      </c>
      <c r="AX23" s="106">
        <f t="shared" si="6"/>
        <v>326000</v>
      </c>
      <c r="AY23" s="106">
        <f t="shared" si="6"/>
        <v>326000</v>
      </c>
      <c r="AZ23" s="145">
        <f t="shared" si="5"/>
        <v>14970000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3</v>
      </c>
      <c r="D27" s="130">
        <f>C$27-C$28+C$29</f>
        <v>-5</v>
      </c>
      <c r="E27" s="130">
        <f t="shared" ref="E27:AY27" si="8">D27-D28+D29</f>
        <v>6</v>
      </c>
      <c r="F27" s="130">
        <f t="shared" si="8"/>
        <v>0</v>
      </c>
      <c r="G27" s="130">
        <f t="shared" si="8"/>
        <v>6</v>
      </c>
      <c r="H27" s="130">
        <f t="shared" si="8"/>
        <v>0</v>
      </c>
      <c r="I27" s="130">
        <f t="shared" si="8"/>
        <v>6</v>
      </c>
      <c r="J27" s="130">
        <f t="shared" si="8"/>
        <v>0</v>
      </c>
      <c r="K27" s="130">
        <f t="shared" si="8"/>
        <v>6</v>
      </c>
      <c r="L27" s="130">
        <f t="shared" si="8"/>
        <v>0</v>
      </c>
      <c r="M27" s="130">
        <f t="shared" si="8"/>
        <v>6</v>
      </c>
      <c r="N27" s="130">
        <f t="shared" si="8"/>
        <v>0</v>
      </c>
      <c r="O27" s="130">
        <f t="shared" si="8"/>
        <v>6</v>
      </c>
      <c r="P27" s="130">
        <f t="shared" si="8"/>
        <v>0</v>
      </c>
      <c r="Q27" s="130">
        <f t="shared" si="8"/>
        <v>6</v>
      </c>
      <c r="R27" s="130">
        <f t="shared" si="8"/>
        <v>0</v>
      </c>
      <c r="S27" s="130">
        <f t="shared" si="8"/>
        <v>6</v>
      </c>
      <c r="T27" s="130">
        <f t="shared" si="8"/>
        <v>0</v>
      </c>
      <c r="U27" s="130">
        <f t="shared" si="8"/>
        <v>6</v>
      </c>
      <c r="V27" s="130">
        <f t="shared" si="8"/>
        <v>0</v>
      </c>
      <c r="W27" s="130">
        <f t="shared" si="8"/>
        <v>6</v>
      </c>
      <c r="X27" s="130">
        <f t="shared" si="8"/>
        <v>0</v>
      </c>
      <c r="Y27" s="130">
        <f t="shared" si="8"/>
        <v>6</v>
      </c>
      <c r="Z27" s="130">
        <f t="shared" si="8"/>
        <v>0</v>
      </c>
      <c r="AA27" s="130">
        <f t="shared" si="8"/>
        <v>6</v>
      </c>
      <c r="AB27" s="130">
        <f t="shared" si="8"/>
        <v>0</v>
      </c>
      <c r="AC27" s="130">
        <f t="shared" si="8"/>
        <v>6</v>
      </c>
      <c r="AD27" s="130">
        <f t="shared" si="8"/>
        <v>0</v>
      </c>
      <c r="AE27" s="130">
        <f t="shared" si="8"/>
        <v>6</v>
      </c>
      <c r="AF27" s="130">
        <f t="shared" si="8"/>
        <v>0</v>
      </c>
      <c r="AG27" s="130">
        <f t="shared" si="8"/>
        <v>6</v>
      </c>
      <c r="AH27" s="130">
        <f t="shared" si="8"/>
        <v>0</v>
      </c>
      <c r="AI27" s="130">
        <f t="shared" si="8"/>
        <v>6</v>
      </c>
      <c r="AJ27" s="130">
        <f t="shared" si="8"/>
        <v>0</v>
      </c>
      <c r="AK27" s="130">
        <f t="shared" si="8"/>
        <v>6</v>
      </c>
      <c r="AL27" s="130">
        <f t="shared" si="8"/>
        <v>6</v>
      </c>
      <c r="AM27" s="130">
        <f t="shared" si="8"/>
        <v>0</v>
      </c>
      <c r="AN27" s="130">
        <f t="shared" si="8"/>
        <v>6</v>
      </c>
      <c r="AO27" s="130">
        <f t="shared" si="8"/>
        <v>0</v>
      </c>
      <c r="AP27" s="130">
        <f t="shared" si="8"/>
        <v>6</v>
      </c>
      <c r="AQ27" s="130">
        <f t="shared" si="8"/>
        <v>0</v>
      </c>
      <c r="AR27" s="130">
        <f t="shared" si="8"/>
        <v>6</v>
      </c>
      <c r="AS27" s="130">
        <f t="shared" si="8"/>
        <v>0</v>
      </c>
      <c r="AT27" s="130">
        <f t="shared" si="8"/>
        <v>6</v>
      </c>
      <c r="AU27" s="130">
        <f t="shared" si="8"/>
        <v>0</v>
      </c>
      <c r="AV27" s="130">
        <f t="shared" si="8"/>
        <v>6</v>
      </c>
      <c r="AW27" s="130">
        <f t="shared" si="8"/>
        <v>6</v>
      </c>
      <c r="AX27" s="130">
        <f t="shared" si="8"/>
        <v>6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11</v>
      </c>
      <c r="D28" s="116">
        <v>0</v>
      </c>
      <c r="E28" s="116">
        <v>6</v>
      </c>
      <c r="F28" s="116">
        <v>0</v>
      </c>
      <c r="G28" s="116">
        <v>6</v>
      </c>
      <c r="H28" s="116">
        <v>0</v>
      </c>
      <c r="I28" s="116">
        <v>6</v>
      </c>
      <c r="J28" s="116">
        <v>0</v>
      </c>
      <c r="K28" s="116">
        <v>6</v>
      </c>
      <c r="L28" s="116">
        <v>0</v>
      </c>
      <c r="M28" s="116">
        <v>6</v>
      </c>
      <c r="N28" s="116">
        <v>0</v>
      </c>
      <c r="O28" s="116">
        <v>6</v>
      </c>
      <c r="P28" s="116">
        <v>0</v>
      </c>
      <c r="Q28" s="116">
        <v>6</v>
      </c>
      <c r="R28" s="116">
        <v>0</v>
      </c>
      <c r="S28" s="116">
        <v>6</v>
      </c>
      <c r="T28" s="116">
        <v>0</v>
      </c>
      <c r="U28" s="116">
        <v>6</v>
      </c>
      <c r="V28" s="116">
        <v>0</v>
      </c>
      <c r="W28" s="116">
        <v>6</v>
      </c>
      <c r="X28" s="116">
        <v>0</v>
      </c>
      <c r="Y28" s="116">
        <v>6</v>
      </c>
      <c r="Z28" s="116">
        <v>0</v>
      </c>
      <c r="AA28" s="116">
        <v>6</v>
      </c>
      <c r="AB28" s="116">
        <v>0</v>
      </c>
      <c r="AC28" s="116">
        <v>6</v>
      </c>
      <c r="AD28" s="116">
        <v>0</v>
      </c>
      <c r="AE28" s="116">
        <v>6</v>
      </c>
      <c r="AF28" s="116">
        <v>0</v>
      </c>
      <c r="AG28" s="116">
        <v>6</v>
      </c>
      <c r="AH28" s="116">
        <v>0</v>
      </c>
      <c r="AI28" s="116">
        <v>6</v>
      </c>
      <c r="AJ28" s="116">
        <v>0</v>
      </c>
      <c r="AK28" s="116">
        <v>0</v>
      </c>
      <c r="AL28" s="116">
        <v>6</v>
      </c>
      <c r="AM28" s="116">
        <v>0</v>
      </c>
      <c r="AN28" s="116">
        <v>6</v>
      </c>
      <c r="AO28" s="116">
        <v>0</v>
      </c>
      <c r="AP28" s="116">
        <v>6</v>
      </c>
      <c r="AQ28" s="116">
        <v>0</v>
      </c>
      <c r="AR28" s="116">
        <v>6</v>
      </c>
      <c r="AS28" s="116">
        <v>0</v>
      </c>
      <c r="AT28" s="116">
        <v>6</v>
      </c>
      <c r="AU28" s="116">
        <v>0</v>
      </c>
      <c r="AV28" s="116">
        <v>0</v>
      </c>
      <c r="AW28" s="116">
        <v>0</v>
      </c>
      <c r="AX28" s="116">
        <v>6</v>
      </c>
      <c r="AY28" s="172">
        <v>0</v>
      </c>
      <c r="AZ28" s="112"/>
    </row>
    <row r="29" spans="1:52" x14ac:dyDescent="0.2">
      <c r="B29" s="142" t="s">
        <v>311</v>
      </c>
      <c r="C29" s="131">
        <v>3</v>
      </c>
      <c r="D29" s="131">
        <f>C$28</f>
        <v>11</v>
      </c>
      <c r="E29" s="131">
        <f t="shared" ref="E29:AY29" si="9">D$28</f>
        <v>0</v>
      </c>
      <c r="F29" s="131">
        <f t="shared" si="9"/>
        <v>6</v>
      </c>
      <c r="G29" s="131">
        <f t="shared" si="9"/>
        <v>0</v>
      </c>
      <c r="H29" s="131">
        <f t="shared" si="9"/>
        <v>6</v>
      </c>
      <c r="I29" s="131">
        <f t="shared" si="9"/>
        <v>0</v>
      </c>
      <c r="J29" s="131">
        <f t="shared" si="9"/>
        <v>6</v>
      </c>
      <c r="K29" s="131">
        <f t="shared" si="9"/>
        <v>0</v>
      </c>
      <c r="L29" s="131">
        <f t="shared" si="9"/>
        <v>6</v>
      </c>
      <c r="M29" s="131">
        <f t="shared" si="9"/>
        <v>0</v>
      </c>
      <c r="N29" s="131">
        <f t="shared" si="9"/>
        <v>6</v>
      </c>
      <c r="O29" s="131">
        <f t="shared" si="9"/>
        <v>0</v>
      </c>
      <c r="P29" s="131">
        <f t="shared" si="9"/>
        <v>6</v>
      </c>
      <c r="Q29" s="131">
        <f t="shared" si="9"/>
        <v>0</v>
      </c>
      <c r="R29" s="131">
        <f t="shared" si="9"/>
        <v>6</v>
      </c>
      <c r="S29" s="131">
        <f t="shared" si="9"/>
        <v>0</v>
      </c>
      <c r="T29" s="131">
        <f t="shared" si="9"/>
        <v>6</v>
      </c>
      <c r="U29" s="131">
        <f t="shared" si="9"/>
        <v>0</v>
      </c>
      <c r="V29" s="131">
        <f t="shared" si="9"/>
        <v>6</v>
      </c>
      <c r="W29" s="131">
        <f t="shared" si="9"/>
        <v>0</v>
      </c>
      <c r="X29" s="131">
        <f t="shared" si="9"/>
        <v>6</v>
      </c>
      <c r="Y29" s="131">
        <f t="shared" si="9"/>
        <v>0</v>
      </c>
      <c r="Z29" s="131">
        <f t="shared" si="9"/>
        <v>6</v>
      </c>
      <c r="AA29" s="131">
        <f t="shared" si="9"/>
        <v>0</v>
      </c>
      <c r="AB29" s="131">
        <f t="shared" si="9"/>
        <v>6</v>
      </c>
      <c r="AC29" s="131">
        <f t="shared" si="9"/>
        <v>0</v>
      </c>
      <c r="AD29" s="131">
        <f t="shared" si="9"/>
        <v>6</v>
      </c>
      <c r="AE29" s="131">
        <f t="shared" si="9"/>
        <v>0</v>
      </c>
      <c r="AF29" s="131">
        <f t="shared" si="9"/>
        <v>6</v>
      </c>
      <c r="AG29" s="131">
        <f t="shared" si="9"/>
        <v>0</v>
      </c>
      <c r="AH29" s="131">
        <f t="shared" si="9"/>
        <v>6</v>
      </c>
      <c r="AI29" s="131">
        <f t="shared" si="9"/>
        <v>0</v>
      </c>
      <c r="AJ29" s="131">
        <f t="shared" si="9"/>
        <v>6</v>
      </c>
      <c r="AK29" s="131">
        <f t="shared" si="9"/>
        <v>0</v>
      </c>
      <c r="AL29" s="131">
        <f t="shared" si="9"/>
        <v>0</v>
      </c>
      <c r="AM29" s="131">
        <f t="shared" si="9"/>
        <v>6</v>
      </c>
      <c r="AN29" s="131">
        <f t="shared" si="9"/>
        <v>0</v>
      </c>
      <c r="AO29" s="131">
        <f t="shared" si="9"/>
        <v>6</v>
      </c>
      <c r="AP29" s="131">
        <f t="shared" si="9"/>
        <v>0</v>
      </c>
      <c r="AQ29" s="131">
        <f t="shared" si="9"/>
        <v>6</v>
      </c>
      <c r="AR29" s="131">
        <f t="shared" si="9"/>
        <v>0</v>
      </c>
      <c r="AS29" s="131">
        <f t="shared" si="9"/>
        <v>6</v>
      </c>
      <c r="AT29" s="131">
        <f t="shared" si="9"/>
        <v>0</v>
      </c>
      <c r="AU29" s="131">
        <f t="shared" si="9"/>
        <v>6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6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-50</v>
      </c>
      <c r="E30" s="123">
        <f t="shared" ref="E30:AY30" si="10">E$27*$B$30</f>
        <v>60</v>
      </c>
      <c r="F30" s="123">
        <f t="shared" si="10"/>
        <v>0</v>
      </c>
      <c r="G30" s="123">
        <f t="shared" si="10"/>
        <v>60</v>
      </c>
      <c r="H30" s="123">
        <f t="shared" si="10"/>
        <v>0</v>
      </c>
      <c r="I30" s="123">
        <f t="shared" si="10"/>
        <v>60</v>
      </c>
      <c r="J30" s="123">
        <f t="shared" si="10"/>
        <v>0</v>
      </c>
      <c r="K30" s="123">
        <f t="shared" si="10"/>
        <v>60</v>
      </c>
      <c r="L30" s="123">
        <f t="shared" si="10"/>
        <v>0</v>
      </c>
      <c r="M30" s="123">
        <f t="shared" si="10"/>
        <v>60</v>
      </c>
      <c r="N30" s="123">
        <f t="shared" si="10"/>
        <v>0</v>
      </c>
      <c r="O30" s="123">
        <f t="shared" si="10"/>
        <v>60</v>
      </c>
      <c r="P30" s="123">
        <f t="shared" si="10"/>
        <v>0</v>
      </c>
      <c r="Q30" s="123">
        <f t="shared" si="10"/>
        <v>60</v>
      </c>
      <c r="R30" s="123">
        <f>R$27*$B$30</f>
        <v>0</v>
      </c>
      <c r="S30" s="123">
        <f t="shared" si="10"/>
        <v>60</v>
      </c>
      <c r="T30" s="123">
        <f t="shared" si="10"/>
        <v>0</v>
      </c>
      <c r="U30" s="123">
        <f t="shared" si="10"/>
        <v>60</v>
      </c>
      <c r="V30" s="123">
        <f t="shared" si="10"/>
        <v>0</v>
      </c>
      <c r="W30" s="123">
        <f t="shared" si="10"/>
        <v>60</v>
      </c>
      <c r="X30" s="123">
        <f t="shared" si="10"/>
        <v>0</v>
      </c>
      <c r="Y30" s="123">
        <f t="shared" si="10"/>
        <v>60</v>
      </c>
      <c r="Z30" s="123">
        <f t="shared" si="10"/>
        <v>0</v>
      </c>
      <c r="AA30" s="123">
        <f t="shared" si="10"/>
        <v>60</v>
      </c>
      <c r="AB30" s="123">
        <f t="shared" si="10"/>
        <v>0</v>
      </c>
      <c r="AC30" s="123">
        <f t="shared" si="10"/>
        <v>60</v>
      </c>
      <c r="AD30" s="123">
        <f t="shared" si="10"/>
        <v>0</v>
      </c>
      <c r="AE30" s="123">
        <f>AE$27*$B$30</f>
        <v>60</v>
      </c>
      <c r="AF30" s="123">
        <f t="shared" si="10"/>
        <v>0</v>
      </c>
      <c r="AG30" s="123">
        <f t="shared" si="10"/>
        <v>60</v>
      </c>
      <c r="AH30" s="123">
        <f t="shared" si="10"/>
        <v>0</v>
      </c>
      <c r="AI30" s="123">
        <f t="shared" si="10"/>
        <v>60</v>
      </c>
      <c r="AJ30" s="123">
        <f t="shared" si="10"/>
        <v>0</v>
      </c>
      <c r="AK30" s="123">
        <f t="shared" si="10"/>
        <v>60</v>
      </c>
      <c r="AL30" s="123">
        <f t="shared" si="10"/>
        <v>60</v>
      </c>
      <c r="AM30" s="123">
        <f t="shared" si="10"/>
        <v>0</v>
      </c>
      <c r="AN30" s="123">
        <f t="shared" si="10"/>
        <v>60</v>
      </c>
      <c r="AO30" s="123">
        <f t="shared" si="10"/>
        <v>0</v>
      </c>
      <c r="AP30" s="123">
        <f t="shared" si="10"/>
        <v>60</v>
      </c>
      <c r="AQ30" s="123">
        <f t="shared" si="10"/>
        <v>0</v>
      </c>
      <c r="AR30" s="123">
        <f t="shared" si="10"/>
        <v>60</v>
      </c>
      <c r="AS30" s="123">
        <f t="shared" si="10"/>
        <v>0</v>
      </c>
      <c r="AT30" s="123">
        <f t="shared" si="10"/>
        <v>60</v>
      </c>
      <c r="AU30" s="123">
        <f t="shared" si="10"/>
        <v>0</v>
      </c>
      <c r="AV30" s="123">
        <f t="shared" si="10"/>
        <v>60</v>
      </c>
      <c r="AW30" s="123">
        <f t="shared" si="10"/>
        <v>60</v>
      </c>
      <c r="AX30" s="123">
        <f t="shared" si="10"/>
        <v>60</v>
      </c>
      <c r="AY30" s="123">
        <f t="shared" si="10"/>
        <v>0</v>
      </c>
      <c r="AZ30" s="147">
        <f t="shared" si="5"/>
        <v>1450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2</v>
      </c>
      <c r="G41" s="116">
        <v>1</v>
      </c>
      <c r="H41" s="116">
        <v>2</v>
      </c>
      <c r="I41" s="116">
        <v>1</v>
      </c>
      <c r="J41" s="116">
        <v>1</v>
      </c>
      <c r="K41" s="116">
        <v>2</v>
      </c>
      <c r="L41" s="116">
        <v>2</v>
      </c>
      <c r="M41" s="116">
        <v>2</v>
      </c>
      <c r="N41" s="116">
        <v>1</v>
      </c>
      <c r="O41" s="116">
        <v>2</v>
      </c>
      <c r="P41" s="116">
        <v>1</v>
      </c>
      <c r="Q41" s="116">
        <v>1</v>
      </c>
      <c r="R41" s="116">
        <v>2</v>
      </c>
      <c r="S41" s="116">
        <v>3</v>
      </c>
      <c r="T41" s="116">
        <v>1</v>
      </c>
      <c r="U41" s="116">
        <v>1</v>
      </c>
      <c r="V41" s="116">
        <v>1</v>
      </c>
      <c r="W41" s="116">
        <v>1</v>
      </c>
      <c r="X41" s="116">
        <v>1</v>
      </c>
      <c r="Y41" s="116">
        <v>2</v>
      </c>
      <c r="Z41" s="116">
        <v>3</v>
      </c>
      <c r="AA41" s="116">
        <v>2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1</v>
      </c>
      <c r="AH41" s="116">
        <v>1</v>
      </c>
      <c r="AI41" s="116">
        <v>2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2</v>
      </c>
      <c r="AR41" s="116">
        <v>1</v>
      </c>
      <c r="AS41" s="116">
        <v>1</v>
      </c>
      <c r="AT41" s="116">
        <v>1</v>
      </c>
      <c r="AU41" s="116">
        <v>1</v>
      </c>
      <c r="AV41" s="116">
        <v>2</v>
      </c>
      <c r="AW41" s="116">
        <v>1</v>
      </c>
      <c r="AX41" s="116">
        <v>2</v>
      </c>
      <c r="AY41" s="116">
        <v>3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313</v>
      </c>
      <c r="E44" s="130">
        <f>E$21*shipping_manufacturing!$F$28/100</f>
        <v>163</v>
      </c>
      <c r="F44" s="130">
        <f>F$21*shipping_manufacturing!$F$28/100</f>
        <v>163</v>
      </c>
      <c r="G44" s="130">
        <f>G$21*shipping_manufacturing!$F$28/100</f>
        <v>163</v>
      </c>
      <c r="H44" s="130">
        <f>H$21*shipping_manufacturing!$F$28/100</f>
        <v>163</v>
      </c>
      <c r="I44" s="130">
        <f>I$21*shipping_manufacturing!$F$28/100</f>
        <v>163</v>
      </c>
      <c r="J44" s="130">
        <f>J$21*shipping_manufacturing!$F$28/100</f>
        <v>163</v>
      </c>
      <c r="K44" s="130">
        <f>K$21*shipping_manufacturing!$F$28/100</f>
        <v>163</v>
      </c>
      <c r="L44" s="130">
        <f>L$21*shipping_manufacturing!$F$28/100</f>
        <v>163</v>
      </c>
      <c r="M44" s="130">
        <f>M$21*shipping_manufacturing!$F$28/100</f>
        <v>163</v>
      </c>
      <c r="N44" s="130">
        <f>N$21*shipping_manufacturing!$F$28/100</f>
        <v>163</v>
      </c>
      <c r="O44" s="130">
        <f>O$21*shipping_manufacturing!$F$28/100</f>
        <v>163</v>
      </c>
      <c r="P44" s="130">
        <f>P$21*shipping_manufacturing!$F$28/100</f>
        <v>163</v>
      </c>
      <c r="Q44" s="130">
        <f>Q$21*shipping_manufacturing!$F$28/100</f>
        <v>163</v>
      </c>
      <c r="R44" s="130">
        <f>R$21*shipping_manufacturing!$F$28/100</f>
        <v>163</v>
      </c>
      <c r="S44" s="130">
        <f>S$21*shipping_manufacturing!$F$28/100</f>
        <v>163</v>
      </c>
      <c r="T44" s="130">
        <f>T$21*shipping_manufacturing!$F$28/100</f>
        <v>163</v>
      </c>
      <c r="U44" s="130">
        <f>U$21*shipping_manufacturing!$F$28/100</f>
        <v>163</v>
      </c>
      <c r="V44" s="130">
        <f>V$21*shipping_manufacturing!$F$28/100</f>
        <v>163</v>
      </c>
      <c r="W44" s="130">
        <f>W$21*shipping_manufacturing!$F$28/100</f>
        <v>163</v>
      </c>
      <c r="X44" s="130">
        <f>X$21*shipping_manufacturing!$F$28/100</f>
        <v>163</v>
      </c>
      <c r="Y44" s="130">
        <f>Y$21*shipping_manufacturing!$F$28/100</f>
        <v>163</v>
      </c>
      <c r="Z44" s="130">
        <f>Z$21*shipping_manufacturing!$F$28/100</f>
        <v>163</v>
      </c>
      <c r="AA44" s="130">
        <f>AA$21*shipping_manufacturing!$F$28/100</f>
        <v>163</v>
      </c>
      <c r="AB44" s="130">
        <f>AB$21*shipping_manufacturing!$F$28/100</f>
        <v>163</v>
      </c>
      <c r="AC44" s="130">
        <f>AC$21*shipping_manufacturing!$F$28/100</f>
        <v>163</v>
      </c>
      <c r="AD44" s="130">
        <f>AD$21*shipping_manufacturing!$F$28/100</f>
        <v>163</v>
      </c>
      <c r="AE44" s="130">
        <f>AE$21*shipping_manufacturing!$F$28/100</f>
        <v>163</v>
      </c>
      <c r="AF44" s="130">
        <f>AF$21*shipping_manufacturing!$F$28/100</f>
        <v>163</v>
      </c>
      <c r="AG44" s="130">
        <f>AG$21*shipping_manufacturing!$F$28/100</f>
        <v>163</v>
      </c>
      <c r="AH44" s="130">
        <f>AH$21*shipping_manufacturing!$F$28/100</f>
        <v>163</v>
      </c>
      <c r="AI44" s="130">
        <f>AI$21*shipping_manufacturing!$F$28/100</f>
        <v>163</v>
      </c>
      <c r="AJ44" s="130">
        <f>AJ$21*shipping_manufacturing!$F$28/100</f>
        <v>163</v>
      </c>
      <c r="AK44" s="130">
        <f>AK$21*shipping_manufacturing!$F$28/100</f>
        <v>0</v>
      </c>
      <c r="AL44" s="130">
        <f>AL$21*shipping_manufacturing!$F$28/100</f>
        <v>163</v>
      </c>
      <c r="AM44" s="130">
        <f>AM$21*shipping_manufacturing!$F$28/100</f>
        <v>163</v>
      </c>
      <c r="AN44" s="130">
        <f>AN$21*shipping_manufacturing!$F$28/100</f>
        <v>163</v>
      </c>
      <c r="AO44" s="130">
        <f>AO$21*shipping_manufacturing!$F$28/100</f>
        <v>163</v>
      </c>
      <c r="AP44" s="130">
        <f>AP$21*shipping_manufacturing!$F$28/100</f>
        <v>163</v>
      </c>
      <c r="AQ44" s="130">
        <f>AQ$21*shipping_manufacturing!$F$28/100</f>
        <v>163</v>
      </c>
      <c r="AR44" s="130">
        <f>AR$21*shipping_manufacturing!$F$28/100</f>
        <v>163</v>
      </c>
      <c r="AS44" s="130">
        <f>AS$21*shipping_manufacturing!$F$28/100</f>
        <v>163</v>
      </c>
      <c r="AT44" s="130">
        <f>AT$21*shipping_manufacturing!$F$28/100</f>
        <v>163</v>
      </c>
      <c r="AU44" s="130">
        <f>AU$21*shipping_manufacturing!$F$28/100</f>
        <v>163</v>
      </c>
      <c r="AV44" s="130">
        <f>AV$21*shipping_manufacturing!$F$28/100</f>
        <v>0</v>
      </c>
      <c r="AW44" s="130">
        <f>AW$21*shipping_manufacturing!$F$28/100</f>
        <v>0</v>
      </c>
      <c r="AX44" s="130">
        <f>AX$21*shipping_manufacturing!$F$28/100</f>
        <v>163</v>
      </c>
      <c r="AY44" s="130">
        <f>AY$21*shipping_manufacturing!$F$28/100</f>
        <v>163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313</v>
      </c>
      <c r="E46" s="116">
        <f t="shared" ref="E46:AY46" si="14">SUM(E44:E45)</f>
        <v>163</v>
      </c>
      <c r="F46" s="116">
        <f t="shared" si="14"/>
        <v>163</v>
      </c>
      <c r="G46" s="116">
        <f t="shared" si="14"/>
        <v>163</v>
      </c>
      <c r="H46" s="116">
        <f t="shared" si="14"/>
        <v>163</v>
      </c>
      <c r="I46" s="116">
        <f t="shared" si="14"/>
        <v>163</v>
      </c>
      <c r="J46" s="116">
        <f t="shared" si="14"/>
        <v>163</v>
      </c>
      <c r="K46" s="116">
        <f t="shared" si="14"/>
        <v>163</v>
      </c>
      <c r="L46" s="116">
        <f t="shared" si="14"/>
        <v>163</v>
      </c>
      <c r="M46" s="116">
        <f t="shared" si="14"/>
        <v>163</v>
      </c>
      <c r="N46" s="116">
        <f t="shared" si="14"/>
        <v>163</v>
      </c>
      <c r="O46" s="116">
        <f t="shared" si="14"/>
        <v>163</v>
      </c>
      <c r="P46" s="116">
        <f t="shared" si="14"/>
        <v>163</v>
      </c>
      <c r="Q46" s="116">
        <f t="shared" si="14"/>
        <v>163</v>
      </c>
      <c r="R46" s="116">
        <f t="shared" si="14"/>
        <v>163</v>
      </c>
      <c r="S46" s="116">
        <f t="shared" si="14"/>
        <v>163</v>
      </c>
      <c r="T46" s="116">
        <f t="shared" si="14"/>
        <v>163</v>
      </c>
      <c r="U46" s="116">
        <f t="shared" si="14"/>
        <v>163</v>
      </c>
      <c r="V46" s="116">
        <f t="shared" si="14"/>
        <v>163</v>
      </c>
      <c r="W46" s="116">
        <f t="shared" si="14"/>
        <v>163</v>
      </c>
      <c r="X46" s="116">
        <f t="shared" si="14"/>
        <v>163</v>
      </c>
      <c r="Y46" s="116">
        <f t="shared" si="14"/>
        <v>163</v>
      </c>
      <c r="Z46" s="116">
        <f t="shared" si="14"/>
        <v>163</v>
      </c>
      <c r="AA46" s="116">
        <f t="shared" si="14"/>
        <v>163</v>
      </c>
      <c r="AB46" s="116">
        <f t="shared" si="14"/>
        <v>163</v>
      </c>
      <c r="AC46" s="116">
        <f t="shared" si="14"/>
        <v>163</v>
      </c>
      <c r="AD46" s="116">
        <f t="shared" si="14"/>
        <v>163</v>
      </c>
      <c r="AE46" s="116">
        <f t="shared" si="14"/>
        <v>163</v>
      </c>
      <c r="AF46" s="116">
        <f t="shared" si="14"/>
        <v>163</v>
      </c>
      <c r="AG46" s="116">
        <f t="shared" si="14"/>
        <v>163</v>
      </c>
      <c r="AH46" s="116">
        <f t="shared" si="14"/>
        <v>163</v>
      </c>
      <c r="AI46" s="116">
        <f t="shared" si="14"/>
        <v>163</v>
      </c>
      <c r="AJ46" s="116">
        <f t="shared" si="14"/>
        <v>163</v>
      </c>
      <c r="AK46" s="116">
        <f t="shared" si="14"/>
        <v>0</v>
      </c>
      <c r="AL46" s="116">
        <f t="shared" si="14"/>
        <v>163</v>
      </c>
      <c r="AM46" s="116">
        <f t="shared" si="14"/>
        <v>163</v>
      </c>
      <c r="AN46" s="116">
        <f t="shared" si="14"/>
        <v>163</v>
      </c>
      <c r="AO46" s="116">
        <f t="shared" si="14"/>
        <v>163</v>
      </c>
      <c r="AP46" s="116">
        <f t="shared" si="14"/>
        <v>163</v>
      </c>
      <c r="AQ46" s="116">
        <f t="shared" si="14"/>
        <v>163</v>
      </c>
      <c r="AR46" s="116">
        <f t="shared" si="14"/>
        <v>163</v>
      </c>
      <c r="AS46" s="116">
        <f t="shared" si="14"/>
        <v>163</v>
      </c>
      <c r="AT46" s="116">
        <f t="shared" si="14"/>
        <v>163</v>
      </c>
      <c r="AU46" s="116">
        <f t="shared" si="14"/>
        <v>163</v>
      </c>
      <c r="AV46" s="116">
        <f t="shared" si="14"/>
        <v>0</v>
      </c>
      <c r="AW46" s="116">
        <f t="shared" si="14"/>
        <v>0</v>
      </c>
      <c r="AX46" s="116">
        <f t="shared" si="14"/>
        <v>163</v>
      </c>
      <c r="AY46" s="116">
        <f t="shared" si="14"/>
        <v>163</v>
      </c>
    </row>
    <row r="47" spans="1:52" x14ac:dyDescent="0.2">
      <c r="A47" s="116"/>
      <c r="B47" s="171" t="s">
        <v>344</v>
      </c>
      <c r="C47" s="116"/>
      <c r="D47" s="116"/>
      <c r="E47" s="116">
        <v>163</v>
      </c>
      <c r="F47" s="116"/>
      <c r="G47" s="116">
        <v>163</v>
      </c>
      <c r="H47" s="116"/>
      <c r="I47" s="116">
        <v>163</v>
      </c>
      <c r="J47" s="116"/>
      <c r="K47" s="116">
        <v>163</v>
      </c>
      <c r="L47" s="116"/>
      <c r="M47" s="116">
        <v>163</v>
      </c>
      <c r="N47" s="116"/>
      <c r="O47" s="116">
        <v>163</v>
      </c>
      <c r="P47" s="116"/>
      <c r="Q47" s="116">
        <v>163</v>
      </c>
      <c r="R47" s="116"/>
      <c r="S47" s="116">
        <v>163</v>
      </c>
      <c r="T47" s="116"/>
      <c r="U47" s="116">
        <v>163</v>
      </c>
      <c r="V47" s="116"/>
      <c r="W47" s="116">
        <v>163</v>
      </c>
      <c r="X47" s="116"/>
      <c r="Y47" s="116">
        <v>163</v>
      </c>
      <c r="Z47" s="116"/>
      <c r="AA47" s="116">
        <v>163</v>
      </c>
      <c r="AB47" s="116"/>
      <c r="AC47" s="116">
        <v>163</v>
      </c>
      <c r="AD47" s="116"/>
      <c r="AE47" s="116">
        <v>163</v>
      </c>
      <c r="AF47" s="116"/>
      <c r="AG47" s="116">
        <v>163</v>
      </c>
      <c r="AH47" s="116"/>
      <c r="AI47" s="116">
        <v>163</v>
      </c>
      <c r="AJ47" s="116"/>
      <c r="AK47" s="116"/>
      <c r="AL47" s="116">
        <v>163</v>
      </c>
      <c r="AM47" s="116"/>
      <c r="AN47" s="116">
        <v>163</v>
      </c>
      <c r="AO47" s="116"/>
      <c r="AP47" s="116">
        <v>163</v>
      </c>
      <c r="AQ47" s="116"/>
      <c r="AR47" s="116">
        <v>163</v>
      </c>
      <c r="AS47" s="116"/>
      <c r="AT47" s="116">
        <v>163</v>
      </c>
      <c r="AU47" s="116"/>
      <c r="AV47" s="116"/>
      <c r="AW47" s="116"/>
      <c r="AX47" s="116">
        <v>163</v>
      </c>
      <c r="AY47" s="116"/>
    </row>
    <row r="48" spans="1:52" x14ac:dyDescent="0.2">
      <c r="A48" s="116"/>
      <c r="B48" s="171" t="s">
        <v>345</v>
      </c>
      <c r="C48" s="116"/>
      <c r="D48" s="116"/>
      <c r="E48" s="116">
        <v>0</v>
      </c>
      <c r="F48" s="116"/>
      <c r="G48" s="116">
        <v>0</v>
      </c>
      <c r="H48" s="116"/>
      <c r="I48" s="116">
        <v>0</v>
      </c>
      <c r="J48" s="116"/>
      <c r="K48" s="116">
        <v>0</v>
      </c>
      <c r="L48" s="116"/>
      <c r="M48" s="116">
        <v>0</v>
      </c>
      <c r="N48" s="116"/>
      <c r="O48" s="116">
        <v>0</v>
      </c>
      <c r="P48" s="116"/>
      <c r="Q48" s="116">
        <v>0</v>
      </c>
      <c r="R48" s="116"/>
      <c r="S48" s="116">
        <v>0</v>
      </c>
      <c r="T48" s="116"/>
      <c r="U48" s="116">
        <v>0</v>
      </c>
      <c r="V48" s="116"/>
      <c r="W48" s="116">
        <v>0</v>
      </c>
      <c r="X48" s="116"/>
      <c r="Y48" s="116">
        <v>0</v>
      </c>
      <c r="Z48" s="116"/>
      <c r="AA48" s="116">
        <v>0</v>
      </c>
      <c r="AB48" s="116"/>
      <c r="AC48" s="116">
        <v>0</v>
      </c>
      <c r="AD48" s="116"/>
      <c r="AE48" s="116">
        <v>0</v>
      </c>
      <c r="AF48" s="116"/>
      <c r="AG48" s="116">
        <v>0</v>
      </c>
      <c r="AH48" s="116"/>
      <c r="AI48" s="116">
        <v>0</v>
      </c>
      <c r="AJ48" s="116"/>
      <c r="AK48" s="116"/>
      <c r="AL48" s="116">
        <v>0</v>
      </c>
      <c r="AM48" s="116"/>
      <c r="AN48" s="116">
        <v>0</v>
      </c>
      <c r="AO48" s="116"/>
      <c r="AP48" s="116">
        <v>0</v>
      </c>
      <c r="AQ48" s="116"/>
      <c r="AR48" s="116">
        <v>0</v>
      </c>
      <c r="AS48" s="116"/>
      <c r="AT48" s="116">
        <v>0</v>
      </c>
      <c r="AU48" s="116"/>
      <c r="AV48" s="116"/>
      <c r="AW48" s="116"/>
      <c r="AX48" s="116">
        <v>0</v>
      </c>
      <c r="AY48" s="116"/>
    </row>
    <row r="49" spans="1:52" x14ac:dyDescent="0.2">
      <c r="A49" s="116"/>
      <c r="B49" s="171" t="s">
        <v>346</v>
      </c>
      <c r="C49" s="116"/>
      <c r="D49" s="116"/>
      <c r="E49" s="116">
        <v>6</v>
      </c>
      <c r="F49" s="116"/>
      <c r="G49" s="116">
        <v>6</v>
      </c>
      <c r="H49" s="116"/>
      <c r="I49" s="116">
        <v>6</v>
      </c>
      <c r="J49" s="116"/>
      <c r="K49" s="116">
        <v>6</v>
      </c>
      <c r="L49" s="116"/>
      <c r="M49" s="116">
        <v>6</v>
      </c>
      <c r="N49" s="116"/>
      <c r="O49" s="116">
        <v>6</v>
      </c>
      <c r="P49" s="116"/>
      <c r="Q49" s="116">
        <v>6</v>
      </c>
      <c r="R49" s="116"/>
      <c r="S49" s="116">
        <v>6</v>
      </c>
      <c r="T49" s="116"/>
      <c r="U49" s="116">
        <v>6</v>
      </c>
      <c r="V49" s="116"/>
      <c r="W49" s="116">
        <v>6</v>
      </c>
      <c r="X49" s="116"/>
      <c r="Y49" s="116">
        <v>6</v>
      </c>
      <c r="Z49" s="116"/>
      <c r="AA49" s="116">
        <v>6</v>
      </c>
      <c r="AB49" s="116"/>
      <c r="AC49" s="116">
        <v>6</v>
      </c>
      <c r="AD49" s="116"/>
      <c r="AE49" s="116">
        <v>6</v>
      </c>
      <c r="AF49" s="116"/>
      <c r="AG49" s="116">
        <v>6</v>
      </c>
      <c r="AH49" s="116"/>
      <c r="AI49" s="116">
        <v>6</v>
      </c>
      <c r="AJ49" s="116"/>
      <c r="AK49" s="116"/>
      <c r="AL49" s="116">
        <v>6</v>
      </c>
      <c r="AM49" s="116"/>
      <c r="AN49" s="116">
        <v>6</v>
      </c>
      <c r="AO49" s="116"/>
      <c r="AP49" s="116">
        <v>6</v>
      </c>
      <c r="AQ49" s="116"/>
      <c r="AR49" s="116">
        <v>6</v>
      </c>
      <c r="AS49" s="116"/>
      <c r="AT49" s="116">
        <v>6</v>
      </c>
      <c r="AU49" s="116"/>
      <c r="AV49" s="116"/>
      <c r="AW49" s="116"/>
      <c r="AX49" s="116">
        <v>6</v>
      </c>
      <c r="AY49" s="116"/>
    </row>
    <row r="50" spans="1:52" x14ac:dyDescent="0.2">
      <c r="A50" s="116"/>
      <c r="B50" s="171" t="s">
        <v>347</v>
      </c>
      <c r="C50" s="116"/>
      <c r="D50" s="116">
        <f>D44-D47</f>
        <v>313</v>
      </c>
      <c r="E50" s="116">
        <f t="shared" ref="E50:AY50" si="15">E44-E47</f>
        <v>0</v>
      </c>
      <c r="F50" s="116">
        <f t="shared" si="15"/>
        <v>163</v>
      </c>
      <c r="G50" s="116">
        <f t="shared" si="15"/>
        <v>0</v>
      </c>
      <c r="H50" s="116">
        <f t="shared" si="15"/>
        <v>163</v>
      </c>
      <c r="I50" s="116">
        <f t="shared" si="15"/>
        <v>0</v>
      </c>
      <c r="J50" s="116">
        <f t="shared" si="15"/>
        <v>163</v>
      </c>
      <c r="K50" s="116">
        <f t="shared" si="15"/>
        <v>0</v>
      </c>
      <c r="L50" s="116">
        <f t="shared" si="15"/>
        <v>163</v>
      </c>
      <c r="M50" s="116">
        <f t="shared" si="15"/>
        <v>0</v>
      </c>
      <c r="N50" s="116">
        <f t="shared" si="15"/>
        <v>163</v>
      </c>
      <c r="O50" s="116">
        <f t="shared" si="15"/>
        <v>0</v>
      </c>
      <c r="P50" s="116">
        <f t="shared" si="15"/>
        <v>163</v>
      </c>
      <c r="Q50" s="116">
        <f t="shared" si="15"/>
        <v>0</v>
      </c>
      <c r="R50" s="116">
        <f t="shared" si="15"/>
        <v>163</v>
      </c>
      <c r="S50" s="116">
        <f t="shared" si="15"/>
        <v>0</v>
      </c>
      <c r="T50" s="116">
        <f t="shared" si="15"/>
        <v>163</v>
      </c>
      <c r="U50" s="116">
        <f t="shared" si="15"/>
        <v>0</v>
      </c>
      <c r="V50" s="116">
        <f t="shared" si="15"/>
        <v>163</v>
      </c>
      <c r="W50" s="116">
        <f t="shared" si="15"/>
        <v>0</v>
      </c>
      <c r="X50" s="116">
        <f t="shared" si="15"/>
        <v>163</v>
      </c>
      <c r="Y50" s="116">
        <f t="shared" si="15"/>
        <v>0</v>
      </c>
      <c r="Z50" s="116">
        <f t="shared" si="15"/>
        <v>163</v>
      </c>
      <c r="AA50" s="116">
        <f t="shared" si="15"/>
        <v>0</v>
      </c>
      <c r="AB50" s="116">
        <f t="shared" si="15"/>
        <v>163</v>
      </c>
      <c r="AC50" s="116">
        <f t="shared" si="15"/>
        <v>0</v>
      </c>
      <c r="AD50" s="116">
        <f t="shared" si="15"/>
        <v>163</v>
      </c>
      <c r="AE50" s="116">
        <f t="shared" si="15"/>
        <v>0</v>
      </c>
      <c r="AF50" s="116">
        <f t="shared" si="15"/>
        <v>163</v>
      </c>
      <c r="AG50" s="116">
        <f t="shared" si="15"/>
        <v>0</v>
      </c>
      <c r="AH50" s="116">
        <f t="shared" si="15"/>
        <v>163</v>
      </c>
      <c r="AI50" s="116">
        <f t="shared" si="15"/>
        <v>0</v>
      </c>
      <c r="AJ50" s="116">
        <f t="shared" si="15"/>
        <v>163</v>
      </c>
      <c r="AK50" s="116">
        <f t="shared" si="15"/>
        <v>0</v>
      </c>
      <c r="AL50" s="116">
        <f t="shared" si="15"/>
        <v>0</v>
      </c>
      <c r="AM50" s="116">
        <f t="shared" si="15"/>
        <v>163</v>
      </c>
      <c r="AN50" s="116">
        <f t="shared" si="15"/>
        <v>0</v>
      </c>
      <c r="AO50" s="116">
        <f t="shared" si="15"/>
        <v>163</v>
      </c>
      <c r="AP50" s="116">
        <f t="shared" si="15"/>
        <v>0</v>
      </c>
      <c r="AQ50" s="116">
        <f t="shared" si="15"/>
        <v>163</v>
      </c>
      <c r="AR50" s="116">
        <f t="shared" si="15"/>
        <v>0</v>
      </c>
      <c r="AS50" s="116">
        <f t="shared" si="15"/>
        <v>163</v>
      </c>
      <c r="AT50" s="116">
        <f t="shared" si="15"/>
        <v>0</v>
      </c>
      <c r="AU50" s="116">
        <f t="shared" si="15"/>
        <v>163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163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4</v>
      </c>
      <c r="F52" s="116">
        <v>2</v>
      </c>
      <c r="G52" s="116">
        <v>3</v>
      </c>
      <c r="H52" s="116">
        <v>2</v>
      </c>
      <c r="I52" s="116">
        <v>3</v>
      </c>
      <c r="J52" s="116">
        <v>3</v>
      </c>
      <c r="K52" s="116">
        <v>3</v>
      </c>
      <c r="L52" s="116">
        <v>2</v>
      </c>
      <c r="M52" s="116">
        <v>2</v>
      </c>
      <c r="N52" s="116">
        <v>3</v>
      </c>
      <c r="O52" s="116">
        <v>2</v>
      </c>
      <c r="P52" s="116">
        <v>3</v>
      </c>
      <c r="Q52" s="116">
        <v>2</v>
      </c>
      <c r="R52" s="116">
        <v>3</v>
      </c>
      <c r="S52" s="116">
        <v>3</v>
      </c>
      <c r="T52" s="116">
        <v>2</v>
      </c>
      <c r="U52" s="116">
        <v>4</v>
      </c>
      <c r="V52" s="116">
        <v>2</v>
      </c>
      <c r="W52" s="116">
        <v>2</v>
      </c>
      <c r="X52" s="116">
        <v>3</v>
      </c>
      <c r="Y52" s="116">
        <v>3</v>
      </c>
      <c r="Z52" s="116">
        <v>2</v>
      </c>
      <c r="AA52" s="116">
        <v>2</v>
      </c>
      <c r="AB52" s="116">
        <v>2</v>
      </c>
      <c r="AC52" s="116">
        <v>3</v>
      </c>
      <c r="AD52" s="116">
        <v>2</v>
      </c>
      <c r="AE52" s="116">
        <v>3</v>
      </c>
      <c r="AF52" s="116">
        <v>2</v>
      </c>
      <c r="AG52" s="116">
        <v>2</v>
      </c>
      <c r="AH52" s="116">
        <v>2</v>
      </c>
      <c r="AI52" s="116">
        <v>3</v>
      </c>
      <c r="AJ52" s="116">
        <v>2</v>
      </c>
      <c r="AK52" s="116">
        <v>2</v>
      </c>
      <c r="AL52" s="116">
        <v>3</v>
      </c>
      <c r="AM52" s="116">
        <v>3</v>
      </c>
      <c r="AN52" s="116">
        <v>2</v>
      </c>
      <c r="AO52" s="116">
        <v>2</v>
      </c>
      <c r="AP52" s="116">
        <v>3</v>
      </c>
      <c r="AQ52" s="116">
        <v>2</v>
      </c>
      <c r="AR52" s="116">
        <v>2</v>
      </c>
      <c r="AS52" s="116">
        <v>2</v>
      </c>
      <c r="AT52" s="116">
        <v>2</v>
      </c>
      <c r="AU52" s="116">
        <v>2</v>
      </c>
      <c r="AV52" s="116">
        <v>2</v>
      </c>
      <c r="AW52" s="116">
        <v>2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505224</v>
      </c>
      <c r="F53" s="116">
        <v>0</v>
      </c>
      <c r="G53" s="116">
        <v>505224</v>
      </c>
      <c r="H53" s="116">
        <v>0</v>
      </c>
      <c r="I53" s="116">
        <v>505224</v>
      </c>
      <c r="J53" s="116">
        <v>0</v>
      </c>
      <c r="K53" s="116">
        <v>505224</v>
      </c>
      <c r="L53" s="116">
        <v>0</v>
      </c>
      <c r="M53" s="116">
        <v>505224</v>
      </c>
      <c r="N53" s="116">
        <v>0</v>
      </c>
      <c r="O53" s="116">
        <v>505224</v>
      </c>
      <c r="P53" s="116">
        <v>0</v>
      </c>
      <c r="Q53" s="116">
        <v>505224</v>
      </c>
      <c r="R53" s="116">
        <v>0</v>
      </c>
      <c r="S53" s="116">
        <v>505224</v>
      </c>
      <c r="T53" s="116">
        <v>0</v>
      </c>
      <c r="U53" s="116">
        <v>505224</v>
      </c>
      <c r="V53" s="116">
        <v>0</v>
      </c>
      <c r="W53" s="116">
        <v>505224</v>
      </c>
      <c r="X53" s="116">
        <v>0</v>
      </c>
      <c r="Y53" s="116">
        <v>505224</v>
      </c>
      <c r="Z53" s="116">
        <v>0</v>
      </c>
      <c r="AA53" s="116">
        <v>505224</v>
      </c>
      <c r="AB53" s="116">
        <v>0</v>
      </c>
      <c r="AC53" s="116">
        <v>505224</v>
      </c>
      <c r="AD53" s="116">
        <v>0</v>
      </c>
      <c r="AE53" s="116">
        <v>505224</v>
      </c>
      <c r="AF53" s="116">
        <v>0</v>
      </c>
      <c r="AG53" s="116">
        <v>505224</v>
      </c>
      <c r="AH53" s="116">
        <v>0</v>
      </c>
      <c r="AI53" s="116">
        <v>505224</v>
      </c>
      <c r="AJ53" s="116">
        <v>0</v>
      </c>
      <c r="AK53" s="116">
        <v>0</v>
      </c>
      <c r="AL53" s="116">
        <v>505224</v>
      </c>
      <c r="AM53" s="116">
        <v>0</v>
      </c>
      <c r="AN53" s="116">
        <v>505224</v>
      </c>
      <c r="AO53" s="116">
        <v>0</v>
      </c>
      <c r="AP53" s="116">
        <v>505224</v>
      </c>
      <c r="AQ53" s="116">
        <v>0</v>
      </c>
      <c r="AR53" s="116">
        <v>505224</v>
      </c>
      <c r="AS53" s="116">
        <v>0</v>
      </c>
      <c r="AT53" s="116">
        <v>505224</v>
      </c>
      <c r="AU53" s="116">
        <v>0</v>
      </c>
      <c r="AV53" s="116">
        <v>0</v>
      </c>
      <c r="AW53" s="116">
        <v>0</v>
      </c>
      <c r="AX53" s="116">
        <v>505224</v>
      </c>
      <c r="AY53" s="116">
        <v>0</v>
      </c>
      <c r="AZ53" s="106">
        <f>SUM($D$53:$AY$53)</f>
        <v>11114928</v>
      </c>
    </row>
    <row r="54" spans="1:52" x14ac:dyDescent="0.2">
      <c r="A54" s="131"/>
      <c r="B54" s="146" t="s">
        <v>351</v>
      </c>
      <c r="C54" s="131"/>
      <c r="D54" s="131">
        <v>475869.55</v>
      </c>
      <c r="E54" s="131">
        <v>0</v>
      </c>
      <c r="F54" s="131">
        <v>247817.05000000002</v>
      </c>
      <c r="G54" s="131">
        <v>0</v>
      </c>
      <c r="H54" s="131">
        <v>247817.05000000002</v>
      </c>
      <c r="I54" s="131">
        <v>0</v>
      </c>
      <c r="J54" s="131">
        <v>247817.05000000002</v>
      </c>
      <c r="K54" s="131">
        <v>0</v>
      </c>
      <c r="L54" s="131">
        <v>247817.05000000002</v>
      </c>
      <c r="M54" s="131">
        <v>0</v>
      </c>
      <c r="N54" s="131">
        <v>247817.05000000002</v>
      </c>
      <c r="O54" s="131">
        <v>0</v>
      </c>
      <c r="P54" s="131">
        <v>247817.05000000002</v>
      </c>
      <c r="Q54" s="131">
        <v>0</v>
      </c>
      <c r="R54" s="131">
        <v>247817.05000000002</v>
      </c>
      <c r="S54" s="131">
        <v>0</v>
      </c>
      <c r="T54" s="131">
        <v>247817.05000000002</v>
      </c>
      <c r="U54" s="131">
        <v>0</v>
      </c>
      <c r="V54" s="131">
        <v>247817.05000000002</v>
      </c>
      <c r="W54" s="131">
        <v>0</v>
      </c>
      <c r="X54" s="131">
        <v>247817.05000000002</v>
      </c>
      <c r="Y54" s="131">
        <v>0</v>
      </c>
      <c r="Z54" s="131">
        <v>247817.05000000002</v>
      </c>
      <c r="AA54" s="131">
        <v>0</v>
      </c>
      <c r="AB54" s="131">
        <v>247817.05000000002</v>
      </c>
      <c r="AC54" s="131">
        <v>0</v>
      </c>
      <c r="AD54" s="131">
        <v>247817.05000000002</v>
      </c>
      <c r="AE54" s="131">
        <v>0</v>
      </c>
      <c r="AF54" s="131">
        <v>247817.05000000002</v>
      </c>
      <c r="AG54" s="131">
        <v>0</v>
      </c>
      <c r="AH54" s="131">
        <v>247817.05000000002</v>
      </c>
      <c r="AI54" s="131">
        <v>0</v>
      </c>
      <c r="AJ54" s="131">
        <v>247817.05000000002</v>
      </c>
      <c r="AK54" s="131">
        <v>0</v>
      </c>
      <c r="AL54" s="131">
        <v>0</v>
      </c>
      <c r="AM54" s="131">
        <v>247817.05000000002</v>
      </c>
      <c r="AN54" s="131">
        <v>0</v>
      </c>
      <c r="AO54" s="131">
        <v>247817.05000000002</v>
      </c>
      <c r="AP54" s="131">
        <v>0</v>
      </c>
      <c r="AQ54" s="131">
        <v>247817.05000000002</v>
      </c>
      <c r="AR54" s="131">
        <v>0</v>
      </c>
      <c r="AS54" s="131">
        <v>247817.05000000002</v>
      </c>
      <c r="AT54" s="131">
        <v>0</v>
      </c>
      <c r="AU54" s="131">
        <v>247817.05000000002</v>
      </c>
      <c r="AV54" s="131">
        <v>0</v>
      </c>
      <c r="AW54" s="131">
        <v>0</v>
      </c>
      <c r="AX54" s="131">
        <v>0</v>
      </c>
      <c r="AY54" s="131">
        <v>247817.05000000002</v>
      </c>
      <c r="AZ54" s="106">
        <f>SUM($D$54:$AY$54)</f>
        <v>5927844.6499999976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4397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1919.0302790528876</v>
      </c>
      <c r="E7" s="150">
        <v>1919.0302790528876</v>
      </c>
      <c r="F7" s="150">
        <v>1919.0302790528876</v>
      </c>
      <c r="G7" s="150">
        <v>1919.0302790528876</v>
      </c>
      <c r="H7" s="150">
        <v>1705.8046924914556</v>
      </c>
      <c r="I7" s="150">
        <v>1705.8046924914556</v>
      </c>
      <c r="J7" s="150">
        <v>1705.8046924914556</v>
      </c>
      <c r="K7" s="150">
        <v>1705.8046924914556</v>
      </c>
      <c r="L7" s="150">
        <v>1705.8046924914556</v>
      </c>
      <c r="M7" s="150">
        <v>1705.8046924914556</v>
      </c>
      <c r="N7" s="150">
        <v>1705.8046924914556</v>
      </c>
      <c r="O7" s="150">
        <v>1705.8046924914556</v>
      </c>
      <c r="P7" s="150">
        <v>1919.0302790528876</v>
      </c>
      <c r="Q7" s="150">
        <v>1919.0302790528876</v>
      </c>
      <c r="R7" s="150">
        <v>1919.0302790528876</v>
      </c>
      <c r="S7" s="150">
        <v>1919.0302790528876</v>
      </c>
      <c r="T7" s="150">
        <v>1705.8046924914556</v>
      </c>
      <c r="U7" s="150">
        <v>1705.8046924914556</v>
      </c>
      <c r="V7" s="150">
        <v>1705.8046924914556</v>
      </c>
      <c r="W7" s="150">
        <v>1705.8046924914556</v>
      </c>
      <c r="X7" s="150">
        <v>1705.8046924914556</v>
      </c>
      <c r="Y7" s="150">
        <v>1705.8046924914556</v>
      </c>
      <c r="Z7" s="150">
        <v>1705.8046924914556</v>
      </c>
      <c r="AA7" s="150">
        <v>1705.8046924914556</v>
      </c>
      <c r="AB7" s="150">
        <v>1919.0302790528876</v>
      </c>
      <c r="AC7" s="150">
        <v>1919.0302790528876</v>
      </c>
      <c r="AD7" s="150">
        <v>1919.0302790528876</v>
      </c>
      <c r="AE7" s="150">
        <v>1919.0302790528876</v>
      </c>
      <c r="AF7" s="150">
        <v>1705.8046924914556</v>
      </c>
      <c r="AG7" s="150">
        <v>1705.8046924914556</v>
      </c>
      <c r="AH7" s="150">
        <v>1705.8046924914556</v>
      </c>
      <c r="AI7" s="150">
        <v>1705.8046924914556</v>
      </c>
      <c r="AJ7" s="150">
        <v>1705.8046924914556</v>
      </c>
      <c r="AK7" s="150">
        <v>1705.8046924914556</v>
      </c>
      <c r="AL7" s="150">
        <v>1705.8046924914556</v>
      </c>
      <c r="AM7" s="150">
        <v>1705.8046924914556</v>
      </c>
      <c r="AN7" s="150">
        <v>1919.0302790528876</v>
      </c>
      <c r="AO7" s="150">
        <v>1919.0302790528876</v>
      </c>
      <c r="AP7" s="150">
        <v>1919.0302790528876</v>
      </c>
      <c r="AQ7" s="150">
        <v>1919.0302790528876</v>
      </c>
      <c r="AR7" s="150">
        <v>1705.8046924914556</v>
      </c>
      <c r="AS7" s="150">
        <v>1705.8046924914556</v>
      </c>
      <c r="AT7" s="150">
        <v>1705.8046924914556</v>
      </c>
      <c r="AU7" s="150">
        <v>1705.8046924914556</v>
      </c>
      <c r="AV7" s="150">
        <v>1705.8046924914556</v>
      </c>
      <c r="AW7" s="150">
        <v>1705.8046924914556</v>
      </c>
      <c r="AX7" s="150">
        <v>1705.8046924914556</v>
      </c>
      <c r="AY7" s="150">
        <v>1705.8046924914556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0</v>
      </c>
      <c r="D13" s="144">
        <f t="shared" ref="D13:AY13" si="1">D$7-D$10</f>
        <v>1919.0302790528876</v>
      </c>
      <c r="E13" s="144">
        <f t="shared" si="1"/>
        <v>1919.0302790528876</v>
      </c>
      <c r="F13" s="144">
        <f t="shared" si="1"/>
        <v>1919.0302790528876</v>
      </c>
      <c r="G13" s="144">
        <f t="shared" si="1"/>
        <v>1919.0302790528876</v>
      </c>
      <c r="H13" s="144">
        <f t="shared" si="1"/>
        <v>1705.8046924914556</v>
      </c>
      <c r="I13" s="144">
        <f t="shared" si="1"/>
        <v>1705.8046924914556</v>
      </c>
      <c r="J13" s="144">
        <f t="shared" si="1"/>
        <v>1705.8046924914556</v>
      </c>
      <c r="K13" s="144">
        <f t="shared" si="1"/>
        <v>1705.8046924914556</v>
      </c>
      <c r="L13" s="144">
        <f t="shared" si="1"/>
        <v>1705.8046924914556</v>
      </c>
      <c r="M13" s="144">
        <f t="shared" si="1"/>
        <v>1705.8046924914556</v>
      </c>
      <c r="N13" s="144">
        <f t="shared" si="1"/>
        <v>1705.8046924914556</v>
      </c>
      <c r="O13" s="144">
        <f t="shared" si="1"/>
        <v>1705.8046924914556</v>
      </c>
      <c r="P13" s="144">
        <f t="shared" si="1"/>
        <v>1919.0302790528876</v>
      </c>
      <c r="Q13" s="144">
        <f t="shared" si="1"/>
        <v>1919.0302790528876</v>
      </c>
      <c r="R13" s="144">
        <f t="shared" si="1"/>
        <v>1919.0302790528876</v>
      </c>
      <c r="S13" s="144">
        <f t="shared" si="1"/>
        <v>1919.0302790528876</v>
      </c>
      <c r="T13" s="144">
        <f t="shared" si="1"/>
        <v>1705.8046924914556</v>
      </c>
      <c r="U13" s="144">
        <f t="shared" si="1"/>
        <v>1705.8046924914556</v>
      </c>
      <c r="V13" s="144">
        <f t="shared" si="1"/>
        <v>1705.8046924914556</v>
      </c>
      <c r="W13" s="144">
        <f t="shared" si="1"/>
        <v>1705.8046924914556</v>
      </c>
      <c r="X13" s="144">
        <f t="shared" si="1"/>
        <v>1705.8046924914556</v>
      </c>
      <c r="Y13" s="144">
        <f t="shared" si="1"/>
        <v>1705.8046924914556</v>
      </c>
      <c r="Z13" s="144">
        <f t="shared" si="1"/>
        <v>1705.8046924914556</v>
      </c>
      <c r="AA13" s="144">
        <f t="shared" si="1"/>
        <v>1705.8046924914556</v>
      </c>
      <c r="AB13" s="144">
        <f t="shared" si="1"/>
        <v>1919.0302790528876</v>
      </c>
      <c r="AC13" s="144">
        <f t="shared" si="1"/>
        <v>1919.0302790528876</v>
      </c>
      <c r="AD13" s="144">
        <f t="shared" si="1"/>
        <v>1919.0302790528876</v>
      </c>
      <c r="AE13" s="144">
        <f t="shared" si="1"/>
        <v>1919.0302790528876</v>
      </c>
      <c r="AF13" s="144">
        <f t="shared" si="1"/>
        <v>1705.8046924914556</v>
      </c>
      <c r="AG13" s="144">
        <f t="shared" si="1"/>
        <v>1705.8046924914556</v>
      </c>
      <c r="AH13" s="144">
        <f t="shared" si="1"/>
        <v>1705.8046924914556</v>
      </c>
      <c r="AI13" s="144">
        <f t="shared" si="1"/>
        <v>1705.8046924914556</v>
      </c>
      <c r="AJ13" s="144">
        <f t="shared" si="1"/>
        <v>1705.8046924914556</v>
      </c>
      <c r="AK13" s="144">
        <f t="shared" si="1"/>
        <v>1705.8046924914556</v>
      </c>
      <c r="AL13" s="144">
        <f t="shared" si="1"/>
        <v>1705.8046924914556</v>
      </c>
      <c r="AM13" s="144">
        <f t="shared" si="1"/>
        <v>1705.8046924914556</v>
      </c>
      <c r="AN13" s="144">
        <f t="shared" si="1"/>
        <v>1919.0302790528876</v>
      </c>
      <c r="AO13" s="144">
        <f t="shared" si="1"/>
        <v>1919.0302790528876</v>
      </c>
      <c r="AP13" s="144">
        <f t="shared" si="1"/>
        <v>1919.0302790528876</v>
      </c>
      <c r="AQ13" s="144">
        <f t="shared" si="1"/>
        <v>1919.0302790528876</v>
      </c>
      <c r="AR13" s="144">
        <f t="shared" si="1"/>
        <v>1705.8046924914556</v>
      </c>
      <c r="AS13" s="144">
        <f t="shared" si="1"/>
        <v>1705.8046924914556</v>
      </c>
      <c r="AT13" s="144">
        <f t="shared" si="1"/>
        <v>1705.8046924914556</v>
      </c>
      <c r="AU13" s="144">
        <f t="shared" si="1"/>
        <v>1705.8046924914556</v>
      </c>
      <c r="AV13" s="144">
        <f t="shared" si="1"/>
        <v>1705.8046924914556</v>
      </c>
      <c r="AW13" s="144">
        <f t="shared" si="1"/>
        <v>1705.8046924914556</v>
      </c>
      <c r="AX13" s="144">
        <f t="shared" si="1"/>
        <v>1705.8046924914556</v>
      </c>
      <c r="AY13" s="144">
        <f t="shared" si="1"/>
        <v>1705.8046924914556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1705.8046924914556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1705.8046924914556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 t="s">
        <v>339</v>
      </c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 t="s">
        <v>339</v>
      </c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0</v>
      </c>
      <c r="E21" s="112">
        <f t="shared" ref="E21:AY21" si="3">IF(D$20="Yes",0,SUM(D$13:D$16)*$B$21)</f>
        <v>1919.0302790528876</v>
      </c>
      <c r="F21" s="112">
        <f t="shared" si="3"/>
        <v>1919.0302790528876</v>
      </c>
      <c r="G21" s="112">
        <f t="shared" si="3"/>
        <v>1919.0302790528876</v>
      </c>
      <c r="H21" s="112">
        <f t="shared" si="3"/>
        <v>1919.0302790528876</v>
      </c>
      <c r="I21" s="112">
        <f t="shared" si="3"/>
        <v>1705.8046924914556</v>
      </c>
      <c r="J21" s="112">
        <f t="shared" si="3"/>
        <v>1705.8046924914556</v>
      </c>
      <c r="K21" s="112">
        <f t="shared" si="3"/>
        <v>1705.8046924914556</v>
      </c>
      <c r="L21" s="112">
        <f t="shared" si="3"/>
        <v>1705.8046924914556</v>
      </c>
      <c r="M21" s="112">
        <f t="shared" si="3"/>
        <v>1705.8046924914556</v>
      </c>
      <c r="N21" s="112">
        <f t="shared" si="3"/>
        <v>1705.8046924914556</v>
      </c>
      <c r="O21" s="112">
        <f t="shared" si="3"/>
        <v>1705.8046924914556</v>
      </c>
      <c r="P21" s="112">
        <f t="shared" si="3"/>
        <v>1705.8046924914556</v>
      </c>
      <c r="Q21" s="112">
        <f t="shared" si="3"/>
        <v>1919.0302790528876</v>
      </c>
      <c r="R21" s="112">
        <f t="shared" si="3"/>
        <v>1919.0302790528876</v>
      </c>
      <c r="S21" s="112">
        <f t="shared" si="3"/>
        <v>1919.0302790528876</v>
      </c>
      <c r="T21" s="112">
        <f t="shared" si="3"/>
        <v>1919.0302790528876</v>
      </c>
      <c r="U21" s="112">
        <f t="shared" si="3"/>
        <v>1705.8046924914556</v>
      </c>
      <c r="V21" s="112">
        <f t="shared" si="3"/>
        <v>1705.8046924914556</v>
      </c>
      <c r="W21" s="112">
        <f t="shared" si="3"/>
        <v>1705.8046924914556</v>
      </c>
      <c r="X21" s="112">
        <f t="shared" si="3"/>
        <v>1705.8046924914556</v>
      </c>
      <c r="Y21" s="112">
        <f t="shared" si="3"/>
        <v>0</v>
      </c>
      <c r="Z21" s="112">
        <f t="shared" si="3"/>
        <v>3411.6093849829113</v>
      </c>
      <c r="AA21" s="112">
        <f t="shared" si="3"/>
        <v>1705.8046924914556</v>
      </c>
      <c r="AB21" s="112">
        <f t="shared" si="3"/>
        <v>1705.8046924914556</v>
      </c>
      <c r="AC21" s="112">
        <f t="shared" si="3"/>
        <v>1919.0302790528876</v>
      </c>
      <c r="AD21" s="112">
        <f t="shared" si="3"/>
        <v>1919.0302790528876</v>
      </c>
      <c r="AE21" s="112">
        <f t="shared" si="3"/>
        <v>1919.0302790528876</v>
      </c>
      <c r="AF21" s="112">
        <f t="shared" si="3"/>
        <v>1919.0302790528876</v>
      </c>
      <c r="AG21" s="112">
        <f t="shared" si="3"/>
        <v>1705.8046924914556</v>
      </c>
      <c r="AH21" s="112">
        <f t="shared" si="3"/>
        <v>1705.8046924914556</v>
      </c>
      <c r="AI21" s="112">
        <f t="shared" si="3"/>
        <v>1705.8046924914556</v>
      </c>
      <c r="AJ21" s="112">
        <f t="shared" si="3"/>
        <v>1705.8046924914556</v>
      </c>
      <c r="AK21" s="112">
        <f t="shared" si="3"/>
        <v>1705.8046924914556</v>
      </c>
      <c r="AL21" s="112">
        <f t="shared" si="3"/>
        <v>1705.8046924914556</v>
      </c>
      <c r="AM21" s="112">
        <f t="shared" si="3"/>
        <v>1705.8046924914556</v>
      </c>
      <c r="AN21" s="112">
        <f t="shared" si="3"/>
        <v>1705.8046924914556</v>
      </c>
      <c r="AO21" s="112">
        <f t="shared" si="3"/>
        <v>1919.0302790528876</v>
      </c>
      <c r="AP21" s="112">
        <f t="shared" si="3"/>
        <v>1919.0302790528876</v>
      </c>
      <c r="AQ21" s="112">
        <f t="shared" si="3"/>
        <v>1919.0302790528876</v>
      </c>
      <c r="AR21" s="112">
        <f t="shared" si="3"/>
        <v>1919.0302790528876</v>
      </c>
      <c r="AS21" s="112">
        <f t="shared" si="3"/>
        <v>1705.8046924914556</v>
      </c>
      <c r="AT21" s="112">
        <f t="shared" si="3"/>
        <v>1705.8046924914556</v>
      </c>
      <c r="AU21" s="112">
        <f t="shared" si="3"/>
        <v>1705.8046924914556</v>
      </c>
      <c r="AV21" s="112">
        <f t="shared" si="3"/>
        <v>1705.8046924914556</v>
      </c>
      <c r="AW21" s="112">
        <f t="shared" si="3"/>
        <v>1705.8046924914556</v>
      </c>
      <c r="AX21" s="112">
        <f t="shared" si="3"/>
        <v>0</v>
      </c>
      <c r="AY21" s="112">
        <f t="shared" si="3"/>
        <v>3411.6093849829113</v>
      </c>
      <c r="AZ21" s="163">
        <f>SUM($D21:$AY21)</f>
        <v>83584.429932081257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0</v>
      </c>
      <c r="E23" s="106">
        <f t="shared" ref="E23:AY23" si="6">E$21*$B$23</f>
        <v>3838060.5581057752</v>
      </c>
      <c r="F23" s="106">
        <f t="shared" si="6"/>
        <v>3838060.5581057752</v>
      </c>
      <c r="G23" s="106">
        <f t="shared" si="6"/>
        <v>3838060.5581057752</v>
      </c>
      <c r="H23" s="106">
        <f t="shared" si="6"/>
        <v>3838060.5581057752</v>
      </c>
      <c r="I23" s="106">
        <f t="shared" si="6"/>
        <v>3411609.3849829114</v>
      </c>
      <c r="J23" s="106">
        <f t="shared" si="6"/>
        <v>3411609.3849829114</v>
      </c>
      <c r="K23" s="106">
        <f t="shared" si="6"/>
        <v>3411609.3849829114</v>
      </c>
      <c r="L23" s="106">
        <f t="shared" si="6"/>
        <v>3411609.3849829114</v>
      </c>
      <c r="M23" s="106">
        <f t="shared" si="6"/>
        <v>3411609.3849829114</v>
      </c>
      <c r="N23" s="106">
        <f t="shared" si="6"/>
        <v>3411609.3849829114</v>
      </c>
      <c r="O23" s="106">
        <f t="shared" si="6"/>
        <v>3411609.3849829114</v>
      </c>
      <c r="P23" s="106">
        <f t="shared" si="6"/>
        <v>3411609.3849829114</v>
      </c>
      <c r="Q23" s="106">
        <f t="shared" si="6"/>
        <v>3838060.5581057752</v>
      </c>
      <c r="R23" s="106">
        <f t="shared" si="6"/>
        <v>3838060.5581057752</v>
      </c>
      <c r="S23" s="106">
        <f t="shared" si="6"/>
        <v>3838060.5581057752</v>
      </c>
      <c r="T23" s="106">
        <f t="shared" si="6"/>
        <v>3838060.5581057752</v>
      </c>
      <c r="U23" s="106">
        <f t="shared" si="6"/>
        <v>3411609.3849829114</v>
      </c>
      <c r="V23" s="106">
        <f t="shared" si="6"/>
        <v>3411609.3849829114</v>
      </c>
      <c r="W23" s="106">
        <f t="shared" si="6"/>
        <v>3411609.3849829114</v>
      </c>
      <c r="X23" s="106">
        <f t="shared" si="6"/>
        <v>3411609.3849829114</v>
      </c>
      <c r="Y23" s="106">
        <f t="shared" si="6"/>
        <v>0</v>
      </c>
      <c r="Z23" s="106">
        <f t="shared" si="6"/>
        <v>6823218.7699658228</v>
      </c>
      <c r="AA23" s="106">
        <f t="shared" si="6"/>
        <v>3411609.3849829114</v>
      </c>
      <c r="AB23" s="106">
        <f t="shared" si="6"/>
        <v>3411609.3849829114</v>
      </c>
      <c r="AC23" s="106">
        <f t="shared" si="6"/>
        <v>3838060.5581057752</v>
      </c>
      <c r="AD23" s="106">
        <f t="shared" si="6"/>
        <v>3838060.5581057752</v>
      </c>
      <c r="AE23" s="106">
        <f t="shared" si="6"/>
        <v>3838060.5581057752</v>
      </c>
      <c r="AF23" s="106">
        <f t="shared" si="6"/>
        <v>3838060.5581057752</v>
      </c>
      <c r="AG23" s="106">
        <f t="shared" si="6"/>
        <v>3411609.3849829114</v>
      </c>
      <c r="AH23" s="106">
        <f t="shared" si="6"/>
        <v>3411609.3849829114</v>
      </c>
      <c r="AI23" s="106">
        <f t="shared" si="6"/>
        <v>3411609.3849829114</v>
      </c>
      <c r="AJ23" s="106">
        <f t="shared" si="6"/>
        <v>3411609.3849829114</v>
      </c>
      <c r="AK23" s="106">
        <f t="shared" si="6"/>
        <v>3411609.3849829114</v>
      </c>
      <c r="AL23" s="106">
        <f t="shared" si="6"/>
        <v>3411609.3849829114</v>
      </c>
      <c r="AM23" s="106">
        <f t="shared" si="6"/>
        <v>3411609.3849829114</v>
      </c>
      <c r="AN23" s="106">
        <f t="shared" si="6"/>
        <v>3411609.3849829114</v>
      </c>
      <c r="AO23" s="106">
        <f t="shared" si="6"/>
        <v>3838060.5581057752</v>
      </c>
      <c r="AP23" s="106">
        <f t="shared" si="6"/>
        <v>3838060.5581057752</v>
      </c>
      <c r="AQ23" s="106">
        <f t="shared" si="6"/>
        <v>3838060.5581057752</v>
      </c>
      <c r="AR23" s="106">
        <f t="shared" si="6"/>
        <v>3838060.5581057752</v>
      </c>
      <c r="AS23" s="106">
        <f t="shared" si="6"/>
        <v>3411609.3849829114</v>
      </c>
      <c r="AT23" s="106">
        <f t="shared" si="6"/>
        <v>3411609.3849829114</v>
      </c>
      <c r="AU23" s="106">
        <f t="shared" si="6"/>
        <v>3411609.3849829114</v>
      </c>
      <c r="AV23" s="106">
        <f t="shared" si="6"/>
        <v>3411609.3849829114</v>
      </c>
      <c r="AW23" s="106">
        <f t="shared" si="6"/>
        <v>3411609.3849829114</v>
      </c>
      <c r="AX23" s="106">
        <f t="shared" si="6"/>
        <v>0</v>
      </c>
      <c r="AY23" s="106">
        <f t="shared" si="6"/>
        <v>6823218.7699658228</v>
      </c>
      <c r="AZ23" s="145">
        <f t="shared" si="5"/>
        <v>167168859.86416271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26</v>
      </c>
      <c r="D27" s="130">
        <f>C$27-C$28+C$29</f>
        <v>26</v>
      </c>
      <c r="E27" s="130">
        <f t="shared" ref="E27:AY27" si="8">D27-D28+D29</f>
        <v>26</v>
      </c>
      <c r="F27" s="130">
        <f t="shared" si="8"/>
        <v>0</v>
      </c>
      <c r="G27" s="130">
        <f t="shared" si="8"/>
        <v>26</v>
      </c>
      <c r="H27" s="130">
        <f t="shared" si="8"/>
        <v>0</v>
      </c>
      <c r="I27" s="130">
        <f t="shared" si="8"/>
        <v>26</v>
      </c>
      <c r="J27" s="130">
        <f t="shared" si="8"/>
        <v>0</v>
      </c>
      <c r="K27" s="130">
        <f t="shared" si="8"/>
        <v>26</v>
      </c>
      <c r="L27" s="130">
        <f t="shared" si="8"/>
        <v>0</v>
      </c>
      <c r="M27" s="130">
        <f t="shared" si="8"/>
        <v>26</v>
      </c>
      <c r="N27" s="130">
        <f t="shared" si="8"/>
        <v>0</v>
      </c>
      <c r="O27" s="130">
        <f t="shared" si="8"/>
        <v>26</v>
      </c>
      <c r="P27" s="130">
        <f t="shared" si="8"/>
        <v>0</v>
      </c>
      <c r="Q27" s="130">
        <f t="shared" si="8"/>
        <v>26</v>
      </c>
      <c r="R27" s="130">
        <f t="shared" si="8"/>
        <v>0</v>
      </c>
      <c r="S27" s="130">
        <f t="shared" si="8"/>
        <v>26</v>
      </c>
      <c r="T27" s="130">
        <f t="shared" si="8"/>
        <v>0</v>
      </c>
      <c r="U27" s="130">
        <f t="shared" si="8"/>
        <v>26</v>
      </c>
      <c r="V27" s="130">
        <f t="shared" si="8"/>
        <v>0</v>
      </c>
      <c r="W27" s="130">
        <f t="shared" si="8"/>
        <v>26</v>
      </c>
      <c r="X27" s="130">
        <f t="shared" si="8"/>
        <v>0</v>
      </c>
      <c r="Y27" s="130">
        <f t="shared" si="8"/>
        <v>26</v>
      </c>
      <c r="Z27" s="130">
        <f t="shared" si="8"/>
        <v>26</v>
      </c>
      <c r="AA27" s="130">
        <f t="shared" si="8"/>
        <v>0</v>
      </c>
      <c r="AB27" s="130">
        <f t="shared" si="8"/>
        <v>26</v>
      </c>
      <c r="AC27" s="130">
        <f t="shared" si="8"/>
        <v>0</v>
      </c>
      <c r="AD27" s="130">
        <f t="shared" si="8"/>
        <v>26</v>
      </c>
      <c r="AE27" s="130">
        <f t="shared" si="8"/>
        <v>0</v>
      </c>
      <c r="AF27" s="130">
        <f t="shared" si="8"/>
        <v>26</v>
      </c>
      <c r="AG27" s="130">
        <f t="shared" si="8"/>
        <v>0</v>
      </c>
      <c r="AH27" s="130">
        <f t="shared" si="8"/>
        <v>26</v>
      </c>
      <c r="AI27" s="130">
        <f t="shared" si="8"/>
        <v>0</v>
      </c>
      <c r="AJ27" s="130">
        <f t="shared" si="8"/>
        <v>26</v>
      </c>
      <c r="AK27" s="130">
        <f t="shared" si="8"/>
        <v>0</v>
      </c>
      <c r="AL27" s="130">
        <f t="shared" si="8"/>
        <v>26</v>
      </c>
      <c r="AM27" s="130">
        <f t="shared" si="8"/>
        <v>0</v>
      </c>
      <c r="AN27" s="130">
        <f t="shared" si="8"/>
        <v>26</v>
      </c>
      <c r="AO27" s="130">
        <f t="shared" si="8"/>
        <v>0</v>
      </c>
      <c r="AP27" s="130">
        <f t="shared" si="8"/>
        <v>26</v>
      </c>
      <c r="AQ27" s="130">
        <f t="shared" si="8"/>
        <v>0</v>
      </c>
      <c r="AR27" s="130">
        <f t="shared" si="8"/>
        <v>26</v>
      </c>
      <c r="AS27" s="130">
        <f t="shared" si="8"/>
        <v>0</v>
      </c>
      <c r="AT27" s="130">
        <f t="shared" si="8"/>
        <v>26</v>
      </c>
      <c r="AU27" s="130">
        <f t="shared" si="8"/>
        <v>0</v>
      </c>
      <c r="AV27" s="130">
        <f t="shared" si="8"/>
        <v>26</v>
      </c>
      <c r="AW27" s="130">
        <f t="shared" si="8"/>
        <v>0</v>
      </c>
      <c r="AX27" s="130">
        <f t="shared" si="8"/>
        <v>26</v>
      </c>
      <c r="AY27" s="170">
        <f t="shared" si="8"/>
        <v>26</v>
      </c>
      <c r="AZ27" s="112"/>
    </row>
    <row r="28" spans="1:52" x14ac:dyDescent="0.2">
      <c r="B28" s="171" t="s">
        <v>310</v>
      </c>
      <c r="C28" s="116">
        <v>0</v>
      </c>
      <c r="D28" s="116">
        <v>0</v>
      </c>
      <c r="E28" s="116">
        <v>26</v>
      </c>
      <c r="F28" s="116">
        <v>0</v>
      </c>
      <c r="G28" s="116">
        <v>26</v>
      </c>
      <c r="H28" s="116">
        <v>0</v>
      </c>
      <c r="I28" s="116">
        <v>26</v>
      </c>
      <c r="J28" s="116">
        <v>0</v>
      </c>
      <c r="K28" s="116">
        <v>26</v>
      </c>
      <c r="L28" s="116">
        <v>0</v>
      </c>
      <c r="M28" s="116">
        <v>26</v>
      </c>
      <c r="N28" s="116">
        <v>0</v>
      </c>
      <c r="O28" s="116">
        <v>26</v>
      </c>
      <c r="P28" s="116">
        <v>0</v>
      </c>
      <c r="Q28" s="116">
        <v>26</v>
      </c>
      <c r="R28" s="116">
        <v>0</v>
      </c>
      <c r="S28" s="116">
        <v>26</v>
      </c>
      <c r="T28" s="116">
        <v>0</v>
      </c>
      <c r="U28" s="116">
        <v>26</v>
      </c>
      <c r="V28" s="116">
        <v>0</v>
      </c>
      <c r="W28" s="116">
        <v>26</v>
      </c>
      <c r="X28" s="116">
        <v>0</v>
      </c>
      <c r="Y28" s="116">
        <v>0</v>
      </c>
      <c r="Z28" s="116">
        <v>26</v>
      </c>
      <c r="AA28" s="116">
        <v>0</v>
      </c>
      <c r="AB28" s="116">
        <v>26</v>
      </c>
      <c r="AC28" s="116">
        <v>0</v>
      </c>
      <c r="AD28" s="116">
        <v>26</v>
      </c>
      <c r="AE28" s="116">
        <v>0</v>
      </c>
      <c r="AF28" s="116">
        <v>26</v>
      </c>
      <c r="AG28" s="116">
        <v>0</v>
      </c>
      <c r="AH28" s="116">
        <v>26</v>
      </c>
      <c r="AI28" s="116">
        <v>0</v>
      </c>
      <c r="AJ28" s="116">
        <v>26</v>
      </c>
      <c r="AK28" s="116">
        <v>0</v>
      </c>
      <c r="AL28" s="116">
        <v>26</v>
      </c>
      <c r="AM28" s="116">
        <v>0</v>
      </c>
      <c r="AN28" s="116">
        <v>26</v>
      </c>
      <c r="AO28" s="116">
        <v>0</v>
      </c>
      <c r="AP28" s="116">
        <v>26</v>
      </c>
      <c r="AQ28" s="116">
        <v>0</v>
      </c>
      <c r="AR28" s="116">
        <v>26</v>
      </c>
      <c r="AS28" s="116">
        <v>0</v>
      </c>
      <c r="AT28" s="116">
        <v>26</v>
      </c>
      <c r="AU28" s="116">
        <v>0</v>
      </c>
      <c r="AV28" s="116">
        <v>26</v>
      </c>
      <c r="AW28" s="116">
        <v>0</v>
      </c>
      <c r="AX28" s="116">
        <v>0</v>
      </c>
      <c r="AY28" s="172">
        <v>26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0</v>
      </c>
      <c r="E29" s="131">
        <f t="shared" ref="E29:AY29" si="9">D$28</f>
        <v>0</v>
      </c>
      <c r="F29" s="131">
        <f t="shared" si="9"/>
        <v>26</v>
      </c>
      <c r="G29" s="131">
        <f t="shared" si="9"/>
        <v>0</v>
      </c>
      <c r="H29" s="131">
        <f t="shared" si="9"/>
        <v>26</v>
      </c>
      <c r="I29" s="131">
        <f t="shared" si="9"/>
        <v>0</v>
      </c>
      <c r="J29" s="131">
        <f t="shared" si="9"/>
        <v>26</v>
      </c>
      <c r="K29" s="131">
        <f t="shared" si="9"/>
        <v>0</v>
      </c>
      <c r="L29" s="131">
        <f t="shared" si="9"/>
        <v>26</v>
      </c>
      <c r="M29" s="131">
        <f t="shared" si="9"/>
        <v>0</v>
      </c>
      <c r="N29" s="131">
        <f t="shared" si="9"/>
        <v>26</v>
      </c>
      <c r="O29" s="131">
        <f t="shared" si="9"/>
        <v>0</v>
      </c>
      <c r="P29" s="131">
        <f t="shared" si="9"/>
        <v>26</v>
      </c>
      <c r="Q29" s="131">
        <f t="shared" si="9"/>
        <v>0</v>
      </c>
      <c r="R29" s="131">
        <f t="shared" si="9"/>
        <v>26</v>
      </c>
      <c r="S29" s="131">
        <f t="shared" si="9"/>
        <v>0</v>
      </c>
      <c r="T29" s="131">
        <f t="shared" si="9"/>
        <v>26</v>
      </c>
      <c r="U29" s="131">
        <f t="shared" si="9"/>
        <v>0</v>
      </c>
      <c r="V29" s="131">
        <f t="shared" si="9"/>
        <v>26</v>
      </c>
      <c r="W29" s="131">
        <f t="shared" si="9"/>
        <v>0</v>
      </c>
      <c r="X29" s="131">
        <f t="shared" si="9"/>
        <v>26</v>
      </c>
      <c r="Y29" s="131">
        <f t="shared" si="9"/>
        <v>0</v>
      </c>
      <c r="Z29" s="131">
        <f t="shared" si="9"/>
        <v>0</v>
      </c>
      <c r="AA29" s="131">
        <f t="shared" si="9"/>
        <v>26</v>
      </c>
      <c r="AB29" s="131">
        <f t="shared" si="9"/>
        <v>0</v>
      </c>
      <c r="AC29" s="131">
        <f t="shared" si="9"/>
        <v>26</v>
      </c>
      <c r="AD29" s="131">
        <f t="shared" si="9"/>
        <v>0</v>
      </c>
      <c r="AE29" s="131">
        <f t="shared" si="9"/>
        <v>26</v>
      </c>
      <c r="AF29" s="131">
        <f t="shared" si="9"/>
        <v>0</v>
      </c>
      <c r="AG29" s="131">
        <f t="shared" si="9"/>
        <v>26</v>
      </c>
      <c r="AH29" s="131">
        <f t="shared" si="9"/>
        <v>0</v>
      </c>
      <c r="AI29" s="131">
        <f t="shared" si="9"/>
        <v>26</v>
      </c>
      <c r="AJ29" s="131">
        <f t="shared" si="9"/>
        <v>0</v>
      </c>
      <c r="AK29" s="131">
        <f t="shared" si="9"/>
        <v>26</v>
      </c>
      <c r="AL29" s="131">
        <f t="shared" si="9"/>
        <v>0</v>
      </c>
      <c r="AM29" s="131">
        <f t="shared" si="9"/>
        <v>26</v>
      </c>
      <c r="AN29" s="131">
        <f t="shared" si="9"/>
        <v>0</v>
      </c>
      <c r="AO29" s="131">
        <f t="shared" si="9"/>
        <v>26</v>
      </c>
      <c r="AP29" s="131">
        <f t="shared" si="9"/>
        <v>0</v>
      </c>
      <c r="AQ29" s="131">
        <f t="shared" si="9"/>
        <v>26</v>
      </c>
      <c r="AR29" s="131">
        <f t="shared" si="9"/>
        <v>0</v>
      </c>
      <c r="AS29" s="131">
        <f t="shared" si="9"/>
        <v>26</v>
      </c>
      <c r="AT29" s="131">
        <f t="shared" si="9"/>
        <v>0</v>
      </c>
      <c r="AU29" s="131">
        <f t="shared" si="9"/>
        <v>26</v>
      </c>
      <c r="AV29" s="131">
        <f t="shared" si="9"/>
        <v>0</v>
      </c>
      <c r="AW29" s="131">
        <f t="shared" si="9"/>
        <v>26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260</v>
      </c>
      <c r="E30" s="123">
        <f t="shared" ref="E30:AY30" si="10">E$27*$B$30</f>
        <v>260</v>
      </c>
      <c r="F30" s="123">
        <f t="shared" si="10"/>
        <v>0</v>
      </c>
      <c r="G30" s="123">
        <f t="shared" si="10"/>
        <v>260</v>
      </c>
      <c r="H30" s="123">
        <f t="shared" si="10"/>
        <v>0</v>
      </c>
      <c r="I30" s="123">
        <f t="shared" si="10"/>
        <v>260</v>
      </c>
      <c r="J30" s="123">
        <f t="shared" si="10"/>
        <v>0</v>
      </c>
      <c r="K30" s="123">
        <f t="shared" si="10"/>
        <v>260</v>
      </c>
      <c r="L30" s="123">
        <f t="shared" si="10"/>
        <v>0</v>
      </c>
      <c r="M30" s="123">
        <f t="shared" si="10"/>
        <v>260</v>
      </c>
      <c r="N30" s="123">
        <f t="shared" si="10"/>
        <v>0</v>
      </c>
      <c r="O30" s="123">
        <f t="shared" si="10"/>
        <v>260</v>
      </c>
      <c r="P30" s="123">
        <f t="shared" si="10"/>
        <v>0</v>
      </c>
      <c r="Q30" s="123">
        <f t="shared" si="10"/>
        <v>260</v>
      </c>
      <c r="R30" s="123">
        <f>R$27*$B$30</f>
        <v>0</v>
      </c>
      <c r="S30" s="123">
        <f t="shared" si="10"/>
        <v>260</v>
      </c>
      <c r="T30" s="123">
        <f t="shared" si="10"/>
        <v>0</v>
      </c>
      <c r="U30" s="123">
        <f t="shared" si="10"/>
        <v>260</v>
      </c>
      <c r="V30" s="123">
        <f t="shared" si="10"/>
        <v>0</v>
      </c>
      <c r="W30" s="123">
        <f t="shared" si="10"/>
        <v>260</v>
      </c>
      <c r="X30" s="123">
        <f t="shared" si="10"/>
        <v>0</v>
      </c>
      <c r="Y30" s="123">
        <f t="shared" si="10"/>
        <v>260</v>
      </c>
      <c r="Z30" s="123">
        <f t="shared" si="10"/>
        <v>260</v>
      </c>
      <c r="AA30" s="123">
        <f t="shared" si="10"/>
        <v>0</v>
      </c>
      <c r="AB30" s="123">
        <f t="shared" si="10"/>
        <v>260</v>
      </c>
      <c r="AC30" s="123">
        <f t="shared" si="10"/>
        <v>0</v>
      </c>
      <c r="AD30" s="123">
        <f t="shared" si="10"/>
        <v>260</v>
      </c>
      <c r="AE30" s="123">
        <f>AE$27*$B$30</f>
        <v>0</v>
      </c>
      <c r="AF30" s="123">
        <f t="shared" si="10"/>
        <v>260</v>
      </c>
      <c r="AG30" s="123">
        <f t="shared" si="10"/>
        <v>0</v>
      </c>
      <c r="AH30" s="123">
        <f t="shared" si="10"/>
        <v>260</v>
      </c>
      <c r="AI30" s="123">
        <f t="shared" si="10"/>
        <v>0</v>
      </c>
      <c r="AJ30" s="123">
        <f t="shared" si="10"/>
        <v>260</v>
      </c>
      <c r="AK30" s="123">
        <f t="shared" si="10"/>
        <v>0</v>
      </c>
      <c r="AL30" s="123">
        <f t="shared" si="10"/>
        <v>260</v>
      </c>
      <c r="AM30" s="123">
        <f t="shared" si="10"/>
        <v>0</v>
      </c>
      <c r="AN30" s="123">
        <f t="shared" si="10"/>
        <v>260</v>
      </c>
      <c r="AO30" s="123">
        <f t="shared" si="10"/>
        <v>0</v>
      </c>
      <c r="AP30" s="123">
        <f t="shared" si="10"/>
        <v>260</v>
      </c>
      <c r="AQ30" s="123">
        <f t="shared" si="10"/>
        <v>0</v>
      </c>
      <c r="AR30" s="123">
        <f t="shared" si="10"/>
        <v>260</v>
      </c>
      <c r="AS30" s="123">
        <f t="shared" si="10"/>
        <v>0</v>
      </c>
      <c r="AT30" s="123">
        <f t="shared" si="10"/>
        <v>260</v>
      </c>
      <c r="AU30" s="123">
        <f t="shared" si="10"/>
        <v>0</v>
      </c>
      <c r="AV30" s="123">
        <f t="shared" si="10"/>
        <v>260</v>
      </c>
      <c r="AW30" s="123">
        <f t="shared" si="10"/>
        <v>0</v>
      </c>
      <c r="AX30" s="123">
        <f t="shared" si="10"/>
        <v>260</v>
      </c>
      <c r="AY30" s="123">
        <f t="shared" si="10"/>
        <v>260</v>
      </c>
      <c r="AZ30" s="147">
        <f t="shared" si="5"/>
        <v>6760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2</v>
      </c>
      <c r="G41" s="116">
        <v>3</v>
      </c>
      <c r="H41" s="116">
        <v>2</v>
      </c>
      <c r="I41" s="116">
        <v>1</v>
      </c>
      <c r="J41" s="116">
        <v>1</v>
      </c>
      <c r="K41" s="116">
        <v>1</v>
      </c>
      <c r="L41" s="116">
        <v>2</v>
      </c>
      <c r="M41" s="116">
        <v>3</v>
      </c>
      <c r="N41" s="116">
        <v>2</v>
      </c>
      <c r="O41" s="116">
        <v>1</v>
      </c>
      <c r="P41" s="116">
        <v>1</v>
      </c>
      <c r="Q41" s="116">
        <v>1</v>
      </c>
      <c r="R41" s="116">
        <v>1</v>
      </c>
      <c r="S41" s="116">
        <v>1</v>
      </c>
      <c r="T41" s="116">
        <v>1</v>
      </c>
      <c r="U41" s="116">
        <v>2</v>
      </c>
      <c r="V41" s="116">
        <v>1</v>
      </c>
      <c r="W41" s="116">
        <v>1</v>
      </c>
      <c r="X41" s="116">
        <v>1</v>
      </c>
      <c r="Y41" s="116">
        <v>1</v>
      </c>
      <c r="Z41" s="116">
        <v>2</v>
      </c>
      <c r="AA41" s="116">
        <v>1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1</v>
      </c>
      <c r="AH41" s="116">
        <v>3</v>
      </c>
      <c r="AI41" s="116">
        <v>1</v>
      </c>
      <c r="AJ41" s="116">
        <v>2</v>
      </c>
      <c r="AK41" s="116">
        <v>1</v>
      </c>
      <c r="AL41" s="116">
        <v>1</v>
      </c>
      <c r="AM41" s="116">
        <v>3</v>
      </c>
      <c r="AN41" s="116">
        <v>2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2</v>
      </c>
      <c r="AU41" s="116">
        <v>2</v>
      </c>
      <c r="AV41" s="116">
        <v>2</v>
      </c>
      <c r="AW41" s="116">
        <v>1</v>
      </c>
      <c r="AX41" s="116">
        <v>1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0</v>
      </c>
      <c r="E44" s="130">
        <f>E$21*shipping_manufacturing!$H$28/100</f>
        <v>1919.0302790528876</v>
      </c>
      <c r="F44" s="130">
        <f>F$21*shipping_manufacturing!$H$28/100</f>
        <v>1919.0302790528876</v>
      </c>
      <c r="G44" s="130">
        <f>G$21*shipping_manufacturing!$H$28/100</f>
        <v>1919.0302790528876</v>
      </c>
      <c r="H44" s="130">
        <f>H$21*shipping_manufacturing!$H$28/100</f>
        <v>1919.0302790528876</v>
      </c>
      <c r="I44" s="130">
        <f>I$21*shipping_manufacturing!$H$28/100</f>
        <v>1705.8046924914556</v>
      </c>
      <c r="J44" s="130">
        <f>J$21*shipping_manufacturing!$H$28/100</f>
        <v>1705.8046924914556</v>
      </c>
      <c r="K44" s="130">
        <f>K$21*shipping_manufacturing!$H$28/100</f>
        <v>1705.8046924914556</v>
      </c>
      <c r="L44" s="130">
        <f>L$21*shipping_manufacturing!$H$28/100</f>
        <v>1705.8046924914556</v>
      </c>
      <c r="M44" s="130">
        <f>M$21*shipping_manufacturing!$H$28/100</f>
        <v>1705.8046924914556</v>
      </c>
      <c r="N44" s="130">
        <f>N$21*shipping_manufacturing!$H$28/100</f>
        <v>1705.8046924914556</v>
      </c>
      <c r="O44" s="130">
        <f>O$21*shipping_manufacturing!$H$28/100</f>
        <v>1705.8046924914556</v>
      </c>
      <c r="P44" s="130">
        <f>P$21*shipping_manufacturing!$H$28/100</f>
        <v>1705.8046924914556</v>
      </c>
      <c r="Q44" s="130">
        <f>Q$21*shipping_manufacturing!$H$28/100</f>
        <v>1919.0302790528876</v>
      </c>
      <c r="R44" s="130">
        <f>R$21*shipping_manufacturing!$H$28/100</f>
        <v>1919.0302790528876</v>
      </c>
      <c r="S44" s="130">
        <f>S$21*shipping_manufacturing!$H$28/100</f>
        <v>1919.0302790528876</v>
      </c>
      <c r="T44" s="130">
        <f>T$21*shipping_manufacturing!$H$28/100</f>
        <v>1919.0302790528876</v>
      </c>
      <c r="U44" s="130">
        <f>U$21*shipping_manufacturing!$H$28/100</f>
        <v>1705.8046924914556</v>
      </c>
      <c r="V44" s="130">
        <f>V$21*shipping_manufacturing!$H$28/100</f>
        <v>1705.8046924914556</v>
      </c>
      <c r="W44" s="130">
        <f>W$21*shipping_manufacturing!$H$28/100</f>
        <v>1705.8046924914556</v>
      </c>
      <c r="X44" s="130">
        <f>X$21*shipping_manufacturing!$H$28/100</f>
        <v>1705.8046924914556</v>
      </c>
      <c r="Y44" s="130">
        <f>Y$21*shipping_manufacturing!$H$28/100</f>
        <v>0</v>
      </c>
      <c r="Z44" s="130">
        <f>Z$21*shipping_manufacturing!$H$28/100</f>
        <v>3411.6093849829113</v>
      </c>
      <c r="AA44" s="130">
        <f>AA$21*shipping_manufacturing!$H$28/100</f>
        <v>1705.8046924914556</v>
      </c>
      <c r="AB44" s="130">
        <f>AB$21*shipping_manufacturing!$H$28/100</f>
        <v>1705.8046924914556</v>
      </c>
      <c r="AC44" s="130">
        <f>AC$21*shipping_manufacturing!$H$28/100</f>
        <v>1919.0302790528876</v>
      </c>
      <c r="AD44" s="130">
        <f>AD$21*shipping_manufacturing!$H$28/100</f>
        <v>1919.0302790528876</v>
      </c>
      <c r="AE44" s="130">
        <f>AE$21*shipping_manufacturing!$H$28/100</f>
        <v>1919.0302790528876</v>
      </c>
      <c r="AF44" s="130">
        <f>AF$21*shipping_manufacturing!$H$28/100</f>
        <v>1919.0302790528876</v>
      </c>
      <c r="AG44" s="130">
        <f>AG$21*shipping_manufacturing!$H$28/100</f>
        <v>1705.8046924914556</v>
      </c>
      <c r="AH44" s="130">
        <f>AH$21*shipping_manufacturing!$H$28/100</f>
        <v>1705.8046924914556</v>
      </c>
      <c r="AI44" s="130">
        <f>AI$21*shipping_manufacturing!$H$28/100</f>
        <v>1705.8046924914556</v>
      </c>
      <c r="AJ44" s="130">
        <f>AJ$21*shipping_manufacturing!$H$28/100</f>
        <v>1705.8046924914556</v>
      </c>
      <c r="AK44" s="130">
        <f>AK$21*shipping_manufacturing!$H$28/100</f>
        <v>1705.8046924914556</v>
      </c>
      <c r="AL44" s="130">
        <f>AL$21*shipping_manufacturing!$H$28/100</f>
        <v>1705.8046924914556</v>
      </c>
      <c r="AM44" s="130">
        <f>AM$21*shipping_manufacturing!$H$28/100</f>
        <v>1705.8046924914556</v>
      </c>
      <c r="AN44" s="130">
        <f>AN$21*shipping_manufacturing!$H$28/100</f>
        <v>1705.8046924914556</v>
      </c>
      <c r="AO44" s="130">
        <f>AO$21*shipping_manufacturing!$H$28/100</f>
        <v>1919.0302790528876</v>
      </c>
      <c r="AP44" s="130">
        <f>AP$21*shipping_manufacturing!$H$28/100</f>
        <v>1919.0302790528876</v>
      </c>
      <c r="AQ44" s="130">
        <f>AQ$21*shipping_manufacturing!$H$28/100</f>
        <v>1919.0302790528876</v>
      </c>
      <c r="AR44" s="130">
        <f>AR$21*shipping_manufacturing!$H$28/100</f>
        <v>1919.0302790528876</v>
      </c>
      <c r="AS44" s="130">
        <f>AS$21*shipping_manufacturing!$H$28/100</f>
        <v>1705.8046924914556</v>
      </c>
      <c r="AT44" s="130">
        <f>AT$21*shipping_manufacturing!$H$28/100</f>
        <v>1705.8046924914556</v>
      </c>
      <c r="AU44" s="130">
        <f>AU$21*shipping_manufacturing!$H$28/100</f>
        <v>1705.8046924914556</v>
      </c>
      <c r="AV44" s="130">
        <f>AV$21*shipping_manufacturing!$H$28/100</f>
        <v>1705.8046924914556</v>
      </c>
      <c r="AW44" s="130">
        <f>AW$21*shipping_manufacturing!$H$28/100</f>
        <v>1705.8046924914556</v>
      </c>
      <c r="AX44" s="130">
        <f>AX$21*shipping_manufacturing!$H$28/100</f>
        <v>0</v>
      </c>
      <c r="AY44" s="130">
        <f>AY$21*shipping_manufacturing!$H$28/100</f>
        <v>3411.6093849829113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1919.0302790528876</v>
      </c>
      <c r="F46" s="116">
        <f t="shared" si="14"/>
        <v>1919.0302790528876</v>
      </c>
      <c r="G46" s="116">
        <f t="shared" si="14"/>
        <v>1919.0302790528876</v>
      </c>
      <c r="H46" s="116">
        <f t="shared" si="14"/>
        <v>1919.0302790528876</v>
      </c>
      <c r="I46" s="116">
        <f t="shared" si="14"/>
        <v>1705.8046924914556</v>
      </c>
      <c r="J46" s="116">
        <f t="shared" si="14"/>
        <v>1705.8046924914556</v>
      </c>
      <c r="K46" s="116">
        <f t="shared" si="14"/>
        <v>1705.8046924914556</v>
      </c>
      <c r="L46" s="116">
        <f t="shared" si="14"/>
        <v>1705.8046924914556</v>
      </c>
      <c r="M46" s="116">
        <f t="shared" si="14"/>
        <v>1705.8046924914556</v>
      </c>
      <c r="N46" s="116">
        <f t="shared" si="14"/>
        <v>1705.8046924914556</v>
      </c>
      <c r="O46" s="116">
        <f t="shared" si="14"/>
        <v>1705.8046924914556</v>
      </c>
      <c r="P46" s="116">
        <f t="shared" si="14"/>
        <v>1705.8046924914556</v>
      </c>
      <c r="Q46" s="116">
        <f t="shared" si="14"/>
        <v>1919.0302790528876</v>
      </c>
      <c r="R46" s="116">
        <f t="shared" si="14"/>
        <v>1919.0302790528876</v>
      </c>
      <c r="S46" s="116">
        <f t="shared" si="14"/>
        <v>1919.0302790528876</v>
      </c>
      <c r="T46" s="116">
        <f t="shared" si="14"/>
        <v>1919.0302790528876</v>
      </c>
      <c r="U46" s="116">
        <f t="shared" si="14"/>
        <v>1705.8046924914556</v>
      </c>
      <c r="V46" s="116">
        <f t="shared" si="14"/>
        <v>1705.8046924914556</v>
      </c>
      <c r="W46" s="116">
        <f t="shared" si="14"/>
        <v>1705.8046924914556</v>
      </c>
      <c r="X46" s="116">
        <f t="shared" si="14"/>
        <v>1705.8046924914556</v>
      </c>
      <c r="Y46" s="116">
        <f t="shared" si="14"/>
        <v>0</v>
      </c>
      <c r="Z46" s="116">
        <f t="shared" si="14"/>
        <v>3411.6093849829113</v>
      </c>
      <c r="AA46" s="116">
        <f t="shared" si="14"/>
        <v>1705.8046924914556</v>
      </c>
      <c r="AB46" s="116">
        <f t="shared" si="14"/>
        <v>1705.8046924914556</v>
      </c>
      <c r="AC46" s="116">
        <f t="shared" si="14"/>
        <v>1919.0302790528876</v>
      </c>
      <c r="AD46" s="116">
        <f t="shared" si="14"/>
        <v>1919.0302790528876</v>
      </c>
      <c r="AE46" s="116">
        <f t="shared" si="14"/>
        <v>1919.0302790528876</v>
      </c>
      <c r="AF46" s="116">
        <f t="shared" si="14"/>
        <v>1919.0302790528876</v>
      </c>
      <c r="AG46" s="116">
        <f t="shared" si="14"/>
        <v>1705.8046924914556</v>
      </c>
      <c r="AH46" s="116">
        <f t="shared" si="14"/>
        <v>1705.8046924914556</v>
      </c>
      <c r="AI46" s="116">
        <f t="shared" si="14"/>
        <v>1705.8046924914556</v>
      </c>
      <c r="AJ46" s="116">
        <f t="shared" si="14"/>
        <v>1705.8046924914556</v>
      </c>
      <c r="AK46" s="116">
        <f t="shared" si="14"/>
        <v>1705.8046924914556</v>
      </c>
      <c r="AL46" s="116">
        <f t="shared" si="14"/>
        <v>1705.8046924914556</v>
      </c>
      <c r="AM46" s="116">
        <f t="shared" si="14"/>
        <v>1705.8046924914556</v>
      </c>
      <c r="AN46" s="116">
        <f t="shared" si="14"/>
        <v>1705.8046924914556</v>
      </c>
      <c r="AO46" s="116">
        <f t="shared" si="14"/>
        <v>1919.0302790528876</v>
      </c>
      <c r="AP46" s="116">
        <f t="shared" si="14"/>
        <v>1919.0302790528876</v>
      </c>
      <c r="AQ46" s="116">
        <f t="shared" si="14"/>
        <v>1919.0302790528876</v>
      </c>
      <c r="AR46" s="116">
        <f t="shared" si="14"/>
        <v>1919.0302790528876</v>
      </c>
      <c r="AS46" s="116">
        <f t="shared" si="14"/>
        <v>1705.8046924914556</v>
      </c>
      <c r="AT46" s="116">
        <f t="shared" si="14"/>
        <v>1705.8046924914556</v>
      </c>
      <c r="AU46" s="116">
        <f t="shared" si="14"/>
        <v>1705.8046924914556</v>
      </c>
      <c r="AV46" s="116">
        <f t="shared" si="14"/>
        <v>1705.8046924914556</v>
      </c>
      <c r="AW46" s="116">
        <f t="shared" si="14"/>
        <v>1705.8046924914556</v>
      </c>
      <c r="AX46" s="116">
        <f t="shared" si="14"/>
        <v>0</v>
      </c>
      <c r="AY46" s="116">
        <f t="shared" si="14"/>
        <v>3411.6093849829113</v>
      </c>
    </row>
    <row r="47" spans="1:52" x14ac:dyDescent="0.2">
      <c r="A47" s="116"/>
      <c r="B47" s="171" t="s">
        <v>344</v>
      </c>
      <c r="C47" s="116"/>
      <c r="D47" s="116"/>
      <c r="E47" s="116">
        <v>780</v>
      </c>
      <c r="F47" s="116"/>
      <c r="G47" s="116">
        <v>780</v>
      </c>
      <c r="H47" s="116"/>
      <c r="I47" s="116">
        <v>780</v>
      </c>
      <c r="J47" s="116"/>
      <c r="K47" s="116">
        <v>780</v>
      </c>
      <c r="L47" s="116"/>
      <c r="M47" s="116">
        <v>780</v>
      </c>
      <c r="N47" s="116"/>
      <c r="O47" s="116">
        <v>780</v>
      </c>
      <c r="P47" s="116"/>
      <c r="Q47" s="116">
        <v>780</v>
      </c>
      <c r="R47" s="116"/>
      <c r="S47" s="116">
        <v>780</v>
      </c>
      <c r="T47" s="116"/>
      <c r="U47" s="116">
        <v>780</v>
      </c>
      <c r="V47" s="116"/>
      <c r="W47" s="116">
        <v>780</v>
      </c>
      <c r="X47" s="116"/>
      <c r="Y47" s="116"/>
      <c r="Z47" s="116">
        <v>780</v>
      </c>
      <c r="AA47" s="116"/>
      <c r="AB47" s="116">
        <v>780</v>
      </c>
      <c r="AC47" s="116"/>
      <c r="AD47" s="116">
        <v>780</v>
      </c>
      <c r="AE47" s="116"/>
      <c r="AF47" s="116">
        <v>780</v>
      </c>
      <c r="AG47" s="116"/>
      <c r="AH47" s="116">
        <v>780</v>
      </c>
      <c r="AI47" s="116"/>
      <c r="AJ47" s="116">
        <v>780</v>
      </c>
      <c r="AK47" s="116"/>
      <c r="AL47" s="116">
        <v>780</v>
      </c>
      <c r="AM47" s="116"/>
      <c r="AN47" s="116">
        <v>780</v>
      </c>
      <c r="AO47" s="116"/>
      <c r="AP47" s="116">
        <v>780</v>
      </c>
      <c r="AQ47" s="116"/>
      <c r="AR47" s="116">
        <v>780</v>
      </c>
      <c r="AS47" s="116"/>
      <c r="AT47" s="116">
        <v>780</v>
      </c>
      <c r="AU47" s="116"/>
      <c r="AV47" s="116">
        <v>780</v>
      </c>
      <c r="AW47" s="116"/>
      <c r="AX47" s="116"/>
      <c r="AY47" s="116">
        <v>780</v>
      </c>
    </row>
    <row r="48" spans="1:52" x14ac:dyDescent="0.2">
      <c r="A48" s="116"/>
      <c r="B48" s="171" t="s">
        <v>345</v>
      </c>
      <c r="C48" s="116"/>
      <c r="D48" s="116"/>
      <c r="E48" s="116">
        <v>0</v>
      </c>
      <c r="F48" s="116"/>
      <c r="G48" s="116">
        <v>0</v>
      </c>
      <c r="H48" s="116"/>
      <c r="I48" s="116">
        <v>0</v>
      </c>
      <c r="J48" s="116"/>
      <c r="K48" s="116">
        <v>0</v>
      </c>
      <c r="L48" s="116"/>
      <c r="M48" s="116">
        <v>0</v>
      </c>
      <c r="N48" s="116"/>
      <c r="O48" s="116">
        <v>0</v>
      </c>
      <c r="P48" s="116"/>
      <c r="Q48" s="116">
        <v>0</v>
      </c>
      <c r="R48" s="116"/>
      <c r="S48" s="116">
        <v>0</v>
      </c>
      <c r="T48" s="116"/>
      <c r="U48" s="116">
        <v>0</v>
      </c>
      <c r="V48" s="116"/>
      <c r="W48" s="116">
        <v>0</v>
      </c>
      <c r="X48" s="116"/>
      <c r="Y48" s="116"/>
      <c r="Z48" s="116">
        <v>0</v>
      </c>
      <c r="AA48" s="116"/>
      <c r="AB48" s="116">
        <v>0</v>
      </c>
      <c r="AC48" s="116"/>
      <c r="AD48" s="116">
        <v>0</v>
      </c>
      <c r="AE48" s="116"/>
      <c r="AF48" s="116">
        <v>0</v>
      </c>
      <c r="AG48" s="116"/>
      <c r="AH48" s="116">
        <v>0</v>
      </c>
      <c r="AI48" s="116"/>
      <c r="AJ48" s="116">
        <v>0</v>
      </c>
      <c r="AK48" s="116"/>
      <c r="AL48" s="116">
        <v>0</v>
      </c>
      <c r="AM48" s="116"/>
      <c r="AN48" s="116">
        <v>0</v>
      </c>
      <c r="AO48" s="116"/>
      <c r="AP48" s="116">
        <v>0</v>
      </c>
      <c r="AQ48" s="116"/>
      <c r="AR48" s="116">
        <v>0</v>
      </c>
      <c r="AS48" s="116"/>
      <c r="AT48" s="116">
        <v>0</v>
      </c>
      <c r="AU48" s="116"/>
      <c r="AV48" s="116">
        <v>0</v>
      </c>
      <c r="AW48" s="116"/>
      <c r="AX48" s="116"/>
      <c r="AY48" s="116">
        <v>0</v>
      </c>
    </row>
    <row r="49" spans="1:52" x14ac:dyDescent="0.2">
      <c r="A49" s="116"/>
      <c r="B49" s="171" t="s">
        <v>346</v>
      </c>
      <c r="C49" s="116"/>
      <c r="D49" s="116"/>
      <c r="E49" s="116">
        <v>26</v>
      </c>
      <c r="F49" s="116"/>
      <c r="G49" s="116">
        <v>26</v>
      </c>
      <c r="H49" s="116"/>
      <c r="I49" s="116">
        <v>26</v>
      </c>
      <c r="J49" s="116"/>
      <c r="K49" s="116">
        <v>26</v>
      </c>
      <c r="L49" s="116"/>
      <c r="M49" s="116">
        <v>26</v>
      </c>
      <c r="N49" s="116"/>
      <c r="O49" s="116">
        <v>26</v>
      </c>
      <c r="P49" s="116"/>
      <c r="Q49" s="116">
        <v>26</v>
      </c>
      <c r="R49" s="116"/>
      <c r="S49" s="116">
        <v>26</v>
      </c>
      <c r="T49" s="116"/>
      <c r="U49" s="116">
        <v>26</v>
      </c>
      <c r="V49" s="116"/>
      <c r="W49" s="116">
        <v>26</v>
      </c>
      <c r="X49" s="116"/>
      <c r="Y49" s="116"/>
      <c r="Z49" s="116">
        <v>26</v>
      </c>
      <c r="AA49" s="116"/>
      <c r="AB49" s="116">
        <v>26</v>
      </c>
      <c r="AC49" s="116"/>
      <c r="AD49" s="116">
        <v>26</v>
      </c>
      <c r="AE49" s="116"/>
      <c r="AF49" s="116">
        <v>26</v>
      </c>
      <c r="AG49" s="116"/>
      <c r="AH49" s="116">
        <v>26</v>
      </c>
      <c r="AI49" s="116"/>
      <c r="AJ49" s="116">
        <v>26</v>
      </c>
      <c r="AK49" s="116"/>
      <c r="AL49" s="116">
        <v>26</v>
      </c>
      <c r="AM49" s="116"/>
      <c r="AN49" s="116">
        <v>26</v>
      </c>
      <c r="AO49" s="116"/>
      <c r="AP49" s="116">
        <v>26</v>
      </c>
      <c r="AQ49" s="116"/>
      <c r="AR49" s="116">
        <v>26</v>
      </c>
      <c r="AS49" s="116"/>
      <c r="AT49" s="116">
        <v>26</v>
      </c>
      <c r="AU49" s="116"/>
      <c r="AV49" s="116">
        <v>26</v>
      </c>
      <c r="AW49" s="116"/>
      <c r="AX49" s="116"/>
      <c r="AY49" s="116">
        <v>26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1139.0302790528876</v>
      </c>
      <c r="F50" s="116">
        <f t="shared" si="15"/>
        <v>1919.0302790528876</v>
      </c>
      <c r="G50" s="116">
        <f t="shared" si="15"/>
        <v>1139.0302790528876</v>
      </c>
      <c r="H50" s="116">
        <f t="shared" si="15"/>
        <v>1919.0302790528876</v>
      </c>
      <c r="I50" s="116">
        <f t="shared" si="15"/>
        <v>925.80469249145563</v>
      </c>
      <c r="J50" s="116">
        <f t="shared" si="15"/>
        <v>1705.8046924914556</v>
      </c>
      <c r="K50" s="116">
        <f t="shared" si="15"/>
        <v>925.80469249145563</v>
      </c>
      <c r="L50" s="116">
        <f t="shared" si="15"/>
        <v>1705.8046924914556</v>
      </c>
      <c r="M50" s="116">
        <f t="shared" si="15"/>
        <v>925.80469249145563</v>
      </c>
      <c r="N50" s="116">
        <f t="shared" si="15"/>
        <v>1705.8046924914556</v>
      </c>
      <c r="O50" s="116">
        <f t="shared" si="15"/>
        <v>925.80469249145563</v>
      </c>
      <c r="P50" s="116">
        <f t="shared" si="15"/>
        <v>1705.8046924914556</v>
      </c>
      <c r="Q50" s="116">
        <f t="shared" si="15"/>
        <v>1139.0302790528876</v>
      </c>
      <c r="R50" s="116">
        <f t="shared" si="15"/>
        <v>1919.0302790528876</v>
      </c>
      <c r="S50" s="116">
        <f t="shared" si="15"/>
        <v>1139.0302790528876</v>
      </c>
      <c r="T50" s="116">
        <f t="shared" si="15"/>
        <v>1919.0302790528876</v>
      </c>
      <c r="U50" s="116">
        <f t="shared" si="15"/>
        <v>925.80469249145563</v>
      </c>
      <c r="V50" s="116">
        <f t="shared" si="15"/>
        <v>1705.8046924914556</v>
      </c>
      <c r="W50" s="116">
        <f t="shared" si="15"/>
        <v>925.80469249145563</v>
      </c>
      <c r="X50" s="116">
        <f t="shared" si="15"/>
        <v>1705.8046924914556</v>
      </c>
      <c r="Y50" s="116">
        <f t="shared" si="15"/>
        <v>0</v>
      </c>
      <c r="Z50" s="116">
        <f t="shared" si="15"/>
        <v>2631.6093849829113</v>
      </c>
      <c r="AA50" s="116">
        <f t="shared" si="15"/>
        <v>1705.8046924914556</v>
      </c>
      <c r="AB50" s="116">
        <f t="shared" si="15"/>
        <v>925.80469249145563</v>
      </c>
      <c r="AC50" s="116">
        <f t="shared" si="15"/>
        <v>1919.0302790528876</v>
      </c>
      <c r="AD50" s="116">
        <f t="shared" si="15"/>
        <v>1139.0302790528876</v>
      </c>
      <c r="AE50" s="116">
        <f t="shared" si="15"/>
        <v>1919.0302790528876</v>
      </c>
      <c r="AF50" s="116">
        <f t="shared" si="15"/>
        <v>1139.0302790528876</v>
      </c>
      <c r="AG50" s="116">
        <f t="shared" si="15"/>
        <v>1705.8046924914556</v>
      </c>
      <c r="AH50" s="116">
        <f t="shared" si="15"/>
        <v>925.80469249145563</v>
      </c>
      <c r="AI50" s="116">
        <f t="shared" si="15"/>
        <v>1705.8046924914556</v>
      </c>
      <c r="AJ50" s="116">
        <f t="shared" si="15"/>
        <v>925.80469249145563</v>
      </c>
      <c r="AK50" s="116">
        <f t="shared" si="15"/>
        <v>1705.8046924914556</v>
      </c>
      <c r="AL50" s="116">
        <f t="shared" si="15"/>
        <v>925.80469249145563</v>
      </c>
      <c r="AM50" s="116">
        <f t="shared" si="15"/>
        <v>1705.8046924914556</v>
      </c>
      <c r="AN50" s="116">
        <f t="shared" si="15"/>
        <v>925.80469249145563</v>
      </c>
      <c r="AO50" s="116">
        <f t="shared" si="15"/>
        <v>1919.0302790528876</v>
      </c>
      <c r="AP50" s="116">
        <f t="shared" si="15"/>
        <v>1139.0302790528876</v>
      </c>
      <c r="AQ50" s="116">
        <f t="shared" si="15"/>
        <v>1919.0302790528876</v>
      </c>
      <c r="AR50" s="116">
        <f t="shared" si="15"/>
        <v>1139.0302790528876</v>
      </c>
      <c r="AS50" s="116">
        <f t="shared" si="15"/>
        <v>1705.8046924914556</v>
      </c>
      <c r="AT50" s="116">
        <f t="shared" si="15"/>
        <v>925.80469249145563</v>
      </c>
      <c r="AU50" s="116">
        <f t="shared" si="15"/>
        <v>1705.8046924914556</v>
      </c>
      <c r="AV50" s="116">
        <f t="shared" si="15"/>
        <v>925.80469249145563</v>
      </c>
      <c r="AW50" s="116">
        <f t="shared" si="15"/>
        <v>1705.8046924914556</v>
      </c>
      <c r="AX50" s="116">
        <f t="shared" si="15"/>
        <v>0</v>
      </c>
      <c r="AY50" s="116">
        <f t="shared" si="15"/>
        <v>2631.6093849829113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1</v>
      </c>
      <c r="F52" s="116">
        <v>2</v>
      </c>
      <c r="G52" s="116">
        <v>3</v>
      </c>
      <c r="H52" s="116">
        <v>1</v>
      </c>
      <c r="I52" s="116">
        <v>1</v>
      </c>
      <c r="J52" s="116">
        <v>1</v>
      </c>
      <c r="K52" s="116">
        <v>1</v>
      </c>
      <c r="L52" s="116">
        <v>3</v>
      </c>
      <c r="M52" s="116">
        <v>2</v>
      </c>
      <c r="N52" s="116">
        <v>2</v>
      </c>
      <c r="O52" s="116">
        <v>1</v>
      </c>
      <c r="P52" s="116">
        <v>2</v>
      </c>
      <c r="Q52" s="116">
        <v>1</v>
      </c>
      <c r="R52" s="116">
        <v>1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1</v>
      </c>
      <c r="Y52" s="116">
        <v>3</v>
      </c>
      <c r="Z52" s="116">
        <v>1</v>
      </c>
      <c r="AA52" s="116">
        <v>1</v>
      </c>
      <c r="AB52" s="116">
        <v>2</v>
      </c>
      <c r="AC52" s="116">
        <v>1</v>
      </c>
      <c r="AD52" s="116">
        <v>1</v>
      </c>
      <c r="AE52" s="116">
        <v>2</v>
      </c>
      <c r="AF52" s="116">
        <v>2</v>
      </c>
      <c r="AG52" s="116">
        <v>1</v>
      </c>
      <c r="AH52" s="116">
        <v>2</v>
      </c>
      <c r="AI52" s="116">
        <v>2</v>
      </c>
      <c r="AJ52" s="116">
        <v>1</v>
      </c>
      <c r="AK52" s="116">
        <v>1</v>
      </c>
      <c r="AL52" s="116">
        <v>1</v>
      </c>
      <c r="AM52" s="116">
        <v>1</v>
      </c>
      <c r="AN52" s="116">
        <v>1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3</v>
      </c>
      <c r="AU52" s="116">
        <v>1</v>
      </c>
      <c r="AV52" s="116">
        <v>1</v>
      </c>
      <c r="AW52" s="116">
        <v>1</v>
      </c>
      <c r="AX52" s="116">
        <v>1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463320</v>
      </c>
      <c r="F53" s="116">
        <v>0</v>
      </c>
      <c r="G53" s="116">
        <v>463320</v>
      </c>
      <c r="H53" s="116">
        <v>0</v>
      </c>
      <c r="I53" s="116">
        <v>463320</v>
      </c>
      <c r="J53" s="116">
        <v>0</v>
      </c>
      <c r="K53" s="116">
        <v>463320</v>
      </c>
      <c r="L53" s="116">
        <v>0</v>
      </c>
      <c r="M53" s="116">
        <v>463320</v>
      </c>
      <c r="N53" s="116">
        <v>0</v>
      </c>
      <c r="O53" s="116">
        <v>463320</v>
      </c>
      <c r="P53" s="116">
        <v>0</v>
      </c>
      <c r="Q53" s="116">
        <v>463320</v>
      </c>
      <c r="R53" s="116">
        <v>0</v>
      </c>
      <c r="S53" s="116">
        <v>463320</v>
      </c>
      <c r="T53" s="116">
        <v>0</v>
      </c>
      <c r="U53" s="116">
        <v>463320</v>
      </c>
      <c r="V53" s="116">
        <v>0</v>
      </c>
      <c r="W53" s="116">
        <v>463320</v>
      </c>
      <c r="X53" s="116">
        <v>0</v>
      </c>
      <c r="Y53" s="116">
        <v>0</v>
      </c>
      <c r="Z53" s="116">
        <v>463320</v>
      </c>
      <c r="AA53" s="116">
        <v>0</v>
      </c>
      <c r="AB53" s="116">
        <v>463320</v>
      </c>
      <c r="AC53" s="116">
        <v>0</v>
      </c>
      <c r="AD53" s="116">
        <v>463320</v>
      </c>
      <c r="AE53" s="116">
        <v>0</v>
      </c>
      <c r="AF53" s="116">
        <v>463320</v>
      </c>
      <c r="AG53" s="116">
        <v>0</v>
      </c>
      <c r="AH53" s="116">
        <v>463320</v>
      </c>
      <c r="AI53" s="116">
        <v>0</v>
      </c>
      <c r="AJ53" s="116">
        <v>463320</v>
      </c>
      <c r="AK53" s="116">
        <v>0</v>
      </c>
      <c r="AL53" s="116">
        <v>463320</v>
      </c>
      <c r="AM53" s="116">
        <v>0</v>
      </c>
      <c r="AN53" s="116">
        <v>463320</v>
      </c>
      <c r="AO53" s="116">
        <v>0</v>
      </c>
      <c r="AP53" s="116">
        <v>463320</v>
      </c>
      <c r="AQ53" s="116">
        <v>0</v>
      </c>
      <c r="AR53" s="116">
        <v>463320</v>
      </c>
      <c r="AS53" s="116">
        <v>0</v>
      </c>
      <c r="AT53" s="116">
        <v>463320</v>
      </c>
      <c r="AU53" s="116">
        <v>0</v>
      </c>
      <c r="AV53" s="116">
        <v>463320</v>
      </c>
      <c r="AW53" s="116">
        <v>0</v>
      </c>
      <c r="AX53" s="116">
        <v>0</v>
      </c>
      <c r="AY53" s="116">
        <v>463320</v>
      </c>
      <c r="AZ53" s="106">
        <f>SUM($D$53:$AY$53)</f>
        <v>10656360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366482.99228526658</v>
      </c>
      <c r="F54" s="131">
        <v>617447.99228526664</v>
      </c>
      <c r="G54" s="131">
        <v>366482.99228526658</v>
      </c>
      <c r="H54" s="131">
        <v>617447.99228526664</v>
      </c>
      <c r="I54" s="131">
        <v>297877.65980912588</v>
      </c>
      <c r="J54" s="131">
        <v>548842.65980912582</v>
      </c>
      <c r="K54" s="131">
        <v>297877.65980912588</v>
      </c>
      <c r="L54" s="131">
        <v>548842.65980912582</v>
      </c>
      <c r="M54" s="131">
        <v>297877.65980912588</v>
      </c>
      <c r="N54" s="131">
        <v>548842.65980912582</v>
      </c>
      <c r="O54" s="131">
        <v>297877.65980912588</v>
      </c>
      <c r="P54" s="131">
        <v>548842.65980912582</v>
      </c>
      <c r="Q54" s="131">
        <v>366482.99228526658</v>
      </c>
      <c r="R54" s="131">
        <v>617447.99228526664</v>
      </c>
      <c r="S54" s="131">
        <v>366482.99228526658</v>
      </c>
      <c r="T54" s="131">
        <v>617447.99228526664</v>
      </c>
      <c r="U54" s="131">
        <v>297877.65980912588</v>
      </c>
      <c r="V54" s="131">
        <v>548842.65980912582</v>
      </c>
      <c r="W54" s="131">
        <v>297877.65980912588</v>
      </c>
      <c r="X54" s="131">
        <v>548842.65980912582</v>
      </c>
      <c r="Y54" s="131">
        <v>0</v>
      </c>
      <c r="Z54" s="131">
        <v>846720.31961825164</v>
      </c>
      <c r="AA54" s="131">
        <v>548842.65980912582</v>
      </c>
      <c r="AB54" s="131">
        <v>297877.65980912588</v>
      </c>
      <c r="AC54" s="131">
        <v>617447.99228526664</v>
      </c>
      <c r="AD54" s="131">
        <v>366482.99228526658</v>
      </c>
      <c r="AE54" s="131">
        <v>617447.99228526664</v>
      </c>
      <c r="AF54" s="131">
        <v>366482.99228526658</v>
      </c>
      <c r="AG54" s="131">
        <v>548842.65980912582</v>
      </c>
      <c r="AH54" s="131">
        <v>297877.65980912588</v>
      </c>
      <c r="AI54" s="131">
        <v>548842.65980912582</v>
      </c>
      <c r="AJ54" s="131">
        <v>297877.65980912588</v>
      </c>
      <c r="AK54" s="131">
        <v>548842.65980912582</v>
      </c>
      <c r="AL54" s="131">
        <v>297877.65980912588</v>
      </c>
      <c r="AM54" s="131">
        <v>548842.65980912582</v>
      </c>
      <c r="AN54" s="131">
        <v>297877.65980912588</v>
      </c>
      <c r="AO54" s="131">
        <v>617447.99228526664</v>
      </c>
      <c r="AP54" s="131">
        <v>366482.99228526658</v>
      </c>
      <c r="AQ54" s="131">
        <v>617447.99228526664</v>
      </c>
      <c r="AR54" s="131">
        <v>366482.99228526658</v>
      </c>
      <c r="AS54" s="131">
        <v>548842.65980912582</v>
      </c>
      <c r="AT54" s="131">
        <v>297877.65980912588</v>
      </c>
      <c r="AU54" s="131">
        <v>548842.65980912582</v>
      </c>
      <c r="AV54" s="131">
        <v>297877.65980912588</v>
      </c>
      <c r="AW54" s="131">
        <v>548842.65980912582</v>
      </c>
      <c r="AX54" s="131">
        <v>0</v>
      </c>
      <c r="AY54" s="131">
        <v>846720.31961825164</v>
      </c>
      <c r="AZ54" s="106">
        <f>SUM($D$54:$AY$54)</f>
        <v>21121095.330647171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22</v>
      </c>
    </row>
    <row r="3" spans="1:54" x14ac:dyDescent="0.2">
      <c r="A3" s="106" t="s">
        <v>286</v>
      </c>
      <c r="B3" s="114">
        <v>50000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4912.3858374500714</v>
      </c>
      <c r="E9" s="123">
        <v>4914.1880066142321</v>
      </c>
      <c r="F9" s="123">
        <v>5303.6465635085287</v>
      </c>
      <c r="G9" s="123">
        <v>5303.6465635085287</v>
      </c>
      <c r="H9" s="123">
        <v>3861.7411805405363</v>
      </c>
      <c r="I9" s="123">
        <v>4867.8865635085285</v>
      </c>
      <c r="J9" s="123">
        <v>4867.8865635085285</v>
      </c>
      <c r="K9" s="123">
        <v>4867.8865635085285</v>
      </c>
      <c r="L9" s="123">
        <v>4867.8865635085285</v>
      </c>
      <c r="M9" s="123">
        <v>4867.8865635085285</v>
      </c>
      <c r="N9" s="123">
        <v>4867.8865635085285</v>
      </c>
      <c r="O9" s="123">
        <v>4867.8865635085285</v>
      </c>
      <c r="P9" s="123">
        <v>5303.6465635085287</v>
      </c>
      <c r="Q9" s="123">
        <v>5303.6465635085287</v>
      </c>
      <c r="R9" s="123">
        <v>5303.6465635085287</v>
      </c>
      <c r="S9" s="123">
        <v>5303.6465635085287</v>
      </c>
      <c r="T9" s="123">
        <v>4867.8865635085285</v>
      </c>
      <c r="U9" s="123">
        <v>4867.8865635085285</v>
      </c>
      <c r="V9" s="123">
        <v>4867.8865635085285</v>
      </c>
      <c r="W9" s="123">
        <v>4867.8865635085285</v>
      </c>
      <c r="X9" s="123">
        <v>4867.8865635085285</v>
      </c>
      <c r="Y9" s="123">
        <v>4867.8865635085285</v>
      </c>
      <c r="Z9" s="123">
        <v>4867.8865635085285</v>
      </c>
      <c r="AA9" s="123">
        <v>4867.8865635085285</v>
      </c>
      <c r="AB9" s="123">
        <v>5303.6465635085287</v>
      </c>
      <c r="AC9" s="123">
        <v>5303.6465635085287</v>
      </c>
      <c r="AD9" s="123">
        <v>5303.6465635085287</v>
      </c>
      <c r="AE9" s="123">
        <v>5303.6465635085287</v>
      </c>
      <c r="AF9" s="123">
        <v>4867.8865635085285</v>
      </c>
      <c r="AG9" s="123">
        <v>4867.8865635085285</v>
      </c>
      <c r="AH9" s="123">
        <v>4867.8865635085285</v>
      </c>
      <c r="AI9" s="123">
        <v>4867.8865635085285</v>
      </c>
      <c r="AJ9" s="123">
        <v>4532.9158831813247</v>
      </c>
      <c r="AK9" s="123">
        <v>4534.5790975573527</v>
      </c>
      <c r="AL9" s="123">
        <v>4867.8865635085285</v>
      </c>
      <c r="AM9" s="123">
        <v>4867.8865635085285</v>
      </c>
      <c r="AN9" s="123">
        <v>5303.6465635085287</v>
      </c>
      <c r="AO9" s="123">
        <v>5303.6465635085287</v>
      </c>
      <c r="AP9" s="123">
        <v>5303.6465635085287</v>
      </c>
      <c r="AQ9" s="123">
        <v>5303.6465635085287</v>
      </c>
      <c r="AR9" s="123">
        <v>4545.956133962427</v>
      </c>
      <c r="AS9" s="123">
        <v>4867.8865635085285</v>
      </c>
      <c r="AT9" s="123">
        <v>3878.061079308216</v>
      </c>
      <c r="AU9" s="123">
        <v>4867.8865635085285</v>
      </c>
      <c r="AV9" s="123">
        <v>4552.2257377849974</v>
      </c>
      <c r="AW9" s="123">
        <v>4553.7642697291667</v>
      </c>
      <c r="AX9" s="123">
        <v>4867.8865635085285</v>
      </c>
      <c r="AY9" s="123">
        <v>4867.8865635085285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0</v>
      </c>
      <c r="F10" s="106">
        <v>221</v>
      </c>
      <c r="G10" s="106">
        <v>221</v>
      </c>
      <c r="H10" s="106">
        <v>221</v>
      </c>
      <c r="I10" s="106">
        <v>0</v>
      </c>
      <c r="J10" s="106">
        <v>0</v>
      </c>
      <c r="K10" s="106">
        <v>221</v>
      </c>
      <c r="L10" s="106">
        <v>0</v>
      </c>
      <c r="M10" s="106">
        <v>221</v>
      </c>
      <c r="N10" s="106">
        <v>0</v>
      </c>
      <c r="O10" s="106">
        <v>221</v>
      </c>
      <c r="P10" s="106">
        <v>221</v>
      </c>
      <c r="Q10" s="106">
        <v>0</v>
      </c>
      <c r="R10" s="106">
        <v>221</v>
      </c>
      <c r="S10" s="106">
        <v>221</v>
      </c>
      <c r="T10" s="106">
        <v>221</v>
      </c>
      <c r="U10" s="106">
        <v>221</v>
      </c>
      <c r="V10" s="106">
        <v>221</v>
      </c>
      <c r="W10" s="106">
        <v>0</v>
      </c>
      <c r="X10" s="106">
        <v>0</v>
      </c>
      <c r="Y10" s="106">
        <v>221</v>
      </c>
      <c r="Z10" s="106">
        <v>221</v>
      </c>
      <c r="AA10" s="106">
        <v>0</v>
      </c>
      <c r="AB10" s="106">
        <v>221</v>
      </c>
      <c r="AC10" s="106">
        <v>221</v>
      </c>
      <c r="AD10" s="106">
        <v>221</v>
      </c>
      <c r="AE10" s="106">
        <v>221</v>
      </c>
      <c r="AF10" s="106">
        <v>0</v>
      </c>
      <c r="AG10" s="106">
        <v>221</v>
      </c>
      <c r="AH10" s="106">
        <v>0</v>
      </c>
      <c r="AI10" s="106">
        <v>0</v>
      </c>
      <c r="AJ10" s="106">
        <v>221</v>
      </c>
      <c r="AK10" s="106">
        <v>0</v>
      </c>
      <c r="AL10" s="106">
        <v>221</v>
      </c>
      <c r="AM10" s="106">
        <v>221</v>
      </c>
      <c r="AN10" s="106">
        <v>221</v>
      </c>
      <c r="AO10" s="106">
        <v>221</v>
      </c>
      <c r="AP10" s="106">
        <v>0</v>
      </c>
      <c r="AQ10" s="106">
        <v>0</v>
      </c>
      <c r="AR10" s="106">
        <v>0</v>
      </c>
      <c r="AS10" s="106">
        <v>0</v>
      </c>
      <c r="AT10" s="106">
        <v>221</v>
      </c>
      <c r="AU10" s="106">
        <v>221</v>
      </c>
      <c r="AV10" s="106">
        <v>0</v>
      </c>
      <c r="AW10" s="106">
        <v>0</v>
      </c>
      <c r="AX10" s="106">
        <v>221</v>
      </c>
      <c r="AY10" s="106">
        <v>0</v>
      </c>
      <c r="AZ10" s="106">
        <v>221</v>
      </c>
    </row>
    <row r="11" spans="1:54" x14ac:dyDescent="0.2">
      <c r="B11" s="125">
        <v>2</v>
      </c>
      <c r="C11" s="112" t="s">
        <v>293</v>
      </c>
      <c r="D11" s="106">
        <v>0</v>
      </c>
      <c r="E11" s="106">
        <v>0</v>
      </c>
      <c r="H11" s="106">
        <v>0</v>
      </c>
      <c r="J11" s="106">
        <v>0</v>
      </c>
      <c r="K11" s="106">
        <v>221</v>
      </c>
      <c r="M11" s="106">
        <v>221</v>
      </c>
      <c r="N11" s="106">
        <v>0</v>
      </c>
      <c r="O11" s="106">
        <v>221</v>
      </c>
      <c r="P11" s="106">
        <v>0</v>
      </c>
      <c r="Q11" s="106">
        <v>0</v>
      </c>
      <c r="R11" s="106">
        <v>221</v>
      </c>
      <c r="T11" s="106">
        <v>0</v>
      </c>
      <c r="W11" s="106">
        <v>0</v>
      </c>
      <c r="AA11" s="106">
        <v>0</v>
      </c>
      <c r="AB11" s="106">
        <v>221</v>
      </c>
      <c r="AC11" s="106">
        <v>0</v>
      </c>
      <c r="AG11" s="106">
        <v>221</v>
      </c>
      <c r="AI11" s="106">
        <v>221</v>
      </c>
      <c r="AJ11" s="106">
        <v>221</v>
      </c>
      <c r="AK11" s="106">
        <v>0</v>
      </c>
      <c r="AL11" s="106">
        <v>221</v>
      </c>
      <c r="AP11" s="106">
        <v>0</v>
      </c>
      <c r="AR11" s="106">
        <v>221</v>
      </c>
      <c r="AS11" s="106">
        <v>0</v>
      </c>
      <c r="AT11" s="106">
        <v>221</v>
      </c>
      <c r="AV11" s="106">
        <v>0</v>
      </c>
      <c r="AW11" s="106">
        <v>0</v>
      </c>
      <c r="AX11" s="106">
        <v>221</v>
      </c>
      <c r="AZ11" s="106">
        <v>221</v>
      </c>
      <c r="BA11" s="106">
        <v>0</v>
      </c>
    </row>
    <row r="12" spans="1:54" x14ac:dyDescent="0.2">
      <c r="B12" s="126">
        <v>3</v>
      </c>
      <c r="C12" s="112" t="s">
        <v>293</v>
      </c>
      <c r="J12" s="106">
        <v>0</v>
      </c>
      <c r="P12" s="106">
        <v>0</v>
      </c>
      <c r="V12" s="106">
        <v>0</v>
      </c>
      <c r="Y12" s="106">
        <v>221</v>
      </c>
      <c r="AC12" s="106">
        <v>0</v>
      </c>
      <c r="AK12" s="106">
        <v>0</v>
      </c>
      <c r="AP12" s="106">
        <v>0</v>
      </c>
      <c r="AR12" s="106">
        <v>221</v>
      </c>
      <c r="AX12" s="106">
        <v>221</v>
      </c>
      <c r="BB12" s="106">
        <v>0</v>
      </c>
    </row>
    <row r="13" spans="1:54" x14ac:dyDescent="0.2">
      <c r="B13" s="126">
        <v>4</v>
      </c>
      <c r="C13" s="112" t="s">
        <v>293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2132.7263385246929</v>
      </c>
      <c r="E14" s="123">
        <f t="shared" ref="E14:AZ14" si="0">D$172*SUM(D$122:D$169)</f>
        <v>2438.367744948112</v>
      </c>
      <c r="F14" s="123">
        <f t="shared" si="0"/>
        <v>2618.2485213009536</v>
      </c>
      <c r="G14" s="123">
        <f t="shared" si="0"/>
        <v>2757.9532249384206</v>
      </c>
      <c r="H14" s="123">
        <f t="shared" si="0"/>
        <v>2865.7210783688388</v>
      </c>
      <c r="I14" s="123">
        <f t="shared" si="0"/>
        <v>2809.540519505113</v>
      </c>
      <c r="J14" s="123">
        <f t="shared" si="0"/>
        <v>2749.931919128423</v>
      </c>
      <c r="K14" s="123">
        <f t="shared" si="0"/>
        <v>2720.7631305533891</v>
      </c>
      <c r="L14" s="123">
        <f t="shared" si="0"/>
        <v>2709.5420528009986</v>
      </c>
      <c r="M14" s="123">
        <f t="shared" si="0"/>
        <v>2656.1780051588125</v>
      </c>
      <c r="N14" s="123">
        <f t="shared" si="0"/>
        <v>2710.9395034525851</v>
      </c>
      <c r="O14" s="123">
        <f t="shared" si="0"/>
        <v>2758.2237209230093</v>
      </c>
      <c r="P14" s="123">
        <f t="shared" si="0"/>
        <v>2789.2879301029134</v>
      </c>
      <c r="Q14" s="123">
        <f t="shared" si="0"/>
        <v>2900.618105998889</v>
      </c>
      <c r="R14" s="123">
        <f t="shared" si="0"/>
        <v>2960.4015047128232</v>
      </c>
      <c r="S14" s="123">
        <f t="shared" si="0"/>
        <v>2991.0043001627969</v>
      </c>
      <c r="T14" s="123">
        <f t="shared" si="0"/>
        <v>3063.577815296992</v>
      </c>
      <c r="U14" s="123">
        <f t="shared" si="0"/>
        <v>2956.829514119775</v>
      </c>
      <c r="V14" s="123">
        <f t="shared" si="0"/>
        <v>2840.3635920882416</v>
      </c>
      <c r="W14" s="123">
        <f t="shared" si="0"/>
        <v>2762.9887409890957</v>
      </c>
      <c r="X14" s="123">
        <f t="shared" si="0"/>
        <v>2731.9647242959786</v>
      </c>
      <c r="Y14" s="123">
        <f t="shared" si="0"/>
        <v>2719.0357060775259</v>
      </c>
      <c r="Z14" s="123">
        <f t="shared" si="0"/>
        <v>2543.048282142991</v>
      </c>
      <c r="AA14" s="123">
        <f t="shared" si="0"/>
        <v>2499.2060635387516</v>
      </c>
      <c r="AB14" s="123">
        <f t="shared" si="0"/>
        <v>2426.7754154220506</v>
      </c>
      <c r="AC14" s="123">
        <f t="shared" si="0"/>
        <v>2451.4917615924505</v>
      </c>
      <c r="AD14" s="123">
        <f t="shared" si="0"/>
        <v>2417.0744799292779</v>
      </c>
      <c r="AE14" s="123">
        <f t="shared" si="0"/>
        <v>2363.7692793243109</v>
      </c>
      <c r="AF14" s="123">
        <f t="shared" si="0"/>
        <v>2276.1226976753687</v>
      </c>
      <c r="AG14" s="123">
        <f t="shared" si="0"/>
        <v>2126.3943416169536</v>
      </c>
      <c r="AH14" s="123">
        <f t="shared" si="0"/>
        <v>2328.161715646314</v>
      </c>
      <c r="AI14" s="123">
        <f t="shared" si="0"/>
        <v>2482.575544107232</v>
      </c>
      <c r="AJ14" s="123">
        <f t="shared" si="0"/>
        <v>2590.6558329061409</v>
      </c>
      <c r="AK14" s="123">
        <f t="shared" si="0"/>
        <v>2665.9226084014913</v>
      </c>
      <c r="AL14" s="123">
        <f t="shared" si="0"/>
        <v>2725.4621009322059</v>
      </c>
      <c r="AM14" s="123">
        <f t="shared" si="0"/>
        <v>2780.1453582628073</v>
      </c>
      <c r="AN14" s="123">
        <f t="shared" si="0"/>
        <v>2809.1975481687164</v>
      </c>
      <c r="AO14" s="123">
        <f t="shared" si="0"/>
        <v>2924.8304322247741</v>
      </c>
      <c r="AP14" s="123">
        <f t="shared" si="0"/>
        <v>2964.7340865321339</v>
      </c>
      <c r="AQ14" s="123">
        <f t="shared" si="0"/>
        <v>2997.1592323547338</v>
      </c>
      <c r="AR14" s="123">
        <f t="shared" si="0"/>
        <v>3021.4944705333733</v>
      </c>
      <c r="AS14" s="123">
        <f t="shared" si="0"/>
        <v>2949.2078112764884</v>
      </c>
      <c r="AT14" s="123">
        <f t="shared" si="0"/>
        <v>2861.4063287175218</v>
      </c>
      <c r="AU14" s="123">
        <f t="shared" si="0"/>
        <v>2770.6919112108103</v>
      </c>
      <c r="AV14" s="123">
        <f t="shared" si="0"/>
        <v>2677.091943596432</v>
      </c>
      <c r="AW14" s="123">
        <f t="shared" si="0"/>
        <v>2677.7916181532923</v>
      </c>
      <c r="AX14" s="123">
        <f t="shared" si="0"/>
        <v>2716.9615307069057</v>
      </c>
      <c r="AY14" s="123">
        <f t="shared" si="0"/>
        <v>2737.3572124658431</v>
      </c>
      <c r="AZ14" s="116">
        <f t="shared" si="0"/>
        <v>2768.1092541361845</v>
      </c>
      <c r="BA14" s="113">
        <f>SUM($E14:$AZ14)</f>
        <v>130064.32021649921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3505.5213642978269</v>
      </c>
      <c r="E15" s="130">
        <v>3505.5213642978269</v>
      </c>
      <c r="F15" s="130">
        <v>3505.5213642978269</v>
      </c>
      <c r="G15" s="130">
        <v>3505.5213642978269</v>
      </c>
      <c r="H15" s="130">
        <v>3116.0189904869576</v>
      </c>
      <c r="I15" s="130">
        <v>3116.0189904869576</v>
      </c>
      <c r="J15" s="130">
        <v>3116.0189904869576</v>
      </c>
      <c r="K15" s="130">
        <v>3116.0189904869576</v>
      </c>
      <c r="L15" s="130">
        <v>3116.0189904869576</v>
      </c>
      <c r="M15" s="130">
        <v>3116.0189904869576</v>
      </c>
      <c r="N15" s="130">
        <v>3116.0189904869576</v>
      </c>
      <c r="O15" s="130">
        <v>3116.0189904869576</v>
      </c>
      <c r="P15" s="130">
        <v>3505.5213642978269</v>
      </c>
      <c r="Q15" s="130">
        <v>3505.5213642978269</v>
      </c>
      <c r="R15" s="130">
        <v>3505.5213642978269</v>
      </c>
      <c r="S15" s="130">
        <v>3505.5213642978269</v>
      </c>
      <c r="T15" s="130">
        <v>3116.0189904869576</v>
      </c>
      <c r="U15" s="130">
        <v>3116.0189904869576</v>
      </c>
      <c r="V15" s="130">
        <v>3116.0189904869576</v>
      </c>
      <c r="W15" s="130">
        <v>3116.0189904869576</v>
      </c>
      <c r="X15" s="130">
        <v>3116.0189904869576</v>
      </c>
      <c r="Y15" s="130">
        <v>3116.0189904869576</v>
      </c>
      <c r="Z15" s="130">
        <v>3116.0189904869576</v>
      </c>
      <c r="AA15" s="130">
        <v>3116.0189904869576</v>
      </c>
      <c r="AB15" s="130">
        <v>3505.5213642978269</v>
      </c>
      <c r="AC15" s="130">
        <v>3505.5213642978269</v>
      </c>
      <c r="AD15" s="130">
        <v>3505.5213642978269</v>
      </c>
      <c r="AE15" s="130">
        <v>3505.5213642978269</v>
      </c>
      <c r="AF15" s="130">
        <v>3116.0189904869576</v>
      </c>
      <c r="AG15" s="130">
        <v>3116.0189904869576</v>
      </c>
      <c r="AH15" s="130">
        <v>3116.0189904869576</v>
      </c>
      <c r="AI15" s="130">
        <v>3116.0189904869576</v>
      </c>
      <c r="AJ15" s="130">
        <v>3116.0189904869576</v>
      </c>
      <c r="AK15" s="130">
        <v>3116.0189904869576</v>
      </c>
      <c r="AL15" s="130">
        <v>3116.0189904869576</v>
      </c>
      <c r="AM15" s="130">
        <v>3116.0189904869576</v>
      </c>
      <c r="AN15" s="130">
        <v>3505.5213642978269</v>
      </c>
      <c r="AO15" s="130">
        <v>3505.5213642978269</v>
      </c>
      <c r="AP15" s="130">
        <v>3505.5213642978269</v>
      </c>
      <c r="AQ15" s="130">
        <v>3505.5213642978269</v>
      </c>
      <c r="AR15" s="130">
        <v>3116.0189904869576</v>
      </c>
      <c r="AS15" s="130">
        <v>3116.0189904869576</v>
      </c>
      <c r="AT15" s="130">
        <v>3116.0189904869576</v>
      </c>
      <c r="AU15" s="130">
        <v>3116.0189904869576</v>
      </c>
      <c r="AV15" s="130">
        <v>3116.0189904869576</v>
      </c>
      <c r="AW15" s="130">
        <v>3116.0189904869576</v>
      </c>
      <c r="AX15" s="130">
        <v>3116.0189904869576</v>
      </c>
      <c r="AY15" s="130">
        <v>3116.0189904869576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/>
      <c r="G16" s="116"/>
      <c r="H16" s="116">
        <v>0</v>
      </c>
      <c r="I16" s="116"/>
      <c r="J16" s="116">
        <v>0</v>
      </c>
      <c r="K16" s="116">
        <v>0</v>
      </c>
      <c r="L16" s="116"/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/>
      <c r="T16" s="116">
        <v>0</v>
      </c>
      <c r="U16" s="116"/>
      <c r="V16" s="116"/>
      <c r="W16" s="116">
        <v>0</v>
      </c>
      <c r="X16" s="116"/>
      <c r="Y16" s="116"/>
      <c r="Z16" s="116"/>
      <c r="AA16" s="116">
        <v>0</v>
      </c>
      <c r="AB16" s="116">
        <v>0</v>
      </c>
      <c r="AC16" s="116">
        <v>0</v>
      </c>
      <c r="AD16" s="116"/>
      <c r="AE16" s="116"/>
      <c r="AF16" s="116"/>
      <c r="AG16" s="116">
        <v>0</v>
      </c>
      <c r="AH16" s="116"/>
      <c r="AI16" s="116">
        <v>0</v>
      </c>
      <c r="AJ16" s="116">
        <v>0</v>
      </c>
      <c r="AK16" s="116">
        <v>0</v>
      </c>
      <c r="AL16" s="116">
        <v>0</v>
      </c>
      <c r="AM16" s="116"/>
      <c r="AN16" s="116"/>
      <c r="AO16" s="116"/>
      <c r="AP16" s="116">
        <v>0</v>
      </c>
      <c r="AQ16" s="116"/>
      <c r="AR16" s="116">
        <v>0</v>
      </c>
      <c r="AS16" s="116">
        <v>0</v>
      </c>
      <c r="AT16" s="116">
        <v>0</v>
      </c>
      <c r="AU16" s="116"/>
      <c r="AV16" s="116">
        <v>0</v>
      </c>
      <c r="AW16" s="116">
        <v>0</v>
      </c>
      <c r="AX16" s="116">
        <v>0</v>
      </c>
      <c r="AY16" s="116"/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>
        <v>0</v>
      </c>
      <c r="K17" s="116"/>
      <c r="L17" s="116"/>
      <c r="M17" s="116"/>
      <c r="N17" s="116"/>
      <c r="O17" s="116"/>
      <c r="P17" s="116">
        <v>0</v>
      </c>
      <c r="Q17" s="116"/>
      <c r="R17" s="116"/>
      <c r="S17" s="116"/>
      <c r="T17" s="116"/>
      <c r="U17" s="116"/>
      <c r="V17" s="116">
        <v>0</v>
      </c>
      <c r="W17" s="116"/>
      <c r="X17" s="116"/>
      <c r="Y17" s="116">
        <v>0</v>
      </c>
      <c r="Z17" s="116"/>
      <c r="AA17" s="116"/>
      <c r="AB17" s="116"/>
      <c r="AC17" s="116">
        <v>0</v>
      </c>
      <c r="AD17" s="116"/>
      <c r="AE17" s="116"/>
      <c r="AF17" s="116"/>
      <c r="AG17" s="116"/>
      <c r="AH17" s="116"/>
      <c r="AI17" s="116"/>
      <c r="AJ17" s="116"/>
      <c r="AK17" s="116">
        <v>0</v>
      </c>
      <c r="AL17" s="116"/>
      <c r="AM17" s="116"/>
      <c r="AN17" s="116"/>
      <c r="AO17" s="116"/>
      <c r="AP17" s="116">
        <v>0</v>
      </c>
      <c r="AQ17" s="116"/>
      <c r="AR17" s="116">
        <v>0</v>
      </c>
      <c r="AS17" s="116"/>
      <c r="AT17" s="116"/>
      <c r="AU17" s="116"/>
      <c r="AV17" s="116"/>
      <c r="AW17" s="116"/>
      <c r="AX17" s="116">
        <v>0</v>
      </c>
      <c r="AY17" s="116"/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4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4" x14ac:dyDescent="0.2">
      <c r="A23" s="115"/>
      <c r="B23" s="133">
        <v>3</v>
      </c>
      <c r="C23" s="116" t="s">
        <v>293</v>
      </c>
      <c r="D23" s="116"/>
      <c r="E23" s="116"/>
      <c r="F23" s="116"/>
      <c r="G23" s="116">
        <v>714.88236168549236</v>
      </c>
      <c r="H23" s="116">
        <v>277.38715924879472</v>
      </c>
      <c r="I23" s="116">
        <v>87.289175945088516</v>
      </c>
      <c r="J23" s="116">
        <v>133.69105648621257</v>
      </c>
      <c r="K23" s="116">
        <v>1575.3872961404909</v>
      </c>
      <c r="L23" s="116">
        <v>1583.6267977074224</v>
      </c>
      <c r="M23" s="116">
        <v>2416.8289963535453</v>
      </c>
      <c r="N23" s="116">
        <v>2634.5352113539216</v>
      </c>
      <c r="O23" s="116">
        <v>3310.7103738453984</v>
      </c>
      <c r="P23" s="116">
        <v>3830.2550630916107</v>
      </c>
      <c r="Q23" s="116">
        <v>4213.1580461042513</v>
      </c>
      <c r="R23" s="116">
        <v>5076.1307329322608</v>
      </c>
      <c r="S23" s="116">
        <v>5173.4259597066857</v>
      </c>
      <c r="T23" s="116">
        <v>4587.4287737904424</v>
      </c>
      <c r="U23" s="116">
        <v>4332.3637603461148</v>
      </c>
      <c r="V23" s="116">
        <v>3979.2339471768473</v>
      </c>
      <c r="W23" s="116">
        <v>3826.1721770745658</v>
      </c>
      <c r="X23" s="116">
        <v>3817.0504113052343</v>
      </c>
      <c r="Y23" s="116">
        <v>3659.5159815545985</v>
      </c>
      <c r="Z23" s="116">
        <v>3279.1338637001645</v>
      </c>
      <c r="AA23" s="116">
        <v>2747.3496461293075</v>
      </c>
      <c r="AB23" s="116">
        <v>3033.3445945981384</v>
      </c>
      <c r="AC23" s="116">
        <v>2761.9248534181111</v>
      </c>
      <c r="AD23" s="116">
        <v>2616.0834388671969</v>
      </c>
      <c r="AE23" s="116">
        <v>1996.2463874859491</v>
      </c>
      <c r="AF23" s="116">
        <v>799.73691435292517</v>
      </c>
      <c r="AG23" s="116">
        <v>823.77617130593887</v>
      </c>
      <c r="AH23" s="116">
        <v>320.91910598671944</v>
      </c>
      <c r="AI23" s="116">
        <v>555.04883298653158</v>
      </c>
      <c r="AJ23" s="116">
        <v>588.55640548536348</v>
      </c>
      <c r="AK23" s="116">
        <v>303.80659506524597</v>
      </c>
      <c r="AL23" s="116">
        <v>864.02504646371142</v>
      </c>
      <c r="AM23" s="116">
        <v>1232.8958488162473</v>
      </c>
      <c r="AN23" s="116">
        <v>2302.6974061208671</v>
      </c>
      <c r="AO23" s="116">
        <v>3052.3169176962974</v>
      </c>
      <c r="AP23" s="116">
        <v>3825.9738217401382</v>
      </c>
      <c r="AQ23" s="116">
        <v>4480.831754492001</v>
      </c>
      <c r="AR23" s="116">
        <v>4562.8057255367685</v>
      </c>
      <c r="AS23" s="116">
        <v>4052.4849772747607</v>
      </c>
      <c r="AT23" s="116">
        <v>3211.4151243661054</v>
      </c>
      <c r="AU23" s="116">
        <v>3245.2081631095289</v>
      </c>
      <c r="AV23" s="116">
        <v>2644.3386086058326</v>
      </c>
      <c r="AW23" s="116">
        <v>3255.4467043135783</v>
      </c>
      <c r="AX23" s="116">
        <v>3651.5000945372431</v>
      </c>
      <c r="AY23" s="116">
        <v>3342.4670591454396</v>
      </c>
    </row>
    <row r="24" spans="1:54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1316.8447975313809</v>
      </c>
      <c r="G24" s="131">
        <v>4310.3476034272198</v>
      </c>
      <c r="H24" s="131">
        <v>3668.3056449287396</v>
      </c>
      <c r="I24" s="131">
        <v>4334.2594042597339</v>
      </c>
      <c r="J24" s="131">
        <v>4374.3573875634402</v>
      </c>
      <c r="K24" s="131">
        <v>3096.0501240543235</v>
      </c>
      <c r="L24" s="131">
        <v>2479.4992673680376</v>
      </c>
      <c r="M24" s="131">
        <v>2763.2597658011064</v>
      </c>
      <c r="N24" s="131">
        <v>1955.0575671549832</v>
      </c>
      <c r="O24" s="131">
        <v>1729.351352154607</v>
      </c>
      <c r="P24" s="131">
        <v>1067.1761896631301</v>
      </c>
      <c r="Q24" s="131">
        <v>736.63150041691779</v>
      </c>
      <c r="R24" s="131">
        <v>354.72851740427723</v>
      </c>
      <c r="S24" s="131">
        <v>0</v>
      </c>
      <c r="T24" s="131">
        <v>0</v>
      </c>
      <c r="U24" s="131">
        <v>0</v>
      </c>
      <c r="V24" s="131">
        <v>302.23702725861131</v>
      </c>
      <c r="W24" s="131">
        <v>304.6526163316812</v>
      </c>
      <c r="X24" s="131">
        <v>457.71438643396277</v>
      </c>
      <c r="Y24" s="131">
        <v>535.8361522032942</v>
      </c>
      <c r="Z24" s="131">
        <v>578.37058195393001</v>
      </c>
      <c r="AA24" s="131">
        <v>769.75269980836401</v>
      </c>
      <c r="AB24" s="131">
        <v>1512.536917379221</v>
      </c>
      <c r="AC24" s="131">
        <v>1695.5419689103901</v>
      </c>
      <c r="AD24" s="131">
        <v>1953.9617100904175</v>
      </c>
      <c r="AE24" s="131">
        <v>2533.5631246413318</v>
      </c>
      <c r="AF24" s="131">
        <v>3118.4001760225797</v>
      </c>
      <c r="AG24" s="131">
        <v>4278.9096491556038</v>
      </c>
      <c r="AH24" s="131">
        <v>4231.8703922025898</v>
      </c>
      <c r="AI24" s="131">
        <v>4356.9674575218087</v>
      </c>
      <c r="AJ24" s="131">
        <v>4083.8377305219965</v>
      </c>
      <c r="AK24" s="131">
        <v>4000.3301580231655</v>
      </c>
      <c r="AL24" s="131">
        <v>4332.0799684432823</v>
      </c>
      <c r="AM24" s="131">
        <v>3412.8908367176132</v>
      </c>
      <c r="AN24" s="131">
        <v>3073.6832487411057</v>
      </c>
      <c r="AO24" s="131">
        <v>2156.1891573876615</v>
      </c>
      <c r="AP24" s="131">
        <v>1298.5696458122311</v>
      </c>
      <c r="AQ24" s="131">
        <v>1049.6727417683906</v>
      </c>
      <c r="AR24" s="131">
        <v>259.81480901652776</v>
      </c>
      <c r="AS24" s="131">
        <v>449.84083797176027</v>
      </c>
      <c r="AT24" s="131">
        <v>1041.161586233768</v>
      </c>
      <c r="AU24" s="131">
        <v>1046.5410095963216</v>
      </c>
      <c r="AV24" s="131">
        <v>1302.6784003989997</v>
      </c>
      <c r="AW24" s="131">
        <v>994.72247070238336</v>
      </c>
      <c r="AX24" s="131">
        <v>1371.4398591949503</v>
      </c>
      <c r="AY24" s="131">
        <v>693.72564324775431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4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4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4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4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4" x14ac:dyDescent="0.2">
      <c r="A31" s="115"/>
      <c r="B31" s="136">
        <v>7</v>
      </c>
      <c r="C31" s="115" t="s">
        <v>293</v>
      </c>
      <c r="D31" s="116"/>
      <c r="E31" s="116"/>
      <c r="F31" s="116"/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>
        <v>328.78999644247739</v>
      </c>
      <c r="H43" s="112">
        <v>115.42351660821549</v>
      </c>
      <c r="I43" s="112">
        <v>34.961696001212026</v>
      </c>
      <c r="J43" s="112">
        <v>72.563686756734782</v>
      </c>
      <c r="K43" s="112">
        <v>662.98901316717786</v>
      </c>
      <c r="L43" s="112">
        <v>679.91404928351244</v>
      </c>
      <c r="M43" s="112">
        <v>1053.75328477122</v>
      </c>
      <c r="N43" s="112">
        <v>1154.2468300607891</v>
      </c>
      <c r="O43" s="112">
        <v>1658.3643195315765</v>
      </c>
      <c r="P43" s="112">
        <v>1880.7576151273568</v>
      </c>
      <c r="Q43" s="112">
        <v>2045.7232402677705</v>
      </c>
      <c r="R43" s="112">
        <v>2171.3086774698222</v>
      </c>
      <c r="S43" s="112">
        <v>2202.7419680996682</v>
      </c>
      <c r="T43" s="112">
        <v>1665.3805277395611</v>
      </c>
      <c r="U43" s="112">
        <v>2056.3788716865774</v>
      </c>
      <c r="V43" s="112">
        <v>2214.9040609602707</v>
      </c>
      <c r="W43" s="112">
        <v>2087.7631900631418</v>
      </c>
      <c r="X43" s="112">
        <v>2125.7259411606187</v>
      </c>
      <c r="Y43" s="112">
        <v>2010.5534202375868</v>
      </c>
      <c r="Z43" s="112">
        <v>1878.0743217180916</v>
      </c>
      <c r="AA43" s="112">
        <v>1637.0578942432553</v>
      </c>
      <c r="AB43" s="112">
        <v>1844.7262040733676</v>
      </c>
      <c r="AC43" s="112">
        <v>1697.0258048383957</v>
      </c>
      <c r="AD43" s="112">
        <v>1511.1442835243372</v>
      </c>
      <c r="AE43" s="112">
        <v>1112.9248839064244</v>
      </c>
      <c r="AF43" s="112">
        <v>428.2984523151074</v>
      </c>
      <c r="AG43" s="112">
        <v>429.15459376080906</v>
      </c>
      <c r="AH43" s="112">
        <v>180.10684215213305</v>
      </c>
      <c r="AI43" s="112">
        <v>310.03138134330038</v>
      </c>
      <c r="AJ43" s="112">
        <v>307.46964547896965</v>
      </c>
      <c r="AK43" s="112">
        <v>155.97637180412795</v>
      </c>
      <c r="AL43" s="112">
        <v>462.57084735387627</v>
      </c>
      <c r="AM43" s="112">
        <v>666.53022281663584</v>
      </c>
      <c r="AN43" s="112">
        <v>1143.3691115683164</v>
      </c>
      <c r="AO43" s="112">
        <v>1482.1571675269665</v>
      </c>
      <c r="AP43" s="112">
        <v>1641.9619505364687</v>
      </c>
      <c r="AQ43" s="112">
        <v>1796.5026844070612</v>
      </c>
      <c r="AR43" s="112">
        <v>1827.3545898960995</v>
      </c>
      <c r="AS43" s="112">
        <v>1672.3366486365915</v>
      </c>
      <c r="AT43" s="112">
        <v>1726.5033591953052</v>
      </c>
      <c r="AU43" s="112">
        <v>1770.7724722004798</v>
      </c>
      <c r="AV43" s="112">
        <v>1858.4144273128932</v>
      </c>
      <c r="AW43" s="112">
        <v>1539.6140852001599</v>
      </c>
      <c r="AX43" s="112">
        <v>2082.9656002632928</v>
      </c>
      <c r="AY43" s="112">
        <v>1732.7128516022851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2223.1170173777155</v>
      </c>
      <c r="G44" s="112">
        <v>2152.6296519951798</v>
      </c>
      <c r="H44" s="112">
        <v>1636.0607346125144</v>
      </c>
      <c r="I44" s="112">
        <v>1652.5563584427362</v>
      </c>
      <c r="J44" s="112">
        <v>1616.2934231890986</v>
      </c>
      <c r="K44" s="112">
        <v>1619.4791206334942</v>
      </c>
      <c r="L44" s="112">
        <v>978.37798155117071</v>
      </c>
      <c r="M44" s="112">
        <v>553.06350706961416</v>
      </c>
      <c r="N44" s="112">
        <v>178.28838659339954</v>
      </c>
      <c r="O44" s="112">
        <v>230.47950846390381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4.3179436721186448</v>
      </c>
      <c r="W44" s="112">
        <v>0.95841315535949434</v>
      </c>
      <c r="X44" s="112">
        <v>110.41481509567075</v>
      </c>
      <c r="Y44" s="112">
        <v>0</v>
      </c>
      <c r="Z44" s="112">
        <v>0</v>
      </c>
      <c r="AA44" s="112">
        <v>154.12284228656222</v>
      </c>
      <c r="AB44" s="112">
        <v>516.56021175563365</v>
      </c>
      <c r="AC44" s="112">
        <v>685.6753006394556</v>
      </c>
      <c r="AD44" s="112">
        <v>702.97849532440114</v>
      </c>
      <c r="AE44" s="112">
        <v>1018.4335317726548</v>
      </c>
      <c r="AF44" s="112">
        <v>1363.3392491218247</v>
      </c>
      <c r="AG44" s="112">
        <v>1567.0651397731344</v>
      </c>
      <c r="AH44" s="112">
        <v>1568.6590808025244</v>
      </c>
      <c r="AI44" s="112">
        <v>1671.8578821438455</v>
      </c>
      <c r="AJ44" s="112">
        <v>1581.9375572865056</v>
      </c>
      <c r="AK44" s="112">
        <v>1570.6723101762746</v>
      </c>
      <c r="AL44" s="112">
        <v>1762.2296917346234</v>
      </c>
      <c r="AM44" s="112">
        <v>1187.8204904913673</v>
      </c>
      <c r="AN44" s="112">
        <v>1155.5049161755642</v>
      </c>
      <c r="AO44" s="112">
        <v>586.90605152648106</v>
      </c>
      <c r="AP44" s="112">
        <v>201.56171387717245</v>
      </c>
      <c r="AQ44" s="112">
        <v>80.160747138899978</v>
      </c>
      <c r="AR44" s="112">
        <v>0</v>
      </c>
      <c r="AS44" s="112">
        <v>0</v>
      </c>
      <c r="AT44" s="112">
        <v>0</v>
      </c>
      <c r="AU44" s="112">
        <v>0</v>
      </c>
      <c r="AV44" s="112">
        <v>364.04028552943828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297976.33239138703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1381.8065635085291</v>
      </c>
      <c r="D95" s="116">
        <v>4912.3858374500714</v>
      </c>
      <c r="E95" s="116">
        <v>4914.1880066142321</v>
      </c>
      <c r="F95" s="116">
        <v>5303.6465635085287</v>
      </c>
      <c r="G95" s="116">
        <v>5303.6465635085287</v>
      </c>
      <c r="H95" s="116">
        <v>3861.7411805405363</v>
      </c>
      <c r="I95" s="116">
        <v>4867.8865635085285</v>
      </c>
      <c r="J95" s="116">
        <v>4867.8865635085285</v>
      </c>
      <c r="K95" s="116">
        <v>4867.8865635085285</v>
      </c>
      <c r="L95" s="116">
        <v>4867.8865635085285</v>
      </c>
      <c r="M95" s="116">
        <v>4867.8865635085285</v>
      </c>
      <c r="N95" s="116">
        <v>4867.8865635085285</v>
      </c>
      <c r="O95" s="116">
        <v>4867.8865635085285</v>
      </c>
      <c r="P95" s="116">
        <v>5303.6465635085287</v>
      </c>
      <c r="Q95" s="116">
        <v>5303.6465635085287</v>
      </c>
      <c r="R95" s="116">
        <v>5303.6465635085287</v>
      </c>
      <c r="S95" s="116">
        <v>5303.6465635085287</v>
      </c>
      <c r="T95" s="116">
        <v>4867.8865635085285</v>
      </c>
      <c r="U95" s="116">
        <v>4867.8865635085285</v>
      </c>
      <c r="V95" s="116">
        <v>4867.8865635085285</v>
      </c>
      <c r="W95" s="116">
        <v>4867.8865635085285</v>
      </c>
      <c r="X95" s="116">
        <v>4867.8865635085285</v>
      </c>
      <c r="Y95" s="116">
        <v>4867.8865635085285</v>
      </c>
      <c r="Z95" s="116">
        <v>4867.8865635085285</v>
      </c>
      <c r="AA95" s="116">
        <v>4867.8865635085285</v>
      </c>
      <c r="AB95" s="116">
        <v>5303.6465635085287</v>
      </c>
      <c r="AC95" s="116">
        <v>5303.6465635085287</v>
      </c>
      <c r="AD95" s="116">
        <v>5303.6465635085287</v>
      </c>
      <c r="AE95" s="116">
        <v>5303.6465635085287</v>
      </c>
      <c r="AF95" s="116">
        <v>4867.8865635085285</v>
      </c>
      <c r="AG95" s="116">
        <v>4867.8865635085285</v>
      </c>
      <c r="AH95" s="116">
        <v>4867.8865635085285</v>
      </c>
      <c r="AI95" s="116">
        <v>4867.8865635085285</v>
      </c>
      <c r="AJ95" s="116">
        <v>4532.9158831813247</v>
      </c>
      <c r="AK95" s="116">
        <v>4534.5790975573527</v>
      </c>
      <c r="AL95" s="116">
        <v>4867.8865635085285</v>
      </c>
      <c r="AM95" s="116">
        <v>4867.8865635085285</v>
      </c>
      <c r="AN95" s="116">
        <v>5303.6465635085287</v>
      </c>
      <c r="AO95" s="116">
        <v>5303.6465635085287</v>
      </c>
      <c r="AP95" s="116">
        <v>5303.6465635085287</v>
      </c>
      <c r="AQ95" s="116">
        <v>5303.6465635085287</v>
      </c>
      <c r="AR95" s="116">
        <v>4545.956133962427</v>
      </c>
      <c r="AS95" s="116">
        <v>4867.8865635085285</v>
      </c>
      <c r="AT95" s="116">
        <v>3878.061079308216</v>
      </c>
      <c r="AU95" s="116">
        <v>4867.8865635085285</v>
      </c>
      <c r="AV95" s="116">
        <v>4552.2257377849974</v>
      </c>
      <c r="AW95" s="116">
        <v>4553.7642697291667</v>
      </c>
      <c r="AX95" s="116">
        <v>4867.8865635085285</v>
      </c>
      <c r="AY95" s="116">
        <v>4867.8865635085285</v>
      </c>
    </row>
    <row r="96" spans="1:52" x14ac:dyDescent="0.2">
      <c r="A96" s="115"/>
      <c r="B96" s="126">
        <v>2</v>
      </c>
      <c r="C96" s="116">
        <v>1069.2107550391243</v>
      </c>
      <c r="D96" s="116">
        <v>1381.8065635085291</v>
      </c>
      <c r="E96" s="116">
        <v>4912.3858374500714</v>
      </c>
      <c r="F96" s="116">
        <v>4914.1880066142321</v>
      </c>
      <c r="G96" s="116">
        <v>5303.6465635085287</v>
      </c>
      <c r="H96" s="116">
        <v>5303.6465635085287</v>
      </c>
      <c r="I96" s="116">
        <v>3861.7411805405363</v>
      </c>
      <c r="J96" s="116">
        <v>4867.8865635085285</v>
      </c>
      <c r="K96" s="116">
        <v>4867.8865635085285</v>
      </c>
      <c r="L96" s="116">
        <v>4867.8865635085285</v>
      </c>
      <c r="M96" s="116">
        <v>4867.8865635085285</v>
      </c>
      <c r="N96" s="116">
        <v>4867.8865635085285</v>
      </c>
      <c r="O96" s="116">
        <v>4867.8865635085285</v>
      </c>
      <c r="P96" s="116">
        <v>4867.8865635085285</v>
      </c>
      <c r="Q96" s="116">
        <v>5303.6465635085287</v>
      </c>
      <c r="R96" s="116">
        <v>5303.6465635085287</v>
      </c>
      <c r="S96" s="116">
        <v>5303.6465635085287</v>
      </c>
      <c r="T96" s="116">
        <v>5303.6465635085287</v>
      </c>
      <c r="U96" s="116">
        <v>4867.8865635085285</v>
      </c>
      <c r="V96" s="116">
        <v>4867.8865635085285</v>
      </c>
      <c r="W96" s="116">
        <v>4867.8865635085285</v>
      </c>
      <c r="X96" s="116">
        <v>4867.8865635085285</v>
      </c>
      <c r="Y96" s="116">
        <v>4867.8865635085285</v>
      </c>
      <c r="Z96" s="116">
        <v>4867.8865635085285</v>
      </c>
      <c r="AA96" s="116">
        <v>4867.8865635085285</v>
      </c>
      <c r="AB96" s="116">
        <v>4867.8865635085285</v>
      </c>
      <c r="AC96" s="116">
        <v>5303.6465635085287</v>
      </c>
      <c r="AD96" s="116">
        <v>5303.6465635085287</v>
      </c>
      <c r="AE96" s="116">
        <v>5303.6465635085287</v>
      </c>
      <c r="AF96" s="116">
        <v>5303.6465635085287</v>
      </c>
      <c r="AG96" s="116">
        <v>4867.8865635085285</v>
      </c>
      <c r="AH96" s="116">
        <v>4867.8865635085285</v>
      </c>
      <c r="AI96" s="116">
        <v>4867.8865635085285</v>
      </c>
      <c r="AJ96" s="116">
        <v>4867.8865635085285</v>
      </c>
      <c r="AK96" s="116">
        <v>4532.9158831813247</v>
      </c>
      <c r="AL96" s="116">
        <v>4534.5790975573527</v>
      </c>
      <c r="AM96" s="116">
        <v>4867.8865635085285</v>
      </c>
      <c r="AN96" s="116">
        <v>4867.8865635085285</v>
      </c>
      <c r="AO96" s="116">
        <v>5303.6465635085287</v>
      </c>
      <c r="AP96" s="116">
        <v>5303.6465635085287</v>
      </c>
      <c r="AQ96" s="116">
        <v>5303.6465635085287</v>
      </c>
      <c r="AR96" s="116">
        <v>5303.6465635085287</v>
      </c>
      <c r="AS96" s="116">
        <v>4545.956133962427</v>
      </c>
      <c r="AT96" s="116">
        <v>4867.8865635085285</v>
      </c>
      <c r="AU96" s="116">
        <v>3878.061079308216</v>
      </c>
      <c r="AV96" s="116">
        <v>4867.8865635085285</v>
      </c>
      <c r="AW96" s="116">
        <v>4552.2257377849974</v>
      </c>
      <c r="AX96" s="116">
        <v>4553.7642697291667</v>
      </c>
      <c r="AY96" s="116">
        <v>4867.8865635085285</v>
      </c>
    </row>
    <row r="97" spans="1:52" x14ac:dyDescent="0.2">
      <c r="A97" s="115"/>
      <c r="B97" s="133">
        <v>3</v>
      </c>
      <c r="C97" s="116">
        <v>1381.8065635085291</v>
      </c>
      <c r="D97" s="116">
        <v>1069.2107550391243</v>
      </c>
      <c r="E97" s="116">
        <v>1381.8065635085291</v>
      </c>
      <c r="F97" s="116">
        <v>4912.3858374500714</v>
      </c>
      <c r="G97" s="116">
        <v>4199.3056449287396</v>
      </c>
      <c r="H97" s="116">
        <v>5026.2594042597339</v>
      </c>
      <c r="I97" s="116">
        <v>5216.3573875634402</v>
      </c>
      <c r="J97" s="116">
        <v>3728.0501240543235</v>
      </c>
      <c r="K97" s="116">
        <v>3292.4992673680376</v>
      </c>
      <c r="L97" s="116">
        <v>3284.2597658011064</v>
      </c>
      <c r="M97" s="116">
        <v>2451.0575671549832</v>
      </c>
      <c r="N97" s="116">
        <v>2233.351352154607</v>
      </c>
      <c r="O97" s="116">
        <v>1557.1761896631301</v>
      </c>
      <c r="P97" s="116">
        <v>1037.6315004169178</v>
      </c>
      <c r="Q97" s="116">
        <v>654.72851740427723</v>
      </c>
      <c r="R97" s="116">
        <v>227.51583057626794</v>
      </c>
      <c r="S97" s="116">
        <v>70.736434378110971</v>
      </c>
      <c r="T97" s="116">
        <v>447.95422409619732</v>
      </c>
      <c r="U97" s="116">
        <v>836.23702725861131</v>
      </c>
      <c r="V97" s="116">
        <v>888.6526163316812</v>
      </c>
      <c r="W97" s="116">
        <v>1041.7143864339628</v>
      </c>
      <c r="X97" s="116">
        <v>1050.8361522032942</v>
      </c>
      <c r="Y97" s="116">
        <v>1208.37058195393</v>
      </c>
      <c r="Z97" s="116">
        <v>1588.752699808364</v>
      </c>
      <c r="AA97" s="116">
        <v>2120.536917379221</v>
      </c>
      <c r="AB97" s="116">
        <v>1834.5419689103901</v>
      </c>
      <c r="AC97" s="116">
        <v>2105.9617100904175</v>
      </c>
      <c r="AD97" s="116">
        <v>2687.5631246413318</v>
      </c>
      <c r="AE97" s="116">
        <v>3307.4001760225797</v>
      </c>
      <c r="AF97" s="116">
        <v>4503.9096491556038</v>
      </c>
      <c r="AG97" s="116">
        <v>4479.8703922025898</v>
      </c>
      <c r="AH97" s="116">
        <v>4546.9674575218087</v>
      </c>
      <c r="AI97" s="116">
        <v>4312.8377305219965</v>
      </c>
      <c r="AJ97" s="116">
        <v>4279.3301580231655</v>
      </c>
      <c r="AK97" s="116">
        <v>4564.0799684432823</v>
      </c>
      <c r="AL97" s="116">
        <v>3668.8908367176132</v>
      </c>
      <c r="AM97" s="116">
        <v>3301.6832487411057</v>
      </c>
      <c r="AN97" s="116">
        <v>2565.1891573876615</v>
      </c>
      <c r="AO97" s="116">
        <v>1815.5696458122311</v>
      </c>
      <c r="AP97" s="116">
        <v>1477.6727417683906</v>
      </c>
      <c r="AQ97" s="116">
        <v>822.81480901652776</v>
      </c>
      <c r="AR97" s="116">
        <v>740.84083797176027</v>
      </c>
      <c r="AS97" s="116">
        <v>1251.161586233768</v>
      </c>
      <c r="AT97" s="116">
        <v>1334.5410095963216</v>
      </c>
      <c r="AU97" s="116">
        <v>1622.6784003989997</v>
      </c>
      <c r="AV97" s="116">
        <v>1233.7224707023834</v>
      </c>
      <c r="AW97" s="116">
        <v>1612.4398591949503</v>
      </c>
      <c r="AX97" s="116">
        <v>900.72564324775431</v>
      </c>
      <c r="AY97" s="116">
        <v>1211.2972105837271</v>
      </c>
    </row>
    <row r="98" spans="1:52" x14ac:dyDescent="0.2">
      <c r="A98" s="115"/>
      <c r="B98" s="136">
        <v>4</v>
      </c>
      <c r="C98" s="112">
        <v>1381.8065635085291</v>
      </c>
      <c r="D98" s="116">
        <v>1381.8065635085291</v>
      </c>
      <c r="E98" s="116">
        <v>1069.2107550391243</v>
      </c>
      <c r="F98" s="116">
        <v>64.961765977148161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1163.8065635085291</v>
      </c>
      <c r="D99" s="131">
        <v>1143.8065635085291</v>
      </c>
      <c r="E99" s="131">
        <v>918.80656350852905</v>
      </c>
      <c r="F99" s="131">
        <v>587.21075503912425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2649.8238820561824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221</v>
      </c>
      <c r="G100" s="112">
        <v>221</v>
      </c>
      <c r="H100" s="112">
        <v>221</v>
      </c>
      <c r="I100" s="112">
        <v>0</v>
      </c>
      <c r="J100" s="112">
        <v>0</v>
      </c>
      <c r="K100" s="112">
        <v>221</v>
      </c>
      <c r="L100" s="112">
        <v>0</v>
      </c>
      <c r="M100" s="112">
        <v>221</v>
      </c>
      <c r="N100" s="112">
        <v>0</v>
      </c>
      <c r="O100" s="112">
        <v>221</v>
      </c>
      <c r="P100" s="112">
        <v>221</v>
      </c>
      <c r="Q100" s="112">
        <v>0</v>
      </c>
      <c r="R100" s="112">
        <v>221</v>
      </c>
      <c r="S100" s="112">
        <v>221</v>
      </c>
      <c r="T100" s="112">
        <v>221</v>
      </c>
      <c r="U100" s="112">
        <v>221</v>
      </c>
      <c r="V100" s="112">
        <v>221</v>
      </c>
      <c r="W100" s="112">
        <v>0</v>
      </c>
      <c r="X100" s="112">
        <v>0</v>
      </c>
      <c r="Y100" s="112">
        <v>221</v>
      </c>
      <c r="Z100" s="112">
        <v>221</v>
      </c>
      <c r="AA100" s="112">
        <v>0</v>
      </c>
      <c r="AB100" s="112">
        <v>221</v>
      </c>
      <c r="AC100" s="112">
        <v>221</v>
      </c>
      <c r="AD100" s="112">
        <v>221</v>
      </c>
      <c r="AE100" s="112">
        <v>221</v>
      </c>
      <c r="AF100" s="112">
        <v>0</v>
      </c>
      <c r="AG100" s="112">
        <v>221</v>
      </c>
      <c r="AH100" s="112">
        <v>0</v>
      </c>
      <c r="AI100" s="112">
        <v>0</v>
      </c>
      <c r="AJ100" s="112">
        <v>221</v>
      </c>
      <c r="AK100" s="112">
        <v>0</v>
      </c>
      <c r="AL100" s="112">
        <v>221</v>
      </c>
      <c r="AM100" s="112">
        <v>221</v>
      </c>
      <c r="AN100" s="112">
        <v>221</v>
      </c>
      <c r="AO100" s="112">
        <v>221</v>
      </c>
      <c r="AP100" s="112">
        <v>0</v>
      </c>
      <c r="AQ100" s="112">
        <v>0</v>
      </c>
      <c r="AR100" s="112">
        <v>0</v>
      </c>
      <c r="AS100" s="112">
        <v>0</v>
      </c>
      <c r="AT100" s="112">
        <v>221</v>
      </c>
      <c r="AU100" s="112">
        <v>221</v>
      </c>
      <c r="AV100" s="112">
        <v>0</v>
      </c>
      <c r="AW100" s="112">
        <v>0</v>
      </c>
      <c r="AX100" s="112">
        <v>221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221</v>
      </c>
      <c r="L101" s="112">
        <v>0</v>
      </c>
      <c r="M101" s="112">
        <v>221</v>
      </c>
      <c r="N101" s="112">
        <v>0</v>
      </c>
      <c r="O101" s="112">
        <v>221</v>
      </c>
      <c r="P101" s="112">
        <v>0</v>
      </c>
      <c r="Q101" s="112">
        <v>0</v>
      </c>
      <c r="R101" s="112">
        <v>221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221</v>
      </c>
      <c r="AC101" s="112">
        <v>0</v>
      </c>
      <c r="AD101" s="112">
        <v>0</v>
      </c>
      <c r="AE101" s="112">
        <v>0</v>
      </c>
      <c r="AF101" s="112">
        <v>0</v>
      </c>
      <c r="AG101" s="112">
        <v>221</v>
      </c>
      <c r="AH101" s="112">
        <v>0</v>
      </c>
      <c r="AI101" s="112">
        <v>221</v>
      </c>
      <c r="AJ101" s="112">
        <v>221</v>
      </c>
      <c r="AK101" s="112">
        <v>0</v>
      </c>
      <c r="AL101" s="112">
        <v>221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221</v>
      </c>
      <c r="AS101" s="112">
        <v>0</v>
      </c>
      <c r="AT101" s="112">
        <v>221</v>
      </c>
      <c r="AU101" s="112">
        <v>0</v>
      </c>
      <c r="AV101" s="112">
        <v>0</v>
      </c>
      <c r="AW101" s="112">
        <v>0</v>
      </c>
      <c r="AX101" s="112">
        <v>221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221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221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221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2122.4304507808142</v>
      </c>
      <c r="D109" s="112">
        <v>2132.7263385246929</v>
      </c>
      <c r="E109" s="112">
        <v>2438.367744948112</v>
      </c>
      <c r="F109" s="112">
        <v>2618.2485213009536</v>
      </c>
      <c r="G109" s="112">
        <v>2757.9532249384206</v>
      </c>
      <c r="H109" s="112">
        <v>2865.7210783688388</v>
      </c>
      <c r="I109" s="112">
        <v>2809.540519505113</v>
      </c>
      <c r="J109" s="112">
        <v>2749.931919128423</v>
      </c>
      <c r="K109" s="112">
        <v>2720.7631305533891</v>
      </c>
      <c r="L109" s="112">
        <v>2709.5420528009986</v>
      </c>
      <c r="M109" s="112">
        <v>2656.1780051588125</v>
      </c>
      <c r="N109" s="112">
        <v>2710.9395034525851</v>
      </c>
      <c r="O109" s="112">
        <v>2758.2237209230093</v>
      </c>
      <c r="P109" s="112">
        <v>2789.2879301029134</v>
      </c>
      <c r="Q109" s="112">
        <v>2900.618105998889</v>
      </c>
      <c r="R109" s="112">
        <v>2960.4015047128232</v>
      </c>
      <c r="S109" s="112">
        <v>2991.0043001627969</v>
      </c>
      <c r="T109" s="112">
        <v>3063.577815296992</v>
      </c>
      <c r="U109" s="112">
        <v>2956.829514119775</v>
      </c>
      <c r="V109" s="112">
        <v>2840.3635920882416</v>
      </c>
      <c r="W109" s="112">
        <v>2762.9887409890957</v>
      </c>
      <c r="X109" s="112">
        <v>2731.9647242959786</v>
      </c>
      <c r="Y109" s="112">
        <v>2719.0357060775259</v>
      </c>
      <c r="Z109" s="112">
        <v>2543.048282142991</v>
      </c>
      <c r="AA109" s="112">
        <v>2499.2060635387516</v>
      </c>
      <c r="AB109" s="112">
        <v>2426.7754154220506</v>
      </c>
      <c r="AC109" s="112">
        <v>2451.4917615924505</v>
      </c>
      <c r="AD109" s="112">
        <v>2417.0744799292779</v>
      </c>
      <c r="AE109" s="112">
        <v>2363.7692793243109</v>
      </c>
      <c r="AF109" s="112">
        <v>2276.1226976753687</v>
      </c>
      <c r="AG109" s="112">
        <v>2126.3943416169536</v>
      </c>
      <c r="AH109" s="112">
        <v>2328.161715646314</v>
      </c>
      <c r="AI109" s="112">
        <v>2482.575544107232</v>
      </c>
      <c r="AJ109" s="112">
        <v>2590.6558329061409</v>
      </c>
      <c r="AK109" s="112">
        <v>2665.9226084014913</v>
      </c>
      <c r="AL109" s="112">
        <v>2725.4621009322059</v>
      </c>
      <c r="AM109" s="112">
        <v>2780.1453582628073</v>
      </c>
      <c r="AN109" s="112">
        <v>2809.1975481687164</v>
      </c>
      <c r="AO109" s="112">
        <v>2924.8304322247741</v>
      </c>
      <c r="AP109" s="112">
        <v>2964.7340865321339</v>
      </c>
      <c r="AQ109" s="112">
        <v>2997.1592323547338</v>
      </c>
      <c r="AR109" s="112">
        <v>3021.4944705333733</v>
      </c>
      <c r="AS109" s="112">
        <v>2949.2078112764884</v>
      </c>
      <c r="AT109" s="112">
        <v>2861.4063287175218</v>
      </c>
      <c r="AU109" s="112">
        <v>2770.6919112108103</v>
      </c>
      <c r="AV109" s="112">
        <v>2677.091943596432</v>
      </c>
      <c r="AW109" s="112">
        <v>2677.7916181532923</v>
      </c>
      <c r="AX109" s="112">
        <v>2716.9615307069057</v>
      </c>
      <c r="AY109" s="112">
        <v>2737.3572124658431</v>
      </c>
    </row>
    <row r="110" spans="1:52" x14ac:dyDescent="0.2">
      <c r="A110" s="115"/>
      <c r="B110" s="125">
        <v>2</v>
      </c>
      <c r="C110" s="112">
        <v>2089.9775563531266</v>
      </c>
      <c r="D110" s="112">
        <v>2122.4304507808142</v>
      </c>
      <c r="E110" s="112">
        <v>2132.7263385246929</v>
      </c>
      <c r="F110" s="112">
        <v>2438.367744948112</v>
      </c>
      <c r="G110" s="112">
        <v>2618.2485213009536</v>
      </c>
      <c r="H110" s="112">
        <v>2757.9532249384206</v>
      </c>
      <c r="I110" s="112">
        <v>2865.7210783688388</v>
      </c>
      <c r="J110" s="112">
        <v>2809.540519505113</v>
      </c>
      <c r="K110" s="112">
        <v>2749.931919128423</v>
      </c>
      <c r="L110" s="112">
        <v>2720.7631305533891</v>
      </c>
      <c r="M110" s="112">
        <v>2709.5420528009986</v>
      </c>
      <c r="N110" s="112">
        <v>2656.1780051588125</v>
      </c>
      <c r="O110" s="112">
        <v>2710.9395034525851</v>
      </c>
      <c r="P110" s="112">
        <v>2758.2237209230093</v>
      </c>
      <c r="Q110" s="112">
        <v>2789.2879301029134</v>
      </c>
      <c r="R110" s="112">
        <v>2900.618105998889</v>
      </c>
      <c r="S110" s="112">
        <v>2960.4015047128232</v>
      </c>
      <c r="T110" s="112">
        <v>2991.0043001627969</v>
      </c>
      <c r="U110" s="112">
        <v>3063.577815296992</v>
      </c>
      <c r="V110" s="112">
        <v>2956.829514119775</v>
      </c>
      <c r="W110" s="112">
        <v>2840.3635920882416</v>
      </c>
      <c r="X110" s="112">
        <v>2762.9887409890957</v>
      </c>
      <c r="Y110" s="112">
        <v>2731.9647242959786</v>
      </c>
      <c r="Z110" s="112">
        <v>2719.0357060775259</v>
      </c>
      <c r="AA110" s="112">
        <v>2543.048282142991</v>
      </c>
      <c r="AB110" s="112">
        <v>2499.2060635387516</v>
      </c>
      <c r="AC110" s="112">
        <v>2426.7754154220506</v>
      </c>
      <c r="AD110" s="112">
        <v>2451.4917615924505</v>
      </c>
      <c r="AE110" s="112">
        <v>2417.0744799292779</v>
      </c>
      <c r="AF110" s="112">
        <v>2363.7692793243109</v>
      </c>
      <c r="AG110" s="112">
        <v>2276.1226976753687</v>
      </c>
      <c r="AH110" s="112">
        <v>2126.3943416169536</v>
      </c>
      <c r="AI110" s="112">
        <v>2328.161715646314</v>
      </c>
      <c r="AJ110" s="112">
        <v>2482.575544107232</v>
      </c>
      <c r="AK110" s="112">
        <v>2590.6558329061409</v>
      </c>
      <c r="AL110" s="112">
        <v>2665.9226084014913</v>
      </c>
      <c r="AM110" s="112">
        <v>2725.4621009322059</v>
      </c>
      <c r="AN110" s="112">
        <v>2780.1453582628073</v>
      </c>
      <c r="AO110" s="112">
        <v>2809.1975481687164</v>
      </c>
      <c r="AP110" s="112">
        <v>2924.8304322247741</v>
      </c>
      <c r="AQ110" s="112">
        <v>2964.7340865321339</v>
      </c>
      <c r="AR110" s="112">
        <v>2997.1592323547338</v>
      </c>
      <c r="AS110" s="112">
        <v>3021.4944705333733</v>
      </c>
      <c r="AT110" s="112">
        <v>2949.2078112764884</v>
      </c>
      <c r="AU110" s="112">
        <v>2861.4063287175218</v>
      </c>
      <c r="AV110" s="112">
        <v>2770.6919112108103</v>
      </c>
      <c r="AW110" s="112">
        <v>2677.091943596432</v>
      </c>
      <c r="AX110" s="112">
        <v>2677.7916181532923</v>
      </c>
      <c r="AY110" s="112">
        <v>2716.9615307069057</v>
      </c>
    </row>
    <row r="111" spans="1:52" x14ac:dyDescent="0.2">
      <c r="A111" s="115"/>
      <c r="B111" s="125">
        <v>3</v>
      </c>
      <c r="C111" s="112">
        <v>2048.6107237610181</v>
      </c>
      <c r="D111" s="112">
        <v>2089.9775563531266</v>
      </c>
      <c r="E111" s="112">
        <v>2122.4304507808142</v>
      </c>
      <c r="F111" s="112">
        <v>2132.7263385246929</v>
      </c>
      <c r="G111" s="112">
        <v>2438.367744948112</v>
      </c>
      <c r="H111" s="112">
        <v>2618.2485213009536</v>
      </c>
      <c r="I111" s="112">
        <v>2757.9532249384206</v>
      </c>
      <c r="J111" s="112">
        <v>2865.7210783688388</v>
      </c>
      <c r="K111" s="112">
        <v>2809.540519505113</v>
      </c>
      <c r="L111" s="112">
        <v>2749.931919128423</v>
      </c>
      <c r="M111" s="112">
        <v>2720.7631305533891</v>
      </c>
      <c r="N111" s="112">
        <v>2709.5420528009986</v>
      </c>
      <c r="O111" s="112">
        <v>2656.1780051588125</v>
      </c>
      <c r="P111" s="112">
        <v>2710.9395034525851</v>
      </c>
      <c r="Q111" s="112">
        <v>2758.2237209230093</v>
      </c>
      <c r="R111" s="112">
        <v>2789.2879301029134</v>
      </c>
      <c r="S111" s="112">
        <v>2900.618105998889</v>
      </c>
      <c r="T111" s="112">
        <v>2960.4015047128232</v>
      </c>
      <c r="U111" s="112">
        <v>2991.0043001627969</v>
      </c>
      <c r="V111" s="112">
        <v>3063.577815296992</v>
      </c>
      <c r="W111" s="112">
        <v>2956.829514119775</v>
      </c>
      <c r="X111" s="112">
        <v>2840.3635920882416</v>
      </c>
      <c r="Y111" s="112">
        <v>2762.9887409890957</v>
      </c>
      <c r="Z111" s="112">
        <v>2731.9647242959786</v>
      </c>
      <c r="AA111" s="112">
        <v>2719.0357060775259</v>
      </c>
      <c r="AB111" s="112">
        <v>2543.048282142991</v>
      </c>
      <c r="AC111" s="112">
        <v>2499.2060635387516</v>
      </c>
      <c r="AD111" s="112">
        <v>2426.7754154220506</v>
      </c>
      <c r="AE111" s="112">
        <v>2451.4917615924505</v>
      </c>
      <c r="AF111" s="112">
        <v>2417.0744799292779</v>
      </c>
      <c r="AG111" s="112">
        <v>2363.7692793243109</v>
      </c>
      <c r="AH111" s="112">
        <v>2276.1226976753687</v>
      </c>
      <c r="AI111" s="112">
        <v>2126.3943416169536</v>
      </c>
      <c r="AJ111" s="112">
        <v>2328.161715646314</v>
      </c>
      <c r="AK111" s="112">
        <v>2482.575544107232</v>
      </c>
      <c r="AL111" s="112">
        <v>2590.6558329061409</v>
      </c>
      <c r="AM111" s="112">
        <v>2665.9226084014913</v>
      </c>
      <c r="AN111" s="112">
        <v>2725.4621009322059</v>
      </c>
      <c r="AO111" s="112">
        <v>2780.1453582628073</v>
      </c>
      <c r="AP111" s="112">
        <v>2809.1975481687164</v>
      </c>
      <c r="AQ111" s="112">
        <v>2924.8304322247741</v>
      </c>
      <c r="AR111" s="112">
        <v>2964.7340865321339</v>
      </c>
      <c r="AS111" s="112">
        <v>2997.1592323547338</v>
      </c>
      <c r="AT111" s="112">
        <v>3021.4944705333733</v>
      </c>
      <c r="AU111" s="112">
        <v>2949.2078112764884</v>
      </c>
      <c r="AV111" s="112">
        <v>2861.4063287175218</v>
      </c>
      <c r="AW111" s="112">
        <v>2770.6919112108103</v>
      </c>
      <c r="AX111" s="112">
        <v>2677.091943596432</v>
      </c>
      <c r="AY111" s="112">
        <v>2677.7916181532923</v>
      </c>
    </row>
    <row r="112" spans="1:52" x14ac:dyDescent="0.2">
      <c r="A112" s="115"/>
      <c r="B112" s="126">
        <v>4</v>
      </c>
      <c r="C112" s="112">
        <v>2096.042807390229</v>
      </c>
      <c r="D112" s="112">
        <v>2048.6107237610181</v>
      </c>
      <c r="E112" s="112">
        <v>2089.9775563531266</v>
      </c>
      <c r="F112" s="112">
        <v>2122.4304507808142</v>
      </c>
      <c r="G112" s="112">
        <v>2132.7263385246929</v>
      </c>
      <c r="H112" s="112">
        <v>2438.367744948112</v>
      </c>
      <c r="I112" s="112">
        <v>2618.2485213009536</v>
      </c>
      <c r="J112" s="112">
        <v>2757.9532249384206</v>
      </c>
      <c r="K112" s="112">
        <v>2865.7210783688388</v>
      </c>
      <c r="L112" s="112">
        <v>2809.540519505113</v>
      </c>
      <c r="M112" s="112">
        <v>2749.931919128423</v>
      </c>
      <c r="N112" s="112">
        <v>2720.7631305533891</v>
      </c>
      <c r="O112" s="112">
        <v>2709.5420528009986</v>
      </c>
      <c r="P112" s="112">
        <v>2656.1780051588125</v>
      </c>
      <c r="Q112" s="112">
        <v>2710.9395034525851</v>
      </c>
      <c r="R112" s="112">
        <v>2758.2237209230093</v>
      </c>
      <c r="S112" s="112">
        <v>2789.2879301029134</v>
      </c>
      <c r="T112" s="112">
        <v>2900.618105998889</v>
      </c>
      <c r="U112" s="112">
        <v>2960.4015047128232</v>
      </c>
      <c r="V112" s="112">
        <v>2991.0043001627969</v>
      </c>
      <c r="W112" s="112">
        <v>3063.577815296992</v>
      </c>
      <c r="X112" s="112">
        <v>2956.829514119775</v>
      </c>
      <c r="Y112" s="112">
        <v>2840.3635920882416</v>
      </c>
      <c r="Z112" s="112">
        <v>2762.9887409890957</v>
      </c>
      <c r="AA112" s="112">
        <v>2731.9647242959786</v>
      </c>
      <c r="AB112" s="112">
        <v>2719.0357060775259</v>
      </c>
      <c r="AC112" s="112">
        <v>2543.048282142991</v>
      </c>
      <c r="AD112" s="112">
        <v>2499.2060635387516</v>
      </c>
      <c r="AE112" s="112">
        <v>2426.7754154220506</v>
      </c>
      <c r="AF112" s="112">
        <v>2451.4917615924505</v>
      </c>
      <c r="AG112" s="112">
        <v>2417.0744799292779</v>
      </c>
      <c r="AH112" s="112">
        <v>2363.7692793243109</v>
      </c>
      <c r="AI112" s="112">
        <v>2276.1226976753687</v>
      </c>
      <c r="AJ112" s="112">
        <v>2126.3943416169536</v>
      </c>
      <c r="AK112" s="112">
        <v>2328.161715646314</v>
      </c>
      <c r="AL112" s="112">
        <v>2482.575544107232</v>
      </c>
      <c r="AM112" s="112">
        <v>2590.6558329061409</v>
      </c>
      <c r="AN112" s="112">
        <v>2665.9226084014913</v>
      </c>
      <c r="AO112" s="112">
        <v>2725.4621009322059</v>
      </c>
      <c r="AP112" s="112">
        <v>2780.1453582628073</v>
      </c>
      <c r="AQ112" s="112">
        <v>2809.1975481687164</v>
      </c>
      <c r="AR112" s="112">
        <v>2924.8304322247741</v>
      </c>
      <c r="AS112" s="112">
        <v>2964.7340865321339</v>
      </c>
      <c r="AT112" s="112">
        <v>2997.1592323547338</v>
      </c>
      <c r="AU112" s="112">
        <v>3021.4944705333733</v>
      </c>
      <c r="AV112" s="112">
        <v>2949.2078112764884</v>
      </c>
      <c r="AW112" s="112">
        <v>2861.4063287175218</v>
      </c>
      <c r="AX112" s="112">
        <v>2770.6919112108103</v>
      </c>
      <c r="AY112" s="112">
        <v>2677.091943596432</v>
      </c>
    </row>
    <row r="113" spans="1:52" x14ac:dyDescent="0.2">
      <c r="A113" s="115"/>
      <c r="B113" s="126">
        <v>5</v>
      </c>
      <c r="C113" s="112">
        <v>2124.2551191903108</v>
      </c>
      <c r="D113" s="112">
        <v>2096.042807390229</v>
      </c>
      <c r="E113" s="112">
        <v>2048.6107237610181</v>
      </c>
      <c r="F113" s="112">
        <v>2089.9775563531266</v>
      </c>
      <c r="G113" s="112">
        <v>2122.4304507808142</v>
      </c>
      <c r="H113" s="112">
        <v>2132.7263385246929</v>
      </c>
      <c r="I113" s="112">
        <v>2438.367744948112</v>
      </c>
      <c r="J113" s="112">
        <v>2618.2485213009536</v>
      </c>
      <c r="K113" s="112">
        <v>2757.9532249384206</v>
      </c>
      <c r="L113" s="112">
        <v>2865.7210783688388</v>
      </c>
      <c r="M113" s="112">
        <v>2809.540519505113</v>
      </c>
      <c r="N113" s="112">
        <v>2749.931919128423</v>
      </c>
      <c r="O113" s="112">
        <v>2720.7631305533891</v>
      </c>
      <c r="P113" s="112">
        <v>2709.5420528009986</v>
      </c>
      <c r="Q113" s="112">
        <v>2656.1780051588125</v>
      </c>
      <c r="R113" s="112">
        <v>2710.9395034525851</v>
      </c>
      <c r="S113" s="112">
        <v>2758.2237209230093</v>
      </c>
      <c r="T113" s="112">
        <v>2789.2879301029134</v>
      </c>
      <c r="U113" s="112">
        <v>2900.618105998889</v>
      </c>
      <c r="V113" s="112">
        <v>2960.4015047128232</v>
      </c>
      <c r="W113" s="112">
        <v>2991.0043001627969</v>
      </c>
      <c r="X113" s="112">
        <v>3063.577815296992</v>
      </c>
      <c r="Y113" s="112">
        <v>2956.829514119775</v>
      </c>
      <c r="Z113" s="112">
        <v>2840.3635920882416</v>
      </c>
      <c r="AA113" s="112">
        <v>2762.9887409890957</v>
      </c>
      <c r="AB113" s="112">
        <v>2731.9647242959786</v>
      </c>
      <c r="AC113" s="112">
        <v>2719.0357060775259</v>
      </c>
      <c r="AD113" s="112">
        <v>2543.048282142991</v>
      </c>
      <c r="AE113" s="112">
        <v>2499.2060635387516</v>
      </c>
      <c r="AF113" s="112">
        <v>2426.7754154220506</v>
      </c>
      <c r="AG113" s="112">
        <v>2451.4917615924505</v>
      </c>
      <c r="AH113" s="112">
        <v>2417.0744799292779</v>
      </c>
      <c r="AI113" s="112">
        <v>2363.7692793243109</v>
      </c>
      <c r="AJ113" s="112">
        <v>2276.1226976753687</v>
      </c>
      <c r="AK113" s="112">
        <v>2126.3943416169536</v>
      </c>
      <c r="AL113" s="112">
        <v>2328.161715646314</v>
      </c>
      <c r="AM113" s="112">
        <v>2482.575544107232</v>
      </c>
      <c r="AN113" s="112">
        <v>2590.6558329061409</v>
      </c>
      <c r="AO113" s="112">
        <v>2665.9226084014913</v>
      </c>
      <c r="AP113" s="112">
        <v>2725.4621009322059</v>
      </c>
      <c r="AQ113" s="112">
        <v>2780.1453582628073</v>
      </c>
      <c r="AR113" s="112">
        <v>2809.1975481687164</v>
      </c>
      <c r="AS113" s="112">
        <v>2924.8304322247741</v>
      </c>
      <c r="AT113" s="112">
        <v>2964.7340865321339</v>
      </c>
      <c r="AU113" s="112">
        <v>2997.1592323547338</v>
      </c>
      <c r="AV113" s="112">
        <v>3021.4944705333733</v>
      </c>
      <c r="AW113" s="112">
        <v>2949.2078112764884</v>
      </c>
      <c r="AX113" s="112">
        <v>2861.4063287175218</v>
      </c>
      <c r="AY113" s="112">
        <v>2770.6919112108103</v>
      </c>
    </row>
    <row r="114" spans="1:52" x14ac:dyDescent="0.2">
      <c r="A114" s="115"/>
      <c r="B114" s="126">
        <v>6</v>
      </c>
      <c r="C114" s="112">
        <v>2206.8993347243113</v>
      </c>
      <c r="D114" s="112">
        <v>2124.2551191903108</v>
      </c>
      <c r="E114" s="112">
        <v>2096.042807390229</v>
      </c>
      <c r="F114" s="112">
        <v>2048.6107237610181</v>
      </c>
      <c r="G114" s="112">
        <v>2089.9775563531266</v>
      </c>
      <c r="H114" s="112">
        <v>2122.4304507808142</v>
      </c>
      <c r="I114" s="112">
        <v>2132.7263385246929</v>
      </c>
      <c r="J114" s="112">
        <v>2438.367744948112</v>
      </c>
      <c r="K114" s="112">
        <v>2618.2485213009536</v>
      </c>
      <c r="L114" s="112">
        <v>2757.9532249384206</v>
      </c>
      <c r="M114" s="112">
        <v>2865.7210783688388</v>
      </c>
      <c r="N114" s="112">
        <v>2809.540519505113</v>
      </c>
      <c r="O114" s="112">
        <v>2749.931919128423</v>
      </c>
      <c r="P114" s="112">
        <v>2720.7631305533891</v>
      </c>
      <c r="Q114" s="112">
        <v>2709.5420528009986</v>
      </c>
      <c r="R114" s="112">
        <v>2656.1780051588125</v>
      </c>
      <c r="S114" s="112">
        <v>2710.9395034525851</v>
      </c>
      <c r="T114" s="112">
        <v>2758.2237209230093</v>
      </c>
      <c r="U114" s="112">
        <v>2789.2879301029134</v>
      </c>
      <c r="V114" s="112">
        <v>2900.618105998889</v>
      </c>
      <c r="W114" s="112">
        <v>2960.4015047128232</v>
      </c>
      <c r="X114" s="112">
        <v>2991.0043001627969</v>
      </c>
      <c r="Y114" s="112">
        <v>3063.577815296992</v>
      </c>
      <c r="Z114" s="112">
        <v>2956.829514119775</v>
      </c>
      <c r="AA114" s="112">
        <v>2840.3635920882416</v>
      </c>
      <c r="AB114" s="112">
        <v>2762.9887409890957</v>
      </c>
      <c r="AC114" s="112">
        <v>2731.9647242959786</v>
      </c>
      <c r="AD114" s="112">
        <v>2719.0357060775259</v>
      </c>
      <c r="AE114" s="112">
        <v>2543.048282142991</v>
      </c>
      <c r="AF114" s="112">
        <v>2499.2060635387516</v>
      </c>
      <c r="AG114" s="112">
        <v>2426.7754154220506</v>
      </c>
      <c r="AH114" s="112">
        <v>2451.4917615924505</v>
      </c>
      <c r="AI114" s="112">
        <v>2417.0744799292779</v>
      </c>
      <c r="AJ114" s="112">
        <v>2363.7692793243109</v>
      </c>
      <c r="AK114" s="112">
        <v>2276.1226976753687</v>
      </c>
      <c r="AL114" s="112">
        <v>2126.3943416169536</v>
      </c>
      <c r="AM114" s="112">
        <v>2328.161715646314</v>
      </c>
      <c r="AN114" s="112">
        <v>2482.575544107232</v>
      </c>
      <c r="AO114" s="112">
        <v>2590.6558329061409</v>
      </c>
      <c r="AP114" s="112">
        <v>2665.9226084014913</v>
      </c>
      <c r="AQ114" s="112">
        <v>2725.4621009322059</v>
      </c>
      <c r="AR114" s="112">
        <v>2780.1453582628073</v>
      </c>
      <c r="AS114" s="112">
        <v>2809.1975481687164</v>
      </c>
      <c r="AT114" s="112">
        <v>2924.8304322247741</v>
      </c>
      <c r="AU114" s="112">
        <v>2964.7340865321339</v>
      </c>
      <c r="AV114" s="112">
        <v>2997.1592323547338</v>
      </c>
      <c r="AW114" s="112">
        <v>3021.4944705333733</v>
      </c>
      <c r="AX114" s="112">
        <v>2949.2078112764884</v>
      </c>
      <c r="AY114" s="112">
        <v>2861.4063287175218</v>
      </c>
    </row>
    <row r="115" spans="1:52" x14ac:dyDescent="0.2">
      <c r="A115" s="115"/>
      <c r="B115" s="133">
        <v>7</v>
      </c>
      <c r="C115" s="112">
        <v>2260.1422888696061</v>
      </c>
      <c r="D115" s="112">
        <v>2206.8993347243113</v>
      </c>
      <c r="E115" s="112">
        <v>2124.2551191903108</v>
      </c>
      <c r="F115" s="112">
        <v>2096.042807390229</v>
      </c>
      <c r="G115" s="112">
        <v>2048.6107237610181</v>
      </c>
      <c r="H115" s="112">
        <v>2089.9775563531266</v>
      </c>
      <c r="I115" s="112">
        <v>2122.4304507808142</v>
      </c>
      <c r="J115" s="112">
        <v>2132.7263385246929</v>
      </c>
      <c r="K115" s="112">
        <v>2438.367744948112</v>
      </c>
      <c r="L115" s="112">
        <v>2618.2485213009536</v>
      </c>
      <c r="M115" s="112">
        <v>2757.9532249384206</v>
      </c>
      <c r="N115" s="112">
        <v>2865.7210783688388</v>
      </c>
      <c r="O115" s="112">
        <v>2809.540519505113</v>
      </c>
      <c r="P115" s="112">
        <v>2749.931919128423</v>
      </c>
      <c r="Q115" s="112">
        <v>2720.7631305533891</v>
      </c>
      <c r="R115" s="112">
        <v>2709.5420528009986</v>
      </c>
      <c r="S115" s="112">
        <v>2656.1780051588125</v>
      </c>
      <c r="T115" s="112">
        <v>2710.9395034525851</v>
      </c>
      <c r="U115" s="112">
        <v>2758.2237209230093</v>
      </c>
      <c r="V115" s="112">
        <v>2789.2879301029134</v>
      </c>
      <c r="W115" s="112">
        <v>2900.618105998889</v>
      </c>
      <c r="X115" s="112">
        <v>2960.4015047128232</v>
      </c>
      <c r="Y115" s="112">
        <v>2991.0043001627969</v>
      </c>
      <c r="Z115" s="112">
        <v>3063.577815296992</v>
      </c>
      <c r="AA115" s="112">
        <v>2956.829514119775</v>
      </c>
      <c r="AB115" s="112">
        <v>2840.3635920882416</v>
      </c>
      <c r="AC115" s="112">
        <v>2762.9887409890957</v>
      </c>
      <c r="AD115" s="112">
        <v>2731.9647242959786</v>
      </c>
      <c r="AE115" s="112">
        <v>2719.0357060775259</v>
      </c>
      <c r="AF115" s="112">
        <v>2543.048282142991</v>
      </c>
      <c r="AG115" s="112">
        <v>2499.2060635387516</v>
      </c>
      <c r="AH115" s="112">
        <v>2426.7754154220506</v>
      </c>
      <c r="AI115" s="112">
        <v>2451.4917615924505</v>
      </c>
      <c r="AJ115" s="112">
        <v>2417.0744799292779</v>
      </c>
      <c r="AK115" s="112">
        <v>2363.7692793243109</v>
      </c>
      <c r="AL115" s="112">
        <v>2276.1226976753687</v>
      </c>
      <c r="AM115" s="112">
        <v>2126.3943416169536</v>
      </c>
      <c r="AN115" s="112">
        <v>2328.161715646314</v>
      </c>
      <c r="AO115" s="112">
        <v>2482.575544107232</v>
      </c>
      <c r="AP115" s="112">
        <v>2590.6558329061409</v>
      </c>
      <c r="AQ115" s="112">
        <v>2665.9226084014913</v>
      </c>
      <c r="AR115" s="112">
        <v>2725.4621009322059</v>
      </c>
      <c r="AS115" s="112">
        <v>2780.1453582628073</v>
      </c>
      <c r="AT115" s="112">
        <v>2809.1975481687164</v>
      </c>
      <c r="AU115" s="112">
        <v>2924.8304322247741</v>
      </c>
      <c r="AV115" s="112">
        <v>2964.7340865321339</v>
      </c>
      <c r="AW115" s="112">
        <v>2997.1592323547338</v>
      </c>
      <c r="AX115" s="112">
        <v>3021.4944705333733</v>
      </c>
      <c r="AY115" s="112">
        <v>2949.2078112764884</v>
      </c>
    </row>
    <row r="116" spans="1:52" x14ac:dyDescent="0.2">
      <c r="A116" s="115"/>
      <c r="B116" s="133">
        <v>8</v>
      </c>
      <c r="C116" s="112">
        <v>2322.2193874164991</v>
      </c>
      <c r="D116" s="112">
        <v>2260.1422888696061</v>
      </c>
      <c r="E116" s="112">
        <v>2206.8993347243113</v>
      </c>
      <c r="F116" s="112">
        <v>2124.2551191903108</v>
      </c>
      <c r="G116" s="112">
        <v>2096.042807390229</v>
      </c>
      <c r="H116" s="112">
        <v>2048.6107237610181</v>
      </c>
      <c r="I116" s="112">
        <v>2089.9775563531266</v>
      </c>
      <c r="J116" s="112">
        <v>2122.4304507808142</v>
      </c>
      <c r="K116" s="112">
        <v>2132.7263385246929</v>
      </c>
      <c r="L116" s="112">
        <v>2438.367744948112</v>
      </c>
      <c r="M116" s="112">
        <v>2618.2485213009536</v>
      </c>
      <c r="N116" s="112">
        <v>2757.9532249384206</v>
      </c>
      <c r="O116" s="112">
        <v>2865.7210783688388</v>
      </c>
      <c r="P116" s="112">
        <v>2809.540519505113</v>
      </c>
      <c r="Q116" s="112">
        <v>2749.931919128423</v>
      </c>
      <c r="R116" s="112">
        <v>2720.7631305533891</v>
      </c>
      <c r="S116" s="112">
        <v>2709.5420528009986</v>
      </c>
      <c r="T116" s="112">
        <v>2656.1780051588125</v>
      </c>
      <c r="U116" s="112">
        <v>2710.9395034525851</v>
      </c>
      <c r="V116" s="112">
        <v>2758.2237209230093</v>
      </c>
      <c r="W116" s="112">
        <v>2789.2879301029134</v>
      </c>
      <c r="X116" s="112">
        <v>2900.618105998889</v>
      </c>
      <c r="Y116" s="112">
        <v>2960.4015047128232</v>
      </c>
      <c r="Z116" s="112">
        <v>2991.0043001627969</v>
      </c>
      <c r="AA116" s="112">
        <v>3063.577815296992</v>
      </c>
      <c r="AB116" s="112">
        <v>2956.829514119775</v>
      </c>
      <c r="AC116" s="112">
        <v>2840.3635920882416</v>
      </c>
      <c r="AD116" s="112">
        <v>2762.9887409890957</v>
      </c>
      <c r="AE116" s="112">
        <v>2731.9647242959786</v>
      </c>
      <c r="AF116" s="112">
        <v>2719.0357060775259</v>
      </c>
      <c r="AG116" s="112">
        <v>2543.048282142991</v>
      </c>
      <c r="AH116" s="112">
        <v>2499.2060635387516</v>
      </c>
      <c r="AI116" s="112">
        <v>2426.7754154220506</v>
      </c>
      <c r="AJ116" s="112">
        <v>2451.4917615924505</v>
      </c>
      <c r="AK116" s="112">
        <v>2417.0744799292779</v>
      </c>
      <c r="AL116" s="112">
        <v>2363.7692793243109</v>
      </c>
      <c r="AM116" s="112">
        <v>2276.1226976753687</v>
      </c>
      <c r="AN116" s="112">
        <v>2126.3943416169536</v>
      </c>
      <c r="AO116" s="112">
        <v>2328.161715646314</v>
      </c>
      <c r="AP116" s="112">
        <v>2482.575544107232</v>
      </c>
      <c r="AQ116" s="112">
        <v>2590.6558329061409</v>
      </c>
      <c r="AR116" s="112">
        <v>2665.9226084014913</v>
      </c>
      <c r="AS116" s="112">
        <v>2725.4621009322059</v>
      </c>
      <c r="AT116" s="112">
        <v>2780.1453582628073</v>
      </c>
      <c r="AU116" s="112">
        <v>2809.1975481687164</v>
      </c>
      <c r="AV116" s="112">
        <v>2924.8304322247741</v>
      </c>
      <c r="AW116" s="112">
        <v>2964.7340865321339</v>
      </c>
      <c r="AX116" s="112">
        <v>2997.1592323547338</v>
      </c>
      <c r="AY116" s="112">
        <v>3021.4944705333733</v>
      </c>
    </row>
    <row r="117" spans="1:52" x14ac:dyDescent="0.2">
      <c r="A117" s="115"/>
      <c r="B117" s="133">
        <v>9</v>
      </c>
      <c r="C117" s="112">
        <v>2332.7864390843879</v>
      </c>
      <c r="D117" s="112">
        <v>2322.2193874164991</v>
      </c>
      <c r="E117" s="112">
        <v>2260.1422888696061</v>
      </c>
      <c r="F117" s="112">
        <v>2206.8993347243113</v>
      </c>
      <c r="G117" s="112">
        <v>2124.2551191903108</v>
      </c>
      <c r="H117" s="112">
        <v>2096.042807390229</v>
      </c>
      <c r="I117" s="112">
        <v>2048.6107237610181</v>
      </c>
      <c r="J117" s="112">
        <v>2089.9775563531266</v>
      </c>
      <c r="K117" s="112">
        <v>2122.4304507808142</v>
      </c>
      <c r="L117" s="112">
        <v>2132.7263385246929</v>
      </c>
      <c r="M117" s="112">
        <v>2438.367744948112</v>
      </c>
      <c r="N117" s="112">
        <v>2618.2485213009536</v>
      </c>
      <c r="O117" s="112">
        <v>2757.9532249384206</v>
      </c>
      <c r="P117" s="112">
        <v>2865.7210783688388</v>
      </c>
      <c r="Q117" s="112">
        <v>2809.540519505113</v>
      </c>
      <c r="R117" s="112">
        <v>2749.931919128423</v>
      </c>
      <c r="S117" s="112">
        <v>2720.7631305533891</v>
      </c>
      <c r="T117" s="112">
        <v>2709.5420528009986</v>
      </c>
      <c r="U117" s="112">
        <v>2656.1780051588125</v>
      </c>
      <c r="V117" s="112">
        <v>2710.9395034525851</v>
      </c>
      <c r="W117" s="112">
        <v>2758.2237209230093</v>
      </c>
      <c r="X117" s="112">
        <v>2789.2879301029134</v>
      </c>
      <c r="Y117" s="112">
        <v>2900.618105998889</v>
      </c>
      <c r="Z117" s="112">
        <v>2960.4015047128232</v>
      </c>
      <c r="AA117" s="112">
        <v>2991.0043001627969</v>
      </c>
      <c r="AB117" s="112">
        <v>3063.577815296992</v>
      </c>
      <c r="AC117" s="112">
        <v>2956.829514119775</v>
      </c>
      <c r="AD117" s="112">
        <v>2840.3635920882416</v>
      </c>
      <c r="AE117" s="112">
        <v>2762.9887409890957</v>
      </c>
      <c r="AF117" s="112">
        <v>2731.9647242959786</v>
      </c>
      <c r="AG117" s="112">
        <v>2719.0357060775259</v>
      </c>
      <c r="AH117" s="112">
        <v>2543.048282142991</v>
      </c>
      <c r="AI117" s="112">
        <v>2499.2060635387516</v>
      </c>
      <c r="AJ117" s="112">
        <v>2426.7754154220506</v>
      </c>
      <c r="AK117" s="112">
        <v>2451.4917615924505</v>
      </c>
      <c r="AL117" s="112">
        <v>2417.0744799292779</v>
      </c>
      <c r="AM117" s="112">
        <v>2363.7692793243109</v>
      </c>
      <c r="AN117" s="112">
        <v>2276.1226976753687</v>
      </c>
      <c r="AO117" s="112">
        <v>2126.3943416169536</v>
      </c>
      <c r="AP117" s="112">
        <v>2328.161715646314</v>
      </c>
      <c r="AQ117" s="112">
        <v>2482.575544107232</v>
      </c>
      <c r="AR117" s="112">
        <v>2590.6558329061409</v>
      </c>
      <c r="AS117" s="112">
        <v>2665.9226084014913</v>
      </c>
      <c r="AT117" s="112">
        <v>2725.4621009322059</v>
      </c>
      <c r="AU117" s="112">
        <v>2780.1453582628073</v>
      </c>
      <c r="AV117" s="112">
        <v>2809.1975481687164</v>
      </c>
      <c r="AW117" s="112">
        <v>2924.8304322247741</v>
      </c>
      <c r="AX117" s="112">
        <v>2964.7340865321339</v>
      </c>
      <c r="AY117" s="112">
        <v>2997.1592323547338</v>
      </c>
    </row>
    <row r="118" spans="1:52" x14ac:dyDescent="0.2">
      <c r="A118" s="115"/>
      <c r="B118" s="136">
        <v>10</v>
      </c>
      <c r="C118" s="112">
        <v>2297.5795306254654</v>
      </c>
      <c r="D118" s="112">
        <v>2332.7864390843879</v>
      </c>
      <c r="E118" s="112">
        <v>2322.2193874164991</v>
      </c>
      <c r="F118" s="112">
        <v>2260.1422888696061</v>
      </c>
      <c r="G118" s="112">
        <v>2206.8993347243113</v>
      </c>
      <c r="H118" s="112">
        <v>2124.2551191903108</v>
      </c>
      <c r="I118" s="112">
        <v>2096.042807390229</v>
      </c>
      <c r="J118" s="112">
        <v>2048.6107237610181</v>
      </c>
      <c r="K118" s="112">
        <v>2089.9775563531266</v>
      </c>
      <c r="L118" s="112">
        <v>2122.4304507808142</v>
      </c>
      <c r="M118" s="112">
        <v>2132.7263385246929</v>
      </c>
      <c r="N118" s="112">
        <v>2438.367744948112</v>
      </c>
      <c r="O118" s="112">
        <v>2618.2485213009536</v>
      </c>
      <c r="P118" s="112">
        <v>2757.9532249384206</v>
      </c>
      <c r="Q118" s="112">
        <v>2865.7210783688388</v>
      </c>
      <c r="R118" s="112">
        <v>2809.540519505113</v>
      </c>
      <c r="S118" s="112">
        <v>2749.931919128423</v>
      </c>
      <c r="T118" s="112">
        <v>2720.7631305533891</v>
      </c>
      <c r="U118" s="112">
        <v>2709.5420528009986</v>
      </c>
      <c r="V118" s="112">
        <v>2656.1780051588125</v>
      </c>
      <c r="W118" s="112">
        <v>2710.9395034525851</v>
      </c>
      <c r="X118" s="112">
        <v>2758.2237209230093</v>
      </c>
      <c r="Y118" s="112">
        <v>2789.2879301029134</v>
      </c>
      <c r="Z118" s="112">
        <v>2900.618105998889</v>
      </c>
      <c r="AA118" s="112">
        <v>2960.4015047128232</v>
      </c>
      <c r="AB118" s="112">
        <v>2991.0043001627969</v>
      </c>
      <c r="AC118" s="112">
        <v>3063.577815296992</v>
      </c>
      <c r="AD118" s="112">
        <v>2956.829514119775</v>
      </c>
      <c r="AE118" s="112">
        <v>2840.3635920882416</v>
      </c>
      <c r="AF118" s="112">
        <v>2762.9887409890957</v>
      </c>
      <c r="AG118" s="112">
        <v>2731.9647242959786</v>
      </c>
      <c r="AH118" s="112">
        <v>2719.0357060775259</v>
      </c>
      <c r="AI118" s="112">
        <v>2543.048282142991</v>
      </c>
      <c r="AJ118" s="112">
        <v>2499.2060635387516</v>
      </c>
      <c r="AK118" s="112">
        <v>2426.7754154220506</v>
      </c>
      <c r="AL118" s="112">
        <v>2451.4917615924505</v>
      </c>
      <c r="AM118" s="112">
        <v>2417.0744799292779</v>
      </c>
      <c r="AN118" s="112">
        <v>2363.7692793243109</v>
      </c>
      <c r="AO118" s="112">
        <v>2276.1226976753687</v>
      </c>
      <c r="AP118" s="112">
        <v>2126.3943416169536</v>
      </c>
      <c r="AQ118" s="112">
        <v>2328.161715646314</v>
      </c>
      <c r="AR118" s="112">
        <v>2482.575544107232</v>
      </c>
      <c r="AS118" s="112">
        <v>2590.6558329061409</v>
      </c>
      <c r="AT118" s="112">
        <v>2665.9226084014913</v>
      </c>
      <c r="AU118" s="112">
        <v>2725.4621009322059</v>
      </c>
      <c r="AV118" s="112">
        <v>2780.1453582628073</v>
      </c>
      <c r="AW118" s="112">
        <v>2809.1975481687164</v>
      </c>
      <c r="AX118" s="112">
        <v>2924.8304322247741</v>
      </c>
      <c r="AY118" s="112">
        <v>2964.7340865321339</v>
      </c>
    </row>
    <row r="119" spans="1:52" x14ac:dyDescent="0.2">
      <c r="A119" s="115"/>
      <c r="B119" s="136">
        <v>11</v>
      </c>
      <c r="C119" s="112">
        <v>2276.3568808637483</v>
      </c>
      <c r="D119" s="112">
        <v>2297.5795306254654</v>
      </c>
      <c r="E119" s="112">
        <v>2332.7864390843879</v>
      </c>
      <c r="F119" s="112">
        <v>2322.2193874164991</v>
      </c>
      <c r="G119" s="112">
        <v>1931.3522924271288</v>
      </c>
      <c r="H119" s="112">
        <v>2091.475818116096</v>
      </c>
      <c r="I119" s="112">
        <v>2089.2934231890986</v>
      </c>
      <c r="J119" s="112">
        <v>2023.4791206334942</v>
      </c>
      <c r="K119" s="112">
        <v>1385.6217105938404</v>
      </c>
      <c r="L119" s="112">
        <v>1410.0635070696142</v>
      </c>
      <c r="M119" s="112">
        <v>1068.6771660095942</v>
      </c>
      <c r="N119" s="112">
        <v>978.47950846390381</v>
      </c>
      <c r="O119" s="112">
        <v>780.00342541653549</v>
      </c>
      <c r="P119" s="112">
        <v>509.50480162800272</v>
      </c>
      <c r="Q119" s="112">
        <v>317.90721578994135</v>
      </c>
      <c r="R119" s="112">
        <v>97.319616688957922</v>
      </c>
      <c r="S119" s="112">
        <v>30.11816809440279</v>
      </c>
      <c r="T119" s="112">
        <v>162.62143325052307</v>
      </c>
      <c r="U119" s="112">
        <v>396.92423113594214</v>
      </c>
      <c r="V119" s="112">
        <v>494.63799184072786</v>
      </c>
      <c r="W119" s="112">
        <v>568.41481509567075</v>
      </c>
      <c r="X119" s="112">
        <v>585.21356229196635</v>
      </c>
      <c r="Y119" s="112">
        <v>663.88386297738884</v>
      </c>
      <c r="Z119" s="112">
        <v>909.9340780505604</v>
      </c>
      <c r="AA119" s="112">
        <v>1263.5602117556336</v>
      </c>
      <c r="AB119" s="112">
        <v>1115.6753006394556</v>
      </c>
      <c r="AC119" s="112">
        <v>1293.9784953244011</v>
      </c>
      <c r="AD119" s="112">
        <v>1552.4335317726548</v>
      </c>
      <c r="AE119" s="112">
        <v>1843.9046302133506</v>
      </c>
      <c r="AF119" s="112">
        <v>2412.0651397731344</v>
      </c>
      <c r="AG119" s="112">
        <v>2333.8341472282868</v>
      </c>
      <c r="AH119" s="112">
        <v>2551.8578821438455</v>
      </c>
      <c r="AI119" s="112">
        <v>2409.0043247342255</v>
      </c>
      <c r="AJ119" s="112">
        <v>2235.5786366640214</v>
      </c>
      <c r="AK119" s="112">
        <v>2343.2296917346234</v>
      </c>
      <c r="AL119" s="112">
        <v>1964.2045680681745</v>
      </c>
      <c r="AM119" s="112">
        <v>1784.9615387758147</v>
      </c>
      <c r="AN119" s="112">
        <v>1273.7053683609615</v>
      </c>
      <c r="AO119" s="112">
        <v>881.61211179734437</v>
      </c>
      <c r="AP119" s="112">
        <v>634.16074713889998</v>
      </c>
      <c r="AQ119" s="112">
        <v>329.8916572098924</v>
      </c>
      <c r="AR119" s="112">
        <v>296.69878296010688</v>
      </c>
      <c r="AS119" s="112">
        <v>516.31613337456633</v>
      </c>
      <c r="AT119" s="112">
        <v>717.46860708540225</v>
      </c>
      <c r="AU119" s="112">
        <v>885.42678874183434</v>
      </c>
      <c r="AV119" s="112">
        <v>867.04767361931272</v>
      </c>
      <c r="AW119" s="112">
        <v>762.57894668196013</v>
      </c>
      <c r="AX119" s="112">
        <v>513.8108945873837</v>
      </c>
      <c r="AY119" s="112">
        <v>627.92847520987266</v>
      </c>
    </row>
    <row r="120" spans="1:52" x14ac:dyDescent="0.2">
      <c r="A120" s="115"/>
      <c r="B120" s="136">
        <v>12</v>
      </c>
      <c r="C120" s="112">
        <v>2166.4913437634018</v>
      </c>
      <c r="D120" s="112">
        <v>2276.3568808637483</v>
      </c>
      <c r="E120" s="112">
        <v>2297.5795306254654</v>
      </c>
      <c r="F120" s="112">
        <v>109.66942170667244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1095.3826907882894</v>
      </c>
      <c r="D121" s="131">
        <v>1087.4913437634018</v>
      </c>
      <c r="E121" s="131">
        <v>1947.3568808637483</v>
      </c>
      <c r="F121" s="131">
        <v>2063.5795306254654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5098.4277552526155</v>
      </c>
    </row>
    <row r="122" spans="1:52" x14ac:dyDescent="0.2">
      <c r="A122" s="137" t="s">
        <v>123</v>
      </c>
      <c r="B122" s="125">
        <v>1</v>
      </c>
      <c r="C122" s="112">
        <v>2492.8151923895662</v>
      </c>
      <c r="D122" s="112">
        <v>3505.5213642978269</v>
      </c>
      <c r="E122" s="112">
        <v>3505.5213642978269</v>
      </c>
      <c r="F122" s="112">
        <v>3505.5213642978269</v>
      </c>
      <c r="G122" s="112">
        <v>3505.5213642978269</v>
      </c>
      <c r="H122" s="112">
        <v>3116.0189904869576</v>
      </c>
      <c r="I122" s="112">
        <v>3116.0189904869576</v>
      </c>
      <c r="J122" s="112">
        <v>3116.0189904869576</v>
      </c>
      <c r="K122" s="112">
        <v>3116.0189904869576</v>
      </c>
      <c r="L122" s="112">
        <v>3116.0189904869576</v>
      </c>
      <c r="M122" s="112">
        <v>3116.0189904869576</v>
      </c>
      <c r="N122" s="112">
        <v>3116.0189904869576</v>
      </c>
      <c r="O122" s="112">
        <v>3116.0189904869576</v>
      </c>
      <c r="P122" s="112">
        <v>3505.5213642978269</v>
      </c>
      <c r="Q122" s="112">
        <v>3505.5213642978269</v>
      </c>
      <c r="R122" s="112">
        <v>3505.5213642978269</v>
      </c>
      <c r="S122" s="112">
        <v>3505.5213642978269</v>
      </c>
      <c r="T122" s="112">
        <v>3116.0189904869576</v>
      </c>
      <c r="U122" s="112">
        <v>3116.0189904869576</v>
      </c>
      <c r="V122" s="112">
        <v>3116.0189904869576</v>
      </c>
      <c r="W122" s="112">
        <v>3116.0189904869576</v>
      </c>
      <c r="X122" s="112">
        <v>3116.0189904869576</v>
      </c>
      <c r="Y122" s="112">
        <v>3116.0189904869576</v>
      </c>
      <c r="Z122" s="112">
        <v>3116.0189904869576</v>
      </c>
      <c r="AA122" s="112">
        <v>3116.0189904869576</v>
      </c>
      <c r="AB122" s="112">
        <v>3505.5213642978269</v>
      </c>
      <c r="AC122" s="112">
        <v>3505.5213642978269</v>
      </c>
      <c r="AD122" s="112">
        <v>3505.5213642978269</v>
      </c>
      <c r="AE122" s="112">
        <v>3505.5213642978269</v>
      </c>
      <c r="AF122" s="112">
        <v>3116.0189904869576</v>
      </c>
      <c r="AG122" s="112">
        <v>3116.0189904869576</v>
      </c>
      <c r="AH122" s="112">
        <v>3116.0189904869576</v>
      </c>
      <c r="AI122" s="112">
        <v>3116.0189904869576</v>
      </c>
      <c r="AJ122" s="112">
        <v>3116.0189904869576</v>
      </c>
      <c r="AK122" s="112">
        <v>3116.0189904869576</v>
      </c>
      <c r="AL122" s="112">
        <v>3116.0189904869576</v>
      </c>
      <c r="AM122" s="112">
        <v>3116.0189904869576</v>
      </c>
      <c r="AN122" s="112">
        <v>3505.5213642978269</v>
      </c>
      <c r="AO122" s="112">
        <v>3505.5213642978269</v>
      </c>
      <c r="AP122" s="112">
        <v>3505.5213642978269</v>
      </c>
      <c r="AQ122" s="112">
        <v>3505.5213642978269</v>
      </c>
      <c r="AR122" s="112">
        <v>3116.0189904869576</v>
      </c>
      <c r="AS122" s="112">
        <v>3116.0189904869576</v>
      </c>
      <c r="AT122" s="112">
        <v>3116.0189904869576</v>
      </c>
      <c r="AU122" s="112">
        <v>3116.0189904869576</v>
      </c>
      <c r="AV122" s="112">
        <v>3116.0189904869576</v>
      </c>
      <c r="AW122" s="112">
        <v>3116.0189904869576</v>
      </c>
      <c r="AX122" s="112">
        <v>3116.0189904869576</v>
      </c>
      <c r="AY122" s="112">
        <v>3116.0189904869576</v>
      </c>
    </row>
    <row r="123" spans="1:52" x14ac:dyDescent="0.2">
      <c r="A123" s="115"/>
      <c r="B123" s="125">
        <v>2</v>
      </c>
      <c r="C123" s="112">
        <v>1806.2852263493669</v>
      </c>
      <c r="D123" s="112">
        <v>1806.2852263493669</v>
      </c>
      <c r="E123" s="112">
        <v>2540.0885995537969</v>
      </c>
      <c r="F123" s="112">
        <v>2540.0885995537969</v>
      </c>
      <c r="G123" s="112">
        <v>2540.0885995537969</v>
      </c>
      <c r="H123" s="112">
        <v>2540.0885995537969</v>
      </c>
      <c r="I123" s="112">
        <v>2257.8565329367084</v>
      </c>
      <c r="J123" s="112">
        <v>2257.8565329367084</v>
      </c>
      <c r="K123" s="112">
        <v>2257.8565329367084</v>
      </c>
      <c r="L123" s="112">
        <v>2257.8565329367084</v>
      </c>
      <c r="M123" s="112">
        <v>2257.8565329367084</v>
      </c>
      <c r="N123" s="112">
        <v>2257.8565329367084</v>
      </c>
      <c r="O123" s="112">
        <v>2257.8565329367084</v>
      </c>
      <c r="P123" s="112">
        <v>2257.8565329367084</v>
      </c>
      <c r="Q123" s="112">
        <v>2540.0885995537969</v>
      </c>
      <c r="R123" s="112">
        <v>2540.0885995537969</v>
      </c>
      <c r="S123" s="112">
        <v>2540.0885995537969</v>
      </c>
      <c r="T123" s="112">
        <v>2540.0885995537969</v>
      </c>
      <c r="U123" s="112">
        <v>2257.8565329367084</v>
      </c>
      <c r="V123" s="112">
        <v>2257.8565329367084</v>
      </c>
      <c r="W123" s="112">
        <v>2257.8565329367084</v>
      </c>
      <c r="X123" s="112">
        <v>2257.8565329367084</v>
      </c>
      <c r="Y123" s="112">
        <v>2257.8565329367084</v>
      </c>
      <c r="Z123" s="112">
        <v>2257.8565329367084</v>
      </c>
      <c r="AA123" s="112">
        <v>2257.8565329367084</v>
      </c>
      <c r="AB123" s="112">
        <v>2257.8565329367084</v>
      </c>
      <c r="AC123" s="112">
        <v>2540.0885995537969</v>
      </c>
      <c r="AD123" s="112">
        <v>2540.0885995537969</v>
      </c>
      <c r="AE123" s="112">
        <v>2540.0885995537969</v>
      </c>
      <c r="AF123" s="112">
        <v>2540.0885995537969</v>
      </c>
      <c r="AG123" s="112">
        <v>2257.8565329367084</v>
      </c>
      <c r="AH123" s="112">
        <v>2257.8565329367084</v>
      </c>
      <c r="AI123" s="112">
        <v>2257.8565329367084</v>
      </c>
      <c r="AJ123" s="112">
        <v>2257.8565329367084</v>
      </c>
      <c r="AK123" s="112">
        <v>2257.8565329367084</v>
      </c>
      <c r="AL123" s="112">
        <v>2257.8565329367084</v>
      </c>
      <c r="AM123" s="112">
        <v>2257.8565329367084</v>
      </c>
      <c r="AN123" s="112">
        <v>2257.8565329367084</v>
      </c>
      <c r="AO123" s="112">
        <v>2540.0885995537969</v>
      </c>
      <c r="AP123" s="112">
        <v>2540.0885995537969</v>
      </c>
      <c r="AQ123" s="112">
        <v>2540.0885995537969</v>
      </c>
      <c r="AR123" s="112">
        <v>2540.0885995537969</v>
      </c>
      <c r="AS123" s="112">
        <v>2257.8565329367084</v>
      </c>
      <c r="AT123" s="112">
        <v>2257.8565329367084</v>
      </c>
      <c r="AU123" s="112">
        <v>2257.8565329367084</v>
      </c>
      <c r="AV123" s="112">
        <v>2257.8565329367084</v>
      </c>
      <c r="AW123" s="112">
        <v>2257.8565329367084</v>
      </c>
      <c r="AX123" s="112">
        <v>2257.8565329367084</v>
      </c>
      <c r="AY123" s="112">
        <v>2257.8565329367084</v>
      </c>
    </row>
    <row r="124" spans="1:52" x14ac:dyDescent="0.2">
      <c r="A124" s="115"/>
      <c r="B124" s="125">
        <v>3</v>
      </c>
      <c r="C124" s="112">
        <v>1308.8279985169909</v>
      </c>
      <c r="D124" s="112">
        <v>1308.8279985169909</v>
      </c>
      <c r="E124" s="112">
        <v>1308.8279985169909</v>
      </c>
      <c r="F124" s="112">
        <v>1840.5393729145183</v>
      </c>
      <c r="G124" s="112">
        <v>1840.5393729145183</v>
      </c>
      <c r="H124" s="112">
        <v>1840.5393729145183</v>
      </c>
      <c r="I124" s="112">
        <v>1840.5393729145183</v>
      </c>
      <c r="J124" s="112">
        <v>1636.0349981462384</v>
      </c>
      <c r="K124" s="112">
        <v>1636.0349981462384</v>
      </c>
      <c r="L124" s="112">
        <v>1636.0349981462384</v>
      </c>
      <c r="M124" s="112">
        <v>1636.0349981462384</v>
      </c>
      <c r="N124" s="112">
        <v>1636.0349981462384</v>
      </c>
      <c r="O124" s="112">
        <v>1636.0349981462384</v>
      </c>
      <c r="P124" s="112">
        <v>1636.0349981462384</v>
      </c>
      <c r="Q124" s="112">
        <v>1636.0349981462384</v>
      </c>
      <c r="R124" s="112">
        <v>1840.5393729145183</v>
      </c>
      <c r="S124" s="112">
        <v>1840.5393729145183</v>
      </c>
      <c r="T124" s="112">
        <v>1840.5393729145183</v>
      </c>
      <c r="U124" s="112">
        <v>1840.5393729145183</v>
      </c>
      <c r="V124" s="112">
        <v>1636.0349981462384</v>
      </c>
      <c r="W124" s="112">
        <v>1636.0349981462384</v>
      </c>
      <c r="X124" s="112">
        <v>1636.0349981462384</v>
      </c>
      <c r="Y124" s="112">
        <v>1636.0349981462384</v>
      </c>
      <c r="Z124" s="112">
        <v>1636.0349981462384</v>
      </c>
      <c r="AA124" s="112">
        <v>1636.0349981462384</v>
      </c>
      <c r="AB124" s="112">
        <v>1636.0349981462384</v>
      </c>
      <c r="AC124" s="112">
        <v>1636.0349981462384</v>
      </c>
      <c r="AD124" s="112">
        <v>1840.5393729145183</v>
      </c>
      <c r="AE124" s="112">
        <v>1840.5393729145183</v>
      </c>
      <c r="AF124" s="112">
        <v>1840.5393729145183</v>
      </c>
      <c r="AG124" s="112">
        <v>1840.5393729145183</v>
      </c>
      <c r="AH124" s="112">
        <v>1636.0349981462384</v>
      </c>
      <c r="AI124" s="112">
        <v>1636.0349981462384</v>
      </c>
      <c r="AJ124" s="112">
        <v>1636.0349981462384</v>
      </c>
      <c r="AK124" s="112">
        <v>1636.0349981462384</v>
      </c>
      <c r="AL124" s="112">
        <v>1636.0349981462384</v>
      </c>
      <c r="AM124" s="112">
        <v>1636.0349981462384</v>
      </c>
      <c r="AN124" s="112">
        <v>1636.0349981462384</v>
      </c>
      <c r="AO124" s="112">
        <v>1636.0349981462384</v>
      </c>
      <c r="AP124" s="112">
        <v>1840.5393729145183</v>
      </c>
      <c r="AQ124" s="112">
        <v>1840.5393729145183</v>
      </c>
      <c r="AR124" s="112">
        <v>1840.5393729145183</v>
      </c>
      <c r="AS124" s="112">
        <v>1840.5393729145183</v>
      </c>
      <c r="AT124" s="112">
        <v>1636.0349981462384</v>
      </c>
      <c r="AU124" s="112">
        <v>1636.0349981462384</v>
      </c>
      <c r="AV124" s="112">
        <v>1636.0349981462384</v>
      </c>
      <c r="AW124" s="112">
        <v>1636.0349981462384</v>
      </c>
      <c r="AX124" s="112">
        <v>1636.0349981462384</v>
      </c>
      <c r="AY124" s="112">
        <v>1636.0349981462384</v>
      </c>
    </row>
    <row r="125" spans="1:52" x14ac:dyDescent="0.2">
      <c r="A125" s="115"/>
      <c r="B125" s="125">
        <v>4</v>
      </c>
      <c r="C125" s="112">
        <v>948.3722197983933</v>
      </c>
      <c r="D125" s="112">
        <v>948.3722197983933</v>
      </c>
      <c r="E125" s="112">
        <v>948.3722197983933</v>
      </c>
      <c r="F125" s="112">
        <v>948.3722197983933</v>
      </c>
      <c r="G125" s="112">
        <v>1333.6484340914903</v>
      </c>
      <c r="H125" s="112">
        <v>1333.6484340914903</v>
      </c>
      <c r="I125" s="112">
        <v>1333.6484340914903</v>
      </c>
      <c r="J125" s="112">
        <v>1333.6484340914903</v>
      </c>
      <c r="K125" s="112">
        <v>1185.4652747479915</v>
      </c>
      <c r="L125" s="112">
        <v>1185.4652747479915</v>
      </c>
      <c r="M125" s="112">
        <v>1185.4652747479915</v>
      </c>
      <c r="N125" s="112">
        <v>1185.4652747479915</v>
      </c>
      <c r="O125" s="112">
        <v>1185.4652747479915</v>
      </c>
      <c r="P125" s="112">
        <v>1185.4652747479915</v>
      </c>
      <c r="Q125" s="112">
        <v>1185.4652747479915</v>
      </c>
      <c r="R125" s="112">
        <v>1185.4652747479915</v>
      </c>
      <c r="S125" s="112">
        <v>1333.6484340914903</v>
      </c>
      <c r="T125" s="112">
        <v>1333.6484340914903</v>
      </c>
      <c r="U125" s="112">
        <v>1333.6484340914903</v>
      </c>
      <c r="V125" s="112">
        <v>1333.6484340914903</v>
      </c>
      <c r="W125" s="112">
        <v>1185.4652747479915</v>
      </c>
      <c r="X125" s="112">
        <v>1185.4652747479915</v>
      </c>
      <c r="Y125" s="112">
        <v>1185.4652747479915</v>
      </c>
      <c r="Z125" s="112">
        <v>1185.4652747479915</v>
      </c>
      <c r="AA125" s="112">
        <v>1185.4652747479915</v>
      </c>
      <c r="AB125" s="112">
        <v>1185.4652747479915</v>
      </c>
      <c r="AC125" s="112">
        <v>1094.8400900064132</v>
      </c>
      <c r="AD125" s="112">
        <v>696.78259960668311</v>
      </c>
      <c r="AE125" s="112">
        <v>378.53468458019938</v>
      </c>
      <c r="AF125" s="112">
        <v>224.36797011113208</v>
      </c>
      <c r="AG125" s="112">
        <v>1239.2246855982246</v>
      </c>
      <c r="AH125" s="112">
        <v>1333.6484340914903</v>
      </c>
      <c r="AI125" s="112">
        <v>1185.4652747479915</v>
      </c>
      <c r="AJ125" s="112">
        <v>1185.4652747479915</v>
      </c>
      <c r="AK125" s="112">
        <v>1185.4652747479915</v>
      </c>
      <c r="AL125" s="112">
        <v>1185.4652747479915</v>
      </c>
      <c r="AM125" s="112">
        <v>1185.4652747479915</v>
      </c>
      <c r="AN125" s="112">
        <v>1185.4652747479915</v>
      </c>
      <c r="AO125" s="112">
        <v>1185.4652747479915</v>
      </c>
      <c r="AP125" s="112">
        <v>1185.4652747479915</v>
      </c>
      <c r="AQ125" s="112">
        <v>1333.6484340914903</v>
      </c>
      <c r="AR125" s="112">
        <v>1333.6484340914903</v>
      </c>
      <c r="AS125" s="112">
        <v>1333.6484340914903</v>
      </c>
      <c r="AT125" s="112">
        <v>1333.6484340914903</v>
      </c>
      <c r="AU125" s="112">
        <v>1185.4652747479915</v>
      </c>
      <c r="AV125" s="112">
        <v>1185.4652747479915</v>
      </c>
      <c r="AW125" s="112">
        <v>1185.4652747479915</v>
      </c>
      <c r="AX125" s="112">
        <v>1185.4652747479915</v>
      </c>
      <c r="AY125" s="112">
        <v>1185.4652747479915</v>
      </c>
    </row>
    <row r="126" spans="1:52" x14ac:dyDescent="0.2">
      <c r="A126" s="115"/>
      <c r="B126" s="125">
        <v>5</v>
      </c>
      <c r="C126" s="112">
        <v>687.18721505380154</v>
      </c>
      <c r="D126" s="112">
        <v>687.18721505380154</v>
      </c>
      <c r="E126" s="112">
        <v>687.18721505380154</v>
      </c>
      <c r="F126" s="112">
        <v>687.18721505380154</v>
      </c>
      <c r="G126" s="112">
        <v>687.18721505380154</v>
      </c>
      <c r="H126" s="112">
        <v>966.3570211694082</v>
      </c>
      <c r="I126" s="112">
        <v>966.3570211694082</v>
      </c>
      <c r="J126" s="112">
        <v>966.3570211694082</v>
      </c>
      <c r="K126" s="112">
        <v>966.3570211694082</v>
      </c>
      <c r="L126" s="112">
        <v>858.98401881725181</v>
      </c>
      <c r="M126" s="112">
        <v>858.98401881725181</v>
      </c>
      <c r="N126" s="112">
        <v>858.98401881725181</v>
      </c>
      <c r="O126" s="112">
        <v>858.98401881725181</v>
      </c>
      <c r="P126" s="112">
        <v>858.98401881725181</v>
      </c>
      <c r="Q126" s="112">
        <v>858.98401881725181</v>
      </c>
      <c r="R126" s="112">
        <v>858.98401881725181</v>
      </c>
      <c r="S126" s="112">
        <v>858.98401881725181</v>
      </c>
      <c r="T126" s="112">
        <v>966.3570211694082</v>
      </c>
      <c r="U126" s="112">
        <v>966.3570211694082</v>
      </c>
      <c r="V126" s="112">
        <v>966.3570211694082</v>
      </c>
      <c r="W126" s="112">
        <v>966.3570211694082</v>
      </c>
      <c r="X126" s="112">
        <v>858.98401881725181</v>
      </c>
      <c r="Y126" s="112">
        <v>858.98401881725181</v>
      </c>
      <c r="Z126" s="112">
        <v>858.98401881725181</v>
      </c>
      <c r="AA126" s="112">
        <v>616.33370410522582</v>
      </c>
      <c r="AB126" s="112">
        <v>316.57727917013312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670.76283468989539</v>
      </c>
      <c r="AI126" s="112">
        <v>966.3570211694082</v>
      </c>
      <c r="AJ126" s="112">
        <v>858.98401881725181</v>
      </c>
      <c r="AK126" s="112">
        <v>858.98401881725181</v>
      </c>
      <c r="AL126" s="112">
        <v>858.98401881725181</v>
      </c>
      <c r="AM126" s="112">
        <v>858.98401881725181</v>
      </c>
      <c r="AN126" s="112">
        <v>858.98401881725181</v>
      </c>
      <c r="AO126" s="112">
        <v>858.98401881725181</v>
      </c>
      <c r="AP126" s="112">
        <v>858.98401881725181</v>
      </c>
      <c r="AQ126" s="112">
        <v>858.98401881725181</v>
      </c>
      <c r="AR126" s="112">
        <v>966.3570211694082</v>
      </c>
      <c r="AS126" s="112">
        <v>966.3570211694082</v>
      </c>
      <c r="AT126" s="112">
        <v>966.3570211694082</v>
      </c>
      <c r="AU126" s="112">
        <v>966.3570211694082</v>
      </c>
      <c r="AV126" s="112">
        <v>858.98401881725181</v>
      </c>
      <c r="AW126" s="112">
        <v>858.98401881725181</v>
      </c>
      <c r="AX126" s="112">
        <v>858.98401881725181</v>
      </c>
      <c r="AY126" s="112">
        <v>858.98401881725181</v>
      </c>
    </row>
    <row r="127" spans="1:52" x14ac:dyDescent="0.2">
      <c r="A127" s="115"/>
      <c r="B127" s="125">
        <v>6</v>
      </c>
      <c r="C127" s="112">
        <v>497.93346818381752</v>
      </c>
      <c r="D127" s="112">
        <v>497.93346818381752</v>
      </c>
      <c r="E127" s="112">
        <v>497.93346818381752</v>
      </c>
      <c r="F127" s="112">
        <v>492.51935986533175</v>
      </c>
      <c r="G127" s="112">
        <v>497.93346818381752</v>
      </c>
      <c r="H127" s="112">
        <v>404.89104980241814</v>
      </c>
      <c r="I127" s="112">
        <v>470.68212772799149</v>
      </c>
      <c r="J127" s="112">
        <v>569.27357385480673</v>
      </c>
      <c r="K127" s="112">
        <v>676.71259313187454</v>
      </c>
      <c r="L127" s="112">
        <v>590.31880412732085</v>
      </c>
      <c r="M127" s="112">
        <v>622.41683522977178</v>
      </c>
      <c r="N127" s="112">
        <v>622.41683522977178</v>
      </c>
      <c r="O127" s="112">
        <v>622.41683522977178</v>
      </c>
      <c r="P127" s="112">
        <v>622.41683522977178</v>
      </c>
      <c r="Q127" s="112">
        <v>622.41683522977178</v>
      </c>
      <c r="R127" s="112">
        <v>622.41683522977178</v>
      </c>
      <c r="S127" s="112">
        <v>622.41683522977178</v>
      </c>
      <c r="T127" s="112">
        <v>622.41683522977178</v>
      </c>
      <c r="U127" s="112">
        <v>700.21893963349316</v>
      </c>
      <c r="V127" s="112">
        <v>700.21893963349316</v>
      </c>
      <c r="W127" s="112">
        <v>700.21893963349316</v>
      </c>
      <c r="X127" s="112">
        <v>700.21893963349316</v>
      </c>
      <c r="Y127" s="112">
        <v>179.54067907144963</v>
      </c>
      <c r="Z127" s="112">
        <v>20.347994103766155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245.03241924371218</v>
      </c>
      <c r="AJ127" s="112">
        <v>625.70181172896582</v>
      </c>
      <c r="AK127" s="112">
        <v>622.41683522977178</v>
      </c>
      <c r="AL127" s="112">
        <v>622.41683522977178</v>
      </c>
      <c r="AM127" s="112">
        <v>622.41683522977178</v>
      </c>
      <c r="AN127" s="112">
        <v>622.41683522977178</v>
      </c>
      <c r="AO127" s="112">
        <v>622.41683522977178</v>
      </c>
      <c r="AP127" s="112">
        <v>622.41683522977178</v>
      </c>
      <c r="AQ127" s="112">
        <v>622.41683522977178</v>
      </c>
      <c r="AR127" s="112">
        <v>622.41683522977178</v>
      </c>
      <c r="AS127" s="112">
        <v>700.21893963349316</v>
      </c>
      <c r="AT127" s="112">
        <v>700.21893963349316</v>
      </c>
      <c r="AU127" s="112">
        <v>558.88507034154907</v>
      </c>
      <c r="AV127" s="112">
        <v>668.79861637183512</v>
      </c>
      <c r="AW127" s="112">
        <v>622.41683522977178</v>
      </c>
      <c r="AX127" s="112">
        <v>622.41683522977178</v>
      </c>
      <c r="AY127" s="112">
        <v>622.41683522977178</v>
      </c>
    </row>
    <row r="128" spans="1:52" x14ac:dyDescent="0.2">
      <c r="A128" s="115"/>
      <c r="B128" s="125">
        <v>7</v>
      </c>
      <c r="C128" s="112">
        <v>2.5853230720078386</v>
      </c>
      <c r="D128" s="112">
        <v>99.674176936881622</v>
      </c>
      <c r="E128" s="112">
        <v>19.024423082167459</v>
      </c>
      <c r="F128" s="112">
        <v>0</v>
      </c>
      <c r="G128" s="112">
        <v>0.6186596198326697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166.74295422569418</v>
      </c>
      <c r="N128" s="112">
        <v>338.43366184387224</v>
      </c>
      <c r="O128" s="112">
        <v>451.00107602800989</v>
      </c>
      <c r="P128" s="112">
        <v>451.00107602800989</v>
      </c>
      <c r="Q128" s="112">
        <v>400.81408300287336</v>
      </c>
      <c r="R128" s="112">
        <v>307.42956781959793</v>
      </c>
      <c r="S128" s="112">
        <v>422.7634726111296</v>
      </c>
      <c r="T128" s="112">
        <v>317.28589302706712</v>
      </c>
      <c r="U128" s="112">
        <v>98.823870626223822</v>
      </c>
      <c r="V128" s="112">
        <v>22.377356329396264</v>
      </c>
      <c r="W128" s="112">
        <v>57.911186485389067</v>
      </c>
      <c r="X128" s="112">
        <v>118.33845502852489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219.47503209691379</v>
      </c>
      <c r="AL128" s="112">
        <v>418.03192165166547</v>
      </c>
      <c r="AM128" s="112">
        <v>451.00107602800989</v>
      </c>
      <c r="AN128" s="112">
        <v>451.00107602800989</v>
      </c>
      <c r="AO128" s="112">
        <v>416.54584463848397</v>
      </c>
      <c r="AP128" s="112">
        <v>329.77834971572599</v>
      </c>
      <c r="AQ128" s="112">
        <v>269.95732231532054</v>
      </c>
      <c r="AR128" s="112">
        <v>289.61121372761784</v>
      </c>
      <c r="AS128" s="112">
        <v>175.23081009527306</v>
      </c>
      <c r="AT128" s="112">
        <v>50.347846632988876</v>
      </c>
      <c r="AU128" s="112">
        <v>0</v>
      </c>
      <c r="AV128" s="112">
        <v>0</v>
      </c>
      <c r="AW128" s="112">
        <v>188.60915347572876</v>
      </c>
      <c r="AX128" s="112">
        <v>262.66661325578082</v>
      </c>
      <c r="AY128" s="112">
        <v>374.32839127689522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0.22785537981084758</v>
      </c>
      <c r="P129" s="112">
        <v>14.969385801725423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72.520400270998863</v>
      </c>
      <c r="AN129" s="112">
        <v>102.88521998898989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0.27540347480877819</v>
      </c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8745.2097195062543</v>
      </c>
      <c r="E175" s="130">
        <f t="shared" si="1"/>
        <v>12277.591162611958</v>
      </c>
      <c r="F175" s="130">
        <f t="shared" si="1"/>
        <v>15195.182173549982</v>
      </c>
      <c r="G175" s="130">
        <f t="shared" si="1"/>
        <v>14806.598771945797</v>
      </c>
      <c r="H175" s="130">
        <f t="shared" si="1"/>
        <v>14191.647148308799</v>
      </c>
      <c r="I175" s="130">
        <f t="shared" si="1"/>
        <v>13945.985131612506</v>
      </c>
      <c r="J175" s="130">
        <f t="shared" si="1"/>
        <v>13463.823251071381</v>
      </c>
      <c r="K175" s="130">
        <f t="shared" si="1"/>
        <v>13028.272394385094</v>
      </c>
      <c r="L175" s="130">
        <f t="shared" si="1"/>
        <v>13020.032892818163</v>
      </c>
      <c r="M175" s="130">
        <f t="shared" si="1"/>
        <v>12186.83069417204</v>
      </c>
      <c r="N175" s="130">
        <f t="shared" si="1"/>
        <v>11969.124479171664</v>
      </c>
      <c r="O175" s="130">
        <f t="shared" si="1"/>
        <v>11292.949316680188</v>
      </c>
      <c r="P175" s="130">
        <f t="shared" si="1"/>
        <v>11209.164627433975</v>
      </c>
      <c r="Q175" s="130">
        <f t="shared" si="1"/>
        <v>11262.021644421335</v>
      </c>
      <c r="R175" s="130">
        <f t="shared" si="1"/>
        <v>10834.808957593326</v>
      </c>
      <c r="S175" s="130">
        <f t="shared" si="1"/>
        <v>10678.029561395168</v>
      </c>
      <c r="T175" s="130">
        <f t="shared" si="1"/>
        <v>10619.487351113254</v>
      </c>
      <c r="U175" s="130">
        <f t="shared" si="1"/>
        <v>10572.010154275667</v>
      </c>
      <c r="V175" s="130">
        <f t="shared" si="1"/>
        <v>10624.425743348738</v>
      </c>
      <c r="W175" s="130">
        <f t="shared" si="1"/>
        <v>10777.48751345102</v>
      </c>
      <c r="X175" s="130">
        <f t="shared" si="1"/>
        <v>10786.609279220351</v>
      </c>
      <c r="Y175" s="130">
        <f t="shared" si="1"/>
        <v>10944.143708970987</v>
      </c>
      <c r="Z175" s="130">
        <f t="shared" si="1"/>
        <v>11324.525826825422</v>
      </c>
      <c r="AA175" s="130">
        <f t="shared" si="1"/>
        <v>11856.310044396278</v>
      </c>
      <c r="AB175" s="130">
        <f t="shared" si="1"/>
        <v>12006.075095927448</v>
      </c>
      <c r="AC175" s="130">
        <f t="shared" si="1"/>
        <v>12713.254837107475</v>
      </c>
      <c r="AD175" s="130">
        <f t="shared" si="1"/>
        <v>13294.85625165839</v>
      </c>
      <c r="AE175" s="130">
        <f t="shared" si="1"/>
        <v>13914.693303039638</v>
      </c>
      <c r="AF175" s="130">
        <f t="shared" si="1"/>
        <v>14675.442776172662</v>
      </c>
      <c r="AG175" s="130">
        <f t="shared" si="1"/>
        <v>14215.643519219648</v>
      </c>
      <c r="AH175" s="130">
        <f t="shared" si="1"/>
        <v>14282.740584538866</v>
      </c>
      <c r="AI175" s="130">
        <f t="shared" si="1"/>
        <v>14048.610857539054</v>
      </c>
      <c r="AJ175" s="130">
        <f t="shared" si="1"/>
        <v>13680.132604713019</v>
      </c>
      <c r="AK175" s="130">
        <f t="shared" si="1"/>
        <v>13631.574949181959</v>
      </c>
      <c r="AL175" s="130">
        <f t="shared" si="1"/>
        <v>13071.356497783496</v>
      </c>
      <c r="AM175" s="130">
        <f t="shared" si="1"/>
        <v>13037.456375758164</v>
      </c>
      <c r="AN175" s="130">
        <f t="shared" si="1"/>
        <v>12736.722284404719</v>
      </c>
      <c r="AO175" s="130">
        <f t="shared" si="1"/>
        <v>12422.862772829289</v>
      </c>
      <c r="AP175" s="130">
        <f t="shared" si="1"/>
        <v>12084.965868785448</v>
      </c>
      <c r="AQ175" s="130">
        <f t="shared" si="1"/>
        <v>11430.107936033586</v>
      </c>
      <c r="AR175" s="130">
        <f t="shared" si="1"/>
        <v>10590.443535442717</v>
      </c>
      <c r="AS175" s="130">
        <f t="shared" si="1"/>
        <v>10665.004283704722</v>
      </c>
      <c r="AT175" s="130">
        <f t="shared" si="1"/>
        <v>10080.488652413065</v>
      </c>
      <c r="AU175" s="130">
        <f t="shared" si="1"/>
        <v>10368.626043215743</v>
      </c>
      <c r="AV175" s="130">
        <f t="shared" si="1"/>
        <v>10653.834771995909</v>
      </c>
      <c r="AW175" s="130">
        <f t="shared" si="1"/>
        <v>10718.429866709113</v>
      </c>
      <c r="AX175" s="130">
        <f t="shared" si="1"/>
        <v>10322.37647648545</v>
      </c>
      <c r="AY175" s="130">
        <f t="shared" si="1"/>
        <v>10947.070337600784</v>
      </c>
    </row>
    <row r="176" spans="1:52" x14ac:dyDescent="0.2">
      <c r="A176" s="131"/>
      <c r="B176" s="142" t="s">
        <v>299</v>
      </c>
      <c r="C176" s="131" t="s">
        <v>293</v>
      </c>
      <c r="D176" s="131">
        <v>463</v>
      </c>
      <c r="E176" s="131">
        <v>482</v>
      </c>
      <c r="F176" s="131">
        <v>667</v>
      </c>
      <c r="G176" s="131">
        <v>531</v>
      </c>
      <c r="H176" s="131">
        <v>692</v>
      </c>
      <c r="I176" s="131">
        <v>842</v>
      </c>
      <c r="J176" s="131">
        <v>632</v>
      </c>
      <c r="K176" s="131">
        <v>813</v>
      </c>
      <c r="L176" s="131">
        <v>521</v>
      </c>
      <c r="M176" s="131">
        <v>496</v>
      </c>
      <c r="N176" s="131">
        <v>504</v>
      </c>
      <c r="O176" s="131">
        <v>490</v>
      </c>
      <c r="P176" s="131">
        <v>301</v>
      </c>
      <c r="Q176" s="131">
        <v>300</v>
      </c>
      <c r="R176" s="131">
        <v>287</v>
      </c>
      <c r="S176" s="131">
        <v>339</v>
      </c>
      <c r="T176" s="131">
        <v>583</v>
      </c>
      <c r="U176" s="131">
        <v>534</v>
      </c>
      <c r="V176" s="131">
        <v>584</v>
      </c>
      <c r="W176" s="131">
        <v>584</v>
      </c>
      <c r="X176" s="131">
        <v>515</v>
      </c>
      <c r="Y176" s="131">
        <v>630</v>
      </c>
      <c r="Z176" s="131">
        <v>819</v>
      </c>
      <c r="AA176" s="131">
        <v>608</v>
      </c>
      <c r="AB176" s="131">
        <v>139</v>
      </c>
      <c r="AC176" s="131">
        <v>152</v>
      </c>
      <c r="AD176" s="131">
        <v>154</v>
      </c>
      <c r="AE176" s="131">
        <v>189</v>
      </c>
      <c r="AF176" s="131">
        <v>225</v>
      </c>
      <c r="AG176" s="131">
        <v>248</v>
      </c>
      <c r="AH176" s="131">
        <v>190</v>
      </c>
      <c r="AI176" s="131">
        <v>229</v>
      </c>
      <c r="AJ176" s="131">
        <v>279</v>
      </c>
      <c r="AK176" s="131">
        <v>232</v>
      </c>
      <c r="AL176" s="131">
        <v>256</v>
      </c>
      <c r="AM176" s="131">
        <v>228</v>
      </c>
      <c r="AN176" s="131">
        <v>409</v>
      </c>
      <c r="AO176" s="131">
        <v>517</v>
      </c>
      <c r="AP176" s="131">
        <v>428</v>
      </c>
      <c r="AQ176" s="131">
        <v>563</v>
      </c>
      <c r="AR176" s="131">
        <v>291</v>
      </c>
      <c r="AS176" s="131">
        <v>210</v>
      </c>
      <c r="AT176" s="131">
        <v>288</v>
      </c>
      <c r="AU176" s="131">
        <v>320</v>
      </c>
      <c r="AV176" s="131">
        <v>239</v>
      </c>
      <c r="AW176" s="131">
        <v>241</v>
      </c>
      <c r="AX176" s="131">
        <v>207</v>
      </c>
      <c r="AY176" s="131">
        <v>188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221</v>
      </c>
      <c r="G177" s="130">
        <f t="shared" si="2"/>
        <v>221</v>
      </c>
      <c r="H177" s="130">
        <f t="shared" si="2"/>
        <v>221</v>
      </c>
      <c r="I177" s="130">
        <f t="shared" si="2"/>
        <v>0</v>
      </c>
      <c r="J177" s="130">
        <f t="shared" si="2"/>
        <v>0</v>
      </c>
      <c r="K177" s="130">
        <f t="shared" si="2"/>
        <v>442</v>
      </c>
      <c r="L177" s="130">
        <f t="shared" si="2"/>
        <v>0</v>
      </c>
      <c r="M177" s="130">
        <f t="shared" si="2"/>
        <v>442</v>
      </c>
      <c r="N177" s="130">
        <f t="shared" si="2"/>
        <v>0</v>
      </c>
      <c r="O177" s="130">
        <f t="shared" si="2"/>
        <v>442</v>
      </c>
      <c r="P177" s="130">
        <f t="shared" si="2"/>
        <v>221</v>
      </c>
      <c r="Q177" s="130">
        <f t="shared" si="2"/>
        <v>0</v>
      </c>
      <c r="R177" s="130">
        <f t="shared" si="2"/>
        <v>442</v>
      </c>
      <c r="S177" s="130">
        <f t="shared" si="2"/>
        <v>221</v>
      </c>
      <c r="T177" s="130">
        <f t="shared" si="2"/>
        <v>221</v>
      </c>
      <c r="U177" s="130">
        <f t="shared" si="2"/>
        <v>221</v>
      </c>
      <c r="V177" s="130">
        <f t="shared" si="2"/>
        <v>221</v>
      </c>
      <c r="W177" s="130">
        <f t="shared" si="2"/>
        <v>0</v>
      </c>
      <c r="X177" s="130">
        <f t="shared" si="2"/>
        <v>0</v>
      </c>
      <c r="Y177" s="130">
        <f t="shared" si="2"/>
        <v>442</v>
      </c>
      <c r="Z177" s="130">
        <f t="shared" si="2"/>
        <v>221</v>
      </c>
      <c r="AA177" s="130">
        <f t="shared" si="2"/>
        <v>0</v>
      </c>
      <c r="AB177" s="130">
        <f t="shared" si="2"/>
        <v>442</v>
      </c>
      <c r="AC177" s="130">
        <f t="shared" si="2"/>
        <v>221</v>
      </c>
      <c r="AD177" s="130">
        <f t="shared" si="2"/>
        <v>221</v>
      </c>
      <c r="AE177" s="130">
        <f t="shared" si="2"/>
        <v>221</v>
      </c>
      <c r="AF177" s="130">
        <f t="shared" si="2"/>
        <v>0</v>
      </c>
      <c r="AG177" s="130">
        <f t="shared" si="2"/>
        <v>442</v>
      </c>
      <c r="AH177" s="130">
        <f t="shared" si="2"/>
        <v>0</v>
      </c>
      <c r="AI177" s="130">
        <f t="shared" si="2"/>
        <v>221</v>
      </c>
      <c r="AJ177" s="130">
        <f t="shared" si="2"/>
        <v>442</v>
      </c>
      <c r="AK177" s="130">
        <f t="shared" si="2"/>
        <v>0</v>
      </c>
      <c r="AL177" s="130">
        <f t="shared" si="2"/>
        <v>442</v>
      </c>
      <c r="AM177" s="130">
        <f t="shared" si="2"/>
        <v>221</v>
      </c>
      <c r="AN177" s="130">
        <f t="shared" si="2"/>
        <v>221</v>
      </c>
      <c r="AO177" s="130">
        <f t="shared" si="2"/>
        <v>221</v>
      </c>
      <c r="AP177" s="130">
        <f t="shared" si="2"/>
        <v>0</v>
      </c>
      <c r="AQ177" s="130">
        <f t="shared" si="2"/>
        <v>0</v>
      </c>
      <c r="AR177" s="130">
        <f t="shared" si="2"/>
        <v>442</v>
      </c>
      <c r="AS177" s="130">
        <f t="shared" si="2"/>
        <v>0</v>
      </c>
      <c r="AT177" s="130">
        <f t="shared" si="2"/>
        <v>442</v>
      </c>
      <c r="AU177" s="130">
        <f t="shared" si="2"/>
        <v>221</v>
      </c>
      <c r="AV177" s="130">
        <f t="shared" si="2"/>
        <v>0</v>
      </c>
      <c r="AW177" s="130">
        <f t="shared" si="2"/>
        <v>0</v>
      </c>
      <c r="AX177" s="130">
        <f t="shared" si="2"/>
        <v>663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221</v>
      </c>
      <c r="G178" s="131">
        <v>221</v>
      </c>
      <c r="H178" s="131">
        <v>221</v>
      </c>
      <c r="I178" s="131">
        <v>0</v>
      </c>
      <c r="J178" s="131">
        <v>0</v>
      </c>
      <c r="K178" s="131">
        <v>442</v>
      </c>
      <c r="L178" s="131">
        <v>0</v>
      </c>
      <c r="M178" s="131">
        <v>442</v>
      </c>
      <c r="N178" s="131">
        <v>0</v>
      </c>
      <c r="O178" s="131">
        <v>442</v>
      </c>
      <c r="P178" s="131">
        <v>221</v>
      </c>
      <c r="Q178" s="131">
        <v>0</v>
      </c>
      <c r="R178" s="131">
        <v>442</v>
      </c>
      <c r="S178" s="131">
        <v>221</v>
      </c>
      <c r="T178" s="131">
        <v>221</v>
      </c>
      <c r="U178" s="131">
        <v>221</v>
      </c>
      <c r="V178" s="131">
        <v>221</v>
      </c>
      <c r="W178" s="131">
        <v>0</v>
      </c>
      <c r="X178" s="131">
        <v>0</v>
      </c>
      <c r="Y178" s="131">
        <v>442</v>
      </c>
      <c r="Z178" s="131">
        <v>221</v>
      </c>
      <c r="AA178" s="131">
        <v>0</v>
      </c>
      <c r="AB178" s="131">
        <v>442</v>
      </c>
      <c r="AC178" s="131">
        <v>221</v>
      </c>
      <c r="AD178" s="131">
        <v>221</v>
      </c>
      <c r="AE178" s="131">
        <v>221</v>
      </c>
      <c r="AF178" s="131">
        <v>0</v>
      </c>
      <c r="AG178" s="131">
        <v>442</v>
      </c>
      <c r="AH178" s="131">
        <v>0</v>
      </c>
      <c r="AI178" s="131">
        <v>221</v>
      </c>
      <c r="AJ178" s="131">
        <v>442</v>
      </c>
      <c r="AK178" s="131">
        <v>0</v>
      </c>
      <c r="AL178" s="131">
        <v>442</v>
      </c>
      <c r="AM178" s="131">
        <v>221</v>
      </c>
      <c r="AN178" s="131">
        <v>221</v>
      </c>
      <c r="AO178" s="131">
        <v>221</v>
      </c>
      <c r="AP178" s="131">
        <v>0</v>
      </c>
      <c r="AQ178" s="131">
        <v>0</v>
      </c>
      <c r="AR178" s="131">
        <v>442</v>
      </c>
      <c r="AS178" s="131">
        <v>0</v>
      </c>
      <c r="AT178" s="131">
        <v>442</v>
      </c>
      <c r="AU178" s="131">
        <v>221</v>
      </c>
      <c r="AV178" s="131">
        <v>0</v>
      </c>
      <c r="AW178" s="131">
        <v>0</v>
      </c>
      <c r="AX178" s="131">
        <v>663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26310.026857584213</v>
      </c>
      <c r="E179" s="130">
        <f t="shared" si="3"/>
        <v>26472.037721668574</v>
      </c>
      <c r="F179" s="130">
        <f t="shared" si="3"/>
        <v>24569.589694966347</v>
      </c>
      <c r="G179" s="130">
        <f t="shared" si="3"/>
        <v>24566.864114339114</v>
      </c>
      <c r="H179" s="130">
        <f t="shared" si="3"/>
        <v>25385.809383672611</v>
      </c>
      <c r="I179" s="130">
        <f t="shared" si="3"/>
        <v>26068.912389060417</v>
      </c>
      <c r="J179" s="130">
        <f t="shared" si="3"/>
        <v>26656.987198243009</v>
      </c>
      <c r="K179" s="130">
        <f t="shared" si="3"/>
        <v>26691.282194995725</v>
      </c>
      <c r="L179" s="130">
        <f t="shared" si="3"/>
        <v>27335.28848791937</v>
      </c>
      <c r="M179" s="130">
        <f t="shared" si="3"/>
        <v>27527.649701237347</v>
      </c>
      <c r="N179" s="130">
        <f t="shared" si="3"/>
        <v>28015.66520861955</v>
      </c>
      <c r="O179" s="130">
        <f t="shared" si="3"/>
        <v>28137.045101547079</v>
      </c>
      <c r="P179" s="130">
        <f t="shared" si="3"/>
        <v>28037.585886560504</v>
      </c>
      <c r="Q179" s="130">
        <f t="shared" si="3"/>
        <v>27988.653181782916</v>
      </c>
      <c r="R179" s="130">
        <f t="shared" si="3"/>
        <v>27862.746009025919</v>
      </c>
      <c r="S179" s="130">
        <f t="shared" si="3"/>
        <v>27977.008341089047</v>
      </c>
      <c r="T179" s="130">
        <f t="shared" si="3"/>
        <v>28423.157502413735</v>
      </c>
      <c r="U179" s="130">
        <f t="shared" si="3"/>
        <v>28893.526683865533</v>
      </c>
      <c r="V179" s="130">
        <f t="shared" si="3"/>
        <v>29122.061983857566</v>
      </c>
      <c r="W179" s="130">
        <f t="shared" si="3"/>
        <v>29302.649542942792</v>
      </c>
      <c r="X179" s="130">
        <f t="shared" si="3"/>
        <v>29340.47351098248</v>
      </c>
      <c r="Y179" s="130">
        <f t="shared" si="3"/>
        <v>29379.955796822418</v>
      </c>
      <c r="Z179" s="130">
        <f t="shared" si="3"/>
        <v>29379.766363935665</v>
      </c>
      <c r="AA179" s="130">
        <f t="shared" si="3"/>
        <v>29331.980455180601</v>
      </c>
      <c r="AB179" s="130">
        <f t="shared" si="3"/>
        <v>28650.469454773651</v>
      </c>
      <c r="AC179" s="130">
        <f t="shared" si="3"/>
        <v>28289.260110888248</v>
      </c>
      <c r="AD179" s="130">
        <f t="shared" si="3"/>
        <v>27901.211811968791</v>
      </c>
      <c r="AE179" s="130">
        <f t="shared" si="3"/>
        <v>27599.622675614024</v>
      </c>
      <c r="AF179" s="130">
        <f t="shared" si="3"/>
        <v>27603.542290760935</v>
      </c>
      <c r="AG179" s="130">
        <f t="shared" si="3"/>
        <v>26888.716898843952</v>
      </c>
      <c r="AH179" s="130">
        <f t="shared" si="3"/>
        <v>26702.93762510984</v>
      </c>
      <c r="AI179" s="130">
        <f t="shared" si="3"/>
        <v>26323.623905729924</v>
      </c>
      <c r="AJ179" s="130">
        <f t="shared" si="3"/>
        <v>26197.805768422866</v>
      </c>
      <c r="AK179" s="130">
        <f t="shared" si="3"/>
        <v>26472.173368356212</v>
      </c>
      <c r="AL179" s="130">
        <f t="shared" si="3"/>
        <v>26391.834930199919</v>
      </c>
      <c r="AM179" s="130">
        <f t="shared" si="3"/>
        <v>26541.245497577915</v>
      </c>
      <c r="AN179" s="130">
        <f t="shared" si="3"/>
        <v>26422.112395402502</v>
      </c>
      <c r="AO179" s="130">
        <f t="shared" si="3"/>
        <v>26591.080291739348</v>
      </c>
      <c r="AP179" s="130">
        <f t="shared" si="3"/>
        <v>27032.24031593767</v>
      </c>
      <c r="AQ179" s="130">
        <f t="shared" si="3"/>
        <v>27598.736116746444</v>
      </c>
      <c r="AR179" s="130">
        <f t="shared" si="3"/>
        <v>28258.875997383719</v>
      </c>
      <c r="AS179" s="130">
        <f t="shared" si="3"/>
        <v>28945.12561496743</v>
      </c>
      <c r="AT179" s="130">
        <f t="shared" si="3"/>
        <v>29417.02858448965</v>
      </c>
      <c r="AU179" s="130">
        <f t="shared" si="3"/>
        <v>29689.756068955405</v>
      </c>
      <c r="AV179" s="130">
        <f t="shared" si="3"/>
        <v>29623.006796497106</v>
      </c>
      <c r="AW179" s="130">
        <f t="shared" si="3"/>
        <v>29416.184329450236</v>
      </c>
      <c r="AX179" s="130">
        <f t="shared" si="3"/>
        <v>29075.180259893848</v>
      </c>
      <c r="AY179" s="130">
        <f t="shared" si="3"/>
        <v>29001.824620757405</v>
      </c>
    </row>
    <row r="180" spans="1:51" x14ac:dyDescent="0.2">
      <c r="A180" s="131"/>
      <c r="B180" s="142" t="s">
        <v>299</v>
      </c>
      <c r="C180" s="131" t="s">
        <v>293</v>
      </c>
      <c r="D180" s="131">
        <v>329</v>
      </c>
      <c r="E180" s="131">
        <v>234</v>
      </c>
      <c r="F180" s="131">
        <v>279.25915712799167</v>
      </c>
      <c r="G180" s="131">
        <v>295.29155781461429</v>
      </c>
      <c r="H180" s="131">
        <v>438.91945967335982</v>
      </c>
      <c r="I180" s="131">
        <v>473</v>
      </c>
      <c r="J180" s="131">
        <v>404</v>
      </c>
      <c r="K180" s="131">
        <v>407.24372904266971</v>
      </c>
      <c r="L180" s="131">
        <v>857</v>
      </c>
      <c r="M180" s="131">
        <v>890.38877941619467</v>
      </c>
      <c r="N180" s="131">
        <v>748</v>
      </c>
      <c r="O180" s="131">
        <v>1007.9895299621296</v>
      </c>
      <c r="P180" s="131">
        <v>903.82757050871157</v>
      </c>
      <c r="Q180" s="131">
        <v>915</v>
      </c>
      <c r="R180" s="131">
        <v>674</v>
      </c>
      <c r="S180" s="131">
        <v>952.04812623274165</v>
      </c>
      <c r="T180" s="131">
        <v>430.08146098139269</v>
      </c>
      <c r="U180" s="131">
        <v>392.60628746382349</v>
      </c>
      <c r="V180" s="131">
        <v>493.67957868536837</v>
      </c>
      <c r="W180" s="131">
        <v>458</v>
      </c>
      <c r="X180" s="131">
        <v>669</v>
      </c>
      <c r="Y180" s="131">
        <v>665.16339331165034</v>
      </c>
      <c r="Z180" s="131">
        <v>755.81123576399818</v>
      </c>
      <c r="AA180" s="131">
        <v>747</v>
      </c>
      <c r="AB180" s="131">
        <v>430</v>
      </c>
      <c r="AC180" s="131">
        <v>591</v>
      </c>
      <c r="AD180" s="131">
        <v>534</v>
      </c>
      <c r="AE180" s="131">
        <v>480.56538109152609</v>
      </c>
      <c r="AF180" s="131">
        <v>845</v>
      </c>
      <c r="AG180" s="131">
        <v>765.17506642576257</v>
      </c>
      <c r="AH180" s="131">
        <v>880</v>
      </c>
      <c r="AI180" s="131">
        <v>827.06676744771983</v>
      </c>
      <c r="AJ180" s="131">
        <v>664.90632648774692</v>
      </c>
      <c r="AK180" s="131">
        <v>581</v>
      </c>
      <c r="AL180" s="131">
        <v>776.38407757680704</v>
      </c>
      <c r="AM180" s="131">
        <v>629.45662260025051</v>
      </c>
      <c r="AN180" s="131">
        <v>686.79931683448046</v>
      </c>
      <c r="AO180" s="131">
        <v>680.05039792017192</v>
      </c>
      <c r="AP180" s="131">
        <v>554</v>
      </c>
      <c r="AQ180" s="131">
        <v>534</v>
      </c>
      <c r="AR180" s="131">
        <v>590.62154505618093</v>
      </c>
      <c r="AS180" s="131">
        <v>663</v>
      </c>
      <c r="AT180" s="131">
        <v>727.19195454457952</v>
      </c>
      <c r="AU180" s="131">
        <v>521.38650321239606</v>
      </c>
      <c r="AV180" s="131">
        <v>1345</v>
      </c>
      <c r="AW180" s="131">
        <v>975</v>
      </c>
      <c r="AX180" s="131">
        <v>1078</v>
      </c>
      <c r="AY180" s="131">
        <v>1037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6415.4339241889684</v>
      </c>
      <c r="E181" s="130">
        <f t="shared" si="4"/>
        <v>6888.7067671858422</v>
      </c>
      <c r="F181" s="130">
        <f t="shared" si="4"/>
        <v>7256.274906545249</v>
      </c>
      <c r="G181" s="130">
        <f t="shared" si="4"/>
        <v>7539.8160353462463</v>
      </c>
      <c r="H181" s="130">
        <f t="shared" si="4"/>
        <v>7392.0029485134755</v>
      </c>
      <c r="I181" s="130">
        <f t="shared" si="4"/>
        <v>7235.1705601986532</v>
      </c>
      <c r="J181" s="130">
        <f t="shared" si="4"/>
        <v>7158.4264201322221</v>
      </c>
      <c r="K181" s="130">
        <f t="shared" si="4"/>
        <v>7128.9033578181807</v>
      </c>
      <c r="L181" s="130">
        <f t="shared" si="4"/>
        <v>6988.5006141036556</v>
      </c>
      <c r="M181" s="130">
        <f t="shared" si="4"/>
        <v>7132.5801011380281</v>
      </c>
      <c r="N181" s="130">
        <f t="shared" si="4"/>
        <v>7256.9865912857813</v>
      </c>
      <c r="O181" s="130">
        <f t="shared" si="4"/>
        <v>7338.7176516698264</v>
      </c>
      <c r="P181" s="130">
        <f t="shared" si="4"/>
        <v>7631.6313800066346</v>
      </c>
      <c r="Q181" s="130">
        <f t="shared" si="4"/>
        <v>7788.9236690829284</v>
      </c>
      <c r="R181" s="130">
        <f t="shared" si="4"/>
        <v>7869.440733217958</v>
      </c>
      <c r="S181" s="130">
        <f t="shared" si="4"/>
        <v>8060.3842822187935</v>
      </c>
      <c r="T181" s="130">
        <f t="shared" si="4"/>
        <v>7779.525632353233</v>
      </c>
      <c r="U181" s="130">
        <f t="shared" si="4"/>
        <v>7473.0995697705584</v>
      </c>
      <c r="V181" s="130">
        <f t="shared" si="4"/>
        <v>7269.523531804597</v>
      </c>
      <c r="W181" s="130">
        <f t="shared" si="4"/>
        <v>7187.8982193102074</v>
      </c>
      <c r="X181" s="130">
        <f t="shared" si="4"/>
        <v>7153.8815037196391</v>
      </c>
      <c r="Y181" s="130">
        <f t="shared" si="4"/>
        <v>6690.8522120636062</v>
      </c>
      <c r="Z181" s="130">
        <f t="shared" si="4"/>
        <v>6575.5017457001613</v>
      </c>
      <c r="AA181" s="130">
        <f t="shared" si="4"/>
        <v>6384.9340850010713</v>
      </c>
      <c r="AB181" s="130">
        <f t="shared" si="4"/>
        <v>6449.9636877064486</v>
      </c>
      <c r="AC181" s="130">
        <f t="shared" si="4"/>
        <v>6359.4105720749985</v>
      </c>
      <c r="AD181" s="130">
        <f t="shared" si="4"/>
        <v>6219.1626570485141</v>
      </c>
      <c r="AE181" s="130">
        <f t="shared" si="4"/>
        <v>5988.5613236709733</v>
      </c>
      <c r="AF181" s="130">
        <f t="shared" si="4"/>
        <v>5594.6205914494512</v>
      </c>
      <c r="AG181" s="130">
        <f t="shared" si="4"/>
        <v>6125.4778662900944</v>
      </c>
      <c r="AH181" s="130">
        <f t="shared" si="4"/>
        <v>6531.746246244059</v>
      </c>
      <c r="AI181" s="130">
        <f t="shared" si="4"/>
        <v>6816.1094038248757</v>
      </c>
      <c r="AJ181" s="130">
        <f t="shared" si="4"/>
        <v>7014.1390184626225</v>
      </c>
      <c r="AK181" s="130">
        <f t="shared" si="4"/>
        <v>7170.789581529627</v>
      </c>
      <c r="AL181" s="130">
        <f t="shared" si="4"/>
        <v>7314.6632137537772</v>
      </c>
      <c r="AM181" s="130">
        <f t="shared" si="4"/>
        <v>7391.1005784952113</v>
      </c>
      <c r="AN181" s="130">
        <f t="shared" si="4"/>
        <v>7695.3348879680143</v>
      </c>
      <c r="AO181" s="130">
        <f t="shared" si="4"/>
        <v>7800.3228488992281</v>
      </c>
      <c r="AP181" s="130">
        <f t="shared" si="4"/>
        <v>7885.6345829221491</v>
      </c>
      <c r="AQ181" s="130">
        <f t="shared" si="4"/>
        <v>7949.6614766866023</v>
      </c>
      <c r="AR181" s="130">
        <f t="shared" si="4"/>
        <v>7759.4726558970715</v>
      </c>
      <c r="AS181" s="130">
        <f t="shared" si="4"/>
        <v>7528.4637726103265</v>
      </c>
      <c r="AT181" s="130">
        <f t="shared" si="4"/>
        <v>7289.7908518864751</v>
      </c>
      <c r="AU181" s="130">
        <f t="shared" si="4"/>
        <v>7043.5259442324204</v>
      </c>
      <c r="AV181" s="130">
        <f t="shared" si="4"/>
        <v>7045.3668133536894</v>
      </c>
      <c r="AW181" s="130">
        <f t="shared" si="4"/>
        <v>7148.4242731337417</v>
      </c>
      <c r="AX181" s="130">
        <f t="shared" si="4"/>
        <v>7202.0860511548562</v>
      </c>
      <c r="AY181" s="130">
        <f t="shared" si="4"/>
        <v>7282.9957875056289</v>
      </c>
    </row>
    <row r="182" spans="1:51" x14ac:dyDescent="0.2">
      <c r="A182" s="131"/>
      <c r="B182" s="142" t="s">
        <v>299</v>
      </c>
      <c r="C182" s="131" t="s">
        <v>293</v>
      </c>
      <c r="D182" s="131">
        <v>414</v>
      </c>
      <c r="E182" s="131">
        <v>380</v>
      </c>
      <c r="F182" s="131">
        <v>356.25915712799167</v>
      </c>
      <c r="G182" s="131">
        <v>454.29155781461429</v>
      </c>
      <c r="H182" s="131">
        <v>522.91945967335982</v>
      </c>
      <c r="I182" s="131">
        <v>472</v>
      </c>
      <c r="J182" s="131">
        <v>436</v>
      </c>
      <c r="K182" s="131">
        <v>600.24372904266966</v>
      </c>
      <c r="L182" s="131">
        <v>261</v>
      </c>
      <c r="M182" s="131">
        <v>233.38877941619461</v>
      </c>
      <c r="N182" s="131">
        <v>245</v>
      </c>
      <c r="O182" s="131">
        <v>311.98952996212967</v>
      </c>
      <c r="P182" s="131">
        <v>387.82757050871163</v>
      </c>
      <c r="Q182" s="131">
        <v>434</v>
      </c>
      <c r="R182" s="131">
        <v>251</v>
      </c>
      <c r="S182" s="131">
        <v>440.04812623274159</v>
      </c>
      <c r="T182" s="131">
        <v>582.08146098139264</v>
      </c>
      <c r="U182" s="131">
        <v>556.60628746382349</v>
      </c>
      <c r="V182" s="131">
        <v>465.67957868536837</v>
      </c>
      <c r="W182" s="131">
        <v>431</v>
      </c>
      <c r="X182" s="131">
        <v>1036</v>
      </c>
      <c r="Y182" s="131">
        <v>732.16339331165034</v>
      </c>
      <c r="Z182" s="131">
        <v>879.81123576399818</v>
      </c>
      <c r="AA182" s="131">
        <v>989</v>
      </c>
      <c r="AB182" s="131">
        <v>1179</v>
      </c>
      <c r="AC182" s="131">
        <v>1282</v>
      </c>
      <c r="AD182" s="131">
        <v>1460</v>
      </c>
      <c r="AE182" s="131">
        <v>1383.565381091526</v>
      </c>
      <c r="AF182" s="131">
        <v>257</v>
      </c>
      <c r="AG182" s="131">
        <v>227.17506642576257</v>
      </c>
      <c r="AH182" s="131">
        <v>241</v>
      </c>
      <c r="AI182" s="131">
        <v>252.06676744771983</v>
      </c>
      <c r="AJ182" s="131">
        <v>233.90632648774695</v>
      </c>
      <c r="AK182" s="131">
        <v>192</v>
      </c>
      <c r="AL182" s="131">
        <v>230.38407757680702</v>
      </c>
      <c r="AM182" s="131">
        <v>276.45662260025045</v>
      </c>
      <c r="AN182" s="131">
        <v>435.79931683448046</v>
      </c>
      <c r="AO182" s="131">
        <v>423.05039792017192</v>
      </c>
      <c r="AP182" s="131">
        <v>420</v>
      </c>
      <c r="AQ182" s="131">
        <v>357</v>
      </c>
      <c r="AR182" s="131">
        <v>485.62154505618099</v>
      </c>
      <c r="AS182" s="131">
        <v>584</v>
      </c>
      <c r="AT182" s="131">
        <v>685.19195454457952</v>
      </c>
      <c r="AU182" s="131">
        <v>436.38650321239606</v>
      </c>
      <c r="AV182" s="131">
        <v>296</v>
      </c>
      <c r="AW182" s="131">
        <v>325</v>
      </c>
      <c r="AX182" s="131">
        <v>267</v>
      </c>
      <c r="AY182" s="131">
        <v>334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59.484169423732055</v>
      </c>
      <c r="S186" s="112">
        <v>268.26356562188903</v>
      </c>
      <c r="T186" s="112">
        <v>135.04577590380268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602.03823402285184</v>
      </c>
      <c r="G187" s="112">
        <v>531</v>
      </c>
      <c r="H187" s="112">
        <v>692</v>
      </c>
      <c r="I187" s="112">
        <v>842</v>
      </c>
      <c r="J187" s="112">
        <v>632</v>
      </c>
      <c r="K187" s="112">
        <v>813</v>
      </c>
      <c r="L187" s="112">
        <v>521</v>
      </c>
      <c r="M187" s="112">
        <v>496</v>
      </c>
      <c r="N187" s="112">
        <v>504</v>
      </c>
      <c r="O187" s="112">
        <v>490</v>
      </c>
      <c r="P187" s="112">
        <v>301</v>
      </c>
      <c r="Q187" s="112">
        <v>300</v>
      </c>
      <c r="R187" s="112">
        <v>227.51583057626794</v>
      </c>
      <c r="S187" s="112">
        <v>70.736434378110971</v>
      </c>
      <c r="T187" s="112">
        <v>447.95422409619732</v>
      </c>
      <c r="U187" s="112">
        <v>534</v>
      </c>
      <c r="V187" s="112">
        <v>584</v>
      </c>
      <c r="W187" s="112">
        <v>584</v>
      </c>
      <c r="X187" s="112">
        <v>515</v>
      </c>
      <c r="Y187" s="112">
        <v>630</v>
      </c>
      <c r="Z187" s="112">
        <v>819</v>
      </c>
      <c r="AA187" s="112">
        <v>608</v>
      </c>
      <c r="AB187" s="112">
        <v>139</v>
      </c>
      <c r="AC187" s="112">
        <v>152</v>
      </c>
      <c r="AD187" s="112">
        <v>154</v>
      </c>
      <c r="AE187" s="112">
        <v>189</v>
      </c>
      <c r="AF187" s="112">
        <v>225</v>
      </c>
      <c r="AG187" s="112">
        <v>248</v>
      </c>
      <c r="AH187" s="112">
        <v>190</v>
      </c>
      <c r="AI187" s="112">
        <v>229</v>
      </c>
      <c r="AJ187" s="112">
        <v>279</v>
      </c>
      <c r="AK187" s="112">
        <v>232</v>
      </c>
      <c r="AL187" s="112">
        <v>256</v>
      </c>
      <c r="AM187" s="112">
        <v>228</v>
      </c>
      <c r="AN187" s="112">
        <v>409</v>
      </c>
      <c r="AO187" s="112">
        <v>517</v>
      </c>
      <c r="AP187" s="112">
        <v>428</v>
      </c>
      <c r="AQ187" s="112">
        <v>563</v>
      </c>
      <c r="AR187" s="112">
        <v>291</v>
      </c>
      <c r="AS187" s="112">
        <v>210</v>
      </c>
      <c r="AT187" s="112">
        <v>288</v>
      </c>
      <c r="AU187" s="112">
        <v>320</v>
      </c>
      <c r="AV187" s="112">
        <v>239</v>
      </c>
      <c r="AW187" s="112">
        <v>241</v>
      </c>
      <c r="AX187" s="112">
        <v>207</v>
      </c>
      <c r="AY187" s="112">
        <v>188</v>
      </c>
    </row>
    <row r="188" spans="1:51" x14ac:dyDescent="0.2">
      <c r="A188" s="134"/>
      <c r="B188" s="135">
        <v>4</v>
      </c>
      <c r="C188" s="112">
        <v>238</v>
      </c>
      <c r="D188" s="112">
        <v>463</v>
      </c>
      <c r="E188" s="112">
        <v>482</v>
      </c>
      <c r="F188" s="112">
        <v>64.961765977148161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221</v>
      </c>
      <c r="G189" s="130">
        <v>221</v>
      </c>
      <c r="H189" s="130">
        <v>221</v>
      </c>
      <c r="I189" s="130">
        <v>0</v>
      </c>
      <c r="J189" s="130">
        <v>0</v>
      </c>
      <c r="K189" s="130">
        <v>221</v>
      </c>
      <c r="L189" s="130">
        <v>0</v>
      </c>
      <c r="M189" s="130">
        <v>221</v>
      </c>
      <c r="N189" s="130">
        <v>0</v>
      </c>
      <c r="O189" s="130">
        <v>221</v>
      </c>
      <c r="P189" s="130">
        <v>221</v>
      </c>
      <c r="Q189" s="130">
        <v>0</v>
      </c>
      <c r="R189" s="130">
        <v>221</v>
      </c>
      <c r="S189" s="130">
        <v>221</v>
      </c>
      <c r="T189" s="130">
        <v>221</v>
      </c>
      <c r="U189" s="130">
        <v>221</v>
      </c>
      <c r="V189" s="130">
        <v>221</v>
      </c>
      <c r="W189" s="130">
        <v>0</v>
      </c>
      <c r="X189" s="130">
        <v>0</v>
      </c>
      <c r="Y189" s="130">
        <v>221</v>
      </c>
      <c r="Z189" s="130">
        <v>221</v>
      </c>
      <c r="AA189" s="130">
        <v>0</v>
      </c>
      <c r="AB189" s="130">
        <v>221</v>
      </c>
      <c r="AC189" s="130">
        <v>221</v>
      </c>
      <c r="AD189" s="130">
        <v>221</v>
      </c>
      <c r="AE189" s="130">
        <v>221</v>
      </c>
      <c r="AF189" s="130">
        <v>0</v>
      </c>
      <c r="AG189" s="130">
        <v>221</v>
      </c>
      <c r="AH189" s="130">
        <v>0</v>
      </c>
      <c r="AI189" s="130">
        <v>0</v>
      </c>
      <c r="AJ189" s="130">
        <v>221</v>
      </c>
      <c r="AK189" s="130">
        <v>0</v>
      </c>
      <c r="AL189" s="130">
        <v>221</v>
      </c>
      <c r="AM189" s="130">
        <v>221</v>
      </c>
      <c r="AN189" s="130">
        <v>221</v>
      </c>
      <c r="AO189" s="130">
        <v>221</v>
      </c>
      <c r="AP189" s="130">
        <v>0</v>
      </c>
      <c r="AQ189" s="130">
        <v>0</v>
      </c>
      <c r="AR189" s="130">
        <v>0</v>
      </c>
      <c r="AS189" s="130">
        <v>0</v>
      </c>
      <c r="AT189" s="130">
        <v>221</v>
      </c>
      <c r="AU189" s="130">
        <v>221</v>
      </c>
      <c r="AV189" s="130">
        <v>0</v>
      </c>
      <c r="AW189" s="130">
        <v>0</v>
      </c>
      <c r="AX189" s="130">
        <v>221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221</v>
      </c>
      <c r="L190" s="112">
        <v>0</v>
      </c>
      <c r="M190" s="112">
        <v>221</v>
      </c>
      <c r="N190" s="112">
        <v>0</v>
      </c>
      <c r="O190" s="112">
        <v>221</v>
      </c>
      <c r="P190" s="112">
        <v>0</v>
      </c>
      <c r="Q190" s="112">
        <v>0</v>
      </c>
      <c r="R190" s="112">
        <v>221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221</v>
      </c>
      <c r="AC190" s="112">
        <v>0</v>
      </c>
      <c r="AD190" s="112">
        <v>0</v>
      </c>
      <c r="AE190" s="112">
        <v>0</v>
      </c>
      <c r="AF190" s="112">
        <v>0</v>
      </c>
      <c r="AG190" s="112">
        <v>221</v>
      </c>
      <c r="AH190" s="112">
        <v>0</v>
      </c>
      <c r="AI190" s="112">
        <v>221</v>
      </c>
      <c r="AJ190" s="112">
        <v>221</v>
      </c>
      <c r="AK190" s="112">
        <v>0</v>
      </c>
      <c r="AL190" s="112">
        <v>221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221</v>
      </c>
      <c r="AS190" s="112">
        <v>0</v>
      </c>
      <c r="AT190" s="112">
        <v>221</v>
      </c>
      <c r="AU190" s="112">
        <v>0</v>
      </c>
      <c r="AV190" s="112">
        <v>0</v>
      </c>
      <c r="AW190" s="112">
        <v>0</v>
      </c>
      <c r="AX190" s="112">
        <v>221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221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221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221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227.98610454559412</v>
      </c>
      <c r="P206" s="112">
        <v>394.32276888070885</v>
      </c>
      <c r="Q206" s="112">
        <v>597.09278421005865</v>
      </c>
      <c r="R206" s="112">
        <v>576.68038331104208</v>
      </c>
      <c r="S206" s="112">
        <v>921.92995813833886</v>
      </c>
      <c r="T206" s="112">
        <v>267.46002773086963</v>
      </c>
      <c r="U206" s="112">
        <v>0</v>
      </c>
      <c r="V206" s="112">
        <v>0</v>
      </c>
      <c r="W206" s="112">
        <v>0</v>
      </c>
      <c r="X206" s="112">
        <v>83.786437708033645</v>
      </c>
      <c r="Y206" s="112">
        <v>1.2795303342614943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204.1083427901076</v>
      </c>
      <c r="AR206" s="112">
        <v>293.92276209607405</v>
      </c>
      <c r="AS206" s="112">
        <v>146.68386662543367</v>
      </c>
      <c r="AT206" s="112">
        <v>9.723347459177262</v>
      </c>
      <c r="AU206" s="112">
        <v>0</v>
      </c>
      <c r="AV206" s="112">
        <v>477.95232638068728</v>
      </c>
      <c r="AW206" s="112">
        <v>212.42105331803987</v>
      </c>
      <c r="AX206" s="112">
        <v>564.1891054126163</v>
      </c>
      <c r="AY206" s="112">
        <v>409.07152479012734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169.58973542131923</v>
      </c>
      <c r="G207" s="112">
        <v>295.29155781461429</v>
      </c>
      <c r="H207" s="112">
        <v>438.91945967335982</v>
      </c>
      <c r="I207" s="112">
        <v>473</v>
      </c>
      <c r="J207" s="112">
        <v>404</v>
      </c>
      <c r="K207" s="112">
        <v>407.24372904266971</v>
      </c>
      <c r="L207" s="112">
        <v>857</v>
      </c>
      <c r="M207" s="112">
        <v>890.38877941619467</v>
      </c>
      <c r="N207" s="112">
        <v>748</v>
      </c>
      <c r="O207" s="112">
        <v>780.00342541653549</v>
      </c>
      <c r="P207" s="112">
        <v>509.50480162800272</v>
      </c>
      <c r="Q207" s="112">
        <v>317.90721578994135</v>
      </c>
      <c r="R207" s="112">
        <v>97.319616688957922</v>
      </c>
      <c r="S207" s="112">
        <v>30.11816809440279</v>
      </c>
      <c r="T207" s="112">
        <v>162.62143325052307</v>
      </c>
      <c r="U207" s="112">
        <v>392.60628746382349</v>
      </c>
      <c r="V207" s="112">
        <v>493.67957868536837</v>
      </c>
      <c r="W207" s="112">
        <v>458</v>
      </c>
      <c r="X207" s="112">
        <v>585.21356229196635</v>
      </c>
      <c r="Y207" s="112">
        <v>663.88386297738884</v>
      </c>
      <c r="Z207" s="112">
        <v>755.81123576399818</v>
      </c>
      <c r="AA207" s="112">
        <v>747</v>
      </c>
      <c r="AB207" s="112">
        <v>430</v>
      </c>
      <c r="AC207" s="112">
        <v>591</v>
      </c>
      <c r="AD207" s="112">
        <v>534</v>
      </c>
      <c r="AE207" s="112">
        <v>480.56538109152609</v>
      </c>
      <c r="AF207" s="112">
        <v>845</v>
      </c>
      <c r="AG207" s="112">
        <v>765.17506642576257</v>
      </c>
      <c r="AH207" s="112">
        <v>880</v>
      </c>
      <c r="AI207" s="112">
        <v>827.06676744771983</v>
      </c>
      <c r="AJ207" s="112">
        <v>664.90632648774692</v>
      </c>
      <c r="AK207" s="112">
        <v>581</v>
      </c>
      <c r="AL207" s="112">
        <v>776.38407757680704</v>
      </c>
      <c r="AM207" s="112">
        <v>629.45662260025051</v>
      </c>
      <c r="AN207" s="112">
        <v>686.79931683448046</v>
      </c>
      <c r="AO207" s="112">
        <v>680.05039792017192</v>
      </c>
      <c r="AP207" s="112">
        <v>554</v>
      </c>
      <c r="AQ207" s="112">
        <v>329.8916572098924</v>
      </c>
      <c r="AR207" s="112">
        <v>296.69878296010688</v>
      </c>
      <c r="AS207" s="112">
        <v>516.31613337456633</v>
      </c>
      <c r="AT207" s="112">
        <v>717.46860708540225</v>
      </c>
      <c r="AU207" s="112">
        <v>521.38650321239606</v>
      </c>
      <c r="AV207" s="112">
        <v>867.04767361931272</v>
      </c>
      <c r="AW207" s="112">
        <v>762.57894668196013</v>
      </c>
      <c r="AX207" s="112">
        <v>513.8108945873837</v>
      </c>
      <c r="AY207" s="112">
        <v>627.92847520987266</v>
      </c>
    </row>
    <row r="208" spans="1:51" x14ac:dyDescent="0.2">
      <c r="A208" s="115"/>
      <c r="B208" s="136">
        <v>12</v>
      </c>
      <c r="C208" s="112">
        <v>1079</v>
      </c>
      <c r="D208" s="112">
        <v>329</v>
      </c>
      <c r="E208" s="112">
        <v>234</v>
      </c>
      <c r="F208" s="112">
        <v>109.66942170667244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90.625184741578323</v>
      </c>
      <c r="AC211" s="116">
        <v>488.68267514130844</v>
      </c>
      <c r="AD211" s="116">
        <v>955.11374951129096</v>
      </c>
      <c r="AE211" s="116">
        <v>1109.2804639803583</v>
      </c>
      <c r="AF211" s="116">
        <v>94.423748493265776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242.65031471202599</v>
      </c>
      <c r="AA212" s="116">
        <v>542.40673964711868</v>
      </c>
      <c r="AB212" s="116">
        <v>858.98401881725181</v>
      </c>
      <c r="AC212" s="116">
        <v>793.31732485869156</v>
      </c>
      <c r="AD212" s="116">
        <v>504.88625048870904</v>
      </c>
      <c r="AE212" s="116">
        <v>274.28491711116766</v>
      </c>
      <c r="AF212" s="116">
        <v>162.57625150673422</v>
      </c>
      <c r="AG212" s="116">
        <v>227.17506642576257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5.4141083184857735</v>
      </c>
      <c r="F213" s="116">
        <v>0</v>
      </c>
      <c r="G213" s="116">
        <v>93.042418381399386</v>
      </c>
      <c r="H213" s="116">
        <v>229.53681190550168</v>
      </c>
      <c r="I213" s="116">
        <v>130.94536577868649</v>
      </c>
      <c r="J213" s="116">
        <v>23.506346501618623</v>
      </c>
      <c r="K213" s="116">
        <v>109.90013550617226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442.87615615832215</v>
      </c>
      <c r="Y213" s="116">
        <v>602.06884112600562</v>
      </c>
      <c r="Z213" s="116">
        <v>622.41683522977178</v>
      </c>
      <c r="AA213" s="116">
        <v>446.59326035288132</v>
      </c>
      <c r="AB213" s="116">
        <v>229.39079644116984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241</v>
      </c>
      <c r="AI213" s="116">
        <v>74.517127904527285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141.3338692919441</v>
      </c>
      <c r="AU213" s="116">
        <v>31.420323261657984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261.1266838855264</v>
      </c>
      <c r="D214" s="116">
        <v>341.77643774024057</v>
      </c>
      <c r="E214" s="116">
        <v>360.80086082240803</v>
      </c>
      <c r="F214" s="116">
        <v>356.25915712799167</v>
      </c>
      <c r="G214" s="116">
        <v>360.80086082240803</v>
      </c>
      <c r="H214" s="116">
        <v>293.38264776785815</v>
      </c>
      <c r="I214" s="116">
        <v>341.05463422131351</v>
      </c>
      <c r="J214" s="116">
        <v>412.49365349838138</v>
      </c>
      <c r="K214" s="116">
        <v>490.34359353649739</v>
      </c>
      <c r="L214" s="116">
        <v>261</v>
      </c>
      <c r="M214" s="116">
        <v>112.56741418413765</v>
      </c>
      <c r="N214" s="116">
        <v>0</v>
      </c>
      <c r="O214" s="116">
        <v>0</v>
      </c>
      <c r="P214" s="116">
        <v>50.18699302513653</v>
      </c>
      <c r="Q214" s="116">
        <v>143.57150820841196</v>
      </c>
      <c r="R214" s="116">
        <v>28.237603416880262</v>
      </c>
      <c r="S214" s="116">
        <v>133.71518300094277</v>
      </c>
      <c r="T214" s="116">
        <v>352.17720540178607</v>
      </c>
      <c r="U214" s="116">
        <v>484.99885420211484</v>
      </c>
      <c r="V214" s="116">
        <v>449.46502404612204</v>
      </c>
      <c r="W214" s="116">
        <v>389.03775550298622</v>
      </c>
      <c r="X214" s="116">
        <v>507.37621053151111</v>
      </c>
      <c r="Y214" s="116">
        <v>130.09455218564474</v>
      </c>
      <c r="Z214" s="116">
        <v>14.744085822200427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177.54963954319254</v>
      </c>
      <c r="AJ214" s="116">
        <v>233.90632648774695</v>
      </c>
      <c r="AK214" s="116">
        <v>32.969154376344392</v>
      </c>
      <c r="AL214" s="116">
        <v>0</v>
      </c>
      <c r="AM214" s="116">
        <v>0</v>
      </c>
      <c r="AN214" s="116">
        <v>34.45523138952592</v>
      </c>
      <c r="AO214" s="116">
        <v>121.2227263122839</v>
      </c>
      <c r="AP214" s="116">
        <v>181.04375371268938</v>
      </c>
      <c r="AQ214" s="116">
        <v>161.38986230039205</v>
      </c>
      <c r="AR214" s="116">
        <v>275.77026593273683</v>
      </c>
      <c r="AS214" s="116">
        <v>457.02836389852223</v>
      </c>
      <c r="AT214" s="116">
        <v>507.37621053151111</v>
      </c>
      <c r="AU214" s="116">
        <v>404.96617995073808</v>
      </c>
      <c r="AV214" s="116">
        <v>296</v>
      </c>
      <c r="AW214" s="116">
        <v>188.33446277222907</v>
      </c>
      <c r="AX214" s="116">
        <v>76.672684751114673</v>
      </c>
      <c r="AY214" s="116">
        <v>62.762948400341656</v>
      </c>
    </row>
    <row r="215" spans="1:51" x14ac:dyDescent="0.2">
      <c r="A215" s="115"/>
      <c r="B215" s="125">
        <v>7</v>
      </c>
      <c r="C215" s="112">
        <v>1.8733161144735748</v>
      </c>
      <c r="D215" s="116">
        <v>72.223562259759447</v>
      </c>
      <c r="E215" s="116">
        <v>13.785030859106216</v>
      </c>
      <c r="F215" s="116">
        <v>0</v>
      </c>
      <c r="G215" s="116">
        <v>0.44827861080687481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120.82136523205696</v>
      </c>
      <c r="N215" s="116">
        <v>245</v>
      </c>
      <c r="O215" s="116">
        <v>311.82442674567261</v>
      </c>
      <c r="P215" s="116">
        <v>326.79381254739803</v>
      </c>
      <c r="Q215" s="116">
        <v>290.42849179158804</v>
      </c>
      <c r="R215" s="116">
        <v>222.76239658311974</v>
      </c>
      <c r="S215" s="116">
        <v>306.33294323179882</v>
      </c>
      <c r="T215" s="116">
        <v>229.90425557960657</v>
      </c>
      <c r="U215" s="116">
        <v>71.607433261708636</v>
      </c>
      <c r="V215" s="116">
        <v>16.214554639246327</v>
      </c>
      <c r="W215" s="116">
        <v>41.962244497013764</v>
      </c>
      <c r="X215" s="116">
        <v>85.747633310166805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159.03084562365561</v>
      </c>
      <c r="AL215" s="116">
        <v>230.38407757680702</v>
      </c>
      <c r="AM215" s="116">
        <v>223.90859255840815</v>
      </c>
      <c r="AN215" s="116">
        <v>326.79381254739803</v>
      </c>
      <c r="AO215" s="116">
        <v>301.82767160788802</v>
      </c>
      <c r="AP215" s="116">
        <v>238.95624628731062</v>
      </c>
      <c r="AQ215" s="116">
        <v>195.61013769960795</v>
      </c>
      <c r="AR215" s="116">
        <v>209.85127912344419</v>
      </c>
      <c r="AS215" s="116">
        <v>126.97163610147774</v>
      </c>
      <c r="AT215" s="116">
        <v>36.481874721124299</v>
      </c>
      <c r="AU215" s="116">
        <v>0</v>
      </c>
      <c r="AV215" s="116">
        <v>0</v>
      </c>
      <c r="AW215" s="116">
        <v>136.66553722777093</v>
      </c>
      <c r="AX215" s="116">
        <v>190.32731524888533</v>
      </c>
      <c r="AY215" s="116">
        <v>271.23705159965834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0.16510321645706624</v>
      </c>
      <c r="P216" s="116">
        <v>10.846764936177054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52.548030041842317</v>
      </c>
      <c r="AN216" s="116">
        <v>74.550272897556511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1584939.0342162729</v>
      </c>
      <c r="E259" s="130">
        <f t="shared" ref="E259:AX259" si="5">F$14*$B$259</f>
        <v>1701861.5388456199</v>
      </c>
      <c r="F259" s="130">
        <f t="shared" si="5"/>
        <v>1792669.5962099733</v>
      </c>
      <c r="G259" s="130">
        <f t="shared" si="5"/>
        <v>1862718.7009397452</v>
      </c>
      <c r="H259" s="130">
        <f t="shared" si="5"/>
        <v>1826201.3376783235</v>
      </c>
      <c r="I259" s="130">
        <f t="shared" si="5"/>
        <v>1787455.747433475</v>
      </c>
      <c r="J259" s="130">
        <f t="shared" si="5"/>
        <v>1768496.0348597029</v>
      </c>
      <c r="K259" s="130">
        <f t="shared" si="5"/>
        <v>1761202.334320649</v>
      </c>
      <c r="L259" s="130">
        <f t="shared" si="5"/>
        <v>1726515.703353228</v>
      </c>
      <c r="M259" s="130">
        <f t="shared" si="5"/>
        <v>1762110.6772441803</v>
      </c>
      <c r="N259" s="130">
        <f t="shared" si="5"/>
        <v>1792845.418599956</v>
      </c>
      <c r="O259" s="130">
        <f t="shared" si="5"/>
        <v>1813037.1545668936</v>
      </c>
      <c r="P259" s="130">
        <f t="shared" si="5"/>
        <v>1885401.7688992778</v>
      </c>
      <c r="Q259" s="130">
        <f t="shared" si="5"/>
        <v>1924260.9780633352</v>
      </c>
      <c r="R259" s="130">
        <f t="shared" si="5"/>
        <v>1944152.795105818</v>
      </c>
      <c r="S259" s="130">
        <f t="shared" si="5"/>
        <v>1991325.5799430448</v>
      </c>
      <c r="T259" s="130">
        <f t="shared" si="5"/>
        <v>1921939.1841778539</v>
      </c>
      <c r="U259" s="130">
        <f t="shared" si="5"/>
        <v>1846236.334857357</v>
      </c>
      <c r="V259" s="130">
        <f t="shared" si="5"/>
        <v>1795942.6816429123</v>
      </c>
      <c r="W259" s="130">
        <f t="shared" si="5"/>
        <v>1775777.0707923861</v>
      </c>
      <c r="X259" s="130">
        <f t="shared" si="5"/>
        <v>1767373.2089503917</v>
      </c>
      <c r="Y259" s="130">
        <f t="shared" si="5"/>
        <v>1652981.3833929442</v>
      </c>
      <c r="Z259" s="130">
        <f t="shared" si="5"/>
        <v>1624483.9413001884</v>
      </c>
      <c r="AA259" s="130">
        <f t="shared" si="5"/>
        <v>1577404.0200243329</v>
      </c>
      <c r="AB259" s="130">
        <f t="shared" si="5"/>
        <v>1593469.645035093</v>
      </c>
      <c r="AC259" s="130">
        <f t="shared" si="5"/>
        <v>1571098.4119540306</v>
      </c>
      <c r="AD259" s="130">
        <f t="shared" si="5"/>
        <v>1536450.0315608021</v>
      </c>
      <c r="AE259" s="130">
        <f t="shared" si="5"/>
        <v>1479479.7534889898</v>
      </c>
      <c r="AF259" s="130">
        <f t="shared" si="5"/>
        <v>1382156.3220510199</v>
      </c>
      <c r="AG259" s="130">
        <f t="shared" si="5"/>
        <v>1513305.115170104</v>
      </c>
      <c r="AH259" s="130">
        <f t="shared" si="5"/>
        <v>1613674.1036697007</v>
      </c>
      <c r="AI259" s="130">
        <f t="shared" si="5"/>
        <v>1683926.2913889915</v>
      </c>
      <c r="AJ259" s="130">
        <f t="shared" si="5"/>
        <v>1732849.6954609693</v>
      </c>
      <c r="AK259" s="130">
        <f t="shared" si="5"/>
        <v>1771550.3656059338</v>
      </c>
      <c r="AL259" s="130">
        <f t="shared" si="5"/>
        <v>1807094.4828708249</v>
      </c>
      <c r="AM259" s="130">
        <f t="shared" si="5"/>
        <v>1825978.4063096656</v>
      </c>
      <c r="AN259" s="130">
        <f t="shared" si="5"/>
        <v>1901139.7809461032</v>
      </c>
      <c r="AO259" s="130">
        <f t="shared" si="5"/>
        <v>1927077.156245887</v>
      </c>
      <c r="AP259" s="130">
        <f t="shared" si="5"/>
        <v>1948153.5010305769</v>
      </c>
      <c r="AQ259" s="130">
        <f t="shared" si="5"/>
        <v>1963971.4058466926</v>
      </c>
      <c r="AR259" s="130">
        <f t="shared" si="5"/>
        <v>1916985.0773297176</v>
      </c>
      <c r="AS259" s="130">
        <f t="shared" si="5"/>
        <v>1859914.1136663891</v>
      </c>
      <c r="AT259" s="130">
        <f t="shared" si="5"/>
        <v>1800949.7422870267</v>
      </c>
      <c r="AU259" s="130">
        <f t="shared" si="5"/>
        <v>1740109.7633376808</v>
      </c>
      <c r="AV259" s="130">
        <f t="shared" si="5"/>
        <v>1740564.5517996401</v>
      </c>
      <c r="AW259" s="130">
        <f t="shared" si="5"/>
        <v>1766024.9949594887</v>
      </c>
      <c r="AX259" s="130">
        <f t="shared" si="5"/>
        <v>1779282.1881027981</v>
      </c>
      <c r="AY259" s="130">
        <f>AZ$14*$B$259</f>
        <v>1799271.0151885198</v>
      </c>
      <c r="AZ259" s="145">
        <f>SUM($D259:$AY259)</f>
        <v>84541808.140724495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2415880.2300767661</v>
      </c>
      <c r="E260" s="131">
        <f t="shared" ref="E260:AY260" si="6">(E$175-E$176+E$177-E$178+E$179-E$180+E$181-E$182)*$B$260</f>
        <v>2672540.1390879825</v>
      </c>
      <c r="F260" s="131">
        <f t="shared" si="6"/>
        <v>2743111.707648336</v>
      </c>
      <c r="G260" s="131">
        <f t="shared" si="6"/>
        <v>2737961.748360116</v>
      </c>
      <c r="H260" s="131">
        <f t="shared" si="6"/>
        <v>2718937.2336688903</v>
      </c>
      <c r="I260" s="131">
        <f t="shared" si="6"/>
        <v>2727784.0848522945</v>
      </c>
      <c r="J260" s="131">
        <f t="shared" si="6"/>
        <v>2748434.2121667969</v>
      </c>
      <c r="K260" s="131">
        <f t="shared" si="6"/>
        <v>2701678.2293468192</v>
      </c>
      <c r="L260" s="131">
        <f t="shared" si="6"/>
        <v>2742289.319690471</v>
      </c>
      <c r="M260" s="131">
        <f t="shared" si="6"/>
        <v>2713636.9762629014</v>
      </c>
      <c r="N260" s="131">
        <f t="shared" si="6"/>
        <v>2744686.5767446198</v>
      </c>
      <c r="O260" s="131">
        <f t="shared" si="6"/>
        <v>2697523.9805983701</v>
      </c>
      <c r="P260" s="131">
        <f t="shared" si="6"/>
        <v>2717143.6051790211</v>
      </c>
      <c r="Q260" s="131">
        <f t="shared" si="6"/>
        <v>2723435.9097172311</v>
      </c>
      <c r="R260" s="131">
        <f t="shared" si="6"/>
        <v>2721299.7419902324</v>
      </c>
      <c r="S260" s="131">
        <f t="shared" si="6"/>
        <v>2699059.5559342508</v>
      </c>
      <c r="T260" s="131">
        <f t="shared" si="6"/>
        <v>2713620.4538350464</v>
      </c>
      <c r="U260" s="131">
        <f t="shared" si="6"/>
        <v>2727325.4299790468</v>
      </c>
      <c r="V260" s="131">
        <f t="shared" si="6"/>
        <v>2728359.1260984098</v>
      </c>
      <c r="W260" s="131">
        <f t="shared" si="6"/>
        <v>2747702.1165422411</v>
      </c>
      <c r="X260" s="131">
        <f t="shared" si="6"/>
        <v>2703657.8576353481</v>
      </c>
      <c r="Y260" s="131">
        <f t="shared" si="6"/>
        <v>2699257.4958740221</v>
      </c>
      <c r="Z260" s="131">
        <f t="shared" si="6"/>
        <v>2689510.2878959952</v>
      </c>
      <c r="AA260" s="131">
        <f t="shared" si="6"/>
        <v>2713753.4750746768</v>
      </c>
      <c r="AB260" s="131">
        <f t="shared" si="6"/>
        <v>2721510.494304453</v>
      </c>
      <c r="AC260" s="131">
        <f t="shared" si="6"/>
        <v>2720215.5312042437</v>
      </c>
      <c r="AD260" s="131">
        <f t="shared" si="6"/>
        <v>2716033.8432405419</v>
      </c>
      <c r="AE260" s="131">
        <f t="shared" si="6"/>
        <v>2726984.7924084952</v>
      </c>
      <c r="AF260" s="131">
        <f t="shared" si="6"/>
        <v>2792796.3395029828</v>
      </c>
      <c r="AG260" s="131">
        <f t="shared" si="6"/>
        <v>2759369.28909013</v>
      </c>
      <c r="AH260" s="131">
        <f t="shared" si="6"/>
        <v>2772385.4673535661</v>
      </c>
      <c r="AI260" s="131">
        <f t="shared" si="6"/>
        <v>2752812.6379319048</v>
      </c>
      <c r="AJ260" s="131">
        <f t="shared" si="6"/>
        <v>2742855.8843173804</v>
      </c>
      <c r="AK260" s="131">
        <f t="shared" si="6"/>
        <v>2776172.2739440678</v>
      </c>
      <c r="AL260" s="131">
        <f t="shared" si="6"/>
        <v>2730905.189195015</v>
      </c>
      <c r="AM260" s="131">
        <f t="shared" si="6"/>
        <v>2750153.3523978475</v>
      </c>
      <c r="AN260" s="131">
        <f t="shared" si="6"/>
        <v>2719354.2560463762</v>
      </c>
      <c r="AO260" s="131">
        <f t="shared" si="6"/>
        <v>2711649.9070576513</v>
      </c>
      <c r="AP260" s="131">
        <f t="shared" si="6"/>
        <v>2736050.4460587157</v>
      </c>
      <c r="AQ260" s="131">
        <f t="shared" si="6"/>
        <v>2731470.3317679977</v>
      </c>
      <c r="AR260" s="131">
        <f t="shared" si="6"/>
        <v>2714492.945916669</v>
      </c>
      <c r="AS260" s="131">
        <f t="shared" si="6"/>
        <v>2740895.6202769484</v>
      </c>
      <c r="AT260" s="131">
        <f t="shared" si="6"/>
        <v>2705215.4507820019</v>
      </c>
      <c r="AU260" s="131">
        <f t="shared" si="6"/>
        <v>2749448.1029987275</v>
      </c>
      <c r="AV260" s="131">
        <f t="shared" si="6"/>
        <v>2726532.5029108026</v>
      </c>
      <c r="AW260" s="131">
        <f t="shared" si="6"/>
        <v>2744522.3081575856</v>
      </c>
      <c r="AX260" s="131">
        <f t="shared" si="6"/>
        <v>2702858.5672520488</v>
      </c>
      <c r="AY260" s="131">
        <f t="shared" si="6"/>
        <v>2740373.4447518289</v>
      </c>
      <c r="AZ260" s="147">
        <f>SUM($D260:$AY260)</f>
        <v>130633648.47312789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51000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5624.3222001645936</v>
      </c>
      <c r="E9" s="123">
        <v>5626.3283710610576</v>
      </c>
      <c r="F9" s="123">
        <v>6059.8728117042956</v>
      </c>
      <c r="G9" s="123">
        <v>6059.8728117042956</v>
      </c>
      <c r="H9" s="123">
        <v>4649.6523007033074</v>
      </c>
      <c r="I9" s="123">
        <v>5769.6912099601541</v>
      </c>
      <c r="J9" s="123">
        <v>5769.6912099601541</v>
      </c>
      <c r="K9" s="123">
        <v>5769.6912099601541</v>
      </c>
      <c r="L9" s="123">
        <v>5769.6912099601541</v>
      </c>
      <c r="M9" s="123">
        <v>5769.6912099601541</v>
      </c>
      <c r="N9" s="123">
        <v>5769.6912099601541</v>
      </c>
      <c r="O9" s="123">
        <v>5769.6912099601541</v>
      </c>
      <c r="P9" s="123">
        <v>6059.8728117042956</v>
      </c>
      <c r="Q9" s="123">
        <v>6059.8728117042956</v>
      </c>
      <c r="R9" s="123">
        <v>6059.8728117042956</v>
      </c>
      <c r="S9" s="123">
        <v>6059.8728117042956</v>
      </c>
      <c r="T9" s="123">
        <v>5769.6912099601541</v>
      </c>
      <c r="U9" s="123">
        <v>5769.6912099601541</v>
      </c>
      <c r="V9" s="123">
        <v>5769.6912099601541</v>
      </c>
      <c r="W9" s="123">
        <v>5769.6912099601541</v>
      </c>
      <c r="X9" s="123">
        <v>5769.6912099601541</v>
      </c>
      <c r="Y9" s="123">
        <v>5769.6912099601541</v>
      </c>
      <c r="Z9" s="123">
        <v>5769.6912099601541</v>
      </c>
      <c r="AA9" s="123">
        <v>5769.6912099601541</v>
      </c>
      <c r="AB9" s="123">
        <v>6059.8728117042956</v>
      </c>
      <c r="AC9" s="123">
        <v>6059.8728117042956</v>
      </c>
      <c r="AD9" s="123">
        <v>6059.8728117042956</v>
      </c>
      <c r="AE9" s="123">
        <v>6059.8728117042956</v>
      </c>
      <c r="AF9" s="123">
        <v>5769.6912099601541</v>
      </c>
      <c r="AG9" s="123">
        <v>5769.6912099601541</v>
      </c>
      <c r="AH9" s="123">
        <v>5769.6912099601541</v>
      </c>
      <c r="AI9" s="123">
        <v>5769.6912099601541</v>
      </c>
      <c r="AJ9" s="123">
        <v>5396.8025581035263</v>
      </c>
      <c r="AK9" s="123">
        <v>5398.6540448241549</v>
      </c>
      <c r="AL9" s="123">
        <v>5769.6912099601541</v>
      </c>
      <c r="AM9" s="123">
        <v>5769.6912099601541</v>
      </c>
      <c r="AN9" s="123">
        <v>6059.8728117042956</v>
      </c>
      <c r="AO9" s="123">
        <v>6059.8728117042956</v>
      </c>
      <c r="AP9" s="123">
        <v>6059.8728117042956</v>
      </c>
      <c r="AQ9" s="123">
        <v>6059.8728117042956</v>
      </c>
      <c r="AR9" s="123">
        <v>5411.3189376531864</v>
      </c>
      <c r="AS9" s="123">
        <v>5769.6912099601541</v>
      </c>
      <c r="AT9" s="123">
        <v>4667.8195774451769</v>
      </c>
      <c r="AU9" s="123">
        <v>5769.6912099601541</v>
      </c>
      <c r="AV9" s="123">
        <v>5418.2982473491566</v>
      </c>
      <c r="AW9" s="123">
        <v>5420.0109378507232</v>
      </c>
      <c r="AX9" s="123">
        <v>5769.6912099601541</v>
      </c>
      <c r="AY9" s="123">
        <v>5769.6912099601541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313</v>
      </c>
      <c r="E10" s="106">
        <v>0</v>
      </c>
      <c r="F10" s="106">
        <v>2082.0302790528876</v>
      </c>
      <c r="G10" s="106">
        <v>0</v>
      </c>
      <c r="H10" s="106">
        <v>943</v>
      </c>
      <c r="I10" s="106">
        <v>1919.0302790528876</v>
      </c>
      <c r="J10" s="106">
        <v>1868.8046924914556</v>
      </c>
      <c r="K10" s="106">
        <v>1705.8046924914556</v>
      </c>
      <c r="L10" s="106">
        <v>1868.8046924914556</v>
      </c>
      <c r="M10" s="106">
        <v>0</v>
      </c>
      <c r="N10" s="106">
        <v>943</v>
      </c>
      <c r="O10" s="106">
        <v>0</v>
      </c>
      <c r="P10" s="106">
        <v>1868.8046924914556</v>
      </c>
      <c r="Q10" s="106">
        <v>0</v>
      </c>
      <c r="R10" s="106">
        <v>2082.0302790528876</v>
      </c>
      <c r="S10" s="106">
        <v>1919.0302790528876</v>
      </c>
      <c r="T10" s="106">
        <v>2082.0302790528876</v>
      </c>
      <c r="U10" s="106">
        <v>1919.0302790528876</v>
      </c>
      <c r="V10" s="106">
        <v>1868.8046924914556</v>
      </c>
      <c r="W10" s="106">
        <v>1705.8046924914556</v>
      </c>
      <c r="X10" s="106">
        <v>1868.8046924914556</v>
      </c>
      <c r="Y10" s="106">
        <v>1705.8046924914556</v>
      </c>
      <c r="Z10" s="106">
        <v>163</v>
      </c>
      <c r="AA10" s="106">
        <v>3411.6093849829113</v>
      </c>
      <c r="AB10" s="106">
        <v>1868.8046924914556</v>
      </c>
      <c r="AC10" s="106">
        <v>780</v>
      </c>
      <c r="AD10" s="106">
        <v>2082.0302790528876</v>
      </c>
      <c r="AE10" s="106">
        <v>1919.0302790528876</v>
      </c>
      <c r="AF10" s="106">
        <v>163</v>
      </c>
      <c r="AG10" s="106">
        <v>780</v>
      </c>
      <c r="AH10" s="106">
        <v>1868.8046924914556</v>
      </c>
      <c r="AI10" s="106">
        <v>780</v>
      </c>
      <c r="AJ10" s="106">
        <v>163</v>
      </c>
      <c r="AK10" s="106">
        <v>1705.8046924914556</v>
      </c>
      <c r="AL10" s="106">
        <v>1705.8046924914556</v>
      </c>
      <c r="AM10" s="106">
        <v>1868.8046924914556</v>
      </c>
      <c r="AN10" s="106">
        <v>1705.8046924914556</v>
      </c>
      <c r="AO10" s="106">
        <v>1868.8046924914556</v>
      </c>
      <c r="AP10" s="106">
        <v>1919.0302790528876</v>
      </c>
      <c r="AQ10" s="106">
        <v>2082.0302790528876</v>
      </c>
      <c r="AR10" s="106">
        <v>1919.0302790528876</v>
      </c>
      <c r="AS10" s="106">
        <v>2082.0302790528876</v>
      </c>
      <c r="AT10" s="106">
        <v>1705.8046924914556</v>
      </c>
      <c r="AU10" s="106">
        <v>943</v>
      </c>
      <c r="AV10" s="106">
        <v>1705.8046924914556</v>
      </c>
      <c r="AW10" s="106">
        <v>1705.8046924914556</v>
      </c>
      <c r="AX10" s="106">
        <v>1705.8046924914556</v>
      </c>
      <c r="AY10" s="106">
        <v>163</v>
      </c>
      <c r="AZ10" s="106">
        <v>780</v>
      </c>
    </row>
    <row r="11" spans="1:53" x14ac:dyDescent="0.2">
      <c r="B11" s="125">
        <v>2</v>
      </c>
      <c r="C11" s="112" t="s">
        <v>293</v>
      </c>
      <c r="D11" s="106">
        <v>223</v>
      </c>
      <c r="E11" s="106">
        <v>0</v>
      </c>
      <c r="F11" s="106">
        <v>313</v>
      </c>
      <c r="H11" s="106">
        <v>2082.0302790528876</v>
      </c>
      <c r="I11" s="106">
        <v>0</v>
      </c>
      <c r="J11" s="106">
        <v>163</v>
      </c>
      <c r="L11" s="106">
        <v>0</v>
      </c>
      <c r="M11" s="106">
        <v>0</v>
      </c>
      <c r="N11" s="106">
        <v>163</v>
      </c>
      <c r="O11" s="106">
        <v>925.80469249145563</v>
      </c>
      <c r="P11" s="106">
        <v>1705.8046924914556</v>
      </c>
      <c r="Q11" s="106">
        <v>0</v>
      </c>
      <c r="R11" s="106">
        <v>1705.8046924914556</v>
      </c>
      <c r="S11" s="106">
        <v>0</v>
      </c>
      <c r="V11" s="106">
        <v>163</v>
      </c>
      <c r="X11" s="106">
        <v>163</v>
      </c>
      <c r="Y11" s="106">
        <v>0</v>
      </c>
      <c r="AB11" s="106">
        <v>163</v>
      </c>
      <c r="AC11" s="106">
        <v>0</v>
      </c>
      <c r="AD11" s="106">
        <v>1088.8046924914556</v>
      </c>
      <c r="AF11" s="106">
        <v>163</v>
      </c>
      <c r="AG11" s="106">
        <v>1919.0302790528876</v>
      </c>
      <c r="AH11" s="106">
        <v>1302.0302790528876</v>
      </c>
      <c r="AI11" s="106">
        <v>0</v>
      </c>
      <c r="AJ11" s="106">
        <v>1088.8046924914556</v>
      </c>
      <c r="AK11" s="106">
        <v>1705.8046924914556</v>
      </c>
      <c r="AL11" s="106">
        <v>163</v>
      </c>
      <c r="AM11" s="106">
        <v>0</v>
      </c>
      <c r="AO11" s="106">
        <v>0</v>
      </c>
      <c r="AP11" s="106">
        <v>0</v>
      </c>
      <c r="AQ11" s="106">
        <v>163</v>
      </c>
      <c r="AS11" s="106">
        <v>163</v>
      </c>
      <c r="AT11" s="106">
        <v>0</v>
      </c>
      <c r="AU11" s="106">
        <v>163</v>
      </c>
      <c r="AV11" s="106">
        <v>0</v>
      </c>
      <c r="AW11" s="106">
        <v>163</v>
      </c>
      <c r="AX11" s="106">
        <v>0</v>
      </c>
      <c r="AY11" s="106">
        <v>0</v>
      </c>
      <c r="AZ11" s="106">
        <v>0</v>
      </c>
      <c r="BA11" s="106">
        <v>2794.6093849829113</v>
      </c>
    </row>
    <row r="12" spans="1:53" x14ac:dyDescent="0.2">
      <c r="B12" s="126">
        <v>3</v>
      </c>
      <c r="C12" s="112" t="s">
        <v>293</v>
      </c>
      <c r="J12" s="106">
        <v>1139.0302790528876</v>
      </c>
      <c r="L12" s="106">
        <v>0</v>
      </c>
      <c r="M12" s="106">
        <v>163</v>
      </c>
      <c r="N12" s="106">
        <v>0</v>
      </c>
      <c r="O12" s="106">
        <v>1705.8046924914556</v>
      </c>
      <c r="Q12" s="106">
        <v>163</v>
      </c>
      <c r="R12" s="106">
        <v>0</v>
      </c>
      <c r="S12" s="106">
        <v>163</v>
      </c>
      <c r="T12" s="106">
        <v>0</v>
      </c>
      <c r="U12" s="106">
        <v>163</v>
      </c>
      <c r="V12" s="106">
        <v>0</v>
      </c>
      <c r="W12" s="106">
        <v>0</v>
      </c>
      <c r="AA12" s="106">
        <v>163</v>
      </c>
      <c r="AB12" s="106">
        <v>0</v>
      </c>
      <c r="AF12" s="106">
        <v>0</v>
      </c>
      <c r="AH12" s="106">
        <v>0</v>
      </c>
      <c r="AL12" s="106">
        <v>0</v>
      </c>
      <c r="AO12" s="106">
        <v>0</v>
      </c>
      <c r="AP12" s="106">
        <v>163</v>
      </c>
      <c r="AS12" s="106">
        <v>0</v>
      </c>
      <c r="AW12" s="106">
        <v>925.80469249145563</v>
      </c>
    </row>
    <row r="13" spans="1:53" x14ac:dyDescent="0.2">
      <c r="B13" s="126">
        <v>4</v>
      </c>
      <c r="C13" s="112" t="s">
        <v>293</v>
      </c>
      <c r="I13" s="106">
        <v>0</v>
      </c>
      <c r="Y13" s="106">
        <v>0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20730.563256287063</v>
      </c>
      <c r="E14" s="123">
        <f t="shared" ref="E14:AZ14" si="0">D$172*SUM(D$122:D$169)</f>
        <v>21962.101628950819</v>
      </c>
      <c r="F14" s="123">
        <f t="shared" si="0"/>
        <v>21962.101628950819</v>
      </c>
      <c r="G14" s="123">
        <f t="shared" si="0"/>
        <v>21962.101628950819</v>
      </c>
      <c r="H14" s="123">
        <f t="shared" si="0"/>
        <v>21962.101628950822</v>
      </c>
      <c r="I14" s="123">
        <f t="shared" si="0"/>
        <v>21962.101628950826</v>
      </c>
      <c r="J14" s="123">
        <f t="shared" si="0"/>
        <v>21962.10162895083</v>
      </c>
      <c r="K14" s="123">
        <f t="shared" si="0"/>
        <v>21962.101628950826</v>
      </c>
      <c r="L14" s="123">
        <f t="shared" si="0"/>
        <v>21962.101628950826</v>
      </c>
      <c r="M14" s="123">
        <f t="shared" si="0"/>
        <v>21962.101628950826</v>
      </c>
      <c r="N14" s="123">
        <f t="shared" si="0"/>
        <v>21962.101628950826</v>
      </c>
      <c r="O14" s="123">
        <f t="shared" si="0"/>
        <v>21962.101628950826</v>
      </c>
      <c r="P14" s="123">
        <f t="shared" si="0"/>
        <v>21962.101628950826</v>
      </c>
      <c r="Q14" s="123">
        <f t="shared" si="0"/>
        <v>21962.101628950826</v>
      </c>
      <c r="R14" s="123">
        <f t="shared" si="0"/>
        <v>21962.101628950826</v>
      </c>
      <c r="S14" s="123">
        <f t="shared" si="0"/>
        <v>21962.10162895083</v>
      </c>
      <c r="T14" s="123">
        <f t="shared" si="0"/>
        <v>21962.101628950826</v>
      </c>
      <c r="U14" s="123">
        <f t="shared" si="0"/>
        <v>21962.10162895083</v>
      </c>
      <c r="V14" s="123">
        <f t="shared" si="0"/>
        <v>21962.101628950826</v>
      </c>
      <c r="W14" s="123">
        <f t="shared" si="0"/>
        <v>21962.101628950826</v>
      </c>
      <c r="X14" s="123">
        <f t="shared" si="0"/>
        <v>21962.101628950826</v>
      </c>
      <c r="Y14" s="123">
        <f t="shared" si="0"/>
        <v>21962.101628950826</v>
      </c>
      <c r="Z14" s="123">
        <f t="shared" si="0"/>
        <v>21962.101628950826</v>
      </c>
      <c r="AA14" s="123">
        <f t="shared" si="0"/>
        <v>21962.101628950826</v>
      </c>
      <c r="AB14" s="123">
        <f t="shared" si="0"/>
        <v>21962.101628950826</v>
      </c>
      <c r="AC14" s="123">
        <f t="shared" si="0"/>
        <v>21962.101628950826</v>
      </c>
      <c r="AD14" s="123">
        <f t="shared" si="0"/>
        <v>21962.101628950826</v>
      </c>
      <c r="AE14" s="123">
        <f t="shared" si="0"/>
        <v>21962.101628950826</v>
      </c>
      <c r="AF14" s="123">
        <f t="shared" si="0"/>
        <v>21962.10162895083</v>
      </c>
      <c r="AG14" s="123">
        <f t="shared" si="0"/>
        <v>21962.101628950822</v>
      </c>
      <c r="AH14" s="123">
        <f t="shared" si="0"/>
        <v>21962.101628950826</v>
      </c>
      <c r="AI14" s="123">
        <f t="shared" si="0"/>
        <v>21962.10162895083</v>
      </c>
      <c r="AJ14" s="123">
        <f t="shared" si="0"/>
        <v>21962.10162895083</v>
      </c>
      <c r="AK14" s="123">
        <f t="shared" si="0"/>
        <v>21962.101628950822</v>
      </c>
      <c r="AL14" s="123">
        <f t="shared" si="0"/>
        <v>21962.101628950826</v>
      </c>
      <c r="AM14" s="123">
        <f t="shared" si="0"/>
        <v>21962.101628950826</v>
      </c>
      <c r="AN14" s="123">
        <f t="shared" si="0"/>
        <v>21962.101628950826</v>
      </c>
      <c r="AO14" s="123">
        <f t="shared" si="0"/>
        <v>21962.101628950826</v>
      </c>
      <c r="AP14" s="123">
        <f t="shared" si="0"/>
        <v>21962.101628950826</v>
      </c>
      <c r="AQ14" s="123">
        <f t="shared" si="0"/>
        <v>21962.10162895083</v>
      </c>
      <c r="AR14" s="123">
        <f t="shared" si="0"/>
        <v>21962.101628950826</v>
      </c>
      <c r="AS14" s="123">
        <f t="shared" si="0"/>
        <v>21962.10162895083</v>
      </c>
      <c r="AT14" s="123">
        <f t="shared" si="0"/>
        <v>21962.101628950826</v>
      </c>
      <c r="AU14" s="123">
        <f t="shared" si="0"/>
        <v>21962.10162895083</v>
      </c>
      <c r="AV14" s="123">
        <f t="shared" si="0"/>
        <v>21962.10162895083</v>
      </c>
      <c r="AW14" s="123">
        <f t="shared" si="0"/>
        <v>21962.101628950819</v>
      </c>
      <c r="AX14" s="123">
        <f t="shared" si="0"/>
        <v>21962.101628950815</v>
      </c>
      <c r="AY14" s="123">
        <f t="shared" si="0"/>
        <v>21962.101628950819</v>
      </c>
      <c r="AZ14" s="116">
        <f t="shared" si="0"/>
        <v>21962.101628950819</v>
      </c>
      <c r="BA14" s="113">
        <f>SUM($E14:$AZ14)</f>
        <v>1054180.878189639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30244.478635702173</v>
      </c>
      <c r="E15" s="130">
        <v>30244.478635702173</v>
      </c>
      <c r="F15" s="130">
        <v>30244.478635702173</v>
      </c>
      <c r="G15" s="130">
        <v>30244.478635702173</v>
      </c>
      <c r="H15" s="130">
        <v>26883.981009513045</v>
      </c>
      <c r="I15" s="130">
        <v>26883.981009513045</v>
      </c>
      <c r="J15" s="130">
        <v>26883.981009513045</v>
      </c>
      <c r="K15" s="130">
        <v>26883.981009513045</v>
      </c>
      <c r="L15" s="130">
        <v>26883.981009513045</v>
      </c>
      <c r="M15" s="130">
        <v>26883.981009513045</v>
      </c>
      <c r="N15" s="130">
        <v>26883.981009513045</v>
      </c>
      <c r="O15" s="130">
        <v>26883.981009513045</v>
      </c>
      <c r="P15" s="130">
        <v>30244.478635702173</v>
      </c>
      <c r="Q15" s="130">
        <v>30244.478635702173</v>
      </c>
      <c r="R15" s="130">
        <v>30244.478635702173</v>
      </c>
      <c r="S15" s="130">
        <v>30244.478635702173</v>
      </c>
      <c r="T15" s="130">
        <v>26883.981009513045</v>
      </c>
      <c r="U15" s="130">
        <v>26883.981009513045</v>
      </c>
      <c r="V15" s="130">
        <v>26883.981009513045</v>
      </c>
      <c r="W15" s="130">
        <v>26883.981009513045</v>
      </c>
      <c r="X15" s="130">
        <v>26883.981009513045</v>
      </c>
      <c r="Y15" s="130">
        <v>26883.981009513045</v>
      </c>
      <c r="Z15" s="130">
        <v>26883.981009513045</v>
      </c>
      <c r="AA15" s="130">
        <v>26883.981009513045</v>
      </c>
      <c r="AB15" s="130">
        <v>30244.478635702173</v>
      </c>
      <c r="AC15" s="130">
        <v>30244.478635702173</v>
      </c>
      <c r="AD15" s="130">
        <v>30244.478635702173</v>
      </c>
      <c r="AE15" s="130">
        <v>30244.478635702173</v>
      </c>
      <c r="AF15" s="130">
        <v>26883.981009513045</v>
      </c>
      <c r="AG15" s="130">
        <v>26883.981009513045</v>
      </c>
      <c r="AH15" s="130">
        <v>26883.981009513045</v>
      </c>
      <c r="AI15" s="130">
        <v>26883.981009513045</v>
      </c>
      <c r="AJ15" s="130">
        <v>26883.981009513045</v>
      </c>
      <c r="AK15" s="130">
        <v>26883.981009513045</v>
      </c>
      <c r="AL15" s="130">
        <v>26883.981009513045</v>
      </c>
      <c r="AM15" s="130">
        <v>26883.981009513045</v>
      </c>
      <c r="AN15" s="130">
        <v>30244.478635702173</v>
      </c>
      <c r="AO15" s="130">
        <v>30244.478635702173</v>
      </c>
      <c r="AP15" s="130">
        <v>30244.478635702173</v>
      </c>
      <c r="AQ15" s="130">
        <v>30244.478635702173</v>
      </c>
      <c r="AR15" s="130">
        <v>26883.981009513045</v>
      </c>
      <c r="AS15" s="130">
        <v>26883.981009513045</v>
      </c>
      <c r="AT15" s="130">
        <v>26883.981009513045</v>
      </c>
      <c r="AU15" s="130">
        <v>26883.981009513045</v>
      </c>
      <c r="AV15" s="130">
        <v>26883.981009513045</v>
      </c>
      <c r="AW15" s="130">
        <v>26883.981009513045</v>
      </c>
      <c r="AX15" s="130">
        <v>26883.981009513045</v>
      </c>
      <c r="AY15" s="130">
        <v>26883.981009513045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/>
      <c r="H16" s="116">
        <v>0</v>
      </c>
      <c r="I16" s="116">
        <v>0</v>
      </c>
      <c r="J16" s="116">
        <v>0</v>
      </c>
      <c r="K16" s="116"/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/>
      <c r="U16" s="116"/>
      <c r="V16" s="116">
        <v>0</v>
      </c>
      <c r="W16" s="116"/>
      <c r="X16" s="116">
        <v>0</v>
      </c>
      <c r="Y16" s="116">
        <v>0</v>
      </c>
      <c r="Z16" s="116"/>
      <c r="AA16" s="116"/>
      <c r="AB16" s="116">
        <v>0</v>
      </c>
      <c r="AC16" s="116">
        <v>0</v>
      </c>
      <c r="AD16" s="116">
        <v>0</v>
      </c>
      <c r="AE16" s="116"/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/>
      <c r="AO16" s="116">
        <v>0</v>
      </c>
      <c r="AP16" s="116">
        <v>0</v>
      </c>
      <c r="AQ16" s="116">
        <v>0</v>
      </c>
      <c r="AR16" s="116"/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>
        <v>0</v>
      </c>
      <c r="K17" s="116"/>
      <c r="L17" s="116">
        <v>0</v>
      </c>
      <c r="M17" s="116">
        <v>0</v>
      </c>
      <c r="N17" s="116">
        <v>0</v>
      </c>
      <c r="O17" s="116">
        <v>0</v>
      </c>
      <c r="P17" s="116"/>
      <c r="Q17" s="116">
        <v>0</v>
      </c>
      <c r="R17" s="116">
        <v>0</v>
      </c>
      <c r="S17" s="116">
        <v>0</v>
      </c>
      <c r="T17" s="116">
        <v>0</v>
      </c>
      <c r="U17" s="116">
        <v>0</v>
      </c>
      <c r="V17" s="116">
        <v>0</v>
      </c>
      <c r="W17" s="116">
        <v>0</v>
      </c>
      <c r="X17" s="116"/>
      <c r="Y17" s="116"/>
      <c r="Z17" s="116"/>
      <c r="AA17" s="116">
        <v>0</v>
      </c>
      <c r="AB17" s="116">
        <v>0</v>
      </c>
      <c r="AC17" s="116"/>
      <c r="AD17" s="116"/>
      <c r="AE17" s="116"/>
      <c r="AF17" s="116">
        <v>0</v>
      </c>
      <c r="AG17" s="116"/>
      <c r="AH17" s="116">
        <v>0</v>
      </c>
      <c r="AI17" s="116"/>
      <c r="AJ17" s="116"/>
      <c r="AK17" s="116"/>
      <c r="AL17" s="116">
        <v>0</v>
      </c>
      <c r="AM17" s="116"/>
      <c r="AN17" s="116"/>
      <c r="AO17" s="116">
        <v>0</v>
      </c>
      <c r="AP17" s="116">
        <v>0</v>
      </c>
      <c r="AQ17" s="116"/>
      <c r="AR17" s="116"/>
      <c r="AS17" s="116">
        <v>0</v>
      </c>
      <c r="AT17" s="116"/>
      <c r="AU17" s="116"/>
      <c r="AV17" s="116"/>
      <c r="AW17" s="116">
        <v>0</v>
      </c>
      <c r="AX17" s="116"/>
      <c r="AY17" s="116"/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>
        <v>0</v>
      </c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>
        <v>0</v>
      </c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>
        <v>5624.3222001645936</v>
      </c>
      <c r="E21" s="130">
        <v>5626.3283710610576</v>
      </c>
      <c r="F21" s="130">
        <v>6059.8728117042956</v>
      </c>
      <c r="G21" s="130">
        <v>6059.8728117042956</v>
      </c>
      <c r="H21" s="130">
        <v>4649.6523007033074</v>
      </c>
      <c r="I21" s="130">
        <v>5769.6912099601541</v>
      </c>
      <c r="J21" s="130">
        <v>5769.6912099601541</v>
      </c>
      <c r="K21" s="130">
        <v>5769.6912099601541</v>
      </c>
      <c r="L21" s="130">
        <v>5769.6912099601541</v>
      </c>
      <c r="M21" s="130">
        <v>5769.6912099601541</v>
      </c>
      <c r="N21" s="130">
        <v>5769.6912099601541</v>
      </c>
      <c r="O21" s="130">
        <v>5769.6912099601541</v>
      </c>
      <c r="P21" s="130">
        <v>6059.8728117042956</v>
      </c>
      <c r="Q21" s="130">
        <v>6059.8728117042956</v>
      </c>
      <c r="R21" s="130">
        <v>6059.8728117042956</v>
      </c>
      <c r="S21" s="130">
        <v>6059.8728117042956</v>
      </c>
      <c r="T21" s="130">
        <v>5769.6912099601541</v>
      </c>
      <c r="U21" s="130">
        <v>5769.6912099601541</v>
      </c>
      <c r="V21" s="130">
        <v>5769.6912099601541</v>
      </c>
      <c r="W21" s="130">
        <v>5769.6912099601541</v>
      </c>
      <c r="X21" s="130">
        <v>5769.6912099601541</v>
      </c>
      <c r="Y21" s="130">
        <v>5769.6912099601541</v>
      </c>
      <c r="Z21" s="130">
        <v>5769.6912099601541</v>
      </c>
      <c r="AA21" s="130">
        <v>5769.6912099601541</v>
      </c>
      <c r="AB21" s="130">
        <v>6059.8728117042956</v>
      </c>
      <c r="AC21" s="130">
        <v>6059.8728117042956</v>
      </c>
      <c r="AD21" s="130">
        <v>6059.8728117042956</v>
      </c>
      <c r="AE21" s="130">
        <v>6059.8728117042956</v>
      </c>
      <c r="AF21" s="130">
        <v>5769.6912099601541</v>
      </c>
      <c r="AG21" s="130">
        <v>5769.6912099601541</v>
      </c>
      <c r="AH21" s="130">
        <v>5769.6912099601541</v>
      </c>
      <c r="AI21" s="130">
        <v>5769.6912099601541</v>
      </c>
      <c r="AJ21" s="130">
        <v>5396.8025581035263</v>
      </c>
      <c r="AK21" s="130">
        <v>5398.6540448241549</v>
      </c>
      <c r="AL21" s="130">
        <v>5769.6912099601541</v>
      </c>
      <c r="AM21" s="130">
        <v>5769.6912099601541</v>
      </c>
      <c r="AN21" s="130">
        <v>6059.8728117042956</v>
      </c>
      <c r="AO21" s="130">
        <v>6059.8728117042956</v>
      </c>
      <c r="AP21" s="130">
        <v>6059.8728117042956</v>
      </c>
      <c r="AQ21" s="130">
        <v>6059.8728117042956</v>
      </c>
      <c r="AR21" s="130">
        <v>5411.3189376531864</v>
      </c>
      <c r="AS21" s="130">
        <v>5769.6912099601541</v>
      </c>
      <c r="AT21" s="130">
        <v>4667.8195774451769</v>
      </c>
      <c r="AU21" s="130">
        <v>5769.6912099601541</v>
      </c>
      <c r="AV21" s="130">
        <v>5418.2982473491566</v>
      </c>
      <c r="AW21" s="130">
        <v>5420.0109378507232</v>
      </c>
      <c r="AX21" s="130">
        <v>5769.6912099601541</v>
      </c>
      <c r="AY21" s="130">
        <v>5769.6912099601541</v>
      </c>
    </row>
    <row r="22" spans="1:51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1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>
        <v>313</v>
      </c>
      <c r="E25" s="116">
        <v>0</v>
      </c>
      <c r="F25" s="116">
        <v>2082.0302790528876</v>
      </c>
      <c r="G25" s="116">
        <v>0</v>
      </c>
      <c r="H25" s="116">
        <v>943</v>
      </c>
      <c r="I25" s="116">
        <v>1919.0302790528876</v>
      </c>
      <c r="J25" s="116">
        <v>1868.8046924914556</v>
      </c>
      <c r="K25" s="116">
        <v>1705.8046924914556</v>
      </c>
      <c r="L25" s="116">
        <v>1868.8046924914556</v>
      </c>
      <c r="M25" s="116">
        <v>0</v>
      </c>
      <c r="N25" s="116">
        <v>943</v>
      </c>
      <c r="O25" s="116">
        <v>0</v>
      </c>
      <c r="P25" s="116">
        <v>1868.8046924914556</v>
      </c>
      <c r="Q25" s="116">
        <v>0</v>
      </c>
      <c r="R25" s="116">
        <v>2082.0302790528876</v>
      </c>
      <c r="S25" s="116">
        <v>1919.0302790528876</v>
      </c>
      <c r="T25" s="116">
        <v>2082.0302790528876</v>
      </c>
      <c r="U25" s="116">
        <v>1919.0302790528876</v>
      </c>
      <c r="V25" s="116">
        <v>1868.8046924914556</v>
      </c>
      <c r="W25" s="116">
        <v>1705.8046924914556</v>
      </c>
      <c r="X25" s="116">
        <v>1868.8046924914556</v>
      </c>
      <c r="Y25" s="116">
        <v>1705.8046924914556</v>
      </c>
      <c r="Z25" s="116">
        <v>163</v>
      </c>
      <c r="AA25" s="116">
        <v>3411.6093849829113</v>
      </c>
      <c r="AB25" s="116">
        <v>1868.8046924914556</v>
      </c>
      <c r="AC25" s="116">
        <v>780</v>
      </c>
      <c r="AD25" s="116">
        <v>2082.0302790528876</v>
      </c>
      <c r="AE25" s="116">
        <v>1919.0302790528876</v>
      </c>
      <c r="AF25" s="116">
        <v>163</v>
      </c>
      <c r="AG25" s="116">
        <v>780</v>
      </c>
      <c r="AH25" s="116">
        <v>1868.8046924914556</v>
      </c>
      <c r="AI25" s="116">
        <v>780</v>
      </c>
      <c r="AJ25" s="116">
        <v>163</v>
      </c>
      <c r="AK25" s="116">
        <v>1705.8046924914556</v>
      </c>
      <c r="AL25" s="116">
        <v>1705.8046924914556</v>
      </c>
      <c r="AM25" s="116">
        <v>1868.8046924914556</v>
      </c>
      <c r="AN25" s="116">
        <v>1705.8046924914556</v>
      </c>
      <c r="AO25" s="116">
        <v>1868.8046924914556</v>
      </c>
      <c r="AP25" s="116">
        <v>1919.0302790528876</v>
      </c>
      <c r="AQ25" s="116">
        <v>2082.0302790528876</v>
      </c>
      <c r="AR25" s="116">
        <v>1919.0302790528876</v>
      </c>
      <c r="AS25" s="116">
        <v>2082.0302790528876</v>
      </c>
      <c r="AT25" s="116">
        <v>1705.8046924914556</v>
      </c>
      <c r="AU25" s="116">
        <v>943</v>
      </c>
      <c r="AV25" s="116">
        <v>1705.8046924914556</v>
      </c>
      <c r="AW25" s="116">
        <v>1705.8046924914556</v>
      </c>
      <c r="AX25" s="116">
        <v>1705.8046924914556</v>
      </c>
      <c r="AY25" s="116">
        <v>163</v>
      </c>
    </row>
    <row r="26" spans="1:51" x14ac:dyDescent="0.2">
      <c r="A26" s="115"/>
      <c r="B26" s="125">
        <v>2</v>
      </c>
      <c r="C26" s="115" t="s">
        <v>293</v>
      </c>
      <c r="D26" s="116">
        <v>223</v>
      </c>
      <c r="E26" s="116">
        <v>0</v>
      </c>
      <c r="F26" s="116">
        <v>313</v>
      </c>
      <c r="G26" s="116">
        <v>0</v>
      </c>
      <c r="H26" s="116">
        <v>2082.0302790528876</v>
      </c>
      <c r="I26" s="116">
        <v>0</v>
      </c>
      <c r="J26" s="116">
        <v>163</v>
      </c>
      <c r="K26" s="116">
        <v>0</v>
      </c>
      <c r="L26" s="116">
        <v>0</v>
      </c>
      <c r="M26" s="116">
        <v>0</v>
      </c>
      <c r="N26" s="116">
        <v>163</v>
      </c>
      <c r="O26" s="116">
        <v>925.80469249145563</v>
      </c>
      <c r="P26" s="116">
        <v>1705.8046924914556</v>
      </c>
      <c r="Q26" s="116">
        <v>0</v>
      </c>
      <c r="R26" s="116">
        <v>1705.8046924914556</v>
      </c>
      <c r="S26" s="116">
        <v>0</v>
      </c>
      <c r="T26" s="116">
        <v>0</v>
      </c>
      <c r="U26" s="116">
        <v>0</v>
      </c>
      <c r="V26" s="116">
        <v>163</v>
      </c>
      <c r="W26" s="116">
        <v>0</v>
      </c>
      <c r="X26" s="116">
        <v>163</v>
      </c>
      <c r="Y26" s="116">
        <v>0</v>
      </c>
      <c r="Z26" s="116">
        <v>0</v>
      </c>
      <c r="AA26" s="116">
        <v>0</v>
      </c>
      <c r="AB26" s="116">
        <v>163</v>
      </c>
      <c r="AC26" s="116">
        <v>0</v>
      </c>
      <c r="AD26" s="116">
        <v>1088.8046924914556</v>
      </c>
      <c r="AE26" s="116">
        <v>0</v>
      </c>
      <c r="AF26" s="116">
        <v>163</v>
      </c>
      <c r="AG26" s="116">
        <v>1919.0302790528876</v>
      </c>
      <c r="AH26" s="116">
        <v>1302.0302790528876</v>
      </c>
      <c r="AI26" s="116">
        <v>0</v>
      </c>
      <c r="AJ26" s="116">
        <v>1088.8046924914556</v>
      </c>
      <c r="AK26" s="116">
        <v>1705.8046924914556</v>
      </c>
      <c r="AL26" s="116">
        <v>163</v>
      </c>
      <c r="AM26" s="116">
        <v>0</v>
      </c>
      <c r="AN26" s="116">
        <v>0</v>
      </c>
      <c r="AO26" s="116">
        <v>0</v>
      </c>
      <c r="AP26" s="116">
        <v>0</v>
      </c>
      <c r="AQ26" s="116">
        <v>163</v>
      </c>
      <c r="AR26" s="116">
        <v>0</v>
      </c>
      <c r="AS26" s="116">
        <v>163</v>
      </c>
      <c r="AT26" s="116">
        <v>0</v>
      </c>
      <c r="AU26" s="116">
        <v>163</v>
      </c>
      <c r="AV26" s="116">
        <v>0</v>
      </c>
      <c r="AW26" s="116">
        <v>163</v>
      </c>
      <c r="AX26" s="116">
        <v>0</v>
      </c>
      <c r="AY26" s="116">
        <v>0</v>
      </c>
    </row>
    <row r="27" spans="1:51" x14ac:dyDescent="0.2">
      <c r="A27" s="115"/>
      <c r="B27" s="126">
        <v>3</v>
      </c>
      <c r="C27" s="115" t="s">
        <v>293</v>
      </c>
      <c r="D27" s="116">
        <v>0</v>
      </c>
      <c r="E27" s="116">
        <v>0</v>
      </c>
      <c r="F27" s="116">
        <v>0</v>
      </c>
      <c r="G27" s="116">
        <v>0</v>
      </c>
      <c r="H27" s="116">
        <v>0</v>
      </c>
      <c r="I27" s="116">
        <v>0</v>
      </c>
      <c r="J27" s="116">
        <v>1139.0302790528876</v>
      </c>
      <c r="K27" s="116">
        <v>0</v>
      </c>
      <c r="L27" s="116">
        <v>0</v>
      </c>
      <c r="M27" s="116">
        <v>163</v>
      </c>
      <c r="N27" s="116">
        <v>0</v>
      </c>
      <c r="O27" s="116">
        <v>1705.8046924914556</v>
      </c>
      <c r="P27" s="116">
        <v>0</v>
      </c>
      <c r="Q27" s="116">
        <v>163</v>
      </c>
      <c r="R27" s="116">
        <v>0</v>
      </c>
      <c r="S27" s="116">
        <v>163</v>
      </c>
      <c r="T27" s="116">
        <v>0</v>
      </c>
      <c r="U27" s="116">
        <v>163</v>
      </c>
      <c r="V27" s="116">
        <v>0</v>
      </c>
      <c r="W27" s="116">
        <v>0</v>
      </c>
      <c r="X27" s="116">
        <v>0</v>
      </c>
      <c r="Y27" s="116">
        <v>0</v>
      </c>
      <c r="Z27" s="116">
        <v>0</v>
      </c>
      <c r="AA27" s="116">
        <v>163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  <c r="AO27" s="116">
        <v>0</v>
      </c>
      <c r="AP27" s="116">
        <v>163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925.80469249145563</v>
      </c>
      <c r="AX27" s="116">
        <v>0</v>
      </c>
      <c r="AY27" s="116">
        <v>0</v>
      </c>
    </row>
    <row r="28" spans="1:51" x14ac:dyDescent="0.2">
      <c r="A28" s="115"/>
      <c r="B28" s="126">
        <v>4</v>
      </c>
      <c r="C28" s="115" t="s">
        <v>293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1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1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>
        <v>20730.563256287063</v>
      </c>
      <c r="E33" s="112">
        <v>21962.101628950819</v>
      </c>
      <c r="F33" s="112">
        <v>21962.101628950819</v>
      </c>
      <c r="G33" s="112">
        <v>21962.101628950819</v>
      </c>
      <c r="H33" s="112">
        <v>21962.101628950822</v>
      </c>
      <c r="I33" s="112">
        <v>21962.101628950826</v>
      </c>
      <c r="J33" s="112">
        <v>21962.10162895083</v>
      </c>
      <c r="K33" s="112">
        <v>21962.101628950826</v>
      </c>
      <c r="L33" s="112">
        <v>21962.101628950826</v>
      </c>
      <c r="M33" s="112">
        <v>21962.101628950826</v>
      </c>
      <c r="N33" s="112">
        <v>21962.101628950826</v>
      </c>
      <c r="O33" s="112">
        <v>21962.101628950826</v>
      </c>
      <c r="P33" s="112">
        <v>21962.101628950826</v>
      </c>
      <c r="Q33" s="112">
        <v>21962.101628950826</v>
      </c>
      <c r="R33" s="112">
        <v>21962.101628950826</v>
      </c>
      <c r="S33" s="112">
        <v>21962.10162895083</v>
      </c>
      <c r="T33" s="112">
        <v>21962.101628950826</v>
      </c>
      <c r="U33" s="112">
        <v>21962.10162895083</v>
      </c>
      <c r="V33" s="112">
        <v>21962.101628950826</v>
      </c>
      <c r="W33" s="112">
        <v>21962.101628950826</v>
      </c>
      <c r="X33" s="112">
        <v>21962.101628950826</v>
      </c>
      <c r="Y33" s="112">
        <v>21962.101628950826</v>
      </c>
      <c r="Z33" s="112">
        <v>21962.101628950826</v>
      </c>
      <c r="AA33" s="112">
        <v>21962.101628950826</v>
      </c>
      <c r="AB33" s="112">
        <v>21962.101628950826</v>
      </c>
      <c r="AC33" s="112">
        <v>21962.101628950826</v>
      </c>
      <c r="AD33" s="112">
        <v>21962.101628950826</v>
      </c>
      <c r="AE33" s="112">
        <v>21962.101628950826</v>
      </c>
      <c r="AF33" s="112">
        <v>21962.10162895083</v>
      </c>
      <c r="AG33" s="112">
        <v>21962.101628950822</v>
      </c>
      <c r="AH33" s="112">
        <v>21962.101628950826</v>
      </c>
      <c r="AI33" s="112">
        <v>21962.10162895083</v>
      </c>
      <c r="AJ33" s="112">
        <v>21962.10162895083</v>
      </c>
      <c r="AK33" s="112">
        <v>21962.101628950822</v>
      </c>
      <c r="AL33" s="112">
        <v>21962.101628950826</v>
      </c>
      <c r="AM33" s="112">
        <v>21962.101628950826</v>
      </c>
      <c r="AN33" s="112">
        <v>21962.101628950826</v>
      </c>
      <c r="AO33" s="112">
        <v>21962.101628950826</v>
      </c>
      <c r="AP33" s="112">
        <v>21962.101628950826</v>
      </c>
      <c r="AQ33" s="112">
        <v>21962.10162895083</v>
      </c>
      <c r="AR33" s="112">
        <v>21962.101628950826</v>
      </c>
      <c r="AS33" s="112">
        <v>21962.10162895083</v>
      </c>
      <c r="AT33" s="112">
        <v>21962.101628950826</v>
      </c>
      <c r="AU33" s="112">
        <v>21962.10162895083</v>
      </c>
      <c r="AV33" s="112">
        <v>21962.10162895083</v>
      </c>
      <c r="AW33" s="112">
        <v>21962.101628950819</v>
      </c>
      <c r="AX33" s="112">
        <v>21962.101628950815</v>
      </c>
      <c r="AY33" s="112">
        <v>21962.101628950819</v>
      </c>
    </row>
    <row r="34" spans="1:51" x14ac:dyDescent="0.2">
      <c r="A34" s="115"/>
      <c r="B34" s="125">
        <v>2</v>
      </c>
      <c r="C34" s="115" t="s">
        <v>293</v>
      </c>
      <c r="D34" s="112">
        <v>1320.8564047739601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</row>
    <row r="35" spans="1:51" x14ac:dyDescent="0.2">
      <c r="A35" s="115"/>
      <c r="B35" s="125">
        <v>3</v>
      </c>
      <c r="C35" s="115" t="s">
        <v>293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293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293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293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293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293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>
        <v>3437.054305712571</v>
      </c>
      <c r="F47" s="116">
        <v>6269.5349487281064</v>
      </c>
      <c r="G47" s="116">
        <v>6269.5349487281001</v>
      </c>
      <c r="H47" s="116">
        <v>2909.037322538979</v>
      </c>
      <c r="I47" s="116">
        <v>995.66891968736309</v>
      </c>
      <c r="J47" s="116"/>
      <c r="K47" s="116"/>
      <c r="L47" s="116"/>
      <c r="M47" s="116"/>
      <c r="N47" s="116"/>
      <c r="O47" s="116"/>
      <c r="P47" s="116">
        <v>3266.7509139474432</v>
      </c>
      <c r="Q47" s="116">
        <v>5180.119316799055</v>
      </c>
      <c r="R47" s="116">
        <v>6269.5349487280982</v>
      </c>
      <c r="S47" s="116">
        <v>6269.5349487281073</v>
      </c>
      <c r="T47" s="116">
        <v>2909.0373225389699</v>
      </c>
      <c r="U47" s="116">
        <v>995.66891968736991</v>
      </c>
      <c r="V47" s="116"/>
      <c r="W47" s="116"/>
      <c r="X47" s="116"/>
      <c r="Y47" s="116"/>
      <c r="Z47" s="116"/>
      <c r="AA47" s="116"/>
      <c r="AB47" s="116">
        <v>3266.7509139474432</v>
      </c>
      <c r="AC47" s="116">
        <v>5180.119316799055</v>
      </c>
      <c r="AD47" s="116">
        <v>6269.5349487281019</v>
      </c>
      <c r="AE47" s="116">
        <v>6269.5349487280982</v>
      </c>
      <c r="AF47" s="116">
        <v>2909.0373225389831</v>
      </c>
      <c r="AG47" s="116">
        <v>995.66891968736991</v>
      </c>
      <c r="AH47" s="116"/>
      <c r="AI47" s="116"/>
      <c r="AJ47" s="116"/>
      <c r="AK47" s="116"/>
      <c r="AL47" s="116"/>
      <c r="AM47" s="116"/>
      <c r="AN47" s="116">
        <v>3266.7509139474441</v>
      </c>
      <c r="AO47" s="116">
        <v>5180.1193167990514</v>
      </c>
      <c r="AP47" s="116">
        <v>6269.5349487280992</v>
      </c>
      <c r="AQ47" s="116">
        <v>6269.5349487281073</v>
      </c>
      <c r="AR47" s="116">
        <v>2909.0373225389699</v>
      </c>
      <c r="AS47" s="116">
        <v>995.66891968736991</v>
      </c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>
        <v>2432.096038381615</v>
      </c>
      <c r="E48" s="116">
        <v>3969.7995800832173</v>
      </c>
      <c r="F48" s="116">
        <v>1687.8420580232439</v>
      </c>
      <c r="G48" s="116">
        <v>1617.8420580232437</v>
      </c>
      <c r="H48" s="116">
        <v>1649.8420580232473</v>
      </c>
      <c r="I48" s="116">
        <v>2693.2104608748486</v>
      </c>
      <c r="J48" s="116">
        <v>2768.879380562219</v>
      </c>
      <c r="K48" s="116">
        <v>2909.8793805622154</v>
      </c>
      <c r="L48" s="116">
        <v>2873.8793805622154</v>
      </c>
      <c r="M48" s="116">
        <v>4633.879380562219</v>
      </c>
      <c r="N48" s="116">
        <v>4687.879380562219</v>
      </c>
      <c r="O48" s="116">
        <v>4679.8793805622117</v>
      </c>
      <c r="P48" s="116">
        <v>4735.6260928039037</v>
      </c>
      <c r="Q48" s="116">
        <v>1768.257689952296</v>
      </c>
      <c r="R48" s="116">
        <v>643.84205802324186</v>
      </c>
      <c r="S48" s="116">
        <v>871.84205802324686</v>
      </c>
      <c r="T48" s="116">
        <v>630.84205802324186</v>
      </c>
      <c r="U48" s="116">
        <v>2832.2104608748527</v>
      </c>
      <c r="V48" s="116">
        <v>4143.8793805622154</v>
      </c>
      <c r="W48" s="116">
        <v>4011.8793805622154</v>
      </c>
      <c r="X48" s="116">
        <v>4022.8793805622154</v>
      </c>
      <c r="Y48" s="116">
        <v>3933.8793805622154</v>
      </c>
      <c r="Z48" s="116">
        <v>3758.879380562219</v>
      </c>
      <c r="AA48" s="116">
        <v>3814.8793805622117</v>
      </c>
      <c r="AB48" s="116">
        <v>4121.6260928039037</v>
      </c>
      <c r="AC48" s="116">
        <v>2830.257689952296</v>
      </c>
      <c r="AD48" s="116">
        <v>1680.8420580232419</v>
      </c>
      <c r="AE48" s="116">
        <v>1693.8420580232448</v>
      </c>
      <c r="AF48" s="116">
        <v>1705.8420580232469</v>
      </c>
      <c r="AG48" s="116">
        <v>3016.2104608748455</v>
      </c>
      <c r="AH48" s="116">
        <v>3795.8793805622081</v>
      </c>
      <c r="AI48" s="116">
        <v>4036.8793805622154</v>
      </c>
      <c r="AJ48" s="116">
        <v>3767.8793805622263</v>
      </c>
      <c r="AK48" s="116">
        <v>3869.8793805622117</v>
      </c>
      <c r="AL48" s="116">
        <v>3990.8793805622154</v>
      </c>
      <c r="AM48" s="116">
        <v>4047.8793805622154</v>
      </c>
      <c r="AN48" s="116">
        <v>3996.6260928039028</v>
      </c>
      <c r="AO48" s="116">
        <v>1363.2576899522956</v>
      </c>
      <c r="AP48" s="116">
        <v>560.84205802324391</v>
      </c>
      <c r="AQ48" s="116">
        <v>483.84205802324641</v>
      </c>
      <c r="AR48" s="116">
        <v>681.84205802324186</v>
      </c>
      <c r="AS48" s="116">
        <v>2448.2104608748527</v>
      </c>
      <c r="AT48" s="116">
        <v>3841.8793805622045</v>
      </c>
      <c r="AU48" s="116">
        <v>3624.8793805622154</v>
      </c>
      <c r="AV48" s="116">
        <v>3658.879380562219</v>
      </c>
      <c r="AW48" s="116">
        <v>4179.8793805622372</v>
      </c>
      <c r="AX48" s="116">
        <v>4263.8793805622263</v>
      </c>
      <c r="AY48" s="116">
        <v>4339.8793805622263</v>
      </c>
    </row>
    <row r="49" spans="1:51" x14ac:dyDescent="0.2">
      <c r="A49" s="115"/>
      <c r="B49" s="125">
        <v>5</v>
      </c>
      <c r="C49" s="115" t="s">
        <v>293</v>
      </c>
      <c r="D49" s="116">
        <v>2260.2869952919641</v>
      </c>
      <c r="E49" s="116">
        <v>568.52312095555897</v>
      </c>
      <c r="F49" s="116">
        <v>0</v>
      </c>
      <c r="G49" s="116">
        <v>0</v>
      </c>
      <c r="H49" s="116">
        <v>0</v>
      </c>
      <c r="I49" s="116">
        <v>0</v>
      </c>
      <c r="J49" s="116">
        <v>0</v>
      </c>
      <c r="K49" s="116">
        <v>0</v>
      </c>
      <c r="L49" s="116">
        <v>0</v>
      </c>
      <c r="M49" s="116">
        <v>0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0</v>
      </c>
      <c r="T49" s="116">
        <v>0</v>
      </c>
      <c r="U49" s="116">
        <v>0</v>
      </c>
      <c r="V49" s="116">
        <v>0</v>
      </c>
      <c r="W49" s="116">
        <v>0</v>
      </c>
      <c r="X49" s="116">
        <v>0</v>
      </c>
      <c r="Y49" s="116">
        <v>0</v>
      </c>
      <c r="Z49" s="116">
        <v>0</v>
      </c>
      <c r="AA49" s="116">
        <v>0</v>
      </c>
      <c r="AB49" s="116">
        <v>0</v>
      </c>
      <c r="AC49" s="116">
        <v>0</v>
      </c>
      <c r="AD49" s="116">
        <v>0</v>
      </c>
      <c r="AE49" s="116">
        <v>0</v>
      </c>
      <c r="AF49" s="116">
        <v>0</v>
      </c>
      <c r="AG49" s="116">
        <v>0</v>
      </c>
      <c r="AH49" s="116">
        <v>0</v>
      </c>
      <c r="AI49" s="116">
        <v>0</v>
      </c>
      <c r="AJ49" s="116">
        <v>0</v>
      </c>
      <c r="AK49" s="116">
        <v>0</v>
      </c>
      <c r="AL49" s="116">
        <v>0</v>
      </c>
      <c r="AM49" s="116">
        <v>0</v>
      </c>
      <c r="AN49" s="116">
        <v>0</v>
      </c>
      <c r="AO49" s="116">
        <v>0</v>
      </c>
      <c r="AP49" s="116">
        <v>0</v>
      </c>
      <c r="AQ49" s="116">
        <v>0</v>
      </c>
      <c r="AR49" s="116">
        <v>0</v>
      </c>
      <c r="AS49" s="116">
        <v>0</v>
      </c>
      <c r="AT49" s="116">
        <v>0</v>
      </c>
      <c r="AU49" s="116">
        <v>0</v>
      </c>
      <c r="AV49" s="116">
        <v>0</v>
      </c>
      <c r="AW49" s="116">
        <v>0</v>
      </c>
      <c r="AX49" s="116">
        <v>0</v>
      </c>
      <c r="AY49" s="116">
        <v>0</v>
      </c>
    </row>
    <row r="50" spans="1:51" x14ac:dyDescent="0.2">
      <c r="A50" s="115"/>
      <c r="B50" s="125">
        <v>6</v>
      </c>
      <c r="C50" s="115" t="s">
        <v>293</v>
      </c>
      <c r="D50" s="116">
        <v>1165.6759409675781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</v>
      </c>
      <c r="AR50" s="116">
        <v>0</v>
      </c>
      <c r="AS50" s="116">
        <v>0</v>
      </c>
      <c r="AT50" s="116">
        <v>0</v>
      </c>
      <c r="AU50" s="116">
        <v>0</v>
      </c>
      <c r="AV50" s="116">
        <v>0</v>
      </c>
      <c r="AW50" s="116">
        <v>0</v>
      </c>
      <c r="AX50" s="116">
        <v>0</v>
      </c>
      <c r="AY50" s="116">
        <v>0</v>
      </c>
    </row>
    <row r="51" spans="1:51" x14ac:dyDescent="0.2">
      <c r="A51" s="115"/>
      <c r="B51" s="125">
        <v>7</v>
      </c>
      <c r="C51" s="115" t="s">
        <v>293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</v>
      </c>
      <c r="AO51" s="116">
        <v>0</v>
      </c>
      <c r="AP51" s="116">
        <v>0</v>
      </c>
      <c r="AQ51" s="116">
        <v>0</v>
      </c>
      <c r="AR51" s="116">
        <v>0</v>
      </c>
      <c r="AS51" s="116">
        <v>0</v>
      </c>
      <c r="AT51" s="116">
        <v>0</v>
      </c>
      <c r="AU51" s="116">
        <v>0</v>
      </c>
      <c r="AV51" s="116">
        <v>0</v>
      </c>
      <c r="AW51" s="116">
        <v>0</v>
      </c>
      <c r="AX51" s="116">
        <v>0</v>
      </c>
      <c r="AY51" s="116">
        <v>0</v>
      </c>
    </row>
    <row r="52" spans="1:51" x14ac:dyDescent="0.2">
      <c r="A52" s="115"/>
      <c r="B52" s="125">
        <v>8</v>
      </c>
      <c r="C52" s="115" t="s">
        <v>293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</row>
    <row r="53" spans="1:51" x14ac:dyDescent="0.2">
      <c r="A53" s="115"/>
      <c r="B53" s="125">
        <v>9</v>
      </c>
      <c r="C53" s="115" t="s">
        <v>293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</row>
    <row r="54" spans="1:51" x14ac:dyDescent="0.2">
      <c r="A54" s="115"/>
      <c r="B54" s="125">
        <v>10</v>
      </c>
      <c r="C54" s="115" t="s">
        <v>293</v>
      </c>
      <c r="D54" s="116">
        <v>0</v>
      </c>
      <c r="E54" s="116">
        <v>0</v>
      </c>
      <c r="F54" s="116">
        <v>0</v>
      </c>
      <c r="G54" s="116">
        <v>0</v>
      </c>
      <c r="H54" s="116">
        <v>0</v>
      </c>
      <c r="I54" s="116">
        <v>0</v>
      </c>
      <c r="J54" s="116">
        <v>0</v>
      </c>
      <c r="K54" s="116">
        <v>0</v>
      </c>
      <c r="L54" s="116">
        <v>0</v>
      </c>
      <c r="M54" s="116">
        <v>0</v>
      </c>
      <c r="N54" s="116">
        <v>0</v>
      </c>
      <c r="O54" s="116">
        <v>0</v>
      </c>
      <c r="P54" s="116">
        <v>0</v>
      </c>
      <c r="Q54" s="116">
        <v>0</v>
      </c>
      <c r="R54" s="116">
        <v>0</v>
      </c>
      <c r="S54" s="116">
        <v>0</v>
      </c>
      <c r="T54" s="116">
        <v>0</v>
      </c>
      <c r="U54" s="116">
        <v>0</v>
      </c>
      <c r="V54" s="116">
        <v>0</v>
      </c>
      <c r="W54" s="116">
        <v>0</v>
      </c>
      <c r="X54" s="116">
        <v>0</v>
      </c>
      <c r="Y54" s="116">
        <v>0</v>
      </c>
      <c r="Z54" s="116">
        <v>0</v>
      </c>
      <c r="AA54" s="116">
        <v>0</v>
      </c>
      <c r="AB54" s="116">
        <v>0</v>
      </c>
      <c r="AC54" s="116">
        <v>0</v>
      </c>
      <c r="AD54" s="116">
        <v>0</v>
      </c>
      <c r="AE54" s="116">
        <v>0</v>
      </c>
      <c r="AF54" s="116">
        <v>0</v>
      </c>
      <c r="AG54" s="116">
        <v>0</v>
      </c>
      <c r="AH54" s="116">
        <v>0</v>
      </c>
      <c r="AI54" s="116">
        <v>0</v>
      </c>
      <c r="AJ54" s="116">
        <v>0</v>
      </c>
      <c r="AK54" s="116">
        <v>0</v>
      </c>
      <c r="AL54" s="116">
        <v>0</v>
      </c>
      <c r="AM54" s="116">
        <v>0</v>
      </c>
      <c r="AN54" s="116">
        <v>0</v>
      </c>
      <c r="AO54" s="116">
        <v>0</v>
      </c>
      <c r="AP54" s="116">
        <v>0</v>
      </c>
      <c r="AQ54" s="116">
        <v>0</v>
      </c>
      <c r="AR54" s="116">
        <v>0</v>
      </c>
      <c r="AS54" s="116">
        <v>0</v>
      </c>
      <c r="AT54" s="116">
        <v>0</v>
      </c>
      <c r="AU54" s="116">
        <v>0</v>
      </c>
      <c r="AV54" s="116">
        <v>0</v>
      </c>
      <c r="AW54" s="116">
        <v>0</v>
      </c>
      <c r="AX54" s="116">
        <v>0</v>
      </c>
      <c r="AY54" s="116">
        <v>0</v>
      </c>
    </row>
    <row r="55" spans="1:51" x14ac:dyDescent="0.2">
      <c r="A55" s="115"/>
      <c r="B55" s="125">
        <v>11</v>
      </c>
      <c r="C55" s="115" t="s">
        <v>293</v>
      </c>
      <c r="D55" s="116">
        <v>0</v>
      </c>
      <c r="E55" s="116">
        <v>0</v>
      </c>
      <c r="F55" s="116">
        <v>0</v>
      </c>
      <c r="G55" s="116">
        <v>0</v>
      </c>
      <c r="H55" s="116">
        <v>0</v>
      </c>
      <c r="I55" s="116">
        <v>0</v>
      </c>
      <c r="J55" s="116">
        <v>0</v>
      </c>
      <c r="K55" s="116">
        <v>0</v>
      </c>
      <c r="L55" s="116">
        <v>0</v>
      </c>
      <c r="M55" s="116">
        <v>0</v>
      </c>
      <c r="N55" s="116">
        <v>0</v>
      </c>
      <c r="O55" s="116">
        <v>0</v>
      </c>
      <c r="P55" s="116">
        <v>0</v>
      </c>
      <c r="Q55" s="116">
        <v>0</v>
      </c>
      <c r="R55" s="116">
        <v>0</v>
      </c>
      <c r="S55" s="116">
        <v>0</v>
      </c>
      <c r="T55" s="116">
        <v>0</v>
      </c>
      <c r="U55" s="116">
        <v>0</v>
      </c>
      <c r="V55" s="116">
        <v>0</v>
      </c>
      <c r="W55" s="116">
        <v>0</v>
      </c>
      <c r="X55" s="116">
        <v>0</v>
      </c>
      <c r="Y55" s="116">
        <v>0</v>
      </c>
      <c r="Z55" s="116">
        <v>0</v>
      </c>
      <c r="AA55" s="116">
        <v>0</v>
      </c>
      <c r="AB55" s="116">
        <v>0</v>
      </c>
      <c r="AC55" s="116">
        <v>0</v>
      </c>
      <c r="AD55" s="116">
        <v>0</v>
      </c>
      <c r="AE55" s="116">
        <v>0</v>
      </c>
      <c r="AF55" s="116">
        <v>0</v>
      </c>
      <c r="AG55" s="116">
        <v>0</v>
      </c>
      <c r="AH55" s="116">
        <v>0</v>
      </c>
      <c r="AI55" s="116">
        <v>0</v>
      </c>
      <c r="AJ55" s="116">
        <v>0</v>
      </c>
      <c r="AK55" s="116">
        <v>0</v>
      </c>
      <c r="AL55" s="116">
        <v>0</v>
      </c>
      <c r="AM55" s="116">
        <v>0</v>
      </c>
      <c r="AN55" s="116">
        <v>0</v>
      </c>
      <c r="AO55" s="116">
        <v>0</v>
      </c>
      <c r="AP55" s="116">
        <v>0</v>
      </c>
      <c r="AQ55" s="116">
        <v>0</v>
      </c>
      <c r="AR55" s="116">
        <v>0</v>
      </c>
      <c r="AS55" s="116">
        <v>0</v>
      </c>
      <c r="AT55" s="116">
        <v>0</v>
      </c>
      <c r="AU55" s="116">
        <v>0</v>
      </c>
      <c r="AV55" s="116">
        <v>0</v>
      </c>
      <c r="AW55" s="116">
        <v>0</v>
      </c>
      <c r="AX55" s="116">
        <v>0</v>
      </c>
      <c r="AY55" s="116">
        <v>0</v>
      </c>
    </row>
    <row r="56" spans="1:51" x14ac:dyDescent="0.2">
      <c r="A56" s="115"/>
      <c r="B56" s="125">
        <v>12</v>
      </c>
      <c r="C56" s="115" t="s">
        <v>293</v>
      </c>
      <c r="D56" s="116">
        <v>0</v>
      </c>
      <c r="E56" s="116">
        <v>0</v>
      </c>
      <c r="F56" s="116">
        <v>0</v>
      </c>
      <c r="G56" s="116">
        <v>0</v>
      </c>
      <c r="H56" s="116">
        <v>0</v>
      </c>
      <c r="I56" s="116">
        <v>0</v>
      </c>
      <c r="J56" s="116">
        <v>0</v>
      </c>
      <c r="K56" s="116">
        <v>0</v>
      </c>
      <c r="L56" s="116">
        <v>0</v>
      </c>
      <c r="M56" s="116">
        <v>0</v>
      </c>
      <c r="N56" s="116">
        <v>0</v>
      </c>
      <c r="O56" s="116">
        <v>0</v>
      </c>
      <c r="P56" s="116">
        <v>0</v>
      </c>
      <c r="Q56" s="116">
        <v>0</v>
      </c>
      <c r="R56" s="116">
        <v>0</v>
      </c>
      <c r="S56" s="116">
        <v>0</v>
      </c>
      <c r="T56" s="116">
        <v>0</v>
      </c>
      <c r="U56" s="116">
        <v>0</v>
      </c>
      <c r="V56" s="116">
        <v>0</v>
      </c>
      <c r="W56" s="116">
        <v>0</v>
      </c>
      <c r="X56" s="116">
        <v>0</v>
      </c>
      <c r="Y56" s="116">
        <v>0</v>
      </c>
      <c r="Z56" s="116">
        <v>0</v>
      </c>
      <c r="AA56" s="116">
        <v>0</v>
      </c>
      <c r="AB56" s="116">
        <v>0</v>
      </c>
      <c r="AC56" s="116">
        <v>0</v>
      </c>
      <c r="AD56" s="116">
        <v>0</v>
      </c>
      <c r="AE56" s="116">
        <v>0</v>
      </c>
      <c r="AF56" s="116">
        <v>0</v>
      </c>
      <c r="AG56" s="116">
        <v>0</v>
      </c>
      <c r="AH56" s="116">
        <v>0</v>
      </c>
      <c r="AI56" s="116">
        <v>0</v>
      </c>
      <c r="AJ56" s="116">
        <v>0</v>
      </c>
      <c r="AK56" s="116">
        <v>0</v>
      </c>
      <c r="AL56" s="116">
        <v>0</v>
      </c>
      <c r="AM56" s="116">
        <v>0</v>
      </c>
      <c r="AN56" s="116">
        <v>0</v>
      </c>
      <c r="AO56" s="116">
        <v>0</v>
      </c>
      <c r="AP56" s="116">
        <v>0</v>
      </c>
      <c r="AQ56" s="116">
        <v>0</v>
      </c>
      <c r="AR56" s="116">
        <v>0</v>
      </c>
      <c r="AS56" s="116">
        <v>0</v>
      </c>
      <c r="AT56" s="116">
        <v>0</v>
      </c>
      <c r="AU56" s="116">
        <v>0</v>
      </c>
      <c r="AV56" s="116">
        <v>0</v>
      </c>
      <c r="AW56" s="116">
        <v>0</v>
      </c>
      <c r="AX56" s="116">
        <v>0</v>
      </c>
      <c r="AY56" s="116">
        <v>0</v>
      </c>
    </row>
    <row r="57" spans="1:51" x14ac:dyDescent="0.2">
      <c r="A57" s="115"/>
      <c r="B57" s="126">
        <v>13</v>
      </c>
      <c r="C57" s="115" t="s">
        <v>293</v>
      </c>
      <c r="D57" s="116">
        <v>0</v>
      </c>
      <c r="E57" s="116">
        <v>0</v>
      </c>
      <c r="F57" s="116">
        <v>0</v>
      </c>
      <c r="G57" s="116">
        <v>0</v>
      </c>
      <c r="H57" s="116">
        <v>0</v>
      </c>
      <c r="I57" s="116">
        <v>0</v>
      </c>
      <c r="J57" s="116">
        <v>0</v>
      </c>
      <c r="K57" s="116">
        <v>0</v>
      </c>
      <c r="L57" s="116">
        <v>0</v>
      </c>
      <c r="M57" s="116">
        <v>0</v>
      </c>
      <c r="N57" s="116">
        <v>0</v>
      </c>
      <c r="O57" s="116">
        <v>0</v>
      </c>
      <c r="P57" s="116">
        <v>0</v>
      </c>
      <c r="Q57" s="116">
        <v>0</v>
      </c>
      <c r="R57" s="116">
        <v>0</v>
      </c>
      <c r="S57" s="116">
        <v>0</v>
      </c>
      <c r="T57" s="116">
        <v>0</v>
      </c>
      <c r="U57" s="116">
        <v>0</v>
      </c>
      <c r="V57" s="116">
        <v>0</v>
      </c>
      <c r="W57" s="116">
        <v>0</v>
      </c>
      <c r="X57" s="116">
        <v>0</v>
      </c>
      <c r="Y57" s="116">
        <v>0</v>
      </c>
      <c r="Z57" s="116">
        <v>0</v>
      </c>
      <c r="AA57" s="116">
        <v>0</v>
      </c>
      <c r="AB57" s="116">
        <v>0</v>
      </c>
      <c r="AC57" s="116">
        <v>0</v>
      </c>
      <c r="AD57" s="116">
        <v>0</v>
      </c>
      <c r="AE57" s="116">
        <v>0</v>
      </c>
      <c r="AF57" s="116">
        <v>0</v>
      </c>
      <c r="AG57" s="116">
        <v>0</v>
      </c>
      <c r="AH57" s="116">
        <v>0</v>
      </c>
      <c r="AI57" s="116">
        <v>0</v>
      </c>
      <c r="AJ57" s="116">
        <v>0</v>
      </c>
      <c r="AK57" s="116">
        <v>0</v>
      </c>
      <c r="AL57" s="116">
        <v>0</v>
      </c>
      <c r="AM57" s="116">
        <v>0</v>
      </c>
      <c r="AN57" s="116">
        <v>0</v>
      </c>
      <c r="AO57" s="116">
        <v>0</v>
      </c>
      <c r="AP57" s="116">
        <v>0</v>
      </c>
      <c r="AQ57" s="116">
        <v>0</v>
      </c>
      <c r="AR57" s="116">
        <v>0</v>
      </c>
      <c r="AS57" s="116">
        <v>0</v>
      </c>
      <c r="AT57" s="116">
        <v>0</v>
      </c>
      <c r="AU57" s="116">
        <v>0</v>
      </c>
      <c r="AV57" s="116">
        <v>0</v>
      </c>
      <c r="AW57" s="116">
        <v>0</v>
      </c>
      <c r="AX57" s="116">
        <v>0</v>
      </c>
      <c r="AY57" s="116">
        <v>0</v>
      </c>
    </row>
    <row r="58" spans="1:51" x14ac:dyDescent="0.2">
      <c r="A58" s="115"/>
      <c r="B58" s="126">
        <v>14</v>
      </c>
      <c r="C58" s="115" t="s">
        <v>293</v>
      </c>
      <c r="D58" s="116">
        <v>0</v>
      </c>
      <c r="E58" s="116">
        <v>0</v>
      </c>
      <c r="F58" s="116">
        <v>0</v>
      </c>
      <c r="G58" s="116">
        <v>0</v>
      </c>
      <c r="H58" s="116">
        <v>0</v>
      </c>
      <c r="I58" s="116">
        <v>0</v>
      </c>
      <c r="J58" s="116">
        <v>0</v>
      </c>
      <c r="K58" s="116">
        <v>0</v>
      </c>
      <c r="L58" s="116">
        <v>0</v>
      </c>
      <c r="M58" s="116">
        <v>0</v>
      </c>
      <c r="N58" s="116">
        <v>0</v>
      </c>
      <c r="O58" s="116">
        <v>0</v>
      </c>
      <c r="P58" s="116">
        <v>0</v>
      </c>
      <c r="Q58" s="116">
        <v>0</v>
      </c>
      <c r="R58" s="116">
        <v>0</v>
      </c>
      <c r="S58" s="116">
        <v>0</v>
      </c>
      <c r="T58" s="116">
        <v>0</v>
      </c>
      <c r="U58" s="116">
        <v>0</v>
      </c>
      <c r="V58" s="116">
        <v>0</v>
      </c>
      <c r="W58" s="116">
        <v>0</v>
      </c>
      <c r="X58" s="116">
        <v>0</v>
      </c>
      <c r="Y58" s="116">
        <v>0</v>
      </c>
      <c r="Z58" s="116">
        <v>0</v>
      </c>
      <c r="AA58" s="116">
        <v>0</v>
      </c>
      <c r="AB58" s="116">
        <v>0</v>
      </c>
      <c r="AC58" s="116">
        <v>0</v>
      </c>
      <c r="AD58" s="116">
        <v>0</v>
      </c>
      <c r="AE58" s="116">
        <v>0</v>
      </c>
      <c r="AF58" s="116">
        <v>0</v>
      </c>
      <c r="AG58" s="116">
        <v>0</v>
      </c>
      <c r="AH58" s="116">
        <v>0</v>
      </c>
      <c r="AI58" s="116">
        <v>0</v>
      </c>
      <c r="AJ58" s="116">
        <v>0</v>
      </c>
      <c r="AK58" s="116">
        <v>0</v>
      </c>
      <c r="AL58" s="116">
        <v>0</v>
      </c>
      <c r="AM58" s="116">
        <v>0</v>
      </c>
      <c r="AN58" s="116">
        <v>0</v>
      </c>
      <c r="AO58" s="116">
        <v>0</v>
      </c>
      <c r="AP58" s="116">
        <v>0</v>
      </c>
      <c r="AQ58" s="116">
        <v>0</v>
      </c>
      <c r="AR58" s="116">
        <v>0</v>
      </c>
      <c r="AS58" s="116">
        <v>0</v>
      </c>
      <c r="AT58" s="116">
        <v>0</v>
      </c>
      <c r="AU58" s="116">
        <v>0</v>
      </c>
      <c r="AV58" s="116">
        <v>0</v>
      </c>
      <c r="AW58" s="116">
        <v>0</v>
      </c>
      <c r="AX58" s="116">
        <v>0</v>
      </c>
      <c r="AY58" s="116">
        <v>0</v>
      </c>
    </row>
    <row r="59" spans="1:51" x14ac:dyDescent="0.2">
      <c r="A59" s="115"/>
      <c r="B59" s="126">
        <v>15</v>
      </c>
      <c r="C59" s="115" t="s">
        <v>293</v>
      </c>
      <c r="D59" s="116">
        <v>0</v>
      </c>
      <c r="E59" s="116">
        <v>0</v>
      </c>
      <c r="F59" s="116">
        <v>0</v>
      </c>
      <c r="G59" s="116">
        <v>0</v>
      </c>
      <c r="H59" s="116">
        <v>0</v>
      </c>
      <c r="I59" s="116">
        <v>0</v>
      </c>
      <c r="J59" s="116">
        <v>0</v>
      </c>
      <c r="K59" s="116">
        <v>0</v>
      </c>
      <c r="L59" s="116">
        <v>0</v>
      </c>
      <c r="M59" s="116">
        <v>0</v>
      </c>
      <c r="N59" s="116">
        <v>0</v>
      </c>
      <c r="O59" s="116">
        <v>0</v>
      </c>
      <c r="P59" s="116">
        <v>0</v>
      </c>
      <c r="Q59" s="116">
        <v>0</v>
      </c>
      <c r="R59" s="116">
        <v>0</v>
      </c>
      <c r="S59" s="116">
        <v>0</v>
      </c>
      <c r="T59" s="116">
        <v>0</v>
      </c>
      <c r="U59" s="116">
        <v>0</v>
      </c>
      <c r="V59" s="116">
        <v>0</v>
      </c>
      <c r="W59" s="116">
        <v>0</v>
      </c>
      <c r="X59" s="116">
        <v>0</v>
      </c>
      <c r="Y59" s="116">
        <v>0</v>
      </c>
      <c r="Z59" s="116">
        <v>0</v>
      </c>
      <c r="AA59" s="116">
        <v>0</v>
      </c>
      <c r="AB59" s="116">
        <v>0</v>
      </c>
      <c r="AC59" s="116">
        <v>0</v>
      </c>
      <c r="AD59" s="116">
        <v>0</v>
      </c>
      <c r="AE59" s="116">
        <v>0</v>
      </c>
      <c r="AF59" s="116">
        <v>0</v>
      </c>
      <c r="AG59" s="116">
        <v>0</v>
      </c>
      <c r="AH59" s="116">
        <v>0</v>
      </c>
      <c r="AI59" s="116">
        <v>0</v>
      </c>
      <c r="AJ59" s="116">
        <v>0</v>
      </c>
      <c r="AK59" s="116">
        <v>0</v>
      </c>
      <c r="AL59" s="116">
        <v>0</v>
      </c>
      <c r="AM59" s="116">
        <v>0</v>
      </c>
      <c r="AN59" s="116">
        <v>0</v>
      </c>
      <c r="AO59" s="116">
        <v>0</v>
      </c>
      <c r="AP59" s="116">
        <v>0</v>
      </c>
      <c r="AQ59" s="116">
        <v>0</v>
      </c>
      <c r="AR59" s="116">
        <v>0</v>
      </c>
      <c r="AS59" s="116">
        <v>0</v>
      </c>
      <c r="AT59" s="116">
        <v>0</v>
      </c>
      <c r="AU59" s="116">
        <v>0</v>
      </c>
      <c r="AV59" s="116">
        <v>0</v>
      </c>
      <c r="AW59" s="116">
        <v>0</v>
      </c>
      <c r="AX59" s="116">
        <v>0</v>
      </c>
      <c r="AY59" s="116">
        <v>0</v>
      </c>
    </row>
    <row r="60" spans="1:51" x14ac:dyDescent="0.2">
      <c r="A60" s="115"/>
      <c r="B60" s="126">
        <v>16</v>
      </c>
      <c r="C60" s="115" t="s">
        <v>293</v>
      </c>
      <c r="D60" s="116">
        <v>0</v>
      </c>
      <c r="E60" s="116">
        <v>0</v>
      </c>
      <c r="F60" s="116">
        <v>0</v>
      </c>
      <c r="G60" s="116">
        <v>0</v>
      </c>
      <c r="H60" s="116">
        <v>0</v>
      </c>
      <c r="I60" s="116">
        <v>0</v>
      </c>
      <c r="J60" s="116">
        <v>0</v>
      </c>
      <c r="K60" s="116">
        <v>0</v>
      </c>
      <c r="L60" s="116">
        <v>0</v>
      </c>
      <c r="M60" s="116">
        <v>0</v>
      </c>
      <c r="N60" s="116">
        <v>0</v>
      </c>
      <c r="O60" s="116">
        <v>0</v>
      </c>
      <c r="P60" s="116">
        <v>0</v>
      </c>
      <c r="Q60" s="116">
        <v>0</v>
      </c>
      <c r="R60" s="116">
        <v>0</v>
      </c>
      <c r="S60" s="116">
        <v>0</v>
      </c>
      <c r="T60" s="116">
        <v>0</v>
      </c>
      <c r="U60" s="116">
        <v>0</v>
      </c>
      <c r="V60" s="116">
        <v>0</v>
      </c>
      <c r="W60" s="116">
        <v>0</v>
      </c>
      <c r="X60" s="116">
        <v>0</v>
      </c>
      <c r="Y60" s="116">
        <v>0</v>
      </c>
      <c r="Z60" s="116">
        <v>0</v>
      </c>
      <c r="AA60" s="116">
        <v>0</v>
      </c>
      <c r="AB60" s="116">
        <v>0</v>
      </c>
      <c r="AC60" s="116">
        <v>0</v>
      </c>
      <c r="AD60" s="116">
        <v>0</v>
      </c>
      <c r="AE60" s="116">
        <v>0</v>
      </c>
      <c r="AF60" s="116">
        <v>0</v>
      </c>
      <c r="AG60" s="116">
        <v>0</v>
      </c>
      <c r="AH60" s="116">
        <v>0</v>
      </c>
      <c r="AI60" s="116">
        <v>0</v>
      </c>
      <c r="AJ60" s="116">
        <v>0</v>
      </c>
      <c r="AK60" s="116">
        <v>0</v>
      </c>
      <c r="AL60" s="116">
        <v>0</v>
      </c>
      <c r="AM60" s="116">
        <v>0</v>
      </c>
      <c r="AN60" s="116">
        <v>0</v>
      </c>
      <c r="AO60" s="116">
        <v>0</v>
      </c>
      <c r="AP60" s="116">
        <v>0</v>
      </c>
      <c r="AQ60" s="116">
        <v>0</v>
      </c>
      <c r="AR60" s="116">
        <v>0</v>
      </c>
      <c r="AS60" s="116">
        <v>0</v>
      </c>
      <c r="AT60" s="116">
        <v>0</v>
      </c>
      <c r="AU60" s="116">
        <v>0</v>
      </c>
      <c r="AV60" s="116">
        <v>0</v>
      </c>
      <c r="AW60" s="116">
        <v>0</v>
      </c>
      <c r="AX60" s="116">
        <v>0</v>
      </c>
      <c r="AY60" s="116">
        <v>0</v>
      </c>
    </row>
    <row r="61" spans="1:51" x14ac:dyDescent="0.2">
      <c r="A61" s="115"/>
      <c r="B61" s="126">
        <v>17</v>
      </c>
      <c r="C61" s="115" t="s">
        <v>293</v>
      </c>
      <c r="D61" s="116">
        <v>0</v>
      </c>
      <c r="E61" s="116">
        <v>0</v>
      </c>
      <c r="F61" s="116">
        <v>0</v>
      </c>
      <c r="G61" s="116">
        <v>0</v>
      </c>
      <c r="H61" s="116">
        <v>0</v>
      </c>
      <c r="I61" s="116">
        <v>0</v>
      </c>
      <c r="J61" s="116">
        <v>0</v>
      </c>
      <c r="K61" s="116">
        <v>0</v>
      </c>
      <c r="L61" s="116">
        <v>0</v>
      </c>
      <c r="M61" s="116">
        <v>0</v>
      </c>
      <c r="N61" s="116">
        <v>0</v>
      </c>
      <c r="O61" s="116">
        <v>0</v>
      </c>
      <c r="P61" s="116">
        <v>0</v>
      </c>
      <c r="Q61" s="116">
        <v>0</v>
      </c>
      <c r="R61" s="116">
        <v>0</v>
      </c>
      <c r="S61" s="116">
        <v>0</v>
      </c>
      <c r="T61" s="116">
        <v>0</v>
      </c>
      <c r="U61" s="116">
        <v>0</v>
      </c>
      <c r="V61" s="116">
        <v>0</v>
      </c>
      <c r="W61" s="116">
        <v>0</v>
      </c>
      <c r="X61" s="116">
        <v>0</v>
      </c>
      <c r="Y61" s="116">
        <v>0</v>
      </c>
      <c r="Z61" s="116">
        <v>0</v>
      </c>
      <c r="AA61" s="116">
        <v>0</v>
      </c>
      <c r="AB61" s="116">
        <v>0</v>
      </c>
      <c r="AC61" s="116">
        <v>0</v>
      </c>
      <c r="AD61" s="116">
        <v>0</v>
      </c>
      <c r="AE61" s="116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0</v>
      </c>
      <c r="AK61" s="116">
        <v>0</v>
      </c>
      <c r="AL61" s="116">
        <v>0</v>
      </c>
      <c r="AM61" s="116">
        <v>0</v>
      </c>
      <c r="AN61" s="116">
        <v>0</v>
      </c>
      <c r="AO61" s="116">
        <v>0</v>
      </c>
      <c r="AP61" s="116">
        <v>0</v>
      </c>
      <c r="AQ61" s="116">
        <v>0</v>
      </c>
      <c r="AR61" s="116">
        <v>0</v>
      </c>
      <c r="AS61" s="116">
        <v>0</v>
      </c>
      <c r="AT61" s="116">
        <v>0</v>
      </c>
      <c r="AU61" s="116">
        <v>0</v>
      </c>
      <c r="AV61" s="116">
        <v>0</v>
      </c>
      <c r="AW61" s="116">
        <v>0</v>
      </c>
      <c r="AX61" s="116">
        <v>0</v>
      </c>
      <c r="AY61" s="116">
        <v>0</v>
      </c>
    </row>
    <row r="62" spans="1:51" x14ac:dyDescent="0.2">
      <c r="A62" s="115"/>
      <c r="B62" s="126">
        <v>18</v>
      </c>
      <c r="C62" s="115" t="s">
        <v>293</v>
      </c>
      <c r="D62" s="116">
        <v>0</v>
      </c>
      <c r="E62" s="116">
        <v>0</v>
      </c>
      <c r="F62" s="116">
        <v>0</v>
      </c>
      <c r="G62" s="116">
        <v>0</v>
      </c>
      <c r="H62" s="116">
        <v>0</v>
      </c>
      <c r="I62" s="116">
        <v>0</v>
      </c>
      <c r="J62" s="116">
        <v>0</v>
      </c>
      <c r="K62" s="116">
        <v>0</v>
      </c>
      <c r="L62" s="116">
        <v>0</v>
      </c>
      <c r="M62" s="116">
        <v>0</v>
      </c>
      <c r="N62" s="116">
        <v>0</v>
      </c>
      <c r="O62" s="116">
        <v>0</v>
      </c>
      <c r="P62" s="116">
        <v>0</v>
      </c>
      <c r="Q62" s="116">
        <v>0</v>
      </c>
      <c r="R62" s="116">
        <v>0</v>
      </c>
      <c r="S62" s="116">
        <v>0</v>
      </c>
      <c r="T62" s="116">
        <v>0</v>
      </c>
      <c r="U62" s="116">
        <v>0</v>
      </c>
      <c r="V62" s="116">
        <v>0</v>
      </c>
      <c r="W62" s="116">
        <v>0</v>
      </c>
      <c r="X62" s="116">
        <v>0</v>
      </c>
      <c r="Y62" s="116">
        <v>0</v>
      </c>
      <c r="Z62" s="116">
        <v>0</v>
      </c>
      <c r="AA62" s="116">
        <v>0</v>
      </c>
      <c r="AB62" s="116">
        <v>0</v>
      </c>
      <c r="AC62" s="116">
        <v>0</v>
      </c>
      <c r="AD62" s="116">
        <v>0</v>
      </c>
      <c r="AE62" s="116">
        <v>0</v>
      </c>
      <c r="AF62" s="116">
        <v>0</v>
      </c>
      <c r="AG62" s="116">
        <v>0</v>
      </c>
      <c r="AH62" s="116">
        <v>0</v>
      </c>
      <c r="AI62" s="116">
        <v>0</v>
      </c>
      <c r="AJ62" s="116">
        <v>0</v>
      </c>
      <c r="AK62" s="116">
        <v>0</v>
      </c>
      <c r="AL62" s="116">
        <v>0</v>
      </c>
      <c r="AM62" s="116">
        <v>0</v>
      </c>
      <c r="AN62" s="116">
        <v>0</v>
      </c>
      <c r="AO62" s="116">
        <v>0</v>
      </c>
      <c r="AP62" s="116">
        <v>0</v>
      </c>
      <c r="AQ62" s="116">
        <v>0</v>
      </c>
      <c r="AR62" s="116">
        <v>0</v>
      </c>
      <c r="AS62" s="116">
        <v>0</v>
      </c>
      <c r="AT62" s="116">
        <v>0</v>
      </c>
      <c r="AU62" s="116">
        <v>0</v>
      </c>
      <c r="AV62" s="116">
        <v>0</v>
      </c>
      <c r="AW62" s="116">
        <v>0</v>
      </c>
      <c r="AX62" s="116">
        <v>0</v>
      </c>
      <c r="AY62" s="116">
        <v>0</v>
      </c>
    </row>
    <row r="63" spans="1:51" x14ac:dyDescent="0.2">
      <c r="A63" s="115"/>
      <c r="B63" s="126">
        <v>19</v>
      </c>
      <c r="C63" s="115" t="s">
        <v>293</v>
      </c>
      <c r="D63" s="116">
        <v>0</v>
      </c>
      <c r="E63" s="116">
        <v>0</v>
      </c>
      <c r="F63" s="116">
        <v>0</v>
      </c>
      <c r="G63" s="116">
        <v>0</v>
      </c>
      <c r="H63" s="116">
        <v>0</v>
      </c>
      <c r="I63" s="116">
        <v>0</v>
      </c>
      <c r="J63" s="116">
        <v>0</v>
      </c>
      <c r="K63" s="116">
        <v>0</v>
      </c>
      <c r="L63" s="116">
        <v>0</v>
      </c>
      <c r="M63" s="116">
        <v>0</v>
      </c>
      <c r="N63" s="116">
        <v>0</v>
      </c>
      <c r="O63" s="116">
        <v>0</v>
      </c>
      <c r="P63" s="116">
        <v>0</v>
      </c>
      <c r="Q63" s="116">
        <v>0</v>
      </c>
      <c r="R63" s="116">
        <v>0</v>
      </c>
      <c r="S63" s="116">
        <v>0</v>
      </c>
      <c r="T63" s="116">
        <v>0</v>
      </c>
      <c r="U63" s="116">
        <v>0</v>
      </c>
      <c r="V63" s="116">
        <v>0</v>
      </c>
      <c r="W63" s="116">
        <v>0</v>
      </c>
      <c r="X63" s="116">
        <v>0</v>
      </c>
      <c r="Y63" s="116">
        <v>0</v>
      </c>
      <c r="Z63" s="116">
        <v>0</v>
      </c>
      <c r="AA63" s="116">
        <v>0</v>
      </c>
      <c r="AB63" s="116">
        <v>0</v>
      </c>
      <c r="AC63" s="116">
        <v>0</v>
      </c>
      <c r="AD63" s="116">
        <v>0</v>
      </c>
      <c r="AE63" s="116">
        <v>0</v>
      </c>
      <c r="AF63" s="116">
        <v>0</v>
      </c>
      <c r="AG63" s="116">
        <v>0</v>
      </c>
      <c r="AH63" s="116">
        <v>0</v>
      </c>
      <c r="AI63" s="116">
        <v>0</v>
      </c>
      <c r="AJ63" s="116">
        <v>0</v>
      </c>
      <c r="AK63" s="116">
        <v>0</v>
      </c>
      <c r="AL63" s="116">
        <v>0</v>
      </c>
      <c r="AM63" s="116">
        <v>0</v>
      </c>
      <c r="AN63" s="116">
        <v>0</v>
      </c>
      <c r="AO63" s="116">
        <v>0</v>
      </c>
      <c r="AP63" s="116">
        <v>0</v>
      </c>
      <c r="AQ63" s="116">
        <v>0</v>
      </c>
      <c r="AR63" s="116">
        <v>0</v>
      </c>
      <c r="AS63" s="116">
        <v>0</v>
      </c>
      <c r="AT63" s="116">
        <v>0</v>
      </c>
      <c r="AU63" s="116">
        <v>0</v>
      </c>
      <c r="AV63" s="116">
        <v>0</v>
      </c>
      <c r="AW63" s="116">
        <v>0</v>
      </c>
      <c r="AX63" s="116">
        <v>0</v>
      </c>
      <c r="AY63" s="116">
        <v>0</v>
      </c>
    </row>
    <row r="64" spans="1:51" x14ac:dyDescent="0.2">
      <c r="A64" s="115"/>
      <c r="B64" s="126">
        <v>20</v>
      </c>
      <c r="C64" s="115" t="s">
        <v>293</v>
      </c>
      <c r="D64" s="116">
        <v>0</v>
      </c>
      <c r="E64" s="116">
        <v>0</v>
      </c>
      <c r="F64" s="116">
        <v>0</v>
      </c>
      <c r="G64" s="116">
        <v>0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0</v>
      </c>
      <c r="W64" s="116">
        <v>0</v>
      </c>
      <c r="X64" s="116">
        <v>0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</row>
    <row r="65" spans="1:51" x14ac:dyDescent="0.2">
      <c r="A65" s="115"/>
      <c r="B65" s="126">
        <v>21</v>
      </c>
      <c r="C65" s="115" t="s">
        <v>293</v>
      </c>
      <c r="D65" s="116">
        <v>0</v>
      </c>
      <c r="E65" s="116">
        <v>0</v>
      </c>
      <c r="F65" s="116">
        <v>0</v>
      </c>
      <c r="G65" s="116">
        <v>0</v>
      </c>
      <c r="H65" s="116">
        <v>0</v>
      </c>
      <c r="I65" s="116">
        <v>0</v>
      </c>
      <c r="J65" s="116">
        <v>0</v>
      </c>
      <c r="K65" s="116">
        <v>0</v>
      </c>
      <c r="L65" s="116">
        <v>0</v>
      </c>
      <c r="M65" s="116">
        <v>0</v>
      </c>
      <c r="N65" s="116">
        <v>0</v>
      </c>
      <c r="O65" s="116">
        <v>0</v>
      </c>
      <c r="P65" s="116">
        <v>0</v>
      </c>
      <c r="Q65" s="116">
        <v>0</v>
      </c>
      <c r="R65" s="116">
        <v>0</v>
      </c>
      <c r="S65" s="116">
        <v>0</v>
      </c>
      <c r="T65" s="116">
        <v>0</v>
      </c>
      <c r="U65" s="116">
        <v>0</v>
      </c>
      <c r="V65" s="116">
        <v>0</v>
      </c>
      <c r="W65" s="116">
        <v>0</v>
      </c>
      <c r="X65" s="116">
        <v>0</v>
      </c>
      <c r="Y65" s="116">
        <v>0</v>
      </c>
      <c r="Z65" s="116">
        <v>0</v>
      </c>
      <c r="AA65" s="116">
        <v>0</v>
      </c>
      <c r="AB65" s="116">
        <v>0</v>
      </c>
      <c r="AC65" s="116">
        <v>0</v>
      </c>
      <c r="AD65" s="116">
        <v>0</v>
      </c>
      <c r="AE65" s="116">
        <v>0</v>
      </c>
      <c r="AF65" s="116">
        <v>0</v>
      </c>
      <c r="AG65" s="116">
        <v>0</v>
      </c>
      <c r="AH65" s="116">
        <v>0</v>
      </c>
      <c r="AI65" s="116">
        <v>0</v>
      </c>
      <c r="AJ65" s="116">
        <v>0</v>
      </c>
      <c r="AK65" s="116">
        <v>0</v>
      </c>
      <c r="AL65" s="116">
        <v>0</v>
      </c>
      <c r="AM65" s="116">
        <v>0</v>
      </c>
      <c r="AN65" s="116">
        <v>0</v>
      </c>
      <c r="AO65" s="116">
        <v>0</v>
      </c>
      <c r="AP65" s="116">
        <v>0</v>
      </c>
      <c r="AQ65" s="116">
        <v>0</v>
      </c>
      <c r="AR65" s="116">
        <v>0</v>
      </c>
      <c r="AS65" s="116">
        <v>0</v>
      </c>
      <c r="AT65" s="116">
        <v>0</v>
      </c>
      <c r="AU65" s="116">
        <v>0</v>
      </c>
      <c r="AV65" s="116">
        <v>0</v>
      </c>
      <c r="AW65" s="116">
        <v>0</v>
      </c>
      <c r="AX65" s="116">
        <v>0</v>
      </c>
      <c r="AY65" s="116">
        <v>0</v>
      </c>
    </row>
    <row r="66" spans="1:51" x14ac:dyDescent="0.2">
      <c r="A66" s="115"/>
      <c r="B66" s="126">
        <v>22</v>
      </c>
      <c r="C66" s="115" t="s">
        <v>293</v>
      </c>
      <c r="D66" s="116">
        <v>0</v>
      </c>
      <c r="E66" s="116">
        <v>0</v>
      </c>
      <c r="F66" s="116">
        <v>0</v>
      </c>
      <c r="G66" s="116">
        <v>0</v>
      </c>
      <c r="H66" s="116">
        <v>0</v>
      </c>
      <c r="I66" s="116">
        <v>0</v>
      </c>
      <c r="J66" s="116">
        <v>0</v>
      </c>
      <c r="K66" s="116">
        <v>0</v>
      </c>
      <c r="L66" s="116">
        <v>0</v>
      </c>
      <c r="M66" s="116">
        <v>0</v>
      </c>
      <c r="N66" s="116">
        <v>0</v>
      </c>
      <c r="O66" s="116">
        <v>0</v>
      </c>
      <c r="P66" s="116">
        <v>0</v>
      </c>
      <c r="Q66" s="116">
        <v>0</v>
      </c>
      <c r="R66" s="116">
        <v>0</v>
      </c>
      <c r="S66" s="116">
        <v>0</v>
      </c>
      <c r="T66" s="116">
        <v>0</v>
      </c>
      <c r="U66" s="116">
        <v>0</v>
      </c>
      <c r="V66" s="116">
        <v>0</v>
      </c>
      <c r="W66" s="116">
        <v>0</v>
      </c>
      <c r="X66" s="116">
        <v>0</v>
      </c>
      <c r="Y66" s="116">
        <v>0</v>
      </c>
      <c r="Z66" s="116">
        <v>0</v>
      </c>
      <c r="AA66" s="116">
        <v>0</v>
      </c>
      <c r="AB66" s="116">
        <v>0</v>
      </c>
      <c r="AC66" s="116">
        <v>0</v>
      </c>
      <c r="AD66" s="116">
        <v>0</v>
      </c>
      <c r="AE66" s="116">
        <v>0</v>
      </c>
      <c r="AF66" s="116">
        <v>0</v>
      </c>
      <c r="AG66" s="116">
        <v>0</v>
      </c>
      <c r="AH66" s="116">
        <v>0</v>
      </c>
      <c r="AI66" s="116">
        <v>0</v>
      </c>
      <c r="AJ66" s="116">
        <v>0</v>
      </c>
      <c r="AK66" s="116">
        <v>0</v>
      </c>
      <c r="AL66" s="116">
        <v>0</v>
      </c>
      <c r="AM66" s="116">
        <v>0</v>
      </c>
      <c r="AN66" s="116">
        <v>0</v>
      </c>
      <c r="AO66" s="116">
        <v>0</v>
      </c>
      <c r="AP66" s="116">
        <v>0</v>
      </c>
      <c r="AQ66" s="116">
        <v>0</v>
      </c>
      <c r="AR66" s="116">
        <v>0</v>
      </c>
      <c r="AS66" s="116">
        <v>0</v>
      </c>
      <c r="AT66" s="116">
        <v>0</v>
      </c>
      <c r="AU66" s="116">
        <v>0</v>
      </c>
      <c r="AV66" s="116">
        <v>0</v>
      </c>
      <c r="AW66" s="116">
        <v>0</v>
      </c>
      <c r="AX66" s="116">
        <v>0</v>
      </c>
      <c r="AY66" s="116">
        <v>0</v>
      </c>
    </row>
    <row r="67" spans="1:51" x14ac:dyDescent="0.2">
      <c r="A67" s="115"/>
      <c r="B67" s="126">
        <v>23</v>
      </c>
      <c r="C67" s="115" t="s">
        <v>293</v>
      </c>
      <c r="D67" s="116">
        <v>0</v>
      </c>
      <c r="E67" s="116">
        <v>0</v>
      </c>
      <c r="F67" s="116">
        <v>0</v>
      </c>
      <c r="G67" s="116">
        <v>0</v>
      </c>
      <c r="H67" s="116">
        <v>0</v>
      </c>
      <c r="I67" s="116">
        <v>0</v>
      </c>
      <c r="J67" s="116">
        <v>0</v>
      </c>
      <c r="K67" s="116">
        <v>0</v>
      </c>
      <c r="L67" s="116">
        <v>0</v>
      </c>
      <c r="M67" s="116">
        <v>0</v>
      </c>
      <c r="N67" s="116">
        <v>0</v>
      </c>
      <c r="O67" s="116">
        <v>0</v>
      </c>
      <c r="P67" s="116">
        <v>0</v>
      </c>
      <c r="Q67" s="116">
        <v>0</v>
      </c>
      <c r="R67" s="116">
        <v>0</v>
      </c>
      <c r="S67" s="116">
        <v>0</v>
      </c>
      <c r="T67" s="116">
        <v>0</v>
      </c>
      <c r="U67" s="116">
        <v>0</v>
      </c>
      <c r="V67" s="116">
        <v>0</v>
      </c>
      <c r="W67" s="116">
        <v>0</v>
      </c>
      <c r="X67" s="116">
        <v>0</v>
      </c>
      <c r="Y67" s="116">
        <v>0</v>
      </c>
      <c r="Z67" s="116">
        <v>0</v>
      </c>
      <c r="AA67" s="116">
        <v>0</v>
      </c>
      <c r="AB67" s="116">
        <v>0</v>
      </c>
      <c r="AC67" s="116">
        <v>0</v>
      </c>
      <c r="AD67" s="116">
        <v>0</v>
      </c>
      <c r="AE67" s="116">
        <v>0</v>
      </c>
      <c r="AF67" s="116">
        <v>0</v>
      </c>
      <c r="AG67" s="116">
        <v>0</v>
      </c>
      <c r="AH67" s="116">
        <v>0</v>
      </c>
      <c r="AI67" s="116">
        <v>0</v>
      </c>
      <c r="AJ67" s="116">
        <v>0</v>
      </c>
      <c r="AK67" s="116">
        <v>0</v>
      </c>
      <c r="AL67" s="116">
        <v>0</v>
      </c>
      <c r="AM67" s="116">
        <v>0</v>
      </c>
      <c r="AN67" s="116">
        <v>0</v>
      </c>
      <c r="AO67" s="116">
        <v>0</v>
      </c>
      <c r="AP67" s="116">
        <v>0</v>
      </c>
      <c r="AQ67" s="116">
        <v>0</v>
      </c>
      <c r="AR67" s="116">
        <v>0</v>
      </c>
      <c r="AS67" s="116">
        <v>0</v>
      </c>
      <c r="AT67" s="116">
        <v>0</v>
      </c>
      <c r="AU67" s="116">
        <v>0</v>
      </c>
      <c r="AV67" s="116">
        <v>0</v>
      </c>
      <c r="AW67" s="116">
        <v>0</v>
      </c>
      <c r="AX67" s="116">
        <v>0</v>
      </c>
      <c r="AY67" s="116">
        <v>0</v>
      </c>
    </row>
    <row r="68" spans="1:51" x14ac:dyDescent="0.2">
      <c r="A68" s="115"/>
      <c r="B68" s="126">
        <v>24</v>
      </c>
      <c r="C68" s="115" t="s">
        <v>293</v>
      </c>
      <c r="D68" s="116">
        <v>0</v>
      </c>
      <c r="E68" s="116">
        <v>0</v>
      </c>
      <c r="F68" s="116">
        <v>0</v>
      </c>
      <c r="G68" s="116">
        <v>0</v>
      </c>
      <c r="H68" s="116">
        <v>0</v>
      </c>
      <c r="I68" s="116">
        <v>0</v>
      </c>
      <c r="J68" s="116">
        <v>0</v>
      </c>
      <c r="K68" s="116">
        <v>0</v>
      </c>
      <c r="L68" s="116">
        <v>0</v>
      </c>
      <c r="M68" s="116">
        <v>0</v>
      </c>
      <c r="N68" s="116">
        <v>0</v>
      </c>
      <c r="O68" s="116">
        <v>0</v>
      </c>
      <c r="P68" s="116">
        <v>0</v>
      </c>
      <c r="Q68" s="116">
        <v>0</v>
      </c>
      <c r="R68" s="116">
        <v>0</v>
      </c>
      <c r="S68" s="116">
        <v>0</v>
      </c>
      <c r="T68" s="116">
        <v>0</v>
      </c>
      <c r="U68" s="116">
        <v>0</v>
      </c>
      <c r="V68" s="116">
        <v>0</v>
      </c>
      <c r="W68" s="116">
        <v>0</v>
      </c>
      <c r="X68" s="116">
        <v>0</v>
      </c>
      <c r="Y68" s="116">
        <v>0</v>
      </c>
      <c r="Z68" s="116">
        <v>0</v>
      </c>
      <c r="AA68" s="116">
        <v>0</v>
      </c>
      <c r="AB68" s="116">
        <v>0</v>
      </c>
      <c r="AC68" s="116">
        <v>0</v>
      </c>
      <c r="AD68" s="116">
        <v>0</v>
      </c>
      <c r="AE68" s="116">
        <v>0</v>
      </c>
      <c r="AF68" s="116">
        <v>0</v>
      </c>
      <c r="AG68" s="116">
        <v>0</v>
      </c>
      <c r="AH68" s="116">
        <v>0</v>
      </c>
      <c r="AI68" s="116">
        <v>0</v>
      </c>
      <c r="AJ68" s="116">
        <v>0</v>
      </c>
      <c r="AK68" s="116">
        <v>0</v>
      </c>
      <c r="AL68" s="116">
        <v>0</v>
      </c>
      <c r="AM68" s="116">
        <v>0</v>
      </c>
      <c r="AN68" s="116">
        <v>0</v>
      </c>
      <c r="AO68" s="116">
        <v>0</v>
      </c>
      <c r="AP68" s="116">
        <v>0</v>
      </c>
      <c r="AQ68" s="116">
        <v>0</v>
      </c>
      <c r="AR68" s="116">
        <v>0</v>
      </c>
      <c r="AS68" s="116">
        <v>0</v>
      </c>
      <c r="AT68" s="116">
        <v>0</v>
      </c>
      <c r="AU68" s="116">
        <v>0</v>
      </c>
      <c r="AV68" s="116">
        <v>0</v>
      </c>
      <c r="AW68" s="116">
        <v>0</v>
      </c>
      <c r="AX68" s="116">
        <v>0</v>
      </c>
      <c r="AY68" s="116">
        <v>0</v>
      </c>
    </row>
    <row r="69" spans="1:51" x14ac:dyDescent="0.2">
      <c r="A69" s="115"/>
      <c r="B69" s="133">
        <v>25</v>
      </c>
      <c r="C69" s="115" t="s">
        <v>293</v>
      </c>
      <c r="D69" s="116">
        <v>0</v>
      </c>
      <c r="E69" s="116">
        <v>0</v>
      </c>
      <c r="F69" s="116">
        <v>0</v>
      </c>
      <c r="G69" s="116">
        <v>0</v>
      </c>
      <c r="H69" s="116">
        <v>0</v>
      </c>
      <c r="I69" s="116">
        <v>0</v>
      </c>
      <c r="J69" s="116">
        <v>0</v>
      </c>
      <c r="K69" s="116">
        <v>0</v>
      </c>
      <c r="L69" s="116">
        <v>0</v>
      </c>
      <c r="M69" s="116">
        <v>0</v>
      </c>
      <c r="N69" s="116">
        <v>0</v>
      </c>
      <c r="O69" s="116">
        <v>0</v>
      </c>
      <c r="P69" s="116">
        <v>0</v>
      </c>
      <c r="Q69" s="116">
        <v>0</v>
      </c>
      <c r="R69" s="116">
        <v>0</v>
      </c>
      <c r="S69" s="116">
        <v>0</v>
      </c>
      <c r="T69" s="116">
        <v>0</v>
      </c>
      <c r="U69" s="116">
        <v>0</v>
      </c>
      <c r="V69" s="116">
        <v>0</v>
      </c>
      <c r="W69" s="116">
        <v>0</v>
      </c>
      <c r="X69" s="116">
        <v>0</v>
      </c>
      <c r="Y69" s="116">
        <v>0</v>
      </c>
      <c r="Z69" s="116">
        <v>0</v>
      </c>
      <c r="AA69" s="116">
        <v>0</v>
      </c>
      <c r="AB69" s="116">
        <v>0</v>
      </c>
      <c r="AC69" s="116">
        <v>0</v>
      </c>
      <c r="AD69" s="116">
        <v>0</v>
      </c>
      <c r="AE69" s="116">
        <v>0</v>
      </c>
      <c r="AF69" s="116">
        <v>0</v>
      </c>
      <c r="AG69" s="116">
        <v>0</v>
      </c>
      <c r="AH69" s="116">
        <v>0</v>
      </c>
      <c r="AI69" s="116">
        <v>0</v>
      </c>
      <c r="AJ69" s="116">
        <v>0</v>
      </c>
      <c r="AK69" s="116">
        <v>0</v>
      </c>
      <c r="AL69" s="116">
        <v>0</v>
      </c>
      <c r="AM69" s="116">
        <v>0</v>
      </c>
      <c r="AN69" s="116">
        <v>0</v>
      </c>
      <c r="AO69" s="116">
        <v>0</v>
      </c>
      <c r="AP69" s="116">
        <v>0</v>
      </c>
      <c r="AQ69" s="116">
        <v>0</v>
      </c>
      <c r="AR69" s="116">
        <v>0</v>
      </c>
      <c r="AS69" s="116">
        <v>0</v>
      </c>
      <c r="AT69" s="116">
        <v>0</v>
      </c>
      <c r="AU69" s="116">
        <v>0</v>
      </c>
      <c r="AV69" s="116">
        <v>0</v>
      </c>
      <c r="AW69" s="116">
        <v>0</v>
      </c>
      <c r="AX69" s="116">
        <v>0</v>
      </c>
      <c r="AY69" s="116">
        <v>0</v>
      </c>
    </row>
    <row r="70" spans="1:51" x14ac:dyDescent="0.2">
      <c r="A70" s="115"/>
      <c r="B70" s="133">
        <v>26</v>
      </c>
      <c r="C70" s="115" t="s">
        <v>293</v>
      </c>
      <c r="D70" s="116">
        <v>0</v>
      </c>
      <c r="E70" s="116">
        <v>0</v>
      </c>
      <c r="F70" s="116">
        <v>0</v>
      </c>
      <c r="G70" s="116">
        <v>0</v>
      </c>
      <c r="H70" s="116">
        <v>0</v>
      </c>
      <c r="I70" s="116">
        <v>0</v>
      </c>
      <c r="J70" s="116">
        <v>0</v>
      </c>
      <c r="K70" s="116">
        <v>0</v>
      </c>
      <c r="L70" s="116">
        <v>0</v>
      </c>
      <c r="M70" s="116">
        <v>0</v>
      </c>
      <c r="N70" s="116">
        <v>0</v>
      </c>
      <c r="O70" s="116">
        <v>0</v>
      </c>
      <c r="P70" s="116">
        <v>0</v>
      </c>
      <c r="Q70" s="116">
        <v>0</v>
      </c>
      <c r="R70" s="116">
        <v>0</v>
      </c>
      <c r="S70" s="116">
        <v>0</v>
      </c>
      <c r="T70" s="116">
        <v>0</v>
      </c>
      <c r="U70" s="116">
        <v>0</v>
      </c>
      <c r="V70" s="116">
        <v>0</v>
      </c>
      <c r="W70" s="116">
        <v>0</v>
      </c>
      <c r="X70" s="116">
        <v>0</v>
      </c>
      <c r="Y70" s="116">
        <v>0</v>
      </c>
      <c r="Z70" s="116">
        <v>0</v>
      </c>
      <c r="AA70" s="116">
        <v>0</v>
      </c>
      <c r="AB70" s="116">
        <v>0</v>
      </c>
      <c r="AC70" s="116">
        <v>0</v>
      </c>
      <c r="AD70" s="116">
        <v>0</v>
      </c>
      <c r="AE70" s="116">
        <v>0</v>
      </c>
      <c r="AF70" s="116">
        <v>0</v>
      </c>
      <c r="AG70" s="116">
        <v>0</v>
      </c>
      <c r="AH70" s="116">
        <v>0</v>
      </c>
      <c r="AI70" s="116">
        <v>0</v>
      </c>
      <c r="AJ70" s="116">
        <v>0</v>
      </c>
      <c r="AK70" s="116">
        <v>0</v>
      </c>
      <c r="AL70" s="116">
        <v>0</v>
      </c>
      <c r="AM70" s="116">
        <v>0</v>
      </c>
      <c r="AN70" s="116">
        <v>0</v>
      </c>
      <c r="AO70" s="116">
        <v>0</v>
      </c>
      <c r="AP70" s="116">
        <v>0</v>
      </c>
      <c r="AQ70" s="116">
        <v>0</v>
      </c>
      <c r="AR70" s="116">
        <v>0</v>
      </c>
      <c r="AS70" s="116">
        <v>0</v>
      </c>
      <c r="AT70" s="116">
        <v>0</v>
      </c>
      <c r="AU70" s="116">
        <v>0</v>
      </c>
      <c r="AV70" s="116">
        <v>0</v>
      </c>
      <c r="AW70" s="116">
        <v>0</v>
      </c>
      <c r="AX70" s="116">
        <v>0</v>
      </c>
      <c r="AY70" s="116">
        <v>0</v>
      </c>
    </row>
    <row r="71" spans="1:51" x14ac:dyDescent="0.2">
      <c r="A71" s="115"/>
      <c r="B71" s="133">
        <v>27</v>
      </c>
      <c r="C71" s="115" t="s">
        <v>293</v>
      </c>
      <c r="D71" s="116">
        <v>0</v>
      </c>
      <c r="E71" s="116">
        <v>0</v>
      </c>
      <c r="F71" s="116">
        <v>0</v>
      </c>
      <c r="G71" s="116">
        <v>0</v>
      </c>
      <c r="H71" s="116">
        <v>0</v>
      </c>
      <c r="I71" s="116">
        <v>0</v>
      </c>
      <c r="J71" s="116">
        <v>0</v>
      </c>
      <c r="K71" s="116">
        <v>0</v>
      </c>
      <c r="L71" s="116">
        <v>0</v>
      </c>
      <c r="M71" s="116">
        <v>0</v>
      </c>
      <c r="N71" s="116">
        <v>0</v>
      </c>
      <c r="O71" s="116">
        <v>0</v>
      </c>
      <c r="P71" s="116">
        <v>0</v>
      </c>
      <c r="Q71" s="116">
        <v>0</v>
      </c>
      <c r="R71" s="116">
        <v>0</v>
      </c>
      <c r="S71" s="116">
        <v>0</v>
      </c>
      <c r="T71" s="116">
        <v>0</v>
      </c>
      <c r="U71" s="116">
        <v>0</v>
      </c>
      <c r="V71" s="116">
        <v>0</v>
      </c>
      <c r="W71" s="116">
        <v>0</v>
      </c>
      <c r="X71" s="116">
        <v>0</v>
      </c>
      <c r="Y71" s="116">
        <v>0</v>
      </c>
      <c r="Z71" s="116">
        <v>0</v>
      </c>
      <c r="AA71" s="116">
        <v>0</v>
      </c>
      <c r="AB71" s="116">
        <v>0</v>
      </c>
      <c r="AC71" s="116">
        <v>0</v>
      </c>
      <c r="AD71" s="116">
        <v>0</v>
      </c>
      <c r="AE71" s="116">
        <v>0</v>
      </c>
      <c r="AF71" s="116">
        <v>0</v>
      </c>
      <c r="AG71" s="116">
        <v>0</v>
      </c>
      <c r="AH71" s="116">
        <v>0</v>
      </c>
      <c r="AI71" s="116">
        <v>0</v>
      </c>
      <c r="AJ71" s="116">
        <v>0</v>
      </c>
      <c r="AK71" s="116">
        <v>0</v>
      </c>
      <c r="AL71" s="116">
        <v>0</v>
      </c>
      <c r="AM71" s="116">
        <v>0</v>
      </c>
      <c r="AN71" s="116">
        <v>0</v>
      </c>
      <c r="AO71" s="116">
        <v>0</v>
      </c>
      <c r="AP71" s="116">
        <v>0</v>
      </c>
      <c r="AQ71" s="116">
        <v>0</v>
      </c>
      <c r="AR71" s="116">
        <v>0</v>
      </c>
      <c r="AS71" s="116">
        <v>0</v>
      </c>
      <c r="AT71" s="116">
        <v>0</v>
      </c>
      <c r="AU71" s="116">
        <v>0</v>
      </c>
      <c r="AV71" s="116">
        <v>0</v>
      </c>
      <c r="AW71" s="116">
        <v>0</v>
      </c>
      <c r="AX71" s="116">
        <v>0</v>
      </c>
      <c r="AY71" s="116">
        <v>0</v>
      </c>
    </row>
    <row r="72" spans="1:51" x14ac:dyDescent="0.2">
      <c r="A72" s="115"/>
      <c r="B72" s="133">
        <v>28</v>
      </c>
      <c r="C72" s="115" t="s">
        <v>293</v>
      </c>
      <c r="D72" s="116">
        <v>0</v>
      </c>
      <c r="E72" s="116">
        <v>0</v>
      </c>
      <c r="F72" s="116">
        <v>0</v>
      </c>
      <c r="G72" s="116">
        <v>0</v>
      </c>
      <c r="H72" s="116">
        <v>0</v>
      </c>
      <c r="I72" s="116">
        <v>0</v>
      </c>
      <c r="J72" s="116">
        <v>0</v>
      </c>
      <c r="K72" s="116">
        <v>0</v>
      </c>
      <c r="L72" s="116">
        <v>0</v>
      </c>
      <c r="M72" s="116">
        <v>0</v>
      </c>
      <c r="N72" s="116">
        <v>0</v>
      </c>
      <c r="O72" s="116">
        <v>0</v>
      </c>
      <c r="P72" s="116">
        <v>0</v>
      </c>
      <c r="Q72" s="116">
        <v>0</v>
      </c>
      <c r="R72" s="116">
        <v>0</v>
      </c>
      <c r="S72" s="116">
        <v>0</v>
      </c>
      <c r="T72" s="116">
        <v>0</v>
      </c>
      <c r="U72" s="116">
        <v>0</v>
      </c>
      <c r="V72" s="116">
        <v>0</v>
      </c>
      <c r="W72" s="116">
        <v>0</v>
      </c>
      <c r="X72" s="116">
        <v>0</v>
      </c>
      <c r="Y72" s="116">
        <v>0</v>
      </c>
      <c r="Z72" s="116">
        <v>0</v>
      </c>
      <c r="AA72" s="116">
        <v>0</v>
      </c>
      <c r="AB72" s="116">
        <v>0</v>
      </c>
      <c r="AC72" s="116">
        <v>0</v>
      </c>
      <c r="AD72" s="116">
        <v>0</v>
      </c>
      <c r="AE72" s="116">
        <v>0</v>
      </c>
      <c r="AF72" s="116">
        <v>0</v>
      </c>
      <c r="AG72" s="116">
        <v>0</v>
      </c>
      <c r="AH72" s="116">
        <v>0</v>
      </c>
      <c r="AI72" s="116">
        <v>0</v>
      </c>
      <c r="AJ72" s="116">
        <v>0</v>
      </c>
      <c r="AK72" s="116">
        <v>0</v>
      </c>
      <c r="AL72" s="116">
        <v>0</v>
      </c>
      <c r="AM72" s="116">
        <v>0</v>
      </c>
      <c r="AN72" s="116">
        <v>0</v>
      </c>
      <c r="AO72" s="116">
        <v>0</v>
      </c>
      <c r="AP72" s="116">
        <v>0</v>
      </c>
      <c r="AQ72" s="116">
        <v>0</v>
      </c>
      <c r="AR72" s="116">
        <v>0</v>
      </c>
      <c r="AS72" s="116">
        <v>0</v>
      </c>
      <c r="AT72" s="116">
        <v>0</v>
      </c>
      <c r="AU72" s="116">
        <v>0</v>
      </c>
      <c r="AV72" s="116">
        <v>0</v>
      </c>
      <c r="AW72" s="116">
        <v>0</v>
      </c>
      <c r="AX72" s="116">
        <v>0</v>
      </c>
      <c r="AY72" s="116">
        <v>0</v>
      </c>
    </row>
    <row r="73" spans="1:51" x14ac:dyDescent="0.2">
      <c r="A73" s="115"/>
      <c r="B73" s="133">
        <v>29</v>
      </c>
      <c r="C73" s="115" t="s">
        <v>293</v>
      </c>
      <c r="D73" s="116">
        <v>0</v>
      </c>
      <c r="E73" s="116">
        <v>0</v>
      </c>
      <c r="F73" s="116">
        <v>0</v>
      </c>
      <c r="G73" s="116">
        <v>0</v>
      </c>
      <c r="H73" s="116">
        <v>0</v>
      </c>
      <c r="I73" s="116">
        <v>0</v>
      </c>
      <c r="J73" s="116">
        <v>0</v>
      </c>
      <c r="K73" s="116">
        <v>0</v>
      </c>
      <c r="L73" s="116">
        <v>0</v>
      </c>
      <c r="M73" s="116">
        <v>0</v>
      </c>
      <c r="N73" s="116">
        <v>0</v>
      </c>
      <c r="O73" s="116">
        <v>0</v>
      </c>
      <c r="P73" s="116">
        <v>0</v>
      </c>
      <c r="Q73" s="116">
        <v>0</v>
      </c>
      <c r="R73" s="116">
        <v>0</v>
      </c>
      <c r="S73" s="116">
        <v>0</v>
      </c>
      <c r="T73" s="116">
        <v>0</v>
      </c>
      <c r="U73" s="116">
        <v>0</v>
      </c>
      <c r="V73" s="116">
        <v>0</v>
      </c>
      <c r="W73" s="116">
        <v>0</v>
      </c>
      <c r="X73" s="116">
        <v>0</v>
      </c>
      <c r="Y73" s="116">
        <v>0</v>
      </c>
      <c r="Z73" s="116">
        <v>0</v>
      </c>
      <c r="AA73" s="116">
        <v>0</v>
      </c>
      <c r="AB73" s="116">
        <v>0</v>
      </c>
      <c r="AC73" s="116">
        <v>0</v>
      </c>
      <c r="AD73" s="116">
        <v>0</v>
      </c>
      <c r="AE73" s="116">
        <v>0</v>
      </c>
      <c r="AF73" s="116">
        <v>0</v>
      </c>
      <c r="AG73" s="116">
        <v>0</v>
      </c>
      <c r="AH73" s="116">
        <v>0</v>
      </c>
      <c r="AI73" s="116">
        <v>0</v>
      </c>
      <c r="AJ73" s="116">
        <v>0</v>
      </c>
      <c r="AK73" s="116">
        <v>0</v>
      </c>
      <c r="AL73" s="116">
        <v>0</v>
      </c>
      <c r="AM73" s="116">
        <v>0</v>
      </c>
      <c r="AN73" s="116">
        <v>0</v>
      </c>
      <c r="AO73" s="116">
        <v>0</v>
      </c>
      <c r="AP73" s="116">
        <v>0</v>
      </c>
      <c r="AQ73" s="116">
        <v>0</v>
      </c>
      <c r="AR73" s="116">
        <v>0</v>
      </c>
      <c r="AS73" s="116">
        <v>0</v>
      </c>
      <c r="AT73" s="116">
        <v>0</v>
      </c>
      <c r="AU73" s="116">
        <v>0</v>
      </c>
      <c r="AV73" s="116">
        <v>0</v>
      </c>
      <c r="AW73" s="116">
        <v>0</v>
      </c>
      <c r="AX73" s="116">
        <v>0</v>
      </c>
      <c r="AY73" s="116">
        <v>0</v>
      </c>
    </row>
    <row r="74" spans="1:51" x14ac:dyDescent="0.2">
      <c r="A74" s="115"/>
      <c r="B74" s="133">
        <v>30</v>
      </c>
      <c r="C74" s="115" t="s">
        <v>293</v>
      </c>
      <c r="D74" s="116">
        <v>0</v>
      </c>
      <c r="E74" s="116">
        <v>0</v>
      </c>
      <c r="F74" s="116">
        <v>0</v>
      </c>
      <c r="G74" s="116">
        <v>0</v>
      </c>
      <c r="H74" s="116">
        <v>0</v>
      </c>
      <c r="I74" s="116">
        <v>0</v>
      </c>
      <c r="J74" s="116">
        <v>0</v>
      </c>
      <c r="K74" s="116">
        <v>0</v>
      </c>
      <c r="L74" s="116">
        <v>0</v>
      </c>
      <c r="M74" s="116">
        <v>0</v>
      </c>
      <c r="N74" s="116">
        <v>0</v>
      </c>
      <c r="O74" s="116">
        <v>0</v>
      </c>
      <c r="P74" s="116">
        <v>0</v>
      </c>
      <c r="Q74" s="116">
        <v>0</v>
      </c>
      <c r="R74" s="116">
        <v>0</v>
      </c>
      <c r="S74" s="116">
        <v>0</v>
      </c>
      <c r="T74" s="116">
        <v>0</v>
      </c>
      <c r="U74" s="116">
        <v>0</v>
      </c>
      <c r="V74" s="116">
        <v>0</v>
      </c>
      <c r="W74" s="116">
        <v>0</v>
      </c>
      <c r="X74" s="116">
        <v>0</v>
      </c>
      <c r="Y74" s="116">
        <v>0</v>
      </c>
      <c r="Z74" s="116">
        <v>0</v>
      </c>
      <c r="AA74" s="116">
        <v>0</v>
      </c>
      <c r="AB74" s="116">
        <v>0</v>
      </c>
      <c r="AC74" s="116">
        <v>0</v>
      </c>
      <c r="AD74" s="116">
        <v>0</v>
      </c>
      <c r="AE74" s="116">
        <v>0</v>
      </c>
      <c r="AF74" s="116">
        <v>0</v>
      </c>
      <c r="AG74" s="116">
        <v>0</v>
      </c>
      <c r="AH74" s="116">
        <v>0</v>
      </c>
      <c r="AI74" s="116">
        <v>0</v>
      </c>
      <c r="AJ74" s="116">
        <v>0</v>
      </c>
      <c r="AK74" s="116">
        <v>0</v>
      </c>
      <c r="AL74" s="116">
        <v>0</v>
      </c>
      <c r="AM74" s="116">
        <v>0</v>
      </c>
      <c r="AN74" s="116">
        <v>0</v>
      </c>
      <c r="AO74" s="116">
        <v>0</v>
      </c>
      <c r="AP74" s="116">
        <v>0</v>
      </c>
      <c r="AQ74" s="116">
        <v>0</v>
      </c>
      <c r="AR74" s="116">
        <v>0</v>
      </c>
      <c r="AS74" s="116">
        <v>0</v>
      </c>
      <c r="AT74" s="116">
        <v>0</v>
      </c>
      <c r="AU74" s="116">
        <v>0</v>
      </c>
      <c r="AV74" s="116">
        <v>0</v>
      </c>
      <c r="AW74" s="116">
        <v>0</v>
      </c>
      <c r="AX74" s="116">
        <v>0</v>
      </c>
      <c r="AY74" s="116">
        <v>0</v>
      </c>
    </row>
    <row r="75" spans="1:51" x14ac:dyDescent="0.2">
      <c r="A75" s="115"/>
      <c r="B75" s="133">
        <v>31</v>
      </c>
      <c r="C75" s="115" t="s">
        <v>293</v>
      </c>
      <c r="D75" s="116">
        <v>0</v>
      </c>
      <c r="E75" s="116">
        <v>0</v>
      </c>
      <c r="F75" s="116">
        <v>0</v>
      </c>
      <c r="G75" s="116">
        <v>0</v>
      </c>
      <c r="H75" s="116">
        <v>0</v>
      </c>
      <c r="I75" s="116">
        <v>0</v>
      </c>
      <c r="J75" s="116">
        <v>0</v>
      </c>
      <c r="K75" s="116">
        <v>0</v>
      </c>
      <c r="L75" s="116">
        <v>0</v>
      </c>
      <c r="M75" s="116">
        <v>0</v>
      </c>
      <c r="N75" s="116">
        <v>0</v>
      </c>
      <c r="O75" s="116">
        <v>0</v>
      </c>
      <c r="P75" s="116">
        <v>0</v>
      </c>
      <c r="Q75" s="116">
        <v>0</v>
      </c>
      <c r="R75" s="116">
        <v>0</v>
      </c>
      <c r="S75" s="116">
        <v>0</v>
      </c>
      <c r="T75" s="116">
        <v>0</v>
      </c>
      <c r="U75" s="116">
        <v>0</v>
      </c>
      <c r="V75" s="116">
        <v>0</v>
      </c>
      <c r="W75" s="116">
        <v>0</v>
      </c>
      <c r="X75" s="116">
        <v>0</v>
      </c>
      <c r="Y75" s="116">
        <v>0</v>
      </c>
      <c r="Z75" s="116">
        <v>0</v>
      </c>
      <c r="AA75" s="116">
        <v>0</v>
      </c>
      <c r="AB75" s="116">
        <v>0</v>
      </c>
      <c r="AC75" s="116">
        <v>0</v>
      </c>
      <c r="AD75" s="116">
        <v>0</v>
      </c>
      <c r="AE75" s="116">
        <v>0</v>
      </c>
      <c r="AF75" s="116">
        <v>0</v>
      </c>
      <c r="AG75" s="116">
        <v>0</v>
      </c>
      <c r="AH75" s="116">
        <v>0</v>
      </c>
      <c r="AI75" s="116">
        <v>0</v>
      </c>
      <c r="AJ75" s="116">
        <v>0</v>
      </c>
      <c r="AK75" s="116">
        <v>0</v>
      </c>
      <c r="AL75" s="116">
        <v>0</v>
      </c>
      <c r="AM75" s="116">
        <v>0</v>
      </c>
      <c r="AN75" s="116">
        <v>0</v>
      </c>
      <c r="AO75" s="116">
        <v>0</v>
      </c>
      <c r="AP75" s="116">
        <v>0</v>
      </c>
      <c r="AQ75" s="116">
        <v>0</v>
      </c>
      <c r="AR75" s="116">
        <v>0</v>
      </c>
      <c r="AS75" s="116">
        <v>0</v>
      </c>
      <c r="AT75" s="116">
        <v>0</v>
      </c>
      <c r="AU75" s="116">
        <v>0</v>
      </c>
      <c r="AV75" s="116">
        <v>0</v>
      </c>
      <c r="AW75" s="116">
        <v>0</v>
      </c>
      <c r="AX75" s="116">
        <v>0</v>
      </c>
      <c r="AY75" s="116">
        <v>0</v>
      </c>
    </row>
    <row r="76" spans="1:51" x14ac:dyDescent="0.2">
      <c r="A76" s="115"/>
      <c r="B76" s="133">
        <v>32</v>
      </c>
      <c r="C76" s="115" t="s">
        <v>293</v>
      </c>
      <c r="D76" s="116">
        <v>0</v>
      </c>
      <c r="E76" s="116">
        <v>0</v>
      </c>
      <c r="F76" s="116">
        <v>0</v>
      </c>
      <c r="G76" s="116">
        <v>0</v>
      </c>
      <c r="H76" s="116">
        <v>0</v>
      </c>
      <c r="I76" s="116">
        <v>0</v>
      </c>
      <c r="J76" s="116">
        <v>0</v>
      </c>
      <c r="K76" s="116">
        <v>0</v>
      </c>
      <c r="L76" s="116">
        <v>0</v>
      </c>
      <c r="M76" s="116">
        <v>0</v>
      </c>
      <c r="N76" s="116">
        <v>0</v>
      </c>
      <c r="O76" s="116">
        <v>0</v>
      </c>
      <c r="P76" s="116">
        <v>0</v>
      </c>
      <c r="Q76" s="116">
        <v>0</v>
      </c>
      <c r="R76" s="116">
        <v>0</v>
      </c>
      <c r="S76" s="116">
        <v>0</v>
      </c>
      <c r="T76" s="116">
        <v>0</v>
      </c>
      <c r="U76" s="116">
        <v>0</v>
      </c>
      <c r="V76" s="116">
        <v>0</v>
      </c>
      <c r="W76" s="116">
        <v>0</v>
      </c>
      <c r="X76" s="116">
        <v>0</v>
      </c>
      <c r="Y76" s="116">
        <v>0</v>
      </c>
      <c r="Z76" s="116">
        <v>0</v>
      </c>
      <c r="AA76" s="116">
        <v>0</v>
      </c>
      <c r="AB76" s="116">
        <v>0</v>
      </c>
      <c r="AC76" s="116">
        <v>0</v>
      </c>
      <c r="AD76" s="116">
        <v>0</v>
      </c>
      <c r="AE76" s="116">
        <v>0</v>
      </c>
      <c r="AF76" s="116">
        <v>0</v>
      </c>
      <c r="AG76" s="116">
        <v>0</v>
      </c>
      <c r="AH76" s="116">
        <v>0</v>
      </c>
      <c r="AI76" s="116">
        <v>0</v>
      </c>
      <c r="AJ76" s="116">
        <v>0</v>
      </c>
      <c r="AK76" s="116">
        <v>0</v>
      </c>
      <c r="AL76" s="116">
        <v>0</v>
      </c>
      <c r="AM76" s="116">
        <v>0</v>
      </c>
      <c r="AN76" s="116">
        <v>0</v>
      </c>
      <c r="AO76" s="116">
        <v>0</v>
      </c>
      <c r="AP76" s="116">
        <v>0</v>
      </c>
      <c r="AQ76" s="116">
        <v>0</v>
      </c>
      <c r="AR76" s="116">
        <v>0</v>
      </c>
      <c r="AS76" s="116">
        <v>0</v>
      </c>
      <c r="AT76" s="116">
        <v>0</v>
      </c>
      <c r="AU76" s="116">
        <v>0</v>
      </c>
      <c r="AV76" s="116">
        <v>0</v>
      </c>
      <c r="AW76" s="116">
        <v>0</v>
      </c>
      <c r="AX76" s="116">
        <v>0</v>
      </c>
      <c r="AY76" s="116">
        <v>0</v>
      </c>
    </row>
    <row r="77" spans="1:51" x14ac:dyDescent="0.2">
      <c r="A77" s="115"/>
      <c r="B77" s="133">
        <v>33</v>
      </c>
      <c r="C77" s="115" t="s">
        <v>293</v>
      </c>
      <c r="D77" s="116">
        <v>0</v>
      </c>
      <c r="E77" s="116">
        <v>0</v>
      </c>
      <c r="F77" s="116">
        <v>0</v>
      </c>
      <c r="G77" s="116">
        <v>0</v>
      </c>
      <c r="H77" s="116">
        <v>0</v>
      </c>
      <c r="I77" s="116">
        <v>0</v>
      </c>
      <c r="J77" s="116">
        <v>0</v>
      </c>
      <c r="K77" s="116">
        <v>0</v>
      </c>
      <c r="L77" s="116">
        <v>0</v>
      </c>
      <c r="M77" s="116">
        <v>0</v>
      </c>
      <c r="N77" s="116">
        <v>0</v>
      </c>
      <c r="O77" s="116">
        <v>0</v>
      </c>
      <c r="P77" s="116">
        <v>0</v>
      </c>
      <c r="Q77" s="116">
        <v>0</v>
      </c>
      <c r="R77" s="116">
        <v>0</v>
      </c>
      <c r="S77" s="116">
        <v>0</v>
      </c>
      <c r="T77" s="116">
        <v>0</v>
      </c>
      <c r="U77" s="116">
        <v>0</v>
      </c>
      <c r="V77" s="116">
        <v>0</v>
      </c>
      <c r="W77" s="116">
        <v>0</v>
      </c>
      <c r="X77" s="116">
        <v>0</v>
      </c>
      <c r="Y77" s="116">
        <v>0</v>
      </c>
      <c r="Z77" s="116">
        <v>0</v>
      </c>
      <c r="AA77" s="116">
        <v>0</v>
      </c>
      <c r="AB77" s="116">
        <v>0</v>
      </c>
      <c r="AC77" s="116">
        <v>0</v>
      </c>
      <c r="AD77" s="116">
        <v>0</v>
      </c>
      <c r="AE77" s="116">
        <v>0</v>
      </c>
      <c r="AF77" s="116">
        <v>0</v>
      </c>
      <c r="AG77" s="116">
        <v>0</v>
      </c>
      <c r="AH77" s="116">
        <v>0</v>
      </c>
      <c r="AI77" s="116">
        <v>0</v>
      </c>
      <c r="AJ77" s="116">
        <v>0</v>
      </c>
      <c r="AK77" s="116">
        <v>0</v>
      </c>
      <c r="AL77" s="116">
        <v>0</v>
      </c>
      <c r="AM77" s="116">
        <v>0</v>
      </c>
      <c r="AN77" s="116">
        <v>0</v>
      </c>
      <c r="AO77" s="116">
        <v>0</v>
      </c>
      <c r="AP77" s="116">
        <v>0</v>
      </c>
      <c r="AQ77" s="116">
        <v>0</v>
      </c>
      <c r="AR77" s="116">
        <v>0</v>
      </c>
      <c r="AS77" s="116">
        <v>0</v>
      </c>
      <c r="AT77" s="116">
        <v>0</v>
      </c>
      <c r="AU77" s="116">
        <v>0</v>
      </c>
      <c r="AV77" s="116">
        <v>0</v>
      </c>
      <c r="AW77" s="116">
        <v>0</v>
      </c>
      <c r="AX77" s="116">
        <v>0</v>
      </c>
      <c r="AY77" s="116">
        <v>0</v>
      </c>
    </row>
    <row r="78" spans="1:51" x14ac:dyDescent="0.2">
      <c r="A78" s="115"/>
      <c r="B78" s="133">
        <v>34</v>
      </c>
      <c r="C78" s="115" t="s">
        <v>293</v>
      </c>
      <c r="D78" s="116">
        <v>0</v>
      </c>
      <c r="E78" s="116">
        <v>0</v>
      </c>
      <c r="F78" s="116">
        <v>0</v>
      </c>
      <c r="G78" s="116">
        <v>0</v>
      </c>
      <c r="H78" s="116">
        <v>0</v>
      </c>
      <c r="I78" s="116">
        <v>0</v>
      </c>
      <c r="J78" s="116">
        <v>0</v>
      </c>
      <c r="K78" s="116">
        <v>0</v>
      </c>
      <c r="L78" s="116">
        <v>0</v>
      </c>
      <c r="M78" s="116">
        <v>0</v>
      </c>
      <c r="N78" s="116">
        <v>0</v>
      </c>
      <c r="O78" s="116">
        <v>0</v>
      </c>
      <c r="P78" s="116">
        <v>0</v>
      </c>
      <c r="Q78" s="116">
        <v>0</v>
      </c>
      <c r="R78" s="116">
        <v>0</v>
      </c>
      <c r="S78" s="116">
        <v>0</v>
      </c>
      <c r="T78" s="116">
        <v>0</v>
      </c>
      <c r="U78" s="116">
        <v>0</v>
      </c>
      <c r="V78" s="116">
        <v>0</v>
      </c>
      <c r="W78" s="116">
        <v>0</v>
      </c>
      <c r="X78" s="116">
        <v>0</v>
      </c>
      <c r="Y78" s="116">
        <v>0</v>
      </c>
      <c r="Z78" s="116">
        <v>0</v>
      </c>
      <c r="AA78" s="116">
        <v>0</v>
      </c>
      <c r="AB78" s="116">
        <v>0</v>
      </c>
      <c r="AC78" s="116">
        <v>0</v>
      </c>
      <c r="AD78" s="116">
        <v>0</v>
      </c>
      <c r="AE78" s="116">
        <v>0</v>
      </c>
      <c r="AF78" s="116">
        <v>0</v>
      </c>
      <c r="AG78" s="116">
        <v>0</v>
      </c>
      <c r="AH78" s="116">
        <v>0</v>
      </c>
      <c r="AI78" s="116">
        <v>0</v>
      </c>
      <c r="AJ78" s="116">
        <v>0</v>
      </c>
      <c r="AK78" s="116">
        <v>0</v>
      </c>
      <c r="AL78" s="116">
        <v>0</v>
      </c>
      <c r="AM78" s="116">
        <v>0</v>
      </c>
      <c r="AN78" s="116">
        <v>0</v>
      </c>
      <c r="AO78" s="116">
        <v>0</v>
      </c>
      <c r="AP78" s="116">
        <v>0</v>
      </c>
      <c r="AQ78" s="116">
        <v>0</v>
      </c>
      <c r="AR78" s="116">
        <v>0</v>
      </c>
      <c r="AS78" s="116">
        <v>0</v>
      </c>
      <c r="AT78" s="116">
        <v>0</v>
      </c>
      <c r="AU78" s="116">
        <v>0</v>
      </c>
      <c r="AV78" s="116">
        <v>0</v>
      </c>
      <c r="AW78" s="116">
        <v>0</v>
      </c>
      <c r="AX78" s="116">
        <v>0</v>
      </c>
      <c r="AY78" s="116">
        <v>0</v>
      </c>
    </row>
    <row r="79" spans="1:51" x14ac:dyDescent="0.2">
      <c r="A79" s="115"/>
      <c r="B79" s="133">
        <v>35</v>
      </c>
      <c r="C79" s="115" t="s">
        <v>293</v>
      </c>
      <c r="D79" s="116">
        <v>0</v>
      </c>
      <c r="E79" s="116">
        <v>0</v>
      </c>
      <c r="F79" s="116">
        <v>0</v>
      </c>
      <c r="G79" s="116">
        <v>0</v>
      </c>
      <c r="H79" s="116">
        <v>0</v>
      </c>
      <c r="I79" s="116">
        <v>0</v>
      </c>
      <c r="J79" s="116">
        <v>0</v>
      </c>
      <c r="K79" s="116">
        <v>0</v>
      </c>
      <c r="L79" s="116">
        <v>0</v>
      </c>
      <c r="M79" s="116">
        <v>0</v>
      </c>
      <c r="N79" s="116">
        <v>0</v>
      </c>
      <c r="O79" s="116">
        <v>0</v>
      </c>
      <c r="P79" s="116">
        <v>0</v>
      </c>
      <c r="Q79" s="116">
        <v>0</v>
      </c>
      <c r="R79" s="116">
        <v>0</v>
      </c>
      <c r="S79" s="116">
        <v>0</v>
      </c>
      <c r="T79" s="116">
        <v>0</v>
      </c>
      <c r="U79" s="116">
        <v>0</v>
      </c>
      <c r="V79" s="116">
        <v>0</v>
      </c>
      <c r="W79" s="116">
        <v>0</v>
      </c>
      <c r="X79" s="116">
        <v>0</v>
      </c>
      <c r="Y79" s="116">
        <v>0</v>
      </c>
      <c r="Z79" s="116">
        <v>0</v>
      </c>
      <c r="AA79" s="116">
        <v>0</v>
      </c>
      <c r="AB79" s="116">
        <v>0</v>
      </c>
      <c r="AC79" s="116">
        <v>0</v>
      </c>
      <c r="AD79" s="116">
        <v>0</v>
      </c>
      <c r="AE79" s="116">
        <v>0</v>
      </c>
      <c r="AF79" s="116">
        <v>0</v>
      </c>
      <c r="AG79" s="116">
        <v>0</v>
      </c>
      <c r="AH79" s="116">
        <v>0</v>
      </c>
      <c r="AI79" s="116">
        <v>0</v>
      </c>
      <c r="AJ79" s="116">
        <v>0</v>
      </c>
      <c r="AK79" s="116">
        <v>0</v>
      </c>
      <c r="AL79" s="116">
        <v>0</v>
      </c>
      <c r="AM79" s="116">
        <v>0</v>
      </c>
      <c r="AN79" s="116">
        <v>0</v>
      </c>
      <c r="AO79" s="116">
        <v>0</v>
      </c>
      <c r="AP79" s="116">
        <v>0</v>
      </c>
      <c r="AQ79" s="116">
        <v>0</v>
      </c>
      <c r="AR79" s="116">
        <v>0</v>
      </c>
      <c r="AS79" s="116">
        <v>0</v>
      </c>
      <c r="AT79" s="116">
        <v>0</v>
      </c>
      <c r="AU79" s="116">
        <v>0</v>
      </c>
      <c r="AV79" s="116">
        <v>0</v>
      </c>
      <c r="AW79" s="116">
        <v>0</v>
      </c>
      <c r="AX79" s="116">
        <v>0</v>
      </c>
      <c r="AY79" s="116">
        <v>0</v>
      </c>
    </row>
    <row r="80" spans="1:51" x14ac:dyDescent="0.2">
      <c r="A80" s="115"/>
      <c r="B80" s="133">
        <v>36</v>
      </c>
      <c r="C80" s="115" t="s">
        <v>293</v>
      </c>
      <c r="D80" s="116">
        <v>0</v>
      </c>
      <c r="E80" s="116">
        <v>0</v>
      </c>
      <c r="F80" s="116">
        <v>0</v>
      </c>
      <c r="G80" s="116">
        <v>0</v>
      </c>
      <c r="H80" s="116">
        <v>0</v>
      </c>
      <c r="I80" s="116">
        <v>0</v>
      </c>
      <c r="J80" s="116">
        <v>0</v>
      </c>
      <c r="K80" s="116">
        <v>0</v>
      </c>
      <c r="L80" s="116">
        <v>0</v>
      </c>
      <c r="M80" s="116">
        <v>0</v>
      </c>
      <c r="N80" s="116">
        <v>0</v>
      </c>
      <c r="O80" s="116">
        <v>0</v>
      </c>
      <c r="P80" s="116">
        <v>0</v>
      </c>
      <c r="Q80" s="116">
        <v>0</v>
      </c>
      <c r="R80" s="116">
        <v>0</v>
      </c>
      <c r="S80" s="116">
        <v>0</v>
      </c>
      <c r="T80" s="116">
        <v>0</v>
      </c>
      <c r="U80" s="116">
        <v>0</v>
      </c>
      <c r="V80" s="116">
        <v>0</v>
      </c>
      <c r="W80" s="116">
        <v>0</v>
      </c>
      <c r="X80" s="116">
        <v>0</v>
      </c>
      <c r="Y80" s="116">
        <v>0</v>
      </c>
      <c r="Z80" s="116">
        <v>0</v>
      </c>
      <c r="AA80" s="116">
        <v>0</v>
      </c>
      <c r="AB80" s="116">
        <v>0</v>
      </c>
      <c r="AC80" s="116">
        <v>0</v>
      </c>
      <c r="AD80" s="116">
        <v>0</v>
      </c>
      <c r="AE80" s="116">
        <v>0</v>
      </c>
      <c r="AF80" s="116">
        <v>0</v>
      </c>
      <c r="AG80" s="116">
        <v>0</v>
      </c>
      <c r="AH80" s="116">
        <v>0</v>
      </c>
      <c r="AI80" s="116">
        <v>0</v>
      </c>
      <c r="AJ80" s="116">
        <v>0</v>
      </c>
      <c r="AK80" s="116">
        <v>0</v>
      </c>
      <c r="AL80" s="116">
        <v>0</v>
      </c>
      <c r="AM80" s="116">
        <v>0</v>
      </c>
      <c r="AN80" s="116">
        <v>0</v>
      </c>
      <c r="AO80" s="116">
        <v>0</v>
      </c>
      <c r="AP80" s="116">
        <v>0</v>
      </c>
      <c r="AQ80" s="116">
        <v>0</v>
      </c>
      <c r="AR80" s="116">
        <v>0</v>
      </c>
      <c r="AS80" s="116">
        <v>0</v>
      </c>
      <c r="AT80" s="116">
        <v>0</v>
      </c>
      <c r="AU80" s="116">
        <v>0</v>
      </c>
      <c r="AV80" s="116">
        <v>0</v>
      </c>
      <c r="AW80" s="116">
        <v>0</v>
      </c>
      <c r="AX80" s="116">
        <v>0</v>
      </c>
      <c r="AY80" s="116">
        <v>0</v>
      </c>
    </row>
    <row r="81" spans="1:52" x14ac:dyDescent="0.2">
      <c r="A81" s="115"/>
      <c r="B81" s="136">
        <v>37</v>
      </c>
      <c r="C81" s="115" t="s">
        <v>293</v>
      </c>
      <c r="D81" s="116">
        <v>0</v>
      </c>
      <c r="E81" s="116">
        <v>0</v>
      </c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293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293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293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293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293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1661317.5778107664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2859.8564047739601</v>
      </c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21507.184807610436</v>
      </c>
      <c r="D122" s="112">
        <v>30244.478635702173</v>
      </c>
      <c r="E122" s="112">
        <v>30244.478635702173</v>
      </c>
      <c r="F122" s="112">
        <v>30244.478635702173</v>
      </c>
      <c r="G122" s="112">
        <v>30244.478635702173</v>
      </c>
      <c r="H122" s="112">
        <v>26883.981009513045</v>
      </c>
      <c r="I122" s="112">
        <v>26883.981009513045</v>
      </c>
      <c r="J122" s="112">
        <v>26883.981009513045</v>
      </c>
      <c r="K122" s="112">
        <v>26883.981009513045</v>
      </c>
      <c r="L122" s="112">
        <v>26883.981009513045</v>
      </c>
      <c r="M122" s="112">
        <v>26883.981009513045</v>
      </c>
      <c r="N122" s="112">
        <v>26883.981009513045</v>
      </c>
      <c r="O122" s="112">
        <v>26883.981009513045</v>
      </c>
      <c r="P122" s="112">
        <v>30244.478635702173</v>
      </c>
      <c r="Q122" s="112">
        <v>30244.478635702173</v>
      </c>
      <c r="R122" s="112">
        <v>30244.478635702173</v>
      </c>
      <c r="S122" s="112">
        <v>30244.478635702173</v>
      </c>
      <c r="T122" s="112">
        <v>26883.981009513045</v>
      </c>
      <c r="U122" s="112">
        <v>26883.981009513045</v>
      </c>
      <c r="V122" s="112">
        <v>26883.981009513045</v>
      </c>
      <c r="W122" s="112">
        <v>26883.981009513045</v>
      </c>
      <c r="X122" s="112">
        <v>26883.981009513045</v>
      </c>
      <c r="Y122" s="112">
        <v>26883.981009513045</v>
      </c>
      <c r="Z122" s="112">
        <v>26883.981009513045</v>
      </c>
      <c r="AA122" s="112">
        <v>26883.981009513045</v>
      </c>
      <c r="AB122" s="112">
        <v>30244.478635702173</v>
      </c>
      <c r="AC122" s="112">
        <v>30244.478635702173</v>
      </c>
      <c r="AD122" s="112">
        <v>30244.478635702173</v>
      </c>
      <c r="AE122" s="112">
        <v>30244.478635702173</v>
      </c>
      <c r="AF122" s="112">
        <v>26883.981009513045</v>
      </c>
      <c r="AG122" s="112">
        <v>26883.981009513045</v>
      </c>
      <c r="AH122" s="112">
        <v>26883.981009513045</v>
      </c>
      <c r="AI122" s="112">
        <v>26883.981009513045</v>
      </c>
      <c r="AJ122" s="112">
        <v>26883.981009513045</v>
      </c>
      <c r="AK122" s="112">
        <v>26883.981009513045</v>
      </c>
      <c r="AL122" s="112">
        <v>26883.981009513045</v>
      </c>
      <c r="AM122" s="112">
        <v>26883.981009513045</v>
      </c>
      <c r="AN122" s="112">
        <v>30244.478635702173</v>
      </c>
      <c r="AO122" s="112">
        <v>30244.478635702173</v>
      </c>
      <c r="AP122" s="112">
        <v>30244.478635702173</v>
      </c>
      <c r="AQ122" s="112">
        <v>30244.478635702173</v>
      </c>
      <c r="AR122" s="112">
        <v>26883.981009513045</v>
      </c>
      <c r="AS122" s="112">
        <v>26883.981009513045</v>
      </c>
      <c r="AT122" s="112">
        <v>26883.981009513045</v>
      </c>
      <c r="AU122" s="112">
        <v>26883.981009513045</v>
      </c>
      <c r="AV122" s="112">
        <v>26883.981009513045</v>
      </c>
      <c r="AW122" s="112">
        <v>26883.981009513045</v>
      </c>
      <c r="AX122" s="112">
        <v>26883.981009513045</v>
      </c>
      <c r="AY122" s="112">
        <v>26883.981009513045</v>
      </c>
    </row>
    <row r="123" spans="1:52" x14ac:dyDescent="0.2">
      <c r="A123" s="115"/>
      <c r="B123" s="125">
        <v>2</v>
      </c>
      <c r="C123" s="112">
        <v>12245.557778250288</v>
      </c>
      <c r="D123" s="112">
        <v>12245.557778250288</v>
      </c>
      <c r="E123" s="112">
        <v>17220.315625664465</v>
      </c>
      <c r="F123" s="112">
        <v>17220.315625664465</v>
      </c>
      <c r="G123" s="112">
        <v>17220.315625664465</v>
      </c>
      <c r="H123" s="112">
        <v>17220.315625664465</v>
      </c>
      <c r="I123" s="112">
        <v>15306.947222812858</v>
      </c>
      <c r="J123" s="112">
        <v>15306.947222812858</v>
      </c>
      <c r="K123" s="112">
        <v>15306.947222812858</v>
      </c>
      <c r="L123" s="112">
        <v>15306.947222812858</v>
      </c>
      <c r="M123" s="112">
        <v>15306.947222812858</v>
      </c>
      <c r="N123" s="112">
        <v>15306.947222812858</v>
      </c>
      <c r="O123" s="112">
        <v>15306.947222812858</v>
      </c>
      <c r="P123" s="112">
        <v>15306.947222812858</v>
      </c>
      <c r="Q123" s="112">
        <v>17220.315625664465</v>
      </c>
      <c r="R123" s="112">
        <v>17220.315625664465</v>
      </c>
      <c r="S123" s="112">
        <v>17220.315625664465</v>
      </c>
      <c r="T123" s="112">
        <v>17220.315625664465</v>
      </c>
      <c r="U123" s="112">
        <v>15306.947222812858</v>
      </c>
      <c r="V123" s="112">
        <v>15306.947222812858</v>
      </c>
      <c r="W123" s="112">
        <v>15306.947222812858</v>
      </c>
      <c r="X123" s="112">
        <v>15306.947222812858</v>
      </c>
      <c r="Y123" s="112">
        <v>15306.947222812858</v>
      </c>
      <c r="Z123" s="112">
        <v>15306.947222812858</v>
      </c>
      <c r="AA123" s="112">
        <v>15306.947222812858</v>
      </c>
      <c r="AB123" s="112">
        <v>15306.947222812858</v>
      </c>
      <c r="AC123" s="112">
        <v>17220.315625664465</v>
      </c>
      <c r="AD123" s="112">
        <v>17220.315625664465</v>
      </c>
      <c r="AE123" s="112">
        <v>17220.315625664465</v>
      </c>
      <c r="AF123" s="112">
        <v>17220.315625664465</v>
      </c>
      <c r="AG123" s="112">
        <v>15306.947222812858</v>
      </c>
      <c r="AH123" s="112">
        <v>15306.947222812858</v>
      </c>
      <c r="AI123" s="112">
        <v>15306.947222812858</v>
      </c>
      <c r="AJ123" s="112">
        <v>15306.947222812858</v>
      </c>
      <c r="AK123" s="112">
        <v>15306.947222812858</v>
      </c>
      <c r="AL123" s="112">
        <v>15306.947222812858</v>
      </c>
      <c r="AM123" s="112">
        <v>15306.947222812858</v>
      </c>
      <c r="AN123" s="112">
        <v>15306.947222812858</v>
      </c>
      <c r="AO123" s="112">
        <v>17220.315625664465</v>
      </c>
      <c r="AP123" s="112">
        <v>17220.315625664465</v>
      </c>
      <c r="AQ123" s="112">
        <v>17220.315625664465</v>
      </c>
      <c r="AR123" s="112">
        <v>17220.315625664465</v>
      </c>
      <c r="AS123" s="112">
        <v>15306.947222812858</v>
      </c>
      <c r="AT123" s="112">
        <v>15306.947222812858</v>
      </c>
      <c r="AU123" s="112">
        <v>15306.947222812858</v>
      </c>
      <c r="AV123" s="112">
        <v>15306.947222812858</v>
      </c>
      <c r="AW123" s="112">
        <v>15306.947222812862</v>
      </c>
      <c r="AX123" s="112">
        <v>15306.947222812862</v>
      </c>
      <c r="AY123" s="112">
        <v>15306.947222812862</v>
      </c>
    </row>
    <row r="124" spans="1:52" x14ac:dyDescent="0.2">
      <c r="A124" s="115"/>
      <c r="B124" s="125">
        <v>3</v>
      </c>
      <c r="C124" s="112">
        <v>6972.2600443459341</v>
      </c>
      <c r="D124" s="112">
        <v>6972.2600443459341</v>
      </c>
      <c r="E124" s="112">
        <v>3535.2057386333631</v>
      </c>
      <c r="F124" s="112">
        <v>3535.2057386333627</v>
      </c>
      <c r="G124" s="112">
        <v>3535.205738633369</v>
      </c>
      <c r="H124" s="112">
        <v>6895.7033648224897</v>
      </c>
      <c r="I124" s="112">
        <v>8809.0717676741042</v>
      </c>
      <c r="J124" s="112">
        <v>8715.325055432415</v>
      </c>
      <c r="K124" s="112">
        <v>8715.325055432415</v>
      </c>
      <c r="L124" s="112">
        <v>8715.325055432415</v>
      </c>
      <c r="M124" s="112">
        <v>8715.325055432415</v>
      </c>
      <c r="N124" s="112">
        <v>8715.325055432415</v>
      </c>
      <c r="O124" s="112">
        <v>8715.325055432415</v>
      </c>
      <c r="P124" s="112">
        <v>5448.5741414849717</v>
      </c>
      <c r="Q124" s="112">
        <v>3535.2057386333599</v>
      </c>
      <c r="R124" s="112">
        <v>3535.205738633369</v>
      </c>
      <c r="S124" s="112">
        <v>3535.2057386333599</v>
      </c>
      <c r="T124" s="112">
        <v>6895.703364822497</v>
      </c>
      <c r="U124" s="112">
        <v>8809.0717676740969</v>
      </c>
      <c r="V124" s="112">
        <v>8715.325055432415</v>
      </c>
      <c r="W124" s="112">
        <v>8715.325055432415</v>
      </c>
      <c r="X124" s="112">
        <v>8715.325055432415</v>
      </c>
      <c r="Y124" s="112">
        <v>8715.325055432415</v>
      </c>
      <c r="Z124" s="112">
        <v>8715.325055432415</v>
      </c>
      <c r="AA124" s="112">
        <v>8715.325055432415</v>
      </c>
      <c r="AB124" s="112">
        <v>5448.5741414849717</v>
      </c>
      <c r="AC124" s="112">
        <v>3535.2057386333599</v>
      </c>
      <c r="AD124" s="112">
        <v>3535.2057386333654</v>
      </c>
      <c r="AE124" s="112">
        <v>3535.205738633369</v>
      </c>
      <c r="AF124" s="112">
        <v>6895.7033648224842</v>
      </c>
      <c r="AG124" s="112">
        <v>8809.0717676740969</v>
      </c>
      <c r="AH124" s="112">
        <v>8715.325055432415</v>
      </c>
      <c r="AI124" s="112">
        <v>8715.325055432415</v>
      </c>
      <c r="AJ124" s="112">
        <v>8715.325055432415</v>
      </c>
      <c r="AK124" s="112">
        <v>8715.325055432415</v>
      </c>
      <c r="AL124" s="112">
        <v>8715.325055432415</v>
      </c>
      <c r="AM124" s="112">
        <v>8715.325055432415</v>
      </c>
      <c r="AN124" s="112">
        <v>5448.5741414849708</v>
      </c>
      <c r="AO124" s="112">
        <v>3535.2057386333636</v>
      </c>
      <c r="AP124" s="112">
        <v>3535.2057386333681</v>
      </c>
      <c r="AQ124" s="112">
        <v>3535.2057386333599</v>
      </c>
      <c r="AR124" s="112">
        <v>6895.703364822497</v>
      </c>
      <c r="AS124" s="112">
        <v>8809.0717676740969</v>
      </c>
      <c r="AT124" s="112">
        <v>8715.325055432415</v>
      </c>
      <c r="AU124" s="112">
        <v>8715.325055432415</v>
      </c>
      <c r="AV124" s="112">
        <v>8715.325055432415</v>
      </c>
      <c r="AW124" s="112">
        <v>8715.3250554324168</v>
      </c>
      <c r="AX124" s="112">
        <v>8715.3250554324186</v>
      </c>
      <c r="AY124" s="112">
        <v>8715.3250554324186</v>
      </c>
    </row>
    <row r="125" spans="1:52" x14ac:dyDescent="0.2">
      <c r="A125" s="115"/>
      <c r="B125" s="125">
        <v>4</v>
      </c>
      <c r="C125" s="112">
        <v>3969.7995800832173</v>
      </c>
      <c r="D125" s="112">
        <v>1537.7035417016023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93.7467122416856</v>
      </c>
      <c r="K125" s="112">
        <v>93.74671224168651</v>
      </c>
      <c r="L125" s="112">
        <v>93.746712241687419</v>
      </c>
      <c r="M125" s="112">
        <v>93.746712241683781</v>
      </c>
      <c r="N125" s="112">
        <v>93.746712241681962</v>
      </c>
      <c r="O125" s="112">
        <v>93.746712241688329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93.746712241684691</v>
      </c>
      <c r="W125" s="112">
        <v>93.74671224168651</v>
      </c>
      <c r="X125" s="112">
        <v>93.746712241687419</v>
      </c>
      <c r="Y125" s="112">
        <v>93.746712241687419</v>
      </c>
      <c r="Z125" s="112">
        <v>93.746712241683781</v>
      </c>
      <c r="AA125" s="112">
        <v>93.746712241689238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93.746712241691966</v>
      </c>
      <c r="AI125" s="112">
        <v>93.746712241690147</v>
      </c>
      <c r="AJ125" s="112">
        <v>93.746712241678324</v>
      </c>
      <c r="AK125" s="112">
        <v>93.746712241686055</v>
      </c>
      <c r="AL125" s="112">
        <v>93.746712241686964</v>
      </c>
      <c r="AM125" s="112">
        <v>93.746712241687419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93.746712241695604</v>
      </c>
      <c r="AU125" s="112">
        <v>93.746712241692421</v>
      </c>
      <c r="AV125" s="112">
        <v>93.746712241686964</v>
      </c>
      <c r="AW125" s="112">
        <v>93.746712241666501</v>
      </c>
      <c r="AX125" s="112">
        <v>93.74671224166741</v>
      </c>
      <c r="AY125" s="112">
        <v>93.746712241669229</v>
      </c>
    </row>
    <row r="126" spans="1:52" x14ac:dyDescent="0.2">
      <c r="A126" s="115"/>
      <c r="B126" s="125">
        <v>5</v>
      </c>
      <c r="C126" s="112">
        <v>2260.2869952919636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1185.0543896442114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0.43062944370491801</v>
      </c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299</v>
      </c>
      <c r="C180" s="131" t="s">
        <v>293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29037.898371049178</v>
      </c>
      <c r="E181" s="130">
        <f t="shared" si="4"/>
        <v>29037.898371049178</v>
      </c>
      <c r="F181" s="130">
        <f t="shared" si="4"/>
        <v>29037.898371049178</v>
      </c>
      <c r="G181" s="130">
        <f t="shared" si="4"/>
        <v>29037.898371049181</v>
      </c>
      <c r="H181" s="130">
        <f t="shared" si="4"/>
        <v>29037.898371049174</v>
      </c>
      <c r="I181" s="130">
        <f t="shared" si="4"/>
        <v>29037.898371049178</v>
      </c>
      <c r="J181" s="130">
        <f t="shared" si="4"/>
        <v>29037.898371049174</v>
      </c>
      <c r="K181" s="130">
        <f t="shared" si="4"/>
        <v>29037.898371049174</v>
      </c>
      <c r="L181" s="130">
        <f t="shared" si="4"/>
        <v>29037.898371049174</v>
      </c>
      <c r="M181" s="130">
        <f t="shared" si="4"/>
        <v>29037.898371049174</v>
      </c>
      <c r="N181" s="130">
        <f t="shared" si="4"/>
        <v>29037.898371049174</v>
      </c>
      <c r="O181" s="130">
        <f t="shared" si="4"/>
        <v>29037.898371049174</v>
      </c>
      <c r="P181" s="130">
        <f t="shared" si="4"/>
        <v>29037.898371049174</v>
      </c>
      <c r="Q181" s="130">
        <f t="shared" si="4"/>
        <v>29037.898371049174</v>
      </c>
      <c r="R181" s="130">
        <f t="shared" si="4"/>
        <v>29037.898371049178</v>
      </c>
      <c r="S181" s="130">
        <f t="shared" si="4"/>
        <v>29037.898371049174</v>
      </c>
      <c r="T181" s="130">
        <f t="shared" si="4"/>
        <v>29037.898371049178</v>
      </c>
      <c r="U181" s="130">
        <f t="shared" si="4"/>
        <v>29037.898371049174</v>
      </c>
      <c r="V181" s="130">
        <f t="shared" si="4"/>
        <v>29037.898371049174</v>
      </c>
      <c r="W181" s="130">
        <f t="shared" si="4"/>
        <v>29037.898371049174</v>
      </c>
      <c r="X181" s="130">
        <f t="shared" si="4"/>
        <v>29037.898371049174</v>
      </c>
      <c r="Y181" s="130">
        <f t="shared" si="4"/>
        <v>29037.898371049174</v>
      </c>
      <c r="Z181" s="130">
        <f t="shared" si="4"/>
        <v>29037.898371049174</v>
      </c>
      <c r="AA181" s="130">
        <f t="shared" si="4"/>
        <v>29037.898371049174</v>
      </c>
      <c r="AB181" s="130">
        <f t="shared" si="4"/>
        <v>29037.898371049174</v>
      </c>
      <c r="AC181" s="130">
        <f t="shared" si="4"/>
        <v>29037.898371049174</v>
      </c>
      <c r="AD181" s="130">
        <f t="shared" si="4"/>
        <v>29037.898371049174</v>
      </c>
      <c r="AE181" s="130">
        <f t="shared" si="4"/>
        <v>29037.898371049178</v>
      </c>
      <c r="AF181" s="130">
        <f t="shared" si="4"/>
        <v>29037.89837104917</v>
      </c>
      <c r="AG181" s="130">
        <f t="shared" si="4"/>
        <v>29037.898371049174</v>
      </c>
      <c r="AH181" s="130">
        <f t="shared" si="4"/>
        <v>29037.898371049178</v>
      </c>
      <c r="AI181" s="130">
        <f t="shared" si="4"/>
        <v>29037.898371049178</v>
      </c>
      <c r="AJ181" s="130">
        <f t="shared" si="4"/>
        <v>29037.89837104917</v>
      </c>
      <c r="AK181" s="130">
        <f t="shared" si="4"/>
        <v>29037.898371049174</v>
      </c>
      <c r="AL181" s="130">
        <f t="shared" si="4"/>
        <v>29037.898371049174</v>
      </c>
      <c r="AM181" s="130">
        <f t="shared" si="4"/>
        <v>29037.898371049174</v>
      </c>
      <c r="AN181" s="130">
        <f t="shared" si="4"/>
        <v>29037.898371049174</v>
      </c>
      <c r="AO181" s="130">
        <f t="shared" si="4"/>
        <v>29037.898371049174</v>
      </c>
      <c r="AP181" s="130">
        <f t="shared" si="4"/>
        <v>29037.898371049178</v>
      </c>
      <c r="AQ181" s="130">
        <f t="shared" si="4"/>
        <v>29037.898371049174</v>
      </c>
      <c r="AR181" s="130">
        <f t="shared" si="4"/>
        <v>29037.898371049178</v>
      </c>
      <c r="AS181" s="130">
        <f t="shared" si="4"/>
        <v>29037.898371049174</v>
      </c>
      <c r="AT181" s="130">
        <f t="shared" si="4"/>
        <v>29037.898371049178</v>
      </c>
      <c r="AU181" s="130">
        <f t="shared" si="4"/>
        <v>29037.898371049178</v>
      </c>
      <c r="AV181" s="130">
        <f t="shared" si="4"/>
        <v>29037.898371049178</v>
      </c>
      <c r="AW181" s="130">
        <f t="shared" si="4"/>
        <v>29037.898371049174</v>
      </c>
      <c r="AX181" s="130">
        <f t="shared" si="4"/>
        <v>29037.898371049178</v>
      </c>
      <c r="AY181" s="130">
        <f t="shared" si="4"/>
        <v>29037.898371049178</v>
      </c>
    </row>
    <row r="182" spans="1:51" x14ac:dyDescent="0.2">
      <c r="A182" s="131"/>
      <c r="B182" s="142" t="s">
        <v>299</v>
      </c>
      <c r="C182" s="131" t="s">
        <v>293</v>
      </c>
      <c r="D182" s="131">
        <v>307</v>
      </c>
      <c r="E182" s="131">
        <v>325</v>
      </c>
      <c r="F182" s="131">
        <v>395</v>
      </c>
      <c r="G182" s="131">
        <v>363</v>
      </c>
      <c r="H182" s="131">
        <v>1233</v>
      </c>
      <c r="I182" s="131">
        <v>2153</v>
      </c>
      <c r="J182" s="131">
        <v>2012</v>
      </c>
      <c r="K182" s="131">
        <v>2048</v>
      </c>
      <c r="L182" s="131">
        <v>288</v>
      </c>
      <c r="M182" s="131">
        <v>234</v>
      </c>
      <c r="N182" s="131">
        <v>242</v>
      </c>
      <c r="O182" s="131">
        <v>280</v>
      </c>
      <c r="P182" s="131">
        <v>1334</v>
      </c>
      <c r="Q182" s="131">
        <v>1369</v>
      </c>
      <c r="R182" s="131">
        <v>1141</v>
      </c>
      <c r="S182" s="131">
        <v>1382</v>
      </c>
      <c r="T182" s="131">
        <v>1094</v>
      </c>
      <c r="U182" s="131">
        <v>778</v>
      </c>
      <c r="V182" s="131">
        <v>910</v>
      </c>
      <c r="W182" s="131">
        <v>899</v>
      </c>
      <c r="X182" s="131">
        <v>988</v>
      </c>
      <c r="Y182" s="131">
        <v>1163</v>
      </c>
      <c r="Z182" s="131">
        <v>1107</v>
      </c>
      <c r="AA182" s="131">
        <v>894</v>
      </c>
      <c r="AB182" s="131">
        <v>272</v>
      </c>
      <c r="AC182" s="131">
        <v>332</v>
      </c>
      <c r="AD182" s="131">
        <v>319</v>
      </c>
      <c r="AE182" s="131">
        <v>307</v>
      </c>
      <c r="AF182" s="131">
        <v>910</v>
      </c>
      <c r="AG182" s="131">
        <v>1126</v>
      </c>
      <c r="AH182" s="131">
        <v>885</v>
      </c>
      <c r="AI182" s="131">
        <v>1154</v>
      </c>
      <c r="AJ182" s="131">
        <v>1052</v>
      </c>
      <c r="AK182" s="131">
        <v>931</v>
      </c>
      <c r="AL182" s="131">
        <v>874</v>
      </c>
      <c r="AM182" s="131">
        <v>1019</v>
      </c>
      <c r="AN182" s="131">
        <v>1739</v>
      </c>
      <c r="AO182" s="131">
        <v>1452</v>
      </c>
      <c r="AP182" s="131">
        <v>1529</v>
      </c>
      <c r="AQ182" s="131">
        <v>1331</v>
      </c>
      <c r="AR182" s="131">
        <v>1478</v>
      </c>
      <c r="AS182" s="131">
        <v>1080</v>
      </c>
      <c r="AT182" s="131">
        <v>1297</v>
      </c>
      <c r="AU182" s="131">
        <v>1263</v>
      </c>
      <c r="AV182" s="131">
        <v>742</v>
      </c>
      <c r="AW182" s="131">
        <v>658</v>
      </c>
      <c r="AX182" s="131">
        <v>582</v>
      </c>
      <c r="AY182" s="131">
        <v>573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1539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325</v>
      </c>
      <c r="F211" s="116">
        <v>395</v>
      </c>
      <c r="G211" s="116">
        <v>363</v>
      </c>
      <c r="H211" s="116">
        <v>1233</v>
      </c>
      <c r="I211" s="116">
        <v>2153</v>
      </c>
      <c r="J211" s="116">
        <v>1958.6233823001164</v>
      </c>
      <c r="K211" s="116">
        <v>1994.623382300116</v>
      </c>
      <c r="L211" s="116">
        <v>234.62338230011548</v>
      </c>
      <c r="M211" s="116">
        <v>180.62338230011756</v>
      </c>
      <c r="N211" s="116">
        <v>188.62338230011858</v>
      </c>
      <c r="O211" s="116">
        <v>226.62338230011497</v>
      </c>
      <c r="P211" s="116">
        <v>1334</v>
      </c>
      <c r="Q211" s="116">
        <v>1369</v>
      </c>
      <c r="R211" s="116">
        <v>1141</v>
      </c>
      <c r="S211" s="116">
        <v>1382</v>
      </c>
      <c r="T211" s="116">
        <v>1094</v>
      </c>
      <c r="U211" s="116">
        <v>778</v>
      </c>
      <c r="V211" s="116">
        <v>856.62338230011699</v>
      </c>
      <c r="W211" s="116">
        <v>845.62338230011596</v>
      </c>
      <c r="X211" s="116">
        <v>934.62338230011551</v>
      </c>
      <c r="Y211" s="116">
        <v>1109.6233823001155</v>
      </c>
      <c r="Z211" s="116">
        <v>1053.6233823001176</v>
      </c>
      <c r="AA211" s="116">
        <v>840.62338230011449</v>
      </c>
      <c r="AB211" s="116">
        <v>272</v>
      </c>
      <c r="AC211" s="116">
        <v>332</v>
      </c>
      <c r="AD211" s="116">
        <v>319</v>
      </c>
      <c r="AE211" s="116">
        <v>307</v>
      </c>
      <c r="AF211" s="116">
        <v>910</v>
      </c>
      <c r="AG211" s="116">
        <v>1126</v>
      </c>
      <c r="AH211" s="116">
        <v>831.62338230011289</v>
      </c>
      <c r="AI211" s="116">
        <v>1100.6233823001139</v>
      </c>
      <c r="AJ211" s="116">
        <v>998.62338230012062</v>
      </c>
      <c r="AK211" s="116">
        <v>877.6233823001163</v>
      </c>
      <c r="AL211" s="116">
        <v>820.62338230011574</v>
      </c>
      <c r="AM211" s="116">
        <v>965.62338230011551</v>
      </c>
      <c r="AN211" s="116">
        <v>1739</v>
      </c>
      <c r="AO211" s="116">
        <v>1452</v>
      </c>
      <c r="AP211" s="116">
        <v>1529</v>
      </c>
      <c r="AQ211" s="116">
        <v>1331</v>
      </c>
      <c r="AR211" s="116">
        <v>1478</v>
      </c>
      <c r="AS211" s="116">
        <v>1080</v>
      </c>
      <c r="AT211" s="116">
        <v>1243.6233823001107</v>
      </c>
      <c r="AU211" s="116">
        <v>1209.6233823001126</v>
      </c>
      <c r="AV211" s="116">
        <v>688.62338230011574</v>
      </c>
      <c r="AW211" s="116">
        <v>604.62338230012733</v>
      </c>
      <c r="AX211" s="116">
        <v>528.62338230012688</v>
      </c>
      <c r="AY211" s="116">
        <v>519.62338230012585</v>
      </c>
    </row>
    <row r="212" spans="1:51" x14ac:dyDescent="0.2">
      <c r="A212" s="115"/>
      <c r="B212" s="125">
        <v>4</v>
      </c>
      <c r="C212" s="112">
        <v>0</v>
      </c>
      <c r="D212" s="116">
        <v>307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53.376617699883489</v>
      </c>
      <c r="K212" s="116">
        <v>53.376617699884008</v>
      </c>
      <c r="L212" s="116">
        <v>53.37661769988452</v>
      </c>
      <c r="M212" s="116">
        <v>53.376617699882452</v>
      </c>
      <c r="N212" s="116">
        <v>53.376617699881415</v>
      </c>
      <c r="O212" s="116">
        <v>53.376617699885038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53.376617699882971</v>
      </c>
      <c r="W212" s="116">
        <v>53.376617699884008</v>
      </c>
      <c r="X212" s="116">
        <v>53.37661769988452</v>
      </c>
      <c r="Y212" s="116">
        <v>53.37661769988452</v>
      </c>
      <c r="Z212" s="116">
        <v>53.376617699882452</v>
      </c>
      <c r="AA212" s="116">
        <v>53.376617699885557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53.376617699887113</v>
      </c>
      <c r="AI212" s="116">
        <v>53.376617699886076</v>
      </c>
      <c r="AJ212" s="116">
        <v>53.376617699879347</v>
      </c>
      <c r="AK212" s="116">
        <v>53.376617699883745</v>
      </c>
      <c r="AL212" s="116">
        <v>53.376617699884264</v>
      </c>
      <c r="AM212" s="116">
        <v>53.37661769988452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53.376617699889181</v>
      </c>
      <c r="AU212" s="116">
        <v>53.376617699887369</v>
      </c>
      <c r="AV212" s="116">
        <v>53.376617699884271</v>
      </c>
      <c r="AW212" s="116">
        <v>53.376617699872625</v>
      </c>
      <c r="AX212" s="116">
        <v>53.376617699873144</v>
      </c>
      <c r="AY212" s="116">
        <v>53.376617699874174</v>
      </c>
    </row>
    <row r="213" spans="1:51" x14ac:dyDescent="0.2">
      <c r="A213" s="115"/>
      <c r="B213" s="125">
        <v>5</v>
      </c>
      <c r="C213" s="112">
        <v>121.26492292834655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674.73507707165345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14275366.058818033</v>
      </c>
      <c r="E259" s="130">
        <f t="shared" ref="E259:AX259" si="5">F$14*$B$259</f>
        <v>14275366.058818033</v>
      </c>
      <c r="F259" s="130">
        <f t="shared" si="5"/>
        <v>14275366.058818033</v>
      </c>
      <c r="G259" s="130">
        <f t="shared" si="5"/>
        <v>14275366.058818035</v>
      </c>
      <c r="H259" s="130">
        <f t="shared" si="5"/>
        <v>14275366.058818037</v>
      </c>
      <c r="I259" s="130">
        <f t="shared" si="5"/>
        <v>14275366.058818039</v>
      </c>
      <c r="J259" s="130">
        <f t="shared" si="5"/>
        <v>14275366.058818037</v>
      </c>
      <c r="K259" s="130">
        <f t="shared" si="5"/>
        <v>14275366.058818037</v>
      </c>
      <c r="L259" s="130">
        <f t="shared" si="5"/>
        <v>14275366.058818037</v>
      </c>
      <c r="M259" s="130">
        <f t="shared" si="5"/>
        <v>14275366.058818037</v>
      </c>
      <c r="N259" s="130">
        <f t="shared" si="5"/>
        <v>14275366.058818037</v>
      </c>
      <c r="O259" s="130">
        <f t="shared" si="5"/>
        <v>14275366.058818037</v>
      </c>
      <c r="P259" s="130">
        <f t="shared" si="5"/>
        <v>14275366.058818037</v>
      </c>
      <c r="Q259" s="130">
        <f t="shared" si="5"/>
        <v>14275366.058818037</v>
      </c>
      <c r="R259" s="130">
        <f t="shared" si="5"/>
        <v>14275366.058818039</v>
      </c>
      <c r="S259" s="130">
        <f t="shared" si="5"/>
        <v>14275366.058818037</v>
      </c>
      <c r="T259" s="130">
        <f t="shared" si="5"/>
        <v>14275366.058818039</v>
      </c>
      <c r="U259" s="130">
        <f t="shared" si="5"/>
        <v>14275366.058818037</v>
      </c>
      <c r="V259" s="130">
        <f t="shared" si="5"/>
        <v>14275366.058818037</v>
      </c>
      <c r="W259" s="130">
        <f t="shared" si="5"/>
        <v>14275366.058818037</v>
      </c>
      <c r="X259" s="130">
        <f t="shared" si="5"/>
        <v>14275366.058818037</v>
      </c>
      <c r="Y259" s="130">
        <f t="shared" si="5"/>
        <v>14275366.058818037</v>
      </c>
      <c r="Z259" s="130">
        <f t="shared" si="5"/>
        <v>14275366.058818037</v>
      </c>
      <c r="AA259" s="130">
        <f t="shared" si="5"/>
        <v>14275366.058818037</v>
      </c>
      <c r="AB259" s="130">
        <f t="shared" si="5"/>
        <v>14275366.058818037</v>
      </c>
      <c r="AC259" s="130">
        <f t="shared" si="5"/>
        <v>14275366.058818037</v>
      </c>
      <c r="AD259" s="130">
        <f t="shared" si="5"/>
        <v>14275366.058818037</v>
      </c>
      <c r="AE259" s="130">
        <f t="shared" si="5"/>
        <v>14275366.058818039</v>
      </c>
      <c r="AF259" s="130">
        <f t="shared" si="5"/>
        <v>14275366.058818035</v>
      </c>
      <c r="AG259" s="130">
        <f t="shared" si="5"/>
        <v>14275366.058818037</v>
      </c>
      <c r="AH259" s="130">
        <f t="shared" si="5"/>
        <v>14275366.058818039</v>
      </c>
      <c r="AI259" s="130">
        <f t="shared" si="5"/>
        <v>14275366.058818039</v>
      </c>
      <c r="AJ259" s="130">
        <f t="shared" si="5"/>
        <v>14275366.058818035</v>
      </c>
      <c r="AK259" s="130">
        <f t="shared" si="5"/>
        <v>14275366.058818037</v>
      </c>
      <c r="AL259" s="130">
        <f t="shared" si="5"/>
        <v>14275366.058818037</v>
      </c>
      <c r="AM259" s="130">
        <f t="shared" si="5"/>
        <v>14275366.058818037</v>
      </c>
      <c r="AN259" s="130">
        <f t="shared" si="5"/>
        <v>14275366.058818037</v>
      </c>
      <c r="AO259" s="130">
        <f t="shared" si="5"/>
        <v>14275366.058818037</v>
      </c>
      <c r="AP259" s="130">
        <f t="shared" si="5"/>
        <v>14275366.058818039</v>
      </c>
      <c r="AQ259" s="130">
        <f t="shared" si="5"/>
        <v>14275366.058818037</v>
      </c>
      <c r="AR259" s="130">
        <f t="shared" si="5"/>
        <v>14275366.058818039</v>
      </c>
      <c r="AS259" s="130">
        <f t="shared" si="5"/>
        <v>14275366.058818037</v>
      </c>
      <c r="AT259" s="130">
        <f t="shared" si="5"/>
        <v>14275366.058818039</v>
      </c>
      <c r="AU259" s="130">
        <f t="shared" si="5"/>
        <v>14275366.058818039</v>
      </c>
      <c r="AV259" s="130">
        <f t="shared" si="5"/>
        <v>14275366.058818033</v>
      </c>
      <c r="AW259" s="130">
        <f t="shared" si="5"/>
        <v>14275366.058818029</v>
      </c>
      <c r="AX259" s="130">
        <f t="shared" si="5"/>
        <v>14275366.058818033</v>
      </c>
      <c r="AY259" s="130">
        <f>AZ$14*$B$259</f>
        <v>14275366.058818033</v>
      </c>
      <c r="AZ259" s="145">
        <f>SUM($D259:$AY259)</f>
        <v>685217570.82326531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1723853.9022629505</v>
      </c>
      <c r="E260" s="131">
        <f t="shared" ref="E260:AY260" si="6">(E$175-E$176+E$177-E$178+E$179-E$180+E$181-E$182)*$B$260</f>
        <v>1722773.9022629505</v>
      </c>
      <c r="F260" s="131">
        <f t="shared" si="6"/>
        <v>1718573.9022629505</v>
      </c>
      <c r="G260" s="131">
        <f t="shared" si="6"/>
        <v>1720493.9022629508</v>
      </c>
      <c r="H260" s="131">
        <f t="shared" si="6"/>
        <v>1668293.9022629503</v>
      </c>
      <c r="I260" s="131">
        <f t="shared" si="6"/>
        <v>1613093.9022629505</v>
      </c>
      <c r="J260" s="131">
        <f t="shared" si="6"/>
        <v>1621553.9022629503</v>
      </c>
      <c r="K260" s="131">
        <f t="shared" si="6"/>
        <v>1619393.9022629503</v>
      </c>
      <c r="L260" s="131">
        <f t="shared" si="6"/>
        <v>1724993.9022629503</v>
      </c>
      <c r="M260" s="131">
        <f t="shared" si="6"/>
        <v>1728233.9022629503</v>
      </c>
      <c r="N260" s="131">
        <f t="shared" si="6"/>
        <v>1727753.9022629503</v>
      </c>
      <c r="O260" s="131">
        <f t="shared" si="6"/>
        <v>1725473.9022629503</v>
      </c>
      <c r="P260" s="131">
        <f t="shared" si="6"/>
        <v>1662233.9022629503</v>
      </c>
      <c r="Q260" s="131">
        <f t="shared" si="6"/>
        <v>1660133.9022629503</v>
      </c>
      <c r="R260" s="131">
        <f t="shared" si="6"/>
        <v>1673813.9022629505</v>
      </c>
      <c r="S260" s="131">
        <f t="shared" si="6"/>
        <v>1659353.9022629503</v>
      </c>
      <c r="T260" s="131">
        <f t="shared" si="6"/>
        <v>1676633.9022629505</v>
      </c>
      <c r="U260" s="131">
        <f t="shared" si="6"/>
        <v>1695593.9022629503</v>
      </c>
      <c r="V260" s="131">
        <f t="shared" si="6"/>
        <v>1687673.9022629503</v>
      </c>
      <c r="W260" s="131">
        <f t="shared" si="6"/>
        <v>1688333.9022629503</v>
      </c>
      <c r="X260" s="131">
        <f t="shared" si="6"/>
        <v>1682993.9022629503</v>
      </c>
      <c r="Y260" s="131">
        <f t="shared" si="6"/>
        <v>1672493.9022629503</v>
      </c>
      <c r="Z260" s="131">
        <f t="shared" si="6"/>
        <v>1675853.9022629503</v>
      </c>
      <c r="AA260" s="131">
        <f t="shared" si="6"/>
        <v>1688633.9022629503</v>
      </c>
      <c r="AB260" s="131">
        <f t="shared" si="6"/>
        <v>1725953.9022629503</v>
      </c>
      <c r="AC260" s="131">
        <f t="shared" si="6"/>
        <v>1722353.9022629503</v>
      </c>
      <c r="AD260" s="131">
        <f t="shared" si="6"/>
        <v>1723133.9022629503</v>
      </c>
      <c r="AE260" s="131">
        <f t="shared" si="6"/>
        <v>1723853.9022629505</v>
      </c>
      <c r="AF260" s="131">
        <f t="shared" si="6"/>
        <v>1687673.9022629503</v>
      </c>
      <c r="AG260" s="131">
        <f t="shared" si="6"/>
        <v>1674713.9022629503</v>
      </c>
      <c r="AH260" s="131">
        <f t="shared" si="6"/>
        <v>1689173.9022629505</v>
      </c>
      <c r="AI260" s="131">
        <f t="shared" si="6"/>
        <v>1673033.9022629505</v>
      </c>
      <c r="AJ260" s="131">
        <f t="shared" si="6"/>
        <v>1679153.9022629503</v>
      </c>
      <c r="AK260" s="131">
        <f t="shared" si="6"/>
        <v>1686413.9022629503</v>
      </c>
      <c r="AL260" s="131">
        <f t="shared" si="6"/>
        <v>1689833.9022629503</v>
      </c>
      <c r="AM260" s="131">
        <f t="shared" si="6"/>
        <v>1681133.9022629503</v>
      </c>
      <c r="AN260" s="131">
        <f t="shared" si="6"/>
        <v>1637933.9022629503</v>
      </c>
      <c r="AO260" s="131">
        <f t="shared" si="6"/>
        <v>1655153.9022629503</v>
      </c>
      <c r="AP260" s="131">
        <f t="shared" si="6"/>
        <v>1650533.9022629505</v>
      </c>
      <c r="AQ260" s="131">
        <f t="shared" si="6"/>
        <v>1662413.9022629503</v>
      </c>
      <c r="AR260" s="131">
        <f t="shared" si="6"/>
        <v>1653593.9022629505</v>
      </c>
      <c r="AS260" s="131">
        <f t="shared" si="6"/>
        <v>1677473.9022629503</v>
      </c>
      <c r="AT260" s="131">
        <f t="shared" si="6"/>
        <v>1664453.9022629505</v>
      </c>
      <c r="AU260" s="131">
        <f t="shared" si="6"/>
        <v>1666493.9022629505</v>
      </c>
      <c r="AV260" s="131">
        <f t="shared" si="6"/>
        <v>1697753.9022629505</v>
      </c>
      <c r="AW260" s="131">
        <f t="shared" si="6"/>
        <v>1702793.9022629503</v>
      </c>
      <c r="AX260" s="131">
        <f t="shared" si="6"/>
        <v>1707353.9022629505</v>
      </c>
      <c r="AY260" s="131">
        <f t="shared" si="6"/>
        <v>1707893.9022629505</v>
      </c>
      <c r="AZ260" s="147">
        <f>SUM($D260:$AY260)</f>
        <v>80878507.30862163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3</v>
      </c>
      <c r="E49" s="106">
        <v>2955.6</v>
      </c>
      <c r="F49" s="106">
        <v>5</v>
      </c>
      <c r="G49" s="106">
        <v>4926</v>
      </c>
      <c r="H49" s="106">
        <v>4</v>
      </c>
      <c r="I49" s="106">
        <v>3940.7999999999997</v>
      </c>
      <c r="J49" s="106">
        <v>3</v>
      </c>
      <c r="K49" s="106">
        <v>2955.6</v>
      </c>
      <c r="L49" s="106">
        <v>3</v>
      </c>
      <c r="M49" s="106">
        <v>2955.6</v>
      </c>
      <c r="N49" s="106">
        <v>5</v>
      </c>
      <c r="O49" s="106">
        <v>4926</v>
      </c>
      <c r="P49" s="106">
        <v>3</v>
      </c>
      <c r="Q49" s="106">
        <v>2955.6</v>
      </c>
      <c r="R49" s="106">
        <v>3</v>
      </c>
      <c r="S49" s="106">
        <v>2955.6</v>
      </c>
      <c r="T49" s="106">
        <v>50</v>
      </c>
      <c r="U49" s="106">
        <v>49260</v>
      </c>
      <c r="V49" s="106">
        <v>33</v>
      </c>
      <c r="W49" s="106">
        <v>32511.599999999999</v>
      </c>
      <c r="X49" s="106">
        <v>35</v>
      </c>
      <c r="Y49" s="106">
        <v>34482</v>
      </c>
      <c r="Z49" s="106">
        <v>41</v>
      </c>
      <c r="AA49" s="106">
        <v>40393.199999999997</v>
      </c>
      <c r="AB49" s="106">
        <v>7</v>
      </c>
      <c r="AC49" s="106">
        <v>6896.4</v>
      </c>
      <c r="AD49" s="106">
        <v>7</v>
      </c>
      <c r="AE49" s="106">
        <v>6896.4</v>
      </c>
      <c r="AF49" s="106">
        <v>7</v>
      </c>
      <c r="AG49" s="106">
        <v>6896.4</v>
      </c>
      <c r="AH49" s="106">
        <v>8</v>
      </c>
      <c r="AI49" s="106">
        <v>7881.5999999999995</v>
      </c>
      <c r="AJ49" s="106">
        <v>14</v>
      </c>
      <c r="AK49" s="106">
        <v>13792.8</v>
      </c>
      <c r="AL49" s="106">
        <v>12</v>
      </c>
      <c r="AM49" s="106">
        <v>11822.4</v>
      </c>
      <c r="AN49" s="106">
        <v>10</v>
      </c>
      <c r="AO49" s="106">
        <v>9852</v>
      </c>
      <c r="AP49" s="106">
        <v>16</v>
      </c>
      <c r="AQ49" s="106">
        <v>15763.199999999999</v>
      </c>
      <c r="AR49" s="106">
        <v>2</v>
      </c>
      <c r="AS49" s="106">
        <v>1970.3999999999999</v>
      </c>
      <c r="AT49" s="106">
        <v>2</v>
      </c>
      <c r="AU49" s="106">
        <v>1970.3999999999999</v>
      </c>
      <c r="AV49" s="106">
        <v>3</v>
      </c>
      <c r="AW49" s="106">
        <v>2955.6</v>
      </c>
      <c r="AX49" s="106">
        <v>3</v>
      </c>
      <c r="AY49" s="106">
        <v>2955.6</v>
      </c>
      <c r="AZ49" s="106">
        <v>3</v>
      </c>
      <c r="BA49" s="106">
        <v>2955.6</v>
      </c>
      <c r="BB49" s="106">
        <v>3</v>
      </c>
      <c r="BC49" s="106">
        <v>2955.6</v>
      </c>
      <c r="BD49" s="106">
        <v>3</v>
      </c>
      <c r="BE49" s="106">
        <v>2955.6</v>
      </c>
      <c r="BF49" s="106">
        <v>4</v>
      </c>
      <c r="BG49" s="106">
        <v>3940.7999999999997</v>
      </c>
      <c r="BH49" s="106">
        <v>6</v>
      </c>
      <c r="BI49" s="106">
        <v>5911.2</v>
      </c>
      <c r="BJ49" s="106">
        <v>6</v>
      </c>
      <c r="BK49" s="106">
        <v>5911.2</v>
      </c>
      <c r="BL49" s="106">
        <v>5</v>
      </c>
      <c r="BM49" s="106">
        <v>4926</v>
      </c>
      <c r="BN49" s="106">
        <v>6</v>
      </c>
      <c r="BO49" s="106">
        <v>5911.2</v>
      </c>
      <c r="BP49" s="106">
        <v>11</v>
      </c>
      <c r="BQ49" s="106">
        <v>10837.199999999999</v>
      </c>
      <c r="BR49" s="106">
        <v>11</v>
      </c>
      <c r="BS49" s="106">
        <v>10837.199999999999</v>
      </c>
      <c r="BT49" s="106">
        <v>9</v>
      </c>
      <c r="BU49" s="106">
        <v>8866.7999999999993</v>
      </c>
      <c r="BV49" s="106">
        <v>7</v>
      </c>
      <c r="BW49" s="106">
        <v>6896.4</v>
      </c>
      <c r="BX49" s="106">
        <v>3</v>
      </c>
      <c r="BY49" s="106">
        <v>2955.6</v>
      </c>
      <c r="BZ49" s="106">
        <v>3</v>
      </c>
      <c r="CA49" s="106">
        <v>2955.6</v>
      </c>
      <c r="CB49" s="106">
        <v>2</v>
      </c>
      <c r="CC49" s="106">
        <v>1970.3999999999999</v>
      </c>
      <c r="CD49" s="106">
        <v>4</v>
      </c>
      <c r="CE49" s="106">
        <v>3940.7999999999997</v>
      </c>
      <c r="CF49" s="106">
        <v>53</v>
      </c>
      <c r="CG49" s="106">
        <v>52215.6</v>
      </c>
      <c r="CH49" s="106">
        <v>36</v>
      </c>
      <c r="CI49" s="106">
        <v>35467.199999999997</v>
      </c>
      <c r="CJ49" s="106">
        <v>58</v>
      </c>
      <c r="CK49" s="106">
        <v>57141.599999999999</v>
      </c>
      <c r="CL49" s="106">
        <v>57</v>
      </c>
      <c r="CM49" s="106">
        <v>56156.399999999994</v>
      </c>
      <c r="CN49" s="106">
        <v>9</v>
      </c>
      <c r="CO49" s="106">
        <v>8866.7999999999993</v>
      </c>
      <c r="CP49" s="106">
        <v>6</v>
      </c>
      <c r="CQ49" s="106">
        <v>5911.2</v>
      </c>
      <c r="CR49" s="106">
        <v>9</v>
      </c>
      <c r="CS49" s="106">
        <v>8866.7999999999993</v>
      </c>
      <c r="CT49" s="106">
        <v>6</v>
      </c>
      <c r="CU49" s="106">
        <v>5911.2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3</v>
      </c>
      <c r="E56" s="106">
        <v>3452.3999999999996</v>
      </c>
      <c r="F56" s="106">
        <v>5</v>
      </c>
      <c r="G56" s="106">
        <v>5754</v>
      </c>
      <c r="H56" s="106">
        <v>4</v>
      </c>
      <c r="I56" s="106">
        <v>4603.2</v>
      </c>
      <c r="J56" s="106">
        <v>4</v>
      </c>
      <c r="K56" s="106">
        <v>4603.2</v>
      </c>
      <c r="L56" s="106">
        <v>3</v>
      </c>
      <c r="M56" s="106">
        <v>3452.3999999999996</v>
      </c>
      <c r="N56" s="106">
        <v>5</v>
      </c>
      <c r="O56" s="106">
        <v>5754</v>
      </c>
      <c r="P56" s="106">
        <v>3</v>
      </c>
      <c r="Q56" s="106">
        <v>3452.3999999999996</v>
      </c>
      <c r="R56" s="106">
        <v>3</v>
      </c>
      <c r="S56" s="106">
        <v>3452.3999999999996</v>
      </c>
      <c r="T56" s="106">
        <v>51</v>
      </c>
      <c r="U56" s="106">
        <v>58690.799999999996</v>
      </c>
      <c r="V56" s="106">
        <v>34</v>
      </c>
      <c r="W56" s="106">
        <v>39127.199999999997</v>
      </c>
      <c r="X56" s="106">
        <v>38</v>
      </c>
      <c r="Y56" s="106">
        <v>43730.400000000001</v>
      </c>
      <c r="Z56" s="106">
        <v>43</v>
      </c>
      <c r="AA56" s="106">
        <v>49484.4</v>
      </c>
      <c r="AB56" s="106">
        <v>7</v>
      </c>
      <c r="AC56" s="106">
        <v>8055.5999999999995</v>
      </c>
      <c r="AD56" s="106">
        <v>8</v>
      </c>
      <c r="AE56" s="106">
        <v>9206.4</v>
      </c>
      <c r="AF56" s="106">
        <v>8</v>
      </c>
      <c r="AG56" s="106">
        <v>9206.4</v>
      </c>
      <c r="AH56" s="106">
        <v>7</v>
      </c>
      <c r="AI56" s="106">
        <v>8055.5999999999995</v>
      </c>
      <c r="AJ56" s="106">
        <v>14</v>
      </c>
      <c r="AK56" s="106">
        <v>16111.199999999999</v>
      </c>
      <c r="AL56" s="106">
        <v>11</v>
      </c>
      <c r="AM56" s="106">
        <v>12658.8</v>
      </c>
      <c r="AN56" s="106">
        <v>10</v>
      </c>
      <c r="AO56" s="106">
        <v>11508</v>
      </c>
      <c r="AP56" s="106">
        <v>18</v>
      </c>
      <c r="AQ56" s="106">
        <v>20714.399999999998</v>
      </c>
      <c r="AR56" s="106">
        <v>2</v>
      </c>
      <c r="AS56" s="106">
        <v>2301.6</v>
      </c>
      <c r="AT56" s="106">
        <v>2</v>
      </c>
      <c r="AU56" s="106">
        <v>2301.6</v>
      </c>
      <c r="AV56" s="106">
        <v>3</v>
      </c>
      <c r="AW56" s="106">
        <v>3452.3999999999996</v>
      </c>
      <c r="AX56" s="106">
        <v>3</v>
      </c>
      <c r="AY56" s="106">
        <v>3452.3999999999996</v>
      </c>
      <c r="AZ56" s="106">
        <v>3</v>
      </c>
      <c r="BA56" s="106">
        <v>3452.3999999999996</v>
      </c>
      <c r="BB56" s="106">
        <v>3</v>
      </c>
      <c r="BC56" s="106">
        <v>3452.3999999999996</v>
      </c>
      <c r="BD56" s="106">
        <v>3</v>
      </c>
      <c r="BE56" s="106">
        <v>3452.3999999999996</v>
      </c>
      <c r="BF56" s="106">
        <v>4</v>
      </c>
      <c r="BG56" s="106">
        <v>4603.2</v>
      </c>
      <c r="BH56" s="106">
        <v>6</v>
      </c>
      <c r="BI56" s="106">
        <v>6904.7999999999993</v>
      </c>
      <c r="BJ56" s="106">
        <v>7</v>
      </c>
      <c r="BK56" s="106">
        <v>8055.5999999999995</v>
      </c>
      <c r="BL56" s="106">
        <v>4</v>
      </c>
      <c r="BM56" s="106">
        <v>4603.2</v>
      </c>
      <c r="BN56" s="106">
        <v>5</v>
      </c>
      <c r="BO56" s="106">
        <v>5754</v>
      </c>
      <c r="BP56" s="106">
        <v>12</v>
      </c>
      <c r="BQ56" s="106">
        <v>13809.599999999999</v>
      </c>
      <c r="BR56" s="106">
        <v>12</v>
      </c>
      <c r="BS56" s="106">
        <v>13809.599999999999</v>
      </c>
      <c r="BT56" s="106">
        <v>9</v>
      </c>
      <c r="BU56" s="106">
        <v>10357.199999999999</v>
      </c>
      <c r="BV56" s="106">
        <v>6</v>
      </c>
      <c r="BW56" s="106">
        <v>6904.7999999999993</v>
      </c>
      <c r="BX56" s="106">
        <v>3</v>
      </c>
      <c r="BY56" s="106">
        <v>3452.3999999999996</v>
      </c>
      <c r="BZ56" s="106">
        <v>3</v>
      </c>
      <c r="CA56" s="106">
        <v>3452.3999999999996</v>
      </c>
      <c r="CB56" s="106">
        <v>3</v>
      </c>
      <c r="CC56" s="106">
        <v>3452.3999999999996</v>
      </c>
      <c r="CD56" s="106">
        <v>4</v>
      </c>
      <c r="CE56" s="106">
        <v>4603.2</v>
      </c>
      <c r="CF56" s="106">
        <v>56</v>
      </c>
      <c r="CG56" s="106">
        <v>64444.799999999996</v>
      </c>
      <c r="CH56" s="106">
        <v>33</v>
      </c>
      <c r="CI56" s="106">
        <v>37976.400000000001</v>
      </c>
      <c r="CJ56" s="106">
        <v>62</v>
      </c>
      <c r="CK56" s="106">
        <v>71349.599999999991</v>
      </c>
      <c r="CL56" s="106">
        <v>52</v>
      </c>
      <c r="CM56" s="106">
        <v>59841.599999999999</v>
      </c>
      <c r="CN56" s="106">
        <v>9</v>
      </c>
      <c r="CO56" s="106">
        <v>10357.199999999999</v>
      </c>
      <c r="CP56" s="106">
        <v>6</v>
      </c>
      <c r="CQ56" s="106">
        <v>6904.7999999999993</v>
      </c>
      <c r="CR56" s="106">
        <v>8</v>
      </c>
      <c r="CS56" s="106">
        <v>9206.4</v>
      </c>
      <c r="CT56" s="106">
        <v>6</v>
      </c>
      <c r="CU56" s="106">
        <v>6904.7999999999993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3</v>
      </c>
      <c r="E58" s="106">
        <v>3531.6000000000004</v>
      </c>
      <c r="F58" s="106">
        <v>5</v>
      </c>
      <c r="G58" s="106">
        <v>5886</v>
      </c>
      <c r="H58" s="106">
        <v>4</v>
      </c>
      <c r="I58" s="106">
        <v>4708.8</v>
      </c>
      <c r="J58" s="106">
        <v>3</v>
      </c>
      <c r="K58" s="106">
        <v>3531.6000000000004</v>
      </c>
      <c r="L58" s="106">
        <v>3</v>
      </c>
      <c r="M58" s="106">
        <v>3531.6000000000004</v>
      </c>
      <c r="N58" s="106">
        <v>5</v>
      </c>
      <c r="O58" s="106">
        <v>5886</v>
      </c>
      <c r="P58" s="106">
        <v>3</v>
      </c>
      <c r="Q58" s="106">
        <v>3531.6000000000004</v>
      </c>
      <c r="R58" s="106">
        <v>3</v>
      </c>
      <c r="S58" s="106">
        <v>3531.6000000000004</v>
      </c>
      <c r="T58" s="106">
        <v>42</v>
      </c>
      <c r="U58" s="106">
        <v>49442.400000000001</v>
      </c>
      <c r="V58" s="106">
        <v>34</v>
      </c>
      <c r="W58" s="106">
        <v>40024.800000000003</v>
      </c>
      <c r="X58" s="106">
        <v>34</v>
      </c>
      <c r="Y58" s="106">
        <v>40024.800000000003</v>
      </c>
      <c r="Z58" s="106">
        <v>40</v>
      </c>
      <c r="AA58" s="106">
        <v>47088</v>
      </c>
      <c r="AB58" s="106">
        <v>7</v>
      </c>
      <c r="AC58" s="106">
        <v>8240.4</v>
      </c>
      <c r="AD58" s="106">
        <v>8</v>
      </c>
      <c r="AE58" s="106">
        <v>9417.6</v>
      </c>
      <c r="AF58" s="106">
        <v>7</v>
      </c>
      <c r="AG58" s="106">
        <v>8240.4</v>
      </c>
      <c r="AH58" s="106">
        <v>7</v>
      </c>
      <c r="AI58" s="106">
        <v>8240.4</v>
      </c>
      <c r="AJ58" s="106">
        <v>13</v>
      </c>
      <c r="AK58" s="106">
        <v>15303.6</v>
      </c>
      <c r="AL58" s="106">
        <v>13</v>
      </c>
      <c r="AM58" s="106">
        <v>15303.6</v>
      </c>
      <c r="AN58" s="106">
        <v>11</v>
      </c>
      <c r="AO58" s="106">
        <v>12949.2</v>
      </c>
      <c r="AP58" s="106">
        <v>19</v>
      </c>
      <c r="AQ58" s="106">
        <v>22366.799999999999</v>
      </c>
      <c r="AR58" s="106">
        <v>2</v>
      </c>
      <c r="AS58" s="106">
        <v>2354.4</v>
      </c>
      <c r="AT58" s="106">
        <v>2</v>
      </c>
      <c r="AU58" s="106">
        <v>2354.4</v>
      </c>
      <c r="AV58" s="106">
        <v>4</v>
      </c>
      <c r="AW58" s="106">
        <v>4708.8</v>
      </c>
      <c r="AX58" s="106">
        <v>3</v>
      </c>
      <c r="AY58" s="106">
        <v>3531.6000000000004</v>
      </c>
      <c r="AZ58" s="106">
        <v>3</v>
      </c>
      <c r="BA58" s="106">
        <v>3531.6000000000004</v>
      </c>
      <c r="BB58" s="106">
        <v>3</v>
      </c>
      <c r="BC58" s="106">
        <v>3531.6000000000004</v>
      </c>
      <c r="BD58" s="106">
        <v>3</v>
      </c>
      <c r="BE58" s="106">
        <v>3531.6000000000004</v>
      </c>
      <c r="BF58" s="106">
        <v>4</v>
      </c>
      <c r="BG58" s="106">
        <v>4708.8</v>
      </c>
      <c r="BH58" s="106">
        <v>6</v>
      </c>
      <c r="BI58" s="106">
        <v>7063.2000000000007</v>
      </c>
      <c r="BJ58" s="106">
        <v>6</v>
      </c>
      <c r="BK58" s="106">
        <v>7063.2000000000007</v>
      </c>
      <c r="BL58" s="106">
        <v>5</v>
      </c>
      <c r="BM58" s="106">
        <v>5886</v>
      </c>
      <c r="BN58" s="106">
        <v>5</v>
      </c>
      <c r="BO58" s="106">
        <v>5886</v>
      </c>
      <c r="BP58" s="106">
        <v>12</v>
      </c>
      <c r="BQ58" s="106">
        <v>14126.400000000001</v>
      </c>
      <c r="BR58" s="106">
        <v>12</v>
      </c>
      <c r="BS58" s="106">
        <v>14126.400000000001</v>
      </c>
      <c r="BT58" s="106">
        <v>9</v>
      </c>
      <c r="BU58" s="106">
        <v>10594.800000000001</v>
      </c>
      <c r="BV58" s="106">
        <v>7</v>
      </c>
      <c r="BW58" s="106">
        <v>8240.4</v>
      </c>
      <c r="BX58" s="106">
        <v>4</v>
      </c>
      <c r="BY58" s="106">
        <v>4708.8</v>
      </c>
      <c r="BZ58" s="106">
        <v>4</v>
      </c>
      <c r="CA58" s="106">
        <v>4708.8</v>
      </c>
      <c r="CB58" s="106">
        <v>2</v>
      </c>
      <c r="CC58" s="106">
        <v>2354.4</v>
      </c>
      <c r="CD58" s="106">
        <v>4</v>
      </c>
      <c r="CE58" s="106">
        <v>4708.8</v>
      </c>
      <c r="CF58" s="106">
        <v>55</v>
      </c>
      <c r="CG58" s="106">
        <v>64746</v>
      </c>
      <c r="CH58" s="106">
        <v>30</v>
      </c>
      <c r="CI58" s="106">
        <v>35316</v>
      </c>
      <c r="CJ58" s="106">
        <v>53</v>
      </c>
      <c r="CK58" s="106">
        <v>62391.600000000006</v>
      </c>
      <c r="CL58" s="106">
        <v>53</v>
      </c>
      <c r="CM58" s="106">
        <v>62391.600000000006</v>
      </c>
      <c r="CN58" s="106">
        <v>9</v>
      </c>
      <c r="CO58" s="106">
        <v>10594.800000000001</v>
      </c>
      <c r="CP58" s="106">
        <v>6</v>
      </c>
      <c r="CQ58" s="106">
        <v>7063.2000000000007</v>
      </c>
      <c r="CR58" s="106">
        <v>9</v>
      </c>
      <c r="CS58" s="106">
        <v>10594.800000000001</v>
      </c>
      <c r="CT58" s="106">
        <v>6</v>
      </c>
      <c r="CU58" s="106">
        <v>7063.2000000000007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16</v>
      </c>
      <c r="E71" s="106">
        <v>9024</v>
      </c>
      <c r="F71" s="106">
        <v>18</v>
      </c>
      <c r="G71" s="106">
        <v>10152</v>
      </c>
      <c r="H71" s="106">
        <v>29</v>
      </c>
      <c r="I71" s="106">
        <v>16356</v>
      </c>
      <c r="J71" s="106">
        <v>21</v>
      </c>
      <c r="K71" s="106">
        <v>11844</v>
      </c>
      <c r="L71" s="106">
        <v>29</v>
      </c>
      <c r="M71" s="106">
        <v>16356</v>
      </c>
      <c r="N71" s="106">
        <v>24</v>
      </c>
      <c r="O71" s="106">
        <v>13536</v>
      </c>
      <c r="P71" s="106">
        <v>24</v>
      </c>
      <c r="Q71" s="106">
        <v>13536</v>
      </c>
      <c r="R71" s="106">
        <v>27</v>
      </c>
      <c r="S71" s="106">
        <v>15228</v>
      </c>
      <c r="T71" s="106">
        <v>11</v>
      </c>
      <c r="U71" s="106">
        <v>6204</v>
      </c>
      <c r="V71" s="106">
        <v>15</v>
      </c>
      <c r="W71" s="106">
        <v>8460</v>
      </c>
      <c r="X71" s="106">
        <v>17</v>
      </c>
      <c r="Y71" s="106">
        <v>9588</v>
      </c>
      <c r="Z71" s="106">
        <v>13</v>
      </c>
      <c r="AA71" s="106">
        <v>7332</v>
      </c>
      <c r="AB71" s="106">
        <v>9</v>
      </c>
      <c r="AC71" s="106">
        <v>5076</v>
      </c>
      <c r="AD71" s="106">
        <v>9</v>
      </c>
      <c r="AE71" s="106">
        <v>5076</v>
      </c>
      <c r="AF71" s="106">
        <v>9</v>
      </c>
      <c r="AG71" s="106">
        <v>5076</v>
      </c>
      <c r="AH71" s="106">
        <v>8</v>
      </c>
      <c r="AI71" s="106">
        <v>4512</v>
      </c>
      <c r="AJ71" s="106">
        <v>22</v>
      </c>
      <c r="AK71" s="106">
        <v>12408</v>
      </c>
      <c r="AL71" s="106">
        <v>18</v>
      </c>
      <c r="AM71" s="106">
        <v>10152</v>
      </c>
      <c r="AN71" s="106">
        <v>26</v>
      </c>
      <c r="AO71" s="106">
        <v>14664</v>
      </c>
      <c r="AP71" s="106">
        <v>25</v>
      </c>
      <c r="AQ71" s="106">
        <v>14100</v>
      </c>
      <c r="AR71" s="106">
        <v>20</v>
      </c>
      <c r="AS71" s="106">
        <v>11280</v>
      </c>
      <c r="AT71" s="106">
        <v>31</v>
      </c>
      <c r="AU71" s="106">
        <v>17484</v>
      </c>
      <c r="AV71" s="106">
        <v>36</v>
      </c>
      <c r="AW71" s="106">
        <v>20304</v>
      </c>
      <c r="AX71" s="106">
        <v>24</v>
      </c>
      <c r="AY71" s="106">
        <v>13536</v>
      </c>
      <c r="AZ71" s="106">
        <v>2</v>
      </c>
      <c r="BA71" s="106">
        <v>1128</v>
      </c>
      <c r="BB71" s="106">
        <v>3</v>
      </c>
      <c r="BC71" s="106">
        <v>1692</v>
      </c>
      <c r="BD71" s="106">
        <v>3</v>
      </c>
      <c r="BE71" s="106">
        <v>1692</v>
      </c>
      <c r="BF71" s="106">
        <v>3</v>
      </c>
      <c r="BG71" s="106">
        <v>1692</v>
      </c>
      <c r="BH71" s="106">
        <v>2</v>
      </c>
      <c r="BI71" s="106">
        <v>1128</v>
      </c>
      <c r="BJ71" s="106">
        <v>3</v>
      </c>
      <c r="BK71" s="106">
        <v>1692</v>
      </c>
      <c r="BL71" s="106">
        <v>2</v>
      </c>
      <c r="BM71" s="106">
        <v>1128</v>
      </c>
      <c r="BN71" s="106">
        <v>3</v>
      </c>
      <c r="BO71" s="106">
        <v>1692</v>
      </c>
      <c r="BP71" s="106">
        <v>3</v>
      </c>
      <c r="BQ71" s="106">
        <v>1692</v>
      </c>
      <c r="BR71" s="106">
        <v>3</v>
      </c>
      <c r="BS71" s="106">
        <v>1692</v>
      </c>
      <c r="BT71" s="106">
        <v>5</v>
      </c>
      <c r="BU71" s="106">
        <v>2820</v>
      </c>
      <c r="BV71" s="106">
        <v>3</v>
      </c>
      <c r="BW71" s="106">
        <v>1692</v>
      </c>
      <c r="BX71" s="106">
        <v>16</v>
      </c>
      <c r="BY71" s="106">
        <v>9024</v>
      </c>
      <c r="BZ71" s="106">
        <v>25</v>
      </c>
      <c r="CA71" s="106">
        <v>14100</v>
      </c>
      <c r="CB71" s="106">
        <v>16</v>
      </c>
      <c r="CC71" s="106">
        <v>9024</v>
      </c>
      <c r="CD71" s="106">
        <v>28</v>
      </c>
      <c r="CE71" s="106">
        <v>15792</v>
      </c>
      <c r="CF71" s="106">
        <v>3</v>
      </c>
      <c r="CG71" s="106">
        <v>1692</v>
      </c>
      <c r="CH71" s="106">
        <v>2</v>
      </c>
      <c r="CI71" s="106">
        <v>1128</v>
      </c>
      <c r="CJ71" s="106">
        <v>2</v>
      </c>
      <c r="CK71" s="106">
        <v>1128</v>
      </c>
      <c r="CL71" s="106">
        <v>2</v>
      </c>
      <c r="CM71" s="106">
        <v>1128</v>
      </c>
      <c r="CN71" s="106">
        <v>6</v>
      </c>
      <c r="CO71" s="106">
        <v>3384</v>
      </c>
      <c r="CP71" s="106">
        <v>5</v>
      </c>
      <c r="CQ71" s="106">
        <v>2820</v>
      </c>
      <c r="CR71" s="106">
        <v>5</v>
      </c>
      <c r="CS71" s="106">
        <v>2820</v>
      </c>
      <c r="CT71" s="106">
        <v>4</v>
      </c>
      <c r="CU71" s="106">
        <v>2256</v>
      </c>
    </row>
    <row r="72" spans="2:99" x14ac:dyDescent="0.2">
      <c r="C72" s="105" t="s">
        <v>238</v>
      </c>
      <c r="D72" s="106">
        <v>21</v>
      </c>
      <c r="E72" s="106">
        <v>1562.3999999999999</v>
      </c>
      <c r="F72" s="106">
        <v>22</v>
      </c>
      <c r="G72" s="106">
        <v>1636.7999999999997</v>
      </c>
      <c r="H72" s="106">
        <v>29</v>
      </c>
      <c r="I72" s="106">
        <v>2157.6</v>
      </c>
      <c r="J72" s="106">
        <v>23</v>
      </c>
      <c r="K72" s="106">
        <v>1711.1999999999998</v>
      </c>
      <c r="L72" s="106">
        <v>26</v>
      </c>
      <c r="M72" s="106">
        <v>1934.3999999999999</v>
      </c>
      <c r="N72" s="106">
        <v>27</v>
      </c>
      <c r="O72" s="106">
        <v>2008.7999999999997</v>
      </c>
      <c r="P72" s="106">
        <v>23</v>
      </c>
      <c r="Q72" s="106">
        <v>1711.1999999999998</v>
      </c>
      <c r="R72" s="106">
        <v>29</v>
      </c>
      <c r="S72" s="106">
        <v>2157.6</v>
      </c>
      <c r="T72" s="106">
        <v>10</v>
      </c>
      <c r="U72" s="106">
        <v>743.99999999999989</v>
      </c>
      <c r="V72" s="106">
        <v>17</v>
      </c>
      <c r="W72" s="106">
        <v>1264.8</v>
      </c>
      <c r="X72" s="106">
        <v>18</v>
      </c>
      <c r="Y72" s="106">
        <v>1339.1999999999998</v>
      </c>
      <c r="Z72" s="106">
        <v>13</v>
      </c>
      <c r="AA72" s="106">
        <v>967.19999999999993</v>
      </c>
      <c r="AB72" s="106">
        <v>10</v>
      </c>
      <c r="AC72" s="106">
        <v>743.99999999999989</v>
      </c>
      <c r="AD72" s="106">
        <v>10</v>
      </c>
      <c r="AE72" s="106">
        <v>743.99999999999989</v>
      </c>
      <c r="AF72" s="106">
        <v>10</v>
      </c>
      <c r="AG72" s="106">
        <v>743.99999999999989</v>
      </c>
      <c r="AH72" s="106">
        <v>8</v>
      </c>
      <c r="AI72" s="106">
        <v>595.19999999999993</v>
      </c>
      <c r="AJ72" s="106">
        <v>26</v>
      </c>
      <c r="AK72" s="106">
        <v>1934.3999999999999</v>
      </c>
      <c r="AL72" s="106">
        <v>22</v>
      </c>
      <c r="AM72" s="106">
        <v>1636.7999999999997</v>
      </c>
      <c r="AN72" s="106">
        <v>25</v>
      </c>
      <c r="AO72" s="106">
        <v>1859.9999999999998</v>
      </c>
      <c r="AP72" s="106">
        <v>27</v>
      </c>
      <c r="AQ72" s="106">
        <v>2008.7999999999997</v>
      </c>
      <c r="AR72" s="106">
        <v>26</v>
      </c>
      <c r="AS72" s="106">
        <v>1934.3999999999999</v>
      </c>
      <c r="AT72" s="106">
        <v>30</v>
      </c>
      <c r="AU72" s="106">
        <v>2231.9999999999995</v>
      </c>
      <c r="AV72" s="106">
        <v>40</v>
      </c>
      <c r="AW72" s="106">
        <v>2975.9999999999995</v>
      </c>
      <c r="AX72" s="106">
        <v>27</v>
      </c>
      <c r="AY72" s="106">
        <v>2008.7999999999997</v>
      </c>
      <c r="AZ72" s="106">
        <v>2</v>
      </c>
      <c r="BA72" s="106">
        <v>148.79999999999998</v>
      </c>
      <c r="BB72" s="106">
        <v>3</v>
      </c>
      <c r="BC72" s="106">
        <v>223.2</v>
      </c>
      <c r="BD72" s="106">
        <v>3</v>
      </c>
      <c r="BE72" s="106">
        <v>223.2</v>
      </c>
      <c r="BF72" s="106">
        <v>4</v>
      </c>
      <c r="BG72" s="106">
        <v>297.59999999999997</v>
      </c>
      <c r="BH72" s="106">
        <v>2</v>
      </c>
      <c r="BI72" s="106">
        <v>148.79999999999998</v>
      </c>
      <c r="BJ72" s="106">
        <v>3</v>
      </c>
      <c r="BK72" s="106">
        <v>223.2</v>
      </c>
      <c r="BL72" s="106">
        <v>2</v>
      </c>
      <c r="BM72" s="106">
        <v>148.79999999999998</v>
      </c>
      <c r="BN72" s="106">
        <v>4</v>
      </c>
      <c r="BO72" s="106">
        <v>297.59999999999997</v>
      </c>
      <c r="BP72" s="106">
        <v>3</v>
      </c>
      <c r="BQ72" s="106">
        <v>223.2</v>
      </c>
      <c r="BR72" s="106">
        <v>3</v>
      </c>
      <c r="BS72" s="106">
        <v>223.2</v>
      </c>
      <c r="BT72" s="106">
        <v>5</v>
      </c>
      <c r="BU72" s="106">
        <v>371.99999999999994</v>
      </c>
      <c r="BV72" s="106">
        <v>3</v>
      </c>
      <c r="BW72" s="106">
        <v>223.2</v>
      </c>
      <c r="BX72" s="106">
        <v>20</v>
      </c>
      <c r="BY72" s="106">
        <v>1487.9999999999998</v>
      </c>
      <c r="BZ72" s="106">
        <v>25</v>
      </c>
      <c r="CA72" s="106">
        <v>1859.9999999999998</v>
      </c>
      <c r="CB72" s="106">
        <v>16</v>
      </c>
      <c r="CC72" s="106">
        <v>1190.3999999999999</v>
      </c>
      <c r="CD72" s="106">
        <v>29</v>
      </c>
      <c r="CE72" s="106">
        <v>2157.6</v>
      </c>
      <c r="CF72" s="106">
        <v>3</v>
      </c>
      <c r="CG72" s="106">
        <v>223.2</v>
      </c>
      <c r="CH72" s="106">
        <v>2</v>
      </c>
      <c r="CI72" s="106">
        <v>148.79999999999998</v>
      </c>
      <c r="CJ72" s="106">
        <v>2</v>
      </c>
      <c r="CK72" s="106">
        <v>148.79999999999998</v>
      </c>
      <c r="CL72" s="106">
        <v>3</v>
      </c>
      <c r="CM72" s="106">
        <v>223.2</v>
      </c>
      <c r="CN72" s="106">
        <v>6</v>
      </c>
      <c r="CO72" s="106">
        <v>446.4</v>
      </c>
      <c r="CP72" s="106">
        <v>5</v>
      </c>
      <c r="CQ72" s="106">
        <v>371.99999999999994</v>
      </c>
      <c r="CR72" s="106">
        <v>5</v>
      </c>
      <c r="CS72" s="106">
        <v>371.99999999999994</v>
      </c>
      <c r="CT72" s="106">
        <v>4</v>
      </c>
      <c r="CU72" s="106">
        <v>297.59999999999997</v>
      </c>
    </row>
    <row r="73" spans="2:99" x14ac:dyDescent="0.2">
      <c r="C73" s="105" t="s">
        <v>239</v>
      </c>
      <c r="D73" s="106">
        <v>18</v>
      </c>
      <c r="E73" s="106">
        <v>10065.599999999999</v>
      </c>
      <c r="F73" s="106">
        <v>19</v>
      </c>
      <c r="G73" s="106">
        <v>10624.8</v>
      </c>
      <c r="H73" s="106">
        <v>31</v>
      </c>
      <c r="I73" s="106">
        <v>17335.199999999997</v>
      </c>
      <c r="J73" s="106">
        <v>20</v>
      </c>
      <c r="K73" s="106">
        <v>11183.999999999998</v>
      </c>
      <c r="L73" s="106">
        <v>28</v>
      </c>
      <c r="M73" s="106">
        <v>15657.599999999999</v>
      </c>
      <c r="N73" s="106">
        <v>26</v>
      </c>
      <c r="O73" s="106">
        <v>14539.199999999999</v>
      </c>
      <c r="P73" s="106">
        <v>22</v>
      </c>
      <c r="Q73" s="106">
        <v>12302.399999999998</v>
      </c>
      <c r="R73" s="106">
        <v>27</v>
      </c>
      <c r="S73" s="106">
        <v>15098.399999999998</v>
      </c>
      <c r="T73" s="106">
        <v>11</v>
      </c>
      <c r="U73" s="106">
        <v>6151.1999999999989</v>
      </c>
      <c r="V73" s="106">
        <v>14</v>
      </c>
      <c r="W73" s="106">
        <v>7828.7999999999993</v>
      </c>
      <c r="X73" s="106">
        <v>14</v>
      </c>
      <c r="Y73" s="106">
        <v>7828.7999999999993</v>
      </c>
      <c r="Z73" s="106">
        <v>12</v>
      </c>
      <c r="AA73" s="106">
        <v>6710.4</v>
      </c>
      <c r="AB73" s="106">
        <v>8</v>
      </c>
      <c r="AC73" s="106">
        <v>4473.5999999999995</v>
      </c>
      <c r="AD73" s="106">
        <v>9</v>
      </c>
      <c r="AE73" s="106">
        <v>5032.7999999999993</v>
      </c>
      <c r="AF73" s="106">
        <v>8</v>
      </c>
      <c r="AG73" s="106">
        <v>4473.5999999999995</v>
      </c>
      <c r="AH73" s="106">
        <v>8</v>
      </c>
      <c r="AI73" s="106">
        <v>4473.5999999999995</v>
      </c>
      <c r="AJ73" s="106">
        <v>23</v>
      </c>
      <c r="AK73" s="106">
        <v>12861.599999999999</v>
      </c>
      <c r="AL73" s="106">
        <v>20</v>
      </c>
      <c r="AM73" s="106">
        <v>11183.999999999998</v>
      </c>
      <c r="AN73" s="106">
        <v>25</v>
      </c>
      <c r="AO73" s="106">
        <v>13979.999999999998</v>
      </c>
      <c r="AP73" s="106">
        <v>24</v>
      </c>
      <c r="AQ73" s="106">
        <v>13420.8</v>
      </c>
      <c r="AR73" s="106">
        <v>22</v>
      </c>
      <c r="AS73" s="106">
        <v>12302.399999999998</v>
      </c>
      <c r="AT73" s="106">
        <v>31</v>
      </c>
      <c r="AU73" s="106">
        <v>17335.199999999997</v>
      </c>
      <c r="AV73" s="106">
        <v>36</v>
      </c>
      <c r="AW73" s="106">
        <v>20131.199999999997</v>
      </c>
      <c r="AX73" s="106">
        <v>26</v>
      </c>
      <c r="AY73" s="106">
        <v>14539.199999999999</v>
      </c>
      <c r="AZ73" s="106">
        <v>2</v>
      </c>
      <c r="BA73" s="106">
        <v>1118.3999999999999</v>
      </c>
      <c r="BB73" s="106">
        <v>3</v>
      </c>
      <c r="BC73" s="106">
        <v>1677.6</v>
      </c>
      <c r="BD73" s="106">
        <v>3</v>
      </c>
      <c r="BE73" s="106">
        <v>1677.6</v>
      </c>
      <c r="BF73" s="106">
        <v>4</v>
      </c>
      <c r="BG73" s="106">
        <v>2236.7999999999997</v>
      </c>
      <c r="BH73" s="106">
        <v>2</v>
      </c>
      <c r="BI73" s="106">
        <v>1118.3999999999999</v>
      </c>
      <c r="BJ73" s="106">
        <v>3</v>
      </c>
      <c r="BK73" s="106">
        <v>1677.6</v>
      </c>
      <c r="BL73" s="106">
        <v>2</v>
      </c>
      <c r="BM73" s="106">
        <v>1118.3999999999999</v>
      </c>
      <c r="BN73" s="106">
        <v>4</v>
      </c>
      <c r="BO73" s="106">
        <v>2236.7999999999997</v>
      </c>
      <c r="BP73" s="106">
        <v>3</v>
      </c>
      <c r="BQ73" s="106">
        <v>1677.6</v>
      </c>
      <c r="BR73" s="106">
        <v>3</v>
      </c>
      <c r="BS73" s="106">
        <v>1677.6</v>
      </c>
      <c r="BT73" s="106">
        <v>5</v>
      </c>
      <c r="BU73" s="106">
        <v>2795.9999999999995</v>
      </c>
      <c r="BV73" s="106">
        <v>3</v>
      </c>
      <c r="BW73" s="106">
        <v>1677.6</v>
      </c>
      <c r="BX73" s="106">
        <v>17</v>
      </c>
      <c r="BY73" s="106">
        <v>9506.4</v>
      </c>
      <c r="BZ73" s="106">
        <v>22</v>
      </c>
      <c r="CA73" s="106">
        <v>12302.399999999998</v>
      </c>
      <c r="CB73" s="106">
        <v>16</v>
      </c>
      <c r="CC73" s="106">
        <v>8947.1999999999989</v>
      </c>
      <c r="CD73" s="106">
        <v>27</v>
      </c>
      <c r="CE73" s="106">
        <v>15098.399999999998</v>
      </c>
      <c r="CF73" s="106">
        <v>3</v>
      </c>
      <c r="CG73" s="106">
        <v>1677.6</v>
      </c>
      <c r="CH73" s="106">
        <v>2</v>
      </c>
      <c r="CI73" s="106">
        <v>1118.3999999999999</v>
      </c>
      <c r="CJ73" s="106">
        <v>2</v>
      </c>
      <c r="CK73" s="106">
        <v>1118.3999999999999</v>
      </c>
      <c r="CL73" s="106">
        <v>3</v>
      </c>
      <c r="CM73" s="106">
        <v>1677.6</v>
      </c>
      <c r="CN73" s="106">
        <v>6</v>
      </c>
      <c r="CO73" s="106">
        <v>3355.2</v>
      </c>
      <c r="CP73" s="106">
        <v>5</v>
      </c>
      <c r="CQ73" s="106">
        <v>2795.9999999999995</v>
      </c>
      <c r="CR73" s="106">
        <v>4</v>
      </c>
      <c r="CS73" s="106">
        <v>2236.7999999999997</v>
      </c>
      <c r="CT73" s="106">
        <v>4</v>
      </c>
      <c r="CU73" s="106">
        <v>2236.7999999999997</v>
      </c>
    </row>
    <row r="74" spans="2:99" x14ac:dyDescent="0.2">
      <c r="C74" s="105" t="s">
        <v>240</v>
      </c>
      <c r="D74" s="106">
        <v>17</v>
      </c>
      <c r="E74" s="106">
        <v>6854.4</v>
      </c>
      <c r="F74" s="106">
        <v>18</v>
      </c>
      <c r="G74" s="106">
        <v>7257.5999999999995</v>
      </c>
      <c r="H74" s="106">
        <v>32</v>
      </c>
      <c r="I74" s="106">
        <v>12902.4</v>
      </c>
      <c r="J74" s="106">
        <v>20</v>
      </c>
      <c r="K74" s="106">
        <v>8064</v>
      </c>
      <c r="L74" s="106">
        <v>28</v>
      </c>
      <c r="M74" s="106">
        <v>11289.6</v>
      </c>
      <c r="N74" s="106">
        <v>26</v>
      </c>
      <c r="O74" s="106">
        <v>10483.199999999999</v>
      </c>
      <c r="P74" s="106">
        <v>24</v>
      </c>
      <c r="Q74" s="106">
        <v>9676.7999999999993</v>
      </c>
      <c r="R74" s="106">
        <v>30</v>
      </c>
      <c r="S74" s="106">
        <v>12096</v>
      </c>
      <c r="T74" s="106">
        <v>10</v>
      </c>
      <c r="U74" s="106">
        <v>4032</v>
      </c>
      <c r="V74" s="106">
        <v>15</v>
      </c>
      <c r="W74" s="106">
        <v>6048</v>
      </c>
      <c r="X74" s="106">
        <v>14</v>
      </c>
      <c r="Y74" s="106">
        <v>5644.8</v>
      </c>
      <c r="Z74" s="106">
        <v>12</v>
      </c>
      <c r="AA74" s="106">
        <v>4838.3999999999996</v>
      </c>
      <c r="AB74" s="106">
        <v>10</v>
      </c>
      <c r="AC74" s="106">
        <v>4032</v>
      </c>
      <c r="AD74" s="106">
        <v>8</v>
      </c>
      <c r="AE74" s="106">
        <v>3225.6</v>
      </c>
      <c r="AF74" s="106">
        <v>8</v>
      </c>
      <c r="AG74" s="106">
        <v>3225.6</v>
      </c>
      <c r="AH74" s="106">
        <v>8</v>
      </c>
      <c r="AI74" s="106">
        <v>3225.6</v>
      </c>
      <c r="AJ74" s="106">
        <v>22</v>
      </c>
      <c r="AK74" s="106">
        <v>8870.4</v>
      </c>
      <c r="AL74" s="106">
        <v>21</v>
      </c>
      <c r="AM74" s="106">
        <v>8467.1999999999989</v>
      </c>
      <c r="AN74" s="106">
        <v>23</v>
      </c>
      <c r="AO74" s="106">
        <v>9273.6</v>
      </c>
      <c r="AP74" s="106">
        <v>26</v>
      </c>
      <c r="AQ74" s="106">
        <v>10483.199999999999</v>
      </c>
      <c r="AR74" s="106">
        <v>25</v>
      </c>
      <c r="AS74" s="106">
        <v>10080</v>
      </c>
      <c r="AT74" s="106">
        <v>27</v>
      </c>
      <c r="AU74" s="106">
        <v>10886.4</v>
      </c>
      <c r="AV74" s="106">
        <v>36</v>
      </c>
      <c r="AW74" s="106">
        <v>14515.199999999999</v>
      </c>
      <c r="AX74" s="106">
        <v>27</v>
      </c>
      <c r="AY74" s="106">
        <v>10886.4</v>
      </c>
      <c r="AZ74" s="106">
        <v>2</v>
      </c>
      <c r="BA74" s="106">
        <v>806.4</v>
      </c>
      <c r="BB74" s="106">
        <v>3</v>
      </c>
      <c r="BC74" s="106">
        <v>1209.5999999999999</v>
      </c>
      <c r="BD74" s="106">
        <v>3</v>
      </c>
      <c r="BE74" s="106">
        <v>1209.5999999999999</v>
      </c>
      <c r="BF74" s="106">
        <v>4</v>
      </c>
      <c r="BG74" s="106">
        <v>1612.8</v>
      </c>
      <c r="BH74" s="106">
        <v>2</v>
      </c>
      <c r="BI74" s="106">
        <v>806.4</v>
      </c>
      <c r="BJ74" s="106">
        <v>3</v>
      </c>
      <c r="BK74" s="106">
        <v>1209.5999999999999</v>
      </c>
      <c r="BL74" s="106">
        <v>2</v>
      </c>
      <c r="BM74" s="106">
        <v>806.4</v>
      </c>
      <c r="BN74" s="106">
        <v>4</v>
      </c>
      <c r="BO74" s="106">
        <v>1612.8</v>
      </c>
      <c r="BP74" s="106">
        <v>3</v>
      </c>
      <c r="BQ74" s="106">
        <v>1209.5999999999999</v>
      </c>
      <c r="BR74" s="106">
        <v>3</v>
      </c>
      <c r="BS74" s="106">
        <v>1209.5999999999999</v>
      </c>
      <c r="BT74" s="106">
        <v>5</v>
      </c>
      <c r="BU74" s="106">
        <v>2016</v>
      </c>
      <c r="BV74" s="106">
        <v>3</v>
      </c>
      <c r="BW74" s="106">
        <v>1209.5999999999999</v>
      </c>
      <c r="BX74" s="106">
        <v>19</v>
      </c>
      <c r="BY74" s="106">
        <v>7660.8</v>
      </c>
      <c r="BZ74" s="106">
        <v>23</v>
      </c>
      <c r="CA74" s="106">
        <v>9273.6</v>
      </c>
      <c r="CB74" s="106">
        <v>16</v>
      </c>
      <c r="CC74" s="106">
        <v>6451.2</v>
      </c>
      <c r="CD74" s="106">
        <v>30</v>
      </c>
      <c r="CE74" s="106">
        <v>12096</v>
      </c>
      <c r="CF74" s="106">
        <v>2</v>
      </c>
      <c r="CG74" s="106">
        <v>806.4</v>
      </c>
      <c r="CH74" s="106">
        <v>2</v>
      </c>
      <c r="CI74" s="106">
        <v>806.4</v>
      </c>
      <c r="CJ74" s="106">
        <v>2</v>
      </c>
      <c r="CK74" s="106">
        <v>806.4</v>
      </c>
      <c r="CL74" s="106">
        <v>3</v>
      </c>
      <c r="CM74" s="106">
        <v>1209.5999999999999</v>
      </c>
      <c r="CN74" s="106">
        <v>6</v>
      </c>
      <c r="CO74" s="106">
        <v>2419.1999999999998</v>
      </c>
      <c r="CP74" s="106">
        <v>6</v>
      </c>
      <c r="CQ74" s="106">
        <v>2419.1999999999998</v>
      </c>
      <c r="CR74" s="106">
        <v>4</v>
      </c>
      <c r="CS74" s="106">
        <v>1612.8</v>
      </c>
      <c r="CT74" s="106">
        <v>4</v>
      </c>
      <c r="CU74" s="106">
        <v>1612.8</v>
      </c>
    </row>
    <row r="75" spans="2:99" x14ac:dyDescent="0.2">
      <c r="C75" s="105" t="s">
        <v>241</v>
      </c>
      <c r="D75" s="106">
        <v>18</v>
      </c>
      <c r="E75" s="106">
        <v>11577.599999999999</v>
      </c>
      <c r="F75" s="106">
        <v>19</v>
      </c>
      <c r="G75" s="106">
        <v>12220.8</v>
      </c>
      <c r="H75" s="106">
        <v>28</v>
      </c>
      <c r="I75" s="106">
        <v>18009.599999999999</v>
      </c>
      <c r="J75" s="106">
        <v>20</v>
      </c>
      <c r="K75" s="106">
        <v>12863.999999999998</v>
      </c>
      <c r="L75" s="106">
        <v>24</v>
      </c>
      <c r="M75" s="106">
        <v>15436.8</v>
      </c>
      <c r="N75" s="106">
        <v>23</v>
      </c>
      <c r="O75" s="106">
        <v>14793.599999999999</v>
      </c>
      <c r="P75" s="106">
        <v>22</v>
      </c>
      <c r="Q75" s="106">
        <v>14150.399999999998</v>
      </c>
      <c r="R75" s="106">
        <v>30</v>
      </c>
      <c r="S75" s="106">
        <v>19295.999999999996</v>
      </c>
      <c r="T75" s="106">
        <v>11</v>
      </c>
      <c r="U75" s="106">
        <v>7075.1999999999989</v>
      </c>
      <c r="V75" s="106">
        <v>16</v>
      </c>
      <c r="W75" s="106">
        <v>10291.199999999999</v>
      </c>
      <c r="X75" s="106">
        <v>16</v>
      </c>
      <c r="Y75" s="106">
        <v>10291.199999999999</v>
      </c>
      <c r="Z75" s="106">
        <v>11</v>
      </c>
      <c r="AA75" s="106">
        <v>7075.1999999999989</v>
      </c>
      <c r="AB75" s="106">
        <v>9</v>
      </c>
      <c r="AC75" s="106">
        <v>5788.7999999999993</v>
      </c>
      <c r="AD75" s="106">
        <v>8</v>
      </c>
      <c r="AE75" s="106">
        <v>5145.5999999999995</v>
      </c>
      <c r="AF75" s="106">
        <v>8</v>
      </c>
      <c r="AG75" s="106">
        <v>5145.5999999999995</v>
      </c>
      <c r="AH75" s="106">
        <v>9</v>
      </c>
      <c r="AI75" s="106">
        <v>5788.7999999999993</v>
      </c>
      <c r="AJ75" s="106">
        <v>21</v>
      </c>
      <c r="AK75" s="106">
        <v>13507.199999999999</v>
      </c>
      <c r="AL75" s="106">
        <v>19</v>
      </c>
      <c r="AM75" s="106">
        <v>12220.8</v>
      </c>
      <c r="AN75" s="106">
        <v>26</v>
      </c>
      <c r="AO75" s="106">
        <v>16723.199999999997</v>
      </c>
      <c r="AP75" s="106">
        <v>23</v>
      </c>
      <c r="AQ75" s="106">
        <v>14793.599999999999</v>
      </c>
      <c r="AR75" s="106">
        <v>22</v>
      </c>
      <c r="AS75" s="106">
        <v>14150.399999999998</v>
      </c>
      <c r="AT75" s="106">
        <v>32</v>
      </c>
      <c r="AU75" s="106">
        <v>20582.399999999998</v>
      </c>
      <c r="AV75" s="106">
        <v>32</v>
      </c>
      <c r="AW75" s="106">
        <v>20582.399999999998</v>
      </c>
      <c r="AX75" s="106">
        <v>24</v>
      </c>
      <c r="AY75" s="106">
        <v>15436.8</v>
      </c>
      <c r="AZ75" s="106">
        <v>2</v>
      </c>
      <c r="BA75" s="106">
        <v>1286.3999999999999</v>
      </c>
      <c r="BB75" s="106">
        <v>3</v>
      </c>
      <c r="BC75" s="106">
        <v>1929.6</v>
      </c>
      <c r="BD75" s="106">
        <v>3</v>
      </c>
      <c r="BE75" s="106">
        <v>1929.6</v>
      </c>
      <c r="BF75" s="106">
        <v>4</v>
      </c>
      <c r="BG75" s="106">
        <v>2572.7999999999997</v>
      </c>
      <c r="BH75" s="106">
        <v>2</v>
      </c>
      <c r="BI75" s="106">
        <v>1286.3999999999999</v>
      </c>
      <c r="BJ75" s="106">
        <v>2</v>
      </c>
      <c r="BK75" s="106">
        <v>1286.3999999999999</v>
      </c>
      <c r="BL75" s="106">
        <v>2</v>
      </c>
      <c r="BM75" s="106">
        <v>1286.3999999999999</v>
      </c>
      <c r="BN75" s="106">
        <v>3</v>
      </c>
      <c r="BO75" s="106">
        <v>1929.6</v>
      </c>
      <c r="BP75" s="106">
        <v>3</v>
      </c>
      <c r="BQ75" s="106">
        <v>1929.6</v>
      </c>
      <c r="BR75" s="106">
        <v>4</v>
      </c>
      <c r="BS75" s="106">
        <v>2572.7999999999997</v>
      </c>
      <c r="BT75" s="106">
        <v>5</v>
      </c>
      <c r="BU75" s="106">
        <v>3215.9999999999995</v>
      </c>
      <c r="BV75" s="106">
        <v>3</v>
      </c>
      <c r="BW75" s="106">
        <v>1929.6</v>
      </c>
      <c r="BX75" s="106">
        <v>18</v>
      </c>
      <c r="BY75" s="106">
        <v>11577.599999999999</v>
      </c>
      <c r="BZ75" s="106">
        <v>21</v>
      </c>
      <c r="CA75" s="106">
        <v>13507.199999999999</v>
      </c>
      <c r="CB75" s="106">
        <v>14</v>
      </c>
      <c r="CC75" s="106">
        <v>9004.7999999999993</v>
      </c>
      <c r="CD75" s="106">
        <v>24</v>
      </c>
      <c r="CE75" s="106">
        <v>15436.8</v>
      </c>
      <c r="CF75" s="106">
        <v>3</v>
      </c>
      <c r="CG75" s="106">
        <v>1929.6</v>
      </c>
      <c r="CH75" s="106">
        <v>2</v>
      </c>
      <c r="CI75" s="106">
        <v>1286.3999999999999</v>
      </c>
      <c r="CJ75" s="106">
        <v>2</v>
      </c>
      <c r="CK75" s="106">
        <v>1286.3999999999999</v>
      </c>
      <c r="CL75" s="106">
        <v>3</v>
      </c>
      <c r="CM75" s="106">
        <v>1929.6</v>
      </c>
      <c r="CN75" s="106">
        <v>6</v>
      </c>
      <c r="CO75" s="106">
        <v>3859.2</v>
      </c>
      <c r="CP75" s="106">
        <v>5</v>
      </c>
      <c r="CQ75" s="106">
        <v>3215.9999999999995</v>
      </c>
      <c r="CR75" s="106">
        <v>5</v>
      </c>
      <c r="CS75" s="106">
        <v>3215.9999999999995</v>
      </c>
      <c r="CT75" s="106">
        <v>4</v>
      </c>
      <c r="CU75" s="106">
        <v>2572.7999999999997</v>
      </c>
    </row>
    <row r="76" spans="2:99" x14ac:dyDescent="0.2">
      <c r="C76" s="105" t="s">
        <v>242</v>
      </c>
      <c r="D76" s="106">
        <v>17</v>
      </c>
      <c r="E76" s="106">
        <v>13239.599999999999</v>
      </c>
      <c r="F76" s="106">
        <v>19</v>
      </c>
      <c r="G76" s="106">
        <v>14797.199999999999</v>
      </c>
      <c r="H76" s="106">
        <v>26</v>
      </c>
      <c r="I76" s="106">
        <v>20248.8</v>
      </c>
      <c r="J76" s="106">
        <v>21</v>
      </c>
      <c r="K76" s="106">
        <v>16354.8</v>
      </c>
      <c r="L76" s="106">
        <v>24</v>
      </c>
      <c r="M76" s="106">
        <v>18691.199999999997</v>
      </c>
      <c r="N76" s="106">
        <v>23</v>
      </c>
      <c r="O76" s="106">
        <v>17912.399999999998</v>
      </c>
      <c r="P76" s="106">
        <v>21</v>
      </c>
      <c r="Q76" s="106">
        <v>16354.8</v>
      </c>
      <c r="R76" s="106">
        <v>27</v>
      </c>
      <c r="S76" s="106">
        <v>21027.599999999999</v>
      </c>
      <c r="T76" s="106">
        <v>11</v>
      </c>
      <c r="U76" s="106">
        <v>8566.7999999999993</v>
      </c>
      <c r="V76" s="106">
        <v>15</v>
      </c>
      <c r="W76" s="106">
        <v>11682</v>
      </c>
      <c r="X76" s="106">
        <v>15</v>
      </c>
      <c r="Y76" s="106">
        <v>11682</v>
      </c>
      <c r="Z76" s="106">
        <v>12</v>
      </c>
      <c r="AA76" s="106">
        <v>9345.5999999999985</v>
      </c>
      <c r="AB76" s="106">
        <v>8</v>
      </c>
      <c r="AC76" s="106">
        <v>6230.4</v>
      </c>
      <c r="AD76" s="106">
        <v>9</v>
      </c>
      <c r="AE76" s="106">
        <v>7009.2</v>
      </c>
      <c r="AF76" s="106">
        <v>8</v>
      </c>
      <c r="AG76" s="106">
        <v>6230.4</v>
      </c>
      <c r="AH76" s="106">
        <v>8</v>
      </c>
      <c r="AI76" s="106">
        <v>6230.4</v>
      </c>
      <c r="AJ76" s="106">
        <v>23</v>
      </c>
      <c r="AK76" s="106">
        <v>17912.399999999998</v>
      </c>
      <c r="AL76" s="106">
        <v>20</v>
      </c>
      <c r="AM76" s="106">
        <v>15576</v>
      </c>
      <c r="AN76" s="106">
        <v>23</v>
      </c>
      <c r="AO76" s="106">
        <v>17912.399999999998</v>
      </c>
      <c r="AP76" s="106">
        <v>21</v>
      </c>
      <c r="AQ76" s="106">
        <v>16354.8</v>
      </c>
      <c r="AR76" s="106">
        <v>23</v>
      </c>
      <c r="AS76" s="106">
        <v>17912.399999999998</v>
      </c>
      <c r="AT76" s="106">
        <v>26</v>
      </c>
      <c r="AU76" s="106">
        <v>20248.8</v>
      </c>
      <c r="AV76" s="106">
        <v>36</v>
      </c>
      <c r="AW76" s="106">
        <v>28036.799999999999</v>
      </c>
      <c r="AX76" s="106">
        <v>24</v>
      </c>
      <c r="AY76" s="106">
        <v>18691.199999999997</v>
      </c>
      <c r="AZ76" s="106">
        <v>2</v>
      </c>
      <c r="BA76" s="106">
        <v>1557.6</v>
      </c>
      <c r="BB76" s="106">
        <v>3</v>
      </c>
      <c r="BC76" s="106">
        <v>2336.3999999999996</v>
      </c>
      <c r="BD76" s="106">
        <v>3</v>
      </c>
      <c r="BE76" s="106">
        <v>2336.3999999999996</v>
      </c>
      <c r="BF76" s="106">
        <v>4</v>
      </c>
      <c r="BG76" s="106">
        <v>3115.2</v>
      </c>
      <c r="BH76" s="106">
        <v>2</v>
      </c>
      <c r="BI76" s="106">
        <v>1557.6</v>
      </c>
      <c r="BJ76" s="106">
        <v>3</v>
      </c>
      <c r="BK76" s="106">
        <v>2336.3999999999996</v>
      </c>
      <c r="BL76" s="106">
        <v>2</v>
      </c>
      <c r="BM76" s="106">
        <v>1557.6</v>
      </c>
      <c r="BN76" s="106">
        <v>4</v>
      </c>
      <c r="BO76" s="106">
        <v>3115.2</v>
      </c>
      <c r="BP76" s="106">
        <v>3</v>
      </c>
      <c r="BQ76" s="106">
        <v>2336.3999999999996</v>
      </c>
      <c r="BR76" s="106">
        <v>3</v>
      </c>
      <c r="BS76" s="106">
        <v>2336.3999999999996</v>
      </c>
      <c r="BT76" s="106">
        <v>5</v>
      </c>
      <c r="BU76" s="106">
        <v>3894</v>
      </c>
      <c r="BV76" s="106">
        <v>3</v>
      </c>
      <c r="BW76" s="106">
        <v>2336.3999999999996</v>
      </c>
      <c r="BX76" s="106">
        <v>16</v>
      </c>
      <c r="BY76" s="106">
        <v>12460.8</v>
      </c>
      <c r="BZ76" s="106">
        <v>23</v>
      </c>
      <c r="CA76" s="106">
        <v>17912.399999999998</v>
      </c>
      <c r="CB76" s="106">
        <v>16</v>
      </c>
      <c r="CC76" s="106">
        <v>12460.8</v>
      </c>
      <c r="CD76" s="106">
        <v>23</v>
      </c>
      <c r="CE76" s="106">
        <v>17912.399999999998</v>
      </c>
      <c r="CF76" s="106">
        <v>3</v>
      </c>
      <c r="CG76" s="106">
        <v>2336.3999999999996</v>
      </c>
      <c r="CH76" s="106">
        <v>2</v>
      </c>
      <c r="CI76" s="106">
        <v>1557.6</v>
      </c>
      <c r="CJ76" s="106">
        <v>2</v>
      </c>
      <c r="CK76" s="106">
        <v>1557.6</v>
      </c>
      <c r="CL76" s="106">
        <v>3</v>
      </c>
      <c r="CM76" s="106">
        <v>2336.3999999999996</v>
      </c>
      <c r="CN76" s="106">
        <v>6</v>
      </c>
      <c r="CO76" s="106">
        <v>4672.7999999999993</v>
      </c>
      <c r="CP76" s="106">
        <v>5</v>
      </c>
      <c r="CQ76" s="106">
        <v>3894</v>
      </c>
      <c r="CR76" s="106">
        <v>5</v>
      </c>
      <c r="CS76" s="106">
        <v>3894</v>
      </c>
      <c r="CT76" s="106">
        <v>3</v>
      </c>
      <c r="CU76" s="106">
        <v>2336.3999999999996</v>
      </c>
    </row>
    <row r="77" spans="2:99" x14ac:dyDescent="0.2">
      <c r="C77" s="105" t="s">
        <v>243</v>
      </c>
      <c r="D77" s="106">
        <v>20</v>
      </c>
      <c r="E77" s="106">
        <v>5568</v>
      </c>
      <c r="F77" s="106">
        <v>18</v>
      </c>
      <c r="G77" s="106">
        <v>5011.2</v>
      </c>
      <c r="H77" s="106">
        <v>33</v>
      </c>
      <c r="I77" s="106">
        <v>9187.1999999999989</v>
      </c>
      <c r="J77" s="106">
        <v>20</v>
      </c>
      <c r="K77" s="106">
        <v>5568</v>
      </c>
      <c r="L77" s="106">
        <v>30</v>
      </c>
      <c r="M77" s="106">
        <v>8352</v>
      </c>
      <c r="N77" s="106">
        <v>27</v>
      </c>
      <c r="O77" s="106">
        <v>7516.7999999999993</v>
      </c>
      <c r="P77" s="106">
        <v>23</v>
      </c>
      <c r="Q77" s="106">
        <v>6403.2</v>
      </c>
      <c r="R77" s="106">
        <v>31</v>
      </c>
      <c r="S77" s="106">
        <v>8630.4</v>
      </c>
      <c r="T77" s="106">
        <v>11</v>
      </c>
      <c r="U77" s="106">
        <v>3062.3999999999996</v>
      </c>
      <c r="V77" s="106">
        <v>15</v>
      </c>
      <c r="W77" s="106">
        <v>4176</v>
      </c>
      <c r="X77" s="106">
        <v>14</v>
      </c>
      <c r="Y77" s="106">
        <v>3897.5999999999995</v>
      </c>
      <c r="Z77" s="106">
        <v>11</v>
      </c>
      <c r="AA77" s="106">
        <v>3062.3999999999996</v>
      </c>
      <c r="AB77" s="106">
        <v>9</v>
      </c>
      <c r="AC77" s="106">
        <v>2505.6</v>
      </c>
      <c r="AD77" s="106">
        <v>9</v>
      </c>
      <c r="AE77" s="106">
        <v>2505.6</v>
      </c>
      <c r="AF77" s="106">
        <v>10</v>
      </c>
      <c r="AG77" s="106">
        <v>2784</v>
      </c>
      <c r="AH77" s="106">
        <v>9</v>
      </c>
      <c r="AI77" s="106">
        <v>2505.6</v>
      </c>
      <c r="AJ77" s="106">
        <v>25</v>
      </c>
      <c r="AK77" s="106">
        <v>6959.9999999999991</v>
      </c>
      <c r="AL77" s="106">
        <v>19</v>
      </c>
      <c r="AM77" s="106">
        <v>5289.5999999999995</v>
      </c>
      <c r="AN77" s="106">
        <v>28</v>
      </c>
      <c r="AO77" s="106">
        <v>7795.1999999999989</v>
      </c>
      <c r="AP77" s="106">
        <v>24</v>
      </c>
      <c r="AQ77" s="106">
        <v>6681.5999999999995</v>
      </c>
      <c r="AR77" s="106">
        <v>22</v>
      </c>
      <c r="AS77" s="106">
        <v>6124.7999999999993</v>
      </c>
      <c r="AT77" s="106">
        <v>30</v>
      </c>
      <c r="AU77" s="106">
        <v>8352</v>
      </c>
      <c r="AV77" s="106">
        <v>38</v>
      </c>
      <c r="AW77" s="106">
        <v>10579.199999999999</v>
      </c>
      <c r="AX77" s="106">
        <v>26</v>
      </c>
      <c r="AY77" s="106">
        <v>7238.4</v>
      </c>
      <c r="AZ77" s="106">
        <v>2</v>
      </c>
      <c r="BA77" s="106">
        <v>556.79999999999995</v>
      </c>
      <c r="BB77" s="106">
        <v>3</v>
      </c>
      <c r="BC77" s="106">
        <v>835.19999999999993</v>
      </c>
      <c r="BD77" s="106">
        <v>3</v>
      </c>
      <c r="BE77" s="106">
        <v>835.19999999999993</v>
      </c>
      <c r="BF77" s="106">
        <v>3</v>
      </c>
      <c r="BG77" s="106">
        <v>835.19999999999993</v>
      </c>
      <c r="BH77" s="106">
        <v>2</v>
      </c>
      <c r="BI77" s="106">
        <v>556.79999999999995</v>
      </c>
      <c r="BJ77" s="106">
        <v>3</v>
      </c>
      <c r="BK77" s="106">
        <v>835.19999999999993</v>
      </c>
      <c r="BL77" s="106">
        <v>2</v>
      </c>
      <c r="BM77" s="106">
        <v>556.79999999999995</v>
      </c>
      <c r="BN77" s="106">
        <v>4</v>
      </c>
      <c r="BO77" s="106">
        <v>1113.5999999999999</v>
      </c>
      <c r="BP77" s="106">
        <v>3</v>
      </c>
      <c r="BQ77" s="106">
        <v>835.19999999999993</v>
      </c>
      <c r="BR77" s="106">
        <v>3</v>
      </c>
      <c r="BS77" s="106">
        <v>835.19999999999993</v>
      </c>
      <c r="BT77" s="106">
        <v>5</v>
      </c>
      <c r="BU77" s="106">
        <v>1392</v>
      </c>
      <c r="BV77" s="106">
        <v>3</v>
      </c>
      <c r="BW77" s="106">
        <v>835.19999999999993</v>
      </c>
      <c r="BX77" s="106">
        <v>19</v>
      </c>
      <c r="BY77" s="106">
        <v>5289.5999999999995</v>
      </c>
      <c r="BZ77" s="106">
        <v>25</v>
      </c>
      <c r="CA77" s="106">
        <v>6959.9999999999991</v>
      </c>
      <c r="CB77" s="106">
        <v>14</v>
      </c>
      <c r="CC77" s="106">
        <v>3897.5999999999995</v>
      </c>
      <c r="CD77" s="106">
        <v>27</v>
      </c>
      <c r="CE77" s="106">
        <v>7516.7999999999993</v>
      </c>
      <c r="CF77" s="106">
        <v>3</v>
      </c>
      <c r="CG77" s="106">
        <v>835.19999999999993</v>
      </c>
      <c r="CH77" s="106">
        <v>2</v>
      </c>
      <c r="CI77" s="106">
        <v>556.79999999999995</v>
      </c>
      <c r="CJ77" s="106">
        <v>2</v>
      </c>
      <c r="CK77" s="106">
        <v>556.79999999999995</v>
      </c>
      <c r="CL77" s="106">
        <v>2</v>
      </c>
      <c r="CM77" s="106">
        <v>556.79999999999995</v>
      </c>
      <c r="CN77" s="106">
        <v>5</v>
      </c>
      <c r="CO77" s="106">
        <v>1392</v>
      </c>
      <c r="CP77" s="106">
        <v>5</v>
      </c>
      <c r="CQ77" s="106">
        <v>1392</v>
      </c>
      <c r="CR77" s="106">
        <v>5</v>
      </c>
      <c r="CS77" s="106">
        <v>1392</v>
      </c>
      <c r="CT77" s="106">
        <v>4</v>
      </c>
      <c r="CU77" s="106">
        <v>1113.5999999999999</v>
      </c>
    </row>
    <row r="78" spans="2:99" x14ac:dyDescent="0.2">
      <c r="C78" s="105" t="s">
        <v>244</v>
      </c>
      <c r="D78" s="106">
        <v>18</v>
      </c>
      <c r="E78" s="106">
        <v>9936</v>
      </c>
      <c r="F78" s="106">
        <v>20</v>
      </c>
      <c r="G78" s="106">
        <v>11040</v>
      </c>
      <c r="H78" s="106">
        <v>28</v>
      </c>
      <c r="I78" s="106">
        <v>15456</v>
      </c>
      <c r="J78" s="106">
        <v>22</v>
      </c>
      <c r="K78" s="106">
        <v>12144</v>
      </c>
      <c r="L78" s="106">
        <v>28</v>
      </c>
      <c r="M78" s="106">
        <v>15456</v>
      </c>
      <c r="N78" s="106">
        <v>26</v>
      </c>
      <c r="O78" s="106">
        <v>14352</v>
      </c>
      <c r="P78" s="106">
        <v>22</v>
      </c>
      <c r="Q78" s="106">
        <v>12144</v>
      </c>
      <c r="R78" s="106">
        <v>27</v>
      </c>
      <c r="S78" s="106">
        <v>14904</v>
      </c>
      <c r="T78" s="106">
        <v>10</v>
      </c>
      <c r="U78" s="106">
        <v>5520</v>
      </c>
      <c r="V78" s="106">
        <v>14</v>
      </c>
      <c r="W78" s="106">
        <v>7728</v>
      </c>
      <c r="X78" s="106">
        <v>15</v>
      </c>
      <c r="Y78" s="106">
        <v>8280</v>
      </c>
      <c r="Z78" s="106">
        <v>12</v>
      </c>
      <c r="AA78" s="106">
        <v>6624</v>
      </c>
      <c r="AB78" s="106">
        <v>9</v>
      </c>
      <c r="AC78" s="106">
        <v>4968</v>
      </c>
      <c r="AD78" s="106">
        <v>9</v>
      </c>
      <c r="AE78" s="106">
        <v>4968</v>
      </c>
      <c r="AF78" s="106">
        <v>9</v>
      </c>
      <c r="AG78" s="106">
        <v>4968</v>
      </c>
      <c r="AH78" s="106">
        <v>9</v>
      </c>
      <c r="AI78" s="106">
        <v>4968</v>
      </c>
      <c r="AJ78" s="106">
        <v>22</v>
      </c>
      <c r="AK78" s="106">
        <v>12144</v>
      </c>
      <c r="AL78" s="106">
        <v>22</v>
      </c>
      <c r="AM78" s="106">
        <v>12144</v>
      </c>
      <c r="AN78" s="106">
        <v>27</v>
      </c>
      <c r="AO78" s="106">
        <v>14904</v>
      </c>
      <c r="AP78" s="106">
        <v>26</v>
      </c>
      <c r="AQ78" s="106">
        <v>14352</v>
      </c>
      <c r="AR78" s="106">
        <v>25</v>
      </c>
      <c r="AS78" s="106">
        <v>13800</v>
      </c>
      <c r="AT78" s="106">
        <v>31</v>
      </c>
      <c r="AU78" s="106">
        <v>17112</v>
      </c>
      <c r="AV78" s="106">
        <v>38</v>
      </c>
      <c r="AW78" s="106">
        <v>20976</v>
      </c>
      <c r="AX78" s="106">
        <v>26</v>
      </c>
      <c r="AY78" s="106">
        <v>14352</v>
      </c>
      <c r="AZ78" s="106">
        <v>2</v>
      </c>
      <c r="BA78" s="106">
        <v>1104</v>
      </c>
      <c r="BB78" s="106">
        <v>3</v>
      </c>
      <c r="BC78" s="106">
        <v>1656</v>
      </c>
      <c r="BD78" s="106">
        <v>3</v>
      </c>
      <c r="BE78" s="106">
        <v>1656</v>
      </c>
      <c r="BF78" s="106">
        <v>4</v>
      </c>
      <c r="BG78" s="106">
        <v>2208</v>
      </c>
      <c r="BH78" s="106">
        <v>2</v>
      </c>
      <c r="BI78" s="106">
        <v>1104</v>
      </c>
      <c r="BJ78" s="106">
        <v>2</v>
      </c>
      <c r="BK78" s="106">
        <v>1104</v>
      </c>
      <c r="BL78" s="106">
        <v>2</v>
      </c>
      <c r="BM78" s="106">
        <v>1104</v>
      </c>
      <c r="BN78" s="106">
        <v>4</v>
      </c>
      <c r="BO78" s="106">
        <v>2208</v>
      </c>
      <c r="BP78" s="106">
        <v>3</v>
      </c>
      <c r="BQ78" s="106">
        <v>1656</v>
      </c>
      <c r="BR78" s="106">
        <v>3</v>
      </c>
      <c r="BS78" s="106">
        <v>1656</v>
      </c>
      <c r="BT78" s="106">
        <v>5</v>
      </c>
      <c r="BU78" s="106">
        <v>2760</v>
      </c>
      <c r="BV78" s="106">
        <v>3</v>
      </c>
      <c r="BW78" s="106">
        <v>1656</v>
      </c>
      <c r="BX78" s="106">
        <v>17</v>
      </c>
      <c r="BY78" s="106">
        <v>9384</v>
      </c>
      <c r="BZ78" s="106">
        <v>24</v>
      </c>
      <c r="CA78" s="106">
        <v>13248</v>
      </c>
      <c r="CB78" s="106">
        <v>14</v>
      </c>
      <c r="CC78" s="106">
        <v>7728</v>
      </c>
      <c r="CD78" s="106">
        <v>26</v>
      </c>
      <c r="CE78" s="106">
        <v>14352</v>
      </c>
      <c r="CF78" s="106">
        <v>3</v>
      </c>
      <c r="CG78" s="106">
        <v>1656</v>
      </c>
      <c r="CH78" s="106">
        <v>2</v>
      </c>
      <c r="CI78" s="106">
        <v>1104</v>
      </c>
      <c r="CJ78" s="106">
        <v>2</v>
      </c>
      <c r="CK78" s="106">
        <v>1104</v>
      </c>
      <c r="CL78" s="106">
        <v>3</v>
      </c>
      <c r="CM78" s="106">
        <v>1656</v>
      </c>
      <c r="CN78" s="106">
        <v>6</v>
      </c>
      <c r="CO78" s="106">
        <v>3312</v>
      </c>
      <c r="CP78" s="106">
        <v>5</v>
      </c>
      <c r="CQ78" s="106">
        <v>2760</v>
      </c>
      <c r="CR78" s="106">
        <v>5</v>
      </c>
      <c r="CS78" s="106">
        <v>2760</v>
      </c>
      <c r="CT78" s="106">
        <v>4</v>
      </c>
      <c r="CU78" s="106">
        <v>2208</v>
      </c>
    </row>
    <row r="79" spans="2:99" x14ac:dyDescent="0.2">
      <c r="C79" s="105" t="s">
        <v>245</v>
      </c>
      <c r="D79" s="106">
        <v>16</v>
      </c>
      <c r="E79" s="106">
        <v>12115.199999999999</v>
      </c>
      <c r="F79" s="106">
        <v>17</v>
      </c>
      <c r="G79" s="106">
        <v>12872.4</v>
      </c>
      <c r="H79" s="106">
        <v>29</v>
      </c>
      <c r="I79" s="106">
        <v>21958.799999999999</v>
      </c>
      <c r="J79" s="106">
        <v>19</v>
      </c>
      <c r="K79" s="106">
        <v>14386.8</v>
      </c>
      <c r="L79" s="106">
        <v>24</v>
      </c>
      <c r="M79" s="106">
        <v>18172.8</v>
      </c>
      <c r="N79" s="106">
        <v>25</v>
      </c>
      <c r="O79" s="106">
        <v>18930</v>
      </c>
      <c r="P79" s="106">
        <v>22</v>
      </c>
      <c r="Q79" s="106">
        <v>16658.399999999998</v>
      </c>
      <c r="R79" s="106">
        <v>29</v>
      </c>
      <c r="S79" s="106">
        <v>21958.799999999999</v>
      </c>
      <c r="T79" s="106">
        <v>9</v>
      </c>
      <c r="U79" s="106">
        <v>6814.7999999999993</v>
      </c>
      <c r="V79" s="106">
        <v>15</v>
      </c>
      <c r="W79" s="106">
        <v>11357.999999999998</v>
      </c>
      <c r="X79" s="106">
        <v>14</v>
      </c>
      <c r="Y79" s="106">
        <v>10600.8</v>
      </c>
      <c r="Z79" s="106">
        <v>12</v>
      </c>
      <c r="AA79" s="106">
        <v>9086.4</v>
      </c>
      <c r="AB79" s="106">
        <v>9</v>
      </c>
      <c r="AC79" s="106">
        <v>6814.7999999999993</v>
      </c>
      <c r="AD79" s="106">
        <v>9</v>
      </c>
      <c r="AE79" s="106">
        <v>6814.7999999999993</v>
      </c>
      <c r="AF79" s="106">
        <v>8</v>
      </c>
      <c r="AG79" s="106">
        <v>6057.5999999999995</v>
      </c>
      <c r="AH79" s="106">
        <v>8</v>
      </c>
      <c r="AI79" s="106">
        <v>6057.5999999999995</v>
      </c>
      <c r="AJ79" s="106">
        <v>21</v>
      </c>
      <c r="AK79" s="106">
        <v>15901.199999999999</v>
      </c>
      <c r="AL79" s="106">
        <v>20</v>
      </c>
      <c r="AM79" s="106">
        <v>15143.999999999998</v>
      </c>
      <c r="AN79" s="106">
        <v>24</v>
      </c>
      <c r="AO79" s="106">
        <v>18172.8</v>
      </c>
      <c r="AP79" s="106">
        <v>25</v>
      </c>
      <c r="AQ79" s="106">
        <v>18930</v>
      </c>
      <c r="AR79" s="106">
        <v>23</v>
      </c>
      <c r="AS79" s="106">
        <v>17415.599999999999</v>
      </c>
      <c r="AT79" s="106">
        <v>26</v>
      </c>
      <c r="AU79" s="106">
        <v>19687.199999999997</v>
      </c>
      <c r="AV79" s="106">
        <v>35</v>
      </c>
      <c r="AW79" s="106">
        <v>26501.999999999996</v>
      </c>
      <c r="AX79" s="106">
        <v>23</v>
      </c>
      <c r="AY79" s="106">
        <v>17415.599999999999</v>
      </c>
      <c r="AZ79" s="106">
        <v>2</v>
      </c>
      <c r="BA79" s="106">
        <v>1514.3999999999999</v>
      </c>
      <c r="BB79" s="106">
        <v>3</v>
      </c>
      <c r="BC79" s="106">
        <v>2271.6</v>
      </c>
      <c r="BD79" s="106">
        <v>3</v>
      </c>
      <c r="BE79" s="106">
        <v>2271.6</v>
      </c>
      <c r="BF79" s="106">
        <v>4</v>
      </c>
      <c r="BG79" s="106">
        <v>3028.7999999999997</v>
      </c>
      <c r="BH79" s="106">
        <v>2</v>
      </c>
      <c r="BI79" s="106">
        <v>1514.3999999999999</v>
      </c>
      <c r="BJ79" s="106">
        <v>3</v>
      </c>
      <c r="BK79" s="106">
        <v>2271.6</v>
      </c>
      <c r="BL79" s="106">
        <v>2</v>
      </c>
      <c r="BM79" s="106">
        <v>1514.3999999999999</v>
      </c>
      <c r="BN79" s="106">
        <v>4</v>
      </c>
      <c r="BO79" s="106">
        <v>3028.7999999999997</v>
      </c>
      <c r="BP79" s="106">
        <v>3</v>
      </c>
      <c r="BQ79" s="106">
        <v>2271.6</v>
      </c>
      <c r="BR79" s="106">
        <v>3</v>
      </c>
      <c r="BS79" s="106">
        <v>2271.6</v>
      </c>
      <c r="BT79" s="106">
        <v>4</v>
      </c>
      <c r="BU79" s="106">
        <v>3028.7999999999997</v>
      </c>
      <c r="BV79" s="106">
        <v>3</v>
      </c>
      <c r="BW79" s="106">
        <v>2271.6</v>
      </c>
      <c r="BX79" s="106">
        <v>17</v>
      </c>
      <c r="BY79" s="106">
        <v>12872.4</v>
      </c>
      <c r="BZ79" s="106">
        <v>21</v>
      </c>
      <c r="CA79" s="106">
        <v>15901.199999999999</v>
      </c>
      <c r="CB79" s="106">
        <v>14</v>
      </c>
      <c r="CC79" s="106">
        <v>10600.8</v>
      </c>
      <c r="CD79" s="106">
        <v>27</v>
      </c>
      <c r="CE79" s="106">
        <v>20444.399999999998</v>
      </c>
      <c r="CF79" s="106">
        <v>2</v>
      </c>
      <c r="CG79" s="106">
        <v>1514.3999999999999</v>
      </c>
      <c r="CH79" s="106">
        <v>2</v>
      </c>
      <c r="CI79" s="106">
        <v>1514.3999999999999</v>
      </c>
      <c r="CJ79" s="106">
        <v>2</v>
      </c>
      <c r="CK79" s="106">
        <v>1514.3999999999999</v>
      </c>
      <c r="CL79" s="106">
        <v>3</v>
      </c>
      <c r="CM79" s="106">
        <v>2271.6</v>
      </c>
      <c r="CN79" s="106">
        <v>6</v>
      </c>
      <c r="CO79" s="106">
        <v>4543.2</v>
      </c>
      <c r="CP79" s="106">
        <v>5</v>
      </c>
      <c r="CQ79" s="106">
        <v>3785.9999999999995</v>
      </c>
      <c r="CR79" s="106">
        <v>5</v>
      </c>
      <c r="CS79" s="106">
        <v>3785.9999999999995</v>
      </c>
      <c r="CT79" s="106">
        <v>4</v>
      </c>
      <c r="CU79" s="106">
        <v>3028.7999999999997</v>
      </c>
    </row>
    <row r="80" spans="2:99" x14ac:dyDescent="0.2">
      <c r="C80" s="105" t="s">
        <v>246</v>
      </c>
      <c r="D80" s="106">
        <v>16</v>
      </c>
      <c r="E80" s="106">
        <v>12883.199999999999</v>
      </c>
      <c r="F80" s="106">
        <v>19</v>
      </c>
      <c r="G80" s="106">
        <v>15298.8</v>
      </c>
      <c r="H80" s="106">
        <v>26</v>
      </c>
      <c r="I80" s="106">
        <v>20935.199999999997</v>
      </c>
      <c r="J80" s="106">
        <v>22</v>
      </c>
      <c r="K80" s="106">
        <v>17714.399999999998</v>
      </c>
      <c r="L80" s="106">
        <v>27</v>
      </c>
      <c r="M80" s="106">
        <v>21740.399999999998</v>
      </c>
      <c r="N80" s="106">
        <v>24</v>
      </c>
      <c r="O80" s="106">
        <v>19324.8</v>
      </c>
      <c r="P80" s="106">
        <v>23</v>
      </c>
      <c r="Q80" s="106">
        <v>18519.599999999999</v>
      </c>
      <c r="R80" s="106">
        <v>27</v>
      </c>
      <c r="S80" s="106">
        <v>21740.399999999998</v>
      </c>
      <c r="T80" s="106">
        <v>9</v>
      </c>
      <c r="U80" s="106">
        <v>7246.7999999999993</v>
      </c>
      <c r="V80" s="106">
        <v>15</v>
      </c>
      <c r="W80" s="106">
        <v>12077.999999999998</v>
      </c>
      <c r="X80" s="106">
        <v>14</v>
      </c>
      <c r="Y80" s="106">
        <v>11272.8</v>
      </c>
      <c r="Z80" s="106">
        <v>11</v>
      </c>
      <c r="AA80" s="106">
        <v>8857.1999999999989</v>
      </c>
      <c r="AB80" s="106">
        <v>8</v>
      </c>
      <c r="AC80" s="106">
        <v>6441.5999999999995</v>
      </c>
      <c r="AD80" s="106">
        <v>9</v>
      </c>
      <c r="AE80" s="106">
        <v>7246.7999999999993</v>
      </c>
      <c r="AF80" s="106">
        <v>8</v>
      </c>
      <c r="AG80" s="106">
        <v>6441.5999999999995</v>
      </c>
      <c r="AH80" s="106">
        <v>8</v>
      </c>
      <c r="AI80" s="106">
        <v>6441.5999999999995</v>
      </c>
      <c r="AJ80" s="106">
        <v>21</v>
      </c>
      <c r="AK80" s="106">
        <v>16909.199999999997</v>
      </c>
      <c r="AL80" s="106">
        <v>18</v>
      </c>
      <c r="AM80" s="106">
        <v>14493.599999999999</v>
      </c>
      <c r="AN80" s="106">
        <v>25</v>
      </c>
      <c r="AO80" s="106">
        <v>20130</v>
      </c>
      <c r="AP80" s="106">
        <v>22</v>
      </c>
      <c r="AQ80" s="106">
        <v>17714.399999999998</v>
      </c>
      <c r="AR80" s="106">
        <v>23</v>
      </c>
      <c r="AS80" s="106">
        <v>18519.599999999999</v>
      </c>
      <c r="AT80" s="106">
        <v>30</v>
      </c>
      <c r="AU80" s="106">
        <v>24155.999999999996</v>
      </c>
      <c r="AV80" s="106">
        <v>32</v>
      </c>
      <c r="AW80" s="106">
        <v>25766.399999999998</v>
      </c>
      <c r="AX80" s="106">
        <v>25</v>
      </c>
      <c r="AY80" s="106">
        <v>20130</v>
      </c>
      <c r="AZ80" s="106">
        <v>2</v>
      </c>
      <c r="BA80" s="106">
        <v>1610.3999999999999</v>
      </c>
      <c r="BB80" s="106">
        <v>3</v>
      </c>
      <c r="BC80" s="106">
        <v>2415.6</v>
      </c>
      <c r="BD80" s="106">
        <v>3</v>
      </c>
      <c r="BE80" s="106">
        <v>2415.6</v>
      </c>
      <c r="BF80" s="106">
        <v>4</v>
      </c>
      <c r="BG80" s="106">
        <v>3220.7999999999997</v>
      </c>
      <c r="BH80" s="106">
        <v>2</v>
      </c>
      <c r="BI80" s="106">
        <v>1610.3999999999999</v>
      </c>
      <c r="BJ80" s="106">
        <v>3</v>
      </c>
      <c r="BK80" s="106">
        <v>2415.6</v>
      </c>
      <c r="BL80" s="106">
        <v>2</v>
      </c>
      <c r="BM80" s="106">
        <v>1610.3999999999999</v>
      </c>
      <c r="BN80" s="106">
        <v>3</v>
      </c>
      <c r="BO80" s="106">
        <v>2415.6</v>
      </c>
      <c r="BP80" s="106">
        <v>3</v>
      </c>
      <c r="BQ80" s="106">
        <v>2415.6</v>
      </c>
      <c r="BR80" s="106">
        <v>3</v>
      </c>
      <c r="BS80" s="106">
        <v>2415.6</v>
      </c>
      <c r="BT80" s="106">
        <v>5</v>
      </c>
      <c r="BU80" s="106">
        <v>4025.9999999999995</v>
      </c>
      <c r="BV80" s="106">
        <v>3</v>
      </c>
      <c r="BW80" s="106">
        <v>2415.6</v>
      </c>
      <c r="BX80" s="106">
        <v>17</v>
      </c>
      <c r="BY80" s="106">
        <v>13688.4</v>
      </c>
      <c r="BZ80" s="106">
        <v>20</v>
      </c>
      <c r="CA80" s="106">
        <v>16103.999999999998</v>
      </c>
      <c r="CB80" s="106">
        <v>14</v>
      </c>
      <c r="CC80" s="106">
        <v>11272.8</v>
      </c>
      <c r="CD80" s="106">
        <v>28</v>
      </c>
      <c r="CE80" s="106">
        <v>22545.599999999999</v>
      </c>
      <c r="CF80" s="106">
        <v>3</v>
      </c>
      <c r="CG80" s="106">
        <v>2415.6</v>
      </c>
      <c r="CH80" s="106">
        <v>2</v>
      </c>
      <c r="CI80" s="106">
        <v>1610.3999999999999</v>
      </c>
      <c r="CJ80" s="106">
        <v>2</v>
      </c>
      <c r="CK80" s="106">
        <v>1610.3999999999999</v>
      </c>
      <c r="CL80" s="106">
        <v>3</v>
      </c>
      <c r="CM80" s="106">
        <v>2415.6</v>
      </c>
      <c r="CN80" s="106">
        <v>6</v>
      </c>
      <c r="CO80" s="106">
        <v>4831.2</v>
      </c>
      <c r="CP80" s="106">
        <v>5</v>
      </c>
      <c r="CQ80" s="106">
        <v>4025.9999999999995</v>
      </c>
      <c r="CR80" s="106">
        <v>5</v>
      </c>
      <c r="CS80" s="106">
        <v>4025.9999999999995</v>
      </c>
      <c r="CT80" s="106">
        <v>4</v>
      </c>
      <c r="CU80" s="106">
        <v>3220.7999999999997</v>
      </c>
    </row>
    <row r="81" spans="2:99" x14ac:dyDescent="0.2">
      <c r="C81" s="105" t="s">
        <v>247</v>
      </c>
      <c r="D81" s="106">
        <v>16</v>
      </c>
      <c r="E81" s="106">
        <v>12057.6</v>
      </c>
      <c r="F81" s="106">
        <v>16</v>
      </c>
      <c r="G81" s="106">
        <v>12057.6</v>
      </c>
      <c r="H81" s="106">
        <v>26</v>
      </c>
      <c r="I81" s="106">
        <v>19593.600000000002</v>
      </c>
      <c r="J81" s="106">
        <v>19</v>
      </c>
      <c r="K81" s="106">
        <v>14318.4</v>
      </c>
      <c r="L81" s="106">
        <v>25</v>
      </c>
      <c r="M81" s="106">
        <v>18840</v>
      </c>
      <c r="N81" s="106">
        <v>24</v>
      </c>
      <c r="O81" s="106">
        <v>18086.400000000001</v>
      </c>
      <c r="P81" s="106">
        <v>21</v>
      </c>
      <c r="Q81" s="106">
        <v>15825.6</v>
      </c>
      <c r="R81" s="106">
        <v>27</v>
      </c>
      <c r="S81" s="106">
        <v>20347.2</v>
      </c>
      <c r="T81" s="106">
        <v>9</v>
      </c>
      <c r="U81" s="106">
        <v>6782.4000000000005</v>
      </c>
      <c r="V81" s="106">
        <v>15</v>
      </c>
      <c r="W81" s="106">
        <v>11304</v>
      </c>
      <c r="X81" s="106">
        <v>15</v>
      </c>
      <c r="Y81" s="106">
        <v>11304</v>
      </c>
      <c r="Z81" s="106">
        <v>11</v>
      </c>
      <c r="AA81" s="106">
        <v>8289.6</v>
      </c>
      <c r="AB81" s="106">
        <v>9</v>
      </c>
      <c r="AC81" s="106">
        <v>6782.4000000000005</v>
      </c>
      <c r="AD81" s="106">
        <v>8</v>
      </c>
      <c r="AE81" s="106">
        <v>6028.8</v>
      </c>
      <c r="AF81" s="106">
        <v>9</v>
      </c>
      <c r="AG81" s="106">
        <v>6782.4000000000005</v>
      </c>
      <c r="AH81" s="106">
        <v>9</v>
      </c>
      <c r="AI81" s="106">
        <v>6782.4000000000005</v>
      </c>
      <c r="AJ81" s="106">
        <v>21</v>
      </c>
      <c r="AK81" s="106">
        <v>15825.6</v>
      </c>
      <c r="AL81" s="106">
        <v>22</v>
      </c>
      <c r="AM81" s="106">
        <v>16579.2</v>
      </c>
      <c r="AN81" s="106">
        <v>23</v>
      </c>
      <c r="AO81" s="106">
        <v>17332.8</v>
      </c>
      <c r="AP81" s="106">
        <v>21</v>
      </c>
      <c r="AQ81" s="106">
        <v>15825.6</v>
      </c>
      <c r="AR81" s="106">
        <v>24</v>
      </c>
      <c r="AS81" s="106">
        <v>18086.400000000001</v>
      </c>
      <c r="AT81" s="106">
        <v>30</v>
      </c>
      <c r="AU81" s="106">
        <v>22608</v>
      </c>
      <c r="AV81" s="106">
        <v>36</v>
      </c>
      <c r="AW81" s="106">
        <v>27129.600000000002</v>
      </c>
      <c r="AX81" s="106">
        <v>25</v>
      </c>
      <c r="AY81" s="106">
        <v>18840</v>
      </c>
      <c r="AZ81" s="106">
        <v>2</v>
      </c>
      <c r="BA81" s="106">
        <v>1507.2</v>
      </c>
      <c r="BB81" s="106">
        <v>3</v>
      </c>
      <c r="BC81" s="106">
        <v>2260.8000000000002</v>
      </c>
      <c r="BD81" s="106">
        <v>3</v>
      </c>
      <c r="BE81" s="106">
        <v>2260.8000000000002</v>
      </c>
      <c r="BF81" s="106">
        <v>4</v>
      </c>
      <c r="BG81" s="106">
        <v>3014.4</v>
      </c>
      <c r="BH81" s="106">
        <v>2</v>
      </c>
      <c r="BI81" s="106">
        <v>1507.2</v>
      </c>
      <c r="BJ81" s="106">
        <v>3</v>
      </c>
      <c r="BK81" s="106">
        <v>2260.8000000000002</v>
      </c>
      <c r="BL81" s="106">
        <v>2</v>
      </c>
      <c r="BM81" s="106">
        <v>1507.2</v>
      </c>
      <c r="BN81" s="106">
        <v>4</v>
      </c>
      <c r="BO81" s="106">
        <v>3014.4</v>
      </c>
      <c r="BP81" s="106">
        <v>3</v>
      </c>
      <c r="BQ81" s="106">
        <v>2260.8000000000002</v>
      </c>
      <c r="BR81" s="106">
        <v>4</v>
      </c>
      <c r="BS81" s="106">
        <v>3014.4</v>
      </c>
      <c r="BT81" s="106">
        <v>5</v>
      </c>
      <c r="BU81" s="106">
        <v>3768</v>
      </c>
      <c r="BV81" s="106">
        <v>3</v>
      </c>
      <c r="BW81" s="106">
        <v>2260.8000000000002</v>
      </c>
      <c r="BX81" s="106">
        <v>18</v>
      </c>
      <c r="BY81" s="106">
        <v>13564.800000000001</v>
      </c>
      <c r="BZ81" s="106">
        <v>21</v>
      </c>
      <c r="CA81" s="106">
        <v>15825.6</v>
      </c>
      <c r="CB81" s="106">
        <v>15</v>
      </c>
      <c r="CC81" s="106">
        <v>11304</v>
      </c>
      <c r="CD81" s="106">
        <v>26</v>
      </c>
      <c r="CE81" s="106">
        <v>19593.600000000002</v>
      </c>
      <c r="CF81" s="106">
        <v>2</v>
      </c>
      <c r="CG81" s="106">
        <v>1507.2</v>
      </c>
      <c r="CH81" s="106">
        <v>2</v>
      </c>
      <c r="CI81" s="106">
        <v>1507.2</v>
      </c>
      <c r="CJ81" s="106">
        <v>2</v>
      </c>
      <c r="CK81" s="106">
        <v>1507.2</v>
      </c>
      <c r="CL81" s="106">
        <v>2</v>
      </c>
      <c r="CM81" s="106">
        <v>1507.2</v>
      </c>
      <c r="CN81" s="106">
        <v>6</v>
      </c>
      <c r="CO81" s="106">
        <v>4521.6000000000004</v>
      </c>
      <c r="CP81" s="106">
        <v>6</v>
      </c>
      <c r="CQ81" s="106">
        <v>4521.6000000000004</v>
      </c>
      <c r="CR81" s="106">
        <v>4</v>
      </c>
      <c r="CS81" s="106">
        <v>3014.4</v>
      </c>
      <c r="CT81" s="106">
        <v>4</v>
      </c>
      <c r="CU81" s="106">
        <v>3014.4</v>
      </c>
    </row>
    <row r="82" spans="2:99" x14ac:dyDescent="0.2">
      <c r="C82" s="105" t="s">
        <v>248</v>
      </c>
      <c r="D82" s="106">
        <v>18</v>
      </c>
      <c r="E82" s="106">
        <v>9158.3999999999978</v>
      </c>
      <c r="F82" s="106">
        <v>18</v>
      </c>
      <c r="G82" s="106">
        <v>9158.3999999999978</v>
      </c>
      <c r="H82" s="106">
        <v>28</v>
      </c>
      <c r="I82" s="106">
        <v>14246.399999999998</v>
      </c>
      <c r="J82" s="106">
        <v>19</v>
      </c>
      <c r="K82" s="106">
        <v>9667.1999999999989</v>
      </c>
      <c r="L82" s="106">
        <v>27</v>
      </c>
      <c r="M82" s="106">
        <v>13737.599999999997</v>
      </c>
      <c r="N82" s="106">
        <v>28</v>
      </c>
      <c r="O82" s="106">
        <v>14246.399999999998</v>
      </c>
      <c r="P82" s="106">
        <v>22</v>
      </c>
      <c r="Q82" s="106">
        <v>11193.599999999999</v>
      </c>
      <c r="R82" s="106">
        <v>31</v>
      </c>
      <c r="S82" s="106">
        <v>15772.799999999997</v>
      </c>
      <c r="T82" s="106">
        <v>11</v>
      </c>
      <c r="U82" s="106">
        <v>5596.7999999999993</v>
      </c>
      <c r="V82" s="106">
        <v>14</v>
      </c>
      <c r="W82" s="106">
        <v>7123.1999999999989</v>
      </c>
      <c r="X82" s="106">
        <v>14</v>
      </c>
      <c r="Y82" s="106">
        <v>7123.1999999999989</v>
      </c>
      <c r="Z82" s="106">
        <v>12</v>
      </c>
      <c r="AA82" s="106">
        <v>6105.5999999999985</v>
      </c>
      <c r="AB82" s="106">
        <v>9</v>
      </c>
      <c r="AC82" s="106">
        <v>4579.1999999999989</v>
      </c>
      <c r="AD82" s="106">
        <v>9</v>
      </c>
      <c r="AE82" s="106">
        <v>4579.1999999999989</v>
      </c>
      <c r="AF82" s="106">
        <v>8</v>
      </c>
      <c r="AG82" s="106">
        <v>4070.3999999999992</v>
      </c>
      <c r="AH82" s="106">
        <v>8</v>
      </c>
      <c r="AI82" s="106">
        <v>4070.3999999999992</v>
      </c>
      <c r="AJ82" s="106">
        <v>23</v>
      </c>
      <c r="AK82" s="106">
        <v>11702.399999999998</v>
      </c>
      <c r="AL82" s="106">
        <v>22</v>
      </c>
      <c r="AM82" s="106">
        <v>11193.599999999999</v>
      </c>
      <c r="AN82" s="106">
        <v>25</v>
      </c>
      <c r="AO82" s="106">
        <v>12719.999999999998</v>
      </c>
      <c r="AP82" s="106">
        <v>23</v>
      </c>
      <c r="AQ82" s="106">
        <v>11702.399999999998</v>
      </c>
      <c r="AR82" s="106">
        <v>24</v>
      </c>
      <c r="AS82" s="106">
        <v>12211.199999999997</v>
      </c>
      <c r="AT82" s="106">
        <v>28</v>
      </c>
      <c r="AU82" s="106">
        <v>14246.399999999998</v>
      </c>
      <c r="AV82" s="106">
        <v>33</v>
      </c>
      <c r="AW82" s="106">
        <v>16790.399999999998</v>
      </c>
      <c r="AX82" s="106">
        <v>26</v>
      </c>
      <c r="AY82" s="106">
        <v>13228.799999999997</v>
      </c>
      <c r="AZ82" s="106">
        <v>2</v>
      </c>
      <c r="BA82" s="106">
        <v>1017.5999999999998</v>
      </c>
      <c r="BB82" s="106">
        <v>3</v>
      </c>
      <c r="BC82" s="106">
        <v>1526.3999999999996</v>
      </c>
      <c r="BD82" s="106">
        <v>3</v>
      </c>
      <c r="BE82" s="106">
        <v>1526.3999999999996</v>
      </c>
      <c r="BF82" s="106">
        <v>3</v>
      </c>
      <c r="BG82" s="106">
        <v>1526.3999999999996</v>
      </c>
      <c r="BH82" s="106">
        <v>2</v>
      </c>
      <c r="BI82" s="106">
        <v>1017.5999999999998</v>
      </c>
      <c r="BJ82" s="106">
        <v>3</v>
      </c>
      <c r="BK82" s="106">
        <v>1526.3999999999996</v>
      </c>
      <c r="BL82" s="106">
        <v>2</v>
      </c>
      <c r="BM82" s="106">
        <v>1017.5999999999998</v>
      </c>
      <c r="BN82" s="106">
        <v>4</v>
      </c>
      <c r="BO82" s="106">
        <v>2035.1999999999996</v>
      </c>
      <c r="BP82" s="106">
        <v>3</v>
      </c>
      <c r="BQ82" s="106">
        <v>1526.3999999999996</v>
      </c>
      <c r="BR82" s="106">
        <v>4</v>
      </c>
      <c r="BS82" s="106">
        <v>2035.1999999999996</v>
      </c>
      <c r="BT82" s="106">
        <v>5</v>
      </c>
      <c r="BU82" s="106">
        <v>2543.9999999999995</v>
      </c>
      <c r="BV82" s="106">
        <v>3</v>
      </c>
      <c r="BW82" s="106">
        <v>1526.3999999999996</v>
      </c>
      <c r="BX82" s="106">
        <v>18</v>
      </c>
      <c r="BY82" s="106">
        <v>9158.3999999999978</v>
      </c>
      <c r="BZ82" s="106">
        <v>25</v>
      </c>
      <c r="CA82" s="106">
        <v>12719.999999999998</v>
      </c>
      <c r="CB82" s="106">
        <v>16</v>
      </c>
      <c r="CC82" s="106">
        <v>8140.7999999999984</v>
      </c>
      <c r="CD82" s="106">
        <v>25</v>
      </c>
      <c r="CE82" s="106">
        <v>12719.999999999998</v>
      </c>
      <c r="CF82" s="106">
        <v>3</v>
      </c>
      <c r="CG82" s="106">
        <v>1526.3999999999996</v>
      </c>
      <c r="CH82" s="106">
        <v>2</v>
      </c>
      <c r="CI82" s="106">
        <v>1017.5999999999998</v>
      </c>
      <c r="CJ82" s="106">
        <v>2</v>
      </c>
      <c r="CK82" s="106">
        <v>1017.5999999999998</v>
      </c>
      <c r="CL82" s="106">
        <v>3</v>
      </c>
      <c r="CM82" s="106">
        <v>1526.3999999999996</v>
      </c>
      <c r="CN82" s="106">
        <v>6</v>
      </c>
      <c r="CO82" s="106">
        <v>3052.7999999999993</v>
      </c>
      <c r="CP82" s="106">
        <v>5</v>
      </c>
      <c r="CQ82" s="106">
        <v>2543.9999999999995</v>
      </c>
      <c r="CR82" s="106">
        <v>4</v>
      </c>
      <c r="CS82" s="106">
        <v>2035.1999999999996</v>
      </c>
      <c r="CT82" s="106">
        <v>4</v>
      </c>
      <c r="CU82" s="106">
        <v>2035.1999999999996</v>
      </c>
    </row>
    <row r="83" spans="2:99" x14ac:dyDescent="0.2">
      <c r="C83" s="105" t="s">
        <v>249</v>
      </c>
      <c r="D83" s="106">
        <v>16</v>
      </c>
      <c r="E83" s="106">
        <v>13766.4</v>
      </c>
      <c r="F83" s="106">
        <v>18</v>
      </c>
      <c r="G83" s="106">
        <v>15487.199999999999</v>
      </c>
      <c r="H83" s="106">
        <v>28</v>
      </c>
      <c r="I83" s="106">
        <v>24091.200000000001</v>
      </c>
      <c r="J83" s="106">
        <v>21</v>
      </c>
      <c r="K83" s="106">
        <v>18068.399999999998</v>
      </c>
      <c r="L83" s="106">
        <v>25</v>
      </c>
      <c r="M83" s="106">
        <v>21510</v>
      </c>
      <c r="N83" s="106">
        <v>24</v>
      </c>
      <c r="O83" s="106">
        <v>20649.599999999999</v>
      </c>
      <c r="P83" s="106">
        <v>20</v>
      </c>
      <c r="Q83" s="106">
        <v>17208</v>
      </c>
      <c r="R83" s="106">
        <v>28</v>
      </c>
      <c r="S83" s="106">
        <v>24091.200000000001</v>
      </c>
      <c r="T83" s="106">
        <v>11</v>
      </c>
      <c r="U83" s="106">
        <v>9464.4</v>
      </c>
      <c r="V83" s="106">
        <v>14</v>
      </c>
      <c r="W83" s="106">
        <v>12045.6</v>
      </c>
      <c r="X83" s="106">
        <v>15</v>
      </c>
      <c r="Y83" s="106">
        <v>12906</v>
      </c>
      <c r="Z83" s="106">
        <v>12</v>
      </c>
      <c r="AA83" s="106">
        <v>10324.799999999999</v>
      </c>
      <c r="AB83" s="106">
        <v>8</v>
      </c>
      <c r="AC83" s="106">
        <v>6883.2</v>
      </c>
      <c r="AD83" s="106">
        <v>9</v>
      </c>
      <c r="AE83" s="106">
        <v>7743.5999999999995</v>
      </c>
      <c r="AF83" s="106">
        <v>8</v>
      </c>
      <c r="AG83" s="106">
        <v>6883.2</v>
      </c>
      <c r="AH83" s="106">
        <v>8</v>
      </c>
      <c r="AI83" s="106">
        <v>6883.2</v>
      </c>
      <c r="AJ83" s="106">
        <v>21</v>
      </c>
      <c r="AK83" s="106">
        <v>18068.399999999998</v>
      </c>
      <c r="AL83" s="106">
        <v>21</v>
      </c>
      <c r="AM83" s="106">
        <v>18068.399999999998</v>
      </c>
      <c r="AN83" s="106">
        <v>23</v>
      </c>
      <c r="AO83" s="106">
        <v>19789.2</v>
      </c>
      <c r="AP83" s="106">
        <v>22</v>
      </c>
      <c r="AQ83" s="106">
        <v>18928.8</v>
      </c>
      <c r="AR83" s="106">
        <v>20</v>
      </c>
      <c r="AS83" s="106">
        <v>17208</v>
      </c>
      <c r="AT83" s="106">
        <v>28</v>
      </c>
      <c r="AU83" s="106">
        <v>24091.200000000001</v>
      </c>
      <c r="AV83" s="106">
        <v>31</v>
      </c>
      <c r="AW83" s="106">
        <v>26672.399999999998</v>
      </c>
      <c r="AX83" s="106">
        <v>21</v>
      </c>
      <c r="AY83" s="106">
        <v>18068.399999999998</v>
      </c>
      <c r="AZ83" s="106">
        <v>2</v>
      </c>
      <c r="BA83" s="106">
        <v>1720.8</v>
      </c>
      <c r="BB83" s="106">
        <v>3</v>
      </c>
      <c r="BC83" s="106">
        <v>2581.1999999999998</v>
      </c>
      <c r="BD83" s="106">
        <v>3</v>
      </c>
      <c r="BE83" s="106">
        <v>2581.1999999999998</v>
      </c>
      <c r="BF83" s="106">
        <v>4</v>
      </c>
      <c r="BG83" s="106">
        <v>3441.6</v>
      </c>
      <c r="BH83" s="106">
        <v>2</v>
      </c>
      <c r="BI83" s="106">
        <v>1720.8</v>
      </c>
      <c r="BJ83" s="106">
        <v>2</v>
      </c>
      <c r="BK83" s="106">
        <v>1720.8</v>
      </c>
      <c r="BL83" s="106">
        <v>2</v>
      </c>
      <c r="BM83" s="106">
        <v>1720.8</v>
      </c>
      <c r="BN83" s="106">
        <v>4</v>
      </c>
      <c r="BO83" s="106">
        <v>3441.6</v>
      </c>
      <c r="BP83" s="106">
        <v>3</v>
      </c>
      <c r="BQ83" s="106">
        <v>2581.1999999999998</v>
      </c>
      <c r="BR83" s="106">
        <v>3</v>
      </c>
      <c r="BS83" s="106">
        <v>2581.1999999999998</v>
      </c>
      <c r="BT83" s="106">
        <v>4</v>
      </c>
      <c r="BU83" s="106">
        <v>3441.6</v>
      </c>
      <c r="BV83" s="106">
        <v>3</v>
      </c>
      <c r="BW83" s="106">
        <v>2581.1999999999998</v>
      </c>
      <c r="BX83" s="106">
        <v>17</v>
      </c>
      <c r="BY83" s="106">
        <v>14626.8</v>
      </c>
      <c r="BZ83" s="106">
        <v>23</v>
      </c>
      <c r="CA83" s="106">
        <v>19789.2</v>
      </c>
      <c r="CB83" s="106">
        <v>15</v>
      </c>
      <c r="CC83" s="106">
        <v>12906</v>
      </c>
      <c r="CD83" s="106">
        <v>24</v>
      </c>
      <c r="CE83" s="106">
        <v>20649.599999999999</v>
      </c>
      <c r="CF83" s="106">
        <v>3</v>
      </c>
      <c r="CG83" s="106">
        <v>2581.1999999999998</v>
      </c>
      <c r="CH83" s="106">
        <v>2</v>
      </c>
      <c r="CI83" s="106">
        <v>1720.8</v>
      </c>
      <c r="CJ83" s="106">
        <v>2</v>
      </c>
      <c r="CK83" s="106">
        <v>1720.8</v>
      </c>
      <c r="CL83" s="106">
        <v>2</v>
      </c>
      <c r="CM83" s="106">
        <v>1720.8</v>
      </c>
      <c r="CN83" s="106">
        <v>5</v>
      </c>
      <c r="CO83" s="106">
        <v>4302</v>
      </c>
      <c r="CP83" s="106">
        <v>5</v>
      </c>
      <c r="CQ83" s="106">
        <v>4302</v>
      </c>
      <c r="CR83" s="106">
        <v>4</v>
      </c>
      <c r="CS83" s="106">
        <v>3441.6</v>
      </c>
      <c r="CT83" s="106">
        <v>4</v>
      </c>
      <c r="CU83" s="106">
        <v>3441.6</v>
      </c>
    </row>
    <row r="84" spans="2:99" x14ac:dyDescent="0.2">
      <c r="C84" s="105" t="s">
        <v>250</v>
      </c>
      <c r="D84" s="106">
        <v>17</v>
      </c>
      <c r="E84" s="106">
        <v>13280.4</v>
      </c>
      <c r="F84" s="106">
        <v>19</v>
      </c>
      <c r="G84" s="106">
        <v>14842.8</v>
      </c>
      <c r="H84" s="106">
        <v>26</v>
      </c>
      <c r="I84" s="106">
        <v>20311.199999999997</v>
      </c>
      <c r="J84" s="106">
        <v>20</v>
      </c>
      <c r="K84" s="106">
        <v>15623.999999999998</v>
      </c>
      <c r="L84" s="106">
        <v>23</v>
      </c>
      <c r="M84" s="106">
        <v>17967.599999999999</v>
      </c>
      <c r="N84" s="106">
        <v>26</v>
      </c>
      <c r="O84" s="106">
        <v>20311.199999999997</v>
      </c>
      <c r="P84" s="106">
        <v>22</v>
      </c>
      <c r="Q84" s="106">
        <v>17186.399999999998</v>
      </c>
      <c r="R84" s="106">
        <v>27</v>
      </c>
      <c r="S84" s="106">
        <v>21092.399999999998</v>
      </c>
      <c r="T84" s="106">
        <v>10</v>
      </c>
      <c r="U84" s="106">
        <v>7811.9999999999991</v>
      </c>
      <c r="V84" s="106">
        <v>15</v>
      </c>
      <c r="W84" s="106">
        <v>11717.999999999998</v>
      </c>
      <c r="X84" s="106">
        <v>13</v>
      </c>
      <c r="Y84" s="106">
        <v>10155.599999999999</v>
      </c>
      <c r="Z84" s="106">
        <v>12</v>
      </c>
      <c r="AA84" s="106">
        <v>9374.4</v>
      </c>
      <c r="AB84" s="106">
        <v>9</v>
      </c>
      <c r="AC84" s="106">
        <v>7030.7999999999993</v>
      </c>
      <c r="AD84" s="106">
        <v>8</v>
      </c>
      <c r="AE84" s="106">
        <v>6249.5999999999995</v>
      </c>
      <c r="AF84" s="106">
        <v>9</v>
      </c>
      <c r="AG84" s="106">
        <v>7030.7999999999993</v>
      </c>
      <c r="AH84" s="106">
        <v>8</v>
      </c>
      <c r="AI84" s="106">
        <v>6249.5999999999995</v>
      </c>
      <c r="AJ84" s="106">
        <v>21</v>
      </c>
      <c r="AK84" s="106">
        <v>16405.199999999997</v>
      </c>
      <c r="AL84" s="106">
        <v>19</v>
      </c>
      <c r="AM84" s="106">
        <v>14842.8</v>
      </c>
      <c r="AN84" s="106">
        <v>26</v>
      </c>
      <c r="AO84" s="106">
        <v>20311.199999999997</v>
      </c>
      <c r="AP84" s="106">
        <v>22</v>
      </c>
      <c r="AQ84" s="106">
        <v>17186.399999999998</v>
      </c>
      <c r="AR84" s="106">
        <v>23</v>
      </c>
      <c r="AS84" s="106">
        <v>17967.599999999999</v>
      </c>
      <c r="AT84" s="106">
        <v>29</v>
      </c>
      <c r="AU84" s="106">
        <v>22654.799999999999</v>
      </c>
      <c r="AV84" s="106">
        <v>33</v>
      </c>
      <c r="AW84" s="106">
        <v>25779.599999999999</v>
      </c>
      <c r="AX84" s="106">
        <v>24</v>
      </c>
      <c r="AY84" s="106">
        <v>18748.8</v>
      </c>
      <c r="AZ84" s="106">
        <v>2</v>
      </c>
      <c r="BA84" s="106">
        <v>1562.3999999999999</v>
      </c>
      <c r="BB84" s="106">
        <v>3</v>
      </c>
      <c r="BC84" s="106">
        <v>2343.6</v>
      </c>
      <c r="BD84" s="106">
        <v>3</v>
      </c>
      <c r="BE84" s="106">
        <v>2343.6</v>
      </c>
      <c r="BF84" s="106">
        <v>3</v>
      </c>
      <c r="BG84" s="106">
        <v>2343.6</v>
      </c>
      <c r="BH84" s="106">
        <v>2</v>
      </c>
      <c r="BI84" s="106">
        <v>1562.3999999999999</v>
      </c>
      <c r="BJ84" s="106">
        <v>2</v>
      </c>
      <c r="BK84" s="106">
        <v>1562.3999999999999</v>
      </c>
      <c r="BL84" s="106">
        <v>2</v>
      </c>
      <c r="BM84" s="106">
        <v>1562.3999999999999</v>
      </c>
      <c r="BN84" s="106">
        <v>4</v>
      </c>
      <c r="BO84" s="106">
        <v>3124.7999999999997</v>
      </c>
      <c r="BP84" s="106">
        <v>4</v>
      </c>
      <c r="BQ84" s="106">
        <v>3124.7999999999997</v>
      </c>
      <c r="BR84" s="106">
        <v>3</v>
      </c>
      <c r="BS84" s="106">
        <v>2343.6</v>
      </c>
      <c r="BT84" s="106">
        <v>4</v>
      </c>
      <c r="BU84" s="106">
        <v>3124.7999999999997</v>
      </c>
      <c r="BV84" s="106">
        <v>3</v>
      </c>
      <c r="BW84" s="106">
        <v>2343.6</v>
      </c>
      <c r="BX84" s="106">
        <v>18</v>
      </c>
      <c r="BY84" s="106">
        <v>14061.599999999999</v>
      </c>
      <c r="BZ84" s="106">
        <v>22</v>
      </c>
      <c r="CA84" s="106">
        <v>17186.399999999998</v>
      </c>
      <c r="CB84" s="106">
        <v>14</v>
      </c>
      <c r="CC84" s="106">
        <v>10936.8</v>
      </c>
      <c r="CD84" s="106">
        <v>23</v>
      </c>
      <c r="CE84" s="106">
        <v>17967.599999999999</v>
      </c>
      <c r="CF84" s="106">
        <v>3</v>
      </c>
      <c r="CG84" s="106">
        <v>2343.6</v>
      </c>
      <c r="CH84" s="106">
        <v>2</v>
      </c>
      <c r="CI84" s="106">
        <v>1562.3999999999999</v>
      </c>
      <c r="CJ84" s="106">
        <v>2</v>
      </c>
      <c r="CK84" s="106">
        <v>1562.3999999999999</v>
      </c>
      <c r="CL84" s="106">
        <v>3</v>
      </c>
      <c r="CM84" s="106">
        <v>2343.6</v>
      </c>
      <c r="CN84" s="106">
        <v>5</v>
      </c>
      <c r="CO84" s="106">
        <v>3905.9999999999995</v>
      </c>
      <c r="CP84" s="106">
        <v>5</v>
      </c>
      <c r="CQ84" s="106">
        <v>3905.9999999999995</v>
      </c>
      <c r="CR84" s="106">
        <v>5</v>
      </c>
      <c r="CS84" s="106">
        <v>3905.9999999999995</v>
      </c>
      <c r="CT84" s="106">
        <v>3</v>
      </c>
      <c r="CU84" s="106">
        <v>2343.6</v>
      </c>
    </row>
    <row r="85" spans="2:99" x14ac:dyDescent="0.2">
      <c r="C85" s="105" t="s">
        <v>251</v>
      </c>
      <c r="D85" s="106">
        <v>21</v>
      </c>
      <c r="E85" s="106">
        <v>3150</v>
      </c>
      <c r="F85" s="106">
        <v>20</v>
      </c>
      <c r="G85" s="106">
        <v>3000</v>
      </c>
      <c r="H85" s="106">
        <v>29</v>
      </c>
      <c r="I85" s="106">
        <v>4350</v>
      </c>
      <c r="J85" s="106">
        <v>21</v>
      </c>
      <c r="K85" s="106">
        <v>3150</v>
      </c>
      <c r="L85" s="106">
        <v>29</v>
      </c>
      <c r="M85" s="106">
        <v>4350</v>
      </c>
      <c r="N85" s="106">
        <v>28</v>
      </c>
      <c r="O85" s="106">
        <v>4200</v>
      </c>
      <c r="P85" s="106">
        <v>27</v>
      </c>
      <c r="Q85" s="106">
        <v>4050</v>
      </c>
      <c r="R85" s="106">
        <v>29</v>
      </c>
      <c r="S85" s="106">
        <v>4350</v>
      </c>
      <c r="T85" s="106">
        <v>11</v>
      </c>
      <c r="U85" s="106">
        <v>1650</v>
      </c>
      <c r="V85" s="106">
        <v>14</v>
      </c>
      <c r="W85" s="106">
        <v>2100</v>
      </c>
      <c r="X85" s="106">
        <v>17</v>
      </c>
      <c r="Y85" s="106">
        <v>2550</v>
      </c>
      <c r="Z85" s="106">
        <v>13</v>
      </c>
      <c r="AA85" s="106">
        <v>1950</v>
      </c>
      <c r="AB85" s="106">
        <v>9</v>
      </c>
      <c r="AC85" s="106">
        <v>1350</v>
      </c>
      <c r="AD85" s="106">
        <v>10</v>
      </c>
      <c r="AE85" s="106">
        <v>1500</v>
      </c>
      <c r="AF85" s="106">
        <v>9</v>
      </c>
      <c r="AG85" s="106">
        <v>1350</v>
      </c>
      <c r="AH85" s="106">
        <v>9</v>
      </c>
      <c r="AI85" s="106">
        <v>1350</v>
      </c>
      <c r="AJ85" s="106">
        <v>22</v>
      </c>
      <c r="AK85" s="106">
        <v>3300</v>
      </c>
      <c r="AL85" s="106">
        <v>24</v>
      </c>
      <c r="AM85" s="106">
        <v>3600</v>
      </c>
      <c r="AN85" s="106">
        <v>29</v>
      </c>
      <c r="AO85" s="106">
        <v>4350</v>
      </c>
      <c r="AP85" s="106">
        <v>23</v>
      </c>
      <c r="AQ85" s="106">
        <v>3450</v>
      </c>
      <c r="AR85" s="106">
        <v>23</v>
      </c>
      <c r="AS85" s="106">
        <v>3450</v>
      </c>
      <c r="AT85" s="106">
        <v>29</v>
      </c>
      <c r="AU85" s="106">
        <v>4350</v>
      </c>
      <c r="AV85" s="106">
        <v>35</v>
      </c>
      <c r="AW85" s="106">
        <v>5250</v>
      </c>
      <c r="AX85" s="106">
        <v>29</v>
      </c>
      <c r="AY85" s="106">
        <v>4350</v>
      </c>
      <c r="AZ85" s="106">
        <v>2</v>
      </c>
      <c r="BA85" s="106">
        <v>300</v>
      </c>
      <c r="BB85" s="106">
        <v>3</v>
      </c>
      <c r="BC85" s="106">
        <v>450</v>
      </c>
      <c r="BD85" s="106">
        <v>3</v>
      </c>
      <c r="BE85" s="106">
        <v>450</v>
      </c>
      <c r="BF85" s="106">
        <v>4</v>
      </c>
      <c r="BG85" s="106">
        <v>600</v>
      </c>
      <c r="BH85" s="106">
        <v>2</v>
      </c>
      <c r="BI85" s="106">
        <v>300</v>
      </c>
      <c r="BJ85" s="106">
        <v>3</v>
      </c>
      <c r="BK85" s="106">
        <v>450</v>
      </c>
      <c r="BL85" s="106">
        <v>2</v>
      </c>
      <c r="BM85" s="106">
        <v>300</v>
      </c>
      <c r="BN85" s="106">
        <v>4</v>
      </c>
      <c r="BO85" s="106">
        <v>600</v>
      </c>
      <c r="BP85" s="106">
        <v>3</v>
      </c>
      <c r="BQ85" s="106">
        <v>450</v>
      </c>
      <c r="BR85" s="106">
        <v>3</v>
      </c>
      <c r="BS85" s="106">
        <v>450</v>
      </c>
      <c r="BT85" s="106">
        <v>5</v>
      </c>
      <c r="BU85" s="106">
        <v>750</v>
      </c>
      <c r="BV85" s="106">
        <v>3</v>
      </c>
      <c r="BW85" s="106">
        <v>450</v>
      </c>
      <c r="BX85" s="106">
        <v>18</v>
      </c>
      <c r="BY85" s="106">
        <v>2700</v>
      </c>
      <c r="BZ85" s="106">
        <v>25</v>
      </c>
      <c r="CA85" s="106">
        <v>3750</v>
      </c>
      <c r="CB85" s="106">
        <v>16</v>
      </c>
      <c r="CC85" s="106">
        <v>2400</v>
      </c>
      <c r="CD85" s="106">
        <v>29</v>
      </c>
      <c r="CE85" s="106">
        <v>4350</v>
      </c>
      <c r="CF85" s="106">
        <v>3</v>
      </c>
      <c r="CG85" s="106">
        <v>450</v>
      </c>
      <c r="CH85" s="106">
        <v>2</v>
      </c>
      <c r="CI85" s="106">
        <v>300</v>
      </c>
      <c r="CJ85" s="106">
        <v>2</v>
      </c>
      <c r="CK85" s="106">
        <v>300</v>
      </c>
      <c r="CL85" s="106">
        <v>3</v>
      </c>
      <c r="CM85" s="106">
        <v>450</v>
      </c>
      <c r="CN85" s="106">
        <v>6</v>
      </c>
      <c r="CO85" s="106">
        <v>900</v>
      </c>
      <c r="CP85" s="106">
        <v>5</v>
      </c>
      <c r="CQ85" s="106">
        <v>750</v>
      </c>
      <c r="CR85" s="106">
        <v>5</v>
      </c>
      <c r="CS85" s="106">
        <v>750</v>
      </c>
      <c r="CT85" s="106">
        <v>4</v>
      </c>
      <c r="CU85" s="106">
        <v>600</v>
      </c>
    </row>
    <row r="86" spans="2:99" x14ac:dyDescent="0.2">
      <c r="C86" s="105" t="s">
        <v>252</v>
      </c>
      <c r="D86" s="106">
        <v>16</v>
      </c>
      <c r="E86" s="106">
        <v>8640</v>
      </c>
      <c r="F86" s="106">
        <v>17</v>
      </c>
      <c r="G86" s="106">
        <v>9180</v>
      </c>
      <c r="H86" s="106">
        <v>28</v>
      </c>
      <c r="I86" s="106">
        <v>15120</v>
      </c>
      <c r="J86" s="106">
        <v>20</v>
      </c>
      <c r="K86" s="106">
        <v>10800</v>
      </c>
      <c r="L86" s="106">
        <v>26</v>
      </c>
      <c r="M86" s="106">
        <v>14040</v>
      </c>
      <c r="N86" s="106">
        <v>27</v>
      </c>
      <c r="O86" s="106">
        <v>14580</v>
      </c>
      <c r="P86" s="106">
        <v>24</v>
      </c>
      <c r="Q86" s="106">
        <v>12960</v>
      </c>
      <c r="R86" s="106">
        <v>30</v>
      </c>
      <c r="S86" s="106">
        <v>16200</v>
      </c>
      <c r="T86" s="106">
        <v>10</v>
      </c>
      <c r="U86" s="106">
        <v>5400</v>
      </c>
      <c r="V86" s="106">
        <v>14</v>
      </c>
      <c r="W86" s="106">
        <v>7560</v>
      </c>
      <c r="X86" s="106">
        <v>16</v>
      </c>
      <c r="Y86" s="106">
        <v>8640</v>
      </c>
      <c r="Z86" s="106">
        <v>12</v>
      </c>
      <c r="AA86" s="106">
        <v>6480</v>
      </c>
      <c r="AB86" s="106">
        <v>9</v>
      </c>
      <c r="AC86" s="106">
        <v>4860</v>
      </c>
      <c r="AD86" s="106">
        <v>8</v>
      </c>
      <c r="AE86" s="106">
        <v>4320</v>
      </c>
      <c r="AF86" s="106">
        <v>9</v>
      </c>
      <c r="AG86" s="106">
        <v>4860</v>
      </c>
      <c r="AH86" s="106">
        <v>8</v>
      </c>
      <c r="AI86" s="106">
        <v>4320</v>
      </c>
      <c r="AJ86" s="106">
        <v>24</v>
      </c>
      <c r="AK86" s="106">
        <v>12960</v>
      </c>
      <c r="AL86" s="106">
        <v>21</v>
      </c>
      <c r="AM86" s="106">
        <v>11340</v>
      </c>
      <c r="AN86" s="106">
        <v>27</v>
      </c>
      <c r="AO86" s="106">
        <v>14580</v>
      </c>
      <c r="AP86" s="106">
        <v>24</v>
      </c>
      <c r="AQ86" s="106">
        <v>12960</v>
      </c>
      <c r="AR86" s="106">
        <v>23</v>
      </c>
      <c r="AS86" s="106">
        <v>12420</v>
      </c>
      <c r="AT86" s="106">
        <v>27</v>
      </c>
      <c r="AU86" s="106">
        <v>14580</v>
      </c>
      <c r="AV86" s="106">
        <v>36</v>
      </c>
      <c r="AW86" s="106">
        <v>19440</v>
      </c>
      <c r="AX86" s="106">
        <v>23</v>
      </c>
      <c r="AY86" s="106">
        <v>12420</v>
      </c>
      <c r="AZ86" s="106">
        <v>2</v>
      </c>
      <c r="BA86" s="106">
        <v>1080</v>
      </c>
      <c r="BB86" s="106">
        <v>3</v>
      </c>
      <c r="BC86" s="106">
        <v>1620</v>
      </c>
      <c r="BD86" s="106">
        <v>2</v>
      </c>
      <c r="BE86" s="106">
        <v>1080</v>
      </c>
      <c r="BF86" s="106">
        <v>3</v>
      </c>
      <c r="BG86" s="106">
        <v>1620</v>
      </c>
      <c r="BH86" s="106">
        <v>2</v>
      </c>
      <c r="BI86" s="106">
        <v>1080</v>
      </c>
      <c r="BJ86" s="106">
        <v>3</v>
      </c>
      <c r="BK86" s="106">
        <v>1620</v>
      </c>
      <c r="BL86" s="106">
        <v>2</v>
      </c>
      <c r="BM86" s="106">
        <v>1080</v>
      </c>
      <c r="BN86" s="106">
        <v>4</v>
      </c>
      <c r="BO86" s="106">
        <v>2160</v>
      </c>
      <c r="BP86" s="106">
        <v>3</v>
      </c>
      <c r="BQ86" s="106">
        <v>1620</v>
      </c>
      <c r="BR86" s="106">
        <v>4</v>
      </c>
      <c r="BS86" s="106">
        <v>2160</v>
      </c>
      <c r="BT86" s="106">
        <v>5</v>
      </c>
      <c r="BU86" s="106">
        <v>2700</v>
      </c>
      <c r="BV86" s="106">
        <v>3</v>
      </c>
      <c r="BW86" s="106">
        <v>1620</v>
      </c>
      <c r="BX86" s="106">
        <v>17</v>
      </c>
      <c r="BY86" s="106">
        <v>9180</v>
      </c>
      <c r="BZ86" s="106">
        <v>24</v>
      </c>
      <c r="CA86" s="106">
        <v>12960</v>
      </c>
      <c r="CB86" s="106">
        <v>14</v>
      </c>
      <c r="CC86" s="106">
        <v>7560</v>
      </c>
      <c r="CD86" s="106">
        <v>28</v>
      </c>
      <c r="CE86" s="106">
        <v>15120</v>
      </c>
      <c r="CF86" s="106">
        <v>3</v>
      </c>
      <c r="CG86" s="106">
        <v>1620</v>
      </c>
      <c r="CH86" s="106">
        <v>2</v>
      </c>
      <c r="CI86" s="106">
        <v>1080</v>
      </c>
      <c r="CJ86" s="106">
        <v>2</v>
      </c>
      <c r="CK86" s="106">
        <v>1080</v>
      </c>
      <c r="CL86" s="106">
        <v>3</v>
      </c>
      <c r="CM86" s="106">
        <v>1620</v>
      </c>
      <c r="CN86" s="106">
        <v>6</v>
      </c>
      <c r="CO86" s="106">
        <v>3240</v>
      </c>
      <c r="CP86" s="106">
        <v>5</v>
      </c>
      <c r="CQ86" s="106">
        <v>2700</v>
      </c>
      <c r="CR86" s="106">
        <v>5</v>
      </c>
      <c r="CS86" s="106">
        <v>2700</v>
      </c>
      <c r="CT86" s="106">
        <v>4</v>
      </c>
      <c r="CU86" s="106">
        <v>2160</v>
      </c>
    </row>
    <row r="87" spans="2:99" x14ac:dyDescent="0.2">
      <c r="B87" s="105" t="s">
        <v>131</v>
      </c>
      <c r="C87" s="105" t="s">
        <v>253</v>
      </c>
      <c r="D87" s="106">
        <v>2</v>
      </c>
      <c r="E87" s="106">
        <v>3909.6</v>
      </c>
      <c r="F87" s="106">
        <v>3</v>
      </c>
      <c r="G87" s="106">
        <v>5864.4</v>
      </c>
      <c r="H87" s="106">
        <v>3</v>
      </c>
      <c r="I87" s="106">
        <v>5864.4</v>
      </c>
      <c r="J87" s="106">
        <v>5</v>
      </c>
      <c r="K87" s="106">
        <v>9774</v>
      </c>
      <c r="L87" s="106">
        <v>6</v>
      </c>
      <c r="M87" s="106">
        <v>11728.8</v>
      </c>
      <c r="N87" s="106">
        <v>5</v>
      </c>
      <c r="O87" s="106">
        <v>9774</v>
      </c>
      <c r="P87" s="106">
        <v>6</v>
      </c>
      <c r="Q87" s="106">
        <v>11728.8</v>
      </c>
      <c r="R87" s="106">
        <v>7</v>
      </c>
      <c r="S87" s="106">
        <v>13683.6</v>
      </c>
      <c r="T87" s="106">
        <v>9</v>
      </c>
      <c r="U87" s="106">
        <v>17593.2</v>
      </c>
      <c r="V87" s="106">
        <v>6</v>
      </c>
      <c r="W87" s="106">
        <v>11728.8</v>
      </c>
      <c r="X87" s="106">
        <v>6</v>
      </c>
      <c r="Y87" s="106">
        <v>11728.8</v>
      </c>
      <c r="Z87" s="106">
        <v>8</v>
      </c>
      <c r="AA87" s="106">
        <v>15638.4</v>
      </c>
      <c r="AB87" s="106">
        <v>9</v>
      </c>
      <c r="AC87" s="106">
        <v>17593.2</v>
      </c>
      <c r="AD87" s="106">
        <v>12</v>
      </c>
      <c r="AE87" s="106">
        <v>23457.599999999999</v>
      </c>
      <c r="AF87" s="106">
        <v>10</v>
      </c>
      <c r="AG87" s="106">
        <v>19548</v>
      </c>
      <c r="AH87" s="106">
        <v>13</v>
      </c>
      <c r="AI87" s="106">
        <v>25412.399999999998</v>
      </c>
      <c r="AJ87" s="106">
        <v>10</v>
      </c>
      <c r="AK87" s="106">
        <v>19548</v>
      </c>
      <c r="AL87" s="106">
        <v>10</v>
      </c>
      <c r="AM87" s="106">
        <v>19548</v>
      </c>
      <c r="AN87" s="106">
        <v>11</v>
      </c>
      <c r="AO87" s="106">
        <v>21502.799999999999</v>
      </c>
      <c r="AP87" s="106">
        <v>8</v>
      </c>
      <c r="AQ87" s="106">
        <v>15638.4</v>
      </c>
      <c r="AR87" s="106">
        <v>12</v>
      </c>
      <c r="AS87" s="106">
        <v>23457.599999999999</v>
      </c>
      <c r="AT87" s="106">
        <v>16</v>
      </c>
      <c r="AU87" s="106">
        <v>31276.799999999999</v>
      </c>
      <c r="AV87" s="106">
        <v>24</v>
      </c>
      <c r="AW87" s="106">
        <v>46915.199999999997</v>
      </c>
      <c r="AX87" s="106">
        <v>19</v>
      </c>
      <c r="AY87" s="106">
        <v>37141.199999999997</v>
      </c>
      <c r="AZ87" s="106">
        <v>3</v>
      </c>
      <c r="BA87" s="106">
        <v>5864.4</v>
      </c>
      <c r="BB87" s="106">
        <v>4</v>
      </c>
      <c r="BC87" s="106">
        <v>7819.2</v>
      </c>
      <c r="BD87" s="106">
        <v>5</v>
      </c>
      <c r="BE87" s="106">
        <v>9774</v>
      </c>
      <c r="BF87" s="106">
        <v>5</v>
      </c>
      <c r="BG87" s="106">
        <v>9774</v>
      </c>
      <c r="BH87" s="106">
        <v>12</v>
      </c>
      <c r="BI87" s="106">
        <v>23457.599999999999</v>
      </c>
      <c r="BJ87" s="106">
        <v>12</v>
      </c>
      <c r="BK87" s="106">
        <v>23457.599999999999</v>
      </c>
      <c r="BL87" s="106">
        <v>7</v>
      </c>
      <c r="BM87" s="106">
        <v>13683.6</v>
      </c>
      <c r="BN87" s="106">
        <v>9</v>
      </c>
      <c r="BO87" s="106">
        <v>17593.2</v>
      </c>
      <c r="BP87" s="106">
        <v>21</v>
      </c>
      <c r="BQ87" s="106">
        <v>41050.799999999996</v>
      </c>
      <c r="BR87" s="106">
        <v>14</v>
      </c>
      <c r="BS87" s="106">
        <v>27367.200000000001</v>
      </c>
      <c r="BT87" s="106">
        <v>14</v>
      </c>
      <c r="BU87" s="106">
        <v>27367.200000000001</v>
      </c>
      <c r="BV87" s="106">
        <v>15</v>
      </c>
      <c r="BW87" s="106">
        <v>29322</v>
      </c>
      <c r="BX87" s="106">
        <v>7</v>
      </c>
      <c r="BY87" s="106">
        <v>13683.6</v>
      </c>
      <c r="BZ87" s="106">
        <v>8</v>
      </c>
      <c r="CA87" s="106">
        <v>15638.4</v>
      </c>
      <c r="CB87" s="106">
        <v>7</v>
      </c>
      <c r="CC87" s="106">
        <v>13683.6</v>
      </c>
      <c r="CD87" s="106">
        <v>8</v>
      </c>
      <c r="CE87" s="106">
        <v>15638.4</v>
      </c>
      <c r="CF87" s="106">
        <v>3</v>
      </c>
      <c r="CG87" s="106">
        <v>5864.4</v>
      </c>
      <c r="CH87" s="106">
        <v>4</v>
      </c>
      <c r="CI87" s="106">
        <v>7819.2</v>
      </c>
      <c r="CJ87" s="106">
        <v>4</v>
      </c>
      <c r="CK87" s="106">
        <v>7819.2</v>
      </c>
      <c r="CL87" s="106">
        <v>5</v>
      </c>
      <c r="CM87" s="106">
        <v>9774</v>
      </c>
      <c r="CN87" s="106">
        <v>3</v>
      </c>
      <c r="CO87" s="106">
        <v>5864.4</v>
      </c>
      <c r="CP87" s="106">
        <v>4</v>
      </c>
      <c r="CQ87" s="106">
        <v>7819.2</v>
      </c>
      <c r="CR87" s="106">
        <v>3</v>
      </c>
      <c r="CS87" s="106">
        <v>5864.4</v>
      </c>
      <c r="CT87" s="106">
        <v>4</v>
      </c>
      <c r="CU87" s="106">
        <v>7819.2</v>
      </c>
    </row>
    <row r="88" spans="2:99" x14ac:dyDescent="0.2">
      <c r="C88" s="105" t="s">
        <v>254</v>
      </c>
      <c r="D88" s="106">
        <v>2</v>
      </c>
      <c r="E88" s="106">
        <v>3784.7999999999997</v>
      </c>
      <c r="F88" s="106">
        <v>3</v>
      </c>
      <c r="G88" s="106">
        <v>5677.2</v>
      </c>
      <c r="H88" s="106">
        <v>3</v>
      </c>
      <c r="I88" s="106">
        <v>5677.2</v>
      </c>
      <c r="J88" s="106">
        <v>4</v>
      </c>
      <c r="K88" s="106">
        <v>7569.5999999999995</v>
      </c>
      <c r="L88" s="106">
        <v>6</v>
      </c>
      <c r="M88" s="106">
        <v>11354.4</v>
      </c>
      <c r="N88" s="106">
        <v>5</v>
      </c>
      <c r="O88" s="106">
        <v>9462</v>
      </c>
      <c r="P88" s="106">
        <v>7</v>
      </c>
      <c r="Q88" s="106">
        <v>13246.8</v>
      </c>
      <c r="R88" s="106">
        <v>7</v>
      </c>
      <c r="S88" s="106">
        <v>13246.8</v>
      </c>
      <c r="T88" s="106">
        <v>8</v>
      </c>
      <c r="U88" s="106">
        <v>15139.199999999999</v>
      </c>
      <c r="V88" s="106">
        <v>6</v>
      </c>
      <c r="W88" s="106">
        <v>11354.4</v>
      </c>
      <c r="X88" s="106">
        <v>6</v>
      </c>
      <c r="Y88" s="106">
        <v>11354.4</v>
      </c>
      <c r="Z88" s="106">
        <v>9</v>
      </c>
      <c r="AA88" s="106">
        <v>17031.599999999999</v>
      </c>
      <c r="AB88" s="106">
        <v>9</v>
      </c>
      <c r="AC88" s="106">
        <v>17031.599999999999</v>
      </c>
      <c r="AD88" s="106">
        <v>11</v>
      </c>
      <c r="AE88" s="106">
        <v>20816.399999999998</v>
      </c>
      <c r="AF88" s="106">
        <v>10</v>
      </c>
      <c r="AG88" s="106">
        <v>18924</v>
      </c>
      <c r="AH88" s="106">
        <v>14</v>
      </c>
      <c r="AI88" s="106">
        <v>26493.599999999999</v>
      </c>
      <c r="AJ88" s="106">
        <v>11</v>
      </c>
      <c r="AK88" s="106">
        <v>20816.399999999998</v>
      </c>
      <c r="AL88" s="106">
        <v>10</v>
      </c>
      <c r="AM88" s="106">
        <v>18924</v>
      </c>
      <c r="AN88" s="106">
        <v>12</v>
      </c>
      <c r="AO88" s="106">
        <v>22708.799999999999</v>
      </c>
      <c r="AP88" s="106">
        <v>9</v>
      </c>
      <c r="AQ88" s="106">
        <v>17031.599999999999</v>
      </c>
      <c r="AR88" s="106">
        <v>15</v>
      </c>
      <c r="AS88" s="106">
        <v>28385.999999999996</v>
      </c>
      <c r="AT88" s="106">
        <v>18</v>
      </c>
      <c r="AU88" s="106">
        <v>34063.199999999997</v>
      </c>
      <c r="AV88" s="106">
        <v>24</v>
      </c>
      <c r="AW88" s="106">
        <v>45417.599999999999</v>
      </c>
      <c r="AX88" s="106">
        <v>20</v>
      </c>
      <c r="AY88" s="106">
        <v>37848</v>
      </c>
      <c r="AZ88" s="106">
        <v>3</v>
      </c>
      <c r="BA88" s="106">
        <v>5677.2</v>
      </c>
      <c r="BB88" s="106">
        <v>4</v>
      </c>
      <c r="BC88" s="106">
        <v>7569.5999999999995</v>
      </c>
      <c r="BD88" s="106">
        <v>6</v>
      </c>
      <c r="BE88" s="106">
        <v>11354.4</v>
      </c>
      <c r="BF88" s="106">
        <v>4</v>
      </c>
      <c r="BG88" s="106">
        <v>7569.5999999999995</v>
      </c>
      <c r="BH88" s="106">
        <v>13</v>
      </c>
      <c r="BI88" s="106">
        <v>24601.199999999997</v>
      </c>
      <c r="BJ88" s="106">
        <v>12</v>
      </c>
      <c r="BK88" s="106">
        <v>22708.799999999999</v>
      </c>
      <c r="BL88" s="106">
        <v>7</v>
      </c>
      <c r="BM88" s="106">
        <v>13246.8</v>
      </c>
      <c r="BN88" s="106">
        <v>9</v>
      </c>
      <c r="BO88" s="106">
        <v>17031.599999999999</v>
      </c>
      <c r="BP88" s="106">
        <v>19</v>
      </c>
      <c r="BQ88" s="106">
        <v>35955.599999999999</v>
      </c>
      <c r="BR88" s="106">
        <v>14</v>
      </c>
      <c r="BS88" s="106">
        <v>26493.599999999999</v>
      </c>
      <c r="BT88" s="106">
        <v>15</v>
      </c>
      <c r="BU88" s="106">
        <v>28385.999999999996</v>
      </c>
      <c r="BV88" s="106">
        <v>16</v>
      </c>
      <c r="BW88" s="106">
        <v>30278.399999999998</v>
      </c>
      <c r="BX88" s="106">
        <v>7</v>
      </c>
      <c r="BY88" s="106">
        <v>13246.8</v>
      </c>
      <c r="BZ88" s="106">
        <v>10</v>
      </c>
      <c r="CA88" s="106">
        <v>18924</v>
      </c>
      <c r="CB88" s="106">
        <v>7</v>
      </c>
      <c r="CC88" s="106">
        <v>13246.8</v>
      </c>
      <c r="CD88" s="106">
        <v>7</v>
      </c>
      <c r="CE88" s="106">
        <v>13246.8</v>
      </c>
      <c r="CF88" s="106">
        <v>4</v>
      </c>
      <c r="CG88" s="106">
        <v>7569.5999999999995</v>
      </c>
      <c r="CH88" s="106">
        <v>4</v>
      </c>
      <c r="CI88" s="106">
        <v>7569.5999999999995</v>
      </c>
      <c r="CJ88" s="106">
        <v>3</v>
      </c>
      <c r="CK88" s="106">
        <v>5677.2</v>
      </c>
      <c r="CL88" s="106">
        <v>5</v>
      </c>
      <c r="CM88" s="106">
        <v>9462</v>
      </c>
      <c r="CN88" s="106">
        <v>3</v>
      </c>
      <c r="CO88" s="106">
        <v>5677.2</v>
      </c>
      <c r="CP88" s="106">
        <v>4</v>
      </c>
      <c r="CQ88" s="106">
        <v>7569.5999999999995</v>
      </c>
      <c r="CR88" s="106">
        <v>3</v>
      </c>
      <c r="CS88" s="106">
        <v>5677.2</v>
      </c>
      <c r="CT88" s="106">
        <v>4</v>
      </c>
      <c r="CU88" s="106">
        <v>7569.5999999999995</v>
      </c>
    </row>
    <row r="89" spans="2:99" x14ac:dyDescent="0.2">
      <c r="C89" s="105" t="s">
        <v>255</v>
      </c>
      <c r="D89" s="106">
        <v>3</v>
      </c>
      <c r="E89" s="106">
        <v>7192.7999999999993</v>
      </c>
      <c r="F89" s="106">
        <v>2</v>
      </c>
      <c r="G89" s="106">
        <v>4795.2</v>
      </c>
      <c r="H89" s="106">
        <v>3</v>
      </c>
      <c r="I89" s="106">
        <v>7192.7999999999993</v>
      </c>
      <c r="J89" s="106">
        <v>4</v>
      </c>
      <c r="K89" s="106">
        <v>9590.4</v>
      </c>
      <c r="L89" s="106">
        <v>6</v>
      </c>
      <c r="M89" s="106">
        <v>14385.599999999999</v>
      </c>
      <c r="N89" s="106">
        <v>4</v>
      </c>
      <c r="O89" s="106">
        <v>9590.4</v>
      </c>
      <c r="P89" s="106">
        <v>5</v>
      </c>
      <c r="Q89" s="106">
        <v>11988</v>
      </c>
      <c r="R89" s="106">
        <v>7</v>
      </c>
      <c r="S89" s="106">
        <v>16783.2</v>
      </c>
      <c r="T89" s="106">
        <v>8</v>
      </c>
      <c r="U89" s="106">
        <v>19180.8</v>
      </c>
      <c r="V89" s="106">
        <v>6</v>
      </c>
      <c r="W89" s="106">
        <v>14385.599999999999</v>
      </c>
      <c r="X89" s="106">
        <v>6</v>
      </c>
      <c r="Y89" s="106">
        <v>14385.599999999999</v>
      </c>
      <c r="Z89" s="106">
        <v>8</v>
      </c>
      <c r="AA89" s="106">
        <v>19180.8</v>
      </c>
      <c r="AB89" s="106">
        <v>7</v>
      </c>
      <c r="AC89" s="106">
        <v>16783.2</v>
      </c>
      <c r="AD89" s="106">
        <v>12</v>
      </c>
      <c r="AE89" s="106">
        <v>28771.199999999997</v>
      </c>
      <c r="AF89" s="106">
        <v>11</v>
      </c>
      <c r="AG89" s="106">
        <v>26373.599999999999</v>
      </c>
      <c r="AH89" s="106">
        <v>14</v>
      </c>
      <c r="AI89" s="106">
        <v>33566.400000000001</v>
      </c>
      <c r="AJ89" s="106">
        <v>9</v>
      </c>
      <c r="AK89" s="106">
        <v>21578.399999999998</v>
      </c>
      <c r="AL89" s="106">
        <v>9</v>
      </c>
      <c r="AM89" s="106">
        <v>21578.399999999998</v>
      </c>
      <c r="AN89" s="106">
        <v>11</v>
      </c>
      <c r="AO89" s="106">
        <v>26373.599999999999</v>
      </c>
      <c r="AP89" s="106">
        <v>9</v>
      </c>
      <c r="AQ89" s="106">
        <v>21578.399999999998</v>
      </c>
      <c r="AR89" s="106">
        <v>12</v>
      </c>
      <c r="AS89" s="106">
        <v>28771.199999999997</v>
      </c>
      <c r="AT89" s="106">
        <v>15</v>
      </c>
      <c r="AU89" s="106">
        <v>35964</v>
      </c>
      <c r="AV89" s="106">
        <v>25</v>
      </c>
      <c r="AW89" s="106">
        <v>59940</v>
      </c>
      <c r="AX89" s="106">
        <v>20</v>
      </c>
      <c r="AY89" s="106">
        <v>47952</v>
      </c>
      <c r="AZ89" s="106">
        <v>3</v>
      </c>
      <c r="BA89" s="106">
        <v>7192.7999999999993</v>
      </c>
      <c r="BB89" s="106">
        <v>4</v>
      </c>
      <c r="BC89" s="106">
        <v>9590.4</v>
      </c>
      <c r="BD89" s="106">
        <v>5</v>
      </c>
      <c r="BE89" s="106">
        <v>11988</v>
      </c>
      <c r="BF89" s="106">
        <v>4</v>
      </c>
      <c r="BG89" s="106">
        <v>9590.4</v>
      </c>
      <c r="BH89" s="106">
        <v>12</v>
      </c>
      <c r="BI89" s="106">
        <v>28771.199999999997</v>
      </c>
      <c r="BJ89" s="106">
        <v>10</v>
      </c>
      <c r="BK89" s="106">
        <v>23976</v>
      </c>
      <c r="BL89" s="106">
        <v>7</v>
      </c>
      <c r="BM89" s="106">
        <v>16783.2</v>
      </c>
      <c r="BN89" s="106">
        <v>8</v>
      </c>
      <c r="BO89" s="106">
        <v>19180.8</v>
      </c>
      <c r="BP89" s="106">
        <v>19</v>
      </c>
      <c r="BQ89" s="106">
        <v>45554.400000000001</v>
      </c>
      <c r="BR89" s="106">
        <v>14</v>
      </c>
      <c r="BS89" s="106">
        <v>33566.400000000001</v>
      </c>
      <c r="BT89" s="106">
        <v>12</v>
      </c>
      <c r="BU89" s="106">
        <v>28771.199999999997</v>
      </c>
      <c r="BV89" s="106">
        <v>14</v>
      </c>
      <c r="BW89" s="106">
        <v>33566.400000000001</v>
      </c>
      <c r="BX89" s="106">
        <v>6</v>
      </c>
      <c r="BY89" s="106">
        <v>14385.599999999999</v>
      </c>
      <c r="BZ89" s="106">
        <v>8</v>
      </c>
      <c r="CA89" s="106">
        <v>19180.8</v>
      </c>
      <c r="CB89" s="106">
        <v>7</v>
      </c>
      <c r="CC89" s="106">
        <v>16783.2</v>
      </c>
      <c r="CD89" s="106">
        <v>8</v>
      </c>
      <c r="CE89" s="106">
        <v>19180.8</v>
      </c>
      <c r="CF89" s="106">
        <v>3</v>
      </c>
      <c r="CG89" s="106">
        <v>7192.7999999999993</v>
      </c>
      <c r="CH89" s="106">
        <v>4</v>
      </c>
      <c r="CI89" s="106">
        <v>9590.4</v>
      </c>
      <c r="CJ89" s="106">
        <v>4</v>
      </c>
      <c r="CK89" s="106">
        <v>9590.4</v>
      </c>
      <c r="CL89" s="106">
        <v>6</v>
      </c>
      <c r="CM89" s="106">
        <v>14385.599999999999</v>
      </c>
      <c r="CN89" s="106">
        <v>3</v>
      </c>
      <c r="CO89" s="106">
        <v>7192.7999999999993</v>
      </c>
      <c r="CP89" s="106">
        <v>4</v>
      </c>
      <c r="CQ89" s="106">
        <v>9590.4</v>
      </c>
      <c r="CR89" s="106">
        <v>3</v>
      </c>
      <c r="CS89" s="106">
        <v>7192.7999999999993</v>
      </c>
      <c r="CT89" s="106">
        <v>4</v>
      </c>
      <c r="CU89" s="106">
        <v>9590.4</v>
      </c>
    </row>
    <row r="90" spans="2:99" x14ac:dyDescent="0.2">
      <c r="C90" s="105" t="s">
        <v>256</v>
      </c>
      <c r="D90" s="106">
        <v>3</v>
      </c>
      <c r="E90" s="106">
        <v>6591.5999999999995</v>
      </c>
      <c r="F90" s="106">
        <v>3</v>
      </c>
      <c r="G90" s="106">
        <v>6591.5999999999995</v>
      </c>
      <c r="H90" s="106">
        <v>3</v>
      </c>
      <c r="I90" s="106">
        <v>6591.5999999999995</v>
      </c>
      <c r="J90" s="106">
        <v>4</v>
      </c>
      <c r="K90" s="106">
        <v>8788.7999999999993</v>
      </c>
      <c r="L90" s="106">
        <v>6</v>
      </c>
      <c r="M90" s="106">
        <v>13183.199999999999</v>
      </c>
      <c r="N90" s="106">
        <v>5</v>
      </c>
      <c r="O90" s="106">
        <v>10986</v>
      </c>
      <c r="P90" s="106">
        <v>5</v>
      </c>
      <c r="Q90" s="106">
        <v>10986</v>
      </c>
      <c r="R90" s="106">
        <v>8</v>
      </c>
      <c r="S90" s="106">
        <v>17577.599999999999</v>
      </c>
      <c r="T90" s="106">
        <v>7</v>
      </c>
      <c r="U90" s="106">
        <v>15380.399999999998</v>
      </c>
      <c r="V90" s="106">
        <v>5</v>
      </c>
      <c r="W90" s="106">
        <v>10986</v>
      </c>
      <c r="X90" s="106">
        <v>6</v>
      </c>
      <c r="Y90" s="106">
        <v>13183.199999999999</v>
      </c>
      <c r="Z90" s="106">
        <v>9</v>
      </c>
      <c r="AA90" s="106">
        <v>19774.8</v>
      </c>
      <c r="AB90" s="106">
        <v>7</v>
      </c>
      <c r="AC90" s="106">
        <v>15380.399999999998</v>
      </c>
      <c r="AD90" s="106">
        <v>11</v>
      </c>
      <c r="AE90" s="106">
        <v>24169.199999999997</v>
      </c>
      <c r="AF90" s="106">
        <v>9</v>
      </c>
      <c r="AG90" s="106">
        <v>19774.8</v>
      </c>
      <c r="AH90" s="106">
        <v>14</v>
      </c>
      <c r="AI90" s="106">
        <v>30760.799999999996</v>
      </c>
      <c r="AJ90" s="106">
        <v>10</v>
      </c>
      <c r="AK90" s="106">
        <v>21972</v>
      </c>
      <c r="AL90" s="106">
        <v>10</v>
      </c>
      <c r="AM90" s="106">
        <v>21972</v>
      </c>
      <c r="AN90" s="106">
        <v>10</v>
      </c>
      <c r="AO90" s="106">
        <v>21972</v>
      </c>
      <c r="AP90" s="106">
        <v>9</v>
      </c>
      <c r="AQ90" s="106">
        <v>19774.8</v>
      </c>
      <c r="AR90" s="106">
        <v>13</v>
      </c>
      <c r="AS90" s="106">
        <v>28563.599999999999</v>
      </c>
      <c r="AT90" s="106">
        <v>17</v>
      </c>
      <c r="AU90" s="106">
        <v>37352.399999999994</v>
      </c>
      <c r="AV90" s="106">
        <v>25</v>
      </c>
      <c r="AW90" s="106">
        <v>54929.999999999993</v>
      </c>
      <c r="AX90" s="106">
        <v>19</v>
      </c>
      <c r="AY90" s="106">
        <v>41746.799999999996</v>
      </c>
      <c r="AZ90" s="106">
        <v>3</v>
      </c>
      <c r="BA90" s="106">
        <v>6591.5999999999995</v>
      </c>
      <c r="BB90" s="106">
        <v>4</v>
      </c>
      <c r="BC90" s="106">
        <v>8788.7999999999993</v>
      </c>
      <c r="BD90" s="106">
        <v>5</v>
      </c>
      <c r="BE90" s="106">
        <v>10986</v>
      </c>
      <c r="BF90" s="106">
        <v>4</v>
      </c>
      <c r="BG90" s="106">
        <v>8788.7999999999993</v>
      </c>
      <c r="BH90" s="106">
        <v>13</v>
      </c>
      <c r="BI90" s="106">
        <v>28563.599999999999</v>
      </c>
      <c r="BJ90" s="106">
        <v>10</v>
      </c>
      <c r="BK90" s="106">
        <v>21972</v>
      </c>
      <c r="BL90" s="106">
        <v>7</v>
      </c>
      <c r="BM90" s="106">
        <v>15380.399999999998</v>
      </c>
      <c r="BN90" s="106">
        <v>9</v>
      </c>
      <c r="BO90" s="106">
        <v>19774.8</v>
      </c>
      <c r="BP90" s="106">
        <v>18</v>
      </c>
      <c r="BQ90" s="106">
        <v>39549.599999999999</v>
      </c>
      <c r="BR90" s="106">
        <v>14</v>
      </c>
      <c r="BS90" s="106">
        <v>30760.799999999996</v>
      </c>
      <c r="BT90" s="106">
        <v>13</v>
      </c>
      <c r="BU90" s="106">
        <v>28563.599999999999</v>
      </c>
      <c r="BV90" s="106">
        <v>14</v>
      </c>
      <c r="BW90" s="106">
        <v>30760.799999999996</v>
      </c>
      <c r="BX90" s="106">
        <v>6</v>
      </c>
      <c r="BY90" s="106">
        <v>13183.199999999999</v>
      </c>
      <c r="BZ90" s="106">
        <v>8</v>
      </c>
      <c r="CA90" s="106">
        <v>17577.599999999999</v>
      </c>
      <c r="CB90" s="106">
        <v>8</v>
      </c>
      <c r="CC90" s="106">
        <v>17577.599999999999</v>
      </c>
      <c r="CD90" s="106">
        <v>7</v>
      </c>
      <c r="CE90" s="106">
        <v>15380.399999999998</v>
      </c>
      <c r="CF90" s="106">
        <v>3</v>
      </c>
      <c r="CG90" s="106">
        <v>6591.5999999999995</v>
      </c>
      <c r="CH90" s="106">
        <v>4</v>
      </c>
      <c r="CI90" s="106">
        <v>8788.7999999999993</v>
      </c>
      <c r="CJ90" s="106">
        <v>3</v>
      </c>
      <c r="CK90" s="106">
        <v>6591.5999999999995</v>
      </c>
      <c r="CL90" s="106">
        <v>6</v>
      </c>
      <c r="CM90" s="106">
        <v>13183.199999999999</v>
      </c>
      <c r="CN90" s="106">
        <v>3</v>
      </c>
      <c r="CO90" s="106">
        <v>6591.5999999999995</v>
      </c>
      <c r="CP90" s="106">
        <v>5</v>
      </c>
      <c r="CQ90" s="106">
        <v>10986</v>
      </c>
      <c r="CR90" s="106">
        <v>4</v>
      </c>
      <c r="CS90" s="106">
        <v>8788.7999999999993</v>
      </c>
      <c r="CT90" s="106">
        <v>4</v>
      </c>
      <c r="CU90" s="106">
        <v>8788.7999999999993</v>
      </c>
    </row>
    <row r="91" spans="2:99" x14ac:dyDescent="0.2">
      <c r="C91" s="105" t="s">
        <v>257</v>
      </c>
      <c r="D91" s="106">
        <v>2</v>
      </c>
      <c r="E91" s="106">
        <v>4593.5999999999995</v>
      </c>
      <c r="F91" s="106">
        <v>2</v>
      </c>
      <c r="G91" s="106">
        <v>4593.5999999999995</v>
      </c>
      <c r="H91" s="106">
        <v>3</v>
      </c>
      <c r="I91" s="106">
        <v>6890.4</v>
      </c>
      <c r="J91" s="106">
        <v>4</v>
      </c>
      <c r="K91" s="106">
        <v>9187.1999999999989</v>
      </c>
      <c r="L91" s="106">
        <v>6</v>
      </c>
      <c r="M91" s="106">
        <v>13780.8</v>
      </c>
      <c r="N91" s="106">
        <v>5</v>
      </c>
      <c r="O91" s="106">
        <v>11483.999999999998</v>
      </c>
      <c r="P91" s="106">
        <v>6</v>
      </c>
      <c r="Q91" s="106">
        <v>13780.8</v>
      </c>
      <c r="R91" s="106">
        <v>8</v>
      </c>
      <c r="S91" s="106">
        <v>18374.399999999998</v>
      </c>
      <c r="T91" s="106">
        <v>8</v>
      </c>
      <c r="U91" s="106">
        <v>18374.399999999998</v>
      </c>
      <c r="V91" s="106">
        <v>6</v>
      </c>
      <c r="W91" s="106">
        <v>13780.8</v>
      </c>
      <c r="X91" s="106">
        <v>5</v>
      </c>
      <c r="Y91" s="106">
        <v>11483.999999999998</v>
      </c>
      <c r="Z91" s="106">
        <v>7</v>
      </c>
      <c r="AA91" s="106">
        <v>16077.599999999999</v>
      </c>
      <c r="AB91" s="106">
        <v>8</v>
      </c>
      <c r="AC91" s="106">
        <v>18374.399999999998</v>
      </c>
      <c r="AD91" s="106">
        <v>12</v>
      </c>
      <c r="AE91" s="106">
        <v>27561.599999999999</v>
      </c>
      <c r="AF91" s="106">
        <v>9</v>
      </c>
      <c r="AG91" s="106">
        <v>20671.199999999997</v>
      </c>
      <c r="AH91" s="106">
        <v>14</v>
      </c>
      <c r="AI91" s="106">
        <v>32155.199999999997</v>
      </c>
      <c r="AJ91" s="106">
        <v>10</v>
      </c>
      <c r="AK91" s="106">
        <v>22967.999999999996</v>
      </c>
      <c r="AL91" s="106">
        <v>10</v>
      </c>
      <c r="AM91" s="106">
        <v>22967.999999999996</v>
      </c>
      <c r="AN91" s="106">
        <v>12</v>
      </c>
      <c r="AO91" s="106">
        <v>27561.599999999999</v>
      </c>
      <c r="AP91" s="106">
        <v>9</v>
      </c>
      <c r="AQ91" s="106">
        <v>20671.199999999997</v>
      </c>
      <c r="AR91" s="106">
        <v>14</v>
      </c>
      <c r="AS91" s="106">
        <v>32155.199999999997</v>
      </c>
      <c r="AT91" s="106">
        <v>16</v>
      </c>
      <c r="AU91" s="106">
        <v>36748.799999999996</v>
      </c>
      <c r="AV91" s="106">
        <v>25</v>
      </c>
      <c r="AW91" s="106">
        <v>57419.999999999993</v>
      </c>
      <c r="AX91" s="106">
        <v>18</v>
      </c>
      <c r="AY91" s="106">
        <v>41342.399999999994</v>
      </c>
      <c r="AZ91" s="106">
        <v>3</v>
      </c>
      <c r="BA91" s="106">
        <v>6890.4</v>
      </c>
      <c r="BB91" s="106">
        <v>4</v>
      </c>
      <c r="BC91" s="106">
        <v>9187.1999999999989</v>
      </c>
      <c r="BD91" s="106">
        <v>5</v>
      </c>
      <c r="BE91" s="106">
        <v>11483.999999999998</v>
      </c>
      <c r="BF91" s="106">
        <v>4</v>
      </c>
      <c r="BG91" s="106">
        <v>9187.1999999999989</v>
      </c>
      <c r="BH91" s="106">
        <v>12</v>
      </c>
      <c r="BI91" s="106">
        <v>27561.599999999999</v>
      </c>
      <c r="BJ91" s="106">
        <v>11</v>
      </c>
      <c r="BK91" s="106">
        <v>25264.799999999996</v>
      </c>
      <c r="BL91" s="106">
        <v>7</v>
      </c>
      <c r="BM91" s="106">
        <v>16077.599999999999</v>
      </c>
      <c r="BN91" s="106">
        <v>9</v>
      </c>
      <c r="BO91" s="106">
        <v>20671.199999999997</v>
      </c>
      <c r="BP91" s="106">
        <v>20</v>
      </c>
      <c r="BQ91" s="106">
        <v>45935.999999999993</v>
      </c>
      <c r="BR91" s="106">
        <v>14</v>
      </c>
      <c r="BS91" s="106">
        <v>32155.199999999997</v>
      </c>
      <c r="BT91" s="106">
        <v>14</v>
      </c>
      <c r="BU91" s="106">
        <v>32155.199999999997</v>
      </c>
      <c r="BV91" s="106">
        <v>15</v>
      </c>
      <c r="BW91" s="106">
        <v>34451.999999999993</v>
      </c>
      <c r="BX91" s="106">
        <v>7</v>
      </c>
      <c r="BY91" s="106">
        <v>16077.599999999999</v>
      </c>
      <c r="BZ91" s="106">
        <v>8</v>
      </c>
      <c r="CA91" s="106">
        <v>18374.399999999998</v>
      </c>
      <c r="CB91" s="106">
        <v>8</v>
      </c>
      <c r="CC91" s="106">
        <v>18374.399999999998</v>
      </c>
      <c r="CD91" s="106">
        <v>7</v>
      </c>
      <c r="CE91" s="106">
        <v>16077.599999999999</v>
      </c>
      <c r="CF91" s="106">
        <v>4</v>
      </c>
      <c r="CG91" s="106">
        <v>9187.1999999999989</v>
      </c>
      <c r="CH91" s="106">
        <v>4</v>
      </c>
      <c r="CI91" s="106">
        <v>9187.1999999999989</v>
      </c>
      <c r="CJ91" s="106">
        <v>4</v>
      </c>
      <c r="CK91" s="106">
        <v>9187.1999999999989</v>
      </c>
      <c r="CL91" s="106">
        <v>6</v>
      </c>
      <c r="CM91" s="106">
        <v>13780.8</v>
      </c>
      <c r="CN91" s="106">
        <v>3</v>
      </c>
      <c r="CO91" s="106">
        <v>6890.4</v>
      </c>
      <c r="CP91" s="106">
        <v>4</v>
      </c>
      <c r="CQ91" s="106">
        <v>9187.1999999999989</v>
      </c>
      <c r="CR91" s="106">
        <v>3</v>
      </c>
      <c r="CS91" s="106">
        <v>6890.4</v>
      </c>
      <c r="CT91" s="106">
        <v>4</v>
      </c>
      <c r="CU91" s="106">
        <v>9187.1999999999989</v>
      </c>
    </row>
    <row r="92" spans="2:99" x14ac:dyDescent="0.2">
      <c r="C92" s="105" t="s">
        <v>258</v>
      </c>
      <c r="D92" s="106">
        <v>3</v>
      </c>
      <c r="E92" s="106">
        <v>4262.3999999999996</v>
      </c>
      <c r="F92" s="106">
        <v>3</v>
      </c>
      <c r="G92" s="106">
        <v>4262.3999999999996</v>
      </c>
      <c r="H92" s="106">
        <v>3</v>
      </c>
      <c r="I92" s="106">
        <v>4262.3999999999996</v>
      </c>
      <c r="J92" s="106">
        <v>5</v>
      </c>
      <c r="K92" s="106">
        <v>7104</v>
      </c>
      <c r="L92" s="106">
        <v>6</v>
      </c>
      <c r="M92" s="106">
        <v>8524.7999999999993</v>
      </c>
      <c r="N92" s="106">
        <v>5</v>
      </c>
      <c r="O92" s="106">
        <v>7104</v>
      </c>
      <c r="P92" s="106">
        <v>7</v>
      </c>
      <c r="Q92" s="106">
        <v>9945.6</v>
      </c>
      <c r="R92" s="106">
        <v>8</v>
      </c>
      <c r="S92" s="106">
        <v>11366.4</v>
      </c>
      <c r="T92" s="106">
        <v>8</v>
      </c>
      <c r="U92" s="106">
        <v>11366.4</v>
      </c>
      <c r="V92" s="106">
        <v>6</v>
      </c>
      <c r="W92" s="106">
        <v>8524.7999999999993</v>
      </c>
      <c r="X92" s="106">
        <v>7</v>
      </c>
      <c r="Y92" s="106">
        <v>9945.6</v>
      </c>
      <c r="Z92" s="106">
        <v>9</v>
      </c>
      <c r="AA92" s="106">
        <v>12787.199999999999</v>
      </c>
      <c r="AB92" s="106">
        <v>8</v>
      </c>
      <c r="AC92" s="106">
        <v>11366.4</v>
      </c>
      <c r="AD92" s="106">
        <v>12</v>
      </c>
      <c r="AE92" s="106">
        <v>17049.599999999999</v>
      </c>
      <c r="AF92" s="106">
        <v>11</v>
      </c>
      <c r="AG92" s="106">
        <v>15628.8</v>
      </c>
      <c r="AH92" s="106">
        <v>16</v>
      </c>
      <c r="AI92" s="106">
        <v>22732.799999999999</v>
      </c>
      <c r="AJ92" s="106">
        <v>11</v>
      </c>
      <c r="AK92" s="106">
        <v>15628.8</v>
      </c>
      <c r="AL92" s="106">
        <v>10</v>
      </c>
      <c r="AM92" s="106">
        <v>14208</v>
      </c>
      <c r="AN92" s="106">
        <v>11</v>
      </c>
      <c r="AO92" s="106">
        <v>15628.8</v>
      </c>
      <c r="AP92" s="106">
        <v>10</v>
      </c>
      <c r="AQ92" s="106">
        <v>14208</v>
      </c>
      <c r="AR92" s="106">
        <v>15</v>
      </c>
      <c r="AS92" s="106">
        <v>21312</v>
      </c>
      <c r="AT92" s="106">
        <v>18</v>
      </c>
      <c r="AU92" s="106">
        <v>25574.399999999998</v>
      </c>
      <c r="AV92" s="106">
        <v>25</v>
      </c>
      <c r="AW92" s="106">
        <v>35520</v>
      </c>
      <c r="AX92" s="106">
        <v>20</v>
      </c>
      <c r="AY92" s="106">
        <v>28416</v>
      </c>
      <c r="AZ92" s="106">
        <v>3</v>
      </c>
      <c r="BA92" s="106">
        <v>4262.3999999999996</v>
      </c>
      <c r="BB92" s="106">
        <v>4</v>
      </c>
      <c r="BC92" s="106">
        <v>5683.2</v>
      </c>
      <c r="BD92" s="106">
        <v>6</v>
      </c>
      <c r="BE92" s="106">
        <v>8524.7999999999993</v>
      </c>
      <c r="BF92" s="106">
        <v>5</v>
      </c>
      <c r="BG92" s="106">
        <v>7104</v>
      </c>
      <c r="BH92" s="106">
        <v>13</v>
      </c>
      <c r="BI92" s="106">
        <v>18470.399999999998</v>
      </c>
      <c r="BJ92" s="106">
        <v>11</v>
      </c>
      <c r="BK92" s="106">
        <v>15628.8</v>
      </c>
      <c r="BL92" s="106">
        <v>7</v>
      </c>
      <c r="BM92" s="106">
        <v>9945.6</v>
      </c>
      <c r="BN92" s="106">
        <v>9</v>
      </c>
      <c r="BO92" s="106">
        <v>12787.199999999999</v>
      </c>
      <c r="BP92" s="106">
        <v>20</v>
      </c>
      <c r="BQ92" s="106">
        <v>28416</v>
      </c>
      <c r="BR92" s="106">
        <v>17</v>
      </c>
      <c r="BS92" s="106">
        <v>24153.599999999999</v>
      </c>
      <c r="BT92" s="106">
        <v>15</v>
      </c>
      <c r="BU92" s="106">
        <v>21312</v>
      </c>
      <c r="BV92" s="106">
        <v>15</v>
      </c>
      <c r="BW92" s="106">
        <v>21312</v>
      </c>
      <c r="BX92" s="106">
        <v>7</v>
      </c>
      <c r="BY92" s="106">
        <v>9945.6</v>
      </c>
      <c r="BZ92" s="106">
        <v>9</v>
      </c>
      <c r="CA92" s="106">
        <v>12787.199999999999</v>
      </c>
      <c r="CB92" s="106">
        <v>8</v>
      </c>
      <c r="CC92" s="106">
        <v>11366.4</v>
      </c>
      <c r="CD92" s="106">
        <v>8</v>
      </c>
      <c r="CE92" s="106">
        <v>11366.4</v>
      </c>
      <c r="CF92" s="106">
        <v>4</v>
      </c>
      <c r="CG92" s="106">
        <v>5683.2</v>
      </c>
      <c r="CH92" s="106">
        <v>4</v>
      </c>
      <c r="CI92" s="106">
        <v>5683.2</v>
      </c>
      <c r="CJ92" s="106">
        <v>4</v>
      </c>
      <c r="CK92" s="106">
        <v>5683.2</v>
      </c>
      <c r="CL92" s="106">
        <v>6</v>
      </c>
      <c r="CM92" s="106">
        <v>8524.7999999999993</v>
      </c>
      <c r="CN92" s="106">
        <v>3</v>
      </c>
      <c r="CO92" s="106">
        <v>4262.3999999999996</v>
      </c>
      <c r="CP92" s="106">
        <v>4</v>
      </c>
      <c r="CQ92" s="106">
        <v>5683.2</v>
      </c>
      <c r="CR92" s="106">
        <v>4</v>
      </c>
      <c r="CS92" s="106">
        <v>5683.2</v>
      </c>
      <c r="CT92" s="106">
        <v>5</v>
      </c>
      <c r="CU92" s="106">
        <v>7104</v>
      </c>
    </row>
    <row r="93" spans="2:99" x14ac:dyDescent="0.2">
      <c r="C93" s="105" t="s">
        <v>259</v>
      </c>
      <c r="D93" s="106">
        <v>3</v>
      </c>
      <c r="E93" s="106">
        <v>5317.2</v>
      </c>
      <c r="F93" s="106">
        <v>2</v>
      </c>
      <c r="G93" s="106">
        <v>3544.7999999999997</v>
      </c>
      <c r="H93" s="106">
        <v>3</v>
      </c>
      <c r="I93" s="106">
        <v>5317.2</v>
      </c>
      <c r="J93" s="106">
        <v>5</v>
      </c>
      <c r="K93" s="106">
        <v>8862</v>
      </c>
      <c r="L93" s="106">
        <v>6</v>
      </c>
      <c r="M93" s="106">
        <v>10634.4</v>
      </c>
      <c r="N93" s="106">
        <v>5</v>
      </c>
      <c r="O93" s="106">
        <v>8862</v>
      </c>
      <c r="P93" s="106">
        <v>6</v>
      </c>
      <c r="Q93" s="106">
        <v>10634.4</v>
      </c>
      <c r="R93" s="106">
        <v>7</v>
      </c>
      <c r="S93" s="106">
        <v>12406.8</v>
      </c>
      <c r="T93" s="106">
        <v>8</v>
      </c>
      <c r="U93" s="106">
        <v>14179.199999999999</v>
      </c>
      <c r="V93" s="106">
        <v>5</v>
      </c>
      <c r="W93" s="106">
        <v>8862</v>
      </c>
      <c r="X93" s="106">
        <v>6</v>
      </c>
      <c r="Y93" s="106">
        <v>10634.4</v>
      </c>
      <c r="Z93" s="106">
        <v>9</v>
      </c>
      <c r="AA93" s="106">
        <v>15951.599999999999</v>
      </c>
      <c r="AB93" s="106">
        <v>9</v>
      </c>
      <c r="AC93" s="106">
        <v>15951.599999999999</v>
      </c>
      <c r="AD93" s="106">
        <v>10</v>
      </c>
      <c r="AE93" s="106">
        <v>17724</v>
      </c>
      <c r="AF93" s="106">
        <v>11</v>
      </c>
      <c r="AG93" s="106">
        <v>19496.399999999998</v>
      </c>
      <c r="AH93" s="106">
        <v>16</v>
      </c>
      <c r="AI93" s="106">
        <v>28358.399999999998</v>
      </c>
      <c r="AJ93" s="106">
        <v>11</v>
      </c>
      <c r="AK93" s="106">
        <v>19496.399999999998</v>
      </c>
      <c r="AL93" s="106">
        <v>9</v>
      </c>
      <c r="AM93" s="106">
        <v>15951.599999999999</v>
      </c>
      <c r="AN93" s="106">
        <v>12</v>
      </c>
      <c r="AO93" s="106">
        <v>21268.799999999999</v>
      </c>
      <c r="AP93" s="106">
        <v>9</v>
      </c>
      <c r="AQ93" s="106">
        <v>15951.599999999999</v>
      </c>
      <c r="AR93" s="106">
        <v>15</v>
      </c>
      <c r="AS93" s="106">
        <v>26585.999999999996</v>
      </c>
      <c r="AT93" s="106">
        <v>17</v>
      </c>
      <c r="AU93" s="106">
        <v>30130.799999999999</v>
      </c>
      <c r="AV93" s="106">
        <v>23</v>
      </c>
      <c r="AW93" s="106">
        <v>40765.199999999997</v>
      </c>
      <c r="AX93" s="106">
        <v>18</v>
      </c>
      <c r="AY93" s="106">
        <v>31903.199999999997</v>
      </c>
      <c r="AZ93" s="106">
        <v>3</v>
      </c>
      <c r="BA93" s="106">
        <v>5317.2</v>
      </c>
      <c r="BB93" s="106">
        <v>3</v>
      </c>
      <c r="BC93" s="106">
        <v>5317.2</v>
      </c>
      <c r="BD93" s="106">
        <v>5</v>
      </c>
      <c r="BE93" s="106">
        <v>8862</v>
      </c>
      <c r="BF93" s="106">
        <v>5</v>
      </c>
      <c r="BG93" s="106">
        <v>8862</v>
      </c>
      <c r="BH93" s="106">
        <v>12</v>
      </c>
      <c r="BI93" s="106">
        <v>21268.799999999999</v>
      </c>
      <c r="BJ93" s="106">
        <v>12</v>
      </c>
      <c r="BK93" s="106">
        <v>21268.799999999999</v>
      </c>
      <c r="BL93" s="106">
        <v>8</v>
      </c>
      <c r="BM93" s="106">
        <v>14179.199999999999</v>
      </c>
      <c r="BN93" s="106">
        <v>8</v>
      </c>
      <c r="BO93" s="106">
        <v>14179.199999999999</v>
      </c>
      <c r="BP93" s="106">
        <v>19</v>
      </c>
      <c r="BQ93" s="106">
        <v>33675.599999999999</v>
      </c>
      <c r="BR93" s="106">
        <v>14</v>
      </c>
      <c r="BS93" s="106">
        <v>24813.599999999999</v>
      </c>
      <c r="BT93" s="106">
        <v>14</v>
      </c>
      <c r="BU93" s="106">
        <v>24813.599999999999</v>
      </c>
      <c r="BV93" s="106">
        <v>14</v>
      </c>
      <c r="BW93" s="106">
        <v>24813.599999999999</v>
      </c>
      <c r="BX93" s="106">
        <v>7</v>
      </c>
      <c r="BY93" s="106">
        <v>12406.8</v>
      </c>
      <c r="BZ93" s="106">
        <v>9</v>
      </c>
      <c r="CA93" s="106">
        <v>15951.599999999999</v>
      </c>
      <c r="CB93" s="106">
        <v>8</v>
      </c>
      <c r="CC93" s="106">
        <v>14179.199999999999</v>
      </c>
      <c r="CD93" s="106">
        <v>8</v>
      </c>
      <c r="CE93" s="106">
        <v>14179.199999999999</v>
      </c>
      <c r="CF93" s="106">
        <v>4</v>
      </c>
      <c r="CG93" s="106">
        <v>7089.5999999999995</v>
      </c>
      <c r="CH93" s="106">
        <v>4</v>
      </c>
      <c r="CI93" s="106">
        <v>7089.5999999999995</v>
      </c>
      <c r="CJ93" s="106">
        <v>4</v>
      </c>
      <c r="CK93" s="106">
        <v>7089.5999999999995</v>
      </c>
      <c r="CL93" s="106">
        <v>5</v>
      </c>
      <c r="CM93" s="106">
        <v>8862</v>
      </c>
      <c r="CN93" s="106">
        <v>3</v>
      </c>
      <c r="CO93" s="106">
        <v>5317.2</v>
      </c>
      <c r="CP93" s="106">
        <v>5</v>
      </c>
      <c r="CQ93" s="106">
        <v>8862</v>
      </c>
      <c r="CR93" s="106">
        <v>3</v>
      </c>
      <c r="CS93" s="106">
        <v>5317.2</v>
      </c>
      <c r="CT93" s="106">
        <v>5</v>
      </c>
      <c r="CU93" s="106">
        <v>8862</v>
      </c>
    </row>
    <row r="94" spans="2:99" x14ac:dyDescent="0.2">
      <c r="C94" s="105" t="s">
        <v>260</v>
      </c>
      <c r="D94" s="106">
        <v>3</v>
      </c>
      <c r="E94" s="106">
        <v>7185.5999999999995</v>
      </c>
      <c r="F94" s="106">
        <v>2</v>
      </c>
      <c r="G94" s="106">
        <v>4790.3999999999996</v>
      </c>
      <c r="H94" s="106">
        <v>3</v>
      </c>
      <c r="I94" s="106">
        <v>7185.5999999999995</v>
      </c>
      <c r="J94" s="106">
        <v>5</v>
      </c>
      <c r="K94" s="106">
        <v>11976</v>
      </c>
      <c r="L94" s="106">
        <v>6</v>
      </c>
      <c r="M94" s="106">
        <v>14371.199999999999</v>
      </c>
      <c r="N94" s="106">
        <v>4</v>
      </c>
      <c r="O94" s="106">
        <v>9580.7999999999993</v>
      </c>
      <c r="P94" s="106">
        <v>6</v>
      </c>
      <c r="Q94" s="106">
        <v>14371.199999999999</v>
      </c>
      <c r="R94" s="106">
        <v>7</v>
      </c>
      <c r="S94" s="106">
        <v>16766.399999999998</v>
      </c>
      <c r="T94" s="106">
        <v>8</v>
      </c>
      <c r="U94" s="106">
        <v>19161.599999999999</v>
      </c>
      <c r="V94" s="106">
        <v>6</v>
      </c>
      <c r="W94" s="106">
        <v>14371.199999999999</v>
      </c>
      <c r="X94" s="106">
        <v>6</v>
      </c>
      <c r="Y94" s="106">
        <v>14371.199999999999</v>
      </c>
      <c r="Z94" s="106">
        <v>8</v>
      </c>
      <c r="AA94" s="106">
        <v>19161.599999999999</v>
      </c>
      <c r="AB94" s="106">
        <v>8</v>
      </c>
      <c r="AC94" s="106">
        <v>19161.599999999999</v>
      </c>
      <c r="AD94" s="106">
        <v>11</v>
      </c>
      <c r="AE94" s="106">
        <v>26347.199999999997</v>
      </c>
      <c r="AF94" s="106">
        <v>10</v>
      </c>
      <c r="AG94" s="106">
        <v>23952</v>
      </c>
      <c r="AH94" s="106">
        <v>15</v>
      </c>
      <c r="AI94" s="106">
        <v>35928</v>
      </c>
      <c r="AJ94" s="106">
        <v>9</v>
      </c>
      <c r="AK94" s="106">
        <v>21556.799999999999</v>
      </c>
      <c r="AL94" s="106">
        <v>9</v>
      </c>
      <c r="AM94" s="106">
        <v>21556.799999999999</v>
      </c>
      <c r="AN94" s="106">
        <v>10</v>
      </c>
      <c r="AO94" s="106">
        <v>23952</v>
      </c>
      <c r="AP94" s="106">
        <v>8</v>
      </c>
      <c r="AQ94" s="106">
        <v>19161.599999999999</v>
      </c>
      <c r="AR94" s="106">
        <v>13</v>
      </c>
      <c r="AS94" s="106">
        <v>31137.599999999999</v>
      </c>
      <c r="AT94" s="106">
        <v>15</v>
      </c>
      <c r="AU94" s="106">
        <v>35928</v>
      </c>
      <c r="AV94" s="106">
        <v>24</v>
      </c>
      <c r="AW94" s="106">
        <v>57484.799999999996</v>
      </c>
      <c r="AX94" s="106">
        <v>18</v>
      </c>
      <c r="AY94" s="106">
        <v>43113.599999999999</v>
      </c>
      <c r="AZ94" s="106">
        <v>3</v>
      </c>
      <c r="BA94" s="106">
        <v>7185.5999999999995</v>
      </c>
      <c r="BB94" s="106">
        <v>4</v>
      </c>
      <c r="BC94" s="106">
        <v>9580.7999999999993</v>
      </c>
      <c r="BD94" s="106">
        <v>5</v>
      </c>
      <c r="BE94" s="106">
        <v>11976</v>
      </c>
      <c r="BF94" s="106">
        <v>4</v>
      </c>
      <c r="BG94" s="106">
        <v>9580.7999999999993</v>
      </c>
      <c r="BH94" s="106">
        <v>11</v>
      </c>
      <c r="BI94" s="106">
        <v>26347.199999999997</v>
      </c>
      <c r="BJ94" s="106">
        <v>10</v>
      </c>
      <c r="BK94" s="106">
        <v>23952</v>
      </c>
      <c r="BL94" s="106">
        <v>6</v>
      </c>
      <c r="BM94" s="106">
        <v>14371.199999999999</v>
      </c>
      <c r="BN94" s="106">
        <v>8</v>
      </c>
      <c r="BO94" s="106">
        <v>19161.599999999999</v>
      </c>
      <c r="BP94" s="106">
        <v>17</v>
      </c>
      <c r="BQ94" s="106">
        <v>40718.399999999994</v>
      </c>
      <c r="BR94" s="106">
        <v>14</v>
      </c>
      <c r="BS94" s="106">
        <v>33532.799999999996</v>
      </c>
      <c r="BT94" s="106">
        <v>13</v>
      </c>
      <c r="BU94" s="106">
        <v>31137.599999999999</v>
      </c>
      <c r="BV94" s="106">
        <v>14</v>
      </c>
      <c r="BW94" s="106">
        <v>33532.799999999996</v>
      </c>
      <c r="BX94" s="106">
        <v>6</v>
      </c>
      <c r="BY94" s="106">
        <v>14371.199999999999</v>
      </c>
      <c r="BZ94" s="106">
        <v>9</v>
      </c>
      <c r="CA94" s="106">
        <v>21556.799999999999</v>
      </c>
      <c r="CB94" s="106">
        <v>7</v>
      </c>
      <c r="CC94" s="106">
        <v>16766.399999999998</v>
      </c>
      <c r="CD94" s="106">
        <v>7</v>
      </c>
      <c r="CE94" s="106">
        <v>16766.399999999998</v>
      </c>
      <c r="CF94" s="106">
        <v>3</v>
      </c>
      <c r="CG94" s="106">
        <v>7185.5999999999995</v>
      </c>
      <c r="CH94" s="106">
        <v>4</v>
      </c>
      <c r="CI94" s="106">
        <v>9580.7999999999993</v>
      </c>
      <c r="CJ94" s="106">
        <v>3</v>
      </c>
      <c r="CK94" s="106">
        <v>7185.5999999999995</v>
      </c>
      <c r="CL94" s="106">
        <v>5</v>
      </c>
      <c r="CM94" s="106">
        <v>11976</v>
      </c>
      <c r="CN94" s="106">
        <v>3</v>
      </c>
      <c r="CO94" s="106">
        <v>7185.5999999999995</v>
      </c>
      <c r="CP94" s="106">
        <v>4</v>
      </c>
      <c r="CQ94" s="106">
        <v>9580.7999999999993</v>
      </c>
      <c r="CR94" s="106">
        <v>3</v>
      </c>
      <c r="CS94" s="106">
        <v>7185.5999999999995</v>
      </c>
      <c r="CT94" s="106">
        <v>4</v>
      </c>
      <c r="CU94" s="106">
        <v>9580.7999999999993</v>
      </c>
    </row>
    <row r="95" spans="2:99" x14ac:dyDescent="0.2">
      <c r="B95" s="105" t="s">
        <v>132</v>
      </c>
      <c r="C95" s="105" t="s">
        <v>261</v>
      </c>
      <c r="D95" s="106">
        <v>13</v>
      </c>
      <c r="E95" s="106">
        <v>22526.399999999998</v>
      </c>
      <c r="F95" s="106">
        <v>14</v>
      </c>
      <c r="G95" s="106">
        <v>24259.200000000001</v>
      </c>
      <c r="H95" s="106">
        <v>15</v>
      </c>
      <c r="I95" s="106">
        <v>25992</v>
      </c>
      <c r="J95" s="106">
        <v>16</v>
      </c>
      <c r="K95" s="106">
        <v>27724.799999999999</v>
      </c>
      <c r="L95" s="106">
        <v>22</v>
      </c>
      <c r="M95" s="106">
        <v>38121.599999999999</v>
      </c>
      <c r="N95" s="106">
        <v>36</v>
      </c>
      <c r="O95" s="106">
        <v>62380.799999999996</v>
      </c>
      <c r="P95" s="106">
        <v>18</v>
      </c>
      <c r="Q95" s="106">
        <v>31190.399999999998</v>
      </c>
      <c r="R95" s="106">
        <v>26</v>
      </c>
      <c r="S95" s="106">
        <v>45052.799999999996</v>
      </c>
      <c r="T95" s="106">
        <v>15</v>
      </c>
      <c r="U95" s="106">
        <v>25992</v>
      </c>
      <c r="V95" s="106">
        <v>10</v>
      </c>
      <c r="W95" s="106">
        <v>17328</v>
      </c>
      <c r="X95" s="106">
        <v>9</v>
      </c>
      <c r="Y95" s="106">
        <v>15595.199999999999</v>
      </c>
      <c r="Z95" s="106">
        <v>10</v>
      </c>
      <c r="AA95" s="106">
        <v>17328</v>
      </c>
      <c r="AB95" s="106">
        <v>7</v>
      </c>
      <c r="AC95" s="106">
        <v>12129.6</v>
      </c>
      <c r="AD95" s="106">
        <v>4</v>
      </c>
      <c r="AE95" s="106">
        <v>6931.2</v>
      </c>
      <c r="AF95" s="106">
        <v>4</v>
      </c>
      <c r="AG95" s="106">
        <v>6931.2</v>
      </c>
      <c r="AH95" s="106">
        <v>7</v>
      </c>
      <c r="AI95" s="106">
        <v>12129.6</v>
      </c>
      <c r="AJ95" s="106">
        <v>10</v>
      </c>
      <c r="AK95" s="106">
        <v>17328</v>
      </c>
      <c r="AL95" s="106">
        <v>8</v>
      </c>
      <c r="AM95" s="106">
        <v>13862.4</v>
      </c>
      <c r="AN95" s="106">
        <v>5</v>
      </c>
      <c r="AO95" s="106">
        <v>8664</v>
      </c>
      <c r="AP95" s="106">
        <v>7</v>
      </c>
      <c r="AQ95" s="106">
        <v>12129.6</v>
      </c>
      <c r="AR95" s="106">
        <v>3</v>
      </c>
      <c r="AS95" s="106">
        <v>5198.3999999999996</v>
      </c>
      <c r="AT95" s="106">
        <v>2</v>
      </c>
      <c r="AU95" s="106">
        <v>3465.6</v>
      </c>
      <c r="AV95" s="106">
        <v>5</v>
      </c>
      <c r="AW95" s="106">
        <v>8664</v>
      </c>
      <c r="AX95" s="106">
        <v>4</v>
      </c>
      <c r="AY95" s="106">
        <v>6931.2</v>
      </c>
      <c r="AZ95" s="106">
        <v>7</v>
      </c>
      <c r="BA95" s="106">
        <v>12129.6</v>
      </c>
      <c r="BB95" s="106">
        <v>6</v>
      </c>
      <c r="BC95" s="106">
        <v>10396.799999999999</v>
      </c>
      <c r="BD95" s="106">
        <v>5</v>
      </c>
      <c r="BE95" s="106">
        <v>8664</v>
      </c>
      <c r="BF95" s="106">
        <v>7</v>
      </c>
      <c r="BG95" s="106">
        <v>12129.6</v>
      </c>
      <c r="BH95" s="106">
        <v>7</v>
      </c>
      <c r="BI95" s="106">
        <v>12129.6</v>
      </c>
      <c r="BJ95" s="106">
        <v>9</v>
      </c>
      <c r="BK95" s="106">
        <v>15595.199999999999</v>
      </c>
      <c r="BL95" s="106">
        <v>9</v>
      </c>
      <c r="BM95" s="106">
        <v>15595.199999999999</v>
      </c>
      <c r="BN95" s="106">
        <v>8</v>
      </c>
      <c r="BO95" s="106">
        <v>13862.4</v>
      </c>
      <c r="BP95" s="106">
        <v>3</v>
      </c>
      <c r="BQ95" s="106">
        <v>5198.3999999999996</v>
      </c>
      <c r="BR95" s="106">
        <v>3</v>
      </c>
      <c r="BS95" s="106">
        <v>5198.3999999999996</v>
      </c>
      <c r="BT95" s="106">
        <v>4</v>
      </c>
      <c r="BU95" s="106">
        <v>6931.2</v>
      </c>
      <c r="BV95" s="106">
        <v>4</v>
      </c>
      <c r="BW95" s="106">
        <v>6931.2</v>
      </c>
      <c r="BX95" s="106">
        <v>6</v>
      </c>
      <c r="BY95" s="106">
        <v>10396.799999999999</v>
      </c>
      <c r="BZ95" s="106">
        <v>6</v>
      </c>
      <c r="CA95" s="106">
        <v>10396.799999999999</v>
      </c>
      <c r="CB95" s="106">
        <v>12</v>
      </c>
      <c r="CC95" s="106">
        <v>20793.599999999999</v>
      </c>
      <c r="CD95" s="106">
        <v>6</v>
      </c>
      <c r="CE95" s="106">
        <v>10396.799999999999</v>
      </c>
      <c r="CF95" s="106">
        <v>5</v>
      </c>
      <c r="CG95" s="106">
        <v>8664</v>
      </c>
      <c r="CH95" s="106">
        <v>4</v>
      </c>
      <c r="CI95" s="106">
        <v>6931.2</v>
      </c>
      <c r="CJ95" s="106">
        <v>5</v>
      </c>
      <c r="CK95" s="106">
        <v>8664</v>
      </c>
      <c r="CL95" s="106">
        <v>6</v>
      </c>
      <c r="CM95" s="106">
        <v>10396.799999999999</v>
      </c>
      <c r="CN95" s="106">
        <v>9</v>
      </c>
      <c r="CO95" s="106">
        <v>15595.199999999999</v>
      </c>
      <c r="CP95" s="106">
        <v>10</v>
      </c>
      <c r="CQ95" s="106">
        <v>17328</v>
      </c>
      <c r="CR95" s="106">
        <v>7</v>
      </c>
      <c r="CS95" s="106">
        <v>12129.6</v>
      </c>
      <c r="CT95" s="106">
        <v>6</v>
      </c>
      <c r="CU95" s="106">
        <v>10396.799999999999</v>
      </c>
    </row>
    <row r="96" spans="2:99" x14ac:dyDescent="0.2">
      <c r="C96" s="105" t="s">
        <v>262</v>
      </c>
      <c r="D96" s="106">
        <v>17</v>
      </c>
      <c r="E96" s="106">
        <v>13994.4</v>
      </c>
      <c r="F96" s="106">
        <v>17</v>
      </c>
      <c r="G96" s="106">
        <v>13994.4</v>
      </c>
      <c r="H96" s="106">
        <v>18</v>
      </c>
      <c r="I96" s="106">
        <v>14817.599999999999</v>
      </c>
      <c r="J96" s="106">
        <v>17</v>
      </c>
      <c r="K96" s="106">
        <v>13994.4</v>
      </c>
      <c r="L96" s="106">
        <v>22</v>
      </c>
      <c r="M96" s="106">
        <v>18110.399999999998</v>
      </c>
      <c r="N96" s="106">
        <v>38</v>
      </c>
      <c r="O96" s="106">
        <v>31281.599999999999</v>
      </c>
      <c r="P96" s="106">
        <v>23</v>
      </c>
      <c r="Q96" s="106">
        <v>18933.599999999999</v>
      </c>
      <c r="R96" s="106">
        <v>33</v>
      </c>
      <c r="S96" s="106">
        <v>27165.599999999999</v>
      </c>
      <c r="T96" s="106">
        <v>15</v>
      </c>
      <c r="U96" s="106">
        <v>12347.999999999998</v>
      </c>
      <c r="V96" s="106">
        <v>11</v>
      </c>
      <c r="W96" s="106">
        <v>9055.1999999999989</v>
      </c>
      <c r="X96" s="106">
        <v>12</v>
      </c>
      <c r="Y96" s="106">
        <v>9878.4</v>
      </c>
      <c r="Z96" s="106">
        <v>12</v>
      </c>
      <c r="AA96" s="106">
        <v>9878.4</v>
      </c>
      <c r="AB96" s="106">
        <v>8</v>
      </c>
      <c r="AC96" s="106">
        <v>6585.5999999999995</v>
      </c>
      <c r="AD96" s="106">
        <v>5</v>
      </c>
      <c r="AE96" s="106">
        <v>4116</v>
      </c>
      <c r="AF96" s="106">
        <v>5</v>
      </c>
      <c r="AG96" s="106">
        <v>4116</v>
      </c>
      <c r="AH96" s="106">
        <v>6</v>
      </c>
      <c r="AI96" s="106">
        <v>4939.2</v>
      </c>
      <c r="AJ96" s="106">
        <v>10</v>
      </c>
      <c r="AK96" s="106">
        <v>8232</v>
      </c>
      <c r="AL96" s="106">
        <v>10</v>
      </c>
      <c r="AM96" s="106">
        <v>8232</v>
      </c>
      <c r="AN96" s="106">
        <v>6</v>
      </c>
      <c r="AO96" s="106">
        <v>4939.2</v>
      </c>
      <c r="AP96" s="106">
        <v>8</v>
      </c>
      <c r="AQ96" s="106">
        <v>6585.5999999999995</v>
      </c>
      <c r="AR96" s="106">
        <v>3</v>
      </c>
      <c r="AS96" s="106">
        <v>2469.6</v>
      </c>
      <c r="AT96" s="106">
        <v>3</v>
      </c>
      <c r="AU96" s="106">
        <v>2469.6</v>
      </c>
      <c r="AV96" s="106">
        <v>5</v>
      </c>
      <c r="AW96" s="106">
        <v>4116</v>
      </c>
      <c r="AX96" s="106">
        <v>5</v>
      </c>
      <c r="AY96" s="106">
        <v>4116</v>
      </c>
      <c r="AZ96" s="106">
        <v>8</v>
      </c>
      <c r="BA96" s="106">
        <v>6585.5999999999995</v>
      </c>
      <c r="BB96" s="106">
        <v>6</v>
      </c>
      <c r="BC96" s="106">
        <v>4939.2</v>
      </c>
      <c r="BD96" s="106">
        <v>6</v>
      </c>
      <c r="BE96" s="106">
        <v>4939.2</v>
      </c>
      <c r="BF96" s="106">
        <v>8</v>
      </c>
      <c r="BG96" s="106">
        <v>6585.5999999999995</v>
      </c>
      <c r="BH96" s="106">
        <v>7</v>
      </c>
      <c r="BI96" s="106">
        <v>5762.4</v>
      </c>
      <c r="BJ96" s="106">
        <v>10</v>
      </c>
      <c r="BK96" s="106">
        <v>8232</v>
      </c>
      <c r="BL96" s="106">
        <v>10</v>
      </c>
      <c r="BM96" s="106">
        <v>8232</v>
      </c>
      <c r="BN96" s="106">
        <v>8</v>
      </c>
      <c r="BO96" s="106">
        <v>6585.5999999999995</v>
      </c>
      <c r="BP96" s="106">
        <v>4</v>
      </c>
      <c r="BQ96" s="106">
        <v>3292.7999999999997</v>
      </c>
      <c r="BR96" s="106">
        <v>3</v>
      </c>
      <c r="BS96" s="106">
        <v>2469.6</v>
      </c>
      <c r="BT96" s="106">
        <v>4</v>
      </c>
      <c r="BU96" s="106">
        <v>3292.7999999999997</v>
      </c>
      <c r="BV96" s="106">
        <v>4</v>
      </c>
      <c r="BW96" s="106">
        <v>3292.7999999999997</v>
      </c>
      <c r="BX96" s="106">
        <v>7</v>
      </c>
      <c r="BY96" s="106">
        <v>5762.4</v>
      </c>
      <c r="BZ96" s="106">
        <v>8</v>
      </c>
      <c r="CA96" s="106">
        <v>6585.5999999999995</v>
      </c>
      <c r="CB96" s="106">
        <v>12</v>
      </c>
      <c r="CC96" s="106">
        <v>9878.4</v>
      </c>
      <c r="CD96" s="106">
        <v>7</v>
      </c>
      <c r="CE96" s="106">
        <v>5762.4</v>
      </c>
      <c r="CF96" s="106">
        <v>5</v>
      </c>
      <c r="CG96" s="106">
        <v>4116</v>
      </c>
      <c r="CH96" s="106">
        <v>4</v>
      </c>
      <c r="CI96" s="106">
        <v>3292.7999999999997</v>
      </c>
      <c r="CJ96" s="106">
        <v>6</v>
      </c>
      <c r="CK96" s="106">
        <v>4939.2</v>
      </c>
      <c r="CL96" s="106">
        <v>6</v>
      </c>
      <c r="CM96" s="106">
        <v>4939.2</v>
      </c>
      <c r="CN96" s="106">
        <v>9</v>
      </c>
      <c r="CO96" s="106">
        <v>7408.7999999999993</v>
      </c>
      <c r="CP96" s="106">
        <v>12</v>
      </c>
      <c r="CQ96" s="106">
        <v>9878.4</v>
      </c>
      <c r="CR96" s="106">
        <v>8</v>
      </c>
      <c r="CS96" s="106">
        <v>6585.5999999999995</v>
      </c>
      <c r="CT96" s="106">
        <v>8</v>
      </c>
      <c r="CU96" s="106">
        <v>6585.5999999999995</v>
      </c>
    </row>
    <row r="97" spans="2:99" x14ac:dyDescent="0.2">
      <c r="C97" s="105" t="s">
        <v>263</v>
      </c>
      <c r="D97" s="106">
        <v>13</v>
      </c>
      <c r="E97" s="106">
        <v>23774.399999999998</v>
      </c>
      <c r="F97" s="106">
        <v>14</v>
      </c>
      <c r="G97" s="106">
        <v>25603.200000000001</v>
      </c>
      <c r="H97" s="106">
        <v>15</v>
      </c>
      <c r="I97" s="106">
        <v>27432</v>
      </c>
      <c r="J97" s="106">
        <v>14</v>
      </c>
      <c r="K97" s="106">
        <v>25603.200000000001</v>
      </c>
      <c r="L97" s="106">
        <v>18</v>
      </c>
      <c r="M97" s="106">
        <v>32918.400000000001</v>
      </c>
      <c r="N97" s="106">
        <v>33</v>
      </c>
      <c r="O97" s="106">
        <v>60350.400000000001</v>
      </c>
      <c r="P97" s="106">
        <v>19</v>
      </c>
      <c r="Q97" s="106">
        <v>34747.199999999997</v>
      </c>
      <c r="R97" s="106">
        <v>29</v>
      </c>
      <c r="S97" s="106">
        <v>53035.199999999997</v>
      </c>
      <c r="T97" s="106">
        <v>13</v>
      </c>
      <c r="U97" s="106">
        <v>23774.399999999998</v>
      </c>
      <c r="V97" s="106">
        <v>10</v>
      </c>
      <c r="W97" s="106">
        <v>18288</v>
      </c>
      <c r="X97" s="106">
        <v>11</v>
      </c>
      <c r="Y97" s="106">
        <v>20116.8</v>
      </c>
      <c r="Z97" s="106">
        <v>9</v>
      </c>
      <c r="AA97" s="106">
        <v>16459.2</v>
      </c>
      <c r="AB97" s="106">
        <v>6</v>
      </c>
      <c r="AC97" s="106">
        <v>10972.8</v>
      </c>
      <c r="AD97" s="106">
        <v>4</v>
      </c>
      <c r="AE97" s="106">
        <v>7315.2</v>
      </c>
      <c r="AF97" s="106">
        <v>4</v>
      </c>
      <c r="AG97" s="106">
        <v>7315.2</v>
      </c>
      <c r="AH97" s="106">
        <v>7</v>
      </c>
      <c r="AI97" s="106">
        <v>12801.6</v>
      </c>
      <c r="AJ97" s="106">
        <v>9</v>
      </c>
      <c r="AK97" s="106">
        <v>16459.2</v>
      </c>
      <c r="AL97" s="106">
        <v>8</v>
      </c>
      <c r="AM97" s="106">
        <v>14630.4</v>
      </c>
      <c r="AN97" s="106">
        <v>5</v>
      </c>
      <c r="AO97" s="106">
        <v>9144</v>
      </c>
      <c r="AP97" s="106">
        <v>7</v>
      </c>
      <c r="AQ97" s="106">
        <v>12801.6</v>
      </c>
      <c r="AR97" s="106">
        <v>3</v>
      </c>
      <c r="AS97" s="106">
        <v>5486.4</v>
      </c>
      <c r="AT97" s="106">
        <v>2</v>
      </c>
      <c r="AU97" s="106">
        <v>3657.6</v>
      </c>
      <c r="AV97" s="106">
        <v>4</v>
      </c>
      <c r="AW97" s="106">
        <v>7315.2</v>
      </c>
      <c r="AX97" s="106">
        <v>5</v>
      </c>
      <c r="AY97" s="106">
        <v>9144</v>
      </c>
      <c r="AZ97" s="106">
        <v>7</v>
      </c>
      <c r="BA97" s="106">
        <v>12801.6</v>
      </c>
      <c r="BB97" s="106">
        <v>6</v>
      </c>
      <c r="BC97" s="106">
        <v>10972.8</v>
      </c>
      <c r="BD97" s="106">
        <v>5</v>
      </c>
      <c r="BE97" s="106">
        <v>9144</v>
      </c>
      <c r="BF97" s="106">
        <v>8</v>
      </c>
      <c r="BG97" s="106">
        <v>14630.4</v>
      </c>
      <c r="BH97" s="106">
        <v>7</v>
      </c>
      <c r="BI97" s="106">
        <v>12801.6</v>
      </c>
      <c r="BJ97" s="106">
        <v>9</v>
      </c>
      <c r="BK97" s="106">
        <v>16459.2</v>
      </c>
      <c r="BL97" s="106">
        <v>8</v>
      </c>
      <c r="BM97" s="106">
        <v>14630.4</v>
      </c>
      <c r="BN97" s="106">
        <v>7</v>
      </c>
      <c r="BO97" s="106">
        <v>12801.6</v>
      </c>
      <c r="BP97" s="106">
        <v>4</v>
      </c>
      <c r="BQ97" s="106">
        <v>7315.2</v>
      </c>
      <c r="BR97" s="106">
        <v>2</v>
      </c>
      <c r="BS97" s="106">
        <v>3657.6</v>
      </c>
      <c r="BT97" s="106">
        <v>3</v>
      </c>
      <c r="BU97" s="106">
        <v>5486.4</v>
      </c>
      <c r="BV97" s="106">
        <v>4</v>
      </c>
      <c r="BW97" s="106">
        <v>7315.2</v>
      </c>
      <c r="BX97" s="106">
        <v>6</v>
      </c>
      <c r="BY97" s="106">
        <v>10972.8</v>
      </c>
      <c r="BZ97" s="106">
        <v>6</v>
      </c>
      <c r="CA97" s="106">
        <v>10972.8</v>
      </c>
      <c r="CB97" s="106">
        <v>10</v>
      </c>
      <c r="CC97" s="106">
        <v>18288</v>
      </c>
      <c r="CD97" s="106">
        <v>7</v>
      </c>
      <c r="CE97" s="106">
        <v>12801.6</v>
      </c>
      <c r="CF97" s="106">
        <v>5</v>
      </c>
      <c r="CG97" s="106">
        <v>9144</v>
      </c>
      <c r="CH97" s="106">
        <v>5</v>
      </c>
      <c r="CI97" s="106">
        <v>9144</v>
      </c>
      <c r="CJ97" s="106">
        <v>5</v>
      </c>
      <c r="CK97" s="106">
        <v>9144</v>
      </c>
      <c r="CL97" s="106">
        <v>6</v>
      </c>
      <c r="CM97" s="106">
        <v>10972.8</v>
      </c>
      <c r="CN97" s="106">
        <v>9</v>
      </c>
      <c r="CO97" s="106">
        <v>16459.2</v>
      </c>
      <c r="CP97" s="106">
        <v>9</v>
      </c>
      <c r="CQ97" s="106">
        <v>16459.2</v>
      </c>
      <c r="CR97" s="106">
        <v>7</v>
      </c>
      <c r="CS97" s="106">
        <v>12801.6</v>
      </c>
      <c r="CT97" s="106">
        <v>7</v>
      </c>
      <c r="CU97" s="106">
        <v>12801.6</v>
      </c>
    </row>
    <row r="98" spans="2:99" x14ac:dyDescent="0.2">
      <c r="C98" s="105" t="s">
        <v>264</v>
      </c>
      <c r="D98" s="106">
        <v>14</v>
      </c>
      <c r="E98" s="106">
        <v>17690.399999999998</v>
      </c>
      <c r="F98" s="106">
        <v>14</v>
      </c>
      <c r="G98" s="106">
        <v>17690.399999999998</v>
      </c>
      <c r="H98" s="106">
        <v>16</v>
      </c>
      <c r="I98" s="106">
        <v>20217.599999999999</v>
      </c>
      <c r="J98" s="106">
        <v>15</v>
      </c>
      <c r="K98" s="106">
        <v>18954</v>
      </c>
      <c r="L98" s="106">
        <v>20</v>
      </c>
      <c r="M98" s="106">
        <v>25272</v>
      </c>
      <c r="N98" s="106">
        <v>36</v>
      </c>
      <c r="O98" s="106">
        <v>45489.599999999999</v>
      </c>
      <c r="P98" s="106">
        <v>23</v>
      </c>
      <c r="Q98" s="106">
        <v>29062.799999999999</v>
      </c>
      <c r="R98" s="106">
        <v>27</v>
      </c>
      <c r="S98" s="106">
        <v>34117.199999999997</v>
      </c>
      <c r="T98" s="106">
        <v>16</v>
      </c>
      <c r="U98" s="106">
        <v>20217.599999999999</v>
      </c>
      <c r="V98" s="106">
        <v>12</v>
      </c>
      <c r="W98" s="106">
        <v>15163.199999999999</v>
      </c>
      <c r="X98" s="106">
        <v>10</v>
      </c>
      <c r="Y98" s="106">
        <v>12636</v>
      </c>
      <c r="Z98" s="106">
        <v>10</v>
      </c>
      <c r="AA98" s="106">
        <v>12636</v>
      </c>
      <c r="AB98" s="106">
        <v>7</v>
      </c>
      <c r="AC98" s="106">
        <v>8845.1999999999989</v>
      </c>
      <c r="AD98" s="106">
        <v>5</v>
      </c>
      <c r="AE98" s="106">
        <v>6318</v>
      </c>
      <c r="AF98" s="106">
        <v>5</v>
      </c>
      <c r="AG98" s="106">
        <v>6318</v>
      </c>
      <c r="AH98" s="106">
        <v>7</v>
      </c>
      <c r="AI98" s="106">
        <v>8845.1999999999989</v>
      </c>
      <c r="AJ98" s="106">
        <v>10</v>
      </c>
      <c r="AK98" s="106">
        <v>12636</v>
      </c>
      <c r="AL98" s="106">
        <v>9</v>
      </c>
      <c r="AM98" s="106">
        <v>11372.4</v>
      </c>
      <c r="AN98" s="106">
        <v>6</v>
      </c>
      <c r="AO98" s="106">
        <v>7581.5999999999995</v>
      </c>
      <c r="AP98" s="106">
        <v>9</v>
      </c>
      <c r="AQ98" s="106">
        <v>11372.4</v>
      </c>
      <c r="AR98" s="106">
        <v>3</v>
      </c>
      <c r="AS98" s="106">
        <v>3790.7999999999997</v>
      </c>
      <c r="AT98" s="106">
        <v>3</v>
      </c>
      <c r="AU98" s="106">
        <v>3790.7999999999997</v>
      </c>
      <c r="AV98" s="106">
        <v>5</v>
      </c>
      <c r="AW98" s="106">
        <v>6318</v>
      </c>
      <c r="AX98" s="106">
        <v>4</v>
      </c>
      <c r="AY98" s="106">
        <v>5054.3999999999996</v>
      </c>
      <c r="AZ98" s="106">
        <v>7</v>
      </c>
      <c r="BA98" s="106">
        <v>8845.1999999999989</v>
      </c>
      <c r="BB98" s="106">
        <v>6</v>
      </c>
      <c r="BC98" s="106">
        <v>7581.5999999999995</v>
      </c>
      <c r="BD98" s="106">
        <v>5</v>
      </c>
      <c r="BE98" s="106">
        <v>6318</v>
      </c>
      <c r="BF98" s="106">
        <v>8</v>
      </c>
      <c r="BG98" s="106">
        <v>10108.799999999999</v>
      </c>
      <c r="BH98" s="106">
        <v>8</v>
      </c>
      <c r="BI98" s="106">
        <v>10108.799999999999</v>
      </c>
      <c r="BJ98" s="106">
        <v>10</v>
      </c>
      <c r="BK98" s="106">
        <v>12636</v>
      </c>
      <c r="BL98" s="106">
        <v>8</v>
      </c>
      <c r="BM98" s="106">
        <v>10108.799999999999</v>
      </c>
      <c r="BN98" s="106">
        <v>8</v>
      </c>
      <c r="BO98" s="106">
        <v>10108.799999999999</v>
      </c>
      <c r="BP98" s="106">
        <v>4</v>
      </c>
      <c r="BQ98" s="106">
        <v>5054.3999999999996</v>
      </c>
      <c r="BR98" s="106">
        <v>3</v>
      </c>
      <c r="BS98" s="106">
        <v>3790.7999999999997</v>
      </c>
      <c r="BT98" s="106">
        <v>4</v>
      </c>
      <c r="BU98" s="106">
        <v>5054.3999999999996</v>
      </c>
      <c r="BV98" s="106">
        <v>4</v>
      </c>
      <c r="BW98" s="106">
        <v>5054.3999999999996</v>
      </c>
      <c r="BX98" s="106">
        <v>6</v>
      </c>
      <c r="BY98" s="106">
        <v>7581.5999999999995</v>
      </c>
      <c r="BZ98" s="106">
        <v>7</v>
      </c>
      <c r="CA98" s="106">
        <v>8845.1999999999989</v>
      </c>
      <c r="CB98" s="106">
        <v>13</v>
      </c>
      <c r="CC98" s="106">
        <v>16426.8</v>
      </c>
      <c r="CD98" s="106">
        <v>6</v>
      </c>
      <c r="CE98" s="106">
        <v>7581.5999999999995</v>
      </c>
      <c r="CF98" s="106">
        <v>5</v>
      </c>
      <c r="CG98" s="106">
        <v>6318</v>
      </c>
      <c r="CH98" s="106">
        <v>5</v>
      </c>
      <c r="CI98" s="106">
        <v>6318</v>
      </c>
      <c r="CJ98" s="106">
        <v>5</v>
      </c>
      <c r="CK98" s="106">
        <v>6318</v>
      </c>
      <c r="CL98" s="106">
        <v>7</v>
      </c>
      <c r="CM98" s="106">
        <v>8845.1999999999989</v>
      </c>
      <c r="CN98" s="106">
        <v>9</v>
      </c>
      <c r="CO98" s="106">
        <v>11372.4</v>
      </c>
      <c r="CP98" s="106">
        <v>10</v>
      </c>
      <c r="CQ98" s="106">
        <v>12636</v>
      </c>
      <c r="CR98" s="106">
        <v>8</v>
      </c>
      <c r="CS98" s="106">
        <v>10108.799999999999</v>
      </c>
      <c r="CT98" s="106">
        <v>7</v>
      </c>
      <c r="CU98" s="106">
        <v>8845.1999999999989</v>
      </c>
    </row>
    <row r="99" spans="2:99" x14ac:dyDescent="0.2">
      <c r="C99" s="105" t="s">
        <v>265</v>
      </c>
      <c r="D99" s="106">
        <v>10</v>
      </c>
      <c r="E99" s="106">
        <v>54815.999999999993</v>
      </c>
      <c r="F99" s="106">
        <v>9</v>
      </c>
      <c r="G99" s="106">
        <v>49334.399999999994</v>
      </c>
      <c r="H99" s="106">
        <v>10</v>
      </c>
      <c r="I99" s="106">
        <v>54815.999999999993</v>
      </c>
      <c r="J99" s="106">
        <v>9</v>
      </c>
      <c r="K99" s="106">
        <v>49334.399999999994</v>
      </c>
      <c r="L99" s="106">
        <v>13</v>
      </c>
      <c r="M99" s="106">
        <v>71260.799999999988</v>
      </c>
      <c r="N99" s="106">
        <v>20</v>
      </c>
      <c r="O99" s="106">
        <v>109631.99999999999</v>
      </c>
      <c r="P99" s="106">
        <v>11</v>
      </c>
      <c r="Q99" s="106">
        <v>60297.599999999991</v>
      </c>
      <c r="R99" s="106">
        <v>16</v>
      </c>
      <c r="S99" s="106">
        <v>87705.599999999991</v>
      </c>
      <c r="T99" s="106">
        <v>10</v>
      </c>
      <c r="U99" s="106">
        <v>54815.999999999993</v>
      </c>
      <c r="V99" s="106">
        <v>8</v>
      </c>
      <c r="W99" s="106">
        <v>43852.799999999996</v>
      </c>
      <c r="X99" s="106">
        <v>6</v>
      </c>
      <c r="Y99" s="106">
        <v>32889.599999999999</v>
      </c>
      <c r="Z99" s="106">
        <v>6</v>
      </c>
      <c r="AA99" s="106">
        <v>32889.599999999999</v>
      </c>
      <c r="AB99" s="106">
        <v>5</v>
      </c>
      <c r="AC99" s="106">
        <v>27407.999999999996</v>
      </c>
      <c r="AD99" s="106">
        <v>3</v>
      </c>
      <c r="AE99" s="106">
        <v>16444.8</v>
      </c>
      <c r="AF99" s="106">
        <v>3</v>
      </c>
      <c r="AG99" s="106">
        <v>16444.8</v>
      </c>
      <c r="AH99" s="106">
        <v>5</v>
      </c>
      <c r="AI99" s="106">
        <v>27407.999999999996</v>
      </c>
      <c r="AJ99" s="106">
        <v>6</v>
      </c>
      <c r="AK99" s="106">
        <v>32889.599999999999</v>
      </c>
      <c r="AL99" s="106">
        <v>6</v>
      </c>
      <c r="AM99" s="106">
        <v>32889.599999999999</v>
      </c>
      <c r="AN99" s="106">
        <v>4</v>
      </c>
      <c r="AO99" s="106">
        <v>21926.399999999998</v>
      </c>
      <c r="AP99" s="106">
        <v>5</v>
      </c>
      <c r="AQ99" s="106">
        <v>27407.999999999996</v>
      </c>
      <c r="AR99" s="106">
        <v>2</v>
      </c>
      <c r="AS99" s="106">
        <v>10963.199999999999</v>
      </c>
      <c r="AT99" s="106">
        <v>2</v>
      </c>
      <c r="AU99" s="106">
        <v>10963.199999999999</v>
      </c>
      <c r="AV99" s="106">
        <v>3</v>
      </c>
      <c r="AW99" s="106">
        <v>16444.8</v>
      </c>
      <c r="AX99" s="106">
        <v>3</v>
      </c>
      <c r="AY99" s="106">
        <v>16444.8</v>
      </c>
      <c r="AZ99" s="106">
        <v>5</v>
      </c>
      <c r="BA99" s="106">
        <v>27407.999999999996</v>
      </c>
      <c r="BB99" s="106">
        <v>4</v>
      </c>
      <c r="BC99" s="106">
        <v>21926.399999999998</v>
      </c>
      <c r="BD99" s="106">
        <v>4</v>
      </c>
      <c r="BE99" s="106">
        <v>21926.399999999998</v>
      </c>
      <c r="BF99" s="106">
        <v>5</v>
      </c>
      <c r="BG99" s="106">
        <v>27407.999999999996</v>
      </c>
      <c r="BH99" s="106">
        <v>5</v>
      </c>
      <c r="BI99" s="106">
        <v>27407.999999999996</v>
      </c>
      <c r="BJ99" s="106">
        <v>7</v>
      </c>
      <c r="BK99" s="106">
        <v>38371.199999999997</v>
      </c>
      <c r="BL99" s="106">
        <v>6</v>
      </c>
      <c r="BM99" s="106">
        <v>32889.599999999999</v>
      </c>
      <c r="BN99" s="106">
        <v>5</v>
      </c>
      <c r="BO99" s="106">
        <v>27407.999999999996</v>
      </c>
      <c r="BP99" s="106">
        <v>3</v>
      </c>
      <c r="BQ99" s="106">
        <v>16444.8</v>
      </c>
      <c r="BR99" s="106">
        <v>2</v>
      </c>
      <c r="BS99" s="106">
        <v>10963.199999999999</v>
      </c>
      <c r="BT99" s="106">
        <v>3</v>
      </c>
      <c r="BU99" s="106">
        <v>16444.8</v>
      </c>
      <c r="BV99" s="106">
        <v>3</v>
      </c>
      <c r="BW99" s="106">
        <v>16444.8</v>
      </c>
      <c r="BX99" s="106">
        <v>4</v>
      </c>
      <c r="BY99" s="106">
        <v>21926.399999999998</v>
      </c>
      <c r="BZ99" s="106">
        <v>5</v>
      </c>
      <c r="CA99" s="106">
        <v>27407.999999999996</v>
      </c>
      <c r="CB99" s="106">
        <v>9</v>
      </c>
      <c r="CC99" s="106">
        <v>49334.399999999994</v>
      </c>
      <c r="CD99" s="106">
        <v>5</v>
      </c>
      <c r="CE99" s="106">
        <v>27407.999999999996</v>
      </c>
      <c r="CF99" s="106">
        <v>4</v>
      </c>
      <c r="CG99" s="106">
        <v>21926.399999999998</v>
      </c>
      <c r="CH99" s="106">
        <v>4</v>
      </c>
      <c r="CI99" s="106">
        <v>21926.399999999998</v>
      </c>
      <c r="CJ99" s="106">
        <v>3</v>
      </c>
      <c r="CK99" s="106">
        <v>16444.8</v>
      </c>
      <c r="CL99" s="106">
        <v>5</v>
      </c>
      <c r="CM99" s="106">
        <v>27407.999999999996</v>
      </c>
      <c r="CN99" s="106">
        <v>6</v>
      </c>
      <c r="CO99" s="106">
        <v>32889.599999999999</v>
      </c>
      <c r="CP99" s="106">
        <v>7</v>
      </c>
      <c r="CQ99" s="106">
        <v>38371.199999999997</v>
      </c>
      <c r="CR99" s="106">
        <v>5</v>
      </c>
      <c r="CS99" s="106">
        <v>27407.999999999996</v>
      </c>
      <c r="CT99" s="106">
        <v>5</v>
      </c>
      <c r="CU99" s="106">
        <v>27407.999999999996</v>
      </c>
    </row>
    <row r="100" spans="2:99" x14ac:dyDescent="0.2">
      <c r="C100" s="105" t="s">
        <v>266</v>
      </c>
      <c r="D100" s="106">
        <v>15</v>
      </c>
      <c r="E100" s="106">
        <v>24335.999999999996</v>
      </c>
      <c r="F100" s="106">
        <v>13</v>
      </c>
      <c r="G100" s="106">
        <v>21091.199999999997</v>
      </c>
      <c r="H100" s="106">
        <v>17</v>
      </c>
      <c r="I100" s="106">
        <v>27580.799999999999</v>
      </c>
      <c r="J100" s="106">
        <v>14</v>
      </c>
      <c r="K100" s="106">
        <v>22713.599999999999</v>
      </c>
      <c r="L100" s="106">
        <v>20</v>
      </c>
      <c r="M100" s="106">
        <v>32447.999999999996</v>
      </c>
      <c r="N100" s="106">
        <v>39</v>
      </c>
      <c r="O100" s="106">
        <v>63273.599999999991</v>
      </c>
      <c r="P100" s="106">
        <v>20</v>
      </c>
      <c r="Q100" s="106">
        <v>32447.999999999996</v>
      </c>
      <c r="R100" s="106">
        <v>27</v>
      </c>
      <c r="S100" s="106">
        <v>43804.799999999996</v>
      </c>
      <c r="T100" s="106">
        <v>13</v>
      </c>
      <c r="U100" s="106">
        <v>21091.199999999997</v>
      </c>
      <c r="V100" s="106">
        <v>11</v>
      </c>
      <c r="W100" s="106">
        <v>17846.399999999998</v>
      </c>
      <c r="X100" s="106">
        <v>10</v>
      </c>
      <c r="Y100" s="106">
        <v>16223.999999999998</v>
      </c>
      <c r="Z100" s="106">
        <v>11</v>
      </c>
      <c r="AA100" s="106">
        <v>17846.399999999998</v>
      </c>
      <c r="AB100" s="106">
        <v>6</v>
      </c>
      <c r="AC100" s="106">
        <v>9734.4</v>
      </c>
      <c r="AD100" s="106">
        <v>4</v>
      </c>
      <c r="AE100" s="106">
        <v>6489.5999999999995</v>
      </c>
      <c r="AF100" s="106">
        <v>4</v>
      </c>
      <c r="AG100" s="106">
        <v>6489.5999999999995</v>
      </c>
      <c r="AH100" s="106">
        <v>6</v>
      </c>
      <c r="AI100" s="106">
        <v>9734.4</v>
      </c>
      <c r="AJ100" s="106">
        <v>10</v>
      </c>
      <c r="AK100" s="106">
        <v>16223.999999999998</v>
      </c>
      <c r="AL100" s="106">
        <v>9</v>
      </c>
      <c r="AM100" s="106">
        <v>14601.599999999999</v>
      </c>
      <c r="AN100" s="106">
        <v>5</v>
      </c>
      <c r="AO100" s="106">
        <v>8111.9999999999991</v>
      </c>
      <c r="AP100" s="106">
        <v>8</v>
      </c>
      <c r="AQ100" s="106">
        <v>12979.199999999999</v>
      </c>
      <c r="AR100" s="106">
        <v>3</v>
      </c>
      <c r="AS100" s="106">
        <v>4867.2</v>
      </c>
      <c r="AT100" s="106">
        <v>2</v>
      </c>
      <c r="AU100" s="106">
        <v>3244.7999999999997</v>
      </c>
      <c r="AV100" s="106">
        <v>5</v>
      </c>
      <c r="AW100" s="106">
        <v>8111.9999999999991</v>
      </c>
      <c r="AX100" s="106">
        <v>4</v>
      </c>
      <c r="AY100" s="106">
        <v>6489.5999999999995</v>
      </c>
      <c r="AZ100" s="106">
        <v>7</v>
      </c>
      <c r="BA100" s="106">
        <v>11356.8</v>
      </c>
      <c r="BB100" s="106">
        <v>6</v>
      </c>
      <c r="BC100" s="106">
        <v>9734.4</v>
      </c>
      <c r="BD100" s="106">
        <v>5</v>
      </c>
      <c r="BE100" s="106">
        <v>8111.9999999999991</v>
      </c>
      <c r="BF100" s="106">
        <v>8</v>
      </c>
      <c r="BG100" s="106">
        <v>12979.199999999999</v>
      </c>
      <c r="BH100" s="106">
        <v>8</v>
      </c>
      <c r="BI100" s="106">
        <v>12979.199999999999</v>
      </c>
      <c r="BJ100" s="106">
        <v>9</v>
      </c>
      <c r="BK100" s="106">
        <v>14601.599999999999</v>
      </c>
      <c r="BL100" s="106">
        <v>8</v>
      </c>
      <c r="BM100" s="106">
        <v>12979.199999999999</v>
      </c>
      <c r="BN100" s="106">
        <v>8</v>
      </c>
      <c r="BO100" s="106">
        <v>12979.199999999999</v>
      </c>
      <c r="BP100" s="106">
        <v>4</v>
      </c>
      <c r="BQ100" s="106">
        <v>6489.5999999999995</v>
      </c>
      <c r="BR100" s="106">
        <v>3</v>
      </c>
      <c r="BS100" s="106">
        <v>4867.2</v>
      </c>
      <c r="BT100" s="106">
        <v>4</v>
      </c>
      <c r="BU100" s="106">
        <v>6489.5999999999995</v>
      </c>
      <c r="BV100" s="106">
        <v>4</v>
      </c>
      <c r="BW100" s="106">
        <v>6489.5999999999995</v>
      </c>
      <c r="BX100" s="106">
        <v>6</v>
      </c>
      <c r="BY100" s="106">
        <v>9734.4</v>
      </c>
      <c r="BZ100" s="106">
        <v>6</v>
      </c>
      <c r="CA100" s="106">
        <v>9734.4</v>
      </c>
      <c r="CB100" s="106">
        <v>12</v>
      </c>
      <c r="CC100" s="106">
        <v>19468.8</v>
      </c>
      <c r="CD100" s="106">
        <v>6</v>
      </c>
      <c r="CE100" s="106">
        <v>9734.4</v>
      </c>
      <c r="CF100" s="106">
        <v>5</v>
      </c>
      <c r="CG100" s="106">
        <v>8111.9999999999991</v>
      </c>
      <c r="CH100" s="106">
        <v>4</v>
      </c>
      <c r="CI100" s="106">
        <v>6489.5999999999995</v>
      </c>
      <c r="CJ100" s="106">
        <v>5</v>
      </c>
      <c r="CK100" s="106">
        <v>8111.9999999999991</v>
      </c>
      <c r="CL100" s="106">
        <v>7</v>
      </c>
      <c r="CM100" s="106">
        <v>11356.8</v>
      </c>
      <c r="CN100" s="106">
        <v>10</v>
      </c>
      <c r="CO100" s="106">
        <v>16223.999999999998</v>
      </c>
      <c r="CP100" s="106">
        <v>10</v>
      </c>
      <c r="CQ100" s="106">
        <v>16223.999999999998</v>
      </c>
      <c r="CR100" s="106">
        <v>8</v>
      </c>
      <c r="CS100" s="106">
        <v>12979.199999999999</v>
      </c>
      <c r="CT100" s="106">
        <v>6</v>
      </c>
      <c r="CU100" s="106">
        <v>9734.4</v>
      </c>
    </row>
    <row r="101" spans="2:99" x14ac:dyDescent="0.2">
      <c r="C101" s="105" t="s">
        <v>267</v>
      </c>
      <c r="D101" s="106">
        <v>15</v>
      </c>
      <c r="E101" s="106">
        <v>17855.999999999996</v>
      </c>
      <c r="F101" s="106">
        <v>16</v>
      </c>
      <c r="G101" s="106">
        <v>19046.399999999998</v>
      </c>
      <c r="H101" s="106">
        <v>18</v>
      </c>
      <c r="I101" s="106">
        <v>21427.199999999997</v>
      </c>
      <c r="J101" s="106">
        <v>16</v>
      </c>
      <c r="K101" s="106">
        <v>19046.399999999998</v>
      </c>
      <c r="L101" s="106">
        <v>20</v>
      </c>
      <c r="M101" s="106">
        <v>23807.999999999996</v>
      </c>
      <c r="N101" s="106">
        <v>43</v>
      </c>
      <c r="O101" s="106">
        <v>51187.199999999997</v>
      </c>
      <c r="P101" s="106">
        <v>21</v>
      </c>
      <c r="Q101" s="106">
        <v>24998.399999999998</v>
      </c>
      <c r="R101" s="106">
        <v>28</v>
      </c>
      <c r="S101" s="106">
        <v>33331.199999999997</v>
      </c>
      <c r="T101" s="106">
        <v>16</v>
      </c>
      <c r="U101" s="106">
        <v>19046.399999999998</v>
      </c>
      <c r="V101" s="106">
        <v>10</v>
      </c>
      <c r="W101" s="106">
        <v>11903.999999999998</v>
      </c>
      <c r="X101" s="106">
        <v>11</v>
      </c>
      <c r="Y101" s="106">
        <v>13094.399999999998</v>
      </c>
      <c r="Z101" s="106">
        <v>11</v>
      </c>
      <c r="AA101" s="106">
        <v>13094.399999999998</v>
      </c>
      <c r="AB101" s="106">
        <v>8</v>
      </c>
      <c r="AC101" s="106">
        <v>9523.1999999999989</v>
      </c>
      <c r="AD101" s="106">
        <v>4</v>
      </c>
      <c r="AE101" s="106">
        <v>4761.5999999999995</v>
      </c>
      <c r="AF101" s="106">
        <v>5</v>
      </c>
      <c r="AG101" s="106">
        <v>5951.9999999999991</v>
      </c>
      <c r="AH101" s="106">
        <v>6</v>
      </c>
      <c r="AI101" s="106">
        <v>7142.4</v>
      </c>
      <c r="AJ101" s="106">
        <v>10</v>
      </c>
      <c r="AK101" s="106">
        <v>11903.999999999998</v>
      </c>
      <c r="AL101" s="106">
        <v>9</v>
      </c>
      <c r="AM101" s="106">
        <v>10713.599999999999</v>
      </c>
      <c r="AN101" s="106">
        <v>6</v>
      </c>
      <c r="AO101" s="106">
        <v>7142.4</v>
      </c>
      <c r="AP101" s="106">
        <v>8</v>
      </c>
      <c r="AQ101" s="106">
        <v>9523.1999999999989</v>
      </c>
      <c r="AR101" s="106">
        <v>3</v>
      </c>
      <c r="AS101" s="106">
        <v>3571.2</v>
      </c>
      <c r="AT101" s="106">
        <v>3</v>
      </c>
      <c r="AU101" s="106">
        <v>3571.2</v>
      </c>
      <c r="AV101" s="106">
        <v>5</v>
      </c>
      <c r="AW101" s="106">
        <v>5951.9999999999991</v>
      </c>
      <c r="AX101" s="106">
        <v>5</v>
      </c>
      <c r="AY101" s="106">
        <v>5951.9999999999991</v>
      </c>
      <c r="AZ101" s="106">
        <v>7</v>
      </c>
      <c r="BA101" s="106">
        <v>8332.7999999999993</v>
      </c>
      <c r="BB101" s="106">
        <v>7</v>
      </c>
      <c r="BC101" s="106">
        <v>8332.7999999999993</v>
      </c>
      <c r="BD101" s="106">
        <v>6</v>
      </c>
      <c r="BE101" s="106">
        <v>7142.4</v>
      </c>
      <c r="BF101" s="106">
        <v>9</v>
      </c>
      <c r="BG101" s="106">
        <v>10713.599999999999</v>
      </c>
      <c r="BH101" s="106">
        <v>7</v>
      </c>
      <c r="BI101" s="106">
        <v>8332.7999999999993</v>
      </c>
      <c r="BJ101" s="106">
        <v>8</v>
      </c>
      <c r="BK101" s="106">
        <v>9523.1999999999989</v>
      </c>
      <c r="BL101" s="106">
        <v>8</v>
      </c>
      <c r="BM101" s="106">
        <v>9523.1999999999989</v>
      </c>
      <c r="BN101" s="106">
        <v>8</v>
      </c>
      <c r="BO101" s="106">
        <v>9523.1999999999989</v>
      </c>
      <c r="BP101" s="106">
        <v>4</v>
      </c>
      <c r="BQ101" s="106">
        <v>4761.5999999999995</v>
      </c>
      <c r="BR101" s="106">
        <v>3</v>
      </c>
      <c r="BS101" s="106">
        <v>3571.2</v>
      </c>
      <c r="BT101" s="106">
        <v>4</v>
      </c>
      <c r="BU101" s="106">
        <v>4761.5999999999995</v>
      </c>
      <c r="BV101" s="106">
        <v>4</v>
      </c>
      <c r="BW101" s="106">
        <v>4761.5999999999995</v>
      </c>
      <c r="BX101" s="106">
        <v>7</v>
      </c>
      <c r="BY101" s="106">
        <v>8332.7999999999993</v>
      </c>
      <c r="BZ101" s="106">
        <v>7</v>
      </c>
      <c r="CA101" s="106">
        <v>8332.7999999999993</v>
      </c>
      <c r="CB101" s="106">
        <v>11</v>
      </c>
      <c r="CC101" s="106">
        <v>13094.399999999998</v>
      </c>
      <c r="CD101" s="106">
        <v>6</v>
      </c>
      <c r="CE101" s="106">
        <v>7142.4</v>
      </c>
      <c r="CF101" s="106">
        <v>5</v>
      </c>
      <c r="CG101" s="106">
        <v>5951.9999999999991</v>
      </c>
      <c r="CH101" s="106">
        <v>5</v>
      </c>
      <c r="CI101" s="106">
        <v>5951.9999999999991</v>
      </c>
      <c r="CJ101" s="106">
        <v>5</v>
      </c>
      <c r="CK101" s="106">
        <v>5951.9999999999991</v>
      </c>
      <c r="CL101" s="106">
        <v>7</v>
      </c>
      <c r="CM101" s="106">
        <v>8332.7999999999993</v>
      </c>
      <c r="CN101" s="106">
        <v>10</v>
      </c>
      <c r="CO101" s="106">
        <v>11903.999999999998</v>
      </c>
      <c r="CP101" s="106">
        <v>11</v>
      </c>
      <c r="CQ101" s="106">
        <v>13094.399999999998</v>
      </c>
      <c r="CR101" s="106">
        <v>7</v>
      </c>
      <c r="CS101" s="106">
        <v>8332.7999999999993</v>
      </c>
      <c r="CT101" s="106">
        <v>8</v>
      </c>
      <c r="CU101" s="106">
        <v>9523.1999999999989</v>
      </c>
    </row>
    <row r="102" spans="2:99" x14ac:dyDescent="0.2">
      <c r="C102" s="105" t="s">
        <v>268</v>
      </c>
      <c r="D102" s="106">
        <v>15</v>
      </c>
      <c r="E102" s="106">
        <v>29087.999999999996</v>
      </c>
      <c r="F102" s="106">
        <v>12</v>
      </c>
      <c r="G102" s="106">
        <v>23270.399999999998</v>
      </c>
      <c r="H102" s="106">
        <v>16</v>
      </c>
      <c r="I102" s="106">
        <v>31027.199999999997</v>
      </c>
      <c r="J102" s="106">
        <v>14</v>
      </c>
      <c r="K102" s="106">
        <v>27148.799999999996</v>
      </c>
      <c r="L102" s="106">
        <v>18</v>
      </c>
      <c r="M102" s="106">
        <v>34905.599999999999</v>
      </c>
      <c r="N102" s="106">
        <v>36</v>
      </c>
      <c r="O102" s="106">
        <v>69811.199999999997</v>
      </c>
      <c r="P102" s="106">
        <v>19</v>
      </c>
      <c r="Q102" s="106">
        <v>36844.799999999996</v>
      </c>
      <c r="R102" s="106">
        <v>24</v>
      </c>
      <c r="S102" s="106">
        <v>46540.799999999996</v>
      </c>
      <c r="T102" s="106">
        <v>13</v>
      </c>
      <c r="U102" s="106">
        <v>25209.599999999999</v>
      </c>
      <c r="V102" s="106">
        <v>11</v>
      </c>
      <c r="W102" s="106">
        <v>21331.199999999997</v>
      </c>
      <c r="X102" s="106">
        <v>10</v>
      </c>
      <c r="Y102" s="106">
        <v>19392</v>
      </c>
      <c r="Z102" s="106">
        <v>10</v>
      </c>
      <c r="AA102" s="106">
        <v>19392</v>
      </c>
      <c r="AB102" s="106">
        <v>6</v>
      </c>
      <c r="AC102" s="106">
        <v>11635.199999999999</v>
      </c>
      <c r="AD102" s="106">
        <v>4</v>
      </c>
      <c r="AE102" s="106">
        <v>7756.7999999999993</v>
      </c>
      <c r="AF102" s="106">
        <v>4</v>
      </c>
      <c r="AG102" s="106">
        <v>7756.7999999999993</v>
      </c>
      <c r="AH102" s="106">
        <v>6</v>
      </c>
      <c r="AI102" s="106">
        <v>11635.199999999999</v>
      </c>
      <c r="AJ102" s="106">
        <v>9</v>
      </c>
      <c r="AK102" s="106">
        <v>17452.8</v>
      </c>
      <c r="AL102" s="106">
        <v>9</v>
      </c>
      <c r="AM102" s="106">
        <v>17452.8</v>
      </c>
      <c r="AN102" s="106">
        <v>5</v>
      </c>
      <c r="AO102" s="106">
        <v>9696</v>
      </c>
      <c r="AP102" s="106">
        <v>8</v>
      </c>
      <c r="AQ102" s="106">
        <v>15513.599999999999</v>
      </c>
      <c r="AR102" s="106">
        <v>3</v>
      </c>
      <c r="AS102" s="106">
        <v>5817.5999999999995</v>
      </c>
      <c r="AT102" s="106">
        <v>3</v>
      </c>
      <c r="AU102" s="106">
        <v>5817.5999999999995</v>
      </c>
      <c r="AV102" s="106">
        <v>5</v>
      </c>
      <c r="AW102" s="106">
        <v>9696</v>
      </c>
      <c r="AX102" s="106">
        <v>4</v>
      </c>
      <c r="AY102" s="106">
        <v>7756.7999999999993</v>
      </c>
      <c r="AZ102" s="106">
        <v>7</v>
      </c>
      <c r="BA102" s="106">
        <v>13574.399999999998</v>
      </c>
      <c r="BB102" s="106">
        <v>6</v>
      </c>
      <c r="BC102" s="106">
        <v>11635.199999999999</v>
      </c>
      <c r="BD102" s="106">
        <v>5</v>
      </c>
      <c r="BE102" s="106">
        <v>9696</v>
      </c>
      <c r="BF102" s="106">
        <v>7</v>
      </c>
      <c r="BG102" s="106">
        <v>13574.399999999998</v>
      </c>
      <c r="BH102" s="106">
        <v>7</v>
      </c>
      <c r="BI102" s="106">
        <v>13574.399999999998</v>
      </c>
      <c r="BJ102" s="106">
        <v>9</v>
      </c>
      <c r="BK102" s="106">
        <v>17452.8</v>
      </c>
      <c r="BL102" s="106">
        <v>7</v>
      </c>
      <c r="BM102" s="106">
        <v>13574.399999999998</v>
      </c>
      <c r="BN102" s="106">
        <v>8</v>
      </c>
      <c r="BO102" s="106">
        <v>15513.599999999999</v>
      </c>
      <c r="BP102" s="106">
        <v>4</v>
      </c>
      <c r="BQ102" s="106">
        <v>7756.7999999999993</v>
      </c>
      <c r="BR102" s="106">
        <v>3</v>
      </c>
      <c r="BS102" s="106">
        <v>5817.5999999999995</v>
      </c>
      <c r="BT102" s="106">
        <v>4</v>
      </c>
      <c r="BU102" s="106">
        <v>7756.7999999999993</v>
      </c>
      <c r="BV102" s="106">
        <v>4</v>
      </c>
      <c r="BW102" s="106">
        <v>7756.7999999999993</v>
      </c>
      <c r="BX102" s="106">
        <v>5</v>
      </c>
      <c r="BY102" s="106">
        <v>9696</v>
      </c>
      <c r="BZ102" s="106">
        <v>6</v>
      </c>
      <c r="CA102" s="106">
        <v>11635.199999999999</v>
      </c>
      <c r="CB102" s="106">
        <v>11</v>
      </c>
      <c r="CC102" s="106">
        <v>21331.199999999997</v>
      </c>
      <c r="CD102" s="106">
        <v>6</v>
      </c>
      <c r="CE102" s="106">
        <v>11635.199999999999</v>
      </c>
      <c r="CF102" s="106">
        <v>5</v>
      </c>
      <c r="CG102" s="106">
        <v>9696</v>
      </c>
      <c r="CH102" s="106">
        <v>4</v>
      </c>
      <c r="CI102" s="106">
        <v>7756.7999999999993</v>
      </c>
      <c r="CJ102" s="106">
        <v>5</v>
      </c>
      <c r="CK102" s="106">
        <v>9696</v>
      </c>
      <c r="CL102" s="106">
        <v>6</v>
      </c>
      <c r="CM102" s="106">
        <v>11635.199999999999</v>
      </c>
      <c r="CN102" s="106">
        <v>9</v>
      </c>
      <c r="CO102" s="106">
        <v>17452.8</v>
      </c>
      <c r="CP102" s="106">
        <v>9</v>
      </c>
      <c r="CQ102" s="106">
        <v>17452.8</v>
      </c>
      <c r="CR102" s="106">
        <v>8</v>
      </c>
      <c r="CS102" s="106">
        <v>15513.599999999999</v>
      </c>
      <c r="CT102" s="106">
        <v>7</v>
      </c>
      <c r="CU102" s="106">
        <v>13574.399999999998</v>
      </c>
    </row>
    <row r="103" spans="2:99" x14ac:dyDescent="0.2">
      <c r="C103" s="105" t="s">
        <v>269</v>
      </c>
      <c r="D103" s="106">
        <v>13</v>
      </c>
      <c r="E103" s="106">
        <v>26364</v>
      </c>
      <c r="F103" s="106">
        <v>13</v>
      </c>
      <c r="G103" s="106">
        <v>26364</v>
      </c>
      <c r="H103" s="106">
        <v>17</v>
      </c>
      <c r="I103" s="106">
        <v>34476</v>
      </c>
      <c r="J103" s="106">
        <v>13</v>
      </c>
      <c r="K103" s="106">
        <v>26364</v>
      </c>
      <c r="L103" s="106">
        <v>20</v>
      </c>
      <c r="M103" s="106">
        <v>40560</v>
      </c>
      <c r="N103" s="106">
        <v>34</v>
      </c>
      <c r="O103" s="106">
        <v>68952</v>
      </c>
      <c r="P103" s="106">
        <v>20</v>
      </c>
      <c r="Q103" s="106">
        <v>40560</v>
      </c>
      <c r="R103" s="106">
        <v>27</v>
      </c>
      <c r="S103" s="106">
        <v>54756</v>
      </c>
      <c r="T103" s="106">
        <v>14</v>
      </c>
      <c r="U103" s="106">
        <v>28392</v>
      </c>
      <c r="V103" s="106">
        <v>9</v>
      </c>
      <c r="W103" s="106">
        <v>18252</v>
      </c>
      <c r="X103" s="106">
        <v>9</v>
      </c>
      <c r="Y103" s="106">
        <v>18252</v>
      </c>
      <c r="Z103" s="106">
        <v>10</v>
      </c>
      <c r="AA103" s="106">
        <v>20280</v>
      </c>
      <c r="AB103" s="106">
        <v>7</v>
      </c>
      <c r="AC103" s="106">
        <v>14196</v>
      </c>
      <c r="AD103" s="106">
        <v>4</v>
      </c>
      <c r="AE103" s="106">
        <v>8112</v>
      </c>
      <c r="AF103" s="106">
        <v>4</v>
      </c>
      <c r="AG103" s="106">
        <v>8112</v>
      </c>
      <c r="AH103" s="106">
        <v>6</v>
      </c>
      <c r="AI103" s="106">
        <v>12168</v>
      </c>
      <c r="AJ103" s="106">
        <v>10</v>
      </c>
      <c r="AK103" s="106">
        <v>20280</v>
      </c>
      <c r="AL103" s="106">
        <v>8</v>
      </c>
      <c r="AM103" s="106">
        <v>16224</v>
      </c>
      <c r="AN103" s="106">
        <v>5</v>
      </c>
      <c r="AO103" s="106">
        <v>10140</v>
      </c>
      <c r="AP103" s="106">
        <v>7</v>
      </c>
      <c r="AQ103" s="106">
        <v>14196</v>
      </c>
      <c r="AR103" s="106">
        <v>3</v>
      </c>
      <c r="AS103" s="106">
        <v>6084</v>
      </c>
      <c r="AT103" s="106">
        <v>2</v>
      </c>
      <c r="AU103" s="106">
        <v>4056</v>
      </c>
      <c r="AV103" s="106">
        <v>4</v>
      </c>
      <c r="AW103" s="106">
        <v>8112</v>
      </c>
      <c r="AX103" s="106">
        <v>4</v>
      </c>
      <c r="AY103" s="106">
        <v>8112</v>
      </c>
      <c r="AZ103" s="106">
        <v>7</v>
      </c>
      <c r="BA103" s="106">
        <v>14196</v>
      </c>
      <c r="BB103" s="106">
        <v>5</v>
      </c>
      <c r="BC103" s="106">
        <v>10140</v>
      </c>
      <c r="BD103" s="106">
        <v>5</v>
      </c>
      <c r="BE103" s="106">
        <v>10140</v>
      </c>
      <c r="BF103" s="106">
        <v>7</v>
      </c>
      <c r="BG103" s="106">
        <v>14196</v>
      </c>
      <c r="BH103" s="106">
        <v>7</v>
      </c>
      <c r="BI103" s="106">
        <v>14196</v>
      </c>
      <c r="BJ103" s="106">
        <v>9</v>
      </c>
      <c r="BK103" s="106">
        <v>18252</v>
      </c>
      <c r="BL103" s="106">
        <v>8</v>
      </c>
      <c r="BM103" s="106">
        <v>16224</v>
      </c>
      <c r="BN103" s="106">
        <v>8</v>
      </c>
      <c r="BO103" s="106">
        <v>16224</v>
      </c>
      <c r="BP103" s="106">
        <v>4</v>
      </c>
      <c r="BQ103" s="106">
        <v>8112</v>
      </c>
      <c r="BR103" s="106">
        <v>3</v>
      </c>
      <c r="BS103" s="106">
        <v>6084</v>
      </c>
      <c r="BT103" s="106">
        <v>4</v>
      </c>
      <c r="BU103" s="106">
        <v>8112</v>
      </c>
      <c r="BV103" s="106">
        <v>4</v>
      </c>
      <c r="BW103" s="106">
        <v>8112</v>
      </c>
      <c r="BX103" s="106">
        <v>6</v>
      </c>
      <c r="BY103" s="106">
        <v>12168</v>
      </c>
      <c r="BZ103" s="106">
        <v>6</v>
      </c>
      <c r="CA103" s="106">
        <v>12168</v>
      </c>
      <c r="CB103" s="106">
        <v>11</v>
      </c>
      <c r="CC103" s="106">
        <v>22308</v>
      </c>
      <c r="CD103" s="106">
        <v>6</v>
      </c>
      <c r="CE103" s="106">
        <v>12168</v>
      </c>
      <c r="CF103" s="106">
        <v>5</v>
      </c>
      <c r="CG103" s="106">
        <v>10140</v>
      </c>
      <c r="CH103" s="106">
        <v>4</v>
      </c>
      <c r="CI103" s="106">
        <v>8112</v>
      </c>
      <c r="CJ103" s="106">
        <v>5</v>
      </c>
      <c r="CK103" s="106">
        <v>10140</v>
      </c>
      <c r="CL103" s="106">
        <v>7</v>
      </c>
      <c r="CM103" s="106">
        <v>14196</v>
      </c>
      <c r="CN103" s="106">
        <v>8</v>
      </c>
      <c r="CO103" s="106">
        <v>16224</v>
      </c>
      <c r="CP103" s="106">
        <v>10</v>
      </c>
      <c r="CQ103" s="106">
        <v>20280</v>
      </c>
      <c r="CR103" s="106">
        <v>7</v>
      </c>
      <c r="CS103" s="106">
        <v>14196</v>
      </c>
      <c r="CT103" s="106">
        <v>7</v>
      </c>
      <c r="CU103" s="106">
        <v>14196</v>
      </c>
    </row>
    <row r="104" spans="2:99" x14ac:dyDescent="0.2">
      <c r="C104" s="105" t="s">
        <v>270</v>
      </c>
      <c r="D104" s="106">
        <v>13</v>
      </c>
      <c r="E104" s="106">
        <v>26941.200000000001</v>
      </c>
      <c r="F104" s="106">
        <v>14</v>
      </c>
      <c r="G104" s="106">
        <v>29013.600000000002</v>
      </c>
      <c r="H104" s="106">
        <v>16</v>
      </c>
      <c r="I104" s="106">
        <v>33158.400000000001</v>
      </c>
      <c r="J104" s="106">
        <v>14</v>
      </c>
      <c r="K104" s="106">
        <v>29013.600000000002</v>
      </c>
      <c r="L104" s="106">
        <v>20</v>
      </c>
      <c r="M104" s="106">
        <v>41448</v>
      </c>
      <c r="N104" s="106">
        <v>33</v>
      </c>
      <c r="O104" s="106">
        <v>68389.2</v>
      </c>
      <c r="P104" s="106">
        <v>19</v>
      </c>
      <c r="Q104" s="106">
        <v>39375.599999999999</v>
      </c>
      <c r="R104" s="106">
        <v>27</v>
      </c>
      <c r="S104" s="106">
        <v>55954.8</v>
      </c>
      <c r="T104" s="106">
        <v>12</v>
      </c>
      <c r="U104" s="106">
        <v>24868.800000000003</v>
      </c>
      <c r="V104" s="106">
        <v>10</v>
      </c>
      <c r="W104" s="106">
        <v>20724</v>
      </c>
      <c r="X104" s="106">
        <v>10</v>
      </c>
      <c r="Y104" s="106">
        <v>20724</v>
      </c>
      <c r="Z104" s="106">
        <v>9</v>
      </c>
      <c r="AA104" s="106">
        <v>18651.600000000002</v>
      </c>
      <c r="AB104" s="106">
        <v>6</v>
      </c>
      <c r="AC104" s="106">
        <v>12434.400000000001</v>
      </c>
      <c r="AD104" s="106">
        <v>4</v>
      </c>
      <c r="AE104" s="106">
        <v>8289.6</v>
      </c>
      <c r="AF104" s="106">
        <v>4</v>
      </c>
      <c r="AG104" s="106">
        <v>8289.6</v>
      </c>
      <c r="AH104" s="106">
        <v>6</v>
      </c>
      <c r="AI104" s="106">
        <v>12434.400000000001</v>
      </c>
      <c r="AJ104" s="106">
        <v>10</v>
      </c>
      <c r="AK104" s="106">
        <v>20724</v>
      </c>
      <c r="AL104" s="106">
        <v>8</v>
      </c>
      <c r="AM104" s="106">
        <v>16579.2</v>
      </c>
      <c r="AN104" s="106">
        <v>6</v>
      </c>
      <c r="AO104" s="106">
        <v>12434.400000000001</v>
      </c>
      <c r="AP104" s="106">
        <v>8</v>
      </c>
      <c r="AQ104" s="106">
        <v>16579.2</v>
      </c>
      <c r="AR104" s="106">
        <v>3</v>
      </c>
      <c r="AS104" s="106">
        <v>6217.2000000000007</v>
      </c>
      <c r="AT104" s="106">
        <v>3</v>
      </c>
      <c r="AU104" s="106">
        <v>6217.2000000000007</v>
      </c>
      <c r="AV104" s="106">
        <v>5</v>
      </c>
      <c r="AW104" s="106">
        <v>10362</v>
      </c>
      <c r="AX104" s="106">
        <v>5</v>
      </c>
      <c r="AY104" s="106">
        <v>10362</v>
      </c>
      <c r="AZ104" s="106">
        <v>6</v>
      </c>
      <c r="BA104" s="106">
        <v>12434.400000000001</v>
      </c>
      <c r="BB104" s="106">
        <v>6</v>
      </c>
      <c r="BC104" s="106">
        <v>12434.400000000001</v>
      </c>
      <c r="BD104" s="106">
        <v>5</v>
      </c>
      <c r="BE104" s="106">
        <v>10362</v>
      </c>
      <c r="BF104" s="106">
        <v>8</v>
      </c>
      <c r="BG104" s="106">
        <v>16579.2</v>
      </c>
      <c r="BH104" s="106">
        <v>7</v>
      </c>
      <c r="BI104" s="106">
        <v>14506.800000000001</v>
      </c>
      <c r="BJ104" s="106">
        <v>9</v>
      </c>
      <c r="BK104" s="106">
        <v>18651.600000000002</v>
      </c>
      <c r="BL104" s="106">
        <v>8</v>
      </c>
      <c r="BM104" s="106">
        <v>16579.2</v>
      </c>
      <c r="BN104" s="106">
        <v>7</v>
      </c>
      <c r="BO104" s="106">
        <v>14506.800000000001</v>
      </c>
      <c r="BP104" s="106">
        <v>4</v>
      </c>
      <c r="BQ104" s="106">
        <v>8289.6</v>
      </c>
      <c r="BR104" s="106">
        <v>2</v>
      </c>
      <c r="BS104" s="106">
        <v>4144.8</v>
      </c>
      <c r="BT104" s="106">
        <v>4</v>
      </c>
      <c r="BU104" s="106">
        <v>8289.6</v>
      </c>
      <c r="BV104" s="106">
        <v>4</v>
      </c>
      <c r="BW104" s="106">
        <v>8289.6</v>
      </c>
      <c r="BX104" s="106">
        <v>5</v>
      </c>
      <c r="BY104" s="106">
        <v>10362</v>
      </c>
      <c r="BZ104" s="106">
        <v>6</v>
      </c>
      <c r="CA104" s="106">
        <v>12434.400000000001</v>
      </c>
      <c r="CB104" s="106">
        <v>10</v>
      </c>
      <c r="CC104" s="106">
        <v>20724</v>
      </c>
      <c r="CD104" s="106">
        <v>6</v>
      </c>
      <c r="CE104" s="106">
        <v>12434.400000000001</v>
      </c>
      <c r="CF104" s="106">
        <v>5</v>
      </c>
      <c r="CG104" s="106">
        <v>10362</v>
      </c>
      <c r="CH104" s="106">
        <v>4</v>
      </c>
      <c r="CI104" s="106">
        <v>8289.6</v>
      </c>
      <c r="CJ104" s="106">
        <v>5</v>
      </c>
      <c r="CK104" s="106">
        <v>10362</v>
      </c>
      <c r="CL104" s="106">
        <v>6</v>
      </c>
      <c r="CM104" s="106">
        <v>12434.400000000001</v>
      </c>
      <c r="CN104" s="106">
        <v>8</v>
      </c>
      <c r="CO104" s="106">
        <v>16579.2</v>
      </c>
      <c r="CP104" s="106">
        <v>9</v>
      </c>
      <c r="CQ104" s="106">
        <v>18651.600000000002</v>
      </c>
      <c r="CR104" s="106">
        <v>8</v>
      </c>
      <c r="CS104" s="106">
        <v>16579.2</v>
      </c>
      <c r="CT104" s="106">
        <v>6</v>
      </c>
      <c r="CU104" s="106">
        <v>12434.400000000001</v>
      </c>
    </row>
    <row r="105" spans="2:99" x14ac:dyDescent="0.2">
      <c r="C105" s="105" t="s">
        <v>271</v>
      </c>
      <c r="D105" s="106">
        <v>14</v>
      </c>
      <c r="E105" s="106">
        <v>27972</v>
      </c>
      <c r="F105" s="106">
        <v>14</v>
      </c>
      <c r="G105" s="106">
        <v>27972</v>
      </c>
      <c r="H105" s="106">
        <v>17</v>
      </c>
      <c r="I105" s="106">
        <v>33966</v>
      </c>
      <c r="J105" s="106">
        <v>15</v>
      </c>
      <c r="K105" s="106">
        <v>29970</v>
      </c>
      <c r="L105" s="106">
        <v>19</v>
      </c>
      <c r="M105" s="106">
        <v>37962</v>
      </c>
      <c r="N105" s="106">
        <v>33</v>
      </c>
      <c r="O105" s="106">
        <v>65934</v>
      </c>
      <c r="P105" s="106">
        <v>20</v>
      </c>
      <c r="Q105" s="106">
        <v>39960</v>
      </c>
      <c r="R105" s="106">
        <v>25</v>
      </c>
      <c r="S105" s="106">
        <v>49950</v>
      </c>
      <c r="T105" s="106">
        <v>12</v>
      </c>
      <c r="U105" s="106">
        <v>23976</v>
      </c>
      <c r="V105" s="106">
        <v>10</v>
      </c>
      <c r="W105" s="106">
        <v>19980</v>
      </c>
      <c r="X105" s="106">
        <v>10</v>
      </c>
      <c r="Y105" s="106">
        <v>19980</v>
      </c>
      <c r="Z105" s="106">
        <v>10</v>
      </c>
      <c r="AA105" s="106">
        <v>19980</v>
      </c>
      <c r="AB105" s="106">
        <v>7</v>
      </c>
      <c r="AC105" s="106">
        <v>13986</v>
      </c>
      <c r="AD105" s="106">
        <v>4</v>
      </c>
      <c r="AE105" s="106">
        <v>7992</v>
      </c>
      <c r="AF105" s="106">
        <v>4</v>
      </c>
      <c r="AG105" s="106">
        <v>7992</v>
      </c>
      <c r="AH105" s="106">
        <v>6</v>
      </c>
      <c r="AI105" s="106">
        <v>11988</v>
      </c>
      <c r="AJ105" s="106">
        <v>9</v>
      </c>
      <c r="AK105" s="106">
        <v>17982</v>
      </c>
      <c r="AL105" s="106">
        <v>9</v>
      </c>
      <c r="AM105" s="106">
        <v>17982</v>
      </c>
      <c r="AN105" s="106">
        <v>6</v>
      </c>
      <c r="AO105" s="106">
        <v>11988</v>
      </c>
      <c r="AP105" s="106">
        <v>7</v>
      </c>
      <c r="AQ105" s="106">
        <v>13986</v>
      </c>
      <c r="AR105" s="106">
        <v>3</v>
      </c>
      <c r="AS105" s="106">
        <v>5994</v>
      </c>
      <c r="AT105" s="106">
        <v>2</v>
      </c>
      <c r="AU105" s="106">
        <v>3996</v>
      </c>
      <c r="AV105" s="106">
        <v>5</v>
      </c>
      <c r="AW105" s="106">
        <v>9990</v>
      </c>
      <c r="AX105" s="106">
        <v>4</v>
      </c>
      <c r="AY105" s="106">
        <v>7992</v>
      </c>
      <c r="AZ105" s="106">
        <v>6</v>
      </c>
      <c r="BA105" s="106">
        <v>11988</v>
      </c>
      <c r="BB105" s="106">
        <v>6</v>
      </c>
      <c r="BC105" s="106">
        <v>11988</v>
      </c>
      <c r="BD105" s="106">
        <v>5</v>
      </c>
      <c r="BE105" s="106">
        <v>9990</v>
      </c>
      <c r="BF105" s="106">
        <v>8</v>
      </c>
      <c r="BG105" s="106">
        <v>15984</v>
      </c>
      <c r="BH105" s="106">
        <v>7</v>
      </c>
      <c r="BI105" s="106">
        <v>13986</v>
      </c>
      <c r="BJ105" s="106">
        <v>8</v>
      </c>
      <c r="BK105" s="106">
        <v>15984</v>
      </c>
      <c r="BL105" s="106">
        <v>8</v>
      </c>
      <c r="BM105" s="106">
        <v>15984</v>
      </c>
      <c r="BN105" s="106">
        <v>8</v>
      </c>
      <c r="BO105" s="106">
        <v>15984</v>
      </c>
      <c r="BP105" s="106">
        <v>4</v>
      </c>
      <c r="BQ105" s="106">
        <v>7992</v>
      </c>
      <c r="BR105" s="106">
        <v>3</v>
      </c>
      <c r="BS105" s="106">
        <v>5994</v>
      </c>
      <c r="BT105" s="106">
        <v>4</v>
      </c>
      <c r="BU105" s="106">
        <v>7992</v>
      </c>
      <c r="BV105" s="106">
        <v>4</v>
      </c>
      <c r="BW105" s="106">
        <v>7992</v>
      </c>
      <c r="BX105" s="106">
        <v>6</v>
      </c>
      <c r="BY105" s="106">
        <v>11988</v>
      </c>
      <c r="BZ105" s="106">
        <v>6</v>
      </c>
      <c r="CA105" s="106">
        <v>11988</v>
      </c>
      <c r="CB105" s="106">
        <v>10</v>
      </c>
      <c r="CC105" s="106">
        <v>19980</v>
      </c>
      <c r="CD105" s="106">
        <v>6</v>
      </c>
      <c r="CE105" s="106">
        <v>11988</v>
      </c>
      <c r="CF105" s="106">
        <v>5</v>
      </c>
      <c r="CG105" s="106">
        <v>9990</v>
      </c>
      <c r="CH105" s="106">
        <v>4</v>
      </c>
      <c r="CI105" s="106">
        <v>7992</v>
      </c>
      <c r="CJ105" s="106">
        <v>5</v>
      </c>
      <c r="CK105" s="106">
        <v>9990</v>
      </c>
      <c r="CL105" s="106">
        <v>7</v>
      </c>
      <c r="CM105" s="106">
        <v>13986</v>
      </c>
      <c r="CN105" s="106">
        <v>8</v>
      </c>
      <c r="CO105" s="106">
        <v>15984</v>
      </c>
      <c r="CP105" s="106">
        <v>10</v>
      </c>
      <c r="CQ105" s="106">
        <v>19980</v>
      </c>
      <c r="CR105" s="106">
        <v>7</v>
      </c>
      <c r="CS105" s="106">
        <v>13986</v>
      </c>
      <c r="CT105" s="106">
        <v>7</v>
      </c>
      <c r="CU105" s="106">
        <v>13986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46</v>
      </c>
      <c r="E112" s="106">
        <f>SUM(L$49:L$70)+SUM(N$49:N$70)+SUM(P$49:P$70)+SUM(R$49:R$70)</f>
        <v>42</v>
      </c>
      <c r="F112" s="106">
        <f>SUM(T$49:T$70)+SUM(V$49:V$70)+SUM(X$49:X$70)+SUM(Z$49:Z$70)</f>
        <v>475</v>
      </c>
      <c r="G112" s="106">
        <f>SUM(AB$49:AB$70)+SUM(AD$49:AD$70)+SUM(AF$49:AF$70)+SUM(AH$49:AH$70)</f>
        <v>88</v>
      </c>
      <c r="H112" s="106">
        <f>SUM(AJ$49:AJ$70)+SUM(AL$49:AL$70)+SUM(AN$49:AN$70)+SUM(AP$49:AP$70)</f>
        <v>161</v>
      </c>
      <c r="I112" s="106">
        <f>SUM(AR$49:AR$70)+SUM(AT$49:AT$70)+SUM(AV$49:AV$70)+SUM(AX$49:AX$70)</f>
        <v>31</v>
      </c>
      <c r="J112" s="106">
        <f>SUM(AZ$49:AZ$70)+SUM(BB$49:BB$70)+SUM(BD$49:BD$70)+SUM(BF$49:BF$70)</f>
        <v>39</v>
      </c>
      <c r="K112" s="106">
        <f>SUM(BH$49:BH$70)+SUM(BJ$49:BJ$70)+SUM(BL$49:BL$70)+SUM(BN$49:BN$70)</f>
        <v>67</v>
      </c>
      <c r="L112" s="106">
        <f>SUM(BP$49:BP$70)+SUM(BR$49:BR$70)+SUM(BT$49:BT$70)+SUM(BV$49:BV$70)</f>
        <v>117</v>
      </c>
      <c r="M112" s="106">
        <f>SUM(BX$49:BX$70)+SUM(BZ$49:BZ$70)+SUM(CB$49:CB$70)+SUM(CD$49:CD$70)</f>
        <v>39</v>
      </c>
      <c r="N112" s="106">
        <f>SUM(CF$49:CF$70)+SUM(CH$49:CH$70)+SUM(CJ$49:CJ$70)+SUM(CL$49:CL$70)</f>
        <v>598</v>
      </c>
      <c r="O112" s="106">
        <f>SUM(CN$49:CN$70)+SUM(CP$49:CP$70)+SUM(CR$49:CR$70)+SUM(CT$49:CT$70)</f>
        <v>89</v>
      </c>
    </row>
    <row r="113" spans="2:15" x14ac:dyDescent="0.2">
      <c r="C113" s="105" t="s">
        <v>130</v>
      </c>
      <c r="D113" s="106">
        <f>SUM(D$71:D$86)+SUM(F$71:F$86)+SUM(H$71:H$86)+SUM(J$71:J$86)</f>
        <v>1362</v>
      </c>
      <c r="E113" s="106">
        <f>SUM(L$71:L$86)+SUM(N$71:N$86)+SUM(P$71:P$86)+SUM(R$71:R$86)</f>
        <v>1649</v>
      </c>
      <c r="F113" s="106">
        <f>SUM(T$71:T$86)+SUM(V$71:V$86)+SUM(X$71:X$86)+SUM(Z$71:Z$86)</f>
        <v>834</v>
      </c>
      <c r="G113" s="106">
        <f>SUM(AB$71:AB$86)+SUM(AD$71:AD$86)+SUM(AF$71:AF$86)+SUM(AH$71:AH$86)</f>
        <v>554</v>
      </c>
      <c r="H113" s="106">
        <f>SUM(AJ$71:AJ$86)+SUM(AL$71:AL$86)+SUM(AN$71:AN$86)+SUM(AP$71:AP$86)</f>
        <v>1469</v>
      </c>
      <c r="I113" s="106">
        <f>SUM(AR$71:AR$86)+SUM(AT$71:AT$86)+SUM(AV$71:AV$86)+SUM(AX$71:AX$86)</f>
        <v>1796</v>
      </c>
      <c r="J113" s="106">
        <f>SUM(AZ$71:AZ$86)+SUM(BB$71:BB$86)+SUM(BD$71:BD$86)+SUM(BF$71:BF$86)</f>
        <v>186</v>
      </c>
      <c r="K113" s="106">
        <f>SUM(BH$71:BH$86)+SUM(BJ$71:BJ$86)+SUM(BL$71:BL$86)+SUM(BN$71:BN$86)</f>
        <v>169</v>
      </c>
      <c r="L113" s="106">
        <f>SUM(BP$71:BP$86)+SUM(BR$71:BR$86)+SUM(BT$71:BT$86)+SUM(BV$71:BV$86)</f>
        <v>226</v>
      </c>
      <c r="M113" s="106">
        <f>SUM(BX$71:BX$86)+SUM(BZ$71:BZ$86)+SUM(CB$71:CB$86)+SUM(CD$71:CD$86)</f>
        <v>1315</v>
      </c>
      <c r="N113" s="106">
        <f>SUM(CF$71:CF$86)+SUM(CH$71:CH$86)+SUM(CJ$71:CJ$86)+SUM(CL$71:CL$86)</f>
        <v>153</v>
      </c>
      <c r="O113" s="106">
        <f>SUM(CN$71:CN$86)+SUM(CP$71:CP$86)+SUM(CR$71:CR$86)+SUM(CT$71:CT$86)</f>
        <v>312</v>
      </c>
    </row>
    <row r="114" spans="2:15" x14ac:dyDescent="0.2">
      <c r="C114" s="105" t="s">
        <v>131</v>
      </c>
      <c r="D114" s="106">
        <f>SUM(D$87:D$94)+SUM(F$87:F$94)+SUM(H$87:H$94)+SUM(J$87:J$94)</f>
        <v>101</v>
      </c>
      <c r="E114" s="106">
        <f>SUM(L$87:L$94)+SUM(N$87:N$94)+SUM(P$87:P$94)+SUM(R$87:R$94)</f>
        <v>193</v>
      </c>
      <c r="F114" s="106">
        <f>SUM(T$87:T$94)+SUM(V$87:V$94)+SUM(X$87:X$94)+SUM(Z$87:Z$94)</f>
        <v>225</v>
      </c>
      <c r="G114" s="106">
        <f>SUM(AB$87:AB$94)+SUM(AD$87:AD$94)+SUM(AF$87:AF$94)+SUM(AH$87:AH$94)</f>
        <v>353</v>
      </c>
      <c r="H114" s="106">
        <f>SUM(AJ$87:AJ$94)+SUM(AL$87:AL$94)+SUM(AN$87:AN$94)+SUM(AP$87:AP$94)</f>
        <v>318</v>
      </c>
      <c r="I114" s="106">
        <f>SUM(AR$87:AR$94)+SUM(AT$87:AT$94)+SUM(AV$87:AV$94)+SUM(AX$87:AX$94)</f>
        <v>588</v>
      </c>
      <c r="J114" s="106">
        <f>SUM(AZ$87:AZ$94)+SUM(BB$87:BB$94)+SUM(BD$87:BD$94)+SUM(BF$87:BF$94)</f>
        <v>132</v>
      </c>
      <c r="K114" s="106">
        <f>SUM(BH$87:BH$94)+SUM(BJ$87:BJ$94)+SUM(BL$87:BL$94)+SUM(BN$87:BN$94)</f>
        <v>311</v>
      </c>
      <c r="L114" s="106">
        <f>SUM(BP$87:BP$94)+SUM(BR$87:BR$94)+SUM(BT$87:BT$94)+SUM(BV$87:BV$94)</f>
        <v>495</v>
      </c>
      <c r="M114" s="106">
        <f>SUM(BX$87:BX$94)+SUM(BZ$87:BZ$94)+SUM(CB$87:CB$94)+SUM(CD$87:CD$94)</f>
        <v>242</v>
      </c>
      <c r="N114" s="106">
        <f>SUM(CF$87:CF$94)+SUM(CH$87:CH$94)+SUM(CJ$87:CJ$94)+SUM(CL$87:CL$94)</f>
        <v>133</v>
      </c>
      <c r="O114" s="106">
        <f>SUM(CN$87:CN$94)+SUM(CP$87:CP$94)+SUM(CR$87:CR$94)+SUM(CT$87:CT$94)</f>
        <v>118</v>
      </c>
    </row>
    <row r="115" spans="2:15" x14ac:dyDescent="0.2">
      <c r="C115" s="105" t="s">
        <v>132</v>
      </c>
      <c r="D115" s="106">
        <f>SUM(D$95:D$105)+SUM(F$95:F$105)+SUM(H$95:H$105)+SUM(J$95:J$105)</f>
        <v>634</v>
      </c>
      <c r="E115" s="106">
        <f>SUM(L$95:L$105)+SUM(N$95:N$105)+SUM(P$95:P$105)+SUM(R$95:R$105)</f>
        <v>1095</v>
      </c>
      <c r="F115" s="106">
        <f>SUM(T$95:T$105)+SUM(V$95:V$105)+SUM(X$95:X$105)+SUM(Z$95:Z$105)</f>
        <v>477</v>
      </c>
      <c r="G115" s="106">
        <f>SUM(AB$95:AB$105)+SUM(AD$95:AD$105)+SUM(AF$95:AF$105)+SUM(AH$95:AH$105)</f>
        <v>232</v>
      </c>
      <c r="H115" s="106">
        <f>SUM(AJ$95:AJ$105)+SUM(AL$95:AL$105)+SUM(AN$95:AN$105)+SUM(AP$95:AP$105)</f>
        <v>337</v>
      </c>
      <c r="I115" s="106">
        <f>SUM(AR$95:AR$105)+SUM(AT$95:AT$105)+SUM(AV$95:AV$105)+SUM(AX$95:AX$105)</f>
        <v>157</v>
      </c>
      <c r="J115" s="106">
        <f>SUM(AZ$95:AZ$105)+SUM(BB$95:BB$105)+SUM(BD$95:BD$105)+SUM(BF$95:BF$105)</f>
        <v>277</v>
      </c>
      <c r="K115" s="106">
        <f>SUM(BH$95:BH$105)+SUM(BJ$95:BJ$105)+SUM(BL$95:BL$105)+SUM(BN$95:BN$105)</f>
        <v>345</v>
      </c>
      <c r="L115" s="106">
        <f>SUM(BP$95:BP$105)+SUM(BR$95:BR$105)+SUM(BT$95:BT$105)+SUM(BV$95:BV$105)</f>
        <v>157</v>
      </c>
      <c r="M115" s="106">
        <f>SUM(BX$95:BX$105)+SUM(BZ$95:BZ$105)+SUM(CB$95:CB$105)+SUM(CD$95:CD$105)</f>
        <v>321</v>
      </c>
      <c r="N115" s="106">
        <f>SUM(CF$95:CF$105)+SUM(CH$95:CH$105)+SUM(CJ$95:CJ$105)+SUM(CL$95:CL$105)</f>
        <v>225</v>
      </c>
      <c r="O115" s="106">
        <f>SUM(CN$95:CN$105)+SUM(CP$95:CP$105)+SUM(CR$95:CR$105)+SUM(CT$95:CT$105)</f>
        <v>356</v>
      </c>
    </row>
    <row r="116" spans="2:15" x14ac:dyDescent="0.2">
      <c r="C116" s="105" t="s">
        <v>278</v>
      </c>
      <c r="D116" s="106">
        <f t="shared" ref="D116:O116" si="0">SUM(D$109:D$115)</f>
        <v>2143</v>
      </c>
      <c r="E116" s="106">
        <f t="shared" si="0"/>
        <v>2979</v>
      </c>
      <c r="F116" s="106">
        <f t="shared" si="0"/>
        <v>2011</v>
      </c>
      <c r="G116" s="106">
        <f t="shared" si="0"/>
        <v>1227</v>
      </c>
      <c r="H116" s="106">
        <f t="shared" si="0"/>
        <v>2285</v>
      </c>
      <c r="I116" s="106">
        <f t="shared" si="0"/>
        <v>2572</v>
      </c>
      <c r="J116" s="106">
        <f t="shared" si="0"/>
        <v>634</v>
      </c>
      <c r="K116" s="106">
        <f t="shared" si="0"/>
        <v>892</v>
      </c>
      <c r="L116" s="106">
        <f t="shared" si="0"/>
        <v>995</v>
      </c>
      <c r="M116" s="106">
        <f t="shared" si="0"/>
        <v>1917</v>
      </c>
      <c r="N116" s="106">
        <f t="shared" si="0"/>
        <v>1109</v>
      </c>
      <c r="O116" s="106">
        <f t="shared" si="0"/>
        <v>875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308032.69655622466</v>
      </c>
      <c r="E123" s="106">
        <f>E112*pricing!E9*2000</f>
        <v>282382.74188950431</v>
      </c>
      <c r="F123" s="106">
        <f>F112*pricing!F9*2000</f>
        <v>1103110.6453104441</v>
      </c>
      <c r="G123" s="106">
        <f>G112*pricing!G9*2000</f>
        <v>415107.86883237195</v>
      </c>
      <c r="H123" s="106">
        <f>H112*pricing!H9*2000</f>
        <v>626533.35398500832</v>
      </c>
      <c r="I123" s="106">
        <f>I112*pricing!I9*2000</f>
        <v>222886.5409847628</v>
      </c>
      <c r="J123" s="106">
        <f>J112*pricing!J9*2000</f>
        <v>257673.74102554412</v>
      </c>
      <c r="K123" s="106">
        <f>K112*pricing!K9*2000</f>
        <v>405712.11033819063</v>
      </c>
      <c r="L123" s="106">
        <f>L112*pricing!L9*2000</f>
        <v>532979.57289925066</v>
      </c>
      <c r="M123" s="106">
        <f>M112*pricing!M9*2000</f>
        <v>280241.85426832078</v>
      </c>
      <c r="N123" s="106">
        <f>N112*pricing!N9*2000</f>
        <v>1330091.7710981567</v>
      </c>
      <c r="O123" s="106">
        <f>O112*pricing!O9*2000</f>
        <v>464958.95910344203</v>
      </c>
    </row>
    <row r="124" spans="2:15" x14ac:dyDescent="0.2">
      <c r="C124" s="105" t="s">
        <v>130</v>
      </c>
      <c r="D124" s="106">
        <f>D113*pricing!D10*2000</f>
        <v>3654789.0083570941</v>
      </c>
      <c r="E124" s="106">
        <f>E113*pricing!E10*2000</f>
        <v>4403656.5473078517</v>
      </c>
      <c r="F124" s="106">
        <f>F113*pricing!F10*2000</f>
        <v>2925506.6551848715</v>
      </c>
      <c r="G124" s="106">
        <f>G113*pricing!G10*2000</f>
        <v>2141420.3759569144</v>
      </c>
      <c r="H124" s="106">
        <f>H113*pricing!H10*2000</f>
        <v>4138627.1820727387</v>
      </c>
      <c r="I124" s="106">
        <f>I113*pricing!I10*2000</f>
        <v>4374788.7314549042</v>
      </c>
      <c r="J124" s="106">
        <f>J113*pricing!J10*2000</f>
        <v>1222919.8659304057</v>
      </c>
      <c r="K124" s="106">
        <f>K113*pricing!K10*2000</f>
        <v>1181686.0244210979</v>
      </c>
      <c r="L124" s="106">
        <f>L113*pricing!L10*2000</f>
        <v>1393952.2945795569</v>
      </c>
      <c r="M124" s="106">
        <f>M113*pricing!M10*2000</f>
        <v>3868503.2788048964</v>
      </c>
      <c r="N124" s="106">
        <f>N113*pricing!N10*2000</f>
        <v>1087914.9203753886</v>
      </c>
      <c r="O124" s="106">
        <f>O113*pricing!O10*2000</f>
        <v>1771636.8357446943</v>
      </c>
    </row>
    <row r="125" spans="2:15" x14ac:dyDescent="0.2">
      <c r="C125" s="105" t="s">
        <v>131</v>
      </c>
      <c r="D125" s="106">
        <f>D114*pricing!D11*2000</f>
        <v>651155.32728611538</v>
      </c>
      <c r="E125" s="106">
        <f>E114*pricing!E11*2000</f>
        <v>968421.50071329018</v>
      </c>
      <c r="F125" s="106">
        <f>F114*pricing!F11*2000</f>
        <v>1121999.1329198631</v>
      </c>
      <c r="G125" s="106">
        <f>G114*pricing!G11*2000</f>
        <v>1387508.0572766378</v>
      </c>
      <c r="H125" s="106">
        <f>H114*pricing!H11*2000</f>
        <v>1369673.0096335169</v>
      </c>
      <c r="I125" s="106">
        <f>I114*pricing!I11*2000</f>
        <v>1891488.2050502207</v>
      </c>
      <c r="J125" s="106">
        <f>J114*pricing!J11*2000</f>
        <v>876776.58053461334</v>
      </c>
      <c r="K125" s="106">
        <f>K114*pricing!K11*2000</f>
        <v>1402007.844336852</v>
      </c>
      <c r="L125" s="106">
        <f>L114*pricing!L11*2000</f>
        <v>1687444.5665721744</v>
      </c>
      <c r="M125" s="106">
        <f>M114*pricing!M11*2000</f>
        <v>1163362.0200325854</v>
      </c>
      <c r="N125" s="106">
        <f>N114*pricing!N11*2000</f>
        <v>843248.65929927956</v>
      </c>
      <c r="O125" s="106">
        <f>O114*pricing!O11*2000</f>
        <v>848887.14322781214</v>
      </c>
    </row>
    <row r="126" spans="2:15" x14ac:dyDescent="0.2">
      <c r="C126" s="105" t="s">
        <v>132</v>
      </c>
      <c r="D126" s="106">
        <f>D115*pricing!D12*2000</f>
        <v>2448068.9093950912</v>
      </c>
      <c r="E126" s="106">
        <f>E115*pricing!E12*2000</f>
        <v>2937114.7934039775</v>
      </c>
      <c r="F126" s="106">
        <f>F115*pricing!F12*2000</f>
        <v>1758031.211298587</v>
      </c>
      <c r="G126" s="106">
        <f>G115*pricing!G12*2000</f>
        <v>1251908.4711155675</v>
      </c>
      <c r="H126" s="106">
        <f>H115*pricing!H12*2000</f>
        <v>1637982.9597582149</v>
      </c>
      <c r="I126" s="106">
        <f>I115*pricing!I12*2000</f>
        <v>1079387.989057502</v>
      </c>
      <c r="J126" s="106">
        <f>J115*pricing!J12*2000</f>
        <v>1349921.5932212672</v>
      </c>
      <c r="K126" s="106">
        <f>K115*pricing!K12*2000</f>
        <v>1639056.3277218768</v>
      </c>
      <c r="L126" s="106">
        <f>L115*pricing!L12*2000</f>
        <v>1050294.7510103062</v>
      </c>
      <c r="M126" s="106">
        <f>M115*pricing!M12*2000</f>
        <v>1479443.8510304687</v>
      </c>
      <c r="N126" s="106">
        <f>N115*pricing!N12*2000</f>
        <v>1340703.5565102701</v>
      </c>
      <c r="O126" s="106">
        <f>O115*pricing!O12*2000</f>
        <v>1688702.1336056446</v>
      </c>
    </row>
    <row r="127" spans="2:15" x14ac:dyDescent="0.2">
      <c r="C127" s="105" t="s">
        <v>278</v>
      </c>
      <c r="D127" s="106">
        <f t="shared" ref="D127:O127" si="1">SUM(D$120:D$126)</f>
        <v>7062045.9415945252</v>
      </c>
      <c r="E127" s="106">
        <f t="shared" si="1"/>
        <v>8591575.5833146237</v>
      </c>
      <c r="F127" s="106">
        <f t="shared" si="1"/>
        <v>6908647.644713765</v>
      </c>
      <c r="G127" s="106">
        <f t="shared" si="1"/>
        <v>5195944.7731814915</v>
      </c>
      <c r="H127" s="106">
        <f t="shared" si="1"/>
        <v>7772816.5054494785</v>
      </c>
      <c r="I127" s="106">
        <f t="shared" si="1"/>
        <v>7568551.4665473895</v>
      </c>
      <c r="J127" s="106">
        <f t="shared" si="1"/>
        <v>3707291.7807118301</v>
      </c>
      <c r="K127" s="106">
        <f t="shared" si="1"/>
        <v>4628462.3068180177</v>
      </c>
      <c r="L127" s="106">
        <f t="shared" si="1"/>
        <v>4664671.1850612881</v>
      </c>
      <c r="M127" s="106">
        <f t="shared" si="1"/>
        <v>6791551.0041362718</v>
      </c>
      <c r="N127" s="106">
        <f t="shared" si="1"/>
        <v>4601958.9072830956</v>
      </c>
      <c r="O127" s="106">
        <f t="shared" si="1"/>
        <v>4774185.0716815926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50848.799999999996</v>
      </c>
      <c r="E134" s="112">
        <f>SUM(M$49:M$70)+SUM(O$49:O$70)+SUM(Q$49:Q$70)+SUM(S$49:S$70)</f>
        <v>46384.799999999996</v>
      </c>
      <c r="F134" s="112">
        <f>SUM(U$49:U$70)+SUM(W$49:W$70)+SUM(Y$49:Y$70)+SUM(AA$49:AA$70)</f>
        <v>524259.6</v>
      </c>
      <c r="G134" s="112">
        <f>SUM(AC$49:AC$70)+SUM(AE$49:AE$70)+SUM(AG$49:AG$70)+SUM(AI$49:AI$70)</f>
        <v>97233.600000000006</v>
      </c>
      <c r="H134" s="112">
        <f>SUM(AK$49:AK$70)+SUM(AM$49:AM$70)+SUM(AO$49:AO$70)+SUM(AQ$49:AQ$70)</f>
        <v>178146</v>
      </c>
      <c r="I134" s="112">
        <f>SUM(AS$49:AS$70)+SUM(AU$49:AU$70)+SUM(AW$49:AW$70)+SUM(AY$49:AY$70)</f>
        <v>34309.199999999997</v>
      </c>
      <c r="J134" s="112">
        <f>SUM(BA$49:BA$70)+SUM(BC$49:BC$70)+SUM(BE$49:BE$70)+SUM(BG$49:BG$70)</f>
        <v>43071.600000000006</v>
      </c>
      <c r="K134" s="112">
        <f>SUM(BI$49:BI$70)+SUM(BK$49:BK$70)+SUM(BM$49:BM$70)+SUM(BO$49:BO$70)</f>
        <v>73875.599999999991</v>
      </c>
      <c r="L134" s="112">
        <f>SUM(BQ$49:BQ$70)+SUM(BS$49:BS$70)+SUM(BU$49:BU$70)+SUM(BW$49:BW$70)</f>
        <v>129406.79999999999</v>
      </c>
      <c r="M134" s="112">
        <f>SUM(BY$49:BY$70)+SUM(CA$49:CA$70)+SUM(CC$49:CC$70)+SUM(CE$49:CE$70)</f>
        <v>43263.599999999991</v>
      </c>
      <c r="N134" s="112">
        <f>SUM(CG$49:CG$70)+SUM(CI$49:CI$70)+SUM(CK$49:CK$70)+SUM(CM$49:CM$70)</f>
        <v>659438.4</v>
      </c>
      <c r="O134" s="112">
        <f>SUM(CO$49:CO$70)+SUM(CQ$49:CQ$70)+SUM(CS$49:CS$70)+SUM(CU$49:CU$70)</f>
        <v>98245.2</v>
      </c>
    </row>
    <row r="135" spans="2:15" x14ac:dyDescent="0.2">
      <c r="C135" s="111" t="s">
        <v>130</v>
      </c>
      <c r="D135" s="112">
        <f>SUM(E$71:E$86)+SUM(G$71:G$86)+SUM(I$71:I$86)+SUM(K$71:K$86)</f>
        <v>753238.79999999993</v>
      </c>
      <c r="E135" s="112">
        <f>SUM(M$71:M$86)+SUM(O$71:O$86)+SUM(Q$71:Q$86)+SUM(S$71:S$86)</f>
        <v>912873.6</v>
      </c>
      <c r="F135" s="112">
        <f>SUM(U$71:U$86)+SUM(W$71:W$86)+SUM(Y$71:Y$86)+SUM(AA$71:AA$86)</f>
        <v>464415.6</v>
      </c>
      <c r="G135" s="112">
        <f>SUM(AC$71:AC$86)+SUM(AE$71:AE$86)+SUM(AG$71:AG$86)+SUM(AI$71:AI$86)</f>
        <v>307327.2</v>
      </c>
      <c r="H135" s="112">
        <f>SUM(AK$71:AK$86)+SUM(AM$71:AM$86)+SUM(AO$71:AO$86)+SUM(AQ$71:AQ$86)</f>
        <v>812992.8</v>
      </c>
      <c r="I135" s="112">
        <f>SUM(AS$71:AS$86)+SUM(AU$71:AU$86)+SUM(AW$71:AW$86)+SUM(AY$71:AY$86)</f>
        <v>996790.79999999981</v>
      </c>
      <c r="J135" s="112">
        <f>SUM(BA$71:BA$86)+SUM(BC$71:BC$86)+SUM(BE$71:BE$86)+SUM(BG$71:BG$86)</f>
        <v>104902.8</v>
      </c>
      <c r="K135" s="112">
        <f>SUM(BI$71:BI$86)+SUM(BK$71:BK$86)+SUM(BM$71:BM$86)+SUM(BO$71:BO$86)</f>
        <v>94256.400000000009</v>
      </c>
      <c r="L135" s="112">
        <f>SUM(BQ$71:BQ$86)+SUM(BS$71:BS$86)+SUM(BU$71:BU$86)+SUM(BW$71:BW$86)</f>
        <v>126962.40000000001</v>
      </c>
      <c r="M135" s="112">
        <f>SUM(BY$71:BY$86)+SUM(CA$71:CA$86)+SUM(CC$71:CC$86)+SUM(CE$71:CE$86)</f>
        <v>727221.6</v>
      </c>
      <c r="N135" s="112">
        <f>SUM(CG$71:CG$86)+SUM(CI$71:CI$86)+SUM(CK$71:CK$86)+SUM(CM$71:CM$86)</f>
        <v>85725.599999999991</v>
      </c>
      <c r="O135" s="112">
        <f>SUM(CO$71:CO$86)+SUM(CQ$71:CQ$86)+SUM(CS$71:CS$86)+SUM(CU$71:CU$86)</f>
        <v>174783.6</v>
      </c>
    </row>
    <row r="136" spans="2:15" x14ac:dyDescent="0.2">
      <c r="C136" s="111" t="s">
        <v>131</v>
      </c>
      <c r="D136" s="112">
        <f>SUM(E$87:E$94)+SUM(G$87:G$94)+SUM(I$87:I$94)+SUM(K$87:K$94)</f>
        <v>204790.8</v>
      </c>
      <c r="E136" s="112">
        <f>SUM(M$87:M$94)+SUM(O$87:O$94)+SUM(Q$87:Q$94)+SUM(S$87:S$94)</f>
        <v>391693.19999999995</v>
      </c>
      <c r="F136" s="112">
        <f>SUM(U$87:U$94)+SUM(W$87:W$94)+SUM(Y$87:Y$94)+SUM(AA$87:AA$94)</f>
        <v>457059.6</v>
      </c>
      <c r="G136" s="112">
        <f>SUM(AC$87:AC$94)+SUM(AE$87:AE$94)+SUM(AG$87:AG$94)+SUM(AI$87:AI$94)</f>
        <v>717315.59999999986</v>
      </c>
      <c r="H136" s="112">
        <f>SUM(AK$87:AK$94)+SUM(AM$87:AM$94)+SUM(AO$87:AO$94)+SUM(AQ$87:AQ$94)</f>
        <v>645255.6</v>
      </c>
      <c r="I136" s="112">
        <f>SUM(AS$87:AS$94)+SUM(AU$87:AU$94)+SUM(AW$87:AW$94)+SUM(AY$87:AY$94)</f>
        <v>1195263.5999999999</v>
      </c>
      <c r="J136" s="112">
        <f>SUM(BA$87:BA$94)+SUM(BC$87:BC$94)+SUM(BE$87:BE$94)+SUM(BG$87:BG$94)</f>
        <v>267924</v>
      </c>
      <c r="K136" s="112">
        <f>SUM(BI$87:BI$94)+SUM(BK$87:BK$94)+SUM(BM$87:BM$94)+SUM(BO$87:BO$94)</f>
        <v>631317.59999999986</v>
      </c>
      <c r="L136" s="112">
        <f>SUM(BQ$87:BQ$94)+SUM(BS$87:BS$94)+SUM(BU$87:BU$94)+SUM(BW$87:BW$94)</f>
        <v>1004244.0000000001</v>
      </c>
      <c r="M136" s="112">
        <f>SUM(BY$87:BY$94)+SUM(CA$87:CA$94)+SUM(CC$87:CC$94)+SUM(CE$87:CE$94)</f>
        <v>491104.79999999993</v>
      </c>
      <c r="N136" s="112">
        <f>SUM(CG$87:CG$94)+SUM(CI$87:CI$94)+SUM(CK$87:CK$94)+SUM(CM$87:CM$94)</f>
        <v>270445.19999999995</v>
      </c>
      <c r="O136" s="112">
        <f>SUM(CO$87:CO$94)+SUM(CQ$87:CQ$94)+SUM(CS$87:CS$94)+SUM(CU$87:CU$94)</f>
        <v>239361.59999999998</v>
      </c>
    </row>
    <row r="137" spans="2:15" x14ac:dyDescent="0.2">
      <c r="C137" s="111" t="s">
        <v>132</v>
      </c>
      <c r="D137" s="112">
        <f>SUM(E$95:E$105)+SUM(G$95:G$105)+SUM(I$95:I$105)+SUM(K$95:K$105)</f>
        <v>1177776</v>
      </c>
      <c r="E137" s="112">
        <f>SUM(M$95:M$105)+SUM(O$95:O$105)+SUM(Q$95:Q$105)+SUM(S$95:S$105)</f>
        <v>2013328.7999999998</v>
      </c>
      <c r="F137" s="112">
        <f>SUM(U$95:U$105)+SUM(W$95:W$105)+SUM(Y$95:Y$105)+SUM(AA$95:AA$105)</f>
        <v>890674.79999999993</v>
      </c>
      <c r="G137" s="112">
        <f>SUM(AC$95:AC$105)+SUM(AE$95:AE$105)+SUM(AG$95:AG$105)+SUM(AI$95:AI$105)</f>
        <v>438920.4</v>
      </c>
      <c r="H137" s="112">
        <f>SUM(AK$95:AK$105)+SUM(AM$95:AM$105)+SUM(AO$95:AO$105)+SUM(AQ$95:AQ$105)</f>
        <v>631494</v>
      </c>
      <c r="I137" s="112">
        <f>SUM(AS$95:AS$105)+SUM(AU$95:AU$105)+SUM(AW$95:AW$105)+SUM(AY$95:AY$105)</f>
        <v>295146</v>
      </c>
      <c r="J137" s="112">
        <f>SUM(BA$95:BA$105)+SUM(BC$95:BC$105)+SUM(BE$95:BE$105)+SUM(BG$95:BG$105)</f>
        <v>521056.8</v>
      </c>
      <c r="K137" s="112">
        <f>SUM(BI$95:BI$105)+SUM(BK$95:BK$105)+SUM(BM$95:BM$105)+SUM(BO$95:BO$105)</f>
        <v>653361.6</v>
      </c>
      <c r="L137" s="112">
        <f>SUM(BQ$95:BQ$105)+SUM(BS$95:BS$105)+SUM(BU$95:BU$105)+SUM(BW$95:BW$105)</f>
        <v>300316.79999999999</v>
      </c>
      <c r="M137" s="112">
        <f>SUM(BY$95:BY$105)+SUM(CA$95:CA$105)+SUM(CC$95:CC$105)+SUM(CE$95:CE$105)</f>
        <v>610102.79999999993</v>
      </c>
      <c r="N137" s="112">
        <f>SUM(CG$95:CG$105)+SUM(CI$95:CI$105)+SUM(CK$95:CK$105)+SUM(CM$95:CM$105)</f>
        <v>430890</v>
      </c>
      <c r="O137" s="112">
        <f>SUM(CO$95:CO$105)+SUM(CQ$95:CQ$105)+SUM(CS$95:CS$105)+SUM(CU$95:CU$105)</f>
        <v>668554.80000000005</v>
      </c>
    </row>
    <row r="138" spans="2:15" x14ac:dyDescent="0.2">
      <c r="C138" s="111" t="s">
        <v>278</v>
      </c>
      <c r="D138" s="106">
        <f t="shared" ref="D138:O138" si="2">SUM(D$131:D$137)</f>
        <v>2186654.4</v>
      </c>
      <c r="E138" s="106">
        <f t="shared" si="2"/>
        <v>3364280.4</v>
      </c>
      <c r="F138" s="106">
        <f t="shared" si="2"/>
        <v>2336409.5999999996</v>
      </c>
      <c r="G138" s="106">
        <f t="shared" si="2"/>
        <v>1560796.7999999998</v>
      </c>
      <c r="H138" s="106">
        <f t="shared" si="2"/>
        <v>2267888.4</v>
      </c>
      <c r="I138" s="106">
        <f t="shared" si="2"/>
        <v>2521509.5999999996</v>
      </c>
      <c r="J138" s="106">
        <f t="shared" si="2"/>
        <v>936955.2</v>
      </c>
      <c r="K138" s="106">
        <f t="shared" si="2"/>
        <v>1452811.1999999997</v>
      </c>
      <c r="L138" s="106">
        <f t="shared" si="2"/>
        <v>1560930.0000000002</v>
      </c>
      <c r="M138" s="106">
        <f t="shared" si="2"/>
        <v>1871692.7999999998</v>
      </c>
      <c r="N138" s="106">
        <f t="shared" si="2"/>
        <v>1446499.2</v>
      </c>
      <c r="O138" s="106">
        <f t="shared" si="2"/>
        <v>1180945.2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0</v>
      </c>
      <c r="E49" s="106">
        <v>0</v>
      </c>
      <c r="F49" s="106">
        <v>0</v>
      </c>
      <c r="G49" s="106">
        <v>0</v>
      </c>
      <c r="H49" s="106">
        <v>9.8548387096774199</v>
      </c>
      <c r="I49" s="106">
        <v>9708.9870967741936</v>
      </c>
      <c r="J49" s="106">
        <v>9.5181695827725434</v>
      </c>
      <c r="K49" s="106">
        <v>9377.3006729475092</v>
      </c>
      <c r="L49" s="106">
        <v>2.1477162293488825</v>
      </c>
      <c r="M49" s="106">
        <v>2115.9300291545187</v>
      </c>
      <c r="N49" s="106">
        <v>0</v>
      </c>
      <c r="O49" s="106">
        <v>0</v>
      </c>
      <c r="P49" s="106">
        <v>0</v>
      </c>
      <c r="Q49" s="106">
        <v>0</v>
      </c>
      <c r="R49" s="106">
        <v>6.0041797283176592</v>
      </c>
      <c r="S49" s="106">
        <v>5915.3178683385577</v>
      </c>
      <c r="T49" s="106">
        <v>0</v>
      </c>
      <c r="U49" s="106">
        <v>0</v>
      </c>
      <c r="V49" s="106">
        <v>2.4209702660406887</v>
      </c>
      <c r="W49" s="106">
        <v>2385.1399061032862</v>
      </c>
      <c r="X49" s="106">
        <v>0</v>
      </c>
      <c r="Y49" s="106">
        <v>0</v>
      </c>
      <c r="Z49" s="106">
        <v>2.0298507462686568</v>
      </c>
      <c r="AA49" s="106">
        <v>1999.8089552238805</v>
      </c>
      <c r="AB49" s="106">
        <v>2.9522900763358777</v>
      </c>
      <c r="AC49" s="106">
        <v>2908.5961832061066</v>
      </c>
      <c r="AD49" s="106">
        <v>0</v>
      </c>
      <c r="AE49" s="106">
        <v>0</v>
      </c>
      <c r="AF49" s="106">
        <v>8.2190082644628095</v>
      </c>
      <c r="AG49" s="106">
        <v>8097.3669421487593</v>
      </c>
      <c r="AH49" s="106">
        <v>4.3589743589743586</v>
      </c>
      <c r="AI49" s="106">
        <v>4294.4615384615381</v>
      </c>
      <c r="AJ49" s="106">
        <v>5.8543046357615891</v>
      </c>
      <c r="AK49" s="106">
        <v>5767.6609271523175</v>
      </c>
      <c r="AL49" s="106">
        <v>7.1521035598705494</v>
      </c>
      <c r="AM49" s="106">
        <v>7046.252427184465</v>
      </c>
      <c r="AN49" s="106">
        <v>3.9432278994322791</v>
      </c>
      <c r="AO49" s="106">
        <v>3884.868126520681</v>
      </c>
      <c r="AP49" s="106">
        <v>0</v>
      </c>
      <c r="AQ49" s="106">
        <v>0</v>
      </c>
      <c r="AR49" s="106">
        <v>0</v>
      </c>
      <c r="AS49" s="106">
        <v>0</v>
      </c>
      <c r="AT49" s="106">
        <v>8.4101479915433401</v>
      </c>
      <c r="AU49" s="106">
        <v>8285.677801268499</v>
      </c>
      <c r="AV49" s="106">
        <v>3.9180055401662055</v>
      </c>
      <c r="AW49" s="106">
        <v>3860.0190581717452</v>
      </c>
      <c r="AX49" s="106">
        <v>0</v>
      </c>
      <c r="AY49" s="106">
        <v>0</v>
      </c>
      <c r="AZ49" s="106">
        <v>9.464668094218414</v>
      </c>
      <c r="BA49" s="106">
        <v>9324.5910064239815</v>
      </c>
      <c r="BB49" s="106">
        <v>5.3902439024390247</v>
      </c>
      <c r="BC49" s="106">
        <v>5310.4682926829264</v>
      </c>
      <c r="BD49" s="106">
        <v>5.2</v>
      </c>
      <c r="BE49" s="106">
        <v>5123.04</v>
      </c>
      <c r="BF49" s="106">
        <v>5.1495145631067967</v>
      </c>
      <c r="BG49" s="106">
        <v>5073.3017475728157</v>
      </c>
      <c r="BH49" s="106">
        <v>0</v>
      </c>
      <c r="BI49" s="106">
        <v>0</v>
      </c>
      <c r="BJ49" s="106">
        <v>8.7336769759450164</v>
      </c>
      <c r="BK49" s="106">
        <v>8604.41855670103</v>
      </c>
      <c r="BL49" s="106">
        <v>0</v>
      </c>
      <c r="BM49" s="106">
        <v>0</v>
      </c>
      <c r="BN49" s="106">
        <v>4.746031746031746</v>
      </c>
      <c r="BO49" s="106">
        <v>4675.7904761904756</v>
      </c>
      <c r="BP49" s="106">
        <v>8.2360248447204967</v>
      </c>
      <c r="BQ49" s="106">
        <v>8114.1316770186331</v>
      </c>
      <c r="BR49" s="106">
        <v>0</v>
      </c>
      <c r="BS49" s="106">
        <v>0</v>
      </c>
      <c r="BT49" s="106">
        <v>6.1984897518878102</v>
      </c>
      <c r="BU49" s="106">
        <v>6106.7521035598702</v>
      </c>
      <c r="BV49" s="106">
        <v>3.0273972602739723</v>
      </c>
      <c r="BW49" s="106">
        <v>2982.5917808219174</v>
      </c>
      <c r="BX49" s="106">
        <v>5.4483821263482284</v>
      </c>
      <c r="BY49" s="106">
        <v>5367.7460708782746</v>
      </c>
      <c r="BZ49" s="106">
        <v>6.0954738330975955</v>
      </c>
      <c r="CA49" s="106">
        <v>6005.260820367751</v>
      </c>
      <c r="CB49" s="106">
        <v>0</v>
      </c>
      <c r="CC49" s="106">
        <v>0</v>
      </c>
      <c r="CD49" s="106">
        <v>0</v>
      </c>
      <c r="CE49" s="106">
        <v>0</v>
      </c>
      <c r="CF49" s="106">
        <v>15.117263843648209</v>
      </c>
      <c r="CG49" s="106">
        <v>14893.528338762215</v>
      </c>
      <c r="CH49" s="106">
        <v>0</v>
      </c>
      <c r="CI49" s="106">
        <v>0</v>
      </c>
      <c r="CJ49" s="106">
        <v>13.927031509121063</v>
      </c>
      <c r="CK49" s="106">
        <v>13720.91144278607</v>
      </c>
      <c r="CL49" s="106">
        <v>7.4543650793650791</v>
      </c>
      <c r="CM49" s="106">
        <v>7344.0404761904756</v>
      </c>
      <c r="CN49" s="106">
        <v>0</v>
      </c>
      <c r="CO49" s="106">
        <v>0</v>
      </c>
      <c r="CP49" s="106">
        <v>0</v>
      </c>
      <c r="CQ49" s="106">
        <v>0</v>
      </c>
      <c r="CR49" s="106">
        <v>10.279069767441861</v>
      </c>
      <c r="CS49" s="106">
        <v>10126.939534883721</v>
      </c>
      <c r="CT49" s="106">
        <v>0</v>
      </c>
      <c r="CU49" s="106">
        <v>0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0</v>
      </c>
      <c r="E56" s="106">
        <v>0</v>
      </c>
      <c r="F56" s="106">
        <v>0</v>
      </c>
      <c r="G56" s="106">
        <v>0</v>
      </c>
      <c r="H56" s="106">
        <v>9.0161290322580641</v>
      </c>
      <c r="I56" s="106">
        <v>10375.76129032258</v>
      </c>
      <c r="J56" s="106">
        <v>9.2207267833109015</v>
      </c>
      <c r="K56" s="106">
        <v>10611.212382234185</v>
      </c>
      <c r="L56" s="106">
        <v>2.3624878522837705</v>
      </c>
      <c r="M56" s="106">
        <v>2718.7510204081627</v>
      </c>
      <c r="N56" s="106">
        <v>0</v>
      </c>
      <c r="O56" s="106">
        <v>0</v>
      </c>
      <c r="P56" s="106">
        <v>0</v>
      </c>
      <c r="Q56" s="106">
        <v>0</v>
      </c>
      <c r="R56" s="106">
        <v>5.5423197492163006</v>
      </c>
      <c r="S56" s="106">
        <v>6378.1015673981183</v>
      </c>
      <c r="T56" s="106">
        <v>0</v>
      </c>
      <c r="U56" s="106">
        <v>0</v>
      </c>
      <c r="V56" s="106">
        <v>2.7668231611893583</v>
      </c>
      <c r="W56" s="106">
        <v>3184.0600938967136</v>
      </c>
      <c r="X56" s="106">
        <v>0</v>
      </c>
      <c r="Y56" s="106">
        <v>0</v>
      </c>
      <c r="Z56" s="106">
        <v>2.0298507462686568</v>
      </c>
      <c r="AA56" s="106">
        <v>2335.95223880597</v>
      </c>
      <c r="AB56" s="106">
        <v>3.3740458015267176</v>
      </c>
      <c r="AC56" s="106">
        <v>3882.8519083969463</v>
      </c>
      <c r="AD56" s="106">
        <v>0</v>
      </c>
      <c r="AE56" s="106">
        <v>0</v>
      </c>
      <c r="AF56" s="106">
        <v>8.2190082644628095</v>
      </c>
      <c r="AG56" s="106">
        <v>9458.4347107438007</v>
      </c>
      <c r="AH56" s="106">
        <v>4.3589743589743586</v>
      </c>
      <c r="AI56" s="106">
        <v>5016.3076923076915</v>
      </c>
      <c r="AJ56" s="106">
        <v>6.2724692526017032</v>
      </c>
      <c r="AK56" s="106">
        <v>7218.3576158940396</v>
      </c>
      <c r="AL56" s="106">
        <v>6.4368932038834954</v>
      </c>
      <c r="AM56" s="106">
        <v>7407.5766990291258</v>
      </c>
      <c r="AN56" s="106">
        <v>3.7639902676399029</v>
      </c>
      <c r="AO56" s="106">
        <v>4331.6000000000004</v>
      </c>
      <c r="AP56" s="106">
        <v>0</v>
      </c>
      <c r="AQ56" s="106">
        <v>0</v>
      </c>
      <c r="AR56" s="106">
        <v>0</v>
      </c>
      <c r="AS56" s="106">
        <v>0</v>
      </c>
      <c r="AT56" s="106">
        <v>8.0986610288935879</v>
      </c>
      <c r="AU56" s="106">
        <v>9319.9391120507407</v>
      </c>
      <c r="AV56" s="106">
        <v>3.5506925207756233</v>
      </c>
      <c r="AW56" s="106">
        <v>4086.1369529085869</v>
      </c>
      <c r="AX56" s="106">
        <v>0</v>
      </c>
      <c r="AY56" s="106">
        <v>0</v>
      </c>
      <c r="AZ56" s="106">
        <v>8.5182012847965733</v>
      </c>
      <c r="BA56" s="106">
        <v>9802.7460385438953</v>
      </c>
      <c r="BB56" s="106">
        <v>6.2886178861788613</v>
      </c>
      <c r="BC56" s="106">
        <v>7236.9414634146333</v>
      </c>
      <c r="BD56" s="106">
        <v>5.2</v>
      </c>
      <c r="BE56" s="106">
        <v>5984.16</v>
      </c>
      <c r="BF56" s="106">
        <v>4.7203883495145629</v>
      </c>
      <c r="BG56" s="106">
        <v>5432.2229126213588</v>
      </c>
      <c r="BH56" s="106">
        <v>0</v>
      </c>
      <c r="BI56" s="106">
        <v>0</v>
      </c>
      <c r="BJ56" s="106">
        <v>8.353951890034363</v>
      </c>
      <c r="BK56" s="106">
        <v>9613.7278350515444</v>
      </c>
      <c r="BL56" s="106">
        <v>0</v>
      </c>
      <c r="BM56" s="106">
        <v>0</v>
      </c>
      <c r="BN56" s="106">
        <v>5.3650793650793656</v>
      </c>
      <c r="BO56" s="106">
        <v>6174.1333333333332</v>
      </c>
      <c r="BP56" s="106">
        <v>9.1511387163561082</v>
      </c>
      <c r="BQ56" s="106">
        <v>10531.130434782608</v>
      </c>
      <c r="BR56" s="106">
        <v>0</v>
      </c>
      <c r="BS56" s="106">
        <v>0</v>
      </c>
      <c r="BT56" s="106">
        <v>5.7216828478964405</v>
      </c>
      <c r="BU56" s="106">
        <v>6584.5126213592239</v>
      </c>
      <c r="BV56" s="106">
        <v>3.0273972602739723</v>
      </c>
      <c r="BW56" s="106">
        <v>3483.9287671232873</v>
      </c>
      <c r="BX56" s="106">
        <v>5.9591679506933746</v>
      </c>
      <c r="BY56" s="106">
        <v>6857.8104776579348</v>
      </c>
      <c r="BZ56" s="106">
        <v>5.3140028288543144</v>
      </c>
      <c r="CA56" s="106">
        <v>6115.3544554455448</v>
      </c>
      <c r="CB56" s="106">
        <v>0</v>
      </c>
      <c r="CC56" s="106">
        <v>0</v>
      </c>
      <c r="CD56" s="106">
        <v>0</v>
      </c>
      <c r="CE56" s="106">
        <v>0</v>
      </c>
      <c r="CF56" s="106">
        <v>15.117263843648209</v>
      </c>
      <c r="CG56" s="106">
        <v>17396.947231270358</v>
      </c>
      <c r="CH56" s="106">
        <v>0</v>
      </c>
      <c r="CI56" s="106">
        <v>0</v>
      </c>
      <c r="CJ56" s="106">
        <v>13.194029850746269</v>
      </c>
      <c r="CK56" s="106">
        <v>15183.689552238806</v>
      </c>
      <c r="CL56" s="106">
        <v>7.8928571428571423</v>
      </c>
      <c r="CM56" s="106">
        <v>9083.0999999999985</v>
      </c>
      <c r="CN56" s="106">
        <v>0</v>
      </c>
      <c r="CO56" s="106">
        <v>0</v>
      </c>
      <c r="CP56" s="106">
        <v>0</v>
      </c>
      <c r="CQ56" s="106">
        <v>0</v>
      </c>
      <c r="CR56" s="106">
        <v>12.848837209302326</v>
      </c>
      <c r="CS56" s="106">
        <v>14786.441860465116</v>
      </c>
      <c r="CT56" s="106">
        <v>0</v>
      </c>
      <c r="CU56" s="106">
        <v>0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0</v>
      </c>
      <c r="E58" s="106">
        <v>0</v>
      </c>
      <c r="F58" s="106">
        <v>0</v>
      </c>
      <c r="G58" s="106">
        <v>0</v>
      </c>
      <c r="H58" s="106">
        <v>10.693548387096774</v>
      </c>
      <c r="I58" s="106">
        <v>12588.445161290323</v>
      </c>
      <c r="J58" s="106">
        <v>8.0309555854643335</v>
      </c>
      <c r="K58" s="106">
        <v>9454.040915208614</v>
      </c>
      <c r="L58" s="106">
        <v>1.9329446064139941</v>
      </c>
      <c r="M58" s="106">
        <v>2275.4623906705538</v>
      </c>
      <c r="N58" s="106">
        <v>0</v>
      </c>
      <c r="O58" s="106">
        <v>0</v>
      </c>
      <c r="P58" s="106">
        <v>0</v>
      </c>
      <c r="Q58" s="106">
        <v>0</v>
      </c>
      <c r="R58" s="106">
        <v>6.4660397074190179</v>
      </c>
      <c r="S58" s="106">
        <v>7611.8219435736682</v>
      </c>
      <c r="T58" s="106">
        <v>0</v>
      </c>
      <c r="U58" s="106">
        <v>0</v>
      </c>
      <c r="V58" s="106">
        <v>2.4209702660406887</v>
      </c>
      <c r="W58" s="106">
        <v>2849.9661971830988</v>
      </c>
      <c r="X58" s="106">
        <v>0</v>
      </c>
      <c r="Y58" s="106">
        <v>0</v>
      </c>
      <c r="Z58" s="106">
        <v>1.7761194029850746</v>
      </c>
      <c r="AA58" s="106">
        <v>2090.8477611940298</v>
      </c>
      <c r="AB58" s="106">
        <v>3.3740458015267176</v>
      </c>
      <c r="AC58" s="106">
        <v>3971.9267175572522</v>
      </c>
      <c r="AD58" s="106">
        <v>0</v>
      </c>
      <c r="AE58" s="106">
        <v>0</v>
      </c>
      <c r="AF58" s="106">
        <v>9.1322314049586772</v>
      </c>
      <c r="AG58" s="106">
        <v>10750.462809917355</v>
      </c>
      <c r="AH58" s="106">
        <v>4.3589743589743586</v>
      </c>
      <c r="AI58" s="106">
        <v>5131.3846153846152</v>
      </c>
      <c r="AJ58" s="106">
        <v>5.4361400189214759</v>
      </c>
      <c r="AK58" s="106">
        <v>6399.4240302743619</v>
      </c>
      <c r="AL58" s="106">
        <v>7.1521035598705494</v>
      </c>
      <c r="AM58" s="106">
        <v>8419.4563106796104</v>
      </c>
      <c r="AN58" s="106">
        <v>3.9432278994322791</v>
      </c>
      <c r="AO58" s="106">
        <v>4641.9678832116788</v>
      </c>
      <c r="AP58" s="106">
        <v>0</v>
      </c>
      <c r="AQ58" s="106">
        <v>0</v>
      </c>
      <c r="AR58" s="106">
        <v>0</v>
      </c>
      <c r="AS58" s="106">
        <v>0</v>
      </c>
      <c r="AT58" s="106">
        <v>8.4101479915433401</v>
      </c>
      <c r="AU58" s="106">
        <v>9900.4262156448203</v>
      </c>
      <c r="AV58" s="106">
        <v>3.5506925207756233</v>
      </c>
      <c r="AW58" s="106">
        <v>4179.8752354570643</v>
      </c>
      <c r="AX58" s="106">
        <v>0</v>
      </c>
      <c r="AY58" s="106">
        <v>0</v>
      </c>
      <c r="AZ58" s="106">
        <v>9.464668094218414</v>
      </c>
      <c r="BA58" s="106">
        <v>11141.807280513918</v>
      </c>
      <c r="BB58" s="106">
        <v>5.3902439024390247</v>
      </c>
      <c r="BC58" s="106">
        <v>6345.3951219512201</v>
      </c>
      <c r="BD58" s="106">
        <v>5.2</v>
      </c>
      <c r="BE58" s="106">
        <v>6121.4400000000005</v>
      </c>
      <c r="BF58" s="106">
        <v>5.1495145631067967</v>
      </c>
      <c r="BG58" s="106">
        <v>6062.0085436893214</v>
      </c>
      <c r="BH58" s="106">
        <v>0</v>
      </c>
      <c r="BI58" s="106">
        <v>0</v>
      </c>
      <c r="BJ58" s="106">
        <v>9.493127147766323</v>
      </c>
      <c r="BK58" s="106">
        <v>11175.309278350516</v>
      </c>
      <c r="BL58" s="106">
        <v>0</v>
      </c>
      <c r="BM58" s="106">
        <v>0</v>
      </c>
      <c r="BN58" s="106">
        <v>5.1587301587301591</v>
      </c>
      <c r="BO58" s="106">
        <v>6072.8571428571431</v>
      </c>
      <c r="BP58" s="106">
        <v>8.2360248447204967</v>
      </c>
      <c r="BQ58" s="106">
        <v>9695.4484472049699</v>
      </c>
      <c r="BR58" s="106">
        <v>0</v>
      </c>
      <c r="BS58" s="106">
        <v>0</v>
      </c>
      <c r="BT58" s="106">
        <v>5.2448759439050701</v>
      </c>
      <c r="BU58" s="106">
        <v>6174.2679611650483</v>
      </c>
      <c r="BV58" s="106">
        <v>2.8111545988258317</v>
      </c>
      <c r="BW58" s="106">
        <v>3309.2911937377694</v>
      </c>
      <c r="BX58" s="106">
        <v>5.4483821263482284</v>
      </c>
      <c r="BY58" s="106">
        <v>6413.8354391371349</v>
      </c>
      <c r="BZ58" s="106">
        <v>5.7828854314002829</v>
      </c>
      <c r="CA58" s="106">
        <v>6807.6127298444135</v>
      </c>
      <c r="CB58" s="106">
        <v>0</v>
      </c>
      <c r="CC58" s="106">
        <v>0</v>
      </c>
      <c r="CD58" s="106">
        <v>0</v>
      </c>
      <c r="CE58" s="106">
        <v>0</v>
      </c>
      <c r="CF58" s="106">
        <v>16.55700325732899</v>
      </c>
      <c r="CG58" s="106">
        <v>19490.904234527687</v>
      </c>
      <c r="CH58" s="106">
        <v>0</v>
      </c>
      <c r="CI58" s="106">
        <v>0</v>
      </c>
      <c r="CJ58" s="106">
        <v>13.927031509121063</v>
      </c>
      <c r="CK58" s="106">
        <v>16394.901492537316</v>
      </c>
      <c r="CL58" s="106">
        <v>7.8928571428571423</v>
      </c>
      <c r="CM58" s="106">
        <v>9291.471428571429</v>
      </c>
      <c r="CN58" s="106">
        <v>0</v>
      </c>
      <c r="CO58" s="106">
        <v>0</v>
      </c>
      <c r="CP58" s="106">
        <v>0</v>
      </c>
      <c r="CQ58" s="106">
        <v>0</v>
      </c>
      <c r="CR58" s="106">
        <v>11.992248062015502</v>
      </c>
      <c r="CS58" s="106">
        <v>14117.274418604649</v>
      </c>
      <c r="CT58" s="106">
        <v>0</v>
      </c>
      <c r="CU58" s="106">
        <v>0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0</v>
      </c>
      <c r="E71" s="106">
        <v>0</v>
      </c>
      <c r="F71" s="106">
        <v>0</v>
      </c>
      <c r="G71" s="106">
        <v>0</v>
      </c>
      <c r="H71" s="106">
        <v>3.1451612903225805</v>
      </c>
      <c r="I71" s="106">
        <v>1773.8709677419354</v>
      </c>
      <c r="J71" s="106">
        <v>5.3539703903095557</v>
      </c>
      <c r="K71" s="106">
        <v>3019.6393001345896</v>
      </c>
      <c r="L71" s="106">
        <v>5.7988338192419828</v>
      </c>
      <c r="M71" s="106">
        <v>3270.5422740524782</v>
      </c>
      <c r="N71" s="106">
        <v>0</v>
      </c>
      <c r="O71" s="106">
        <v>0</v>
      </c>
      <c r="P71" s="106">
        <v>0</v>
      </c>
      <c r="Q71" s="106">
        <v>0</v>
      </c>
      <c r="R71" s="106">
        <v>12.470219435736677</v>
      </c>
      <c r="S71" s="106">
        <v>7033.2037617554861</v>
      </c>
      <c r="T71" s="106">
        <v>0</v>
      </c>
      <c r="U71" s="106">
        <v>0</v>
      </c>
      <c r="V71" s="106">
        <v>6.9170579029733963</v>
      </c>
      <c r="W71" s="106">
        <v>3901.2206572769956</v>
      </c>
      <c r="X71" s="106">
        <v>0</v>
      </c>
      <c r="Y71" s="106">
        <v>0</v>
      </c>
      <c r="Z71" s="106">
        <v>4.8208955223880592</v>
      </c>
      <c r="AA71" s="106">
        <v>2718.9850746268653</v>
      </c>
      <c r="AB71" s="106">
        <v>5.9045801526717554</v>
      </c>
      <c r="AC71" s="106">
        <v>3330.1832061068699</v>
      </c>
      <c r="AD71" s="106">
        <v>0</v>
      </c>
      <c r="AE71" s="106">
        <v>0</v>
      </c>
      <c r="AF71" s="106">
        <v>10.958677685950413</v>
      </c>
      <c r="AG71" s="106">
        <v>6180.6942148760327</v>
      </c>
      <c r="AH71" s="106">
        <v>6.9743589743589745</v>
      </c>
      <c r="AI71" s="106">
        <v>3933.5384615384614</v>
      </c>
      <c r="AJ71" s="106">
        <v>2.0908230842005677</v>
      </c>
      <c r="AK71" s="106">
        <v>1179.2242194891203</v>
      </c>
      <c r="AL71" s="106">
        <v>2.3840345199568502</v>
      </c>
      <c r="AM71" s="106">
        <v>1344.5954692556636</v>
      </c>
      <c r="AN71" s="106">
        <v>2.5093268450932684</v>
      </c>
      <c r="AO71" s="106">
        <v>1415.2603406326034</v>
      </c>
      <c r="AP71" s="106">
        <v>0</v>
      </c>
      <c r="AQ71" s="106">
        <v>0</v>
      </c>
      <c r="AR71" s="106">
        <v>0</v>
      </c>
      <c r="AS71" s="106">
        <v>0</v>
      </c>
      <c r="AT71" s="106">
        <v>19.000704721634953</v>
      </c>
      <c r="AU71" s="106">
        <v>10716.397463002113</v>
      </c>
      <c r="AV71" s="106">
        <v>11.019390581717452</v>
      </c>
      <c r="AW71" s="106">
        <v>6214.9362880886429</v>
      </c>
      <c r="AX71" s="106">
        <v>0</v>
      </c>
      <c r="AY71" s="106">
        <v>0</v>
      </c>
      <c r="AZ71" s="106">
        <v>8.5182012847965733</v>
      </c>
      <c r="BA71" s="106">
        <v>4804.2655246252671</v>
      </c>
      <c r="BB71" s="106">
        <v>3.1443089430894307</v>
      </c>
      <c r="BC71" s="106">
        <v>1773.3902439024389</v>
      </c>
      <c r="BD71" s="106">
        <v>4.333333333333333</v>
      </c>
      <c r="BE71" s="106">
        <v>2444</v>
      </c>
      <c r="BF71" s="106">
        <v>4.7203883495145629</v>
      </c>
      <c r="BG71" s="106">
        <v>2662.2990291262136</v>
      </c>
      <c r="BH71" s="106">
        <v>0</v>
      </c>
      <c r="BI71" s="106">
        <v>0</v>
      </c>
      <c r="BJ71" s="106">
        <v>16.328178694158076</v>
      </c>
      <c r="BK71" s="106">
        <v>9209.0927835051552</v>
      </c>
      <c r="BL71" s="106">
        <v>0</v>
      </c>
      <c r="BM71" s="106">
        <v>0</v>
      </c>
      <c r="BN71" s="106">
        <v>7.8412698412698409</v>
      </c>
      <c r="BO71" s="106">
        <v>4422.4761904761899</v>
      </c>
      <c r="BP71" s="106">
        <v>3.6604554865424435</v>
      </c>
      <c r="BQ71" s="106">
        <v>2064.4968944099382</v>
      </c>
      <c r="BR71" s="106">
        <v>0</v>
      </c>
      <c r="BS71" s="106">
        <v>0</v>
      </c>
      <c r="BT71" s="106">
        <v>4.29126213592233</v>
      </c>
      <c r="BU71" s="106">
        <v>2420.2718446601939</v>
      </c>
      <c r="BV71" s="106">
        <v>2.8111545988258317</v>
      </c>
      <c r="BW71" s="106">
        <v>1585.4911937377692</v>
      </c>
      <c r="BX71" s="106">
        <v>3.4052388289676427</v>
      </c>
      <c r="BY71" s="106">
        <v>1920.5546995377506</v>
      </c>
      <c r="BZ71" s="106">
        <v>2.9695898161244698</v>
      </c>
      <c r="CA71" s="106">
        <v>1674.848656294201</v>
      </c>
      <c r="CB71" s="106">
        <v>0</v>
      </c>
      <c r="CC71" s="106">
        <v>0</v>
      </c>
      <c r="CD71" s="106">
        <v>0</v>
      </c>
      <c r="CE71" s="106">
        <v>0</v>
      </c>
      <c r="CF71" s="106">
        <v>8.6384364820846891</v>
      </c>
      <c r="CG71" s="106">
        <v>4872.0781758957646</v>
      </c>
      <c r="CH71" s="106">
        <v>0</v>
      </c>
      <c r="CI71" s="106">
        <v>0</v>
      </c>
      <c r="CJ71" s="106">
        <v>5.8640132669983416</v>
      </c>
      <c r="CK71" s="106">
        <v>3307.3034825870645</v>
      </c>
      <c r="CL71" s="106">
        <v>3.5079365079365079</v>
      </c>
      <c r="CM71" s="106">
        <v>1978.4761904761904</v>
      </c>
      <c r="CN71" s="106">
        <v>0</v>
      </c>
      <c r="CO71" s="106">
        <v>0</v>
      </c>
      <c r="CP71" s="106">
        <v>0</v>
      </c>
      <c r="CQ71" s="106">
        <v>0</v>
      </c>
      <c r="CR71" s="106">
        <v>16.275193798449614</v>
      </c>
      <c r="CS71" s="106">
        <v>9179.209302325582</v>
      </c>
      <c r="CT71" s="106">
        <v>0</v>
      </c>
      <c r="CU71" s="106">
        <v>0</v>
      </c>
    </row>
    <row r="72" spans="2:99" x14ac:dyDescent="0.2">
      <c r="C72" s="105" t="s">
        <v>238</v>
      </c>
      <c r="D72" s="106">
        <v>0</v>
      </c>
      <c r="E72" s="106">
        <v>0</v>
      </c>
      <c r="F72" s="106">
        <v>0</v>
      </c>
      <c r="G72" s="106">
        <v>0</v>
      </c>
      <c r="H72" s="106">
        <v>3.774193548387097</v>
      </c>
      <c r="I72" s="106">
        <v>280.79999999999995</v>
      </c>
      <c r="J72" s="106">
        <v>5.0565275908479137</v>
      </c>
      <c r="K72" s="106">
        <v>376.20565275908473</v>
      </c>
      <c r="L72" s="106">
        <v>6.872691933916423</v>
      </c>
      <c r="M72" s="106">
        <v>511.32827988338181</v>
      </c>
      <c r="N72" s="106">
        <v>0</v>
      </c>
      <c r="O72" s="106">
        <v>0</v>
      </c>
      <c r="P72" s="106">
        <v>0</v>
      </c>
      <c r="Q72" s="106">
        <v>0</v>
      </c>
      <c r="R72" s="106">
        <v>12.008359456635318</v>
      </c>
      <c r="S72" s="106">
        <v>893.42194357366759</v>
      </c>
      <c r="T72" s="106">
        <v>0</v>
      </c>
      <c r="U72" s="106">
        <v>0</v>
      </c>
      <c r="V72" s="106">
        <v>6.5712050078247257</v>
      </c>
      <c r="W72" s="106">
        <v>488.89765258215954</v>
      </c>
      <c r="X72" s="106">
        <v>0</v>
      </c>
      <c r="Y72" s="106">
        <v>0</v>
      </c>
      <c r="Z72" s="106">
        <v>5.0746268656716422</v>
      </c>
      <c r="AA72" s="106">
        <v>377.55223880597015</v>
      </c>
      <c r="AB72" s="106">
        <v>5.9045801526717554</v>
      </c>
      <c r="AC72" s="106">
        <v>439.30076335877857</v>
      </c>
      <c r="AD72" s="106">
        <v>0</v>
      </c>
      <c r="AE72" s="106">
        <v>0</v>
      </c>
      <c r="AF72" s="106">
        <v>11.871900826446282</v>
      </c>
      <c r="AG72" s="106">
        <v>883.26942148760327</v>
      </c>
      <c r="AH72" s="106">
        <v>6.9743589743589745</v>
      </c>
      <c r="AI72" s="106">
        <v>518.89230769230767</v>
      </c>
      <c r="AJ72" s="106">
        <v>2.0908230842005677</v>
      </c>
      <c r="AK72" s="106">
        <v>155.55723746452222</v>
      </c>
      <c r="AL72" s="106">
        <v>2.3840345199568502</v>
      </c>
      <c r="AM72" s="106">
        <v>177.37216828478964</v>
      </c>
      <c r="AN72" s="106">
        <v>2.867802108678021</v>
      </c>
      <c r="AO72" s="106">
        <v>213.36447688564473</v>
      </c>
      <c r="AP72" s="106">
        <v>0</v>
      </c>
      <c r="AQ72" s="106">
        <v>0</v>
      </c>
      <c r="AR72" s="106">
        <v>0</v>
      </c>
      <c r="AS72" s="106">
        <v>0</v>
      </c>
      <c r="AT72" s="106">
        <v>19.623678646934462</v>
      </c>
      <c r="AU72" s="106">
        <v>1460.0016913319237</v>
      </c>
      <c r="AV72" s="106">
        <v>11.998891966759002</v>
      </c>
      <c r="AW72" s="106">
        <v>892.71756232686971</v>
      </c>
      <c r="AX72" s="106">
        <v>0</v>
      </c>
      <c r="AY72" s="106">
        <v>0</v>
      </c>
      <c r="AZ72" s="106">
        <v>8.5182012847965733</v>
      </c>
      <c r="BA72" s="106">
        <v>633.754175588865</v>
      </c>
      <c r="BB72" s="106">
        <v>3.1443089430894307</v>
      </c>
      <c r="BC72" s="106">
        <v>233.9365853658536</v>
      </c>
      <c r="BD72" s="106">
        <v>4.333333333333333</v>
      </c>
      <c r="BE72" s="106">
        <v>322.39999999999992</v>
      </c>
      <c r="BF72" s="106">
        <v>4.29126213592233</v>
      </c>
      <c r="BG72" s="106">
        <v>319.26990291262132</v>
      </c>
      <c r="BH72" s="106">
        <v>0</v>
      </c>
      <c r="BI72" s="106">
        <v>0</v>
      </c>
      <c r="BJ72" s="106">
        <v>18.606529209621993</v>
      </c>
      <c r="BK72" s="106">
        <v>1384.3257731958761</v>
      </c>
      <c r="BL72" s="106">
        <v>0</v>
      </c>
      <c r="BM72" s="106">
        <v>0</v>
      </c>
      <c r="BN72" s="106">
        <v>8.2539682539682531</v>
      </c>
      <c r="BO72" s="106">
        <v>614.09523809523796</v>
      </c>
      <c r="BP72" s="106">
        <v>3.6604554865424435</v>
      </c>
      <c r="BQ72" s="106">
        <v>272.33788819875775</v>
      </c>
      <c r="BR72" s="106">
        <v>0</v>
      </c>
      <c r="BS72" s="106">
        <v>0</v>
      </c>
      <c r="BT72" s="106">
        <v>3.8144552319309599</v>
      </c>
      <c r="BU72" s="106">
        <v>283.79546925566336</v>
      </c>
      <c r="BV72" s="106">
        <v>2.8111545988258317</v>
      </c>
      <c r="BW72" s="106">
        <v>209.14990215264186</v>
      </c>
      <c r="BX72" s="106">
        <v>3.7457627118644066</v>
      </c>
      <c r="BY72" s="106">
        <v>278.68474576271183</v>
      </c>
      <c r="BZ72" s="106">
        <v>3.1258840169731257</v>
      </c>
      <c r="CA72" s="106">
        <v>232.56577086280052</v>
      </c>
      <c r="CB72" s="106">
        <v>0</v>
      </c>
      <c r="CC72" s="106">
        <v>0</v>
      </c>
      <c r="CD72" s="106">
        <v>0</v>
      </c>
      <c r="CE72" s="106">
        <v>0</v>
      </c>
      <c r="CF72" s="106">
        <v>7.9185667752443001</v>
      </c>
      <c r="CG72" s="106">
        <v>589.1413680781759</v>
      </c>
      <c r="CH72" s="106">
        <v>0</v>
      </c>
      <c r="CI72" s="106">
        <v>0</v>
      </c>
      <c r="CJ72" s="106">
        <v>6.5970149253731343</v>
      </c>
      <c r="CK72" s="106">
        <v>490.81791044776111</v>
      </c>
      <c r="CL72" s="106">
        <v>3.9464285714285712</v>
      </c>
      <c r="CM72" s="106">
        <v>293.61428571428564</v>
      </c>
      <c r="CN72" s="106">
        <v>0</v>
      </c>
      <c r="CO72" s="106">
        <v>0</v>
      </c>
      <c r="CP72" s="106">
        <v>0</v>
      </c>
      <c r="CQ72" s="106">
        <v>0</v>
      </c>
      <c r="CR72" s="106">
        <v>16.275193798449614</v>
      </c>
      <c r="CS72" s="106">
        <v>1210.8744186046511</v>
      </c>
      <c r="CT72" s="106">
        <v>0</v>
      </c>
      <c r="CU72" s="106">
        <v>0</v>
      </c>
    </row>
    <row r="73" spans="2:99" x14ac:dyDescent="0.2">
      <c r="C73" s="105" t="s">
        <v>239</v>
      </c>
      <c r="D73" s="106">
        <v>0</v>
      </c>
      <c r="E73" s="106">
        <v>0</v>
      </c>
      <c r="F73" s="106">
        <v>0</v>
      </c>
      <c r="G73" s="106">
        <v>0</v>
      </c>
      <c r="H73" s="106">
        <v>3.3548387096774195</v>
      </c>
      <c r="I73" s="106">
        <v>1876.0258064516127</v>
      </c>
      <c r="J73" s="106">
        <v>5.0565275908479137</v>
      </c>
      <c r="K73" s="106">
        <v>2827.610228802153</v>
      </c>
      <c r="L73" s="106">
        <v>5.7988338192419828</v>
      </c>
      <c r="M73" s="106">
        <v>3242.7078717201166</v>
      </c>
      <c r="N73" s="106">
        <v>0</v>
      </c>
      <c r="O73" s="106">
        <v>0</v>
      </c>
      <c r="P73" s="106">
        <v>0</v>
      </c>
      <c r="Q73" s="106">
        <v>0</v>
      </c>
      <c r="R73" s="106">
        <v>12.470219435736677</v>
      </c>
      <c r="S73" s="106">
        <v>6973.3467084639487</v>
      </c>
      <c r="T73" s="106">
        <v>0</v>
      </c>
      <c r="U73" s="106">
        <v>0</v>
      </c>
      <c r="V73" s="106">
        <v>6.225352112676056</v>
      </c>
      <c r="W73" s="106">
        <v>3481.2169014084502</v>
      </c>
      <c r="X73" s="106">
        <v>0</v>
      </c>
      <c r="Y73" s="106">
        <v>0</v>
      </c>
      <c r="Z73" s="106">
        <v>5.3283582089552235</v>
      </c>
      <c r="AA73" s="106">
        <v>2979.6179104477606</v>
      </c>
      <c r="AB73" s="106">
        <v>6.3263358778625953</v>
      </c>
      <c r="AC73" s="106">
        <v>3537.6870229007627</v>
      </c>
      <c r="AD73" s="106">
        <v>0</v>
      </c>
      <c r="AE73" s="106">
        <v>0</v>
      </c>
      <c r="AF73" s="106">
        <v>11.871900826446282</v>
      </c>
      <c r="AG73" s="106">
        <v>6638.7669421487599</v>
      </c>
      <c r="AH73" s="106">
        <v>6.5384615384615383</v>
      </c>
      <c r="AI73" s="106">
        <v>3656.3076923076919</v>
      </c>
      <c r="AJ73" s="106">
        <v>1.8817407757805111</v>
      </c>
      <c r="AK73" s="106">
        <v>1052.2694418164617</v>
      </c>
      <c r="AL73" s="106">
        <v>2.145631067961165</v>
      </c>
      <c r="AM73" s="106">
        <v>1199.8368932038834</v>
      </c>
      <c r="AN73" s="106">
        <v>2.6885644768856451</v>
      </c>
      <c r="AO73" s="106">
        <v>1503.4452554744526</v>
      </c>
      <c r="AP73" s="106">
        <v>0</v>
      </c>
      <c r="AQ73" s="106">
        <v>0</v>
      </c>
      <c r="AR73" s="106">
        <v>0</v>
      </c>
      <c r="AS73" s="106">
        <v>0</v>
      </c>
      <c r="AT73" s="106">
        <v>15.88583509513742</v>
      </c>
      <c r="AU73" s="106">
        <v>8883.3589852008445</v>
      </c>
      <c r="AV73" s="106">
        <v>9.1828254847645425</v>
      </c>
      <c r="AW73" s="106">
        <v>5135.0360110803313</v>
      </c>
      <c r="AX73" s="106">
        <v>0</v>
      </c>
      <c r="AY73" s="106">
        <v>0</v>
      </c>
      <c r="AZ73" s="106">
        <v>9.464668094218414</v>
      </c>
      <c r="BA73" s="106">
        <v>5292.6423982869364</v>
      </c>
      <c r="BB73" s="106">
        <v>3.1443089430894307</v>
      </c>
      <c r="BC73" s="106">
        <v>1758.2975609756095</v>
      </c>
      <c r="BD73" s="106">
        <v>4.333333333333333</v>
      </c>
      <c r="BE73" s="106">
        <v>2423.1999999999994</v>
      </c>
      <c r="BF73" s="106">
        <v>4.7203883495145629</v>
      </c>
      <c r="BG73" s="106">
        <v>2639.6411650485434</v>
      </c>
      <c r="BH73" s="106">
        <v>0</v>
      </c>
      <c r="BI73" s="106">
        <v>0</v>
      </c>
      <c r="BJ73" s="106">
        <v>16.328178694158076</v>
      </c>
      <c r="BK73" s="106">
        <v>9130.7175257731942</v>
      </c>
      <c r="BL73" s="106">
        <v>0</v>
      </c>
      <c r="BM73" s="106">
        <v>0</v>
      </c>
      <c r="BN73" s="106">
        <v>7.0158730158730158</v>
      </c>
      <c r="BO73" s="106">
        <v>3923.2761904761901</v>
      </c>
      <c r="BP73" s="106">
        <v>3.6604554865424435</v>
      </c>
      <c r="BQ73" s="106">
        <v>2046.9267080745342</v>
      </c>
      <c r="BR73" s="106">
        <v>0</v>
      </c>
      <c r="BS73" s="106">
        <v>0</v>
      </c>
      <c r="BT73" s="106">
        <v>3.8144552319309599</v>
      </c>
      <c r="BU73" s="106">
        <v>2133.0433656957925</v>
      </c>
      <c r="BV73" s="106">
        <v>2.8111545988258317</v>
      </c>
      <c r="BW73" s="106">
        <v>1571.9976516634049</v>
      </c>
      <c r="BX73" s="106">
        <v>3.4052388289676427</v>
      </c>
      <c r="BY73" s="106">
        <v>1904.2095531587056</v>
      </c>
      <c r="BZ73" s="106">
        <v>2.9695898161244698</v>
      </c>
      <c r="CA73" s="106">
        <v>1660.5946251768032</v>
      </c>
      <c r="CB73" s="106">
        <v>0</v>
      </c>
      <c r="CC73" s="106">
        <v>0</v>
      </c>
      <c r="CD73" s="106">
        <v>0</v>
      </c>
      <c r="CE73" s="106">
        <v>0</v>
      </c>
      <c r="CF73" s="106">
        <v>7.9185667752443001</v>
      </c>
      <c r="CG73" s="106">
        <v>4428.0625407166117</v>
      </c>
      <c r="CH73" s="106">
        <v>0</v>
      </c>
      <c r="CI73" s="106">
        <v>0</v>
      </c>
      <c r="CJ73" s="106">
        <v>5.8640132669983416</v>
      </c>
      <c r="CK73" s="106">
        <v>3279.1562189054721</v>
      </c>
      <c r="CL73" s="106">
        <v>3.5079365079365079</v>
      </c>
      <c r="CM73" s="106">
        <v>1961.638095238095</v>
      </c>
      <c r="CN73" s="106">
        <v>0</v>
      </c>
      <c r="CO73" s="106">
        <v>0</v>
      </c>
      <c r="CP73" s="106">
        <v>0</v>
      </c>
      <c r="CQ73" s="106">
        <v>0</v>
      </c>
      <c r="CR73" s="106">
        <v>16.275193798449614</v>
      </c>
      <c r="CS73" s="106">
        <v>9101.0883720930233</v>
      </c>
      <c r="CT73" s="106">
        <v>0</v>
      </c>
      <c r="CU73" s="106">
        <v>0</v>
      </c>
    </row>
    <row r="74" spans="2:99" x14ac:dyDescent="0.2">
      <c r="C74" s="105" t="s">
        <v>240</v>
      </c>
      <c r="D74" s="106">
        <v>0</v>
      </c>
      <c r="E74" s="106">
        <v>0</v>
      </c>
      <c r="F74" s="106">
        <v>0</v>
      </c>
      <c r="G74" s="106">
        <v>0</v>
      </c>
      <c r="H74" s="106">
        <v>3.564516129032258</v>
      </c>
      <c r="I74" s="106">
        <v>1437.2129032258065</v>
      </c>
      <c r="J74" s="106">
        <v>5.3539703903095557</v>
      </c>
      <c r="K74" s="106">
        <v>2158.7208613728126</v>
      </c>
      <c r="L74" s="106">
        <v>6.0136054421768703</v>
      </c>
      <c r="M74" s="106">
        <v>2424.6857142857139</v>
      </c>
      <c r="N74" s="106">
        <v>0</v>
      </c>
      <c r="O74" s="106">
        <v>0</v>
      </c>
      <c r="P74" s="106">
        <v>0</v>
      </c>
      <c r="Q74" s="106">
        <v>0</v>
      </c>
      <c r="R74" s="106">
        <v>12.932079414838036</v>
      </c>
      <c r="S74" s="106">
        <v>5214.2144200626963</v>
      </c>
      <c r="T74" s="106">
        <v>0</v>
      </c>
      <c r="U74" s="106">
        <v>0</v>
      </c>
      <c r="V74" s="106">
        <v>7.262910798122066</v>
      </c>
      <c r="W74" s="106">
        <v>2928.4056338028167</v>
      </c>
      <c r="X74" s="106">
        <v>0</v>
      </c>
      <c r="Y74" s="106">
        <v>0</v>
      </c>
      <c r="Z74" s="106">
        <v>4.8208955223880592</v>
      </c>
      <c r="AA74" s="106">
        <v>1943.7850746268655</v>
      </c>
      <c r="AB74" s="106">
        <v>6.3263358778625953</v>
      </c>
      <c r="AC74" s="106">
        <v>2550.7786259541986</v>
      </c>
      <c r="AD74" s="106">
        <v>0</v>
      </c>
      <c r="AE74" s="106">
        <v>0</v>
      </c>
      <c r="AF74" s="106">
        <v>12.78512396694215</v>
      </c>
      <c r="AG74" s="106">
        <v>5154.9619834710747</v>
      </c>
      <c r="AH74" s="106">
        <v>7.8461538461538467</v>
      </c>
      <c r="AI74" s="106">
        <v>3163.5692307692311</v>
      </c>
      <c r="AJ74" s="106">
        <v>2.0908230842005677</v>
      </c>
      <c r="AK74" s="106">
        <v>843.0198675496689</v>
      </c>
      <c r="AL74" s="106">
        <v>2.145631067961165</v>
      </c>
      <c r="AM74" s="106">
        <v>865.11844660194174</v>
      </c>
      <c r="AN74" s="106">
        <v>2.5093268450932684</v>
      </c>
      <c r="AO74" s="106">
        <v>1011.7605839416058</v>
      </c>
      <c r="AP74" s="106">
        <v>0</v>
      </c>
      <c r="AQ74" s="106">
        <v>0</v>
      </c>
      <c r="AR74" s="106">
        <v>0</v>
      </c>
      <c r="AS74" s="106">
        <v>0</v>
      </c>
      <c r="AT74" s="106">
        <v>19.312191684284706</v>
      </c>
      <c r="AU74" s="106">
        <v>7786.6756871035932</v>
      </c>
      <c r="AV74" s="106">
        <v>11.141828254847645</v>
      </c>
      <c r="AW74" s="106">
        <v>4492.3851523545709</v>
      </c>
      <c r="AX74" s="106">
        <v>0</v>
      </c>
      <c r="AY74" s="106">
        <v>0</v>
      </c>
      <c r="AZ74" s="106">
        <v>9.464668094218414</v>
      </c>
      <c r="BA74" s="106">
        <v>3816.1541755888643</v>
      </c>
      <c r="BB74" s="106">
        <v>2.6951219512195124</v>
      </c>
      <c r="BC74" s="106">
        <v>1086.6731707317074</v>
      </c>
      <c r="BD74" s="106">
        <v>3.9</v>
      </c>
      <c r="BE74" s="106">
        <v>1572.48</v>
      </c>
      <c r="BF74" s="106">
        <v>4.7203883495145629</v>
      </c>
      <c r="BG74" s="106">
        <v>1903.2605825242717</v>
      </c>
      <c r="BH74" s="106">
        <v>0</v>
      </c>
      <c r="BI74" s="106">
        <v>0</v>
      </c>
      <c r="BJ74" s="106">
        <v>15.948453608247421</v>
      </c>
      <c r="BK74" s="106">
        <v>6430.4164948453599</v>
      </c>
      <c r="BL74" s="106">
        <v>0</v>
      </c>
      <c r="BM74" s="106">
        <v>0</v>
      </c>
      <c r="BN74" s="106">
        <v>7.2222222222222223</v>
      </c>
      <c r="BO74" s="106">
        <v>2912</v>
      </c>
      <c r="BP74" s="106">
        <v>3.6604554865424435</v>
      </c>
      <c r="BQ74" s="106">
        <v>1475.895652173913</v>
      </c>
      <c r="BR74" s="106">
        <v>0</v>
      </c>
      <c r="BS74" s="106">
        <v>0</v>
      </c>
      <c r="BT74" s="106">
        <v>4.29126213592233</v>
      </c>
      <c r="BU74" s="106">
        <v>1730.2368932038835</v>
      </c>
      <c r="BV74" s="106">
        <v>2.5949119373776908</v>
      </c>
      <c r="BW74" s="106">
        <v>1046.2684931506849</v>
      </c>
      <c r="BX74" s="106">
        <v>3.7457627118644066</v>
      </c>
      <c r="BY74" s="106">
        <v>1510.2915254237287</v>
      </c>
      <c r="BZ74" s="106">
        <v>3.4384724186704383</v>
      </c>
      <c r="CA74" s="106">
        <v>1386.3920792079207</v>
      </c>
      <c r="CB74" s="106">
        <v>0</v>
      </c>
      <c r="CC74" s="106">
        <v>0</v>
      </c>
      <c r="CD74" s="106">
        <v>0</v>
      </c>
      <c r="CE74" s="106">
        <v>0</v>
      </c>
      <c r="CF74" s="106">
        <v>7.9185667752443001</v>
      </c>
      <c r="CG74" s="106">
        <v>3192.7661237785019</v>
      </c>
      <c r="CH74" s="106">
        <v>0</v>
      </c>
      <c r="CI74" s="106">
        <v>0</v>
      </c>
      <c r="CJ74" s="106">
        <v>7.330016583747927</v>
      </c>
      <c r="CK74" s="106">
        <v>2955.4626865671639</v>
      </c>
      <c r="CL74" s="106">
        <v>3.9464285714285712</v>
      </c>
      <c r="CM74" s="106">
        <v>1591.1999999999998</v>
      </c>
      <c r="CN74" s="106">
        <v>0</v>
      </c>
      <c r="CO74" s="106">
        <v>0</v>
      </c>
      <c r="CP74" s="106">
        <v>0</v>
      </c>
      <c r="CQ74" s="106">
        <v>0</v>
      </c>
      <c r="CR74" s="106">
        <v>18.844961240310077</v>
      </c>
      <c r="CS74" s="106">
        <v>7598.2883720930231</v>
      </c>
      <c r="CT74" s="106">
        <v>0</v>
      </c>
      <c r="CU74" s="106">
        <v>0</v>
      </c>
    </row>
    <row r="75" spans="2:99" x14ac:dyDescent="0.2">
      <c r="C75" s="105" t="s">
        <v>241</v>
      </c>
      <c r="D75" s="106">
        <v>0</v>
      </c>
      <c r="E75" s="106">
        <v>0</v>
      </c>
      <c r="F75" s="106">
        <v>0</v>
      </c>
      <c r="G75" s="106">
        <v>0</v>
      </c>
      <c r="H75" s="106">
        <v>3.774193548387097</v>
      </c>
      <c r="I75" s="106">
        <v>2427.5612903225806</v>
      </c>
      <c r="J75" s="106">
        <v>5.3539703903095557</v>
      </c>
      <c r="K75" s="106">
        <v>3443.6737550471057</v>
      </c>
      <c r="L75" s="106">
        <v>6.2283770651117587</v>
      </c>
      <c r="M75" s="106">
        <v>4006.0921282798827</v>
      </c>
      <c r="N75" s="106">
        <v>0</v>
      </c>
      <c r="O75" s="106">
        <v>0</v>
      </c>
      <c r="P75" s="106">
        <v>0</v>
      </c>
      <c r="Q75" s="106">
        <v>0</v>
      </c>
      <c r="R75" s="106">
        <v>11.084639498432601</v>
      </c>
      <c r="S75" s="106">
        <v>7129.6401253918484</v>
      </c>
      <c r="T75" s="106">
        <v>0</v>
      </c>
      <c r="U75" s="106">
        <v>0</v>
      </c>
      <c r="V75" s="106">
        <v>6.225352112676056</v>
      </c>
      <c r="W75" s="106">
        <v>4004.1464788732387</v>
      </c>
      <c r="X75" s="106">
        <v>0</v>
      </c>
      <c r="Y75" s="106">
        <v>0</v>
      </c>
      <c r="Z75" s="106">
        <v>5.3283582089552235</v>
      </c>
      <c r="AA75" s="106">
        <v>3427.1999999999994</v>
      </c>
      <c r="AB75" s="106">
        <v>5.9045801526717554</v>
      </c>
      <c r="AC75" s="106">
        <v>3797.8259541984726</v>
      </c>
      <c r="AD75" s="106">
        <v>0</v>
      </c>
      <c r="AE75" s="106">
        <v>0</v>
      </c>
      <c r="AF75" s="106">
        <v>11.871900826446282</v>
      </c>
      <c r="AG75" s="106">
        <v>7636.0066115702475</v>
      </c>
      <c r="AH75" s="106">
        <v>7.4102564102564097</v>
      </c>
      <c r="AI75" s="106">
        <v>4766.2769230769218</v>
      </c>
      <c r="AJ75" s="106">
        <v>1.8817407757805111</v>
      </c>
      <c r="AK75" s="106">
        <v>1210.3356669820246</v>
      </c>
      <c r="AL75" s="106">
        <v>2.3840345199568502</v>
      </c>
      <c r="AM75" s="106">
        <v>1533.411003236246</v>
      </c>
      <c r="AN75" s="106">
        <v>2.3300892133008921</v>
      </c>
      <c r="AO75" s="106">
        <v>1498.7133819951337</v>
      </c>
      <c r="AP75" s="106">
        <v>0</v>
      </c>
      <c r="AQ75" s="106">
        <v>0</v>
      </c>
      <c r="AR75" s="106">
        <v>0</v>
      </c>
      <c r="AS75" s="106">
        <v>0</v>
      </c>
      <c r="AT75" s="106">
        <v>17.131782945736433</v>
      </c>
      <c r="AU75" s="106">
        <v>11019.162790697672</v>
      </c>
      <c r="AV75" s="106">
        <v>10.65207756232687</v>
      </c>
      <c r="AW75" s="106">
        <v>6851.4162880886415</v>
      </c>
      <c r="AX75" s="106">
        <v>0</v>
      </c>
      <c r="AY75" s="106">
        <v>0</v>
      </c>
      <c r="AZ75" s="106">
        <v>8.5182012847965733</v>
      </c>
      <c r="BA75" s="106">
        <v>5478.9070663811553</v>
      </c>
      <c r="BB75" s="106">
        <v>2.6951219512195124</v>
      </c>
      <c r="BC75" s="106">
        <v>1733.5024390243902</v>
      </c>
      <c r="BD75" s="106">
        <v>4.333333333333333</v>
      </c>
      <c r="BE75" s="106">
        <v>2787.1999999999994</v>
      </c>
      <c r="BF75" s="106">
        <v>4.7203883495145629</v>
      </c>
      <c r="BG75" s="106">
        <v>3036.1537864077663</v>
      </c>
      <c r="BH75" s="106">
        <v>0</v>
      </c>
      <c r="BI75" s="106">
        <v>0</v>
      </c>
      <c r="BJ75" s="106">
        <v>17.84707903780069</v>
      </c>
      <c r="BK75" s="106">
        <v>11479.241237113401</v>
      </c>
      <c r="BL75" s="106">
        <v>0</v>
      </c>
      <c r="BM75" s="106">
        <v>0</v>
      </c>
      <c r="BN75" s="106">
        <v>7.6349206349206353</v>
      </c>
      <c r="BO75" s="106">
        <v>4910.7809523809519</v>
      </c>
      <c r="BP75" s="106">
        <v>4.1180124223602483</v>
      </c>
      <c r="BQ75" s="106">
        <v>2648.7055900621112</v>
      </c>
      <c r="BR75" s="106">
        <v>0</v>
      </c>
      <c r="BS75" s="106">
        <v>0</v>
      </c>
      <c r="BT75" s="106">
        <v>4.29126213592233</v>
      </c>
      <c r="BU75" s="106">
        <v>2760.1398058252425</v>
      </c>
      <c r="BV75" s="106">
        <v>2.8111545988258317</v>
      </c>
      <c r="BW75" s="106">
        <v>1808.1346379647748</v>
      </c>
      <c r="BX75" s="106">
        <v>3.5755007704160247</v>
      </c>
      <c r="BY75" s="106">
        <v>2299.762095531587</v>
      </c>
      <c r="BZ75" s="106">
        <v>3.1258840169731257</v>
      </c>
      <c r="CA75" s="106">
        <v>2010.5685997171142</v>
      </c>
      <c r="CB75" s="106">
        <v>0</v>
      </c>
      <c r="CC75" s="106">
        <v>0</v>
      </c>
      <c r="CD75" s="106">
        <v>0</v>
      </c>
      <c r="CE75" s="106">
        <v>0</v>
      </c>
      <c r="CF75" s="106">
        <v>7.9185667752443001</v>
      </c>
      <c r="CG75" s="106">
        <v>5093.2221498371337</v>
      </c>
      <c r="CH75" s="106">
        <v>0</v>
      </c>
      <c r="CI75" s="106">
        <v>0</v>
      </c>
      <c r="CJ75" s="106">
        <v>5.8640132669983416</v>
      </c>
      <c r="CK75" s="106">
        <v>3771.7333333333331</v>
      </c>
      <c r="CL75" s="106">
        <v>3.5079365079365079</v>
      </c>
      <c r="CM75" s="106">
        <v>2256.3047619047616</v>
      </c>
      <c r="CN75" s="106">
        <v>0</v>
      </c>
      <c r="CO75" s="106">
        <v>0</v>
      </c>
      <c r="CP75" s="106">
        <v>0</v>
      </c>
      <c r="CQ75" s="106">
        <v>0</v>
      </c>
      <c r="CR75" s="106">
        <v>17.131782945736433</v>
      </c>
      <c r="CS75" s="106">
        <v>11019.162790697672</v>
      </c>
      <c r="CT75" s="106">
        <v>0</v>
      </c>
      <c r="CU75" s="106">
        <v>0</v>
      </c>
    </row>
    <row r="76" spans="2:99" x14ac:dyDescent="0.2">
      <c r="C76" s="105" t="s">
        <v>242</v>
      </c>
      <c r="D76" s="106">
        <v>0</v>
      </c>
      <c r="E76" s="106">
        <v>0</v>
      </c>
      <c r="F76" s="106">
        <v>0</v>
      </c>
      <c r="G76" s="106">
        <v>0</v>
      </c>
      <c r="H76" s="106">
        <v>3.564516129032258</v>
      </c>
      <c r="I76" s="106">
        <v>2776.0451612903225</v>
      </c>
      <c r="J76" s="106">
        <v>5.3539703903095557</v>
      </c>
      <c r="K76" s="106">
        <v>4169.6721399730814</v>
      </c>
      <c r="L76" s="106">
        <v>5.5840621963070944</v>
      </c>
      <c r="M76" s="106">
        <v>4348.8676384839646</v>
      </c>
      <c r="N76" s="106">
        <v>0</v>
      </c>
      <c r="O76" s="106">
        <v>0</v>
      </c>
      <c r="P76" s="106">
        <v>0</v>
      </c>
      <c r="Q76" s="106">
        <v>0</v>
      </c>
      <c r="R76" s="106">
        <v>11.084639498432601</v>
      </c>
      <c r="S76" s="106">
        <v>8632.7172413793087</v>
      </c>
      <c r="T76" s="106">
        <v>0</v>
      </c>
      <c r="U76" s="106">
        <v>0</v>
      </c>
      <c r="V76" s="106">
        <v>6.225352112676056</v>
      </c>
      <c r="W76" s="106">
        <v>4848.3042253521126</v>
      </c>
      <c r="X76" s="106">
        <v>0</v>
      </c>
      <c r="Y76" s="106">
        <v>0</v>
      </c>
      <c r="Z76" s="106">
        <v>4.8208955223880592</v>
      </c>
      <c r="AA76" s="106">
        <v>3754.5134328358204</v>
      </c>
      <c r="AB76" s="106">
        <v>5.9045801526717554</v>
      </c>
      <c r="AC76" s="106">
        <v>4598.4870229007629</v>
      </c>
      <c r="AD76" s="106">
        <v>0</v>
      </c>
      <c r="AE76" s="106">
        <v>0</v>
      </c>
      <c r="AF76" s="106">
        <v>12.78512396694215</v>
      </c>
      <c r="AG76" s="106">
        <v>9957.0545454545463</v>
      </c>
      <c r="AH76" s="106">
        <v>6.1025641025641022</v>
      </c>
      <c r="AI76" s="106">
        <v>4752.6769230769223</v>
      </c>
      <c r="AJ76" s="106">
        <v>1.8817407757805111</v>
      </c>
      <c r="AK76" s="106">
        <v>1465.499716177862</v>
      </c>
      <c r="AL76" s="106">
        <v>2.3840345199568502</v>
      </c>
      <c r="AM76" s="106">
        <v>1856.6860841423947</v>
      </c>
      <c r="AN76" s="106">
        <v>2.6885644768856451</v>
      </c>
      <c r="AO76" s="106">
        <v>2093.8540145985403</v>
      </c>
      <c r="AP76" s="106">
        <v>0</v>
      </c>
      <c r="AQ76" s="106">
        <v>0</v>
      </c>
      <c r="AR76" s="106">
        <v>0</v>
      </c>
      <c r="AS76" s="106">
        <v>0</v>
      </c>
      <c r="AT76" s="106">
        <v>15.88583509513742</v>
      </c>
      <c r="AU76" s="106">
        <v>12371.888372093023</v>
      </c>
      <c r="AV76" s="106">
        <v>9.5501385041551252</v>
      </c>
      <c r="AW76" s="106">
        <v>7437.6478670360111</v>
      </c>
      <c r="AX76" s="106">
        <v>0</v>
      </c>
      <c r="AY76" s="106">
        <v>0</v>
      </c>
      <c r="AZ76" s="106">
        <v>9.464668094218414</v>
      </c>
      <c r="BA76" s="106">
        <v>7371.0835117773004</v>
      </c>
      <c r="BB76" s="106">
        <v>3.1443089430894307</v>
      </c>
      <c r="BC76" s="106">
        <v>2448.7878048780485</v>
      </c>
      <c r="BD76" s="106">
        <v>3.9</v>
      </c>
      <c r="BE76" s="106">
        <v>3037.3199999999997</v>
      </c>
      <c r="BF76" s="106">
        <v>4.29126213592233</v>
      </c>
      <c r="BG76" s="106">
        <v>3342.0349514563104</v>
      </c>
      <c r="BH76" s="106">
        <v>0</v>
      </c>
      <c r="BI76" s="106">
        <v>0</v>
      </c>
      <c r="BJ76" s="106">
        <v>17.467353951890033</v>
      </c>
      <c r="BK76" s="106">
        <v>13603.575257731956</v>
      </c>
      <c r="BL76" s="106">
        <v>0</v>
      </c>
      <c r="BM76" s="106">
        <v>0</v>
      </c>
      <c r="BN76" s="106">
        <v>6.6031746031746037</v>
      </c>
      <c r="BO76" s="106">
        <v>5142.5523809523811</v>
      </c>
      <c r="BP76" s="106">
        <v>3.6604554865424435</v>
      </c>
      <c r="BQ76" s="106">
        <v>2850.7627329192546</v>
      </c>
      <c r="BR76" s="106">
        <v>0</v>
      </c>
      <c r="BS76" s="106">
        <v>0</v>
      </c>
      <c r="BT76" s="106">
        <v>3.8144552319309599</v>
      </c>
      <c r="BU76" s="106">
        <v>2970.6977346278313</v>
      </c>
      <c r="BV76" s="106">
        <v>2.8111545988258317</v>
      </c>
      <c r="BW76" s="106">
        <v>2189.3272015655575</v>
      </c>
      <c r="BX76" s="106">
        <v>3.4052388289676427</v>
      </c>
      <c r="BY76" s="106">
        <v>2652</v>
      </c>
      <c r="BZ76" s="106">
        <v>3.1258840169731257</v>
      </c>
      <c r="CA76" s="106">
        <v>2434.4384724186702</v>
      </c>
      <c r="CB76" s="106">
        <v>0</v>
      </c>
      <c r="CC76" s="106">
        <v>0</v>
      </c>
      <c r="CD76" s="106">
        <v>0</v>
      </c>
      <c r="CE76" s="106">
        <v>0</v>
      </c>
      <c r="CF76" s="106">
        <v>7.9185667752443001</v>
      </c>
      <c r="CG76" s="106">
        <v>6166.9798045602602</v>
      </c>
      <c r="CH76" s="106">
        <v>0</v>
      </c>
      <c r="CI76" s="106">
        <v>0</v>
      </c>
      <c r="CJ76" s="106">
        <v>5.8640132669983416</v>
      </c>
      <c r="CK76" s="106">
        <v>4566.8935323383084</v>
      </c>
      <c r="CL76" s="106">
        <v>3.9464285714285712</v>
      </c>
      <c r="CM76" s="106">
        <v>3073.4785714285708</v>
      </c>
      <c r="CN76" s="106">
        <v>0</v>
      </c>
      <c r="CO76" s="106">
        <v>0</v>
      </c>
      <c r="CP76" s="106">
        <v>0</v>
      </c>
      <c r="CQ76" s="106">
        <v>0</v>
      </c>
      <c r="CR76" s="106">
        <v>16.275193798449614</v>
      </c>
      <c r="CS76" s="106">
        <v>12675.120930232559</v>
      </c>
      <c r="CT76" s="106">
        <v>0</v>
      </c>
      <c r="CU76" s="106">
        <v>0</v>
      </c>
    </row>
    <row r="77" spans="2:99" x14ac:dyDescent="0.2">
      <c r="C77" s="105" t="s">
        <v>243</v>
      </c>
      <c r="D77" s="106">
        <v>0</v>
      </c>
      <c r="E77" s="106">
        <v>0</v>
      </c>
      <c r="F77" s="106">
        <v>0</v>
      </c>
      <c r="G77" s="106">
        <v>0</v>
      </c>
      <c r="H77" s="106">
        <v>3.774193548387097</v>
      </c>
      <c r="I77" s="106">
        <v>1050.7354838709678</v>
      </c>
      <c r="J77" s="106">
        <v>5.0565275908479137</v>
      </c>
      <c r="K77" s="106">
        <v>1407.7372812920592</v>
      </c>
      <c r="L77" s="106">
        <v>6.2283770651117587</v>
      </c>
      <c r="M77" s="106">
        <v>1733.9801749271135</v>
      </c>
      <c r="N77" s="106">
        <v>0</v>
      </c>
      <c r="O77" s="106">
        <v>0</v>
      </c>
      <c r="P77" s="106">
        <v>0</v>
      </c>
      <c r="Q77" s="106">
        <v>0</v>
      </c>
      <c r="R77" s="106">
        <v>12.470219435736677</v>
      </c>
      <c r="S77" s="106">
        <v>3471.7090909090907</v>
      </c>
      <c r="T77" s="106">
        <v>0</v>
      </c>
      <c r="U77" s="106">
        <v>0</v>
      </c>
      <c r="V77" s="106">
        <v>6.225352112676056</v>
      </c>
      <c r="W77" s="106">
        <v>1733.1380281690138</v>
      </c>
      <c r="X77" s="106">
        <v>0</v>
      </c>
      <c r="Y77" s="106">
        <v>0</v>
      </c>
      <c r="Z77" s="106">
        <v>4.8208955223880592</v>
      </c>
      <c r="AA77" s="106">
        <v>1342.1373134328355</v>
      </c>
      <c r="AB77" s="106">
        <v>5.9045801526717554</v>
      </c>
      <c r="AC77" s="106">
        <v>1643.8351145038166</v>
      </c>
      <c r="AD77" s="106">
        <v>0</v>
      </c>
      <c r="AE77" s="106">
        <v>0</v>
      </c>
      <c r="AF77" s="106">
        <v>11.871900826446282</v>
      </c>
      <c r="AG77" s="106">
        <v>3305.1371900826448</v>
      </c>
      <c r="AH77" s="106">
        <v>7.4102564102564097</v>
      </c>
      <c r="AI77" s="106">
        <v>2063.0153846153844</v>
      </c>
      <c r="AJ77" s="106">
        <v>2.0908230842005677</v>
      </c>
      <c r="AK77" s="106">
        <v>582.08514664143797</v>
      </c>
      <c r="AL77" s="106">
        <v>2.3840345199568502</v>
      </c>
      <c r="AM77" s="106">
        <v>663.7152103559871</v>
      </c>
      <c r="AN77" s="106">
        <v>2.5093268450932684</v>
      </c>
      <c r="AO77" s="106">
        <v>698.59659367396591</v>
      </c>
      <c r="AP77" s="106">
        <v>0</v>
      </c>
      <c r="AQ77" s="106">
        <v>0</v>
      </c>
      <c r="AR77" s="106">
        <v>0</v>
      </c>
      <c r="AS77" s="106">
        <v>0</v>
      </c>
      <c r="AT77" s="106">
        <v>17.443269908386188</v>
      </c>
      <c r="AU77" s="106">
        <v>4856.2063424947146</v>
      </c>
      <c r="AV77" s="106">
        <v>11.386703601108032</v>
      </c>
      <c r="AW77" s="106">
        <v>3170.0582825484757</v>
      </c>
      <c r="AX77" s="106">
        <v>0</v>
      </c>
      <c r="AY77" s="106">
        <v>0</v>
      </c>
      <c r="AZ77" s="106">
        <v>10.411134903640257</v>
      </c>
      <c r="BA77" s="106">
        <v>2898.459957173447</v>
      </c>
      <c r="BB77" s="106">
        <v>3.1443089430894307</v>
      </c>
      <c r="BC77" s="106">
        <v>875.37560975609745</v>
      </c>
      <c r="BD77" s="106">
        <v>4.333333333333333</v>
      </c>
      <c r="BE77" s="106">
        <v>1206.3999999999999</v>
      </c>
      <c r="BF77" s="106">
        <v>4.29126213592233</v>
      </c>
      <c r="BG77" s="106">
        <v>1194.6873786407766</v>
      </c>
      <c r="BH77" s="106">
        <v>0</v>
      </c>
      <c r="BI77" s="106">
        <v>0</v>
      </c>
      <c r="BJ77" s="106">
        <v>19.365979381443296</v>
      </c>
      <c r="BK77" s="106">
        <v>5391.488659793813</v>
      </c>
      <c r="BL77" s="106">
        <v>0</v>
      </c>
      <c r="BM77" s="106">
        <v>0</v>
      </c>
      <c r="BN77" s="106">
        <v>7.8412698412698409</v>
      </c>
      <c r="BO77" s="106">
        <v>2183.0095238095237</v>
      </c>
      <c r="BP77" s="106">
        <v>4.1180124223602483</v>
      </c>
      <c r="BQ77" s="106">
        <v>1146.4546583850931</v>
      </c>
      <c r="BR77" s="106">
        <v>0</v>
      </c>
      <c r="BS77" s="106">
        <v>0</v>
      </c>
      <c r="BT77" s="106">
        <v>4.29126213592233</v>
      </c>
      <c r="BU77" s="106">
        <v>1194.6873786407766</v>
      </c>
      <c r="BV77" s="106">
        <v>2.8111545988258317</v>
      </c>
      <c r="BW77" s="106">
        <v>782.62544031311154</v>
      </c>
      <c r="BX77" s="106">
        <v>4.0862865947611713</v>
      </c>
      <c r="BY77" s="106">
        <v>1137.62218798151</v>
      </c>
      <c r="BZ77" s="106">
        <v>2.9695898161244698</v>
      </c>
      <c r="CA77" s="106">
        <v>826.73380480905234</v>
      </c>
      <c r="CB77" s="106">
        <v>0</v>
      </c>
      <c r="CC77" s="106">
        <v>0</v>
      </c>
      <c r="CD77" s="106">
        <v>0</v>
      </c>
      <c r="CE77" s="106">
        <v>0</v>
      </c>
      <c r="CF77" s="106">
        <v>7.9185667752443001</v>
      </c>
      <c r="CG77" s="106">
        <v>2204.5289902280128</v>
      </c>
      <c r="CH77" s="106">
        <v>0</v>
      </c>
      <c r="CI77" s="106">
        <v>0</v>
      </c>
      <c r="CJ77" s="106">
        <v>6.5970149253731343</v>
      </c>
      <c r="CK77" s="106">
        <v>1836.6089552238805</v>
      </c>
      <c r="CL77" s="106">
        <v>4.3849206349206344</v>
      </c>
      <c r="CM77" s="106">
        <v>1220.7619047619046</v>
      </c>
      <c r="CN77" s="106">
        <v>0</v>
      </c>
      <c r="CO77" s="106">
        <v>0</v>
      </c>
      <c r="CP77" s="106">
        <v>0</v>
      </c>
      <c r="CQ77" s="106">
        <v>0</v>
      </c>
      <c r="CR77" s="106">
        <v>17.131782945736433</v>
      </c>
      <c r="CS77" s="106">
        <v>4769.488372093022</v>
      </c>
      <c r="CT77" s="106">
        <v>0</v>
      </c>
      <c r="CU77" s="106">
        <v>0</v>
      </c>
    </row>
    <row r="78" spans="2:99" x14ac:dyDescent="0.2">
      <c r="C78" s="105" t="s">
        <v>244</v>
      </c>
      <c r="D78" s="106">
        <v>0</v>
      </c>
      <c r="E78" s="106">
        <v>0</v>
      </c>
      <c r="F78" s="106">
        <v>0</v>
      </c>
      <c r="G78" s="106">
        <v>0</v>
      </c>
      <c r="H78" s="106">
        <v>3.3548387096774195</v>
      </c>
      <c r="I78" s="106">
        <v>1851.8709677419356</v>
      </c>
      <c r="J78" s="106">
        <v>5.3539703903095557</v>
      </c>
      <c r="K78" s="106">
        <v>2955.3916554508746</v>
      </c>
      <c r="L78" s="106">
        <v>6.2283770651117587</v>
      </c>
      <c r="M78" s="106">
        <v>3438.0641399416909</v>
      </c>
      <c r="N78" s="106">
        <v>0</v>
      </c>
      <c r="O78" s="106">
        <v>0</v>
      </c>
      <c r="P78" s="106">
        <v>0</v>
      </c>
      <c r="Q78" s="106">
        <v>0</v>
      </c>
      <c r="R78" s="106">
        <v>12.932079414838036</v>
      </c>
      <c r="S78" s="106">
        <v>7138.5078369905959</v>
      </c>
      <c r="T78" s="106">
        <v>0</v>
      </c>
      <c r="U78" s="106">
        <v>0</v>
      </c>
      <c r="V78" s="106">
        <v>6.225352112676056</v>
      </c>
      <c r="W78" s="106">
        <v>3436.394366197183</v>
      </c>
      <c r="X78" s="106">
        <v>0</v>
      </c>
      <c r="Y78" s="106">
        <v>0</v>
      </c>
      <c r="Z78" s="106">
        <v>5.3283582089552235</v>
      </c>
      <c r="AA78" s="106">
        <v>2941.2537313432836</v>
      </c>
      <c r="AB78" s="106">
        <v>6.3263358778625953</v>
      </c>
      <c r="AC78" s="106">
        <v>3492.1374045801526</v>
      </c>
      <c r="AD78" s="106">
        <v>0</v>
      </c>
      <c r="AE78" s="106">
        <v>0</v>
      </c>
      <c r="AF78" s="106">
        <v>11.871900826446282</v>
      </c>
      <c r="AG78" s="106">
        <v>6553.2892561983481</v>
      </c>
      <c r="AH78" s="106">
        <v>6.9743589743589745</v>
      </c>
      <c r="AI78" s="106">
        <v>3849.8461538461538</v>
      </c>
      <c r="AJ78" s="106">
        <v>1.8817407757805111</v>
      </c>
      <c r="AK78" s="106">
        <v>1038.720908230842</v>
      </c>
      <c r="AL78" s="106">
        <v>2.145631067961165</v>
      </c>
      <c r="AM78" s="106">
        <v>1184.3883495145631</v>
      </c>
      <c r="AN78" s="106">
        <v>2.6885644768856451</v>
      </c>
      <c r="AO78" s="106">
        <v>1484.087591240876</v>
      </c>
      <c r="AP78" s="106">
        <v>0</v>
      </c>
      <c r="AQ78" s="106">
        <v>0</v>
      </c>
      <c r="AR78" s="106">
        <v>0</v>
      </c>
      <c r="AS78" s="106">
        <v>0</v>
      </c>
      <c r="AT78" s="106">
        <v>18.689217758985201</v>
      </c>
      <c r="AU78" s="106">
        <v>10316.448202959831</v>
      </c>
      <c r="AV78" s="106">
        <v>9.5501385041551252</v>
      </c>
      <c r="AW78" s="106">
        <v>5271.6764542936289</v>
      </c>
      <c r="AX78" s="106">
        <v>0</v>
      </c>
      <c r="AY78" s="106">
        <v>0</v>
      </c>
      <c r="AZ78" s="106">
        <v>8.5182012847965733</v>
      </c>
      <c r="BA78" s="106">
        <v>4702.0471092077087</v>
      </c>
      <c r="BB78" s="106">
        <v>3.1443089430894307</v>
      </c>
      <c r="BC78" s="106">
        <v>1735.6585365853657</v>
      </c>
      <c r="BD78" s="106">
        <v>4.333333333333333</v>
      </c>
      <c r="BE78" s="106">
        <v>2392</v>
      </c>
      <c r="BF78" s="106">
        <v>4.7203883495145629</v>
      </c>
      <c r="BG78" s="106">
        <v>2605.6543689320388</v>
      </c>
      <c r="BH78" s="106">
        <v>0</v>
      </c>
      <c r="BI78" s="106">
        <v>0</v>
      </c>
      <c r="BJ78" s="106">
        <v>15.56872852233677</v>
      </c>
      <c r="BK78" s="106">
        <v>8593.9381443298971</v>
      </c>
      <c r="BL78" s="106">
        <v>0</v>
      </c>
      <c r="BM78" s="106">
        <v>0</v>
      </c>
      <c r="BN78" s="106">
        <v>6.3968253968253972</v>
      </c>
      <c r="BO78" s="106">
        <v>3531.0476190476193</v>
      </c>
      <c r="BP78" s="106">
        <v>3.6604554865424435</v>
      </c>
      <c r="BQ78" s="106">
        <v>2020.5714285714289</v>
      </c>
      <c r="BR78" s="106">
        <v>0</v>
      </c>
      <c r="BS78" s="106">
        <v>0</v>
      </c>
      <c r="BT78" s="106">
        <v>4.29126213592233</v>
      </c>
      <c r="BU78" s="106">
        <v>2368.7766990291261</v>
      </c>
      <c r="BV78" s="106">
        <v>2.5949119373776908</v>
      </c>
      <c r="BW78" s="106">
        <v>1432.3913894324853</v>
      </c>
      <c r="BX78" s="106">
        <v>3.4052388289676427</v>
      </c>
      <c r="BY78" s="106">
        <v>1879.6918335901387</v>
      </c>
      <c r="BZ78" s="106">
        <v>2.9695898161244698</v>
      </c>
      <c r="CA78" s="106">
        <v>1639.2135785007074</v>
      </c>
      <c r="CB78" s="106">
        <v>0</v>
      </c>
      <c r="CC78" s="106">
        <v>0</v>
      </c>
      <c r="CD78" s="106">
        <v>0</v>
      </c>
      <c r="CE78" s="106">
        <v>0</v>
      </c>
      <c r="CF78" s="106">
        <v>7.9185667752443001</v>
      </c>
      <c r="CG78" s="106">
        <v>4371.0488599348537</v>
      </c>
      <c r="CH78" s="106">
        <v>0</v>
      </c>
      <c r="CI78" s="106">
        <v>0</v>
      </c>
      <c r="CJ78" s="106">
        <v>6.5970149253731343</v>
      </c>
      <c r="CK78" s="106">
        <v>3641.5522388059703</v>
      </c>
      <c r="CL78" s="106">
        <v>4.3849206349206344</v>
      </c>
      <c r="CM78" s="106">
        <v>2420.4761904761904</v>
      </c>
      <c r="CN78" s="106">
        <v>0</v>
      </c>
      <c r="CO78" s="106">
        <v>0</v>
      </c>
      <c r="CP78" s="106">
        <v>0</v>
      </c>
      <c r="CQ78" s="106">
        <v>0</v>
      </c>
      <c r="CR78" s="106">
        <v>17.131782945736433</v>
      </c>
      <c r="CS78" s="106">
        <v>9456.7441860465115</v>
      </c>
      <c r="CT78" s="106">
        <v>0</v>
      </c>
      <c r="CU78" s="106">
        <v>0</v>
      </c>
    </row>
    <row r="79" spans="2:99" x14ac:dyDescent="0.2">
      <c r="C79" s="105" t="s">
        <v>245</v>
      </c>
      <c r="D79" s="106">
        <v>0</v>
      </c>
      <c r="E79" s="106">
        <v>0</v>
      </c>
      <c r="F79" s="106">
        <v>0</v>
      </c>
      <c r="G79" s="106">
        <v>0</v>
      </c>
      <c r="H79" s="106">
        <v>3.564516129032258</v>
      </c>
      <c r="I79" s="106">
        <v>2699.0516129032253</v>
      </c>
      <c r="J79" s="106">
        <v>4.7590847913862717</v>
      </c>
      <c r="K79" s="106">
        <v>3603.5790040376846</v>
      </c>
      <c r="L79" s="106">
        <v>5.5840621963070944</v>
      </c>
      <c r="M79" s="106">
        <v>4228.2518950437316</v>
      </c>
      <c r="N79" s="106">
        <v>0</v>
      </c>
      <c r="O79" s="106">
        <v>0</v>
      </c>
      <c r="P79" s="106">
        <v>0</v>
      </c>
      <c r="Q79" s="106">
        <v>0</v>
      </c>
      <c r="R79" s="106">
        <v>11.084639498432601</v>
      </c>
      <c r="S79" s="106">
        <v>8393.2890282131648</v>
      </c>
      <c r="T79" s="106">
        <v>0</v>
      </c>
      <c r="U79" s="106">
        <v>0</v>
      </c>
      <c r="V79" s="106">
        <v>6.225352112676056</v>
      </c>
      <c r="W79" s="106">
        <v>4713.8366197183095</v>
      </c>
      <c r="X79" s="106">
        <v>0</v>
      </c>
      <c r="Y79" s="106">
        <v>0</v>
      </c>
      <c r="Z79" s="106">
        <v>5.0746268656716422</v>
      </c>
      <c r="AA79" s="106">
        <v>3842.5074626865671</v>
      </c>
      <c r="AB79" s="106">
        <v>5.9045801526717554</v>
      </c>
      <c r="AC79" s="106">
        <v>4470.9480916030525</v>
      </c>
      <c r="AD79" s="106">
        <v>0</v>
      </c>
      <c r="AE79" s="106">
        <v>0</v>
      </c>
      <c r="AF79" s="106">
        <v>12.78512396694215</v>
      </c>
      <c r="AG79" s="106">
        <v>9680.8958677685951</v>
      </c>
      <c r="AH79" s="106">
        <v>6.9743589743589745</v>
      </c>
      <c r="AI79" s="106">
        <v>5280.9846153846147</v>
      </c>
      <c r="AJ79" s="106">
        <v>2.0908230842005677</v>
      </c>
      <c r="AK79" s="106">
        <v>1583.1712393566697</v>
      </c>
      <c r="AL79" s="106">
        <v>2.3840345199568502</v>
      </c>
      <c r="AM79" s="106">
        <v>1805.1909385113267</v>
      </c>
      <c r="AN79" s="106">
        <v>2.6885644768856451</v>
      </c>
      <c r="AO79" s="106">
        <v>2035.7810218978104</v>
      </c>
      <c r="AP79" s="106">
        <v>0</v>
      </c>
      <c r="AQ79" s="106">
        <v>0</v>
      </c>
      <c r="AR79" s="106">
        <v>0</v>
      </c>
      <c r="AS79" s="106">
        <v>0</v>
      </c>
      <c r="AT79" s="106">
        <v>17.754756871035941</v>
      </c>
      <c r="AU79" s="106">
        <v>13443.901902748414</v>
      </c>
      <c r="AV79" s="106">
        <v>9.9174515235457061</v>
      </c>
      <c r="AW79" s="106">
        <v>7509.494293628808</v>
      </c>
      <c r="AX79" s="106">
        <v>0</v>
      </c>
      <c r="AY79" s="106">
        <v>0</v>
      </c>
      <c r="AZ79" s="106">
        <v>8.5182012847965733</v>
      </c>
      <c r="BA79" s="106">
        <v>6449.9820128479651</v>
      </c>
      <c r="BB79" s="106">
        <v>3.5934959349593498</v>
      </c>
      <c r="BC79" s="106">
        <v>2720.9951219512195</v>
      </c>
      <c r="BD79" s="106">
        <v>4.333333333333333</v>
      </c>
      <c r="BE79" s="106">
        <v>3281.1999999999994</v>
      </c>
      <c r="BF79" s="106">
        <v>4.7203883495145629</v>
      </c>
      <c r="BG79" s="106">
        <v>3574.2780582524265</v>
      </c>
      <c r="BH79" s="106">
        <v>0</v>
      </c>
      <c r="BI79" s="106">
        <v>0</v>
      </c>
      <c r="BJ79" s="106">
        <v>17.087628865979383</v>
      </c>
      <c r="BK79" s="106">
        <v>12938.752577319588</v>
      </c>
      <c r="BL79" s="106">
        <v>0</v>
      </c>
      <c r="BM79" s="106">
        <v>0</v>
      </c>
      <c r="BN79" s="106">
        <v>7.4285714285714279</v>
      </c>
      <c r="BO79" s="106">
        <v>5624.9142857142851</v>
      </c>
      <c r="BP79" s="106">
        <v>3.6604554865424435</v>
      </c>
      <c r="BQ79" s="106">
        <v>2771.6968944099381</v>
      </c>
      <c r="BR79" s="106">
        <v>0</v>
      </c>
      <c r="BS79" s="106">
        <v>0</v>
      </c>
      <c r="BT79" s="106">
        <v>3.8144552319309599</v>
      </c>
      <c r="BU79" s="106">
        <v>2888.3055016181224</v>
      </c>
      <c r="BV79" s="106">
        <v>2.5949119373776908</v>
      </c>
      <c r="BW79" s="106">
        <v>1964.8673189823874</v>
      </c>
      <c r="BX79" s="106">
        <v>3.5755007704160247</v>
      </c>
      <c r="BY79" s="106">
        <v>2707.3691833590137</v>
      </c>
      <c r="BZ79" s="106">
        <v>2.9695898161244698</v>
      </c>
      <c r="CA79" s="106">
        <v>2248.5734087694482</v>
      </c>
      <c r="CB79" s="106">
        <v>0</v>
      </c>
      <c r="CC79" s="106">
        <v>0</v>
      </c>
      <c r="CD79" s="106">
        <v>0</v>
      </c>
      <c r="CE79" s="106">
        <v>0</v>
      </c>
      <c r="CF79" s="106">
        <v>7.9185667752443001</v>
      </c>
      <c r="CG79" s="106">
        <v>5995.9387622149834</v>
      </c>
      <c r="CH79" s="106">
        <v>0</v>
      </c>
      <c r="CI79" s="106">
        <v>0</v>
      </c>
      <c r="CJ79" s="106">
        <v>5.8640132669983416</v>
      </c>
      <c r="CK79" s="106">
        <v>4440.2308457711442</v>
      </c>
      <c r="CL79" s="106">
        <v>3.5079365079365079</v>
      </c>
      <c r="CM79" s="106">
        <v>2656.2095238095235</v>
      </c>
      <c r="CN79" s="106">
        <v>0</v>
      </c>
      <c r="CO79" s="106">
        <v>0</v>
      </c>
      <c r="CP79" s="106">
        <v>0</v>
      </c>
      <c r="CQ79" s="106">
        <v>0</v>
      </c>
      <c r="CR79" s="106">
        <v>17.131782945736433</v>
      </c>
      <c r="CS79" s="106">
        <v>12972.186046511626</v>
      </c>
      <c r="CT79" s="106">
        <v>0</v>
      </c>
      <c r="CU79" s="106">
        <v>0</v>
      </c>
    </row>
    <row r="80" spans="2:99" x14ac:dyDescent="0.2">
      <c r="C80" s="105" t="s">
        <v>246</v>
      </c>
      <c r="D80" s="106">
        <v>0</v>
      </c>
      <c r="E80" s="106">
        <v>0</v>
      </c>
      <c r="F80" s="106">
        <v>0</v>
      </c>
      <c r="G80" s="106">
        <v>0</v>
      </c>
      <c r="H80" s="106">
        <v>3.3548387096774195</v>
      </c>
      <c r="I80" s="106">
        <v>2701.3161290322578</v>
      </c>
      <c r="J80" s="106">
        <v>5.0565275908479137</v>
      </c>
      <c r="K80" s="106">
        <v>4071.5160161507397</v>
      </c>
      <c r="L80" s="106">
        <v>6.4431486880466471</v>
      </c>
      <c r="M80" s="106">
        <v>5188.0233236151598</v>
      </c>
      <c r="N80" s="106">
        <v>0</v>
      </c>
      <c r="O80" s="106">
        <v>0</v>
      </c>
      <c r="P80" s="106">
        <v>0</v>
      </c>
      <c r="Q80" s="106">
        <v>0</v>
      </c>
      <c r="R80" s="106">
        <v>11.54649947753396</v>
      </c>
      <c r="S80" s="106">
        <v>9297.2413793103442</v>
      </c>
      <c r="T80" s="106">
        <v>0</v>
      </c>
      <c r="U80" s="106">
        <v>0</v>
      </c>
      <c r="V80" s="106">
        <v>5.8794992175273864</v>
      </c>
      <c r="W80" s="106">
        <v>4734.1727699530511</v>
      </c>
      <c r="X80" s="106">
        <v>0</v>
      </c>
      <c r="Y80" s="106">
        <v>0</v>
      </c>
      <c r="Z80" s="106">
        <v>5.3283582089552235</v>
      </c>
      <c r="AA80" s="106">
        <v>4290.3940298507459</v>
      </c>
      <c r="AB80" s="106">
        <v>6.3263358778625953</v>
      </c>
      <c r="AC80" s="106">
        <v>5093.9656488549617</v>
      </c>
      <c r="AD80" s="106">
        <v>0</v>
      </c>
      <c r="AE80" s="106">
        <v>0</v>
      </c>
      <c r="AF80" s="106">
        <v>12.78512396694215</v>
      </c>
      <c r="AG80" s="106">
        <v>10294.581818181818</v>
      </c>
      <c r="AH80" s="106">
        <v>6.9743589743589745</v>
      </c>
      <c r="AI80" s="106">
        <v>5615.7538461538461</v>
      </c>
      <c r="AJ80" s="106">
        <v>2.0908230842005677</v>
      </c>
      <c r="AK80" s="106">
        <v>1683.5307473982971</v>
      </c>
      <c r="AL80" s="106">
        <v>2.3840345199568502</v>
      </c>
      <c r="AM80" s="106">
        <v>1919.6245954692556</v>
      </c>
      <c r="AN80" s="106">
        <v>2.3300892133008921</v>
      </c>
      <c r="AO80" s="106">
        <v>1876.1878345498783</v>
      </c>
      <c r="AP80" s="106">
        <v>0</v>
      </c>
      <c r="AQ80" s="106">
        <v>0</v>
      </c>
      <c r="AR80" s="106">
        <v>0</v>
      </c>
      <c r="AS80" s="106">
        <v>0</v>
      </c>
      <c r="AT80" s="106">
        <v>17.131782945736433</v>
      </c>
      <c r="AU80" s="106">
        <v>13794.511627906973</v>
      </c>
      <c r="AV80" s="106">
        <v>9.1828254847645425</v>
      </c>
      <c r="AW80" s="106">
        <v>7394.0110803324087</v>
      </c>
      <c r="AX80" s="106">
        <v>0</v>
      </c>
      <c r="AY80" s="106">
        <v>0</v>
      </c>
      <c r="AZ80" s="106">
        <v>9.464668094218414</v>
      </c>
      <c r="BA80" s="106">
        <v>7620.9507494646659</v>
      </c>
      <c r="BB80" s="106">
        <v>3.1443089430894307</v>
      </c>
      <c r="BC80" s="106">
        <v>2531.7975609756095</v>
      </c>
      <c r="BD80" s="106">
        <v>3.9</v>
      </c>
      <c r="BE80" s="106">
        <v>3140.2799999999997</v>
      </c>
      <c r="BF80" s="106">
        <v>4.7203883495145629</v>
      </c>
      <c r="BG80" s="106">
        <v>3800.8566990291256</v>
      </c>
      <c r="BH80" s="106">
        <v>0</v>
      </c>
      <c r="BI80" s="106">
        <v>0</v>
      </c>
      <c r="BJ80" s="106">
        <v>17.087628865979383</v>
      </c>
      <c r="BK80" s="106">
        <v>13758.958762886597</v>
      </c>
      <c r="BL80" s="106">
        <v>0</v>
      </c>
      <c r="BM80" s="106">
        <v>0</v>
      </c>
      <c r="BN80" s="106">
        <v>7.2222222222222223</v>
      </c>
      <c r="BO80" s="106">
        <v>5815.333333333333</v>
      </c>
      <c r="BP80" s="106">
        <v>3.6604554865424435</v>
      </c>
      <c r="BQ80" s="106">
        <v>2947.398757763975</v>
      </c>
      <c r="BR80" s="106">
        <v>0</v>
      </c>
      <c r="BS80" s="106">
        <v>0</v>
      </c>
      <c r="BT80" s="106">
        <v>4.29126213592233</v>
      </c>
      <c r="BU80" s="106">
        <v>3455.32427184466</v>
      </c>
      <c r="BV80" s="106">
        <v>2.3786692759295498</v>
      </c>
      <c r="BW80" s="106">
        <v>1915.3045009784732</v>
      </c>
      <c r="BX80" s="106">
        <v>3.7457627118644066</v>
      </c>
      <c r="BY80" s="106">
        <v>3016.0881355932197</v>
      </c>
      <c r="BZ80" s="106">
        <v>3.1258840169731257</v>
      </c>
      <c r="CA80" s="106">
        <v>2516.9618104667607</v>
      </c>
      <c r="CB80" s="106">
        <v>0</v>
      </c>
      <c r="CC80" s="106">
        <v>0</v>
      </c>
      <c r="CD80" s="106">
        <v>0</v>
      </c>
      <c r="CE80" s="106">
        <v>0</v>
      </c>
      <c r="CF80" s="106">
        <v>7.9185667752443001</v>
      </c>
      <c r="CG80" s="106">
        <v>6376.0299674267098</v>
      </c>
      <c r="CH80" s="106">
        <v>0</v>
      </c>
      <c r="CI80" s="106">
        <v>0</v>
      </c>
      <c r="CJ80" s="106">
        <v>6.5970149253731343</v>
      </c>
      <c r="CK80" s="106">
        <v>5311.9164179104473</v>
      </c>
      <c r="CL80" s="106">
        <v>3.9464285714285712</v>
      </c>
      <c r="CM80" s="106">
        <v>3177.6642857142851</v>
      </c>
      <c r="CN80" s="106">
        <v>0</v>
      </c>
      <c r="CO80" s="106">
        <v>0</v>
      </c>
      <c r="CP80" s="106">
        <v>0</v>
      </c>
      <c r="CQ80" s="106">
        <v>0</v>
      </c>
      <c r="CR80" s="106">
        <v>17.131782945736433</v>
      </c>
      <c r="CS80" s="106">
        <v>13794.511627906973</v>
      </c>
      <c r="CT80" s="106">
        <v>0</v>
      </c>
      <c r="CU80" s="106">
        <v>0</v>
      </c>
    </row>
    <row r="81" spans="2:99" x14ac:dyDescent="0.2">
      <c r="C81" s="105" t="s">
        <v>247</v>
      </c>
      <c r="D81" s="106">
        <v>0</v>
      </c>
      <c r="E81" s="106">
        <v>0</v>
      </c>
      <c r="F81" s="106">
        <v>0</v>
      </c>
      <c r="G81" s="106">
        <v>0</v>
      </c>
      <c r="H81" s="106">
        <v>3.774193548387097</v>
      </c>
      <c r="I81" s="106">
        <v>2844.2322580645164</v>
      </c>
      <c r="J81" s="106">
        <v>5.0565275908479137</v>
      </c>
      <c r="K81" s="106">
        <v>3810.599192462988</v>
      </c>
      <c r="L81" s="106">
        <v>6.2283770651117587</v>
      </c>
      <c r="M81" s="106">
        <v>4693.7049562682214</v>
      </c>
      <c r="N81" s="106">
        <v>0</v>
      </c>
      <c r="O81" s="106">
        <v>0</v>
      </c>
      <c r="P81" s="106">
        <v>0</v>
      </c>
      <c r="Q81" s="106">
        <v>0</v>
      </c>
      <c r="R81" s="106">
        <v>12.008359456635318</v>
      </c>
      <c r="S81" s="106">
        <v>9049.4996865203757</v>
      </c>
      <c r="T81" s="106">
        <v>0</v>
      </c>
      <c r="U81" s="106">
        <v>0</v>
      </c>
      <c r="V81" s="106">
        <v>6.5712050078247257</v>
      </c>
      <c r="W81" s="106">
        <v>4952.0600938967136</v>
      </c>
      <c r="X81" s="106">
        <v>0</v>
      </c>
      <c r="Y81" s="106">
        <v>0</v>
      </c>
      <c r="Z81" s="106">
        <v>5.0746268656716422</v>
      </c>
      <c r="AA81" s="106">
        <v>3824.2388059701498</v>
      </c>
      <c r="AB81" s="106">
        <v>6.3263358778625953</v>
      </c>
      <c r="AC81" s="106">
        <v>4767.5267175572517</v>
      </c>
      <c r="AD81" s="106">
        <v>0</v>
      </c>
      <c r="AE81" s="106">
        <v>0</v>
      </c>
      <c r="AF81" s="106">
        <v>12.78512396694215</v>
      </c>
      <c r="AG81" s="106">
        <v>9634.869421487605</v>
      </c>
      <c r="AH81" s="106">
        <v>6.9743589743589745</v>
      </c>
      <c r="AI81" s="106">
        <v>5255.876923076923</v>
      </c>
      <c r="AJ81" s="106">
        <v>1.8817407757805111</v>
      </c>
      <c r="AK81" s="106">
        <v>1418.0798486281933</v>
      </c>
      <c r="AL81" s="106">
        <v>1.90722761596548</v>
      </c>
      <c r="AM81" s="106">
        <v>1437.2867313915858</v>
      </c>
      <c r="AN81" s="106">
        <v>2.5093268450932684</v>
      </c>
      <c r="AO81" s="106">
        <v>1891.0287104622871</v>
      </c>
      <c r="AP81" s="106">
        <v>0</v>
      </c>
      <c r="AQ81" s="106">
        <v>0</v>
      </c>
      <c r="AR81" s="106">
        <v>0</v>
      </c>
      <c r="AS81" s="106">
        <v>0</v>
      </c>
      <c r="AT81" s="106">
        <v>17.443269908386188</v>
      </c>
      <c r="AU81" s="106">
        <v>13145.248202959832</v>
      </c>
      <c r="AV81" s="106">
        <v>9.6725761772853183</v>
      </c>
      <c r="AW81" s="106">
        <v>7289.2534072022163</v>
      </c>
      <c r="AX81" s="106">
        <v>0</v>
      </c>
      <c r="AY81" s="106">
        <v>0</v>
      </c>
      <c r="AZ81" s="106">
        <v>9.464668094218414</v>
      </c>
      <c r="BA81" s="106">
        <v>7132.5738758029975</v>
      </c>
      <c r="BB81" s="106">
        <v>3.1443089430894307</v>
      </c>
      <c r="BC81" s="106">
        <v>2369.5512195121951</v>
      </c>
      <c r="BD81" s="106">
        <v>3.4666666666666668</v>
      </c>
      <c r="BE81" s="106">
        <v>2612.48</v>
      </c>
      <c r="BF81" s="106">
        <v>4.7203883495145629</v>
      </c>
      <c r="BG81" s="106">
        <v>3557.2846601941746</v>
      </c>
      <c r="BH81" s="106">
        <v>0</v>
      </c>
      <c r="BI81" s="106">
        <v>0</v>
      </c>
      <c r="BJ81" s="106">
        <v>16.328178694158076</v>
      </c>
      <c r="BK81" s="106">
        <v>12304.915463917527</v>
      </c>
      <c r="BL81" s="106">
        <v>0</v>
      </c>
      <c r="BM81" s="106">
        <v>0</v>
      </c>
      <c r="BN81" s="106">
        <v>7.0158730158730158</v>
      </c>
      <c r="BO81" s="106">
        <v>5287.1619047619051</v>
      </c>
      <c r="BP81" s="106">
        <v>3.2028985507246377</v>
      </c>
      <c r="BQ81" s="106">
        <v>2413.7043478260871</v>
      </c>
      <c r="BR81" s="106">
        <v>0</v>
      </c>
      <c r="BS81" s="106">
        <v>0</v>
      </c>
      <c r="BT81" s="106">
        <v>3.8144552319309599</v>
      </c>
      <c r="BU81" s="106">
        <v>2874.5734627831716</v>
      </c>
      <c r="BV81" s="106">
        <v>2.5949119373776908</v>
      </c>
      <c r="BW81" s="106">
        <v>1955.5256360078279</v>
      </c>
      <c r="BX81" s="106">
        <v>3.5755007704160247</v>
      </c>
      <c r="BY81" s="106">
        <v>2694.4973805855161</v>
      </c>
      <c r="BZ81" s="106">
        <v>3.1258840169731257</v>
      </c>
      <c r="CA81" s="106">
        <v>2355.6661951909477</v>
      </c>
      <c r="CB81" s="106">
        <v>0</v>
      </c>
      <c r="CC81" s="106">
        <v>0</v>
      </c>
      <c r="CD81" s="106">
        <v>0</v>
      </c>
      <c r="CE81" s="106">
        <v>0</v>
      </c>
      <c r="CF81" s="106">
        <v>7.9185667752443001</v>
      </c>
      <c r="CG81" s="106">
        <v>5967.4319218241044</v>
      </c>
      <c r="CH81" s="106">
        <v>0</v>
      </c>
      <c r="CI81" s="106">
        <v>0</v>
      </c>
      <c r="CJ81" s="106">
        <v>6.5970149253731343</v>
      </c>
      <c r="CK81" s="106">
        <v>4971.510447761194</v>
      </c>
      <c r="CL81" s="106">
        <v>3.5079365079365079</v>
      </c>
      <c r="CM81" s="106">
        <v>2643.5809523809526</v>
      </c>
      <c r="CN81" s="106">
        <v>0</v>
      </c>
      <c r="CO81" s="106">
        <v>0</v>
      </c>
      <c r="CP81" s="106">
        <v>0</v>
      </c>
      <c r="CQ81" s="106">
        <v>0</v>
      </c>
      <c r="CR81" s="106">
        <v>16.275193798449614</v>
      </c>
      <c r="CS81" s="106">
        <v>12264.986046511629</v>
      </c>
      <c r="CT81" s="106">
        <v>0</v>
      </c>
      <c r="CU81" s="106">
        <v>0</v>
      </c>
    </row>
    <row r="82" spans="2:99" x14ac:dyDescent="0.2">
      <c r="C82" s="105" t="s">
        <v>248</v>
      </c>
      <c r="D82" s="106">
        <v>0</v>
      </c>
      <c r="E82" s="106">
        <v>0</v>
      </c>
      <c r="F82" s="106">
        <v>0</v>
      </c>
      <c r="G82" s="106">
        <v>0</v>
      </c>
      <c r="H82" s="106">
        <v>3.3548387096774195</v>
      </c>
      <c r="I82" s="106">
        <v>1706.9419354838708</v>
      </c>
      <c r="J82" s="106">
        <v>4.7590847913862717</v>
      </c>
      <c r="K82" s="106">
        <v>2421.4223418573347</v>
      </c>
      <c r="L82" s="106">
        <v>6.6579203109815355</v>
      </c>
      <c r="M82" s="106">
        <v>3387.5498542274045</v>
      </c>
      <c r="N82" s="106">
        <v>0</v>
      </c>
      <c r="O82" s="106">
        <v>0</v>
      </c>
      <c r="P82" s="106">
        <v>0</v>
      </c>
      <c r="Q82" s="106">
        <v>0</v>
      </c>
      <c r="R82" s="106">
        <v>12.932079414838036</v>
      </c>
      <c r="S82" s="106">
        <v>6579.8420062695914</v>
      </c>
      <c r="T82" s="106">
        <v>0</v>
      </c>
      <c r="U82" s="106">
        <v>0</v>
      </c>
      <c r="V82" s="106">
        <v>5.8794992175273864</v>
      </c>
      <c r="W82" s="106">
        <v>2991.4892018779337</v>
      </c>
      <c r="X82" s="106">
        <v>0</v>
      </c>
      <c r="Y82" s="106">
        <v>0</v>
      </c>
      <c r="Z82" s="106">
        <v>4.8208955223880592</v>
      </c>
      <c r="AA82" s="106">
        <v>2452.8716417910441</v>
      </c>
      <c r="AB82" s="106">
        <v>6.3263358778625953</v>
      </c>
      <c r="AC82" s="106">
        <v>3218.8396946564881</v>
      </c>
      <c r="AD82" s="106">
        <v>0</v>
      </c>
      <c r="AE82" s="106">
        <v>0</v>
      </c>
      <c r="AF82" s="106">
        <v>12.78512396694215</v>
      </c>
      <c r="AG82" s="106">
        <v>6505.0710743801646</v>
      </c>
      <c r="AH82" s="106">
        <v>6.9743589743589745</v>
      </c>
      <c r="AI82" s="106">
        <v>3548.5538461538454</v>
      </c>
      <c r="AJ82" s="106">
        <v>2.0908230842005677</v>
      </c>
      <c r="AK82" s="106">
        <v>1063.8107852412486</v>
      </c>
      <c r="AL82" s="106">
        <v>2.145631067961165</v>
      </c>
      <c r="AM82" s="106">
        <v>1091.6970873786406</v>
      </c>
      <c r="AN82" s="106">
        <v>2.6885644768856451</v>
      </c>
      <c r="AO82" s="106">
        <v>1367.9416058394161</v>
      </c>
      <c r="AP82" s="106">
        <v>0</v>
      </c>
      <c r="AQ82" s="106">
        <v>0</v>
      </c>
      <c r="AR82" s="106">
        <v>0</v>
      </c>
      <c r="AS82" s="106">
        <v>0</v>
      </c>
      <c r="AT82" s="106">
        <v>17.754756871035941</v>
      </c>
      <c r="AU82" s="106">
        <v>9033.6202959830844</v>
      </c>
      <c r="AV82" s="106">
        <v>9.3052631578947373</v>
      </c>
      <c r="AW82" s="106">
        <v>4734.5178947368413</v>
      </c>
      <c r="AX82" s="106">
        <v>0</v>
      </c>
      <c r="AY82" s="106">
        <v>0</v>
      </c>
      <c r="AZ82" s="106">
        <v>9.464668094218414</v>
      </c>
      <c r="BA82" s="106">
        <v>4815.6231263383279</v>
      </c>
      <c r="BB82" s="106">
        <v>3.1443089430894307</v>
      </c>
      <c r="BC82" s="106">
        <v>1599.8243902439019</v>
      </c>
      <c r="BD82" s="106">
        <v>4.333333333333333</v>
      </c>
      <c r="BE82" s="106">
        <v>2204.7999999999993</v>
      </c>
      <c r="BF82" s="106">
        <v>4.7203883495145629</v>
      </c>
      <c r="BG82" s="106">
        <v>2401.7335922330089</v>
      </c>
      <c r="BH82" s="106">
        <v>0</v>
      </c>
      <c r="BI82" s="106">
        <v>0</v>
      </c>
      <c r="BJ82" s="106">
        <v>18.606529209621993</v>
      </c>
      <c r="BK82" s="106">
        <v>9467.0020618556682</v>
      </c>
      <c r="BL82" s="106">
        <v>0</v>
      </c>
      <c r="BM82" s="106">
        <v>0</v>
      </c>
      <c r="BN82" s="106">
        <v>6.6031746031746037</v>
      </c>
      <c r="BO82" s="106">
        <v>3359.6952380952375</v>
      </c>
      <c r="BP82" s="106">
        <v>3.6604554865424435</v>
      </c>
      <c r="BQ82" s="106">
        <v>1862.4397515527949</v>
      </c>
      <c r="BR82" s="106">
        <v>0</v>
      </c>
      <c r="BS82" s="106">
        <v>0</v>
      </c>
      <c r="BT82" s="106">
        <v>3.8144552319309599</v>
      </c>
      <c r="BU82" s="106">
        <v>1940.794822006472</v>
      </c>
      <c r="BV82" s="106">
        <v>2.5949119373776908</v>
      </c>
      <c r="BW82" s="106">
        <v>1320.2911937377687</v>
      </c>
      <c r="BX82" s="106">
        <v>3.5755007704160247</v>
      </c>
      <c r="BY82" s="106">
        <v>1819.2147919876729</v>
      </c>
      <c r="BZ82" s="106">
        <v>2.8132956152758135</v>
      </c>
      <c r="CA82" s="106">
        <v>1431.4048090523336</v>
      </c>
      <c r="CB82" s="106">
        <v>0</v>
      </c>
      <c r="CC82" s="106">
        <v>0</v>
      </c>
      <c r="CD82" s="106">
        <v>0</v>
      </c>
      <c r="CE82" s="106">
        <v>0</v>
      </c>
      <c r="CF82" s="106">
        <v>7.9185667752443001</v>
      </c>
      <c r="CG82" s="106">
        <v>4028.9667752442992</v>
      </c>
      <c r="CH82" s="106">
        <v>0</v>
      </c>
      <c r="CI82" s="106">
        <v>0</v>
      </c>
      <c r="CJ82" s="106">
        <v>6.5970149253731343</v>
      </c>
      <c r="CK82" s="106">
        <v>3356.56119402985</v>
      </c>
      <c r="CL82" s="106">
        <v>3.9464285714285712</v>
      </c>
      <c r="CM82" s="106">
        <v>2007.9428571428566</v>
      </c>
      <c r="CN82" s="106">
        <v>0</v>
      </c>
      <c r="CO82" s="106">
        <v>0</v>
      </c>
      <c r="CP82" s="106">
        <v>0</v>
      </c>
      <c r="CQ82" s="106">
        <v>0</v>
      </c>
      <c r="CR82" s="106">
        <v>16.275193798449614</v>
      </c>
      <c r="CS82" s="106">
        <v>8280.8186046511619</v>
      </c>
      <c r="CT82" s="106">
        <v>0</v>
      </c>
      <c r="CU82" s="106">
        <v>0</v>
      </c>
    </row>
    <row r="83" spans="2:99" x14ac:dyDescent="0.2">
      <c r="C83" s="105" t="s">
        <v>249</v>
      </c>
      <c r="D83" s="106">
        <v>0</v>
      </c>
      <c r="E83" s="106">
        <v>0</v>
      </c>
      <c r="F83" s="106">
        <v>0</v>
      </c>
      <c r="G83" s="106">
        <v>0</v>
      </c>
      <c r="H83" s="106">
        <v>3.3548387096774195</v>
      </c>
      <c r="I83" s="106">
        <v>2886.5032258064516</v>
      </c>
      <c r="J83" s="106">
        <v>4.4616419919246297</v>
      </c>
      <c r="K83" s="106">
        <v>3838.7967698519515</v>
      </c>
      <c r="L83" s="106">
        <v>6.4431486880466471</v>
      </c>
      <c r="M83" s="106">
        <v>5543.6851311953351</v>
      </c>
      <c r="N83" s="106">
        <v>0</v>
      </c>
      <c r="O83" s="106">
        <v>0</v>
      </c>
      <c r="P83" s="106">
        <v>0</v>
      </c>
      <c r="Q83" s="106">
        <v>0</v>
      </c>
      <c r="R83" s="106">
        <v>12.008359456635318</v>
      </c>
      <c r="S83" s="106">
        <v>10331.992476489027</v>
      </c>
      <c r="T83" s="106">
        <v>0</v>
      </c>
      <c r="U83" s="106">
        <v>0</v>
      </c>
      <c r="V83" s="106">
        <v>6.5712050078247257</v>
      </c>
      <c r="W83" s="106">
        <v>5653.8647887323941</v>
      </c>
      <c r="X83" s="106">
        <v>0</v>
      </c>
      <c r="Y83" s="106">
        <v>0</v>
      </c>
      <c r="Z83" s="106">
        <v>5.0746268656716422</v>
      </c>
      <c r="AA83" s="106">
        <v>4366.2089552238813</v>
      </c>
      <c r="AB83" s="106">
        <v>6.7480916030534353</v>
      </c>
      <c r="AC83" s="106">
        <v>5806.0580152671755</v>
      </c>
      <c r="AD83" s="106">
        <v>0</v>
      </c>
      <c r="AE83" s="106">
        <v>0</v>
      </c>
      <c r="AF83" s="106">
        <v>11.871900826446282</v>
      </c>
      <c r="AG83" s="106">
        <v>10214.58347107438</v>
      </c>
      <c r="AH83" s="106">
        <v>6.5384615384615383</v>
      </c>
      <c r="AI83" s="106">
        <v>5625.6923076923076</v>
      </c>
      <c r="AJ83" s="106">
        <v>1.8817407757805111</v>
      </c>
      <c r="AK83" s="106">
        <v>1619.0497634815517</v>
      </c>
      <c r="AL83" s="106">
        <v>2.145631067961165</v>
      </c>
      <c r="AM83" s="106">
        <v>1846.1009708737863</v>
      </c>
      <c r="AN83" s="106">
        <v>2.6885644768856451</v>
      </c>
      <c r="AO83" s="106">
        <v>2313.2408759124091</v>
      </c>
      <c r="AP83" s="106">
        <v>0</v>
      </c>
      <c r="AQ83" s="106">
        <v>0</v>
      </c>
      <c r="AR83" s="106">
        <v>0</v>
      </c>
      <c r="AS83" s="106">
        <v>0</v>
      </c>
      <c r="AT83" s="106">
        <v>17.131782945736433</v>
      </c>
      <c r="AU83" s="106">
        <v>14740.186046511626</v>
      </c>
      <c r="AV83" s="106">
        <v>8.6930747922437668</v>
      </c>
      <c r="AW83" s="106">
        <v>7479.5215512465365</v>
      </c>
      <c r="AX83" s="106">
        <v>0</v>
      </c>
      <c r="AY83" s="106">
        <v>0</v>
      </c>
      <c r="AZ83" s="106">
        <v>8.5182012847965733</v>
      </c>
      <c r="BA83" s="106">
        <v>7329.0603854389719</v>
      </c>
      <c r="BB83" s="106">
        <v>3.1443089430894307</v>
      </c>
      <c r="BC83" s="106">
        <v>2705.363414634146</v>
      </c>
      <c r="BD83" s="106">
        <v>3.9</v>
      </c>
      <c r="BE83" s="106">
        <v>3355.56</v>
      </c>
      <c r="BF83" s="106">
        <v>4.29126213592233</v>
      </c>
      <c r="BG83" s="106">
        <v>3692.2019417475726</v>
      </c>
      <c r="BH83" s="106">
        <v>0</v>
      </c>
      <c r="BI83" s="106">
        <v>0</v>
      </c>
      <c r="BJ83" s="106">
        <v>16.707903780068726</v>
      </c>
      <c r="BK83" s="106">
        <v>14375.480412371131</v>
      </c>
      <c r="BL83" s="106">
        <v>0</v>
      </c>
      <c r="BM83" s="106">
        <v>0</v>
      </c>
      <c r="BN83" s="106">
        <v>7.0158730158730158</v>
      </c>
      <c r="BO83" s="106">
        <v>6036.4571428571426</v>
      </c>
      <c r="BP83" s="106">
        <v>3.6604554865424435</v>
      </c>
      <c r="BQ83" s="106">
        <v>3149.4559006211184</v>
      </c>
      <c r="BR83" s="106">
        <v>0</v>
      </c>
      <c r="BS83" s="106">
        <v>0</v>
      </c>
      <c r="BT83" s="106">
        <v>3.8144552319309599</v>
      </c>
      <c r="BU83" s="106">
        <v>3281.9572815533979</v>
      </c>
      <c r="BV83" s="106">
        <v>2.3786692759295498</v>
      </c>
      <c r="BW83" s="106">
        <v>2046.6070450097845</v>
      </c>
      <c r="BX83" s="106">
        <v>3.5755007704160247</v>
      </c>
      <c r="BY83" s="106">
        <v>3076.3608628659476</v>
      </c>
      <c r="BZ83" s="106">
        <v>2.8132956152758135</v>
      </c>
      <c r="CA83" s="106">
        <v>2420.55954738331</v>
      </c>
      <c r="CB83" s="106">
        <v>0</v>
      </c>
      <c r="CC83" s="106">
        <v>0</v>
      </c>
      <c r="CD83" s="106">
        <v>0</v>
      </c>
      <c r="CE83" s="106">
        <v>0</v>
      </c>
      <c r="CF83" s="106">
        <v>7.9185667752443001</v>
      </c>
      <c r="CG83" s="106">
        <v>6813.1348534201952</v>
      </c>
      <c r="CH83" s="106">
        <v>0</v>
      </c>
      <c r="CI83" s="106">
        <v>0</v>
      </c>
      <c r="CJ83" s="106">
        <v>6.5970149253731343</v>
      </c>
      <c r="CK83" s="106">
        <v>5676.0716417910444</v>
      </c>
      <c r="CL83" s="106">
        <v>3.9464285714285712</v>
      </c>
      <c r="CM83" s="106">
        <v>3395.5071428571428</v>
      </c>
      <c r="CN83" s="106">
        <v>0</v>
      </c>
      <c r="CO83" s="106">
        <v>0</v>
      </c>
      <c r="CP83" s="106">
        <v>0</v>
      </c>
      <c r="CQ83" s="106">
        <v>0</v>
      </c>
      <c r="CR83" s="106">
        <v>16.275193798449614</v>
      </c>
      <c r="CS83" s="106">
        <v>14003.176744186047</v>
      </c>
      <c r="CT83" s="106">
        <v>0</v>
      </c>
      <c r="CU83" s="106">
        <v>0</v>
      </c>
    </row>
    <row r="84" spans="2:99" x14ac:dyDescent="0.2">
      <c r="C84" s="105" t="s">
        <v>250</v>
      </c>
      <c r="D84" s="106">
        <v>0</v>
      </c>
      <c r="E84" s="106">
        <v>0</v>
      </c>
      <c r="F84" s="106">
        <v>0</v>
      </c>
      <c r="G84" s="106">
        <v>0</v>
      </c>
      <c r="H84" s="106">
        <v>3.564516129032258</v>
      </c>
      <c r="I84" s="106">
        <v>2784.6</v>
      </c>
      <c r="J84" s="106">
        <v>5.0565275908479137</v>
      </c>
      <c r="K84" s="106">
        <v>3950.1593539703899</v>
      </c>
      <c r="L84" s="106">
        <v>6.0136054421768703</v>
      </c>
      <c r="M84" s="106">
        <v>4697.8285714285703</v>
      </c>
      <c r="N84" s="106">
        <v>0</v>
      </c>
      <c r="O84" s="106">
        <v>0</v>
      </c>
      <c r="P84" s="106">
        <v>0</v>
      </c>
      <c r="Q84" s="106">
        <v>0</v>
      </c>
      <c r="R84" s="106">
        <v>12.008359456635318</v>
      </c>
      <c r="S84" s="106">
        <v>9380.9304075235104</v>
      </c>
      <c r="T84" s="106">
        <v>0</v>
      </c>
      <c r="U84" s="106">
        <v>0</v>
      </c>
      <c r="V84" s="106">
        <v>5.8794992175273864</v>
      </c>
      <c r="W84" s="106">
        <v>4593.0647887323939</v>
      </c>
      <c r="X84" s="106">
        <v>0</v>
      </c>
      <c r="Y84" s="106">
        <v>0</v>
      </c>
      <c r="Z84" s="106">
        <v>4.5671641791044779</v>
      </c>
      <c r="AA84" s="106">
        <v>3567.8686567164177</v>
      </c>
      <c r="AB84" s="106">
        <v>5.9045801526717554</v>
      </c>
      <c r="AC84" s="106">
        <v>4612.658015267175</v>
      </c>
      <c r="AD84" s="106">
        <v>0</v>
      </c>
      <c r="AE84" s="106">
        <v>0</v>
      </c>
      <c r="AF84" s="106">
        <v>10.958677685950413</v>
      </c>
      <c r="AG84" s="106">
        <v>8560.9190082644618</v>
      </c>
      <c r="AH84" s="106">
        <v>6.5384615384615383</v>
      </c>
      <c r="AI84" s="106">
        <v>5107.8461538461534</v>
      </c>
      <c r="AJ84" s="106">
        <v>1.8817407757805111</v>
      </c>
      <c r="AK84" s="106">
        <v>1470.0158940397353</v>
      </c>
      <c r="AL84" s="106">
        <v>2.145631067961165</v>
      </c>
      <c r="AM84" s="106">
        <v>1676.166990291262</v>
      </c>
      <c r="AN84" s="106">
        <v>2.5093268450932684</v>
      </c>
      <c r="AO84" s="106">
        <v>1960.2861313868611</v>
      </c>
      <c r="AP84" s="106">
        <v>0</v>
      </c>
      <c r="AQ84" s="106">
        <v>0</v>
      </c>
      <c r="AR84" s="106">
        <v>0</v>
      </c>
      <c r="AS84" s="106">
        <v>0</v>
      </c>
      <c r="AT84" s="106">
        <v>16.197322057787176</v>
      </c>
      <c r="AU84" s="106">
        <v>12653.34799154334</v>
      </c>
      <c r="AV84" s="106">
        <v>9.5501385041551252</v>
      </c>
      <c r="AW84" s="106">
        <v>7460.5681994459828</v>
      </c>
      <c r="AX84" s="106">
        <v>0</v>
      </c>
      <c r="AY84" s="106">
        <v>0</v>
      </c>
      <c r="AZ84" s="106">
        <v>8.5182012847965733</v>
      </c>
      <c r="BA84" s="106">
        <v>6654.4188436830827</v>
      </c>
      <c r="BB84" s="106">
        <v>3.1443089430894307</v>
      </c>
      <c r="BC84" s="106">
        <v>2456.3341463414631</v>
      </c>
      <c r="BD84" s="106">
        <v>4.333333333333333</v>
      </c>
      <c r="BE84" s="106">
        <v>3385.1999999999994</v>
      </c>
      <c r="BF84" s="106">
        <v>4.7203883495145629</v>
      </c>
      <c r="BG84" s="106">
        <v>3687.567378640776</v>
      </c>
      <c r="BH84" s="106">
        <v>0</v>
      </c>
      <c r="BI84" s="106">
        <v>0</v>
      </c>
      <c r="BJ84" s="106">
        <v>17.087628865979383</v>
      </c>
      <c r="BK84" s="106">
        <v>13348.855670103092</v>
      </c>
      <c r="BL84" s="106">
        <v>0</v>
      </c>
      <c r="BM84" s="106">
        <v>0</v>
      </c>
      <c r="BN84" s="106">
        <v>6.6031746031746037</v>
      </c>
      <c r="BO84" s="106">
        <v>5158.3999999999996</v>
      </c>
      <c r="BP84" s="106">
        <v>3.6604554865424435</v>
      </c>
      <c r="BQ84" s="106">
        <v>2859.5478260869568</v>
      </c>
      <c r="BR84" s="106">
        <v>0</v>
      </c>
      <c r="BS84" s="106">
        <v>0</v>
      </c>
      <c r="BT84" s="106">
        <v>3.8144552319309599</v>
      </c>
      <c r="BU84" s="106">
        <v>2979.8524271844658</v>
      </c>
      <c r="BV84" s="106">
        <v>2.3786692759295498</v>
      </c>
      <c r="BW84" s="106">
        <v>1858.2164383561642</v>
      </c>
      <c r="BX84" s="106">
        <v>3.4052388289676427</v>
      </c>
      <c r="BY84" s="106">
        <v>2660.1725731895222</v>
      </c>
      <c r="BZ84" s="106">
        <v>3.1258840169731257</v>
      </c>
      <c r="CA84" s="106">
        <v>2441.9405940594056</v>
      </c>
      <c r="CB84" s="106">
        <v>0</v>
      </c>
      <c r="CC84" s="106">
        <v>0</v>
      </c>
      <c r="CD84" s="106">
        <v>0</v>
      </c>
      <c r="CE84" s="106">
        <v>0</v>
      </c>
      <c r="CF84" s="106">
        <v>7.9185667752443001</v>
      </c>
      <c r="CG84" s="106">
        <v>6185.9843648208471</v>
      </c>
      <c r="CH84" s="106">
        <v>0</v>
      </c>
      <c r="CI84" s="106">
        <v>0</v>
      </c>
      <c r="CJ84" s="106">
        <v>5.8640132669983416</v>
      </c>
      <c r="CK84" s="106">
        <v>4580.9671641791037</v>
      </c>
      <c r="CL84" s="106">
        <v>3.9464285714285712</v>
      </c>
      <c r="CM84" s="106">
        <v>3082.9499999999994</v>
      </c>
      <c r="CN84" s="106">
        <v>0</v>
      </c>
      <c r="CO84" s="106">
        <v>0</v>
      </c>
      <c r="CP84" s="106">
        <v>0</v>
      </c>
      <c r="CQ84" s="106">
        <v>0</v>
      </c>
      <c r="CR84" s="106">
        <v>17.131782945736433</v>
      </c>
      <c r="CS84" s="106">
        <v>13383.3488372093</v>
      </c>
      <c r="CT84" s="106">
        <v>0</v>
      </c>
      <c r="CU84" s="106">
        <v>0</v>
      </c>
    </row>
    <row r="85" spans="2:99" x14ac:dyDescent="0.2">
      <c r="C85" s="105" t="s">
        <v>251</v>
      </c>
      <c r="D85" s="106">
        <v>0</v>
      </c>
      <c r="E85" s="106">
        <v>0</v>
      </c>
      <c r="F85" s="106">
        <v>0</v>
      </c>
      <c r="G85" s="106">
        <v>0</v>
      </c>
      <c r="H85" s="106">
        <v>3.774193548387097</v>
      </c>
      <c r="I85" s="106">
        <v>566.12903225806451</v>
      </c>
      <c r="J85" s="106">
        <v>5.3539703903095557</v>
      </c>
      <c r="K85" s="106">
        <v>803.09555854643338</v>
      </c>
      <c r="L85" s="106">
        <v>6.872691933916423</v>
      </c>
      <c r="M85" s="106">
        <v>1030.9037900874634</v>
      </c>
      <c r="N85" s="106">
        <v>0</v>
      </c>
      <c r="O85" s="106">
        <v>0</v>
      </c>
      <c r="P85" s="106">
        <v>0</v>
      </c>
      <c r="Q85" s="106">
        <v>0</v>
      </c>
      <c r="R85" s="106">
        <v>12.008359456635318</v>
      </c>
      <c r="S85" s="106">
        <v>1801.2539184952977</v>
      </c>
      <c r="T85" s="106">
        <v>0</v>
      </c>
      <c r="U85" s="106">
        <v>0</v>
      </c>
      <c r="V85" s="106">
        <v>6.5712050078247257</v>
      </c>
      <c r="W85" s="106">
        <v>985.68075117370881</v>
      </c>
      <c r="X85" s="106">
        <v>0</v>
      </c>
      <c r="Y85" s="106">
        <v>0</v>
      </c>
      <c r="Z85" s="106">
        <v>5.5820895522388057</v>
      </c>
      <c r="AA85" s="106">
        <v>837.31343283582089</v>
      </c>
      <c r="AB85" s="106">
        <v>6.7480916030534353</v>
      </c>
      <c r="AC85" s="106">
        <v>1012.2137404580153</v>
      </c>
      <c r="AD85" s="106">
        <v>0</v>
      </c>
      <c r="AE85" s="106">
        <v>0</v>
      </c>
      <c r="AF85" s="106">
        <v>13.698347107438018</v>
      </c>
      <c r="AG85" s="106">
        <v>2054.7520661157027</v>
      </c>
      <c r="AH85" s="106">
        <v>7.4102564102564097</v>
      </c>
      <c r="AI85" s="106">
        <v>1111.5384615384614</v>
      </c>
      <c r="AJ85" s="106">
        <v>2.0908230842005677</v>
      </c>
      <c r="AK85" s="106">
        <v>313.62346263008516</v>
      </c>
      <c r="AL85" s="106">
        <v>2.145631067961165</v>
      </c>
      <c r="AM85" s="106">
        <v>321.84466019417476</v>
      </c>
      <c r="AN85" s="106">
        <v>2.5093268450932684</v>
      </c>
      <c r="AO85" s="106">
        <v>376.39902676399026</v>
      </c>
      <c r="AP85" s="106">
        <v>0</v>
      </c>
      <c r="AQ85" s="106">
        <v>0</v>
      </c>
      <c r="AR85" s="106">
        <v>0</v>
      </c>
      <c r="AS85" s="106">
        <v>0</v>
      </c>
      <c r="AT85" s="106">
        <v>18.066243833685697</v>
      </c>
      <c r="AU85" s="106">
        <v>2709.9365750528546</v>
      </c>
      <c r="AV85" s="106">
        <v>11.019390581717452</v>
      </c>
      <c r="AW85" s="106">
        <v>1652.9085872576179</v>
      </c>
      <c r="AX85" s="106">
        <v>0</v>
      </c>
      <c r="AY85" s="106">
        <v>0</v>
      </c>
      <c r="AZ85" s="106">
        <v>10.411134903640257</v>
      </c>
      <c r="BA85" s="106">
        <v>1561.6702355460384</v>
      </c>
      <c r="BB85" s="106">
        <v>3.5934959349593498</v>
      </c>
      <c r="BC85" s="106">
        <v>539.02439024390242</v>
      </c>
      <c r="BD85" s="106">
        <v>4.333333333333333</v>
      </c>
      <c r="BE85" s="106">
        <v>650</v>
      </c>
      <c r="BF85" s="106">
        <v>4.7203883495145629</v>
      </c>
      <c r="BG85" s="106">
        <v>708.05825242718447</v>
      </c>
      <c r="BH85" s="106">
        <v>0</v>
      </c>
      <c r="BI85" s="106">
        <v>0</v>
      </c>
      <c r="BJ85" s="106">
        <v>17.467353951890033</v>
      </c>
      <c r="BK85" s="106">
        <v>2620.103092783505</v>
      </c>
      <c r="BL85" s="106">
        <v>0</v>
      </c>
      <c r="BM85" s="106">
        <v>0</v>
      </c>
      <c r="BN85" s="106">
        <v>7.6349206349206353</v>
      </c>
      <c r="BO85" s="106">
        <v>1145.2380952380954</v>
      </c>
      <c r="BP85" s="106">
        <v>3.6604554865424435</v>
      </c>
      <c r="BQ85" s="106">
        <v>549.06832298136646</v>
      </c>
      <c r="BR85" s="106">
        <v>0</v>
      </c>
      <c r="BS85" s="106">
        <v>0</v>
      </c>
      <c r="BT85" s="106">
        <v>4.29126213592233</v>
      </c>
      <c r="BU85" s="106">
        <v>643.68932038834953</v>
      </c>
      <c r="BV85" s="106">
        <v>3.0273972602739723</v>
      </c>
      <c r="BW85" s="106">
        <v>454.10958904109583</v>
      </c>
      <c r="BX85" s="106">
        <v>3.5755007704160247</v>
      </c>
      <c r="BY85" s="106">
        <v>536.32511556240365</v>
      </c>
      <c r="BZ85" s="106">
        <v>2.8132956152758135</v>
      </c>
      <c r="CA85" s="106">
        <v>421.99434229137205</v>
      </c>
      <c r="CB85" s="106">
        <v>0</v>
      </c>
      <c r="CC85" s="106">
        <v>0</v>
      </c>
      <c r="CD85" s="106">
        <v>0</v>
      </c>
      <c r="CE85" s="106">
        <v>0</v>
      </c>
      <c r="CF85" s="106">
        <v>8.6384364820846891</v>
      </c>
      <c r="CG85" s="106">
        <v>1295.7654723127034</v>
      </c>
      <c r="CH85" s="106">
        <v>0</v>
      </c>
      <c r="CI85" s="106">
        <v>0</v>
      </c>
      <c r="CJ85" s="106">
        <v>5.8640132669983416</v>
      </c>
      <c r="CK85" s="106">
        <v>879.60199004975129</v>
      </c>
      <c r="CL85" s="106">
        <v>3.9464285714285712</v>
      </c>
      <c r="CM85" s="106">
        <v>591.96428571428567</v>
      </c>
      <c r="CN85" s="106">
        <v>0</v>
      </c>
      <c r="CO85" s="106">
        <v>0</v>
      </c>
      <c r="CP85" s="106">
        <v>0</v>
      </c>
      <c r="CQ85" s="106">
        <v>0</v>
      </c>
      <c r="CR85" s="106">
        <v>16.275193798449614</v>
      </c>
      <c r="CS85" s="106">
        <v>2441.2790697674423</v>
      </c>
      <c r="CT85" s="106">
        <v>0</v>
      </c>
      <c r="CU85" s="106">
        <v>0</v>
      </c>
    </row>
    <row r="86" spans="2:99" x14ac:dyDescent="0.2">
      <c r="C86" s="105" t="s">
        <v>252</v>
      </c>
      <c r="D86" s="106">
        <v>0</v>
      </c>
      <c r="E86" s="106">
        <v>0</v>
      </c>
      <c r="F86" s="106">
        <v>0</v>
      </c>
      <c r="G86" s="106">
        <v>0</v>
      </c>
      <c r="H86" s="106">
        <v>3.3548387096774195</v>
      </c>
      <c r="I86" s="106">
        <v>1811.6129032258066</v>
      </c>
      <c r="J86" s="106">
        <v>5.0565275908479137</v>
      </c>
      <c r="K86" s="106">
        <v>2730.5248990578734</v>
      </c>
      <c r="L86" s="106">
        <v>5.7988338192419828</v>
      </c>
      <c r="M86" s="106">
        <v>3131.3702623906706</v>
      </c>
      <c r="N86" s="106">
        <v>0</v>
      </c>
      <c r="O86" s="106">
        <v>0</v>
      </c>
      <c r="P86" s="106">
        <v>0</v>
      </c>
      <c r="Q86" s="106">
        <v>0</v>
      </c>
      <c r="R86" s="106">
        <v>10.622779519331242</v>
      </c>
      <c r="S86" s="106">
        <v>5736.3009404388713</v>
      </c>
      <c r="T86" s="106">
        <v>0</v>
      </c>
      <c r="U86" s="106">
        <v>0</v>
      </c>
      <c r="V86" s="106">
        <v>6.9170579029733963</v>
      </c>
      <c r="W86" s="106">
        <v>3735.211267605634</v>
      </c>
      <c r="X86" s="106">
        <v>0</v>
      </c>
      <c r="Y86" s="106">
        <v>0</v>
      </c>
      <c r="Z86" s="106">
        <v>5.3283582089552235</v>
      </c>
      <c r="AA86" s="106">
        <v>2877.3134328358205</v>
      </c>
      <c r="AB86" s="106">
        <v>6.7480916030534353</v>
      </c>
      <c r="AC86" s="106">
        <v>3643.969465648855</v>
      </c>
      <c r="AD86" s="106">
        <v>0</v>
      </c>
      <c r="AE86" s="106">
        <v>0</v>
      </c>
      <c r="AF86" s="106">
        <v>11.871900826446282</v>
      </c>
      <c r="AG86" s="106">
        <v>6410.8264462809921</v>
      </c>
      <c r="AH86" s="106">
        <v>6.5384615384615383</v>
      </c>
      <c r="AI86" s="106">
        <v>3530.7692307692305</v>
      </c>
      <c r="AJ86" s="106">
        <v>1.6726584673604541</v>
      </c>
      <c r="AK86" s="106">
        <v>903.23557237464524</v>
      </c>
      <c r="AL86" s="106">
        <v>2.145631067961165</v>
      </c>
      <c r="AM86" s="106">
        <v>1158.6407766990292</v>
      </c>
      <c r="AN86" s="106">
        <v>2.5093268450932684</v>
      </c>
      <c r="AO86" s="106">
        <v>1355.036496350365</v>
      </c>
      <c r="AP86" s="106">
        <v>0</v>
      </c>
      <c r="AQ86" s="106">
        <v>0</v>
      </c>
      <c r="AR86" s="106">
        <v>0</v>
      </c>
      <c r="AS86" s="106">
        <v>0</v>
      </c>
      <c r="AT86" s="106">
        <v>18.377730796335449</v>
      </c>
      <c r="AU86" s="106">
        <v>9923.9746300211427</v>
      </c>
      <c r="AV86" s="106">
        <v>9.6725761772853183</v>
      </c>
      <c r="AW86" s="106">
        <v>5223.1911357340723</v>
      </c>
      <c r="AX86" s="106">
        <v>0</v>
      </c>
      <c r="AY86" s="106">
        <v>0</v>
      </c>
      <c r="AZ86" s="106">
        <v>9.464668094218414</v>
      </c>
      <c r="BA86" s="106">
        <v>5110.9207708779431</v>
      </c>
      <c r="BB86" s="106">
        <v>3.1443089430894307</v>
      </c>
      <c r="BC86" s="106">
        <v>1697.9268292682925</v>
      </c>
      <c r="BD86" s="106">
        <v>3.9</v>
      </c>
      <c r="BE86" s="106">
        <v>2106</v>
      </c>
      <c r="BF86" s="106">
        <v>4.7203883495145629</v>
      </c>
      <c r="BG86" s="106">
        <v>2549.009708737864</v>
      </c>
      <c r="BH86" s="106">
        <v>0</v>
      </c>
      <c r="BI86" s="106">
        <v>0</v>
      </c>
      <c r="BJ86" s="106">
        <v>15.948453608247421</v>
      </c>
      <c r="BK86" s="106">
        <v>8612.1649484536065</v>
      </c>
      <c r="BL86" s="106">
        <v>0</v>
      </c>
      <c r="BM86" s="106">
        <v>0</v>
      </c>
      <c r="BN86" s="106">
        <v>7.2222222222222223</v>
      </c>
      <c r="BO86" s="106">
        <v>3900</v>
      </c>
      <c r="BP86" s="106">
        <v>3.6604554865424435</v>
      </c>
      <c r="BQ86" s="106">
        <v>1976.6459627329195</v>
      </c>
      <c r="BR86" s="106">
        <v>0</v>
      </c>
      <c r="BS86" s="106">
        <v>0</v>
      </c>
      <c r="BT86" s="106">
        <v>4.29126213592233</v>
      </c>
      <c r="BU86" s="106">
        <v>2317.2815533980583</v>
      </c>
      <c r="BV86" s="106">
        <v>2.5949119373776908</v>
      </c>
      <c r="BW86" s="106">
        <v>1401.252446183953</v>
      </c>
      <c r="BX86" s="106">
        <v>3.7457627118644066</v>
      </c>
      <c r="BY86" s="106">
        <v>2022.7118644067796</v>
      </c>
      <c r="BZ86" s="106">
        <v>2.8132956152758135</v>
      </c>
      <c r="CA86" s="106">
        <v>1519.1796322489392</v>
      </c>
      <c r="CB86" s="106">
        <v>0</v>
      </c>
      <c r="CC86" s="106">
        <v>0</v>
      </c>
      <c r="CD86" s="106">
        <v>0</v>
      </c>
      <c r="CE86" s="106">
        <v>0</v>
      </c>
      <c r="CF86" s="106">
        <v>7.9185667752443001</v>
      </c>
      <c r="CG86" s="106">
        <v>4276.0260586319218</v>
      </c>
      <c r="CH86" s="106">
        <v>0</v>
      </c>
      <c r="CI86" s="106">
        <v>0</v>
      </c>
      <c r="CJ86" s="106">
        <v>5.8640132669983416</v>
      </c>
      <c r="CK86" s="106">
        <v>3166.5671641791046</v>
      </c>
      <c r="CL86" s="106">
        <v>3.9464285714285712</v>
      </c>
      <c r="CM86" s="106">
        <v>2131.0714285714284</v>
      </c>
      <c r="CN86" s="106">
        <v>0</v>
      </c>
      <c r="CO86" s="106">
        <v>0</v>
      </c>
      <c r="CP86" s="106">
        <v>0</v>
      </c>
      <c r="CQ86" s="106">
        <v>0</v>
      </c>
      <c r="CR86" s="106">
        <v>17.131782945736433</v>
      </c>
      <c r="CS86" s="106">
        <v>9251.1627906976737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253</v>
      </c>
      <c r="D87" s="106">
        <v>0</v>
      </c>
      <c r="E87" s="106">
        <v>0</v>
      </c>
      <c r="F87" s="106">
        <v>0</v>
      </c>
      <c r="G87" s="106">
        <v>0</v>
      </c>
      <c r="H87" s="106">
        <v>2.306451612903226</v>
      </c>
      <c r="I87" s="106">
        <v>4508.6516129032261</v>
      </c>
      <c r="J87" s="106">
        <v>3.2718707940780618</v>
      </c>
      <c r="K87" s="106">
        <v>6395.8530282637948</v>
      </c>
      <c r="L87" s="106">
        <v>5.1545189504373177</v>
      </c>
      <c r="M87" s="106">
        <v>10076.053644314869</v>
      </c>
      <c r="N87" s="106">
        <v>0</v>
      </c>
      <c r="O87" s="106">
        <v>0</v>
      </c>
      <c r="P87" s="106">
        <v>0</v>
      </c>
      <c r="Q87" s="106">
        <v>0</v>
      </c>
      <c r="R87" s="106">
        <v>11.54649947753396</v>
      </c>
      <c r="S87" s="106">
        <v>22571.097178683383</v>
      </c>
      <c r="T87" s="106">
        <v>0</v>
      </c>
      <c r="U87" s="106">
        <v>0</v>
      </c>
      <c r="V87" s="106">
        <v>12.450704225352112</v>
      </c>
      <c r="W87" s="106">
        <v>24338.636619718309</v>
      </c>
      <c r="X87" s="106">
        <v>0</v>
      </c>
      <c r="Y87" s="106">
        <v>0</v>
      </c>
      <c r="Z87" s="106">
        <v>16.492537313432834</v>
      </c>
      <c r="AA87" s="106">
        <v>32239.611940298502</v>
      </c>
      <c r="AB87" s="106">
        <v>9.7003816793893129</v>
      </c>
      <c r="AC87" s="106">
        <v>18962.30610687023</v>
      </c>
      <c r="AD87" s="106">
        <v>0</v>
      </c>
      <c r="AE87" s="106">
        <v>0</v>
      </c>
      <c r="AF87" s="106">
        <v>13.698347107438018</v>
      </c>
      <c r="AG87" s="106">
        <v>26777.528925619838</v>
      </c>
      <c r="AH87" s="106">
        <v>7.4102564102564097</v>
      </c>
      <c r="AI87" s="106">
        <v>14485.56923076923</v>
      </c>
      <c r="AJ87" s="106">
        <v>14.635761589403975</v>
      </c>
      <c r="AK87" s="106">
        <v>28609.986754966889</v>
      </c>
      <c r="AL87" s="106">
        <v>10.012944983818771</v>
      </c>
      <c r="AM87" s="106">
        <v>19573.304854368933</v>
      </c>
      <c r="AN87" s="106">
        <v>13.801297648012977</v>
      </c>
      <c r="AO87" s="106">
        <v>26978.776642335764</v>
      </c>
      <c r="AP87" s="106">
        <v>0</v>
      </c>
      <c r="AQ87" s="106">
        <v>0</v>
      </c>
      <c r="AR87" s="106">
        <v>0</v>
      </c>
      <c r="AS87" s="106">
        <v>0</v>
      </c>
      <c r="AT87" s="106">
        <v>3.1148696264975335</v>
      </c>
      <c r="AU87" s="106">
        <v>6088.9471458773787</v>
      </c>
      <c r="AV87" s="106">
        <v>1.1019390581717452</v>
      </c>
      <c r="AW87" s="106">
        <v>2154.0704709141273</v>
      </c>
      <c r="AX87" s="106">
        <v>0</v>
      </c>
      <c r="AY87" s="106">
        <v>0</v>
      </c>
      <c r="AZ87" s="106">
        <v>16.089935760171304</v>
      </c>
      <c r="BA87" s="106">
        <v>31452.606423982867</v>
      </c>
      <c r="BB87" s="106">
        <v>8.9837398373983746</v>
      </c>
      <c r="BC87" s="106">
        <v>17561.414634146342</v>
      </c>
      <c r="BD87" s="106">
        <v>7.8</v>
      </c>
      <c r="BE87" s="106">
        <v>15247.439999999999</v>
      </c>
      <c r="BF87" s="106">
        <v>9.4407766990291258</v>
      </c>
      <c r="BG87" s="106">
        <v>18454.830291262133</v>
      </c>
      <c r="BH87" s="106">
        <v>0</v>
      </c>
      <c r="BI87" s="106">
        <v>0</v>
      </c>
      <c r="BJ87" s="106">
        <v>6.0756013745704465</v>
      </c>
      <c r="BK87" s="106">
        <v>11876.585567010308</v>
      </c>
      <c r="BL87" s="106">
        <v>0</v>
      </c>
      <c r="BM87" s="106">
        <v>0</v>
      </c>
      <c r="BN87" s="106">
        <v>5.3650793650793656</v>
      </c>
      <c r="BO87" s="106">
        <v>10487.657142857144</v>
      </c>
      <c r="BP87" s="106">
        <v>15.556935817805384</v>
      </c>
      <c r="BQ87" s="106">
        <v>30410.698136645962</v>
      </c>
      <c r="BR87" s="106">
        <v>0</v>
      </c>
      <c r="BS87" s="106">
        <v>0</v>
      </c>
      <c r="BT87" s="106">
        <v>28.608414239482197</v>
      </c>
      <c r="BU87" s="106">
        <v>55923.728155339799</v>
      </c>
      <c r="BV87" s="106">
        <v>9.2984344422700573</v>
      </c>
      <c r="BW87" s="106">
        <v>18176.579647749506</v>
      </c>
      <c r="BX87" s="106">
        <v>2.5539291217257318</v>
      </c>
      <c r="BY87" s="106">
        <v>4992.4206471494608</v>
      </c>
      <c r="BZ87" s="106">
        <v>1.8755304101838755</v>
      </c>
      <c r="CA87" s="106">
        <v>3666.2868458274397</v>
      </c>
      <c r="CB87" s="106">
        <v>0</v>
      </c>
      <c r="CC87" s="106">
        <v>0</v>
      </c>
      <c r="CD87" s="106">
        <v>0</v>
      </c>
      <c r="CE87" s="106">
        <v>0</v>
      </c>
      <c r="CF87" s="106">
        <v>23.755700325732899</v>
      </c>
      <c r="CG87" s="106">
        <v>46437.642996742674</v>
      </c>
      <c r="CH87" s="106">
        <v>0</v>
      </c>
      <c r="CI87" s="106">
        <v>0</v>
      </c>
      <c r="CJ87" s="106">
        <v>24.189054726368159</v>
      </c>
      <c r="CK87" s="106">
        <v>47284.764179104473</v>
      </c>
      <c r="CL87" s="106">
        <v>11.839285714285714</v>
      </c>
      <c r="CM87" s="106">
        <v>23143.435714285712</v>
      </c>
      <c r="CN87" s="106">
        <v>0</v>
      </c>
      <c r="CO87" s="106">
        <v>0</v>
      </c>
      <c r="CP87" s="106">
        <v>0</v>
      </c>
      <c r="CQ87" s="106">
        <v>0</v>
      </c>
      <c r="CR87" s="106">
        <v>10.279069767441861</v>
      </c>
      <c r="CS87" s="106">
        <v>20093.525581395348</v>
      </c>
      <c r="CT87" s="106">
        <v>0</v>
      </c>
      <c r="CU87" s="106">
        <v>0</v>
      </c>
    </row>
    <row r="88" spans="2:99" x14ac:dyDescent="0.2">
      <c r="C88" s="105" t="s">
        <v>254</v>
      </c>
      <c r="D88" s="106">
        <v>0</v>
      </c>
      <c r="E88" s="106">
        <v>0</v>
      </c>
      <c r="F88" s="106">
        <v>0</v>
      </c>
      <c r="G88" s="106">
        <v>0</v>
      </c>
      <c r="H88" s="106">
        <v>2.096774193548387</v>
      </c>
      <c r="I88" s="106">
        <v>3967.9354838709673</v>
      </c>
      <c r="J88" s="106">
        <v>3.2718707940780618</v>
      </c>
      <c r="K88" s="106">
        <v>6191.688290713324</v>
      </c>
      <c r="L88" s="106">
        <v>5.7988338192419828</v>
      </c>
      <c r="M88" s="106">
        <v>10973.713119533528</v>
      </c>
      <c r="N88" s="106">
        <v>0</v>
      </c>
      <c r="O88" s="106">
        <v>0</v>
      </c>
      <c r="P88" s="106">
        <v>0</v>
      </c>
      <c r="Q88" s="106">
        <v>0</v>
      </c>
      <c r="R88" s="106">
        <v>13.393939393939394</v>
      </c>
      <c r="S88" s="106">
        <v>25346.690909090907</v>
      </c>
      <c r="T88" s="106">
        <v>0</v>
      </c>
      <c r="U88" s="106">
        <v>0</v>
      </c>
      <c r="V88" s="106">
        <v>13.834115805946793</v>
      </c>
      <c r="W88" s="106">
        <v>26179.68075117371</v>
      </c>
      <c r="X88" s="106">
        <v>0</v>
      </c>
      <c r="Y88" s="106">
        <v>0</v>
      </c>
      <c r="Z88" s="106">
        <v>17.253731343283579</v>
      </c>
      <c r="AA88" s="106">
        <v>32650.961194029842</v>
      </c>
      <c r="AB88" s="106">
        <v>9.278625954198473</v>
      </c>
      <c r="AC88" s="106">
        <v>17558.871755725188</v>
      </c>
      <c r="AD88" s="106">
        <v>0</v>
      </c>
      <c r="AE88" s="106">
        <v>0</v>
      </c>
      <c r="AF88" s="106">
        <v>12.78512396694215</v>
      </c>
      <c r="AG88" s="106">
        <v>24194.568595041324</v>
      </c>
      <c r="AH88" s="106">
        <v>6.5384615384615383</v>
      </c>
      <c r="AI88" s="106">
        <v>12373.384615384613</v>
      </c>
      <c r="AJ88" s="106">
        <v>15.053926206244089</v>
      </c>
      <c r="AK88" s="106">
        <v>28488.04995269631</v>
      </c>
      <c r="AL88" s="106">
        <v>10.251348435814455</v>
      </c>
      <c r="AM88" s="106">
        <v>19399.651779935273</v>
      </c>
      <c r="AN88" s="106">
        <v>13.980535279805354</v>
      </c>
      <c r="AO88" s="106">
        <v>26456.764963503651</v>
      </c>
      <c r="AP88" s="106">
        <v>0</v>
      </c>
      <c r="AQ88" s="106">
        <v>0</v>
      </c>
      <c r="AR88" s="106">
        <v>0</v>
      </c>
      <c r="AS88" s="106">
        <v>0</v>
      </c>
      <c r="AT88" s="106">
        <v>2.8033826638477799</v>
      </c>
      <c r="AU88" s="106">
        <v>5305.1213530655386</v>
      </c>
      <c r="AV88" s="106">
        <v>1.1019390581717452</v>
      </c>
      <c r="AW88" s="106">
        <v>2085.3094736842104</v>
      </c>
      <c r="AX88" s="106">
        <v>0</v>
      </c>
      <c r="AY88" s="106">
        <v>0</v>
      </c>
      <c r="AZ88" s="106">
        <v>15.143468950749465</v>
      </c>
      <c r="BA88" s="106">
        <v>28657.500642398285</v>
      </c>
      <c r="BB88" s="106">
        <v>9.4329268292682933</v>
      </c>
      <c r="BC88" s="106">
        <v>17850.870731707317</v>
      </c>
      <c r="BD88" s="106">
        <v>7.8</v>
      </c>
      <c r="BE88" s="106">
        <v>14760.72</v>
      </c>
      <c r="BF88" s="106">
        <v>9.4407766990291258</v>
      </c>
      <c r="BG88" s="106">
        <v>17865.725825242716</v>
      </c>
      <c r="BH88" s="106">
        <v>0</v>
      </c>
      <c r="BI88" s="106">
        <v>0</v>
      </c>
      <c r="BJ88" s="106">
        <v>6.0756013745704465</v>
      </c>
      <c r="BK88" s="106">
        <v>11497.468041237113</v>
      </c>
      <c r="BL88" s="106">
        <v>0</v>
      </c>
      <c r="BM88" s="106">
        <v>0</v>
      </c>
      <c r="BN88" s="106">
        <v>5.9841269841269842</v>
      </c>
      <c r="BO88" s="106">
        <v>11324.361904761905</v>
      </c>
      <c r="BP88" s="106">
        <v>17.844720496894411</v>
      </c>
      <c r="BQ88" s="106">
        <v>33769.349068322983</v>
      </c>
      <c r="BR88" s="106">
        <v>0</v>
      </c>
      <c r="BS88" s="106">
        <v>0</v>
      </c>
      <c r="BT88" s="106">
        <v>29.085221143473571</v>
      </c>
      <c r="BU88" s="106">
        <v>55040.87249190938</v>
      </c>
      <c r="BV88" s="106">
        <v>9.7309197651663393</v>
      </c>
      <c r="BW88" s="106">
        <v>18414.792563600779</v>
      </c>
      <c r="BX88" s="106">
        <v>2.2134052388289676</v>
      </c>
      <c r="BY88" s="106">
        <v>4188.6480739599383</v>
      </c>
      <c r="BZ88" s="106">
        <v>2.3444130127298446</v>
      </c>
      <c r="CA88" s="106">
        <v>4436.5671852899577</v>
      </c>
      <c r="CB88" s="106">
        <v>0</v>
      </c>
      <c r="CC88" s="106">
        <v>0</v>
      </c>
      <c r="CD88" s="106">
        <v>0</v>
      </c>
      <c r="CE88" s="106">
        <v>0</v>
      </c>
      <c r="CF88" s="106">
        <v>23.035830618892508</v>
      </c>
      <c r="CG88" s="106">
        <v>43593.005863192178</v>
      </c>
      <c r="CH88" s="106">
        <v>0</v>
      </c>
      <c r="CI88" s="106">
        <v>0</v>
      </c>
      <c r="CJ88" s="106">
        <v>21.257048092868988</v>
      </c>
      <c r="CK88" s="106">
        <v>40226.837810945268</v>
      </c>
      <c r="CL88" s="106">
        <v>12.277777777777777</v>
      </c>
      <c r="CM88" s="106">
        <v>23234.466666666664</v>
      </c>
      <c r="CN88" s="106">
        <v>0</v>
      </c>
      <c r="CO88" s="106">
        <v>0</v>
      </c>
      <c r="CP88" s="106">
        <v>0</v>
      </c>
      <c r="CQ88" s="106">
        <v>0</v>
      </c>
      <c r="CR88" s="106">
        <v>8.5658914728682163</v>
      </c>
      <c r="CS88" s="106">
        <v>16210.093023255811</v>
      </c>
      <c r="CT88" s="106">
        <v>0</v>
      </c>
      <c r="CU88" s="106">
        <v>0</v>
      </c>
    </row>
    <row r="89" spans="2:99" x14ac:dyDescent="0.2">
      <c r="C89" s="105" t="s">
        <v>255</v>
      </c>
      <c r="D89" s="106">
        <v>0</v>
      </c>
      <c r="E89" s="106">
        <v>0</v>
      </c>
      <c r="F89" s="106">
        <v>0</v>
      </c>
      <c r="G89" s="106">
        <v>0</v>
      </c>
      <c r="H89" s="106">
        <v>2.096774193548387</v>
      </c>
      <c r="I89" s="106">
        <v>5027.2258064516127</v>
      </c>
      <c r="J89" s="106">
        <v>3.2718707940780618</v>
      </c>
      <c r="K89" s="106">
        <v>7844.6374158815606</v>
      </c>
      <c r="L89" s="106">
        <v>5.3692905733722061</v>
      </c>
      <c r="M89" s="106">
        <v>12873.411078717201</v>
      </c>
      <c r="N89" s="106">
        <v>0</v>
      </c>
      <c r="O89" s="106">
        <v>0</v>
      </c>
      <c r="P89" s="106">
        <v>0</v>
      </c>
      <c r="Q89" s="106">
        <v>0</v>
      </c>
      <c r="R89" s="106">
        <v>10.622779519331242</v>
      </c>
      <c r="S89" s="106">
        <v>25469.176175548586</v>
      </c>
      <c r="T89" s="106">
        <v>0</v>
      </c>
      <c r="U89" s="106">
        <v>0</v>
      </c>
      <c r="V89" s="106">
        <v>11.413145539906104</v>
      </c>
      <c r="W89" s="106">
        <v>27364.157746478875</v>
      </c>
      <c r="X89" s="106">
        <v>0</v>
      </c>
      <c r="Y89" s="106">
        <v>0</v>
      </c>
      <c r="Z89" s="106">
        <v>17.507462686567166</v>
      </c>
      <c r="AA89" s="106">
        <v>41975.892537313433</v>
      </c>
      <c r="AB89" s="106">
        <v>8.8568702290076331</v>
      </c>
      <c r="AC89" s="106">
        <v>21235.232061068702</v>
      </c>
      <c r="AD89" s="106">
        <v>0</v>
      </c>
      <c r="AE89" s="106">
        <v>0</v>
      </c>
      <c r="AF89" s="106">
        <v>11.871900826446282</v>
      </c>
      <c r="AG89" s="106">
        <v>28464.069421487606</v>
      </c>
      <c r="AH89" s="106">
        <v>6.5384615384615383</v>
      </c>
      <c r="AI89" s="106">
        <v>15676.615384615383</v>
      </c>
      <c r="AJ89" s="106">
        <v>14.844843897824031</v>
      </c>
      <c r="AK89" s="106">
        <v>35591.997729422896</v>
      </c>
      <c r="AL89" s="106">
        <v>8.1057173678532894</v>
      </c>
      <c r="AM89" s="106">
        <v>19434.267961165046</v>
      </c>
      <c r="AN89" s="106">
        <v>12.546634225466343</v>
      </c>
      <c r="AO89" s="106">
        <v>30081.810218978106</v>
      </c>
      <c r="AP89" s="106">
        <v>0</v>
      </c>
      <c r="AQ89" s="106">
        <v>0</v>
      </c>
      <c r="AR89" s="106">
        <v>0</v>
      </c>
      <c r="AS89" s="106">
        <v>0</v>
      </c>
      <c r="AT89" s="106">
        <v>2.8033826638477799</v>
      </c>
      <c r="AU89" s="106">
        <v>6721.3902748414366</v>
      </c>
      <c r="AV89" s="106">
        <v>0.97950138504155138</v>
      </c>
      <c r="AW89" s="106">
        <v>2348.4525207756233</v>
      </c>
      <c r="AX89" s="106">
        <v>0</v>
      </c>
      <c r="AY89" s="106">
        <v>0</v>
      </c>
      <c r="AZ89" s="106">
        <v>14.197002141327623</v>
      </c>
      <c r="BA89" s="106">
        <v>34038.732334047105</v>
      </c>
      <c r="BB89" s="106">
        <v>8.9837398373983746</v>
      </c>
      <c r="BC89" s="106">
        <v>21539.414634146342</v>
      </c>
      <c r="BD89" s="106">
        <v>9.1</v>
      </c>
      <c r="BE89" s="106">
        <v>21818.16</v>
      </c>
      <c r="BF89" s="106">
        <v>9.4407766990291258</v>
      </c>
      <c r="BG89" s="106">
        <v>22635.206213592232</v>
      </c>
      <c r="BH89" s="106">
        <v>0</v>
      </c>
      <c r="BI89" s="106">
        <v>0</v>
      </c>
      <c r="BJ89" s="106">
        <v>6.4553264604810998</v>
      </c>
      <c r="BK89" s="106">
        <v>15477.290721649484</v>
      </c>
      <c r="BL89" s="106">
        <v>0</v>
      </c>
      <c r="BM89" s="106">
        <v>0</v>
      </c>
      <c r="BN89" s="106">
        <v>5.9841269841269842</v>
      </c>
      <c r="BO89" s="106">
        <v>14347.542857142857</v>
      </c>
      <c r="BP89" s="106">
        <v>15.099378881987578</v>
      </c>
      <c r="BQ89" s="106">
        <v>36202.270807453417</v>
      </c>
      <c r="BR89" s="106">
        <v>0</v>
      </c>
      <c r="BS89" s="106">
        <v>0</v>
      </c>
      <c r="BT89" s="106">
        <v>25.747572815533982</v>
      </c>
      <c r="BU89" s="106">
        <v>61732.380582524274</v>
      </c>
      <c r="BV89" s="106">
        <v>9.5146771037181992</v>
      </c>
      <c r="BW89" s="106">
        <v>22812.389823874753</v>
      </c>
      <c r="BX89" s="106">
        <v>2.5539291217257318</v>
      </c>
      <c r="BY89" s="106">
        <v>6123.3004622496146</v>
      </c>
      <c r="BZ89" s="106">
        <v>2.1881188118811883</v>
      </c>
      <c r="CA89" s="106">
        <v>5246.2336633663372</v>
      </c>
      <c r="CB89" s="106">
        <v>0</v>
      </c>
      <c r="CC89" s="106">
        <v>0</v>
      </c>
      <c r="CD89" s="106">
        <v>0</v>
      </c>
      <c r="CE89" s="106">
        <v>0</v>
      </c>
      <c r="CF89" s="106">
        <v>22.31596091205212</v>
      </c>
      <c r="CG89" s="106">
        <v>53504.747882736163</v>
      </c>
      <c r="CH89" s="106">
        <v>0</v>
      </c>
      <c r="CI89" s="106">
        <v>0</v>
      </c>
      <c r="CJ89" s="106">
        <v>24.189054726368159</v>
      </c>
      <c r="CK89" s="106">
        <v>57995.677611940293</v>
      </c>
      <c r="CL89" s="106">
        <v>11.839285714285714</v>
      </c>
      <c r="CM89" s="106">
        <v>28385.871428571427</v>
      </c>
      <c r="CN89" s="106">
        <v>0</v>
      </c>
      <c r="CO89" s="106">
        <v>0</v>
      </c>
      <c r="CP89" s="106">
        <v>0</v>
      </c>
      <c r="CQ89" s="106">
        <v>0</v>
      </c>
      <c r="CR89" s="106">
        <v>9.4224806201550386</v>
      </c>
      <c r="CS89" s="106">
        <v>22591.339534883718</v>
      </c>
      <c r="CT89" s="106">
        <v>0</v>
      </c>
      <c r="CU89" s="106">
        <v>0</v>
      </c>
    </row>
    <row r="90" spans="2:99" x14ac:dyDescent="0.2">
      <c r="C90" s="105" t="s">
        <v>256</v>
      </c>
      <c r="D90" s="106">
        <v>0</v>
      </c>
      <c r="E90" s="106">
        <v>0</v>
      </c>
      <c r="F90" s="106">
        <v>0</v>
      </c>
      <c r="G90" s="106">
        <v>0</v>
      </c>
      <c r="H90" s="106">
        <v>2.096774193548387</v>
      </c>
      <c r="I90" s="106">
        <v>4607.0322580645152</v>
      </c>
      <c r="J90" s="106">
        <v>2.9744279946164198</v>
      </c>
      <c r="K90" s="106">
        <v>6535.4131897711968</v>
      </c>
      <c r="L90" s="106">
        <v>4.7249757045675409</v>
      </c>
      <c r="M90" s="106">
        <v>10381.716618075799</v>
      </c>
      <c r="N90" s="106">
        <v>0</v>
      </c>
      <c r="O90" s="106">
        <v>0</v>
      </c>
      <c r="P90" s="106">
        <v>0</v>
      </c>
      <c r="Q90" s="106">
        <v>0</v>
      </c>
      <c r="R90" s="106">
        <v>12.932079414838036</v>
      </c>
      <c r="S90" s="106">
        <v>28414.36489028213</v>
      </c>
      <c r="T90" s="106">
        <v>0</v>
      </c>
      <c r="U90" s="106">
        <v>0</v>
      </c>
      <c r="V90" s="106">
        <v>11.758998435054773</v>
      </c>
      <c r="W90" s="106">
        <v>25836.871361502344</v>
      </c>
      <c r="X90" s="106">
        <v>0</v>
      </c>
      <c r="Y90" s="106">
        <v>0</v>
      </c>
      <c r="Z90" s="106">
        <v>18.014925373134329</v>
      </c>
      <c r="AA90" s="106">
        <v>39582.394029850744</v>
      </c>
      <c r="AB90" s="106">
        <v>9.278625954198473</v>
      </c>
      <c r="AC90" s="106">
        <v>20386.996946564883</v>
      </c>
      <c r="AD90" s="106">
        <v>0</v>
      </c>
      <c r="AE90" s="106">
        <v>0</v>
      </c>
      <c r="AF90" s="106">
        <v>10.958677685950413</v>
      </c>
      <c r="AG90" s="106">
        <v>24078.406611570244</v>
      </c>
      <c r="AH90" s="106">
        <v>6.1025641025641022</v>
      </c>
      <c r="AI90" s="106">
        <v>13408.553846153844</v>
      </c>
      <c r="AJ90" s="106">
        <v>16.517502365184484</v>
      </c>
      <c r="AK90" s="106">
        <v>36292.256196783346</v>
      </c>
      <c r="AL90" s="106">
        <v>9.0593311758360304</v>
      </c>
      <c r="AM90" s="106">
        <v>19905.162459546926</v>
      </c>
      <c r="AN90" s="106">
        <v>11.112733171127331</v>
      </c>
      <c r="AO90" s="106">
        <v>24416.89732360097</v>
      </c>
      <c r="AP90" s="106">
        <v>0</v>
      </c>
      <c r="AQ90" s="106">
        <v>0</v>
      </c>
      <c r="AR90" s="106">
        <v>0</v>
      </c>
      <c r="AS90" s="106">
        <v>0</v>
      </c>
      <c r="AT90" s="106">
        <v>2.8033826638477799</v>
      </c>
      <c r="AU90" s="106">
        <v>6159.5923890063414</v>
      </c>
      <c r="AV90" s="106">
        <v>1.2243767313019391</v>
      </c>
      <c r="AW90" s="106">
        <v>2690.2005540166206</v>
      </c>
      <c r="AX90" s="106">
        <v>0</v>
      </c>
      <c r="AY90" s="106">
        <v>0</v>
      </c>
      <c r="AZ90" s="106">
        <v>16.089935760171304</v>
      </c>
      <c r="BA90" s="106">
        <v>35352.806852248388</v>
      </c>
      <c r="BB90" s="106">
        <v>10.331300813008129</v>
      </c>
      <c r="BC90" s="106">
        <v>22699.93414634146</v>
      </c>
      <c r="BD90" s="106">
        <v>9.1</v>
      </c>
      <c r="BE90" s="106">
        <v>19994.519999999997</v>
      </c>
      <c r="BF90" s="106">
        <v>9.4407766990291258</v>
      </c>
      <c r="BG90" s="106">
        <v>20743.274563106792</v>
      </c>
      <c r="BH90" s="106">
        <v>0</v>
      </c>
      <c r="BI90" s="106">
        <v>0</v>
      </c>
      <c r="BJ90" s="106">
        <v>5.6958762886597931</v>
      </c>
      <c r="BK90" s="106">
        <v>12514.979381443296</v>
      </c>
      <c r="BL90" s="106">
        <v>0</v>
      </c>
      <c r="BM90" s="106">
        <v>0</v>
      </c>
      <c r="BN90" s="106">
        <v>5.3650793650793656</v>
      </c>
      <c r="BO90" s="106">
        <v>11788.152380952381</v>
      </c>
      <c r="BP90" s="106">
        <v>15.099378881987578</v>
      </c>
      <c r="BQ90" s="106">
        <v>33176.355279503106</v>
      </c>
      <c r="BR90" s="106">
        <v>0</v>
      </c>
      <c r="BS90" s="106">
        <v>0</v>
      </c>
      <c r="BT90" s="106">
        <v>23.363538295577129</v>
      </c>
      <c r="BU90" s="106">
        <v>51334.366343042064</v>
      </c>
      <c r="BV90" s="106">
        <v>10.379647749510763</v>
      </c>
      <c r="BW90" s="106">
        <v>22806.162035225047</v>
      </c>
      <c r="BX90" s="106">
        <v>2.2134052388289676</v>
      </c>
      <c r="BY90" s="106">
        <v>4863.2939907550071</v>
      </c>
      <c r="BZ90" s="106">
        <v>2.1881188118811883</v>
      </c>
      <c r="CA90" s="106">
        <v>4807.7346534653461</v>
      </c>
      <c r="CB90" s="106">
        <v>0</v>
      </c>
      <c r="CC90" s="106">
        <v>0</v>
      </c>
      <c r="CD90" s="106">
        <v>0</v>
      </c>
      <c r="CE90" s="106">
        <v>0</v>
      </c>
      <c r="CF90" s="106">
        <v>21.596091205211728</v>
      </c>
      <c r="CG90" s="106">
        <v>47450.931596091206</v>
      </c>
      <c r="CH90" s="106">
        <v>0</v>
      </c>
      <c r="CI90" s="106">
        <v>0</v>
      </c>
      <c r="CJ90" s="106">
        <v>23.456053067993366</v>
      </c>
      <c r="CK90" s="106">
        <v>51537.639800995021</v>
      </c>
      <c r="CL90" s="106">
        <v>10.962301587301587</v>
      </c>
      <c r="CM90" s="106">
        <v>24086.369047619046</v>
      </c>
      <c r="CN90" s="106">
        <v>0</v>
      </c>
      <c r="CO90" s="106">
        <v>0</v>
      </c>
      <c r="CP90" s="106">
        <v>0</v>
      </c>
      <c r="CQ90" s="106">
        <v>0</v>
      </c>
      <c r="CR90" s="106">
        <v>9.4224806201550386</v>
      </c>
      <c r="CS90" s="106">
        <v>20703.07441860465</v>
      </c>
      <c r="CT90" s="106">
        <v>0</v>
      </c>
      <c r="CU90" s="106">
        <v>0</v>
      </c>
    </row>
    <row r="91" spans="2:99" x14ac:dyDescent="0.2">
      <c r="C91" s="105" t="s">
        <v>257</v>
      </c>
      <c r="D91" s="106">
        <v>0</v>
      </c>
      <c r="E91" s="106">
        <v>0</v>
      </c>
      <c r="F91" s="106">
        <v>0</v>
      </c>
      <c r="G91" s="106">
        <v>0</v>
      </c>
      <c r="H91" s="106">
        <v>2.306451612903226</v>
      </c>
      <c r="I91" s="106">
        <v>5297.4580645161286</v>
      </c>
      <c r="J91" s="106">
        <v>3.2718707940780618</v>
      </c>
      <c r="K91" s="106">
        <v>7514.8328398384911</v>
      </c>
      <c r="L91" s="106">
        <v>4.9397473275024302</v>
      </c>
      <c r="M91" s="106">
        <v>11345.611661807579</v>
      </c>
      <c r="N91" s="106">
        <v>0</v>
      </c>
      <c r="O91" s="106">
        <v>0</v>
      </c>
      <c r="P91" s="106">
        <v>0</v>
      </c>
      <c r="Q91" s="106">
        <v>0</v>
      </c>
      <c r="R91" s="106">
        <v>12.470219435736677</v>
      </c>
      <c r="S91" s="106">
        <v>28641.599999999995</v>
      </c>
      <c r="T91" s="106">
        <v>0</v>
      </c>
      <c r="U91" s="106">
        <v>0</v>
      </c>
      <c r="V91" s="106">
        <v>11.067292644757433</v>
      </c>
      <c r="W91" s="106">
        <v>25419.357746478869</v>
      </c>
      <c r="X91" s="106">
        <v>0</v>
      </c>
      <c r="Y91" s="106">
        <v>0</v>
      </c>
      <c r="Z91" s="106">
        <v>17.507462686567166</v>
      </c>
      <c r="AA91" s="106">
        <v>40211.14029850746</v>
      </c>
      <c r="AB91" s="106">
        <v>10.122137404580153</v>
      </c>
      <c r="AC91" s="106">
        <v>23248.525190839693</v>
      </c>
      <c r="AD91" s="106">
        <v>0</v>
      </c>
      <c r="AE91" s="106">
        <v>0</v>
      </c>
      <c r="AF91" s="106">
        <v>11.871900826446282</v>
      </c>
      <c r="AG91" s="106">
        <v>27267.381818181817</v>
      </c>
      <c r="AH91" s="106">
        <v>6.5384615384615383</v>
      </c>
      <c r="AI91" s="106">
        <v>15017.538461538459</v>
      </c>
      <c r="AJ91" s="106">
        <v>15.053926206244089</v>
      </c>
      <c r="AK91" s="106">
        <v>34575.857710501419</v>
      </c>
      <c r="AL91" s="106">
        <v>9.7745415318230844</v>
      </c>
      <c r="AM91" s="106">
        <v>22450.166990291258</v>
      </c>
      <c r="AN91" s="106">
        <v>10.933495539334954</v>
      </c>
      <c r="AO91" s="106">
        <v>25112.052554744521</v>
      </c>
      <c r="AP91" s="106">
        <v>0</v>
      </c>
      <c r="AQ91" s="106">
        <v>0</v>
      </c>
      <c r="AR91" s="106">
        <v>0</v>
      </c>
      <c r="AS91" s="106">
        <v>0</v>
      </c>
      <c r="AT91" s="106">
        <v>3.1148696264975335</v>
      </c>
      <c r="AU91" s="106">
        <v>7154.2325581395344</v>
      </c>
      <c r="AV91" s="106">
        <v>0.97950138504155138</v>
      </c>
      <c r="AW91" s="106">
        <v>2249.7187811634349</v>
      </c>
      <c r="AX91" s="106">
        <v>0</v>
      </c>
      <c r="AY91" s="106">
        <v>0</v>
      </c>
      <c r="AZ91" s="106">
        <v>14.197002141327623</v>
      </c>
      <c r="BA91" s="106">
        <v>32607.674518201282</v>
      </c>
      <c r="BB91" s="106">
        <v>9.4329268292682933</v>
      </c>
      <c r="BC91" s="106">
        <v>21665.546341463414</v>
      </c>
      <c r="BD91" s="106">
        <v>7.8</v>
      </c>
      <c r="BE91" s="106">
        <v>17915.039999999997</v>
      </c>
      <c r="BF91" s="106">
        <v>8.5825242718446599</v>
      </c>
      <c r="BG91" s="106">
        <v>19712.341747572813</v>
      </c>
      <c r="BH91" s="106">
        <v>0</v>
      </c>
      <c r="BI91" s="106">
        <v>0</v>
      </c>
      <c r="BJ91" s="106">
        <v>6.4553264604810998</v>
      </c>
      <c r="BK91" s="106">
        <v>14826.593814432988</v>
      </c>
      <c r="BL91" s="106">
        <v>0</v>
      </c>
      <c r="BM91" s="106">
        <v>0</v>
      </c>
      <c r="BN91" s="106">
        <v>5.5714285714285712</v>
      </c>
      <c r="BO91" s="106">
        <v>12796.457142857142</v>
      </c>
      <c r="BP91" s="106">
        <v>15.099378881987578</v>
      </c>
      <c r="BQ91" s="106">
        <v>34680.253416149062</v>
      </c>
      <c r="BR91" s="106">
        <v>0</v>
      </c>
      <c r="BS91" s="106">
        <v>0</v>
      </c>
      <c r="BT91" s="106">
        <v>25.270765911542611</v>
      </c>
      <c r="BU91" s="106">
        <v>58041.895145631061</v>
      </c>
      <c r="BV91" s="106">
        <v>9.5146771037181992</v>
      </c>
      <c r="BW91" s="106">
        <v>21853.310371819956</v>
      </c>
      <c r="BX91" s="106">
        <v>2.5539291217257318</v>
      </c>
      <c r="BY91" s="106">
        <v>5865.8644067796604</v>
      </c>
      <c r="BZ91" s="106">
        <v>2.031824611032532</v>
      </c>
      <c r="CA91" s="106">
        <v>4666.6947666195192</v>
      </c>
      <c r="CB91" s="106">
        <v>0</v>
      </c>
      <c r="CC91" s="106">
        <v>0</v>
      </c>
      <c r="CD91" s="106">
        <v>0</v>
      </c>
      <c r="CE91" s="106">
        <v>0</v>
      </c>
      <c r="CF91" s="106">
        <v>24.475570032573287</v>
      </c>
      <c r="CG91" s="106">
        <v>56215.489250814317</v>
      </c>
      <c r="CH91" s="106">
        <v>0</v>
      </c>
      <c r="CI91" s="106">
        <v>0</v>
      </c>
      <c r="CJ91" s="106">
        <v>24.189054726368159</v>
      </c>
      <c r="CK91" s="106">
        <v>55557.42089552238</v>
      </c>
      <c r="CL91" s="106">
        <v>10.523809523809524</v>
      </c>
      <c r="CM91" s="106">
        <v>24171.085714285713</v>
      </c>
      <c r="CN91" s="106">
        <v>0</v>
      </c>
      <c r="CO91" s="106">
        <v>0</v>
      </c>
      <c r="CP91" s="106">
        <v>0</v>
      </c>
      <c r="CQ91" s="106">
        <v>0</v>
      </c>
      <c r="CR91" s="106">
        <v>9.4224806201550386</v>
      </c>
      <c r="CS91" s="106">
        <v>21641.55348837209</v>
      </c>
      <c r="CT91" s="106">
        <v>0</v>
      </c>
      <c r="CU91" s="106">
        <v>0</v>
      </c>
    </row>
    <row r="92" spans="2:99" x14ac:dyDescent="0.2">
      <c r="C92" s="105" t="s">
        <v>258</v>
      </c>
      <c r="D92" s="106">
        <v>0</v>
      </c>
      <c r="E92" s="106">
        <v>0</v>
      </c>
      <c r="F92" s="106">
        <v>0</v>
      </c>
      <c r="G92" s="106">
        <v>0</v>
      </c>
      <c r="H92" s="106">
        <v>2.306451612903226</v>
      </c>
      <c r="I92" s="106">
        <v>3277.0064516129032</v>
      </c>
      <c r="J92" s="106">
        <v>3.5693135935397038</v>
      </c>
      <c r="K92" s="106">
        <v>5071.2807537012113</v>
      </c>
      <c r="L92" s="106">
        <v>5.5840621963070944</v>
      </c>
      <c r="M92" s="106">
        <v>7933.8355685131191</v>
      </c>
      <c r="N92" s="106">
        <v>0</v>
      </c>
      <c r="O92" s="106">
        <v>0</v>
      </c>
      <c r="P92" s="106">
        <v>0</v>
      </c>
      <c r="Q92" s="106">
        <v>0</v>
      </c>
      <c r="R92" s="106">
        <v>12.008359456635318</v>
      </c>
      <c r="S92" s="106">
        <v>17061.477115987458</v>
      </c>
      <c r="T92" s="106">
        <v>0</v>
      </c>
      <c r="U92" s="106">
        <v>0</v>
      </c>
      <c r="V92" s="106">
        <v>14.525821596244132</v>
      </c>
      <c r="W92" s="106">
        <v>20638.287323943663</v>
      </c>
      <c r="X92" s="106">
        <v>0</v>
      </c>
      <c r="Y92" s="106">
        <v>0</v>
      </c>
      <c r="Z92" s="106">
        <v>19.029850746268657</v>
      </c>
      <c r="AA92" s="106">
        <v>27037.611940298506</v>
      </c>
      <c r="AB92" s="106">
        <v>9.7003816793893129</v>
      </c>
      <c r="AC92" s="106">
        <v>13782.302290076335</v>
      </c>
      <c r="AD92" s="106">
        <v>0</v>
      </c>
      <c r="AE92" s="106">
        <v>0</v>
      </c>
      <c r="AF92" s="106">
        <v>12.78512396694215</v>
      </c>
      <c r="AG92" s="106">
        <v>18165.104132231405</v>
      </c>
      <c r="AH92" s="106">
        <v>6.9743589743589745</v>
      </c>
      <c r="AI92" s="106">
        <v>9909.1692307692301</v>
      </c>
      <c r="AJ92" s="106">
        <v>18.608325449385049</v>
      </c>
      <c r="AK92" s="106">
        <v>26438.708798486277</v>
      </c>
      <c r="AL92" s="106">
        <v>9.7745415318230844</v>
      </c>
      <c r="AM92" s="106">
        <v>13887.668608414238</v>
      </c>
      <c r="AN92" s="106">
        <v>12.546634225466343</v>
      </c>
      <c r="AO92" s="106">
        <v>17826.257907542582</v>
      </c>
      <c r="AP92" s="106">
        <v>0</v>
      </c>
      <c r="AQ92" s="106">
        <v>0</v>
      </c>
      <c r="AR92" s="106">
        <v>0</v>
      </c>
      <c r="AS92" s="106">
        <v>0</v>
      </c>
      <c r="AT92" s="106">
        <v>3.1148696264975335</v>
      </c>
      <c r="AU92" s="106">
        <v>4425.606765327695</v>
      </c>
      <c r="AV92" s="106">
        <v>1.1019390581717452</v>
      </c>
      <c r="AW92" s="106">
        <v>1565.6350138504156</v>
      </c>
      <c r="AX92" s="106">
        <v>0</v>
      </c>
      <c r="AY92" s="106">
        <v>0</v>
      </c>
      <c r="AZ92" s="106">
        <v>15.143468950749465</v>
      </c>
      <c r="BA92" s="106">
        <v>21515.840685224841</v>
      </c>
      <c r="BB92" s="106">
        <v>9.4329268292682933</v>
      </c>
      <c r="BC92" s="106">
        <v>13402.30243902439</v>
      </c>
      <c r="BD92" s="106">
        <v>8.6666666666666661</v>
      </c>
      <c r="BE92" s="106">
        <v>12313.599999999999</v>
      </c>
      <c r="BF92" s="106">
        <v>9.4407766990291258</v>
      </c>
      <c r="BG92" s="106">
        <v>13413.455533980581</v>
      </c>
      <c r="BH92" s="106">
        <v>0</v>
      </c>
      <c r="BI92" s="106">
        <v>0</v>
      </c>
      <c r="BJ92" s="106">
        <v>7.2147766323024056</v>
      </c>
      <c r="BK92" s="106">
        <v>10250.754639175258</v>
      </c>
      <c r="BL92" s="106">
        <v>0</v>
      </c>
      <c r="BM92" s="106">
        <v>0</v>
      </c>
      <c r="BN92" s="106">
        <v>5.7777777777777777</v>
      </c>
      <c r="BO92" s="106">
        <v>8209.0666666666657</v>
      </c>
      <c r="BP92" s="106">
        <v>17.844720496894411</v>
      </c>
      <c r="BQ92" s="106">
        <v>25353.778881987579</v>
      </c>
      <c r="BR92" s="106">
        <v>0</v>
      </c>
      <c r="BS92" s="106">
        <v>0</v>
      </c>
      <c r="BT92" s="106">
        <v>28.13160733549083</v>
      </c>
      <c r="BU92" s="106">
        <v>39969.387702265369</v>
      </c>
      <c r="BV92" s="106">
        <v>11.460861056751467</v>
      </c>
      <c r="BW92" s="106">
        <v>16283.591389432484</v>
      </c>
      <c r="BX92" s="106">
        <v>2.7241910631741142</v>
      </c>
      <c r="BY92" s="106">
        <v>3870.5306625577814</v>
      </c>
      <c r="BZ92" s="106">
        <v>2.3444130127298446</v>
      </c>
      <c r="CA92" s="106">
        <v>3330.9420084865633</v>
      </c>
      <c r="CB92" s="106">
        <v>0</v>
      </c>
      <c r="CC92" s="106">
        <v>0</v>
      </c>
      <c r="CD92" s="106">
        <v>0</v>
      </c>
      <c r="CE92" s="106">
        <v>0</v>
      </c>
      <c r="CF92" s="106">
        <v>28.074918566775246</v>
      </c>
      <c r="CG92" s="106">
        <v>39888.844299674267</v>
      </c>
      <c r="CH92" s="106">
        <v>0</v>
      </c>
      <c r="CI92" s="106">
        <v>0</v>
      </c>
      <c r="CJ92" s="106">
        <v>27.12106135986733</v>
      </c>
      <c r="CK92" s="106">
        <v>38533.603980099499</v>
      </c>
      <c r="CL92" s="106">
        <v>12.277777777777777</v>
      </c>
      <c r="CM92" s="106">
        <v>17444.266666666666</v>
      </c>
      <c r="CN92" s="106">
        <v>0</v>
      </c>
      <c r="CO92" s="106">
        <v>0</v>
      </c>
      <c r="CP92" s="106">
        <v>0</v>
      </c>
      <c r="CQ92" s="106">
        <v>0</v>
      </c>
      <c r="CR92" s="106">
        <v>10.279069767441861</v>
      </c>
      <c r="CS92" s="106">
        <v>14604.502325581396</v>
      </c>
      <c r="CT92" s="106">
        <v>0</v>
      </c>
      <c r="CU92" s="106">
        <v>0</v>
      </c>
    </row>
    <row r="93" spans="2:99" x14ac:dyDescent="0.2">
      <c r="C93" s="105" t="s">
        <v>259</v>
      </c>
      <c r="D93" s="106">
        <v>0</v>
      </c>
      <c r="E93" s="106">
        <v>0</v>
      </c>
      <c r="F93" s="106">
        <v>0</v>
      </c>
      <c r="G93" s="106">
        <v>0</v>
      </c>
      <c r="H93" s="106">
        <v>2.096774193548387</v>
      </c>
      <c r="I93" s="106">
        <v>3716.322580645161</v>
      </c>
      <c r="J93" s="106">
        <v>3.2718707940780618</v>
      </c>
      <c r="K93" s="106">
        <v>5799.0637954239564</v>
      </c>
      <c r="L93" s="106">
        <v>4.9397473275024302</v>
      </c>
      <c r="M93" s="106">
        <v>8755.2081632653062</v>
      </c>
      <c r="N93" s="106">
        <v>0</v>
      </c>
      <c r="O93" s="106">
        <v>0</v>
      </c>
      <c r="P93" s="106">
        <v>0</v>
      </c>
      <c r="Q93" s="106">
        <v>0</v>
      </c>
      <c r="R93" s="106">
        <v>12.932079414838036</v>
      </c>
      <c r="S93" s="106">
        <v>22920.817554858932</v>
      </c>
      <c r="T93" s="106">
        <v>0</v>
      </c>
      <c r="U93" s="106">
        <v>0</v>
      </c>
      <c r="V93" s="106">
        <v>13.488262910798122</v>
      </c>
      <c r="W93" s="106">
        <v>23906.597183098591</v>
      </c>
      <c r="X93" s="106">
        <v>0</v>
      </c>
      <c r="Y93" s="106">
        <v>0</v>
      </c>
      <c r="Z93" s="106">
        <v>18.268656716417912</v>
      </c>
      <c r="AA93" s="106">
        <v>32379.367164179104</v>
      </c>
      <c r="AB93" s="106">
        <v>10.122137404580153</v>
      </c>
      <c r="AC93" s="106">
        <v>17940.476335877862</v>
      </c>
      <c r="AD93" s="106">
        <v>0</v>
      </c>
      <c r="AE93" s="106">
        <v>0</v>
      </c>
      <c r="AF93" s="106">
        <v>12.78512396694215</v>
      </c>
      <c r="AG93" s="106">
        <v>22660.353719008264</v>
      </c>
      <c r="AH93" s="106">
        <v>7.4102564102564097</v>
      </c>
      <c r="AI93" s="106">
        <v>13133.938461538459</v>
      </c>
      <c r="AJ93" s="106">
        <v>14.844843897824031</v>
      </c>
      <c r="AK93" s="106">
        <v>26311.001324503311</v>
      </c>
      <c r="AL93" s="106">
        <v>9.7745415318230844</v>
      </c>
      <c r="AM93" s="106">
        <v>17324.397411003232</v>
      </c>
      <c r="AN93" s="106">
        <v>13.622060016220601</v>
      </c>
      <c r="AO93" s="106">
        <v>24143.739172749392</v>
      </c>
      <c r="AP93" s="106">
        <v>0</v>
      </c>
      <c r="AQ93" s="106">
        <v>0</v>
      </c>
      <c r="AR93" s="106">
        <v>0</v>
      </c>
      <c r="AS93" s="106">
        <v>0</v>
      </c>
      <c r="AT93" s="106">
        <v>3.1148696264975335</v>
      </c>
      <c r="AU93" s="106">
        <v>5520.7949260042278</v>
      </c>
      <c r="AV93" s="106">
        <v>1.2243767313019391</v>
      </c>
      <c r="AW93" s="106">
        <v>2170.085318559557</v>
      </c>
      <c r="AX93" s="106">
        <v>0</v>
      </c>
      <c r="AY93" s="106">
        <v>0</v>
      </c>
      <c r="AZ93" s="106">
        <v>15.143468950749465</v>
      </c>
      <c r="BA93" s="106">
        <v>26840.284368308352</v>
      </c>
      <c r="BB93" s="106">
        <v>9.4329268292682933</v>
      </c>
      <c r="BC93" s="106">
        <v>16718.919512195123</v>
      </c>
      <c r="BD93" s="106">
        <v>7.8</v>
      </c>
      <c r="BE93" s="106">
        <v>13824.72</v>
      </c>
      <c r="BF93" s="106">
        <v>10.299029126213593</v>
      </c>
      <c r="BG93" s="106">
        <v>18253.999223300973</v>
      </c>
      <c r="BH93" s="106">
        <v>0</v>
      </c>
      <c r="BI93" s="106">
        <v>0</v>
      </c>
      <c r="BJ93" s="106">
        <v>6.4553264604810998</v>
      </c>
      <c r="BK93" s="106">
        <v>11441.4206185567</v>
      </c>
      <c r="BL93" s="106">
        <v>0</v>
      </c>
      <c r="BM93" s="106">
        <v>0</v>
      </c>
      <c r="BN93" s="106">
        <v>5.5714285714285712</v>
      </c>
      <c r="BO93" s="106">
        <v>9874.7999999999993</v>
      </c>
      <c r="BP93" s="106">
        <v>17.844720496894411</v>
      </c>
      <c r="BQ93" s="106">
        <v>31627.982608695653</v>
      </c>
      <c r="BR93" s="106">
        <v>0</v>
      </c>
      <c r="BS93" s="106">
        <v>0</v>
      </c>
      <c r="BT93" s="106">
        <v>26.701186623516723</v>
      </c>
      <c r="BU93" s="106">
        <v>47325.183171521036</v>
      </c>
      <c r="BV93" s="106">
        <v>9.5146771037181992</v>
      </c>
      <c r="BW93" s="106">
        <v>16863.813698630136</v>
      </c>
      <c r="BX93" s="106">
        <v>2.5539291217257318</v>
      </c>
      <c r="BY93" s="106">
        <v>4526.5839753466871</v>
      </c>
      <c r="BZ93" s="106">
        <v>2.1881188118811883</v>
      </c>
      <c r="CA93" s="106">
        <v>3878.2217821782178</v>
      </c>
      <c r="CB93" s="106">
        <v>0</v>
      </c>
      <c r="CC93" s="106">
        <v>0</v>
      </c>
      <c r="CD93" s="106">
        <v>0</v>
      </c>
      <c r="CE93" s="106">
        <v>0</v>
      </c>
      <c r="CF93" s="106">
        <v>24.475570032573287</v>
      </c>
      <c r="CG93" s="106">
        <v>43380.500325732894</v>
      </c>
      <c r="CH93" s="106">
        <v>0</v>
      </c>
      <c r="CI93" s="106">
        <v>0</v>
      </c>
      <c r="CJ93" s="106">
        <v>24.189054726368159</v>
      </c>
      <c r="CK93" s="106">
        <v>42872.680597014922</v>
      </c>
      <c r="CL93" s="106">
        <v>11.40079365079365</v>
      </c>
      <c r="CM93" s="106">
        <v>20206.766666666663</v>
      </c>
      <c r="CN93" s="106">
        <v>0</v>
      </c>
      <c r="CO93" s="106">
        <v>0</v>
      </c>
      <c r="CP93" s="106">
        <v>0</v>
      </c>
      <c r="CQ93" s="106">
        <v>0</v>
      </c>
      <c r="CR93" s="106">
        <v>8.5658914728682163</v>
      </c>
      <c r="CS93" s="106">
        <v>15182.186046511626</v>
      </c>
      <c r="CT93" s="106">
        <v>0</v>
      </c>
      <c r="CU93" s="106">
        <v>0</v>
      </c>
    </row>
    <row r="94" spans="2:99" x14ac:dyDescent="0.2">
      <c r="C94" s="105" t="s">
        <v>260</v>
      </c>
      <c r="D94" s="106">
        <v>0</v>
      </c>
      <c r="E94" s="106">
        <v>0</v>
      </c>
      <c r="F94" s="106">
        <v>0</v>
      </c>
      <c r="G94" s="106">
        <v>0</v>
      </c>
      <c r="H94" s="106">
        <v>2.096774193548387</v>
      </c>
      <c r="I94" s="106">
        <v>5022.1935483870966</v>
      </c>
      <c r="J94" s="106">
        <v>3.2718707940780618</v>
      </c>
      <c r="K94" s="106">
        <v>7836.7849259757731</v>
      </c>
      <c r="L94" s="106">
        <v>5.1545189504373177</v>
      </c>
      <c r="M94" s="106">
        <v>12346.103790087462</v>
      </c>
      <c r="N94" s="106">
        <v>0</v>
      </c>
      <c r="O94" s="106">
        <v>0</v>
      </c>
      <c r="P94" s="106">
        <v>0</v>
      </c>
      <c r="Q94" s="106">
        <v>0</v>
      </c>
      <c r="R94" s="106">
        <v>10.622779519331242</v>
      </c>
      <c r="S94" s="106">
        <v>25443.681504702188</v>
      </c>
      <c r="T94" s="106">
        <v>0</v>
      </c>
      <c r="U94" s="106">
        <v>0</v>
      </c>
      <c r="V94" s="106">
        <v>12.796557120500783</v>
      </c>
      <c r="W94" s="106">
        <v>30650.313615023471</v>
      </c>
      <c r="X94" s="106">
        <v>0</v>
      </c>
      <c r="Y94" s="106">
        <v>0</v>
      </c>
      <c r="Z94" s="106">
        <v>16.492537313432834</v>
      </c>
      <c r="AA94" s="106">
        <v>39502.92537313432</v>
      </c>
      <c r="AB94" s="106">
        <v>8.435114503816795</v>
      </c>
      <c r="AC94" s="106">
        <v>20203.786259541987</v>
      </c>
      <c r="AD94" s="106">
        <v>0</v>
      </c>
      <c r="AE94" s="106">
        <v>0</v>
      </c>
      <c r="AF94" s="106">
        <v>11.871900826446282</v>
      </c>
      <c r="AG94" s="106">
        <v>28435.576859504134</v>
      </c>
      <c r="AH94" s="106">
        <v>6.1025641025641022</v>
      </c>
      <c r="AI94" s="106">
        <v>14616.861538461537</v>
      </c>
      <c r="AJ94" s="106">
        <v>16.099337748344372</v>
      </c>
      <c r="AK94" s="106">
        <v>38561.133774834438</v>
      </c>
      <c r="AL94" s="106">
        <v>8.3441208198489747</v>
      </c>
      <c r="AM94" s="106">
        <v>19985.838187702262</v>
      </c>
      <c r="AN94" s="106">
        <v>11.650446066504461</v>
      </c>
      <c r="AO94" s="106">
        <v>27905.148418491484</v>
      </c>
      <c r="AP94" s="106">
        <v>0</v>
      </c>
      <c r="AQ94" s="106">
        <v>0</v>
      </c>
      <c r="AR94" s="106">
        <v>0</v>
      </c>
      <c r="AS94" s="106">
        <v>0</v>
      </c>
      <c r="AT94" s="106">
        <v>2.4918957011980267</v>
      </c>
      <c r="AU94" s="106">
        <v>5968.5885835095132</v>
      </c>
      <c r="AV94" s="106">
        <v>0.97950138504155138</v>
      </c>
      <c r="AW94" s="106">
        <v>2346.1017174515237</v>
      </c>
      <c r="AX94" s="106">
        <v>0</v>
      </c>
      <c r="AY94" s="106">
        <v>0</v>
      </c>
      <c r="AZ94" s="106">
        <v>15.143468950749465</v>
      </c>
      <c r="BA94" s="106">
        <v>36271.636830835116</v>
      </c>
      <c r="BB94" s="106">
        <v>8.9837398373983746</v>
      </c>
      <c r="BC94" s="106">
        <v>21517.853658536584</v>
      </c>
      <c r="BD94" s="106">
        <v>8.2333333333333325</v>
      </c>
      <c r="BE94" s="106">
        <v>19720.479999999996</v>
      </c>
      <c r="BF94" s="106">
        <v>8.5825242718446599</v>
      </c>
      <c r="BG94" s="106">
        <v>20556.862135922329</v>
      </c>
      <c r="BH94" s="106">
        <v>0</v>
      </c>
      <c r="BI94" s="106">
        <v>0</v>
      </c>
      <c r="BJ94" s="106">
        <v>6.4553264604810998</v>
      </c>
      <c r="BK94" s="106">
        <v>15461.797938144329</v>
      </c>
      <c r="BL94" s="106">
        <v>0</v>
      </c>
      <c r="BM94" s="106">
        <v>0</v>
      </c>
      <c r="BN94" s="106">
        <v>5.1587301587301591</v>
      </c>
      <c r="BO94" s="106">
        <v>12356.190476190475</v>
      </c>
      <c r="BP94" s="106">
        <v>14.641821946169774</v>
      </c>
      <c r="BQ94" s="106">
        <v>35070.091925465837</v>
      </c>
      <c r="BR94" s="106">
        <v>0</v>
      </c>
      <c r="BS94" s="106">
        <v>0</v>
      </c>
      <c r="BT94" s="106">
        <v>23.840345199568503</v>
      </c>
      <c r="BU94" s="106">
        <v>57102.394822006478</v>
      </c>
      <c r="BV94" s="106">
        <v>10.379647749510763</v>
      </c>
      <c r="BW94" s="106">
        <v>24861.332289628179</v>
      </c>
      <c r="BX94" s="106">
        <v>2.2134052388289676</v>
      </c>
      <c r="BY94" s="106">
        <v>5301.5482280431424</v>
      </c>
      <c r="BZ94" s="106">
        <v>2.031824611032532</v>
      </c>
      <c r="CA94" s="106">
        <v>4866.6263083451204</v>
      </c>
      <c r="CB94" s="106">
        <v>0</v>
      </c>
      <c r="CC94" s="106">
        <v>0</v>
      </c>
      <c r="CD94" s="106">
        <v>0</v>
      </c>
      <c r="CE94" s="106">
        <v>0</v>
      </c>
      <c r="CF94" s="106">
        <v>20.876221498371336</v>
      </c>
      <c r="CG94" s="106">
        <v>50002.725732899024</v>
      </c>
      <c r="CH94" s="106">
        <v>0</v>
      </c>
      <c r="CI94" s="106">
        <v>0</v>
      </c>
      <c r="CJ94" s="106">
        <v>21.257048092868988</v>
      </c>
      <c r="CK94" s="106">
        <v>50914.881592039797</v>
      </c>
      <c r="CL94" s="106">
        <v>12.277777777777777</v>
      </c>
      <c r="CM94" s="106">
        <v>29407.73333333333</v>
      </c>
      <c r="CN94" s="106">
        <v>0</v>
      </c>
      <c r="CO94" s="106">
        <v>0</v>
      </c>
      <c r="CP94" s="106">
        <v>0</v>
      </c>
      <c r="CQ94" s="106">
        <v>0</v>
      </c>
      <c r="CR94" s="106">
        <v>9.4224806201550386</v>
      </c>
      <c r="CS94" s="106">
        <v>22568.725581395345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261</v>
      </c>
      <c r="D95" s="106">
        <v>0</v>
      </c>
      <c r="E95" s="106">
        <v>0</v>
      </c>
      <c r="F95" s="106">
        <v>0</v>
      </c>
      <c r="G95" s="106">
        <v>0</v>
      </c>
      <c r="H95" s="106">
        <v>11.112903225806452</v>
      </c>
      <c r="I95" s="106">
        <v>19256.438709677419</v>
      </c>
      <c r="J95" s="106">
        <v>7.1386271870794076</v>
      </c>
      <c r="K95" s="106">
        <v>12369.813189771197</v>
      </c>
      <c r="L95" s="106">
        <v>6.2283770651117587</v>
      </c>
      <c r="M95" s="106">
        <v>10792.531778425655</v>
      </c>
      <c r="N95" s="106">
        <v>0</v>
      </c>
      <c r="O95" s="106">
        <v>0</v>
      </c>
      <c r="P95" s="106">
        <v>0</v>
      </c>
      <c r="Q95" s="106">
        <v>0</v>
      </c>
      <c r="R95" s="106">
        <v>12.932079414838036</v>
      </c>
      <c r="S95" s="106">
        <v>22408.707210031349</v>
      </c>
      <c r="T95" s="106">
        <v>0</v>
      </c>
      <c r="U95" s="106">
        <v>0</v>
      </c>
      <c r="V95" s="106">
        <v>22.480438184663537</v>
      </c>
      <c r="W95" s="106">
        <v>38954.103286384976</v>
      </c>
      <c r="X95" s="106">
        <v>0</v>
      </c>
      <c r="Y95" s="106">
        <v>0</v>
      </c>
      <c r="Z95" s="106">
        <v>18.522388059701491</v>
      </c>
      <c r="AA95" s="106">
        <v>32095.594029850745</v>
      </c>
      <c r="AB95" s="106">
        <v>2.9522900763358777</v>
      </c>
      <c r="AC95" s="106">
        <v>5115.7282442748092</v>
      </c>
      <c r="AD95" s="106">
        <v>0</v>
      </c>
      <c r="AE95" s="106">
        <v>0</v>
      </c>
      <c r="AF95" s="106">
        <v>10.958677685950413</v>
      </c>
      <c r="AG95" s="106">
        <v>18989.196694214876</v>
      </c>
      <c r="AH95" s="106">
        <v>3.9230769230769234</v>
      </c>
      <c r="AI95" s="106">
        <v>6797.9076923076927</v>
      </c>
      <c r="AJ95" s="106">
        <v>4.1816461684011355</v>
      </c>
      <c r="AK95" s="106">
        <v>7245.9564806054877</v>
      </c>
      <c r="AL95" s="106">
        <v>9.0593311758360304</v>
      </c>
      <c r="AM95" s="106">
        <v>15698.009061488674</v>
      </c>
      <c r="AN95" s="106">
        <v>6.6317923763179234</v>
      </c>
      <c r="AO95" s="106">
        <v>11491.569829683698</v>
      </c>
      <c r="AP95" s="106">
        <v>0</v>
      </c>
      <c r="AQ95" s="106">
        <v>0</v>
      </c>
      <c r="AR95" s="106">
        <v>0</v>
      </c>
      <c r="AS95" s="106">
        <v>0</v>
      </c>
      <c r="AT95" s="106">
        <v>10.279069767441861</v>
      </c>
      <c r="AU95" s="106">
        <v>17811.572093023256</v>
      </c>
      <c r="AV95" s="106">
        <v>3.6731301939058172</v>
      </c>
      <c r="AW95" s="106">
        <v>6364.8</v>
      </c>
      <c r="AX95" s="106">
        <v>0</v>
      </c>
      <c r="AY95" s="106">
        <v>0</v>
      </c>
      <c r="AZ95" s="106">
        <v>13.250535331905782</v>
      </c>
      <c r="BA95" s="106">
        <v>22960.527623126338</v>
      </c>
      <c r="BB95" s="106">
        <v>6.73780487804878</v>
      </c>
      <c r="BC95" s="106">
        <v>11675.268292682926</v>
      </c>
      <c r="BD95" s="106">
        <v>7.3666666666666663</v>
      </c>
      <c r="BE95" s="106">
        <v>12764.96</v>
      </c>
      <c r="BF95" s="106">
        <v>5.5786407766990287</v>
      </c>
      <c r="BG95" s="106">
        <v>9666.6687378640763</v>
      </c>
      <c r="BH95" s="106">
        <v>0</v>
      </c>
      <c r="BI95" s="106">
        <v>0</v>
      </c>
      <c r="BJ95" s="106">
        <v>8.353951890034363</v>
      </c>
      <c r="BK95" s="106">
        <v>14475.727835051544</v>
      </c>
      <c r="BL95" s="106">
        <v>0</v>
      </c>
      <c r="BM95" s="106">
        <v>0</v>
      </c>
      <c r="BN95" s="106">
        <v>4.333333333333333</v>
      </c>
      <c r="BO95" s="106">
        <v>7508.7999999999993</v>
      </c>
      <c r="BP95" s="106">
        <v>20.132505175983436</v>
      </c>
      <c r="BQ95" s="106">
        <v>34885.604968944099</v>
      </c>
      <c r="BR95" s="106">
        <v>0</v>
      </c>
      <c r="BS95" s="106">
        <v>0</v>
      </c>
      <c r="BT95" s="106">
        <v>12.873786407766991</v>
      </c>
      <c r="BU95" s="106">
        <v>22307.697087378641</v>
      </c>
      <c r="BV95" s="106">
        <v>8.8659491193737772</v>
      </c>
      <c r="BW95" s="106">
        <v>15362.91663405088</v>
      </c>
      <c r="BX95" s="106">
        <v>13.110169491525424</v>
      </c>
      <c r="BY95" s="106">
        <v>22717.301694915255</v>
      </c>
      <c r="BZ95" s="106">
        <v>13.285007072135786</v>
      </c>
      <c r="CA95" s="106">
        <v>23020.260254596888</v>
      </c>
      <c r="CB95" s="106">
        <v>0</v>
      </c>
      <c r="CC95" s="106">
        <v>0</v>
      </c>
      <c r="CD95" s="106">
        <v>0</v>
      </c>
      <c r="CE95" s="106">
        <v>0</v>
      </c>
      <c r="CF95" s="106">
        <v>7.1986970684039093</v>
      </c>
      <c r="CG95" s="106">
        <v>12473.902280130294</v>
      </c>
      <c r="CH95" s="106">
        <v>0</v>
      </c>
      <c r="CI95" s="106">
        <v>0</v>
      </c>
      <c r="CJ95" s="106">
        <v>10.262023217247098</v>
      </c>
      <c r="CK95" s="106">
        <v>17782.033830845772</v>
      </c>
      <c r="CL95" s="106">
        <v>3.9464285714285712</v>
      </c>
      <c r="CM95" s="106">
        <v>6838.3714285714277</v>
      </c>
      <c r="CN95" s="106">
        <v>0</v>
      </c>
      <c r="CO95" s="106">
        <v>0</v>
      </c>
      <c r="CP95" s="106">
        <v>0</v>
      </c>
      <c r="CQ95" s="106">
        <v>0</v>
      </c>
      <c r="CR95" s="106">
        <v>26.554263565891471</v>
      </c>
      <c r="CS95" s="106">
        <v>46013.227906976739</v>
      </c>
      <c r="CT95" s="106">
        <v>0</v>
      </c>
      <c r="CU95" s="106">
        <v>0</v>
      </c>
    </row>
    <row r="96" spans="2:99" x14ac:dyDescent="0.2">
      <c r="C96" s="105" t="s">
        <v>262</v>
      </c>
      <c r="D96" s="106">
        <v>0</v>
      </c>
      <c r="E96" s="106">
        <v>0</v>
      </c>
      <c r="F96" s="106">
        <v>0</v>
      </c>
      <c r="G96" s="106">
        <v>0</v>
      </c>
      <c r="H96" s="106">
        <v>11.32258064516129</v>
      </c>
      <c r="I96" s="106">
        <v>9320.7483870967735</v>
      </c>
      <c r="J96" s="106">
        <v>9.2207267833109015</v>
      </c>
      <c r="K96" s="106">
        <v>7590.5022880215338</v>
      </c>
      <c r="L96" s="106">
        <v>8.1613216715257533</v>
      </c>
      <c r="M96" s="106">
        <v>6718.4</v>
      </c>
      <c r="N96" s="106">
        <v>0</v>
      </c>
      <c r="O96" s="106">
        <v>0</v>
      </c>
      <c r="P96" s="106">
        <v>0</v>
      </c>
      <c r="Q96" s="106">
        <v>0</v>
      </c>
      <c r="R96" s="106">
        <v>12.932079414838036</v>
      </c>
      <c r="S96" s="106">
        <v>10645.687774294671</v>
      </c>
      <c r="T96" s="106">
        <v>0</v>
      </c>
      <c r="U96" s="106">
        <v>0</v>
      </c>
      <c r="V96" s="106">
        <v>23.517996870109545</v>
      </c>
      <c r="W96" s="106">
        <v>19360.015023474178</v>
      </c>
      <c r="X96" s="106">
        <v>0</v>
      </c>
      <c r="Y96" s="106">
        <v>0</v>
      </c>
      <c r="Z96" s="106">
        <v>23.089552238805968</v>
      </c>
      <c r="AA96" s="106">
        <v>19007.319402985071</v>
      </c>
      <c r="AB96" s="106">
        <v>3.3740458015267176</v>
      </c>
      <c r="AC96" s="106">
        <v>2777.5145038167939</v>
      </c>
      <c r="AD96" s="106">
        <v>0</v>
      </c>
      <c r="AE96" s="106">
        <v>0</v>
      </c>
      <c r="AF96" s="106">
        <v>12.78512396694215</v>
      </c>
      <c r="AG96" s="106">
        <v>10524.714049586777</v>
      </c>
      <c r="AH96" s="106">
        <v>4.3589743589743586</v>
      </c>
      <c r="AI96" s="106">
        <v>3588.3076923076915</v>
      </c>
      <c r="AJ96" s="106">
        <v>5.0179754020813627</v>
      </c>
      <c r="AK96" s="106">
        <v>4130.7973509933772</v>
      </c>
      <c r="AL96" s="106">
        <v>9.2977346278317157</v>
      </c>
      <c r="AM96" s="106">
        <v>7653.8951456310679</v>
      </c>
      <c r="AN96" s="106">
        <v>6.8110300081103006</v>
      </c>
      <c r="AO96" s="106">
        <v>5606.8399026763991</v>
      </c>
      <c r="AP96" s="106">
        <v>0</v>
      </c>
      <c r="AQ96" s="106">
        <v>0</v>
      </c>
      <c r="AR96" s="106">
        <v>0</v>
      </c>
      <c r="AS96" s="106">
        <v>0</v>
      </c>
      <c r="AT96" s="106">
        <v>11.836504580690628</v>
      </c>
      <c r="AU96" s="106">
        <v>9743.8105708245239</v>
      </c>
      <c r="AV96" s="106">
        <v>4.2853185595567869</v>
      </c>
      <c r="AW96" s="106">
        <v>3527.6742382271468</v>
      </c>
      <c r="AX96" s="106">
        <v>0</v>
      </c>
      <c r="AY96" s="106">
        <v>0</v>
      </c>
      <c r="AZ96" s="106">
        <v>13.250535331905782</v>
      </c>
      <c r="BA96" s="106">
        <v>10907.840685224839</v>
      </c>
      <c r="BB96" s="106">
        <v>8.0853658536585353</v>
      </c>
      <c r="BC96" s="106">
        <v>6655.8731707317056</v>
      </c>
      <c r="BD96" s="106">
        <v>6.9333333333333336</v>
      </c>
      <c r="BE96" s="106">
        <v>5707.5199999999995</v>
      </c>
      <c r="BF96" s="106">
        <v>5.5786407766990287</v>
      </c>
      <c r="BG96" s="106">
        <v>4592.3370873786398</v>
      </c>
      <c r="BH96" s="106">
        <v>0</v>
      </c>
      <c r="BI96" s="106">
        <v>0</v>
      </c>
      <c r="BJ96" s="106">
        <v>8.353951890034363</v>
      </c>
      <c r="BK96" s="106">
        <v>6876.9731958762868</v>
      </c>
      <c r="BL96" s="106">
        <v>0</v>
      </c>
      <c r="BM96" s="106">
        <v>0</v>
      </c>
      <c r="BN96" s="106">
        <v>4.9523809523809526</v>
      </c>
      <c r="BO96" s="106">
        <v>4076.7999999999997</v>
      </c>
      <c r="BP96" s="106">
        <v>23.335403726708076</v>
      </c>
      <c r="BQ96" s="106">
        <v>19209.704347826086</v>
      </c>
      <c r="BR96" s="106">
        <v>0</v>
      </c>
      <c r="BS96" s="106">
        <v>0</v>
      </c>
      <c r="BT96" s="106">
        <v>14.781014023732471</v>
      </c>
      <c r="BU96" s="106">
        <v>12167.73074433657</v>
      </c>
      <c r="BV96" s="106">
        <v>10.163405088062621</v>
      </c>
      <c r="BW96" s="106">
        <v>8366.5150684931486</v>
      </c>
      <c r="BX96" s="106">
        <v>14.302003081664099</v>
      </c>
      <c r="BY96" s="106">
        <v>11773.408936825885</v>
      </c>
      <c r="BZ96" s="106">
        <v>15.785714285714285</v>
      </c>
      <c r="CA96" s="106">
        <v>12994.799999999997</v>
      </c>
      <c r="CB96" s="106">
        <v>0</v>
      </c>
      <c r="CC96" s="106">
        <v>0</v>
      </c>
      <c r="CD96" s="106">
        <v>0</v>
      </c>
      <c r="CE96" s="106">
        <v>0</v>
      </c>
      <c r="CF96" s="106">
        <v>7.9185667752443001</v>
      </c>
      <c r="CG96" s="106">
        <v>6518.5641693811076</v>
      </c>
      <c r="CH96" s="106">
        <v>0</v>
      </c>
      <c r="CI96" s="106">
        <v>0</v>
      </c>
      <c r="CJ96" s="106">
        <v>10.262023217247098</v>
      </c>
      <c r="CK96" s="106">
        <v>8447.6975124378096</v>
      </c>
      <c r="CL96" s="106">
        <v>3.9464285714285712</v>
      </c>
      <c r="CM96" s="106">
        <v>3248.6999999999994</v>
      </c>
      <c r="CN96" s="106">
        <v>0</v>
      </c>
      <c r="CO96" s="106">
        <v>0</v>
      </c>
      <c r="CP96" s="106">
        <v>0</v>
      </c>
      <c r="CQ96" s="106">
        <v>0</v>
      </c>
      <c r="CR96" s="106">
        <v>27.410852713178297</v>
      </c>
      <c r="CS96" s="106">
        <v>22564.613953488373</v>
      </c>
      <c r="CT96" s="106">
        <v>0</v>
      </c>
      <c r="CU96" s="106">
        <v>0</v>
      </c>
    </row>
    <row r="97" spans="2:99" x14ac:dyDescent="0.2">
      <c r="C97" s="105" t="s">
        <v>263</v>
      </c>
      <c r="D97" s="106">
        <v>0</v>
      </c>
      <c r="E97" s="106">
        <v>0</v>
      </c>
      <c r="F97" s="106">
        <v>0</v>
      </c>
      <c r="G97" s="106">
        <v>0</v>
      </c>
      <c r="H97" s="106">
        <v>10.064516129032258</v>
      </c>
      <c r="I97" s="106">
        <v>18405.987096774192</v>
      </c>
      <c r="J97" s="106">
        <v>7.7335127860026907</v>
      </c>
      <c r="K97" s="106">
        <v>14143.048183041721</v>
      </c>
      <c r="L97" s="106">
        <v>7.3022351797861997</v>
      </c>
      <c r="M97" s="106">
        <v>13354.327696793001</v>
      </c>
      <c r="N97" s="106">
        <v>0</v>
      </c>
      <c r="O97" s="106">
        <v>0</v>
      </c>
      <c r="P97" s="106">
        <v>0</v>
      </c>
      <c r="Q97" s="106">
        <v>0</v>
      </c>
      <c r="R97" s="106">
        <v>12.932079414838036</v>
      </c>
      <c r="S97" s="106">
        <v>23650.186833855798</v>
      </c>
      <c r="T97" s="106">
        <v>0</v>
      </c>
      <c r="U97" s="106">
        <v>0</v>
      </c>
      <c r="V97" s="106">
        <v>22.480438184663537</v>
      </c>
      <c r="W97" s="106">
        <v>41112.225352112677</v>
      </c>
      <c r="X97" s="106">
        <v>0</v>
      </c>
      <c r="Y97" s="106">
        <v>0</v>
      </c>
      <c r="Z97" s="106">
        <v>20.805970149253731</v>
      </c>
      <c r="AA97" s="106">
        <v>38049.95820895522</v>
      </c>
      <c r="AB97" s="106">
        <v>2.9522900763358777</v>
      </c>
      <c r="AC97" s="106">
        <v>5399.1480916030532</v>
      </c>
      <c r="AD97" s="106">
        <v>0</v>
      </c>
      <c r="AE97" s="106">
        <v>0</v>
      </c>
      <c r="AF97" s="106">
        <v>10.958677685950413</v>
      </c>
      <c r="AG97" s="106">
        <v>20041.229752066116</v>
      </c>
      <c r="AH97" s="106">
        <v>4.3589743589743586</v>
      </c>
      <c r="AI97" s="106">
        <v>7971.6923076923067</v>
      </c>
      <c r="AJ97" s="106">
        <v>3.9725638599810784</v>
      </c>
      <c r="AK97" s="106">
        <v>7265.0247871333959</v>
      </c>
      <c r="AL97" s="106">
        <v>7.6289104638619198</v>
      </c>
      <c r="AM97" s="106">
        <v>13951.751456310678</v>
      </c>
      <c r="AN97" s="106">
        <v>6.6317923763179234</v>
      </c>
      <c r="AO97" s="106">
        <v>12128.221897810217</v>
      </c>
      <c r="AP97" s="106">
        <v>0</v>
      </c>
      <c r="AQ97" s="106">
        <v>0</v>
      </c>
      <c r="AR97" s="106">
        <v>0</v>
      </c>
      <c r="AS97" s="106">
        <v>0</v>
      </c>
      <c r="AT97" s="106">
        <v>10.279069767441861</v>
      </c>
      <c r="AU97" s="106">
        <v>18798.362790697676</v>
      </c>
      <c r="AV97" s="106">
        <v>3.7955678670360111</v>
      </c>
      <c r="AW97" s="106">
        <v>6941.3345152354568</v>
      </c>
      <c r="AX97" s="106">
        <v>0</v>
      </c>
      <c r="AY97" s="106">
        <v>0</v>
      </c>
      <c r="AZ97" s="106">
        <v>14.197002141327623</v>
      </c>
      <c r="BA97" s="106">
        <v>25963.477516059957</v>
      </c>
      <c r="BB97" s="106">
        <v>7.6361788617886184</v>
      </c>
      <c r="BC97" s="106">
        <v>13965.043902439025</v>
      </c>
      <c r="BD97" s="106">
        <v>7.3666666666666663</v>
      </c>
      <c r="BE97" s="106">
        <v>13472.159999999998</v>
      </c>
      <c r="BF97" s="106">
        <v>5.5786407766990287</v>
      </c>
      <c r="BG97" s="106">
        <v>10202.218252427183</v>
      </c>
      <c r="BH97" s="106">
        <v>0</v>
      </c>
      <c r="BI97" s="106">
        <v>0</v>
      </c>
      <c r="BJ97" s="106">
        <v>7.9742268041237105</v>
      </c>
      <c r="BK97" s="106">
        <v>14583.265979381442</v>
      </c>
      <c r="BL97" s="106">
        <v>0</v>
      </c>
      <c r="BM97" s="106">
        <v>0</v>
      </c>
      <c r="BN97" s="106">
        <v>3.9206349206349205</v>
      </c>
      <c r="BO97" s="106">
        <v>7170.057142857142</v>
      </c>
      <c r="BP97" s="106">
        <v>21.962732919254655</v>
      </c>
      <c r="BQ97" s="106">
        <v>40165.445962732912</v>
      </c>
      <c r="BR97" s="106">
        <v>0</v>
      </c>
      <c r="BS97" s="106">
        <v>0</v>
      </c>
      <c r="BT97" s="106">
        <v>14.781014023732471</v>
      </c>
      <c r="BU97" s="106">
        <v>27031.518446601942</v>
      </c>
      <c r="BV97" s="106">
        <v>8.0009784735812133</v>
      </c>
      <c r="BW97" s="106">
        <v>14632.189432485322</v>
      </c>
      <c r="BX97" s="106">
        <v>11.577812018489984</v>
      </c>
      <c r="BY97" s="106">
        <v>21173.502619414485</v>
      </c>
      <c r="BZ97" s="106">
        <v>11.40947666195191</v>
      </c>
      <c r="CA97" s="106">
        <v>20865.650919377651</v>
      </c>
      <c r="CB97" s="106">
        <v>0</v>
      </c>
      <c r="CC97" s="106">
        <v>0</v>
      </c>
      <c r="CD97" s="106">
        <v>0</v>
      </c>
      <c r="CE97" s="106">
        <v>0</v>
      </c>
      <c r="CF97" s="106">
        <v>7.1986970684039093</v>
      </c>
      <c r="CG97" s="106">
        <v>13164.977198697068</v>
      </c>
      <c r="CH97" s="106">
        <v>0</v>
      </c>
      <c r="CI97" s="106">
        <v>0</v>
      </c>
      <c r="CJ97" s="106">
        <v>10.262023217247098</v>
      </c>
      <c r="CK97" s="106">
        <v>18767.188059701493</v>
      </c>
      <c r="CL97" s="106">
        <v>3.9464285714285712</v>
      </c>
      <c r="CM97" s="106">
        <v>7217.2285714285708</v>
      </c>
      <c r="CN97" s="106">
        <v>0</v>
      </c>
      <c r="CO97" s="106">
        <v>0</v>
      </c>
      <c r="CP97" s="106">
        <v>0</v>
      </c>
      <c r="CQ97" s="106">
        <v>0</v>
      </c>
      <c r="CR97" s="106">
        <v>26.554263565891471</v>
      </c>
      <c r="CS97" s="106">
        <v>48562.437209302319</v>
      </c>
      <c r="CT97" s="106">
        <v>0</v>
      </c>
      <c r="CU97" s="106">
        <v>0</v>
      </c>
    </row>
    <row r="98" spans="2:99" x14ac:dyDescent="0.2">
      <c r="C98" s="105" t="s">
        <v>264</v>
      </c>
      <c r="D98" s="106">
        <v>0</v>
      </c>
      <c r="E98" s="106">
        <v>0</v>
      </c>
      <c r="F98" s="106">
        <v>0</v>
      </c>
      <c r="G98" s="106">
        <v>0</v>
      </c>
      <c r="H98" s="106">
        <v>12.370967741935484</v>
      </c>
      <c r="I98" s="106">
        <v>15631.954838709677</v>
      </c>
      <c r="J98" s="106">
        <v>8.3283983849259755</v>
      </c>
      <c r="K98" s="106">
        <v>10523.764199192461</v>
      </c>
      <c r="L98" s="106">
        <v>6.4431486880466471</v>
      </c>
      <c r="M98" s="106">
        <v>8141.5626822157428</v>
      </c>
      <c r="N98" s="106">
        <v>0</v>
      </c>
      <c r="O98" s="106">
        <v>0</v>
      </c>
      <c r="P98" s="106">
        <v>0</v>
      </c>
      <c r="Q98" s="106">
        <v>0</v>
      </c>
      <c r="R98" s="106">
        <v>13.393939393939394</v>
      </c>
      <c r="S98" s="106">
        <v>16924.581818181818</v>
      </c>
      <c r="T98" s="106">
        <v>0</v>
      </c>
      <c r="U98" s="106">
        <v>0</v>
      </c>
      <c r="V98" s="106">
        <v>21.788732394366196</v>
      </c>
      <c r="W98" s="106">
        <v>27532.242253521123</v>
      </c>
      <c r="X98" s="106">
        <v>0</v>
      </c>
      <c r="Y98" s="106">
        <v>0</v>
      </c>
      <c r="Z98" s="106">
        <v>22.074626865671643</v>
      </c>
      <c r="AA98" s="106">
        <v>27893.498507462686</v>
      </c>
      <c r="AB98" s="106">
        <v>3.7958015267175576</v>
      </c>
      <c r="AC98" s="106">
        <v>4796.3748091603056</v>
      </c>
      <c r="AD98" s="106">
        <v>0</v>
      </c>
      <c r="AE98" s="106">
        <v>0</v>
      </c>
      <c r="AF98" s="106">
        <v>10.958677685950413</v>
      </c>
      <c r="AG98" s="106">
        <v>13847.38512396694</v>
      </c>
      <c r="AH98" s="106">
        <v>3.9230769230769234</v>
      </c>
      <c r="AI98" s="106">
        <v>4957.2</v>
      </c>
      <c r="AJ98" s="106">
        <v>4.5998107852412495</v>
      </c>
      <c r="AK98" s="106">
        <v>5812.3209082308422</v>
      </c>
      <c r="AL98" s="106">
        <v>8.3441208198489747</v>
      </c>
      <c r="AM98" s="106">
        <v>10543.631067961163</v>
      </c>
      <c r="AN98" s="106">
        <v>6.8110300081103006</v>
      </c>
      <c r="AO98" s="106">
        <v>8606.4175182481758</v>
      </c>
      <c r="AP98" s="106">
        <v>0</v>
      </c>
      <c r="AQ98" s="106">
        <v>0</v>
      </c>
      <c r="AR98" s="106">
        <v>0</v>
      </c>
      <c r="AS98" s="106">
        <v>0</v>
      </c>
      <c r="AT98" s="106">
        <v>11.21353065539112</v>
      </c>
      <c r="AU98" s="106">
        <v>14169.417336152217</v>
      </c>
      <c r="AV98" s="106">
        <v>3.5506925207756233</v>
      </c>
      <c r="AW98" s="106">
        <v>4486.6550692520768</v>
      </c>
      <c r="AX98" s="106">
        <v>0</v>
      </c>
      <c r="AY98" s="106">
        <v>0</v>
      </c>
      <c r="AZ98" s="106">
        <v>14.197002141327623</v>
      </c>
      <c r="BA98" s="106">
        <v>17939.331905781582</v>
      </c>
      <c r="BB98" s="106">
        <v>8.0853658536585353</v>
      </c>
      <c r="BC98" s="106">
        <v>10216.668292682925</v>
      </c>
      <c r="BD98" s="106">
        <v>6.9333333333333336</v>
      </c>
      <c r="BE98" s="106">
        <v>8760.9599999999991</v>
      </c>
      <c r="BF98" s="106">
        <v>5.1495145631067967</v>
      </c>
      <c r="BG98" s="106">
        <v>6506.9266019417482</v>
      </c>
      <c r="BH98" s="106">
        <v>0</v>
      </c>
      <c r="BI98" s="106">
        <v>0</v>
      </c>
      <c r="BJ98" s="106">
        <v>8.7336769759450164</v>
      </c>
      <c r="BK98" s="106">
        <v>11035.874226804122</v>
      </c>
      <c r="BL98" s="106">
        <v>0</v>
      </c>
      <c r="BM98" s="106">
        <v>0</v>
      </c>
      <c r="BN98" s="106">
        <v>4.333333333333333</v>
      </c>
      <c r="BO98" s="106">
        <v>5475.5999999999995</v>
      </c>
      <c r="BP98" s="106">
        <v>22.877846790890271</v>
      </c>
      <c r="BQ98" s="106">
        <v>28908.447204968943</v>
      </c>
      <c r="BR98" s="106">
        <v>0</v>
      </c>
      <c r="BS98" s="106">
        <v>0</v>
      </c>
      <c r="BT98" s="106">
        <v>13.82740021574973</v>
      </c>
      <c r="BU98" s="106">
        <v>17472.302912621359</v>
      </c>
      <c r="BV98" s="106">
        <v>8.2172211350293534</v>
      </c>
      <c r="BW98" s="106">
        <v>10383.28062622309</v>
      </c>
      <c r="BX98" s="106">
        <v>11.748073959938367</v>
      </c>
      <c r="BY98" s="106">
        <v>14844.866255778119</v>
      </c>
      <c r="BZ98" s="106">
        <v>14.379066478076378</v>
      </c>
      <c r="CA98" s="106">
        <v>18169.38840169731</v>
      </c>
      <c r="CB98" s="106">
        <v>0</v>
      </c>
      <c r="CC98" s="106">
        <v>0</v>
      </c>
      <c r="CD98" s="106">
        <v>0</v>
      </c>
      <c r="CE98" s="106">
        <v>0</v>
      </c>
      <c r="CF98" s="106">
        <v>7.9185667752443001</v>
      </c>
      <c r="CG98" s="106">
        <v>10005.900977198697</v>
      </c>
      <c r="CH98" s="106">
        <v>0</v>
      </c>
      <c r="CI98" s="106">
        <v>0</v>
      </c>
      <c r="CJ98" s="106">
        <v>9.5290215588723051</v>
      </c>
      <c r="CK98" s="106">
        <v>12040.871641791044</v>
      </c>
      <c r="CL98" s="106">
        <v>4.3849206349206344</v>
      </c>
      <c r="CM98" s="106">
        <v>5540.7857142857129</v>
      </c>
      <c r="CN98" s="106">
        <v>0</v>
      </c>
      <c r="CO98" s="106">
        <v>0</v>
      </c>
      <c r="CP98" s="106">
        <v>0</v>
      </c>
      <c r="CQ98" s="106">
        <v>0</v>
      </c>
      <c r="CR98" s="106">
        <v>29.980620155038761</v>
      </c>
      <c r="CS98" s="106">
        <v>37883.511627906977</v>
      </c>
      <c r="CT98" s="106">
        <v>0</v>
      </c>
      <c r="CU98" s="106">
        <v>0</v>
      </c>
    </row>
    <row r="99" spans="2:99" x14ac:dyDescent="0.2">
      <c r="C99" s="105" t="s">
        <v>265</v>
      </c>
      <c r="D99" s="106">
        <v>0</v>
      </c>
      <c r="E99" s="106">
        <v>0</v>
      </c>
      <c r="F99" s="106">
        <v>0</v>
      </c>
      <c r="G99" s="106">
        <v>0</v>
      </c>
      <c r="H99" s="106">
        <v>7.5483870967741939</v>
      </c>
      <c r="I99" s="106">
        <v>41377.238709677418</v>
      </c>
      <c r="J99" s="106">
        <v>5.6514131897711977</v>
      </c>
      <c r="K99" s="106">
        <v>30978.786541049794</v>
      </c>
      <c r="L99" s="106">
        <v>4.5102040816326525</v>
      </c>
      <c r="M99" s="106">
        <v>24723.134693877546</v>
      </c>
      <c r="N99" s="106">
        <v>0</v>
      </c>
      <c r="O99" s="106">
        <v>0</v>
      </c>
      <c r="P99" s="106">
        <v>0</v>
      </c>
      <c r="Q99" s="106">
        <v>0</v>
      </c>
      <c r="R99" s="106">
        <v>9.2371995820271682</v>
      </c>
      <c r="S99" s="106">
        <v>50634.633228840117</v>
      </c>
      <c r="T99" s="106">
        <v>0</v>
      </c>
      <c r="U99" s="106">
        <v>0</v>
      </c>
      <c r="V99" s="106">
        <v>12.104851330203443</v>
      </c>
      <c r="W99" s="106">
        <v>66353.953051643184</v>
      </c>
      <c r="X99" s="106">
        <v>0</v>
      </c>
      <c r="Y99" s="106">
        <v>0</v>
      </c>
      <c r="Z99" s="106">
        <v>12.686567164179104</v>
      </c>
      <c r="AA99" s="106">
        <v>69542.686567164172</v>
      </c>
      <c r="AB99" s="106">
        <v>2.5305343511450382</v>
      </c>
      <c r="AC99" s="106">
        <v>13871.377099236641</v>
      </c>
      <c r="AD99" s="106">
        <v>0</v>
      </c>
      <c r="AE99" s="106">
        <v>0</v>
      </c>
      <c r="AF99" s="106">
        <v>8.2190082644628095</v>
      </c>
      <c r="AG99" s="106">
        <v>45053.315702479333</v>
      </c>
      <c r="AH99" s="106">
        <v>3.0512820512820511</v>
      </c>
      <c r="AI99" s="106">
        <v>16725.90769230769</v>
      </c>
      <c r="AJ99" s="106">
        <v>2.718070009460738</v>
      </c>
      <c r="AK99" s="106">
        <v>14899.372563859979</v>
      </c>
      <c r="AL99" s="106">
        <v>5.9600862998921258</v>
      </c>
      <c r="AM99" s="106">
        <v>32670.809061488675</v>
      </c>
      <c r="AN99" s="106">
        <v>4.1224655312246554</v>
      </c>
      <c r="AO99" s="106">
        <v>22597.707055961069</v>
      </c>
      <c r="AP99" s="106">
        <v>0</v>
      </c>
      <c r="AQ99" s="106">
        <v>0</v>
      </c>
      <c r="AR99" s="106">
        <v>0</v>
      </c>
      <c r="AS99" s="106">
        <v>0</v>
      </c>
      <c r="AT99" s="106">
        <v>6.8527131782945734</v>
      </c>
      <c r="AU99" s="106">
        <v>37563.832558139533</v>
      </c>
      <c r="AV99" s="106">
        <v>2.4487534626038783</v>
      </c>
      <c r="AW99" s="106">
        <v>13423.086980609418</v>
      </c>
      <c r="AX99" s="106">
        <v>0</v>
      </c>
      <c r="AY99" s="106">
        <v>0</v>
      </c>
      <c r="AZ99" s="106">
        <v>11.357601713062099</v>
      </c>
      <c r="BA99" s="106">
        <v>62257.829550321192</v>
      </c>
      <c r="BB99" s="106">
        <v>5.3902439024390247</v>
      </c>
      <c r="BC99" s="106">
        <v>29547.160975609757</v>
      </c>
      <c r="BD99" s="106">
        <v>5.6333333333333329</v>
      </c>
      <c r="BE99" s="106">
        <v>30879.679999999993</v>
      </c>
      <c r="BF99" s="106">
        <v>4.29126213592233</v>
      </c>
      <c r="BG99" s="106">
        <v>23522.98252427184</v>
      </c>
      <c r="BH99" s="106">
        <v>0</v>
      </c>
      <c r="BI99" s="106">
        <v>0</v>
      </c>
      <c r="BJ99" s="106">
        <v>6.0756013745704465</v>
      </c>
      <c r="BK99" s="106">
        <v>33304.016494845353</v>
      </c>
      <c r="BL99" s="106">
        <v>0</v>
      </c>
      <c r="BM99" s="106">
        <v>0</v>
      </c>
      <c r="BN99" s="106">
        <v>3.0952380952380953</v>
      </c>
      <c r="BO99" s="106">
        <v>16966.857142857141</v>
      </c>
      <c r="BP99" s="106">
        <v>13.726708074534161</v>
      </c>
      <c r="BQ99" s="106">
        <v>75244.322981366451</v>
      </c>
      <c r="BR99" s="106">
        <v>0</v>
      </c>
      <c r="BS99" s="106">
        <v>0</v>
      </c>
      <c r="BT99" s="106">
        <v>10.012944983818771</v>
      </c>
      <c r="BU99" s="106">
        <v>54886.959223300975</v>
      </c>
      <c r="BV99" s="106">
        <v>6.0547945205479445</v>
      </c>
      <c r="BW99" s="106">
        <v>33189.96164383561</v>
      </c>
      <c r="BX99" s="106">
        <v>6.6402157164869031</v>
      </c>
      <c r="BY99" s="106">
        <v>36399.006471494606</v>
      </c>
      <c r="BZ99" s="106">
        <v>7.3458274398868468</v>
      </c>
      <c r="CA99" s="106">
        <v>40266.887694483732</v>
      </c>
      <c r="CB99" s="106">
        <v>0</v>
      </c>
      <c r="CC99" s="106">
        <v>0</v>
      </c>
      <c r="CD99" s="106">
        <v>0</v>
      </c>
      <c r="CE99" s="106">
        <v>0</v>
      </c>
      <c r="CF99" s="106">
        <v>5.7589576547231269</v>
      </c>
      <c r="CG99" s="106">
        <v>31568.30228013029</v>
      </c>
      <c r="CH99" s="106">
        <v>0</v>
      </c>
      <c r="CI99" s="106">
        <v>0</v>
      </c>
      <c r="CJ99" s="106">
        <v>8.0630182421227197</v>
      </c>
      <c r="CK99" s="106">
        <v>44198.240796019898</v>
      </c>
      <c r="CL99" s="106">
        <v>3.5079365079365079</v>
      </c>
      <c r="CM99" s="106">
        <v>19229.10476190476</v>
      </c>
      <c r="CN99" s="106">
        <v>0</v>
      </c>
      <c r="CO99" s="106">
        <v>0</v>
      </c>
      <c r="CP99" s="106">
        <v>0</v>
      </c>
      <c r="CQ99" s="106">
        <v>0</v>
      </c>
      <c r="CR99" s="106">
        <v>17.131782945736433</v>
      </c>
      <c r="CS99" s="106">
        <v>93909.581395348825</v>
      </c>
      <c r="CT99" s="106">
        <v>0</v>
      </c>
      <c r="CU99" s="106">
        <v>0</v>
      </c>
    </row>
    <row r="100" spans="2:99" x14ac:dyDescent="0.2">
      <c r="C100" s="105" t="s">
        <v>266</v>
      </c>
      <c r="D100" s="106">
        <v>0</v>
      </c>
      <c r="E100" s="106">
        <v>0</v>
      </c>
      <c r="F100" s="106">
        <v>0</v>
      </c>
      <c r="G100" s="106">
        <v>0</v>
      </c>
      <c r="H100" s="106">
        <v>11.741935483870968</v>
      </c>
      <c r="I100" s="106">
        <v>19050.116129032256</v>
      </c>
      <c r="J100" s="106">
        <v>8.3283983849259755</v>
      </c>
      <c r="K100" s="106">
        <v>13511.993539703901</v>
      </c>
      <c r="L100" s="106">
        <v>7.3022351797861997</v>
      </c>
      <c r="M100" s="106">
        <v>11847.146355685129</v>
      </c>
      <c r="N100" s="106">
        <v>0</v>
      </c>
      <c r="O100" s="106">
        <v>0</v>
      </c>
      <c r="P100" s="106">
        <v>0</v>
      </c>
      <c r="Q100" s="106">
        <v>0</v>
      </c>
      <c r="R100" s="106">
        <v>11.54649947753396</v>
      </c>
      <c r="S100" s="106">
        <v>18733.040752351095</v>
      </c>
      <c r="T100" s="106">
        <v>0</v>
      </c>
      <c r="U100" s="106">
        <v>0</v>
      </c>
      <c r="V100" s="106">
        <v>20.05946791862285</v>
      </c>
      <c r="W100" s="106">
        <v>32544.480751173709</v>
      </c>
      <c r="X100" s="106">
        <v>0</v>
      </c>
      <c r="Y100" s="106">
        <v>0</v>
      </c>
      <c r="Z100" s="106">
        <v>18.268656716417912</v>
      </c>
      <c r="AA100" s="106">
        <v>29639.068656716416</v>
      </c>
      <c r="AB100" s="106">
        <v>3.3740458015267176</v>
      </c>
      <c r="AC100" s="106">
        <v>5474.0519083969466</v>
      </c>
      <c r="AD100" s="106">
        <v>0</v>
      </c>
      <c r="AE100" s="106">
        <v>0</v>
      </c>
      <c r="AF100" s="106">
        <v>10.958677685950413</v>
      </c>
      <c r="AG100" s="106">
        <v>17779.358677685948</v>
      </c>
      <c r="AH100" s="106">
        <v>3.9230769230769234</v>
      </c>
      <c r="AI100" s="106">
        <v>6364.8</v>
      </c>
      <c r="AJ100" s="106">
        <v>3.9725638599810784</v>
      </c>
      <c r="AK100" s="106">
        <v>6445.0876064333015</v>
      </c>
      <c r="AL100" s="106">
        <v>8.5825242718446599</v>
      </c>
      <c r="AM100" s="106">
        <v>13924.287378640774</v>
      </c>
      <c r="AN100" s="106">
        <v>6.6317923763179234</v>
      </c>
      <c r="AO100" s="106">
        <v>10759.419951338197</v>
      </c>
      <c r="AP100" s="106">
        <v>0</v>
      </c>
      <c r="AQ100" s="106">
        <v>0</v>
      </c>
      <c r="AR100" s="106">
        <v>0</v>
      </c>
      <c r="AS100" s="106">
        <v>0</v>
      </c>
      <c r="AT100" s="106">
        <v>9.9675828047921069</v>
      </c>
      <c r="AU100" s="106">
        <v>16171.406342494713</v>
      </c>
      <c r="AV100" s="106">
        <v>3.4282548476454293</v>
      </c>
      <c r="AW100" s="106">
        <v>5562.0006648199442</v>
      </c>
      <c r="AX100" s="106">
        <v>0</v>
      </c>
      <c r="AY100" s="106">
        <v>0</v>
      </c>
      <c r="AZ100" s="106">
        <v>12.30406852248394</v>
      </c>
      <c r="BA100" s="106">
        <v>19962.12077087794</v>
      </c>
      <c r="BB100" s="106">
        <v>7.6361788617886184</v>
      </c>
      <c r="BC100" s="106">
        <v>12388.936585365853</v>
      </c>
      <c r="BD100" s="106">
        <v>6.5</v>
      </c>
      <c r="BE100" s="106">
        <v>10545.599999999999</v>
      </c>
      <c r="BF100" s="106">
        <v>5.1495145631067967</v>
      </c>
      <c r="BG100" s="106">
        <v>8354.5724271844665</v>
      </c>
      <c r="BH100" s="106">
        <v>0</v>
      </c>
      <c r="BI100" s="106">
        <v>0</v>
      </c>
      <c r="BJ100" s="106">
        <v>8.353951890034363</v>
      </c>
      <c r="BK100" s="106">
        <v>13553.451546391749</v>
      </c>
      <c r="BL100" s="106">
        <v>0</v>
      </c>
      <c r="BM100" s="106">
        <v>0</v>
      </c>
      <c r="BN100" s="106">
        <v>3.9206349206349205</v>
      </c>
      <c r="BO100" s="106">
        <v>6360.8380952380949</v>
      </c>
      <c r="BP100" s="106">
        <v>22.420289855072465</v>
      </c>
      <c r="BQ100" s="106">
        <v>36374.678260869565</v>
      </c>
      <c r="BR100" s="106">
        <v>0</v>
      </c>
      <c r="BS100" s="106">
        <v>0</v>
      </c>
      <c r="BT100" s="106">
        <v>15.25782092772384</v>
      </c>
      <c r="BU100" s="106">
        <v>24754.288673139155</v>
      </c>
      <c r="BV100" s="106">
        <v>8.4334637964774952</v>
      </c>
      <c r="BW100" s="106">
        <v>13682.451663405087</v>
      </c>
      <c r="BX100" s="106">
        <v>11.407550077041602</v>
      </c>
      <c r="BY100" s="106">
        <v>18507.609244992294</v>
      </c>
      <c r="BZ100" s="106">
        <v>12.65983026874116</v>
      </c>
      <c r="CA100" s="106">
        <v>20539.308628005656</v>
      </c>
      <c r="CB100" s="106">
        <v>0</v>
      </c>
      <c r="CC100" s="106">
        <v>0</v>
      </c>
      <c r="CD100" s="106">
        <v>0</v>
      </c>
      <c r="CE100" s="106">
        <v>0</v>
      </c>
      <c r="CF100" s="106">
        <v>7.9185667752443001</v>
      </c>
      <c r="CG100" s="106">
        <v>12847.082736156352</v>
      </c>
      <c r="CH100" s="106">
        <v>0</v>
      </c>
      <c r="CI100" s="106">
        <v>0</v>
      </c>
      <c r="CJ100" s="106">
        <v>10.262023217247098</v>
      </c>
      <c r="CK100" s="106">
        <v>16649.106467661692</v>
      </c>
      <c r="CL100" s="106">
        <v>3.5079365079365079</v>
      </c>
      <c r="CM100" s="106">
        <v>5691.2761904761901</v>
      </c>
      <c r="CN100" s="106">
        <v>0</v>
      </c>
      <c r="CO100" s="106">
        <v>0</v>
      </c>
      <c r="CP100" s="106">
        <v>0</v>
      </c>
      <c r="CQ100" s="106">
        <v>0</v>
      </c>
      <c r="CR100" s="106">
        <v>28.267441860465116</v>
      </c>
      <c r="CS100" s="106">
        <v>45861.097674418597</v>
      </c>
      <c r="CT100" s="106">
        <v>0</v>
      </c>
      <c r="CU100" s="106">
        <v>0</v>
      </c>
    </row>
    <row r="101" spans="2:99" x14ac:dyDescent="0.2">
      <c r="C101" s="105" t="s">
        <v>267</v>
      </c>
      <c r="D101" s="106">
        <v>0</v>
      </c>
      <c r="E101" s="106">
        <v>0</v>
      </c>
      <c r="F101" s="106">
        <v>0</v>
      </c>
      <c r="G101" s="106">
        <v>0</v>
      </c>
      <c r="H101" s="106">
        <v>11.32258064516129</v>
      </c>
      <c r="I101" s="106">
        <v>13478.399999999998</v>
      </c>
      <c r="J101" s="106">
        <v>8.6258411843876175</v>
      </c>
      <c r="K101" s="106">
        <v>10268.201345895019</v>
      </c>
      <c r="L101" s="106">
        <v>7.9465500485908649</v>
      </c>
      <c r="M101" s="106">
        <v>9459.5731778425652</v>
      </c>
      <c r="N101" s="106">
        <v>0</v>
      </c>
      <c r="O101" s="106">
        <v>0</v>
      </c>
      <c r="P101" s="106">
        <v>0</v>
      </c>
      <c r="Q101" s="106">
        <v>0</v>
      </c>
      <c r="R101" s="106">
        <v>12.470219435736677</v>
      </c>
      <c r="S101" s="106">
        <v>14844.549216300938</v>
      </c>
      <c r="T101" s="106">
        <v>0</v>
      </c>
      <c r="U101" s="106">
        <v>0</v>
      </c>
      <c r="V101" s="106">
        <v>25.247261345852895</v>
      </c>
      <c r="W101" s="106">
        <v>30054.339906103283</v>
      </c>
      <c r="X101" s="106">
        <v>0</v>
      </c>
      <c r="Y101" s="106">
        <v>0</v>
      </c>
      <c r="Z101" s="106">
        <v>20.044776119402986</v>
      </c>
      <c r="AA101" s="106">
        <v>23861.30149253731</v>
      </c>
      <c r="AB101" s="106">
        <v>3.7958015267175576</v>
      </c>
      <c r="AC101" s="106">
        <v>4518.5221374045796</v>
      </c>
      <c r="AD101" s="106">
        <v>0</v>
      </c>
      <c r="AE101" s="106">
        <v>0</v>
      </c>
      <c r="AF101" s="106">
        <v>12.78512396694215</v>
      </c>
      <c r="AG101" s="106">
        <v>15219.411570247934</v>
      </c>
      <c r="AH101" s="106">
        <v>3.9230769230769234</v>
      </c>
      <c r="AI101" s="106">
        <v>4670.0307692307688</v>
      </c>
      <c r="AJ101" s="106">
        <v>5.0179754020813627</v>
      </c>
      <c r="AK101" s="106">
        <v>5973.3979186376537</v>
      </c>
      <c r="AL101" s="106">
        <v>8.5825242718446599</v>
      </c>
      <c r="AM101" s="106">
        <v>10216.636893203882</v>
      </c>
      <c r="AN101" s="106">
        <v>6.0940794809407945</v>
      </c>
      <c r="AO101" s="106">
        <v>7254.392214111921</v>
      </c>
      <c r="AP101" s="106">
        <v>0</v>
      </c>
      <c r="AQ101" s="106">
        <v>0</v>
      </c>
      <c r="AR101" s="106">
        <v>0</v>
      </c>
      <c r="AS101" s="106">
        <v>0</v>
      </c>
      <c r="AT101" s="106">
        <v>10.590556730091613</v>
      </c>
      <c r="AU101" s="106">
        <v>12606.998731501055</v>
      </c>
      <c r="AV101" s="106">
        <v>4.2853185595567869</v>
      </c>
      <c r="AW101" s="106">
        <v>5101.2432132963986</v>
      </c>
      <c r="AX101" s="106">
        <v>0</v>
      </c>
      <c r="AY101" s="106">
        <v>0</v>
      </c>
      <c r="AZ101" s="106">
        <v>15.143468950749465</v>
      </c>
      <c r="BA101" s="106">
        <v>18026.785438972162</v>
      </c>
      <c r="BB101" s="106">
        <v>7.1869918699186996</v>
      </c>
      <c r="BC101" s="106">
        <v>8555.3951219512182</v>
      </c>
      <c r="BD101" s="106">
        <v>6.5</v>
      </c>
      <c r="BE101" s="106">
        <v>7737.5999999999995</v>
      </c>
      <c r="BF101" s="106">
        <v>5.1495145631067967</v>
      </c>
      <c r="BG101" s="106">
        <v>6129.9821359223297</v>
      </c>
      <c r="BH101" s="106">
        <v>0</v>
      </c>
      <c r="BI101" s="106">
        <v>0</v>
      </c>
      <c r="BJ101" s="106">
        <v>8.353951890034363</v>
      </c>
      <c r="BK101" s="106">
        <v>9944.5443298969039</v>
      </c>
      <c r="BL101" s="106">
        <v>0</v>
      </c>
      <c r="BM101" s="106">
        <v>0</v>
      </c>
      <c r="BN101" s="106">
        <v>4.5396825396825395</v>
      </c>
      <c r="BO101" s="106">
        <v>5404.0380952380947</v>
      </c>
      <c r="BP101" s="106">
        <v>20.590062111801242</v>
      </c>
      <c r="BQ101" s="106">
        <v>24510.409937888195</v>
      </c>
      <c r="BR101" s="106">
        <v>0</v>
      </c>
      <c r="BS101" s="106">
        <v>0</v>
      </c>
      <c r="BT101" s="106">
        <v>13.82740021574973</v>
      </c>
      <c r="BU101" s="106">
        <v>16460.137216828476</v>
      </c>
      <c r="BV101" s="106">
        <v>8.2172211350293534</v>
      </c>
      <c r="BW101" s="106">
        <v>9781.780039138941</v>
      </c>
      <c r="BX101" s="106">
        <v>12.939907550077042</v>
      </c>
      <c r="BY101" s="106">
        <v>15403.665947611709</v>
      </c>
      <c r="BZ101" s="106">
        <v>15.004243281471004</v>
      </c>
      <c r="CA101" s="106">
        <v>17861.051202263079</v>
      </c>
      <c r="CB101" s="106">
        <v>0</v>
      </c>
      <c r="CC101" s="106">
        <v>0</v>
      </c>
      <c r="CD101" s="106">
        <v>0</v>
      </c>
      <c r="CE101" s="106">
        <v>0</v>
      </c>
      <c r="CF101" s="106">
        <v>7.9185667752443001</v>
      </c>
      <c r="CG101" s="106">
        <v>9426.2618892508144</v>
      </c>
      <c r="CH101" s="106">
        <v>0</v>
      </c>
      <c r="CI101" s="106">
        <v>0</v>
      </c>
      <c r="CJ101" s="106">
        <v>10.99502487562189</v>
      </c>
      <c r="CK101" s="106">
        <v>13088.477611940298</v>
      </c>
      <c r="CL101" s="106">
        <v>3.9464285714285712</v>
      </c>
      <c r="CM101" s="106">
        <v>4697.8285714285703</v>
      </c>
      <c r="CN101" s="106">
        <v>0</v>
      </c>
      <c r="CO101" s="106">
        <v>0</v>
      </c>
      <c r="CP101" s="106">
        <v>0</v>
      </c>
      <c r="CQ101" s="106">
        <v>0</v>
      </c>
      <c r="CR101" s="106">
        <v>27.410852713178297</v>
      </c>
      <c r="CS101" s="106">
        <v>32629.879069767441</v>
      </c>
      <c r="CT101" s="106">
        <v>0</v>
      </c>
      <c r="CU101" s="106">
        <v>0</v>
      </c>
    </row>
    <row r="102" spans="2:99" x14ac:dyDescent="0.2">
      <c r="C102" s="105" t="s">
        <v>268</v>
      </c>
      <c r="D102" s="106">
        <v>0</v>
      </c>
      <c r="E102" s="106">
        <v>0</v>
      </c>
      <c r="F102" s="106">
        <v>0</v>
      </c>
      <c r="G102" s="106">
        <v>0</v>
      </c>
      <c r="H102" s="106">
        <v>11.112903225806452</v>
      </c>
      <c r="I102" s="106">
        <v>21550.141935483869</v>
      </c>
      <c r="J102" s="106">
        <v>8.3283983849259755</v>
      </c>
      <c r="K102" s="106">
        <v>16150.43014804845</v>
      </c>
      <c r="L102" s="106">
        <v>6.0136054421768703</v>
      </c>
      <c r="M102" s="106">
        <v>11661.583673469386</v>
      </c>
      <c r="N102" s="106">
        <v>0</v>
      </c>
      <c r="O102" s="106">
        <v>0</v>
      </c>
      <c r="P102" s="106">
        <v>0</v>
      </c>
      <c r="Q102" s="106">
        <v>0</v>
      </c>
      <c r="R102" s="106">
        <v>11.54649947753396</v>
      </c>
      <c r="S102" s="106">
        <v>22390.971786833852</v>
      </c>
      <c r="T102" s="106">
        <v>0</v>
      </c>
      <c r="U102" s="106">
        <v>0</v>
      </c>
      <c r="V102" s="106">
        <v>20.405320813771517</v>
      </c>
      <c r="W102" s="106">
        <v>39569.998122065721</v>
      </c>
      <c r="X102" s="106">
        <v>0</v>
      </c>
      <c r="Y102" s="106">
        <v>0</v>
      </c>
      <c r="Z102" s="106">
        <v>20.044776119402986</v>
      </c>
      <c r="AA102" s="106">
        <v>38870.829850746268</v>
      </c>
      <c r="AB102" s="106">
        <v>3.7958015267175576</v>
      </c>
      <c r="AC102" s="106">
        <v>7360.8183206106869</v>
      </c>
      <c r="AD102" s="106">
        <v>0</v>
      </c>
      <c r="AE102" s="106">
        <v>0</v>
      </c>
      <c r="AF102" s="106">
        <v>10.958677685950413</v>
      </c>
      <c r="AG102" s="106">
        <v>21251.06776859504</v>
      </c>
      <c r="AH102" s="106">
        <v>3.9230769230769234</v>
      </c>
      <c r="AI102" s="106">
        <v>7607.6307692307691</v>
      </c>
      <c r="AJ102" s="106">
        <v>4.1816461684011355</v>
      </c>
      <c r="AK102" s="106">
        <v>8109.0482497634812</v>
      </c>
      <c r="AL102" s="106">
        <v>8.5825242718446599</v>
      </c>
      <c r="AM102" s="106">
        <v>16643.231067961162</v>
      </c>
      <c r="AN102" s="106">
        <v>5.9148418491484183</v>
      </c>
      <c r="AO102" s="106">
        <v>11470.061313868611</v>
      </c>
      <c r="AP102" s="106">
        <v>0</v>
      </c>
      <c r="AQ102" s="106">
        <v>0</v>
      </c>
      <c r="AR102" s="106">
        <v>0</v>
      </c>
      <c r="AS102" s="106">
        <v>0</v>
      </c>
      <c r="AT102" s="106">
        <v>9.6560958421423528</v>
      </c>
      <c r="AU102" s="106">
        <v>18725.101057082447</v>
      </c>
      <c r="AV102" s="106">
        <v>3.6731301939058172</v>
      </c>
      <c r="AW102" s="106">
        <v>7122.9340720221599</v>
      </c>
      <c r="AX102" s="106">
        <v>0</v>
      </c>
      <c r="AY102" s="106">
        <v>0</v>
      </c>
      <c r="AZ102" s="106">
        <v>12.30406852248394</v>
      </c>
      <c r="BA102" s="106">
        <v>23860.049678800853</v>
      </c>
      <c r="BB102" s="106">
        <v>7.1869918699186996</v>
      </c>
      <c r="BC102" s="106">
        <v>13937.014634146341</v>
      </c>
      <c r="BD102" s="106">
        <v>6.5</v>
      </c>
      <c r="BE102" s="106">
        <v>12604.8</v>
      </c>
      <c r="BF102" s="106">
        <v>5.1495145631067967</v>
      </c>
      <c r="BG102" s="106">
        <v>9985.9386407766997</v>
      </c>
      <c r="BH102" s="106">
        <v>0</v>
      </c>
      <c r="BI102" s="106">
        <v>0</v>
      </c>
      <c r="BJ102" s="106">
        <v>8.353951890034363</v>
      </c>
      <c r="BK102" s="106">
        <v>16199.983505154636</v>
      </c>
      <c r="BL102" s="106">
        <v>0</v>
      </c>
      <c r="BM102" s="106">
        <v>0</v>
      </c>
      <c r="BN102" s="106">
        <v>4.1269841269841265</v>
      </c>
      <c r="BO102" s="106">
        <v>8003.0476190476174</v>
      </c>
      <c r="BP102" s="106">
        <v>20.132505175983436</v>
      </c>
      <c r="BQ102" s="106">
        <v>39040.954037267074</v>
      </c>
      <c r="BR102" s="106">
        <v>0</v>
      </c>
      <c r="BS102" s="106">
        <v>0</v>
      </c>
      <c r="BT102" s="106">
        <v>13.82740021574973</v>
      </c>
      <c r="BU102" s="106">
        <v>26814.094498381874</v>
      </c>
      <c r="BV102" s="106">
        <v>8.2172211350293534</v>
      </c>
      <c r="BW102" s="106">
        <v>15934.835225048921</v>
      </c>
      <c r="BX102" s="106">
        <v>11.237288135593221</v>
      </c>
      <c r="BY102" s="106">
        <v>21791.349152542374</v>
      </c>
      <c r="BZ102" s="106">
        <v>11.565770862800566</v>
      </c>
      <c r="CA102" s="106">
        <v>22428.342857142856</v>
      </c>
      <c r="CB102" s="106">
        <v>0</v>
      </c>
      <c r="CC102" s="106">
        <v>0</v>
      </c>
      <c r="CD102" s="106">
        <v>0</v>
      </c>
      <c r="CE102" s="106">
        <v>0</v>
      </c>
      <c r="CF102" s="106">
        <v>6.4788273615635177</v>
      </c>
      <c r="CG102" s="106">
        <v>12563.742019543972</v>
      </c>
      <c r="CH102" s="106">
        <v>0</v>
      </c>
      <c r="CI102" s="106">
        <v>0</v>
      </c>
      <c r="CJ102" s="106">
        <v>10.99502487562189</v>
      </c>
      <c r="CK102" s="106">
        <v>21321.552238805969</v>
      </c>
      <c r="CL102" s="106">
        <v>3.9464285714285712</v>
      </c>
      <c r="CM102" s="106">
        <v>7652.9142857142842</v>
      </c>
      <c r="CN102" s="106">
        <v>0</v>
      </c>
      <c r="CO102" s="106">
        <v>0</v>
      </c>
      <c r="CP102" s="106">
        <v>0</v>
      </c>
      <c r="CQ102" s="106">
        <v>0</v>
      </c>
      <c r="CR102" s="106">
        <v>23.984496124031004</v>
      </c>
      <c r="CS102" s="106">
        <v>46510.734883720921</v>
      </c>
      <c r="CT102" s="106">
        <v>0</v>
      </c>
      <c r="CU102" s="106">
        <v>0</v>
      </c>
    </row>
    <row r="103" spans="2:99" x14ac:dyDescent="0.2">
      <c r="C103" s="105" t="s">
        <v>269</v>
      </c>
      <c r="D103" s="106">
        <v>0</v>
      </c>
      <c r="E103" s="106">
        <v>0</v>
      </c>
      <c r="F103" s="106">
        <v>0</v>
      </c>
      <c r="G103" s="106">
        <v>0</v>
      </c>
      <c r="H103" s="106">
        <v>9.435483870967742</v>
      </c>
      <c r="I103" s="106">
        <v>19135.16129032258</v>
      </c>
      <c r="J103" s="106">
        <v>7.7335127860026907</v>
      </c>
      <c r="K103" s="106">
        <v>15683.563930013457</v>
      </c>
      <c r="L103" s="106">
        <v>6.4431486880466471</v>
      </c>
      <c r="M103" s="106">
        <v>13066.7055393586</v>
      </c>
      <c r="N103" s="106">
        <v>0</v>
      </c>
      <c r="O103" s="106">
        <v>0</v>
      </c>
      <c r="P103" s="106">
        <v>0</v>
      </c>
      <c r="Q103" s="106">
        <v>0</v>
      </c>
      <c r="R103" s="106">
        <v>13.393939393939394</v>
      </c>
      <c r="S103" s="106">
        <v>27162.909090909092</v>
      </c>
      <c r="T103" s="106">
        <v>0</v>
      </c>
      <c r="U103" s="106">
        <v>0</v>
      </c>
      <c r="V103" s="106">
        <v>19.713615023474176</v>
      </c>
      <c r="W103" s="106">
        <v>39979.211267605628</v>
      </c>
      <c r="X103" s="106">
        <v>0</v>
      </c>
      <c r="Y103" s="106">
        <v>0</v>
      </c>
      <c r="Z103" s="106">
        <v>20.044776119402986</v>
      </c>
      <c r="AA103" s="106">
        <v>40650.805970149253</v>
      </c>
      <c r="AB103" s="106">
        <v>3.3740458015267176</v>
      </c>
      <c r="AC103" s="106">
        <v>6842.5648854961837</v>
      </c>
      <c r="AD103" s="106">
        <v>0</v>
      </c>
      <c r="AE103" s="106">
        <v>0</v>
      </c>
      <c r="AF103" s="106">
        <v>11.871900826446282</v>
      </c>
      <c r="AG103" s="106">
        <v>24076.21487603306</v>
      </c>
      <c r="AH103" s="106">
        <v>4.3589743589743586</v>
      </c>
      <c r="AI103" s="106">
        <v>8840</v>
      </c>
      <c r="AJ103" s="106">
        <v>4.3907284768211925</v>
      </c>
      <c r="AK103" s="106">
        <v>8904.3973509933785</v>
      </c>
      <c r="AL103" s="106">
        <v>7.6289104638619198</v>
      </c>
      <c r="AM103" s="106">
        <v>15471.430420711973</v>
      </c>
      <c r="AN103" s="106">
        <v>6.2733171127331717</v>
      </c>
      <c r="AO103" s="106">
        <v>12722.287104622872</v>
      </c>
      <c r="AP103" s="106">
        <v>0</v>
      </c>
      <c r="AQ103" s="106">
        <v>0</v>
      </c>
      <c r="AR103" s="106">
        <v>0</v>
      </c>
      <c r="AS103" s="106">
        <v>0</v>
      </c>
      <c r="AT103" s="106">
        <v>9.0331219168428483</v>
      </c>
      <c r="AU103" s="106">
        <v>18319.171247357295</v>
      </c>
      <c r="AV103" s="106">
        <v>3.3058171745152354</v>
      </c>
      <c r="AW103" s="106">
        <v>6704.1972299168974</v>
      </c>
      <c r="AX103" s="106">
        <v>0</v>
      </c>
      <c r="AY103" s="106">
        <v>0</v>
      </c>
      <c r="AZ103" s="106">
        <v>13.250535331905782</v>
      </c>
      <c r="BA103" s="106">
        <v>26872.085653104925</v>
      </c>
      <c r="BB103" s="106">
        <v>7.1869918699186996</v>
      </c>
      <c r="BC103" s="106">
        <v>14575.219512195123</v>
      </c>
      <c r="BD103" s="106">
        <v>6.5</v>
      </c>
      <c r="BE103" s="106">
        <v>13182</v>
      </c>
      <c r="BF103" s="106">
        <v>5.1495145631067967</v>
      </c>
      <c r="BG103" s="106">
        <v>10443.215533980583</v>
      </c>
      <c r="BH103" s="106">
        <v>0</v>
      </c>
      <c r="BI103" s="106">
        <v>0</v>
      </c>
      <c r="BJ103" s="106">
        <v>8.7336769759450164</v>
      </c>
      <c r="BK103" s="106">
        <v>17711.896907216495</v>
      </c>
      <c r="BL103" s="106">
        <v>0</v>
      </c>
      <c r="BM103" s="106">
        <v>0</v>
      </c>
      <c r="BN103" s="106">
        <v>3.9206349206349205</v>
      </c>
      <c r="BO103" s="106">
        <v>7951.0476190476184</v>
      </c>
      <c r="BP103" s="106">
        <v>20.132505175983436</v>
      </c>
      <c r="BQ103" s="106">
        <v>40828.720496894406</v>
      </c>
      <c r="BR103" s="106">
        <v>0</v>
      </c>
      <c r="BS103" s="106">
        <v>0</v>
      </c>
      <c r="BT103" s="106">
        <v>12.39697950377562</v>
      </c>
      <c r="BU103" s="106">
        <v>25141.074433656959</v>
      </c>
      <c r="BV103" s="106">
        <v>7.7847358121330723</v>
      </c>
      <c r="BW103" s="106">
        <v>15787.44422700587</v>
      </c>
      <c r="BX103" s="106">
        <v>11.067026194144837</v>
      </c>
      <c r="BY103" s="106">
        <v>22443.929121725731</v>
      </c>
      <c r="BZ103" s="106">
        <v>13.128712871287128</v>
      </c>
      <c r="CA103" s="106">
        <v>26625.029702970296</v>
      </c>
      <c r="CB103" s="106">
        <v>0</v>
      </c>
      <c r="CC103" s="106">
        <v>0</v>
      </c>
      <c r="CD103" s="106">
        <v>0</v>
      </c>
      <c r="CE103" s="106">
        <v>0</v>
      </c>
      <c r="CF103" s="106">
        <v>7.1986970684039093</v>
      </c>
      <c r="CG103" s="106">
        <v>14598.957654723128</v>
      </c>
      <c r="CH103" s="106">
        <v>0</v>
      </c>
      <c r="CI103" s="106">
        <v>0</v>
      </c>
      <c r="CJ103" s="106">
        <v>10.262023217247098</v>
      </c>
      <c r="CK103" s="106">
        <v>20811.383084577115</v>
      </c>
      <c r="CL103" s="106">
        <v>3.5079365079365079</v>
      </c>
      <c r="CM103" s="106">
        <v>7114.0952380952376</v>
      </c>
      <c r="CN103" s="106">
        <v>0</v>
      </c>
      <c r="CO103" s="106">
        <v>0</v>
      </c>
      <c r="CP103" s="106">
        <v>0</v>
      </c>
      <c r="CQ103" s="106">
        <v>0</v>
      </c>
      <c r="CR103" s="106">
        <v>26.554263565891471</v>
      </c>
      <c r="CS103" s="106">
        <v>53852.046511627901</v>
      </c>
      <c r="CT103" s="106">
        <v>0</v>
      </c>
      <c r="CU103" s="106">
        <v>0</v>
      </c>
    </row>
    <row r="104" spans="2:99" x14ac:dyDescent="0.2">
      <c r="C104" s="105" t="s">
        <v>270</v>
      </c>
      <c r="D104" s="106">
        <v>0</v>
      </c>
      <c r="E104" s="106">
        <v>0</v>
      </c>
      <c r="F104" s="106">
        <v>0</v>
      </c>
      <c r="G104" s="106">
        <v>0</v>
      </c>
      <c r="H104" s="106">
        <v>11.112903225806452</v>
      </c>
      <c r="I104" s="106">
        <v>23030.380645161291</v>
      </c>
      <c r="J104" s="106">
        <v>8.0309555854643335</v>
      </c>
      <c r="K104" s="106">
        <v>16643.352355316285</v>
      </c>
      <c r="L104" s="106">
        <v>6.6579203109815355</v>
      </c>
      <c r="M104" s="106">
        <v>13797.874052478135</v>
      </c>
      <c r="N104" s="106">
        <v>0</v>
      </c>
      <c r="O104" s="106">
        <v>0</v>
      </c>
      <c r="P104" s="106">
        <v>0</v>
      </c>
      <c r="Q104" s="106">
        <v>0</v>
      </c>
      <c r="R104" s="106">
        <v>12.008359456635318</v>
      </c>
      <c r="S104" s="106">
        <v>24886.124137931034</v>
      </c>
      <c r="T104" s="106">
        <v>0</v>
      </c>
      <c r="U104" s="106">
        <v>0</v>
      </c>
      <c r="V104" s="106">
        <v>22.134585289514867</v>
      </c>
      <c r="W104" s="106">
        <v>45871.714553990612</v>
      </c>
      <c r="X104" s="106">
        <v>0</v>
      </c>
      <c r="Y104" s="106">
        <v>0</v>
      </c>
      <c r="Z104" s="106">
        <v>19.283582089552237</v>
      </c>
      <c r="AA104" s="106">
        <v>39963.295522388056</v>
      </c>
      <c r="AB104" s="106">
        <v>3.3740458015267176</v>
      </c>
      <c r="AC104" s="106">
        <v>6992.3725190839696</v>
      </c>
      <c r="AD104" s="106">
        <v>0</v>
      </c>
      <c r="AE104" s="106">
        <v>0</v>
      </c>
      <c r="AF104" s="106">
        <v>11.871900826446282</v>
      </c>
      <c r="AG104" s="106">
        <v>24603.327272727278</v>
      </c>
      <c r="AH104" s="106">
        <v>3.4871794871794872</v>
      </c>
      <c r="AI104" s="106">
        <v>7226.8307692307699</v>
      </c>
      <c r="AJ104" s="106">
        <v>3.9725638599810784</v>
      </c>
      <c r="AK104" s="106">
        <v>8232.7413434247865</v>
      </c>
      <c r="AL104" s="106">
        <v>7.6289104638619198</v>
      </c>
      <c r="AM104" s="106">
        <v>15810.154045307443</v>
      </c>
      <c r="AN104" s="106">
        <v>6.0940794809407945</v>
      </c>
      <c r="AO104" s="106">
        <v>12629.370316301703</v>
      </c>
      <c r="AP104" s="106">
        <v>0</v>
      </c>
      <c r="AQ104" s="106">
        <v>0</v>
      </c>
      <c r="AR104" s="106">
        <v>0</v>
      </c>
      <c r="AS104" s="106">
        <v>0</v>
      </c>
      <c r="AT104" s="106">
        <v>10.590556730091613</v>
      </c>
      <c r="AU104" s="106">
        <v>21947.869767441862</v>
      </c>
      <c r="AV104" s="106">
        <v>3.5506925207756233</v>
      </c>
      <c r="AW104" s="106">
        <v>7358.4551800554018</v>
      </c>
      <c r="AX104" s="106">
        <v>0</v>
      </c>
      <c r="AY104" s="106">
        <v>0</v>
      </c>
      <c r="AZ104" s="106">
        <v>13.250535331905782</v>
      </c>
      <c r="BA104" s="106">
        <v>27460.409421841545</v>
      </c>
      <c r="BB104" s="106">
        <v>6.2886178861788613</v>
      </c>
      <c r="BC104" s="106">
        <v>13032.531707317074</v>
      </c>
      <c r="BD104" s="106">
        <v>6.5</v>
      </c>
      <c r="BE104" s="106">
        <v>13470.6</v>
      </c>
      <c r="BF104" s="106">
        <v>5.5786407766990287</v>
      </c>
      <c r="BG104" s="106">
        <v>11561.175145631067</v>
      </c>
      <c r="BH104" s="106">
        <v>0</v>
      </c>
      <c r="BI104" s="106">
        <v>0</v>
      </c>
      <c r="BJ104" s="106">
        <v>8.7336769759450164</v>
      </c>
      <c r="BK104" s="106">
        <v>18099.672164948453</v>
      </c>
      <c r="BL104" s="106">
        <v>0</v>
      </c>
      <c r="BM104" s="106">
        <v>0</v>
      </c>
      <c r="BN104" s="106">
        <v>4.333333333333333</v>
      </c>
      <c r="BO104" s="106">
        <v>8980.4</v>
      </c>
      <c r="BP104" s="106">
        <v>22.420289855072465</v>
      </c>
      <c r="BQ104" s="106">
        <v>46463.80869565218</v>
      </c>
      <c r="BR104" s="106">
        <v>0</v>
      </c>
      <c r="BS104" s="106">
        <v>0</v>
      </c>
      <c r="BT104" s="106">
        <v>13.350593311758361</v>
      </c>
      <c r="BU104" s="106">
        <v>27667.769579288029</v>
      </c>
      <c r="BV104" s="106">
        <v>8.4334637964774952</v>
      </c>
      <c r="BW104" s="106">
        <v>17477.510371819961</v>
      </c>
      <c r="BX104" s="106">
        <v>10.556240369799692</v>
      </c>
      <c r="BY104" s="106">
        <v>21876.752542372884</v>
      </c>
      <c r="BZ104" s="106">
        <v>11.096888260254596</v>
      </c>
      <c r="CA104" s="106">
        <v>22997.191230551627</v>
      </c>
      <c r="CB104" s="106">
        <v>0</v>
      </c>
      <c r="CC104" s="106">
        <v>0</v>
      </c>
      <c r="CD104" s="106">
        <v>0</v>
      </c>
      <c r="CE104" s="106">
        <v>0</v>
      </c>
      <c r="CF104" s="106">
        <v>6.4788273615635177</v>
      </c>
      <c r="CG104" s="106">
        <v>13426.721824104234</v>
      </c>
      <c r="CH104" s="106">
        <v>0</v>
      </c>
      <c r="CI104" s="106">
        <v>0</v>
      </c>
      <c r="CJ104" s="106">
        <v>9.5290215588723051</v>
      </c>
      <c r="CK104" s="106">
        <v>19747.944278606967</v>
      </c>
      <c r="CL104" s="106">
        <v>3.9464285714285712</v>
      </c>
      <c r="CM104" s="106">
        <v>8178.5785714285712</v>
      </c>
      <c r="CN104" s="106">
        <v>0</v>
      </c>
      <c r="CO104" s="106">
        <v>0</v>
      </c>
      <c r="CP104" s="106">
        <v>0</v>
      </c>
      <c r="CQ104" s="106">
        <v>0</v>
      </c>
      <c r="CR104" s="106">
        <v>23.984496124031004</v>
      </c>
      <c r="CS104" s="106">
        <v>49705.469767441857</v>
      </c>
      <c r="CT104" s="106">
        <v>0</v>
      </c>
      <c r="CU104" s="106">
        <v>0</v>
      </c>
    </row>
    <row r="105" spans="2:99" x14ac:dyDescent="0.2">
      <c r="C105" s="105" t="s">
        <v>271</v>
      </c>
      <c r="D105" s="106">
        <v>0</v>
      </c>
      <c r="E105" s="106">
        <v>0</v>
      </c>
      <c r="F105" s="106">
        <v>0</v>
      </c>
      <c r="G105" s="106">
        <v>0</v>
      </c>
      <c r="H105" s="106">
        <v>10.483870967741936</v>
      </c>
      <c r="I105" s="106">
        <v>20946.774193548386</v>
      </c>
      <c r="J105" s="106">
        <v>7.4360699865410504</v>
      </c>
      <c r="K105" s="106">
        <v>14857.267833109019</v>
      </c>
      <c r="L105" s="106">
        <v>7.0874635568513122</v>
      </c>
      <c r="M105" s="106">
        <v>14160.752186588921</v>
      </c>
      <c r="N105" s="106">
        <v>0</v>
      </c>
      <c r="O105" s="106">
        <v>0</v>
      </c>
      <c r="P105" s="106">
        <v>0</v>
      </c>
      <c r="Q105" s="106">
        <v>0</v>
      </c>
      <c r="R105" s="106">
        <v>13.393939393939394</v>
      </c>
      <c r="S105" s="106">
        <v>26761.090909090912</v>
      </c>
      <c r="T105" s="106">
        <v>0</v>
      </c>
      <c r="U105" s="106">
        <v>0</v>
      </c>
      <c r="V105" s="106">
        <v>20.751173708920188</v>
      </c>
      <c r="W105" s="106">
        <v>41460.845070422532</v>
      </c>
      <c r="X105" s="106">
        <v>0</v>
      </c>
      <c r="Y105" s="106">
        <v>0</v>
      </c>
      <c r="Z105" s="106">
        <v>19.537313432835823</v>
      </c>
      <c r="AA105" s="106">
        <v>39035.552238805976</v>
      </c>
      <c r="AB105" s="106">
        <v>2.9522900763358777</v>
      </c>
      <c r="AC105" s="106">
        <v>5898.6755725190833</v>
      </c>
      <c r="AD105" s="106">
        <v>0</v>
      </c>
      <c r="AE105" s="106">
        <v>0</v>
      </c>
      <c r="AF105" s="106">
        <v>10.045454545454545</v>
      </c>
      <c r="AG105" s="106">
        <v>20070.81818181818</v>
      </c>
      <c r="AH105" s="106">
        <v>3.9230769230769234</v>
      </c>
      <c r="AI105" s="106">
        <v>7838.3076923076933</v>
      </c>
      <c r="AJ105" s="106">
        <v>4.1816461684011355</v>
      </c>
      <c r="AK105" s="106">
        <v>8354.9290444654689</v>
      </c>
      <c r="AL105" s="106">
        <v>8.1057173678532894</v>
      </c>
      <c r="AM105" s="106">
        <v>16195.223300970873</v>
      </c>
      <c r="AN105" s="106">
        <v>5.9148418491484183</v>
      </c>
      <c r="AO105" s="106">
        <v>11817.854014598539</v>
      </c>
      <c r="AP105" s="106">
        <v>0</v>
      </c>
      <c r="AQ105" s="106">
        <v>0</v>
      </c>
      <c r="AR105" s="106">
        <v>0</v>
      </c>
      <c r="AS105" s="106">
        <v>0</v>
      </c>
      <c r="AT105" s="106">
        <v>10.590556730091613</v>
      </c>
      <c r="AU105" s="106">
        <v>21159.932346723042</v>
      </c>
      <c r="AV105" s="106">
        <v>3.7955678670360111</v>
      </c>
      <c r="AW105" s="106">
        <v>7583.5445983379504</v>
      </c>
      <c r="AX105" s="106">
        <v>0</v>
      </c>
      <c r="AY105" s="106">
        <v>0</v>
      </c>
      <c r="AZ105" s="106">
        <v>14.197002141327623</v>
      </c>
      <c r="BA105" s="106">
        <v>28365.610278372591</v>
      </c>
      <c r="BB105" s="106">
        <v>7.1869918699186996</v>
      </c>
      <c r="BC105" s="106">
        <v>14359.609756097561</v>
      </c>
      <c r="BD105" s="106">
        <v>6.0666666666666664</v>
      </c>
      <c r="BE105" s="106">
        <v>12121.199999999999</v>
      </c>
      <c r="BF105" s="106">
        <v>5.1495145631067967</v>
      </c>
      <c r="BG105" s="106">
        <v>10288.73009708738</v>
      </c>
      <c r="BH105" s="106">
        <v>0</v>
      </c>
      <c r="BI105" s="106">
        <v>0</v>
      </c>
      <c r="BJ105" s="106">
        <v>8.7336769759450164</v>
      </c>
      <c r="BK105" s="106">
        <v>17449.886597938144</v>
      </c>
      <c r="BL105" s="106">
        <v>0</v>
      </c>
      <c r="BM105" s="106">
        <v>0</v>
      </c>
      <c r="BN105" s="106">
        <v>3.9206349206349205</v>
      </c>
      <c r="BO105" s="106">
        <v>7833.4285714285716</v>
      </c>
      <c r="BP105" s="106">
        <v>20.590062111801242</v>
      </c>
      <c r="BQ105" s="106">
        <v>41138.944099378881</v>
      </c>
      <c r="BR105" s="106">
        <v>0</v>
      </c>
      <c r="BS105" s="106">
        <v>0</v>
      </c>
      <c r="BT105" s="106">
        <v>14.304207119741099</v>
      </c>
      <c r="BU105" s="106">
        <v>28579.805825242714</v>
      </c>
      <c r="BV105" s="106">
        <v>7.3522504892367904</v>
      </c>
      <c r="BW105" s="106">
        <v>14689.796477495107</v>
      </c>
      <c r="BX105" s="106">
        <v>12.429121725731894</v>
      </c>
      <c r="BY105" s="106">
        <v>24833.385208012325</v>
      </c>
      <c r="BZ105" s="106">
        <v>12.65983026874116</v>
      </c>
      <c r="CA105" s="106">
        <v>25294.34087694484</v>
      </c>
      <c r="CB105" s="106">
        <v>0</v>
      </c>
      <c r="CC105" s="106">
        <v>0</v>
      </c>
      <c r="CD105" s="106">
        <v>0</v>
      </c>
      <c r="CE105" s="106">
        <v>0</v>
      </c>
      <c r="CF105" s="106">
        <v>6.4788273615635177</v>
      </c>
      <c r="CG105" s="106">
        <v>12944.697068403908</v>
      </c>
      <c r="CH105" s="106">
        <v>0</v>
      </c>
      <c r="CI105" s="106">
        <v>0</v>
      </c>
      <c r="CJ105" s="106">
        <v>10.262023217247098</v>
      </c>
      <c r="CK105" s="106">
        <v>20503.5223880597</v>
      </c>
      <c r="CL105" s="106">
        <v>3.9464285714285712</v>
      </c>
      <c r="CM105" s="106">
        <v>7884.9642857142853</v>
      </c>
      <c r="CN105" s="106">
        <v>0</v>
      </c>
      <c r="CO105" s="106">
        <v>0</v>
      </c>
      <c r="CP105" s="106">
        <v>0</v>
      </c>
      <c r="CQ105" s="106">
        <v>0</v>
      </c>
      <c r="CR105" s="106">
        <v>25.697674418604652</v>
      </c>
      <c r="CS105" s="106">
        <v>51343.953488372099</v>
      </c>
      <c r="CT105" s="106">
        <v>0</v>
      </c>
      <c r="CU105" s="106">
        <v>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56.334368080580035</v>
      </c>
      <c r="E112" s="106">
        <f>SUM(L$49:L$70)+SUM(N$49:N$70)+SUM(P$49:P$70)+SUM(R$49:R$70)</f>
        <v>24.455687872999626</v>
      </c>
      <c r="F112" s="106">
        <f>SUM(T$49:T$70)+SUM(V$49:V$70)+SUM(X$49:X$70)+SUM(Z$49:Z$70)</f>
        <v>13.444584588793123</v>
      </c>
      <c r="G112" s="106">
        <f>SUM(AB$49:AB$70)+SUM(AD$49:AD$70)+SUM(AF$49:AF$70)+SUM(AH$49:AH$70)</f>
        <v>48.347552690196693</v>
      </c>
      <c r="H112" s="106">
        <f>SUM(AJ$49:AJ$70)+SUM(AL$49:AL$70)+SUM(AN$49:AN$70)+SUM(AP$49:AP$70)</f>
        <v>49.954460297413817</v>
      </c>
      <c r="I112" s="106">
        <f>SUM(AR$49:AR$70)+SUM(AT$49:AT$70)+SUM(AV$49:AV$70)+SUM(AX$49:AX$70)</f>
        <v>35.938347593697721</v>
      </c>
      <c r="J112" s="106">
        <f>SUM(AZ$49:AZ$70)+SUM(BB$49:BB$70)+SUM(BD$49:BD$70)+SUM(BF$49:BF$70)</f>
        <v>75.136060640018471</v>
      </c>
      <c r="K112" s="106">
        <f>SUM(BH$49:BH$70)+SUM(BJ$49:BJ$70)+SUM(BL$49:BL$70)+SUM(BN$49:BN$70)</f>
        <v>41.850597283586971</v>
      </c>
      <c r="L112" s="106">
        <f>SUM(BP$49:BP$70)+SUM(BR$49:BR$70)+SUM(BT$49:BT$70)+SUM(BV$49:BV$70)</f>
        <v>51.654186068860199</v>
      </c>
      <c r="M112" s="106">
        <f>SUM(BX$49:BX$70)+SUM(BZ$49:BZ$70)+SUM(CB$49:CB$70)+SUM(CD$49:CD$70)</f>
        <v>34.048294296742029</v>
      </c>
      <c r="N112" s="106">
        <f>SUM(CF$49:CF$70)+SUM(CH$49:CH$70)+SUM(CJ$49:CJ$70)+SUM(CL$49:CL$70)</f>
        <v>111.07970317869317</v>
      </c>
      <c r="O112" s="106">
        <f>SUM(CN$49:CN$70)+SUM(CP$49:CP$70)+SUM(CR$49:CR$70)+SUM(CT$49:CT$70)</f>
        <v>35.120155038759691</v>
      </c>
    </row>
    <row r="113" spans="2:15" x14ac:dyDescent="0.2">
      <c r="C113" s="105" t="s">
        <v>130</v>
      </c>
      <c r="D113" s="106">
        <f>SUM(D$71:D$86)+SUM(F$71:F$86)+SUM(H$71:H$86)+SUM(J$71:J$86)</f>
        <v>137.90255285894153</v>
      </c>
      <c r="E113" s="106">
        <f>SUM(L$71:L$86)+SUM(N$71:N$86)+SUM(P$71:P$86)+SUM(R$71:R$86)</f>
        <v>290.46683787711231</v>
      </c>
      <c r="F113" s="106">
        <f>SUM(T$71:T$86)+SUM(V$71:V$86)+SUM(X$71:X$86)+SUM(Z$71:Z$86)</f>
        <v>183.56648681475252</v>
      </c>
      <c r="G113" s="106">
        <f>SUM(AB$71:AB$86)+SUM(AD$71:AD$86)+SUM(AF$71:AF$86)+SUM(AH$71:AH$86)</f>
        <v>406.11794936500002</v>
      </c>
      <c r="H113" s="106">
        <f>SUM(AJ$71:AJ$86)+SUM(AL$71:AL$86)+SUM(AN$71:AN$86)+SUM(AP$71:AP$86)</f>
        <v>108.55660168302788</v>
      </c>
      <c r="I113" s="106">
        <f>SUM(AR$71:AR$86)+SUM(AT$71:AT$86)+SUM(AV$71:AV$86)+SUM(AX$71:AX$86)</f>
        <v>444.32545294470185</v>
      </c>
      <c r="J113" s="106">
        <f>SUM(AZ$71:AZ$86)+SUM(BB$71:BB$86)+SUM(BD$71:BD$86)+SUM(BF$71:BF$86)</f>
        <v>337.12100728768036</v>
      </c>
      <c r="K113" s="106">
        <f>SUM(BH$71:BH$86)+SUM(BJ$71:BJ$86)+SUM(BL$71:BL$86)+SUM(BN$71:BN$86)</f>
        <v>389.33734249713632</v>
      </c>
      <c r="L113" s="106">
        <f>SUM(BP$71:BP$86)+SUM(BR$71:BR$86)+SUM(BT$71:BT$86)+SUM(BV$71:BV$86)</f>
        <v>166.47038796860699</v>
      </c>
      <c r="M113" s="106">
        <f>SUM(BX$71:BX$86)+SUM(BZ$71:BZ$86)+SUM(CB$71:CB$86)+SUM(CD$71:CD$86)</f>
        <v>105.84344427178796</v>
      </c>
      <c r="N113" s="106">
        <f>SUM(CF$71:CF$86)+SUM(CH$71:CH$86)+SUM(CJ$71:CJ$86)+SUM(CL$71:CL$86)</f>
        <v>290.3854159673171</v>
      </c>
      <c r="O113" s="106">
        <f>SUM(CN$71:CN$86)+SUM(CP$71:CP$86)+SUM(CR$71:CR$86)+SUM(CT$71:CT$86)</f>
        <v>268.96899224806202</v>
      </c>
    </row>
    <row r="114" spans="2:15" x14ac:dyDescent="0.2">
      <c r="C114" s="105" t="s">
        <v>131</v>
      </c>
      <c r="D114" s="106">
        <f>SUM(D$87:D$94)+SUM(F$87:F$94)+SUM(H$87:H$94)+SUM(J$87:J$94)</f>
        <v>43.57819215907611</v>
      </c>
      <c r="E114" s="106">
        <f>SUM(L$87:L$94)+SUM(N$87:N$94)+SUM(P$87:P$94)+SUM(R$87:R$94)</f>
        <v>138.19443048155222</v>
      </c>
      <c r="F114" s="106">
        <f>SUM(T$87:T$94)+SUM(V$87:V$94)+SUM(X$87:X$94)+SUM(Z$87:Z$94)</f>
        <v>241.90206245766473</v>
      </c>
      <c r="G114" s="106">
        <f>SUM(AB$87:AB$94)+SUM(AD$87:AD$94)+SUM(AF$87:AF$94)+SUM(AH$87:AH$94)</f>
        <v>227.73775859809865</v>
      </c>
      <c r="H114" s="106">
        <f>SUM(AJ$87:AJ$94)+SUM(AL$87:AL$94)+SUM(AN$87:AN$94)+SUM(AP$87:AP$94)</f>
        <v>300.94939091103322</v>
      </c>
      <c r="I114" s="106">
        <f>SUM(AR$87:AR$94)+SUM(AT$87:AT$94)+SUM(AV$87:AV$94)+SUM(AX$87:AX$94)</f>
        <v>32.054596990975263</v>
      </c>
      <c r="J114" s="106">
        <f>SUM(AZ$87:AZ$94)+SUM(BB$87:BB$94)+SUM(BD$87:BD$94)+SUM(BF$87:BF$94)</f>
        <v>337.12994041332064</v>
      </c>
      <c r="K114" s="106">
        <f>SUM(BH$87:BH$94)+SUM(BJ$87:BJ$94)+SUM(BL$87:BL$94)+SUM(BN$87:BN$94)</f>
        <v>95.66093928980527</v>
      </c>
      <c r="L114" s="106">
        <f>SUM(BP$87:BP$94)+SUM(BR$87:BR$94)+SUM(BT$87:BT$94)+SUM(BV$87:BV$94)</f>
        <v>419.5732495391706</v>
      </c>
      <c r="M114" s="106">
        <f>SUM(BX$87:BX$94)+SUM(BZ$87:BZ$94)+SUM(CB$87:CB$94)+SUM(CD$87:CD$94)</f>
        <v>36.772485359916139</v>
      </c>
      <c r="N114" s="106">
        <f>SUM(CF$87:CF$94)+SUM(CH$87:CH$94)+SUM(CJ$87:CJ$94)+SUM(CL$87:CL$94)</f>
        <v>471.85210223506323</v>
      </c>
      <c r="O114" s="106">
        <f>SUM(CN$87:CN$94)+SUM(CP$87:CP$94)+SUM(CR$87:CR$94)+SUM(CT$87:CT$94)</f>
        <v>75.379844961240323</v>
      </c>
    </row>
    <row r="115" spans="2:15" x14ac:dyDescent="0.2">
      <c r="C115" s="105" t="s">
        <v>132</v>
      </c>
      <c r="D115" s="106">
        <f>SUM(D$95:D$105)+SUM(F$95:F$105)+SUM(H$95:H$105)+SUM(J$95:J$105)</f>
        <v>204.18488690140231</v>
      </c>
      <c r="E115" s="106">
        <f>SUM(L$95:L$105)+SUM(N$95:N$105)+SUM(P$95:P$105)+SUM(R$95:R$105)</f>
        <v>209.88304376833582</v>
      </c>
      <c r="F115" s="106">
        <f>SUM(T$95:T$105)+SUM(V$95:V$105)+SUM(X$95:X$105)+SUM(Z$95:Z$105)</f>
        <v>445.08686613878967</v>
      </c>
      <c r="G115" s="106">
        <f>SUM(AB$95:AB$105)+SUM(AD$95:AD$105)+SUM(AF$95:AF$105)+SUM(AH$95:AH$105)</f>
        <v>201.79673934670464</v>
      </c>
      <c r="H115" s="106">
        <f>SUM(AJ$95:AJ$105)+SUM(AL$95:AL$105)+SUM(AN$95:AN$105)+SUM(AP$95:AP$105)</f>
        <v>203.53954710852503</v>
      </c>
      <c r="I115" s="106">
        <f>SUM(AR$95:AR$105)+SUM(AT$95:AT$105)+SUM(AV$95:AV$105)+SUM(AX$95:AX$105)</f>
        <v>150.68160247062519</v>
      </c>
      <c r="J115" s="106">
        <f>SUM(AZ$95:AZ$105)+SUM(BB$95:BB$105)+SUM(BD$95:BD$105)+SUM(BF$95:BF$105)</f>
        <v>355.61299165898049</v>
      </c>
      <c r="K115" s="106">
        <f>SUM(BH$95:BH$105)+SUM(BJ$95:BJ$105)+SUM(BL$95:BL$105)+SUM(BN$95:BN$105)</f>
        <v>136.15112092947143</v>
      </c>
      <c r="L115" s="106">
        <f>SUM(BP$95:BP$105)+SUM(BR$95:BR$105)+SUM(BT$95:BT$105)+SUM(BV$95:BV$105)</f>
        <v>467.3021764233622</v>
      </c>
      <c r="M115" s="106">
        <f>SUM(BX$95:BX$105)+SUM(BZ$95:BZ$105)+SUM(CB$95:CB$105)+SUM(CD$95:CD$105)</f>
        <v>265.33577607155388</v>
      </c>
      <c r="N115" s="106">
        <f>SUM(CF$95:CF$105)+SUM(CH$95:CH$105)+SUM(CJ$95:CJ$105)+SUM(CL$95:CL$105)</f>
        <v>231.68277861892648</v>
      </c>
      <c r="O115" s="106">
        <f>SUM(CN$95:CN$105)+SUM(CP$95:CP$105)+SUM(CR$95:CR$105)+SUM(CT$95:CT$105)</f>
        <v>283.53100775193798</v>
      </c>
    </row>
    <row r="116" spans="2:15" x14ac:dyDescent="0.2">
      <c r="C116" s="105" t="s">
        <v>278</v>
      </c>
      <c r="D116" s="106">
        <f t="shared" ref="D116:O116" si="0">SUM(D$109:D$115)</f>
        <v>442</v>
      </c>
      <c r="E116" s="106">
        <f t="shared" si="0"/>
        <v>663</v>
      </c>
      <c r="F116" s="106">
        <f t="shared" si="0"/>
        <v>884</v>
      </c>
      <c r="G116" s="106">
        <f t="shared" si="0"/>
        <v>883.99999999999989</v>
      </c>
      <c r="H116" s="106">
        <f t="shared" si="0"/>
        <v>663</v>
      </c>
      <c r="I116" s="106">
        <f t="shared" si="0"/>
        <v>663</v>
      </c>
      <c r="J116" s="106">
        <f t="shared" si="0"/>
        <v>1105</v>
      </c>
      <c r="K116" s="106">
        <f t="shared" si="0"/>
        <v>663</v>
      </c>
      <c r="L116" s="106">
        <f t="shared" si="0"/>
        <v>1105</v>
      </c>
      <c r="M116" s="106">
        <f t="shared" si="0"/>
        <v>442</v>
      </c>
      <c r="N116" s="106">
        <f t="shared" si="0"/>
        <v>1105</v>
      </c>
      <c r="O116" s="106">
        <f t="shared" si="0"/>
        <v>663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155884.77347708395</v>
      </c>
      <c r="E123" s="106">
        <f>E112*pricing!E18*2000</f>
        <v>132201.12567884978</v>
      </c>
      <c r="F123" s="106">
        <f>F112*pricing!F18*2000</f>
        <v>83357.514706369024</v>
      </c>
      <c r="G123" s="106">
        <f>G112*pricing!G18*2000</f>
        <v>337946.56338498526</v>
      </c>
      <c r="H123" s="106">
        <f>H112*pricing!H18*2000</f>
        <v>187328.8522989818</v>
      </c>
      <c r="I123" s="106">
        <f>I112*pricing!I18*2000</f>
        <v>137922.75185473036</v>
      </c>
      <c r="J123" s="106">
        <f>J112*pricing!J18*2000</f>
        <v>375977.81920884573</v>
      </c>
      <c r="K123" s="106">
        <f>K112*pricing!K18*2000</f>
        <v>168671.75030654826</v>
      </c>
      <c r="L123" s="106">
        <f>L112*pricing!L18*2000</f>
        <v>236021.00861747304</v>
      </c>
      <c r="M123" s="106">
        <f>M112*pricing!M18*2000</f>
        <v>116993.80277683763</v>
      </c>
      <c r="N123" s="106">
        <f>N112*pricing!N18*2000</f>
        <v>455717.72330115299</v>
      </c>
      <c r="O123" s="106">
        <f>O112*pricing!O18*2000</f>
        <v>176056.61264943692</v>
      </c>
    </row>
    <row r="124" spans="2:15" x14ac:dyDescent="0.2">
      <c r="C124" s="105" t="s">
        <v>130</v>
      </c>
      <c r="D124" s="106">
        <f>D113*pricing!D19*2000</f>
        <v>675209.19015655236</v>
      </c>
      <c r="E124" s="106">
        <f>E113*pricing!E19*2000</f>
        <v>1208092.6044477776</v>
      </c>
      <c r="F124" s="106">
        <f>F113*pricing!F19*2000</f>
        <v>941770.84149032226</v>
      </c>
      <c r="G124" s="106">
        <f>G113*pricing!G19*2000</f>
        <v>2368345.6910009631</v>
      </c>
      <c r="H124" s="106">
        <f>H113*pricing!H19*2000</f>
        <v>666770.24856599956</v>
      </c>
      <c r="I124" s="106">
        <f>I113*pricing!I19*2000</f>
        <v>1066469.3899246517</v>
      </c>
      <c r="J124" s="106">
        <f>J113*pricing!J19*2000</f>
        <v>2422035.4208988314</v>
      </c>
      <c r="K124" s="106">
        <f>K113*pricing!K19*2000</f>
        <v>1314325.9070951249</v>
      </c>
      <c r="L124" s="106">
        <f>L113*pricing!L19*2000</f>
        <v>1134000.5289612582</v>
      </c>
      <c r="M124" s="106">
        <f>M113*pricing!M19*2000</f>
        <v>580707.95043786999</v>
      </c>
      <c r="N124" s="106">
        <f>N113*pricing!N19*2000</f>
        <v>1932366.1059888876</v>
      </c>
      <c r="O124" s="106">
        <f>O113*pricing!O19*2000</f>
        <v>1581495.9935391357</v>
      </c>
    </row>
    <row r="125" spans="2:15" x14ac:dyDescent="0.2">
      <c r="C125" s="105" t="s">
        <v>131</v>
      </c>
      <c r="D125" s="106">
        <f>D114*pricing!D20*2000</f>
        <v>219656.06714012529</v>
      </c>
      <c r="E125" s="106">
        <f>E114*pricing!E20*2000</f>
        <v>381649.89807718265</v>
      </c>
      <c r="F125" s="106">
        <f>F114*pricing!F20*2000</f>
        <v>532727.84689100913</v>
      </c>
      <c r="G125" s="106">
        <f>G114*pricing!G20*2000</f>
        <v>889213.23555333389</v>
      </c>
      <c r="H125" s="106">
        <f>H114*pricing!H20*2000</f>
        <v>651797.39172673423</v>
      </c>
      <c r="I125" s="106">
        <f>I114*pricing!I20*2000</f>
        <v>163696.66541165209</v>
      </c>
      <c r="J125" s="106">
        <f>J114*pricing!J20*2000</f>
        <v>1239765.2303893049</v>
      </c>
      <c r="K125" s="106">
        <f>K114*pricing!K20*2000</f>
        <v>376935.7094131576</v>
      </c>
      <c r="L125" s="106">
        <f>L114*pricing!L20*2000</f>
        <v>1127207.3245924492</v>
      </c>
      <c r="M125" s="106">
        <f>M114*pricing!M20*2000</f>
        <v>167920.52859790868</v>
      </c>
      <c r="N125" s="106">
        <f>N114*pricing!N20*2000</f>
        <v>1485260.935935783</v>
      </c>
      <c r="O125" s="106">
        <f>O114*pricing!O20*2000</f>
        <v>452814.24584690953</v>
      </c>
    </row>
    <row r="126" spans="2:15" x14ac:dyDescent="0.2">
      <c r="C126" s="105" t="s">
        <v>132</v>
      </c>
      <c r="D126" s="106">
        <f>D115*pricing!D21*2000</f>
        <v>622013.29796753579</v>
      </c>
      <c r="E126" s="106">
        <f>E115*pricing!E21*2000</f>
        <v>661780.52242211567</v>
      </c>
      <c r="F126" s="106">
        <f>F115*pricing!F21*2000</f>
        <v>1001936.2047579904</v>
      </c>
      <c r="G126" s="106">
        <f>G115*pricing!G21*2000</f>
        <v>1269086.2405096942</v>
      </c>
      <c r="H126" s="106">
        <f>H115*pricing!H21*2000</f>
        <v>725005.79318390717</v>
      </c>
      <c r="I126" s="106">
        <f>I115*pricing!I21*2000</f>
        <v>476879.8361158371</v>
      </c>
      <c r="J126" s="106">
        <f>J115*pricing!J21*2000</f>
        <v>1756608.1800544732</v>
      </c>
      <c r="K126" s="106">
        <f>K115*pricing!K21*2000</f>
        <v>544323.83983420976</v>
      </c>
      <c r="L126" s="106">
        <f>L115*pricing!L21*2000</f>
        <v>1511323.8388593276</v>
      </c>
      <c r="M126" s="106">
        <f>M115*pricing!M21*2000</f>
        <v>589625.25125596346</v>
      </c>
      <c r="N126" s="106">
        <f>N115*pricing!N21*2000</f>
        <v>1320964.9388670293</v>
      </c>
      <c r="O126" s="106">
        <f>O115*pricing!O21*2000</f>
        <v>907471.30963577714</v>
      </c>
    </row>
    <row r="127" spans="2:15" x14ac:dyDescent="0.2">
      <c r="C127" s="105" t="s">
        <v>278</v>
      </c>
      <c r="D127" s="106">
        <f t="shared" ref="D127:O127" si="1">SUM(D$120:D$126)</f>
        <v>1672763.3287412971</v>
      </c>
      <c r="E127" s="106">
        <f t="shared" si="1"/>
        <v>2383724.150625926</v>
      </c>
      <c r="F127" s="106">
        <f t="shared" si="1"/>
        <v>2559792.4078456908</v>
      </c>
      <c r="G127" s="106">
        <f t="shared" si="1"/>
        <v>4864591.7304489762</v>
      </c>
      <c r="H127" s="106">
        <f t="shared" si="1"/>
        <v>2230902.2857756224</v>
      </c>
      <c r="I127" s="106">
        <f t="shared" si="1"/>
        <v>1844968.6433068712</v>
      </c>
      <c r="J127" s="106">
        <f t="shared" si="1"/>
        <v>5794386.6505514551</v>
      </c>
      <c r="K127" s="106">
        <f t="shared" si="1"/>
        <v>2404257.2066490408</v>
      </c>
      <c r="L127" s="106">
        <f t="shared" si="1"/>
        <v>4008552.7010305081</v>
      </c>
      <c r="M127" s="106">
        <f t="shared" si="1"/>
        <v>1455247.5330685796</v>
      </c>
      <c r="N127" s="106">
        <f t="shared" si="1"/>
        <v>5194309.7040928528</v>
      </c>
      <c r="O127" s="106">
        <f t="shared" si="1"/>
        <v>3117838.161671259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62115.747518777411</v>
      </c>
      <c r="E134" s="112">
        <f>SUM(M$49:M$70)+SUM(O$49:O$70)+SUM(Q$49:Q$70)+SUM(S$49:S$70)</f>
        <v>27015.384819543578</v>
      </c>
      <c r="F134" s="112">
        <f>SUM(U$49:U$70)+SUM(W$49:W$70)+SUM(Y$49:Y$70)+SUM(AA$49:AA$70)</f>
        <v>14845.775152406979</v>
      </c>
      <c r="G134" s="112">
        <f>SUM(AC$49:AC$70)+SUM(AE$49:AE$70)+SUM(AG$49:AG$70)+SUM(AI$49:AI$70)</f>
        <v>53511.793118124064</v>
      </c>
      <c r="H134" s="112">
        <f>SUM(AK$49:AK$70)+SUM(AM$49:AM$70)+SUM(AO$49:AO$70)+SUM(AQ$49:AQ$70)</f>
        <v>55117.164019946278</v>
      </c>
      <c r="I134" s="112">
        <f>SUM(AS$49:AS$70)+SUM(AU$49:AU$70)+SUM(AW$49:AW$70)+SUM(AY$49:AY$70)</f>
        <v>39632.074375501456</v>
      </c>
      <c r="J134" s="112">
        <f>SUM(BA$49:BA$70)+SUM(BC$49:BC$70)+SUM(BE$49:BE$70)+SUM(BG$49:BG$70)</f>
        <v>82958.122407414077</v>
      </c>
      <c r="K134" s="112">
        <f>SUM(BI$49:BI$70)+SUM(BK$49:BK$70)+SUM(BM$49:BM$70)+SUM(BO$49:BO$70)</f>
        <v>46316.236622484044</v>
      </c>
      <c r="L134" s="112">
        <f>SUM(BQ$49:BQ$70)+SUM(BS$49:BS$70)+SUM(BU$49:BU$70)+SUM(BW$49:BW$70)</f>
        <v>56982.054986773321</v>
      </c>
      <c r="M134" s="112">
        <f>SUM(BY$49:BY$70)+SUM(CA$49:CA$70)+SUM(CC$49:CC$70)+SUM(CE$49:CE$70)</f>
        <v>37567.619993331056</v>
      </c>
      <c r="N134" s="112">
        <f>SUM(CG$49:CG$70)+SUM(CI$49:CI$70)+SUM(CK$49:CK$70)+SUM(CM$49:CM$70)</f>
        <v>122799.49419688435</v>
      </c>
      <c r="O134" s="112">
        <f>SUM(CO$49:CO$70)+SUM(CQ$49:CQ$70)+SUM(CS$49:CS$70)+SUM(CU$49:CU$70)</f>
        <v>39030.655813953483</v>
      </c>
    </row>
    <row r="135" spans="2:15" x14ac:dyDescent="0.2">
      <c r="C135" s="111" t="s">
        <v>130</v>
      </c>
      <c r="D135" s="112">
        <f>SUM(E$71:E$86)+SUM(G$71:G$86)+SUM(I$71:I$86)+SUM(K$71:K$86)</f>
        <v>77062.853688186515</v>
      </c>
      <c r="E135" s="112">
        <f>SUM(M$71:M$86)+SUM(O$71:O$86)+SUM(Q$71:Q$86)+SUM(S$71:S$86)</f>
        <v>161934.69697761771</v>
      </c>
      <c r="F135" s="112">
        <f>SUM(U$71:U$86)+SUM(W$71:W$86)+SUM(Y$71:Y$86)+SUM(AA$71:AA$86)</f>
        <v>102724.86541938197</v>
      </c>
      <c r="G135" s="112">
        <f>SUM(AC$71:AC$86)+SUM(AE$71:AE$86)+SUM(AG$71:AG$86)+SUM(AI$71:AI$86)</f>
        <v>227463.2323041982</v>
      </c>
      <c r="H135" s="112">
        <f>SUM(AK$71:AK$86)+SUM(AM$71:AM$86)+SUM(AO$71:AO$86)+SUM(AQ$71:AQ$86)</f>
        <v>60757.889834512738</v>
      </c>
      <c r="I135" s="112">
        <f>SUM(AS$71:AS$86)+SUM(AU$71:AU$86)+SUM(AW$71:AW$86)+SUM(AY$71:AY$86)</f>
        <v>245064.20686301263</v>
      </c>
      <c r="J135" s="112">
        <f>SUM(BA$71:BA$86)+SUM(BC$71:BC$86)+SUM(BE$71:BE$86)+SUM(BG$71:BG$86)</f>
        <v>188533.46439933046</v>
      </c>
      <c r="K135" s="112">
        <f>SUM(BI$71:BI$86)+SUM(BK$71:BK$86)+SUM(BM$71:BM$86)+SUM(BO$71:BO$86)</f>
        <v>216615.46696121746</v>
      </c>
      <c r="L135" s="112">
        <f>SUM(BQ$71:BQ$86)+SUM(BS$71:BS$86)+SUM(BU$71:BU$86)+SUM(BW$71:BW$86)</f>
        <v>92841.097226763275</v>
      </c>
      <c r="M135" s="112">
        <f>SUM(BY$71:BY$86)+SUM(CA$71:CA$86)+SUM(CC$71:CC$86)+SUM(CE$71:CE$86)</f>
        <v>59337.19247498599</v>
      </c>
      <c r="N135" s="112">
        <f>SUM(CG$71:CG$86)+SUM(CI$71:CI$86)+SUM(CK$71:CK$86)+SUM(CM$71:CM$86)</f>
        <v>162572.90188899613</v>
      </c>
      <c r="O135" s="112">
        <f>SUM(CO$71:CO$86)+SUM(CQ$71:CQ$86)+SUM(CS$71:CS$86)+SUM(CU$71:CU$86)</f>
        <v>151401.4465116279</v>
      </c>
    </row>
    <row r="136" spans="2:15" x14ac:dyDescent="0.2">
      <c r="C136" s="111" t="s">
        <v>131</v>
      </c>
      <c r="D136" s="112">
        <f>SUM(E$87:E$94)+SUM(G$87:G$94)+SUM(I$87:I$94)+SUM(K$87:K$94)</f>
        <v>88613.380046020917</v>
      </c>
      <c r="E136" s="112">
        <f>SUM(M$87:M$94)+SUM(O$87:O$94)+SUM(Q$87:Q$94)+SUM(S$87:S$94)</f>
        <v>280554.55897346843</v>
      </c>
      <c r="F136" s="112">
        <f>SUM(U$87:U$94)+SUM(W$87:W$94)+SUM(Y$87:Y$94)+SUM(AA$87:AA$94)</f>
        <v>489913.80682502978</v>
      </c>
      <c r="G136" s="112">
        <f>SUM(AC$87:AC$94)+SUM(AE$87:AE$94)+SUM(AG$87:AG$94)+SUM(AI$87:AI$94)</f>
        <v>461983.11779844027</v>
      </c>
      <c r="H136" s="112">
        <f>SUM(AK$87:AK$94)+SUM(AM$87:AM$94)+SUM(AO$87:AO$94)+SUM(AQ$87:AQ$94)</f>
        <v>609750.89769656851</v>
      </c>
      <c r="I136" s="112">
        <f>SUM(AS$87:AS$94)+SUM(AU$87:AU$94)+SUM(AW$87:AW$94)+SUM(AY$87:AY$94)</f>
        <v>64953.847846187171</v>
      </c>
      <c r="J136" s="112">
        <f>SUM(BA$87:BA$94)+SUM(BC$87:BC$94)+SUM(BE$87:BE$94)+SUM(BG$87:BG$94)</f>
        <v>686923.7142867879</v>
      </c>
      <c r="K136" s="112">
        <f>SUM(BI$87:BI$94)+SUM(BK$87:BK$94)+SUM(BM$87:BM$94)+SUM(BO$87:BO$94)</f>
        <v>194531.11929307802</v>
      </c>
      <c r="L136" s="112">
        <f>SUM(BQ$87:BQ$94)+SUM(BS$87:BS$94)+SUM(BU$87:BU$94)+SUM(BW$87:BW$94)</f>
        <v>848832.96035842388</v>
      </c>
      <c r="M136" s="112">
        <f>SUM(BY$87:BY$94)+SUM(CA$87:CA$94)+SUM(CC$87:CC$94)+SUM(CE$87:CE$94)</f>
        <v>74631.497660419787</v>
      </c>
      <c r="N136" s="112">
        <f>SUM(CG$87:CG$94)+SUM(CI$87:CI$94)+SUM(CK$87:CK$94)+SUM(CM$87:CM$94)</f>
        <v>955477.38965363964</v>
      </c>
      <c r="O136" s="112">
        <f>SUM(CO$87:CO$94)+SUM(CQ$87:CQ$94)+SUM(CS$87:CS$94)+SUM(CU$87:CU$94)</f>
        <v>153595</v>
      </c>
    </row>
    <row r="137" spans="2:15" x14ac:dyDescent="0.2">
      <c r="C137" s="111" t="s">
        <v>132</v>
      </c>
      <c r="D137" s="112">
        <f>SUM(E$95:E$105)+SUM(G$95:G$105)+SUM(I$95:I$105)+SUM(K$95:K$105)</f>
        <v>383904.06548864668</v>
      </c>
      <c r="E137" s="112">
        <f>SUM(M$95:M$105)+SUM(O$95:O$105)+SUM(Q$95:Q$105)+SUM(S$95:S$105)</f>
        <v>396766.07459535537</v>
      </c>
      <c r="F137" s="112">
        <f>SUM(U$95:U$105)+SUM(W$95:W$105)+SUM(Y$95:Y$105)+SUM(AA$95:AA$105)</f>
        <v>821403.03908625885</v>
      </c>
      <c r="G137" s="112">
        <f>SUM(AC$95:AC$105)+SUM(AE$95:AE$105)+SUM(AG$95:AG$105)+SUM(AI$95:AI$105)</f>
        <v>383091.80314563989</v>
      </c>
      <c r="H137" s="112">
        <f>SUM(AK$95:AK$105)+SUM(AM$95:AM$105)+SUM(AO$95:AO$105)+SUM(AQ$95:AQ$105)</f>
        <v>381236.2736234389</v>
      </c>
      <c r="I137" s="112">
        <f>SUM(AS$95:AS$105)+SUM(AU$95:AU$105)+SUM(AW$95:AW$105)+SUM(AY$95:AY$105)</f>
        <v>281193.40060321044</v>
      </c>
      <c r="J137" s="112">
        <f>SUM(BA$95:BA$105)+SUM(BC$95:BC$105)+SUM(BE$95:BE$105)+SUM(BG$95:BG$105)</f>
        <v>685986.61765816947</v>
      </c>
      <c r="K137" s="112">
        <f>SUM(BI$95:BI$105)+SUM(BK$95:BK$105)+SUM(BM$95:BM$105)+SUM(BO$95:BO$105)</f>
        <v>258966.20706921941</v>
      </c>
      <c r="L137" s="112">
        <f>SUM(BQ$95:BQ$105)+SUM(BS$95:BS$105)+SUM(BU$95:BU$105)+SUM(BW$95:BW$105)</f>
        <v>879343.10104356741</v>
      </c>
      <c r="M137" s="112">
        <f>SUM(BY$95:BY$105)+SUM(CA$95:CA$105)+SUM(CC$95:CC$105)+SUM(CE$95:CE$105)</f>
        <v>482827.02896371955</v>
      </c>
      <c r="N137" s="112">
        <f>SUM(CG$95:CG$105)+SUM(CI$95:CI$105)+SUM(CK$95:CK$105)+SUM(CM$95:CM$105)</f>
        <v>446190.97562721529</v>
      </c>
      <c r="O137" s="112">
        <f>SUM(CO$95:CO$105)+SUM(CQ$95:CQ$105)+SUM(CS$95:CS$105)+SUM(CU$95:CU$105)</f>
        <v>528836.55348837201</v>
      </c>
    </row>
    <row r="138" spans="2:15" x14ac:dyDescent="0.2">
      <c r="C138" s="111" t="s">
        <v>278</v>
      </c>
      <c r="D138" s="106">
        <f t="shared" ref="D138:O138" si="2">SUM(D$131:D$137)</f>
        <v>611696.04674163158</v>
      </c>
      <c r="E138" s="106">
        <f t="shared" si="2"/>
        <v>866270.71536598518</v>
      </c>
      <c r="F138" s="106">
        <f t="shared" si="2"/>
        <v>1428887.4864830775</v>
      </c>
      <c r="G138" s="106">
        <f t="shared" si="2"/>
        <v>1126049.9463664023</v>
      </c>
      <c r="H138" s="106">
        <f t="shared" si="2"/>
        <v>1106862.2251744666</v>
      </c>
      <c r="I138" s="106">
        <f t="shared" si="2"/>
        <v>630843.52968791174</v>
      </c>
      <c r="J138" s="106">
        <f t="shared" si="2"/>
        <v>1644401.9187517019</v>
      </c>
      <c r="K138" s="106">
        <f t="shared" si="2"/>
        <v>716429.02994599892</v>
      </c>
      <c r="L138" s="106">
        <f t="shared" si="2"/>
        <v>1877999.2136155278</v>
      </c>
      <c r="M138" s="106">
        <f t="shared" si="2"/>
        <v>654363.33909245639</v>
      </c>
      <c r="N138" s="106">
        <f t="shared" si="2"/>
        <v>1687040.7613667354</v>
      </c>
      <c r="O138" s="106">
        <f t="shared" si="2"/>
        <v>872863.65581395337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21</v>
      </c>
      <c r="E49" s="106">
        <v>20689.199999999997</v>
      </c>
      <c r="F49" s="106">
        <v>19</v>
      </c>
      <c r="G49" s="106">
        <v>18718.8</v>
      </c>
      <c r="H49" s="106">
        <v>15</v>
      </c>
      <c r="I49" s="106">
        <v>14777.999999999998</v>
      </c>
      <c r="J49" s="106">
        <v>17</v>
      </c>
      <c r="K49" s="106">
        <v>16748.399999999998</v>
      </c>
      <c r="L49" s="106">
        <v>31.337289545833606</v>
      </c>
      <c r="M49" s="106">
        <v>30873.497660555266</v>
      </c>
      <c r="N49" s="106">
        <v>29</v>
      </c>
      <c r="O49" s="106">
        <v>28570.799999999999</v>
      </c>
      <c r="P49" s="106">
        <v>29</v>
      </c>
      <c r="Q49" s="106">
        <v>28570.799999999999</v>
      </c>
      <c r="R49" s="106">
        <v>29</v>
      </c>
      <c r="S49" s="106">
        <v>28570.799999999999</v>
      </c>
      <c r="T49" s="106">
        <v>19</v>
      </c>
      <c r="U49" s="106">
        <v>18718.8</v>
      </c>
      <c r="V49" s="106">
        <v>20.316734138092333</v>
      </c>
      <c r="W49" s="106">
        <v>20016.046472848564</v>
      </c>
      <c r="X49" s="106">
        <v>15</v>
      </c>
      <c r="Y49" s="106">
        <v>14777.999999999998</v>
      </c>
      <c r="Z49" s="106">
        <v>12.302962797950546</v>
      </c>
      <c r="AA49" s="106">
        <v>12120.878948540876</v>
      </c>
      <c r="AB49" s="106">
        <v>5.3414289668434236</v>
      </c>
      <c r="AC49" s="106">
        <v>5262.3758181341409</v>
      </c>
      <c r="AD49" s="106">
        <v>4</v>
      </c>
      <c r="AE49" s="106">
        <v>3940.7999999999997</v>
      </c>
      <c r="AF49" s="106">
        <v>4</v>
      </c>
      <c r="AG49" s="106">
        <v>3940.7999999999997</v>
      </c>
      <c r="AH49" s="106">
        <v>3.4917817225509533</v>
      </c>
      <c r="AI49" s="106">
        <v>3440.103353057199</v>
      </c>
      <c r="AJ49" s="106">
        <v>6.9260546216644636</v>
      </c>
      <c r="AK49" s="106">
        <v>6823.5490132638288</v>
      </c>
      <c r="AL49" s="106">
        <v>5.0894034764333567</v>
      </c>
      <c r="AM49" s="106">
        <v>5014.0803049821425</v>
      </c>
      <c r="AN49" s="106">
        <v>6.6472906138240822</v>
      </c>
      <c r="AO49" s="106">
        <v>6548.9107127394855</v>
      </c>
      <c r="AP49" s="106">
        <v>7</v>
      </c>
      <c r="AQ49" s="106">
        <v>6896.4</v>
      </c>
      <c r="AR49" s="106">
        <v>6</v>
      </c>
      <c r="AS49" s="106">
        <v>5911.2</v>
      </c>
      <c r="AT49" s="106">
        <v>5</v>
      </c>
      <c r="AU49" s="106">
        <v>4926</v>
      </c>
      <c r="AV49" s="106">
        <v>8</v>
      </c>
      <c r="AW49" s="106">
        <v>7881.5999999999995</v>
      </c>
      <c r="AX49" s="106">
        <v>6</v>
      </c>
      <c r="AY49" s="106">
        <v>5911.2</v>
      </c>
      <c r="AZ49" s="106">
        <v>27</v>
      </c>
      <c r="BA49" s="106">
        <v>26600.399999999998</v>
      </c>
      <c r="BB49" s="106">
        <v>26</v>
      </c>
      <c r="BC49" s="106">
        <v>25615.199999999997</v>
      </c>
      <c r="BD49" s="106">
        <v>41</v>
      </c>
      <c r="BE49" s="106">
        <v>40393.199999999997</v>
      </c>
      <c r="BF49" s="106">
        <v>43</v>
      </c>
      <c r="BG49" s="106">
        <v>42363.6</v>
      </c>
      <c r="BH49" s="106">
        <v>6</v>
      </c>
      <c r="BI49" s="106">
        <v>5911.2</v>
      </c>
      <c r="BJ49" s="106">
        <v>6</v>
      </c>
      <c r="BK49" s="106">
        <v>5911.2</v>
      </c>
      <c r="BL49" s="106">
        <v>6</v>
      </c>
      <c r="BM49" s="106">
        <v>5911.2</v>
      </c>
      <c r="BN49" s="106">
        <v>7.7533383723859917</v>
      </c>
      <c r="BO49" s="106">
        <v>7638.5889644746785</v>
      </c>
      <c r="BP49" s="106">
        <v>7.8935149106901736</v>
      </c>
      <c r="BQ49" s="106">
        <v>7776.6908900119588</v>
      </c>
      <c r="BR49" s="106">
        <v>6</v>
      </c>
      <c r="BS49" s="106">
        <v>5911.2</v>
      </c>
      <c r="BT49" s="106">
        <v>5.6486014087735894</v>
      </c>
      <c r="BU49" s="106">
        <v>5565.0021079237395</v>
      </c>
      <c r="BV49" s="106">
        <v>4.474548963890304</v>
      </c>
      <c r="BW49" s="106">
        <v>4408.3256392247276</v>
      </c>
      <c r="BX49" s="106">
        <v>8</v>
      </c>
      <c r="BY49" s="106">
        <v>7881.5999999999995</v>
      </c>
      <c r="BZ49" s="106">
        <v>8</v>
      </c>
      <c r="CA49" s="106">
        <v>7881.5999999999995</v>
      </c>
      <c r="CB49" s="106">
        <v>9</v>
      </c>
      <c r="CC49" s="106">
        <v>8866.7999999999993</v>
      </c>
      <c r="CD49" s="106">
        <v>7</v>
      </c>
      <c r="CE49" s="106">
        <v>6896.4</v>
      </c>
      <c r="CF49" s="106">
        <v>7.8469607104584664</v>
      </c>
      <c r="CG49" s="106">
        <v>7730.8256919436808</v>
      </c>
      <c r="CH49" s="106">
        <v>10</v>
      </c>
      <c r="CI49" s="106">
        <v>9852</v>
      </c>
      <c r="CJ49" s="106">
        <v>6.7436988633394668</v>
      </c>
      <c r="CK49" s="106">
        <v>6643.8921201620424</v>
      </c>
      <c r="CL49" s="106">
        <v>8.8371370307382211</v>
      </c>
      <c r="CM49" s="106">
        <v>8706.3474026832955</v>
      </c>
      <c r="CN49" s="106">
        <v>26</v>
      </c>
      <c r="CO49" s="106">
        <v>25615.199999999997</v>
      </c>
      <c r="CP49" s="106">
        <v>19</v>
      </c>
      <c r="CQ49" s="106">
        <v>18718.8</v>
      </c>
      <c r="CR49" s="106">
        <v>19</v>
      </c>
      <c r="CS49" s="106">
        <v>18718.8</v>
      </c>
      <c r="CT49" s="106">
        <v>33</v>
      </c>
      <c r="CU49" s="106">
        <v>32511.599999999999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20</v>
      </c>
      <c r="E56" s="106">
        <v>23016</v>
      </c>
      <c r="F56" s="106">
        <v>17</v>
      </c>
      <c r="G56" s="106">
        <v>19563.599999999999</v>
      </c>
      <c r="H56" s="106">
        <v>14</v>
      </c>
      <c r="I56" s="106">
        <v>16111.199999999999</v>
      </c>
      <c r="J56" s="106">
        <v>18</v>
      </c>
      <c r="K56" s="106">
        <v>20714.399999999998</v>
      </c>
      <c r="L56" s="106">
        <v>30.371018500416966</v>
      </c>
      <c r="M56" s="106">
        <v>34950.968090279843</v>
      </c>
      <c r="N56" s="106">
        <v>33</v>
      </c>
      <c r="O56" s="106">
        <v>37976.400000000001</v>
      </c>
      <c r="P56" s="106">
        <v>25</v>
      </c>
      <c r="Q56" s="106">
        <v>28770</v>
      </c>
      <c r="R56" s="106">
        <v>30</v>
      </c>
      <c r="S56" s="106">
        <v>34524</v>
      </c>
      <c r="T56" s="106">
        <v>17</v>
      </c>
      <c r="U56" s="106">
        <v>19563.599999999999</v>
      </c>
      <c r="V56" s="106">
        <v>20.361981872105524</v>
      </c>
      <c r="W56" s="106">
        <v>23432.568738419035</v>
      </c>
      <c r="X56" s="106">
        <v>16</v>
      </c>
      <c r="Y56" s="106">
        <v>18412.8</v>
      </c>
      <c r="Z56" s="106">
        <v>11.302962797950546</v>
      </c>
      <c r="AA56" s="106">
        <v>13007.449587881487</v>
      </c>
      <c r="AB56" s="106">
        <v>5.3902045335353419</v>
      </c>
      <c r="AC56" s="106">
        <v>6203.0473771924708</v>
      </c>
      <c r="AD56" s="106">
        <v>5</v>
      </c>
      <c r="AE56" s="106">
        <v>5754</v>
      </c>
      <c r="AF56" s="106">
        <v>4</v>
      </c>
      <c r="AG56" s="106">
        <v>4603.2</v>
      </c>
      <c r="AH56" s="106">
        <v>3.4917817225509533</v>
      </c>
      <c r="AI56" s="106">
        <v>4018.3424063116368</v>
      </c>
      <c r="AJ56" s="106">
        <v>7.992201380354782</v>
      </c>
      <c r="AK56" s="106">
        <v>9197.4253485122827</v>
      </c>
      <c r="AL56" s="106">
        <v>4.9804631287900207</v>
      </c>
      <c r="AM56" s="106">
        <v>5731.516968611556</v>
      </c>
      <c r="AN56" s="106">
        <v>6.6178683131957143</v>
      </c>
      <c r="AO56" s="106">
        <v>7615.8428548256279</v>
      </c>
      <c r="AP56" s="106">
        <v>6</v>
      </c>
      <c r="AQ56" s="106">
        <v>6904.7999999999993</v>
      </c>
      <c r="AR56" s="106">
        <v>6</v>
      </c>
      <c r="AS56" s="106">
        <v>6904.7999999999993</v>
      </c>
      <c r="AT56" s="106">
        <v>6</v>
      </c>
      <c r="AU56" s="106">
        <v>6904.7999999999993</v>
      </c>
      <c r="AV56" s="106">
        <v>7</v>
      </c>
      <c r="AW56" s="106">
        <v>8055.5999999999995</v>
      </c>
      <c r="AX56" s="106">
        <v>6</v>
      </c>
      <c r="AY56" s="106">
        <v>6904.7999999999993</v>
      </c>
      <c r="AZ56" s="106">
        <v>30</v>
      </c>
      <c r="BA56" s="106">
        <v>34524</v>
      </c>
      <c r="BB56" s="106">
        <v>29</v>
      </c>
      <c r="BC56" s="106">
        <v>33373.199999999997</v>
      </c>
      <c r="BD56" s="106">
        <v>45</v>
      </c>
      <c r="BE56" s="106">
        <v>51786</v>
      </c>
      <c r="BF56" s="106">
        <v>42</v>
      </c>
      <c r="BG56" s="106">
        <v>48333.599999999999</v>
      </c>
      <c r="BH56" s="106">
        <v>5</v>
      </c>
      <c r="BI56" s="106">
        <v>5754</v>
      </c>
      <c r="BJ56" s="106">
        <v>7</v>
      </c>
      <c r="BK56" s="106">
        <v>8055.5999999999995</v>
      </c>
      <c r="BL56" s="106">
        <v>6</v>
      </c>
      <c r="BM56" s="106">
        <v>6904.7999999999993</v>
      </c>
      <c r="BN56" s="106">
        <v>7</v>
      </c>
      <c r="BO56" s="106">
        <v>8055.5999999999995</v>
      </c>
      <c r="BP56" s="106">
        <v>7.9927943452113048</v>
      </c>
      <c r="BQ56" s="106">
        <v>9198.1077324691687</v>
      </c>
      <c r="BR56" s="106">
        <v>6</v>
      </c>
      <c r="BS56" s="106">
        <v>6904.7999999999993</v>
      </c>
      <c r="BT56" s="106">
        <v>5.5987089927140827</v>
      </c>
      <c r="BU56" s="106">
        <v>6442.9943088153659</v>
      </c>
      <c r="BV56" s="106">
        <v>4.474548963890304</v>
      </c>
      <c r="BW56" s="106">
        <v>5149.3109476449617</v>
      </c>
      <c r="BX56" s="106">
        <v>8</v>
      </c>
      <c r="BY56" s="106">
        <v>9206.4</v>
      </c>
      <c r="BZ56" s="106">
        <v>8</v>
      </c>
      <c r="CA56" s="106">
        <v>9206.4</v>
      </c>
      <c r="CB56" s="106">
        <v>9</v>
      </c>
      <c r="CC56" s="106">
        <v>10357.199999999999</v>
      </c>
      <c r="CD56" s="106">
        <v>6</v>
      </c>
      <c r="CE56" s="106">
        <v>6904.7999999999993</v>
      </c>
      <c r="CF56" s="106">
        <v>9.8469607104584664</v>
      </c>
      <c r="CG56" s="106">
        <v>11331.882385595603</v>
      </c>
      <c r="CH56" s="106">
        <v>10</v>
      </c>
      <c r="CI56" s="106">
        <v>11508</v>
      </c>
      <c r="CJ56" s="106">
        <v>5.7045568179005475</v>
      </c>
      <c r="CK56" s="106">
        <v>6564.8039860399495</v>
      </c>
      <c r="CL56" s="106">
        <v>8.886380385487529</v>
      </c>
      <c r="CM56" s="106">
        <v>10226.446547619047</v>
      </c>
      <c r="CN56" s="106">
        <v>23</v>
      </c>
      <c r="CO56" s="106">
        <v>26468.399999999998</v>
      </c>
      <c r="CP56" s="106">
        <v>20</v>
      </c>
      <c r="CQ56" s="106">
        <v>23016</v>
      </c>
      <c r="CR56" s="106">
        <v>20</v>
      </c>
      <c r="CS56" s="106">
        <v>23016</v>
      </c>
      <c r="CT56" s="106">
        <v>32</v>
      </c>
      <c r="CU56" s="106">
        <v>36825.599999999999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19</v>
      </c>
      <c r="E58" s="106">
        <v>22366.799999999999</v>
      </c>
      <c r="F58" s="106">
        <v>17</v>
      </c>
      <c r="G58" s="106">
        <v>20012.400000000001</v>
      </c>
      <c r="H58" s="106">
        <v>13</v>
      </c>
      <c r="I58" s="106">
        <v>15303.6</v>
      </c>
      <c r="J58" s="106">
        <v>15</v>
      </c>
      <c r="K58" s="106">
        <v>17658</v>
      </c>
      <c r="L58" s="106">
        <v>32.303560591250246</v>
      </c>
      <c r="M58" s="106">
        <v>38027.751528019791</v>
      </c>
      <c r="N58" s="106">
        <v>28</v>
      </c>
      <c r="O58" s="106">
        <v>32961.599999999999</v>
      </c>
      <c r="P58" s="106">
        <v>27</v>
      </c>
      <c r="Q58" s="106">
        <v>31784.400000000001</v>
      </c>
      <c r="R58" s="106">
        <v>30</v>
      </c>
      <c r="S58" s="106">
        <v>35316</v>
      </c>
      <c r="T58" s="106">
        <v>16</v>
      </c>
      <c r="U58" s="106">
        <v>18835.2</v>
      </c>
      <c r="V58" s="106">
        <v>21.316734138092333</v>
      </c>
      <c r="W58" s="106">
        <v>25094.059427362296</v>
      </c>
      <c r="X58" s="106">
        <v>15</v>
      </c>
      <c r="Y58" s="106">
        <v>17658</v>
      </c>
      <c r="Z58" s="106">
        <v>10.265092448206728</v>
      </c>
      <c r="AA58" s="106">
        <v>12084.06683002896</v>
      </c>
      <c r="AB58" s="106">
        <v>5.3902045335353419</v>
      </c>
      <c r="AC58" s="106">
        <v>6345.348776877805</v>
      </c>
      <c r="AD58" s="106">
        <v>5</v>
      </c>
      <c r="AE58" s="106">
        <v>5886</v>
      </c>
      <c r="AF58" s="106">
        <v>4</v>
      </c>
      <c r="AG58" s="106">
        <v>4708.8</v>
      </c>
      <c r="AH58" s="106">
        <v>3.4917817225509533</v>
      </c>
      <c r="AI58" s="106">
        <v>4110.5254437869826</v>
      </c>
      <c r="AJ58" s="106">
        <v>7.8599078629741443</v>
      </c>
      <c r="AK58" s="106">
        <v>9252.6835362931633</v>
      </c>
      <c r="AL58" s="106">
        <v>6.0894034764333567</v>
      </c>
      <c r="AM58" s="106">
        <v>7168.4457724573476</v>
      </c>
      <c r="AN58" s="106">
        <v>6.6472906138240822</v>
      </c>
      <c r="AO58" s="106">
        <v>7825.1905105937094</v>
      </c>
      <c r="AP58" s="106">
        <v>6</v>
      </c>
      <c r="AQ58" s="106">
        <v>7063.2000000000007</v>
      </c>
      <c r="AR58" s="106">
        <v>5</v>
      </c>
      <c r="AS58" s="106">
        <v>5886</v>
      </c>
      <c r="AT58" s="106">
        <v>6</v>
      </c>
      <c r="AU58" s="106">
        <v>7063.2000000000007</v>
      </c>
      <c r="AV58" s="106">
        <v>7.623190798106215</v>
      </c>
      <c r="AW58" s="106">
        <v>8974.020207530637</v>
      </c>
      <c r="AX58" s="106">
        <v>6</v>
      </c>
      <c r="AY58" s="106">
        <v>7063.2000000000007</v>
      </c>
      <c r="AZ58" s="106">
        <v>27</v>
      </c>
      <c r="BA58" s="106">
        <v>31784.400000000001</v>
      </c>
      <c r="BB58" s="106">
        <v>24</v>
      </c>
      <c r="BC58" s="106">
        <v>28252.800000000003</v>
      </c>
      <c r="BD58" s="106">
        <v>46</v>
      </c>
      <c r="BE58" s="106">
        <v>54151.200000000004</v>
      </c>
      <c r="BF58" s="106">
        <v>42</v>
      </c>
      <c r="BG58" s="106">
        <v>49442.400000000001</v>
      </c>
      <c r="BH58" s="106">
        <v>6</v>
      </c>
      <c r="BI58" s="106">
        <v>7063.2000000000007</v>
      </c>
      <c r="BJ58" s="106">
        <v>7</v>
      </c>
      <c r="BK58" s="106">
        <v>8240.4</v>
      </c>
      <c r="BL58" s="106">
        <v>6</v>
      </c>
      <c r="BM58" s="106">
        <v>7063.2000000000007</v>
      </c>
      <c r="BN58" s="106">
        <v>7</v>
      </c>
      <c r="BO58" s="106">
        <v>8240.4</v>
      </c>
      <c r="BP58" s="106">
        <v>6.8935149106901736</v>
      </c>
      <c r="BQ58" s="106">
        <v>8115.0457528644729</v>
      </c>
      <c r="BR58" s="106">
        <v>6</v>
      </c>
      <c r="BS58" s="106">
        <v>7063.2000000000007</v>
      </c>
      <c r="BT58" s="106">
        <v>5.5488165766545761</v>
      </c>
      <c r="BU58" s="106">
        <v>6532.0668740377669</v>
      </c>
      <c r="BV58" s="106">
        <v>5.4406526093267109</v>
      </c>
      <c r="BW58" s="106">
        <v>6404.7362516994044</v>
      </c>
      <c r="BX58" s="106">
        <v>8</v>
      </c>
      <c r="BY58" s="106">
        <v>9417.6</v>
      </c>
      <c r="BZ58" s="106">
        <v>9</v>
      </c>
      <c r="CA58" s="106">
        <v>10594.800000000001</v>
      </c>
      <c r="CB58" s="106">
        <v>8</v>
      </c>
      <c r="CC58" s="106">
        <v>9417.6</v>
      </c>
      <c r="CD58" s="106">
        <v>6</v>
      </c>
      <c r="CE58" s="106">
        <v>7063.2000000000007</v>
      </c>
      <c r="CF58" s="106">
        <v>8.9276236352640339</v>
      </c>
      <c r="CG58" s="106">
        <v>10509.598543432821</v>
      </c>
      <c r="CH58" s="106">
        <v>10</v>
      </c>
      <c r="CI58" s="106">
        <v>11772</v>
      </c>
      <c r="CJ58" s="106">
        <v>5.7436988633394668</v>
      </c>
      <c r="CK58" s="106">
        <v>6761.4823019232208</v>
      </c>
      <c r="CL58" s="106">
        <v>7.8863803854875281</v>
      </c>
      <c r="CM58" s="106">
        <v>9283.8469897959185</v>
      </c>
      <c r="CN58" s="106">
        <v>24</v>
      </c>
      <c r="CO58" s="106">
        <v>28252.800000000003</v>
      </c>
      <c r="CP58" s="106">
        <v>20</v>
      </c>
      <c r="CQ58" s="106">
        <v>23544</v>
      </c>
      <c r="CR58" s="106">
        <v>19</v>
      </c>
      <c r="CS58" s="106">
        <v>22366.799999999999</v>
      </c>
      <c r="CT58" s="106">
        <v>28</v>
      </c>
      <c r="CU58" s="106">
        <v>32961.599999999999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10</v>
      </c>
      <c r="E71" s="106">
        <v>5640</v>
      </c>
      <c r="F71" s="106">
        <v>6</v>
      </c>
      <c r="G71" s="106">
        <v>3384</v>
      </c>
      <c r="H71" s="106">
        <v>7.4971383975026011</v>
      </c>
      <c r="I71" s="106">
        <v>4228.3860561914671</v>
      </c>
      <c r="J71" s="106">
        <v>7.7522940898362283</v>
      </c>
      <c r="K71" s="106">
        <v>4372.2938666676328</v>
      </c>
      <c r="L71" s="106">
        <v>3.9106817737507331</v>
      </c>
      <c r="M71" s="106">
        <v>2205.6245203954136</v>
      </c>
      <c r="N71" s="106">
        <v>5</v>
      </c>
      <c r="O71" s="106">
        <v>2820</v>
      </c>
      <c r="P71" s="106">
        <v>5</v>
      </c>
      <c r="Q71" s="106">
        <v>2820</v>
      </c>
      <c r="R71" s="106">
        <v>4.3421448295515965</v>
      </c>
      <c r="S71" s="106">
        <v>2448.9696838671002</v>
      </c>
      <c r="T71" s="106">
        <v>27</v>
      </c>
      <c r="U71" s="106">
        <v>15228</v>
      </c>
      <c r="V71" s="106">
        <v>24.904954680263813</v>
      </c>
      <c r="W71" s="106">
        <v>14046.394439668791</v>
      </c>
      <c r="X71" s="106">
        <v>20</v>
      </c>
      <c r="Y71" s="106">
        <v>11280</v>
      </c>
      <c r="Z71" s="106">
        <v>35.71953664513255</v>
      </c>
      <c r="AA71" s="106">
        <v>20145.818667854757</v>
      </c>
      <c r="AB71" s="106">
        <v>15.682857933686847</v>
      </c>
      <c r="AC71" s="106">
        <v>8845.1318745993813</v>
      </c>
      <c r="AD71" s="106">
        <v>11</v>
      </c>
      <c r="AE71" s="106">
        <v>6204</v>
      </c>
      <c r="AF71" s="106">
        <v>11</v>
      </c>
      <c r="AG71" s="106">
        <v>6204</v>
      </c>
      <c r="AH71" s="106">
        <v>15.786850756081526</v>
      </c>
      <c r="AI71" s="106">
        <v>8903.7838264299808</v>
      </c>
      <c r="AJ71" s="106">
        <v>14.330733793451595</v>
      </c>
      <c r="AK71" s="106">
        <v>8082.5338595066996</v>
      </c>
      <c r="AL71" s="106">
        <v>12.363134492144452</v>
      </c>
      <c r="AM71" s="106">
        <v>6972.8078535694713</v>
      </c>
      <c r="AN71" s="106">
        <v>16.411912208797144</v>
      </c>
      <c r="AO71" s="106">
        <v>9256.3184857615888</v>
      </c>
      <c r="AP71" s="106">
        <v>16</v>
      </c>
      <c r="AQ71" s="106">
        <v>9024</v>
      </c>
      <c r="AR71" s="106">
        <v>14</v>
      </c>
      <c r="AS71" s="106">
        <v>7896</v>
      </c>
      <c r="AT71" s="106">
        <v>20.616446583937609</v>
      </c>
      <c r="AU71" s="106">
        <v>11627.675873340811</v>
      </c>
      <c r="AV71" s="106">
        <v>26.934040407915838</v>
      </c>
      <c r="AW71" s="106">
        <v>15190.798790064533</v>
      </c>
      <c r="AX71" s="106">
        <v>15</v>
      </c>
      <c r="AY71" s="106">
        <v>8460</v>
      </c>
      <c r="AZ71" s="106">
        <v>5</v>
      </c>
      <c r="BA71" s="106">
        <v>2820</v>
      </c>
      <c r="BB71" s="106">
        <v>6</v>
      </c>
      <c r="BC71" s="106">
        <v>3384</v>
      </c>
      <c r="BD71" s="106">
        <v>4</v>
      </c>
      <c r="BE71" s="106">
        <v>2256</v>
      </c>
      <c r="BF71" s="106">
        <v>4</v>
      </c>
      <c r="BG71" s="106">
        <v>2256</v>
      </c>
      <c r="BH71" s="106">
        <v>18</v>
      </c>
      <c r="BI71" s="106">
        <v>10152</v>
      </c>
      <c r="BJ71" s="106">
        <v>19</v>
      </c>
      <c r="BK71" s="106">
        <v>10716</v>
      </c>
      <c r="BL71" s="106">
        <v>19</v>
      </c>
      <c r="BM71" s="106">
        <v>10716</v>
      </c>
      <c r="BN71" s="106">
        <v>14</v>
      </c>
      <c r="BO71" s="106">
        <v>7896</v>
      </c>
      <c r="BP71" s="106">
        <v>7</v>
      </c>
      <c r="BQ71" s="106">
        <v>3948</v>
      </c>
      <c r="BR71" s="106">
        <v>5</v>
      </c>
      <c r="BS71" s="106">
        <v>2820</v>
      </c>
      <c r="BT71" s="106">
        <v>9.4490317445355618</v>
      </c>
      <c r="BU71" s="106">
        <v>5329.2539039180565</v>
      </c>
      <c r="BV71" s="106">
        <v>7</v>
      </c>
      <c r="BW71" s="106">
        <v>3948</v>
      </c>
      <c r="BX71" s="106">
        <v>6.5650912509704398</v>
      </c>
      <c r="BY71" s="106">
        <v>3702.7114655473279</v>
      </c>
      <c r="BZ71" s="106">
        <v>7.5010920297929973</v>
      </c>
      <c r="CA71" s="106">
        <v>4230.6159048032505</v>
      </c>
      <c r="CB71" s="106">
        <v>4</v>
      </c>
      <c r="CC71" s="106">
        <v>2256</v>
      </c>
      <c r="CD71" s="106">
        <v>8</v>
      </c>
      <c r="CE71" s="106">
        <v>4512</v>
      </c>
      <c r="CF71" s="106">
        <v>12</v>
      </c>
      <c r="CG71" s="106">
        <v>6768</v>
      </c>
      <c r="CH71" s="106">
        <v>16</v>
      </c>
      <c r="CI71" s="106">
        <v>9024</v>
      </c>
      <c r="CJ71" s="106">
        <v>16</v>
      </c>
      <c r="CK71" s="106">
        <v>9024</v>
      </c>
      <c r="CL71" s="106">
        <v>15</v>
      </c>
      <c r="CM71" s="106">
        <v>8460</v>
      </c>
      <c r="CN71" s="106">
        <v>4</v>
      </c>
      <c r="CO71" s="106">
        <v>2256</v>
      </c>
      <c r="CP71" s="106">
        <v>6</v>
      </c>
      <c r="CQ71" s="106">
        <v>3384</v>
      </c>
      <c r="CR71" s="106">
        <v>6</v>
      </c>
      <c r="CS71" s="106">
        <v>3384</v>
      </c>
      <c r="CT71" s="106">
        <v>7</v>
      </c>
      <c r="CU71" s="106">
        <v>3948</v>
      </c>
    </row>
    <row r="72" spans="2:99" x14ac:dyDescent="0.2">
      <c r="C72" s="105" t="s">
        <v>238</v>
      </c>
      <c r="D72" s="106">
        <v>9</v>
      </c>
      <c r="E72" s="106">
        <v>669.59999999999991</v>
      </c>
      <c r="F72" s="106">
        <v>6</v>
      </c>
      <c r="G72" s="106">
        <v>446.4</v>
      </c>
      <c r="H72" s="106">
        <v>8.5965660770031214</v>
      </c>
      <c r="I72" s="106">
        <v>639.58451612903218</v>
      </c>
      <c r="J72" s="106">
        <v>8.7104999737342155</v>
      </c>
      <c r="K72" s="106">
        <v>648.06119804582556</v>
      </c>
      <c r="L72" s="106">
        <v>5.0793265466675352</v>
      </c>
      <c r="M72" s="106">
        <v>377.90189507206458</v>
      </c>
      <c r="N72" s="106">
        <v>6</v>
      </c>
      <c r="O72" s="106">
        <v>446.4</v>
      </c>
      <c r="P72" s="106">
        <v>5</v>
      </c>
      <c r="Q72" s="106">
        <v>371.99999999999994</v>
      </c>
      <c r="R72" s="106">
        <v>4.2924357617904265</v>
      </c>
      <c r="S72" s="106">
        <v>319.35722067720769</v>
      </c>
      <c r="T72" s="106">
        <v>33</v>
      </c>
      <c r="U72" s="106">
        <v>2455.1999999999998</v>
      </c>
      <c r="V72" s="106">
        <v>25.859706946250622</v>
      </c>
      <c r="W72" s="106">
        <v>1923.962196801046</v>
      </c>
      <c r="X72" s="106">
        <v>20</v>
      </c>
      <c r="Y72" s="106">
        <v>1487.9999999999998</v>
      </c>
      <c r="Z72" s="106">
        <v>41.757406994876362</v>
      </c>
      <c r="AA72" s="106">
        <v>3106.7510804188009</v>
      </c>
      <c r="AB72" s="106">
        <v>16.682857933686847</v>
      </c>
      <c r="AC72" s="106">
        <v>1241.2046302663014</v>
      </c>
      <c r="AD72" s="106">
        <v>12</v>
      </c>
      <c r="AE72" s="106">
        <v>892.8</v>
      </c>
      <c r="AF72" s="106">
        <v>11</v>
      </c>
      <c r="AG72" s="106">
        <v>818.39999999999986</v>
      </c>
      <c r="AH72" s="106">
        <v>16.786850756081524</v>
      </c>
      <c r="AI72" s="106">
        <v>1248.9416962524651</v>
      </c>
      <c r="AJ72" s="106">
        <v>15.330733793451595</v>
      </c>
      <c r="AK72" s="106">
        <v>1140.6065942327984</v>
      </c>
      <c r="AL72" s="106">
        <v>13.363134492144452</v>
      </c>
      <c r="AM72" s="106">
        <v>994.21720621554709</v>
      </c>
      <c r="AN72" s="106">
        <v>19.470756810053878</v>
      </c>
      <c r="AO72" s="106">
        <v>1448.6243066680083</v>
      </c>
      <c r="AP72" s="106">
        <v>18</v>
      </c>
      <c r="AQ72" s="106">
        <v>1339.1999999999998</v>
      </c>
      <c r="AR72" s="106">
        <v>15</v>
      </c>
      <c r="AS72" s="106">
        <v>1115.9999999999998</v>
      </c>
      <c r="AT72" s="106">
        <v>19.702231717837204</v>
      </c>
      <c r="AU72" s="106">
        <v>1465.8460398070879</v>
      </c>
      <c r="AV72" s="106">
        <v>26.105955110841691</v>
      </c>
      <c r="AW72" s="106">
        <v>1942.2830602466215</v>
      </c>
      <c r="AX72" s="106">
        <v>17</v>
      </c>
      <c r="AY72" s="106">
        <v>1264.8</v>
      </c>
      <c r="AZ72" s="106">
        <v>4</v>
      </c>
      <c r="BA72" s="106">
        <v>297.59999999999997</v>
      </c>
      <c r="BB72" s="106">
        <v>6</v>
      </c>
      <c r="BC72" s="106">
        <v>446.4</v>
      </c>
      <c r="BD72" s="106">
        <v>4</v>
      </c>
      <c r="BE72" s="106">
        <v>297.59999999999997</v>
      </c>
      <c r="BF72" s="106">
        <v>4</v>
      </c>
      <c r="BG72" s="106">
        <v>297.59999999999997</v>
      </c>
      <c r="BH72" s="106">
        <v>21</v>
      </c>
      <c r="BI72" s="106">
        <v>1562.3999999999999</v>
      </c>
      <c r="BJ72" s="106">
        <v>20</v>
      </c>
      <c r="BK72" s="106">
        <v>1487.9999999999998</v>
      </c>
      <c r="BL72" s="106">
        <v>18</v>
      </c>
      <c r="BM72" s="106">
        <v>1339.1999999999998</v>
      </c>
      <c r="BN72" s="106">
        <v>17</v>
      </c>
      <c r="BO72" s="106">
        <v>1264.8</v>
      </c>
      <c r="BP72" s="106">
        <v>7</v>
      </c>
      <c r="BQ72" s="106">
        <v>520.79999999999995</v>
      </c>
      <c r="BR72" s="106">
        <v>4</v>
      </c>
      <c r="BS72" s="106">
        <v>297.59999999999997</v>
      </c>
      <c r="BT72" s="106">
        <v>9.3991393284760552</v>
      </c>
      <c r="BU72" s="106">
        <v>699.29596603861842</v>
      </c>
      <c r="BV72" s="106">
        <v>7</v>
      </c>
      <c r="BW72" s="106">
        <v>520.79999999999995</v>
      </c>
      <c r="BX72" s="106">
        <v>6.6216003760674838</v>
      </c>
      <c r="BY72" s="106">
        <v>492.64706797942074</v>
      </c>
      <c r="BZ72" s="106">
        <v>7.5274652945189446</v>
      </c>
      <c r="CA72" s="106">
        <v>560.04341791220941</v>
      </c>
      <c r="CB72" s="106">
        <v>5</v>
      </c>
      <c r="CC72" s="106">
        <v>371.99999999999994</v>
      </c>
      <c r="CD72" s="106">
        <v>9</v>
      </c>
      <c r="CE72" s="106">
        <v>669.59999999999991</v>
      </c>
      <c r="CF72" s="106">
        <v>12</v>
      </c>
      <c r="CG72" s="106">
        <v>892.8</v>
      </c>
      <c r="CH72" s="106">
        <v>18</v>
      </c>
      <c r="CI72" s="106">
        <v>1339.1999999999998</v>
      </c>
      <c r="CJ72" s="106">
        <v>17</v>
      </c>
      <c r="CK72" s="106">
        <v>1264.8</v>
      </c>
      <c r="CL72" s="106">
        <v>16</v>
      </c>
      <c r="CM72" s="106">
        <v>1190.3999999999999</v>
      </c>
      <c r="CN72" s="106">
        <v>5</v>
      </c>
      <c r="CO72" s="106">
        <v>371.99999999999994</v>
      </c>
      <c r="CP72" s="106">
        <v>6</v>
      </c>
      <c r="CQ72" s="106">
        <v>446.4</v>
      </c>
      <c r="CR72" s="106">
        <v>7</v>
      </c>
      <c r="CS72" s="106">
        <v>520.79999999999995</v>
      </c>
      <c r="CT72" s="106">
        <v>7</v>
      </c>
      <c r="CU72" s="106">
        <v>520.79999999999995</v>
      </c>
    </row>
    <row r="73" spans="2:99" x14ac:dyDescent="0.2">
      <c r="C73" s="105" t="s">
        <v>239</v>
      </c>
      <c r="D73" s="106">
        <v>8</v>
      </c>
      <c r="E73" s="106">
        <v>4473.5999999999995</v>
      </c>
      <c r="F73" s="106">
        <v>6</v>
      </c>
      <c r="G73" s="106">
        <v>3355.2</v>
      </c>
      <c r="H73" s="106">
        <v>7.5302809573361085</v>
      </c>
      <c r="I73" s="106">
        <v>4210.9331113423514</v>
      </c>
      <c r="J73" s="106">
        <v>7.7104999737342155</v>
      </c>
      <c r="K73" s="106">
        <v>4311.7115853121732</v>
      </c>
      <c r="L73" s="106">
        <v>3.9106817737507331</v>
      </c>
      <c r="M73" s="106">
        <v>2186.8532478814095</v>
      </c>
      <c r="N73" s="106">
        <v>5</v>
      </c>
      <c r="O73" s="106">
        <v>2795.9999999999995</v>
      </c>
      <c r="P73" s="106">
        <v>5</v>
      </c>
      <c r="Q73" s="106">
        <v>2795.9999999999995</v>
      </c>
      <c r="R73" s="106">
        <v>4.3421448295515965</v>
      </c>
      <c r="S73" s="106">
        <v>2428.1273886852523</v>
      </c>
      <c r="T73" s="106">
        <v>28</v>
      </c>
      <c r="U73" s="106">
        <v>15657.599999999999</v>
      </c>
      <c r="V73" s="106">
        <v>26.814459212237431</v>
      </c>
      <c r="W73" s="106">
        <v>14994.645591483169</v>
      </c>
      <c r="X73" s="106">
        <v>19</v>
      </c>
      <c r="Y73" s="106">
        <v>10624.8</v>
      </c>
      <c r="Z73" s="106">
        <v>39.795277344620182</v>
      </c>
      <c r="AA73" s="106">
        <v>22253.519091111604</v>
      </c>
      <c r="AB73" s="106">
        <v>15.731633500378766</v>
      </c>
      <c r="AC73" s="106">
        <v>8797.1294534118042</v>
      </c>
      <c r="AD73" s="106">
        <v>12</v>
      </c>
      <c r="AE73" s="106">
        <v>6710.4</v>
      </c>
      <c r="AF73" s="106">
        <v>11</v>
      </c>
      <c r="AG73" s="106">
        <v>6151.1999999999989</v>
      </c>
      <c r="AH73" s="106">
        <v>14.737672583826431</v>
      </c>
      <c r="AI73" s="106">
        <v>8241.3065088757394</v>
      </c>
      <c r="AJ73" s="106">
        <v>14.297660414106435</v>
      </c>
      <c r="AK73" s="106">
        <v>7995.2517035683177</v>
      </c>
      <c r="AL73" s="106">
        <v>12.326821042930007</v>
      </c>
      <c r="AM73" s="106">
        <v>6893.158327206459</v>
      </c>
      <c r="AN73" s="106">
        <v>18.441334509425509</v>
      </c>
      <c r="AO73" s="106">
        <v>10312.394257670743</v>
      </c>
      <c r="AP73" s="106">
        <v>15</v>
      </c>
      <c r="AQ73" s="106">
        <v>8387.9999999999982</v>
      </c>
      <c r="AR73" s="106">
        <v>14</v>
      </c>
      <c r="AS73" s="106">
        <v>7828.7999999999993</v>
      </c>
      <c r="AT73" s="106">
        <v>18.187520914439641</v>
      </c>
      <c r="AU73" s="106">
        <v>10170.461695354647</v>
      </c>
      <c r="AV73" s="106">
        <v>24.611700339929865</v>
      </c>
      <c r="AW73" s="106">
        <v>13762.862830088779</v>
      </c>
      <c r="AX73" s="106">
        <v>16</v>
      </c>
      <c r="AY73" s="106">
        <v>8947.1999999999989</v>
      </c>
      <c r="AZ73" s="106">
        <v>5</v>
      </c>
      <c r="BA73" s="106">
        <v>2795.9999999999995</v>
      </c>
      <c r="BB73" s="106">
        <v>5</v>
      </c>
      <c r="BC73" s="106">
        <v>2795.9999999999995</v>
      </c>
      <c r="BD73" s="106">
        <v>4</v>
      </c>
      <c r="BE73" s="106">
        <v>2236.7999999999997</v>
      </c>
      <c r="BF73" s="106">
        <v>4</v>
      </c>
      <c r="BG73" s="106">
        <v>2236.7999999999997</v>
      </c>
      <c r="BH73" s="106">
        <v>18</v>
      </c>
      <c r="BI73" s="106">
        <v>10065.599999999999</v>
      </c>
      <c r="BJ73" s="106">
        <v>17</v>
      </c>
      <c r="BK73" s="106">
        <v>9506.4</v>
      </c>
      <c r="BL73" s="106">
        <v>17</v>
      </c>
      <c r="BM73" s="106">
        <v>9506.4</v>
      </c>
      <c r="BN73" s="106">
        <v>15</v>
      </c>
      <c r="BO73" s="106">
        <v>8387.9999999999982</v>
      </c>
      <c r="BP73" s="106">
        <v>7</v>
      </c>
      <c r="BQ73" s="106">
        <v>3914.3999999999996</v>
      </c>
      <c r="BR73" s="106">
        <v>5</v>
      </c>
      <c r="BS73" s="106">
        <v>2795.9999999999995</v>
      </c>
      <c r="BT73" s="106">
        <v>8.3991393284760552</v>
      </c>
      <c r="BU73" s="106">
        <v>4696.7987124838091</v>
      </c>
      <c r="BV73" s="106">
        <v>7</v>
      </c>
      <c r="BW73" s="106">
        <v>3914.3999999999996</v>
      </c>
      <c r="BX73" s="106">
        <v>5.5650912509704398</v>
      </c>
      <c r="BY73" s="106">
        <v>3111.9990275426694</v>
      </c>
      <c r="BZ73" s="106">
        <v>6.5010920297929973</v>
      </c>
      <c r="CA73" s="106">
        <v>3635.4106630602437</v>
      </c>
      <c r="CB73" s="106">
        <v>4</v>
      </c>
      <c r="CC73" s="106">
        <v>2236.7999999999997</v>
      </c>
      <c r="CD73" s="106">
        <v>8</v>
      </c>
      <c r="CE73" s="106">
        <v>4473.5999999999995</v>
      </c>
      <c r="CF73" s="106">
        <v>12</v>
      </c>
      <c r="CG73" s="106">
        <v>6710.4</v>
      </c>
      <c r="CH73" s="106">
        <v>19</v>
      </c>
      <c r="CI73" s="106">
        <v>10624.8</v>
      </c>
      <c r="CJ73" s="106">
        <v>18</v>
      </c>
      <c r="CK73" s="106">
        <v>10065.599999999999</v>
      </c>
      <c r="CL73" s="106">
        <v>14</v>
      </c>
      <c r="CM73" s="106">
        <v>7828.7999999999993</v>
      </c>
      <c r="CN73" s="106">
        <v>4</v>
      </c>
      <c r="CO73" s="106">
        <v>2236.7999999999997</v>
      </c>
      <c r="CP73" s="106">
        <v>5</v>
      </c>
      <c r="CQ73" s="106">
        <v>2795.9999999999995</v>
      </c>
      <c r="CR73" s="106">
        <v>6</v>
      </c>
      <c r="CS73" s="106">
        <v>3355.2</v>
      </c>
      <c r="CT73" s="106">
        <v>7</v>
      </c>
      <c r="CU73" s="106">
        <v>3914.3999999999996</v>
      </c>
    </row>
    <row r="74" spans="2:99" x14ac:dyDescent="0.2">
      <c r="C74" s="105" t="s">
        <v>240</v>
      </c>
      <c r="D74" s="106">
        <v>8</v>
      </c>
      <c r="E74" s="106">
        <v>3225.6</v>
      </c>
      <c r="F74" s="106">
        <v>6</v>
      </c>
      <c r="G74" s="106">
        <v>2419.1999999999998</v>
      </c>
      <c r="H74" s="106">
        <v>7.5634235171696149</v>
      </c>
      <c r="I74" s="106">
        <v>3049.5723621227885</v>
      </c>
      <c r="J74" s="106">
        <v>8.7522940898362283</v>
      </c>
      <c r="K74" s="106">
        <v>3528.9249770219672</v>
      </c>
      <c r="L74" s="106">
        <v>4.9444107283340939</v>
      </c>
      <c r="M74" s="106">
        <v>1993.5864056643065</v>
      </c>
      <c r="N74" s="106">
        <v>6</v>
      </c>
      <c r="O74" s="106">
        <v>2419.1999999999998</v>
      </c>
      <c r="P74" s="106">
        <v>5</v>
      </c>
      <c r="Q74" s="106">
        <v>2016</v>
      </c>
      <c r="R74" s="106">
        <v>4.3918538973127665</v>
      </c>
      <c r="S74" s="106">
        <v>1770.7954913965075</v>
      </c>
      <c r="T74" s="106">
        <v>32</v>
      </c>
      <c r="U74" s="106">
        <v>12902.4</v>
      </c>
      <c r="V74" s="106">
        <v>24.950202414277001</v>
      </c>
      <c r="W74" s="106">
        <v>10059.921613436487</v>
      </c>
      <c r="X74" s="106">
        <v>19</v>
      </c>
      <c r="Y74" s="106">
        <v>7660.8</v>
      </c>
      <c r="Z74" s="106">
        <v>35.71953664513255</v>
      </c>
      <c r="AA74" s="106">
        <v>14402.117175317444</v>
      </c>
      <c r="AB74" s="106">
        <v>15.731633500378766</v>
      </c>
      <c r="AC74" s="106">
        <v>6342.9946273527185</v>
      </c>
      <c r="AD74" s="106">
        <v>10</v>
      </c>
      <c r="AE74" s="106">
        <v>4032</v>
      </c>
      <c r="AF74" s="106">
        <v>11</v>
      </c>
      <c r="AG74" s="106">
        <v>4435.2</v>
      </c>
      <c r="AH74" s="106">
        <v>15</v>
      </c>
      <c r="AI74" s="106">
        <v>6048</v>
      </c>
      <c r="AJ74" s="106">
        <v>13.330733793451595</v>
      </c>
      <c r="AK74" s="106">
        <v>5374.9518655196825</v>
      </c>
      <c r="AL74" s="106">
        <v>11.326821042930007</v>
      </c>
      <c r="AM74" s="106">
        <v>4566.9742445093789</v>
      </c>
      <c r="AN74" s="106">
        <v>17.411912208797144</v>
      </c>
      <c r="AO74" s="106">
        <v>7020.4830025870087</v>
      </c>
      <c r="AP74" s="106">
        <v>16</v>
      </c>
      <c r="AQ74" s="106">
        <v>6451.2</v>
      </c>
      <c r="AR74" s="106">
        <v>13</v>
      </c>
      <c r="AS74" s="106">
        <v>5241.5999999999995</v>
      </c>
      <c r="AT74" s="106">
        <v>20.659339150887408</v>
      </c>
      <c r="AU74" s="106">
        <v>8329.8455456378033</v>
      </c>
      <c r="AV74" s="106">
        <v>24.955529745781568</v>
      </c>
      <c r="AW74" s="106">
        <v>10062.069593499127</v>
      </c>
      <c r="AX74" s="106">
        <v>15</v>
      </c>
      <c r="AY74" s="106">
        <v>6048</v>
      </c>
      <c r="AZ74" s="106">
        <v>5</v>
      </c>
      <c r="BA74" s="106">
        <v>2016</v>
      </c>
      <c r="BB74" s="106">
        <v>5</v>
      </c>
      <c r="BC74" s="106">
        <v>2016</v>
      </c>
      <c r="BD74" s="106">
        <v>5</v>
      </c>
      <c r="BE74" s="106">
        <v>2016</v>
      </c>
      <c r="BF74" s="106">
        <v>4</v>
      </c>
      <c r="BG74" s="106">
        <v>1612.8</v>
      </c>
      <c r="BH74" s="106">
        <v>17</v>
      </c>
      <c r="BI74" s="106">
        <v>6854.4</v>
      </c>
      <c r="BJ74" s="106">
        <v>20</v>
      </c>
      <c r="BK74" s="106">
        <v>8064</v>
      </c>
      <c r="BL74" s="106">
        <v>17</v>
      </c>
      <c r="BM74" s="106">
        <v>6854.4</v>
      </c>
      <c r="BN74" s="106">
        <v>16</v>
      </c>
      <c r="BO74" s="106">
        <v>6451.2</v>
      </c>
      <c r="BP74" s="106">
        <v>7</v>
      </c>
      <c r="BQ74" s="106">
        <v>2822.4</v>
      </c>
      <c r="BR74" s="106">
        <v>5</v>
      </c>
      <c r="BS74" s="106">
        <v>2016</v>
      </c>
      <c r="BT74" s="106">
        <v>9.4490317445355618</v>
      </c>
      <c r="BU74" s="106">
        <v>3809.8495993967385</v>
      </c>
      <c r="BV74" s="106">
        <v>7.4067562547631178</v>
      </c>
      <c r="BW74" s="106">
        <v>2986.4041219204892</v>
      </c>
      <c r="BX74" s="106">
        <v>6.6216003760674838</v>
      </c>
      <c r="BY74" s="106">
        <v>2669.8292716304095</v>
      </c>
      <c r="BZ74" s="106">
        <v>7.5802118239708394</v>
      </c>
      <c r="CA74" s="106">
        <v>3056.3414074250422</v>
      </c>
      <c r="CB74" s="106">
        <v>5</v>
      </c>
      <c r="CC74" s="106">
        <v>2016</v>
      </c>
      <c r="CD74" s="106">
        <v>8</v>
      </c>
      <c r="CE74" s="106">
        <v>3225.6</v>
      </c>
      <c r="CF74" s="106">
        <v>11</v>
      </c>
      <c r="CG74" s="106">
        <v>4435.2</v>
      </c>
      <c r="CH74" s="106">
        <v>18</v>
      </c>
      <c r="CI74" s="106">
        <v>7257.5999999999995</v>
      </c>
      <c r="CJ74" s="106">
        <v>16</v>
      </c>
      <c r="CK74" s="106">
        <v>6451.2</v>
      </c>
      <c r="CL74" s="106">
        <v>14</v>
      </c>
      <c r="CM74" s="106">
        <v>5644.8</v>
      </c>
      <c r="CN74" s="106">
        <v>4</v>
      </c>
      <c r="CO74" s="106">
        <v>1612.8</v>
      </c>
      <c r="CP74" s="106">
        <v>6</v>
      </c>
      <c r="CQ74" s="106">
        <v>2419.1999999999998</v>
      </c>
      <c r="CR74" s="106">
        <v>7</v>
      </c>
      <c r="CS74" s="106">
        <v>2822.4</v>
      </c>
      <c r="CT74" s="106">
        <v>7</v>
      </c>
      <c r="CU74" s="106">
        <v>2822.4</v>
      </c>
    </row>
    <row r="75" spans="2:99" x14ac:dyDescent="0.2">
      <c r="C75" s="105" t="s">
        <v>241</v>
      </c>
      <c r="D75" s="106">
        <v>9</v>
      </c>
      <c r="E75" s="106">
        <v>5788.7999999999993</v>
      </c>
      <c r="F75" s="106">
        <v>5</v>
      </c>
      <c r="G75" s="106">
        <v>3215.9999999999995</v>
      </c>
      <c r="H75" s="106">
        <v>7.5965660770031214</v>
      </c>
      <c r="I75" s="106">
        <v>4886.1113007284075</v>
      </c>
      <c r="J75" s="106">
        <v>7.7522940898362283</v>
      </c>
      <c r="K75" s="106">
        <v>4986.2755585826617</v>
      </c>
      <c r="L75" s="106">
        <v>3.9781396829174538</v>
      </c>
      <c r="M75" s="106">
        <v>2558.7394440525059</v>
      </c>
      <c r="N75" s="106">
        <v>6</v>
      </c>
      <c r="O75" s="106">
        <v>3859.2</v>
      </c>
      <c r="P75" s="106">
        <v>5</v>
      </c>
      <c r="Q75" s="106">
        <v>3215.9999999999995</v>
      </c>
      <c r="R75" s="106">
        <v>4.1930176262680856</v>
      </c>
      <c r="S75" s="106">
        <v>2696.9489372156322</v>
      </c>
      <c r="T75" s="106">
        <v>28</v>
      </c>
      <c r="U75" s="106">
        <v>18009.599999999999</v>
      </c>
      <c r="V75" s="106">
        <v>26.814459212237431</v>
      </c>
      <c r="W75" s="106">
        <v>17247.060165311115</v>
      </c>
      <c r="X75" s="106">
        <v>18</v>
      </c>
      <c r="Y75" s="106">
        <v>11577.599999999999</v>
      </c>
      <c r="Z75" s="106">
        <v>34.795277344620182</v>
      </c>
      <c r="AA75" s="106">
        <v>22380.3223880597</v>
      </c>
      <c r="AB75" s="106">
        <v>14.682857933686847</v>
      </c>
      <c r="AC75" s="106">
        <v>9444.0142229473786</v>
      </c>
      <c r="AD75" s="106">
        <v>10</v>
      </c>
      <c r="AE75" s="106">
        <v>6431.9999999999991</v>
      </c>
      <c r="AF75" s="106">
        <v>10</v>
      </c>
      <c r="AG75" s="106">
        <v>6431.9999999999991</v>
      </c>
      <c r="AH75" s="106">
        <v>13.836028928336621</v>
      </c>
      <c r="AI75" s="106">
        <v>8899.333806706114</v>
      </c>
      <c r="AJ75" s="106">
        <v>13.297660414106435</v>
      </c>
      <c r="AK75" s="106">
        <v>8553.0551783532574</v>
      </c>
      <c r="AL75" s="106">
        <v>11.363134492144452</v>
      </c>
      <c r="AM75" s="106">
        <v>7308.7681053473107</v>
      </c>
      <c r="AN75" s="106">
        <v>17.382489908168775</v>
      </c>
      <c r="AO75" s="106">
        <v>11180.417508934155</v>
      </c>
      <c r="AP75" s="106">
        <v>17</v>
      </c>
      <c r="AQ75" s="106">
        <v>10934.4</v>
      </c>
      <c r="AR75" s="106">
        <v>12</v>
      </c>
      <c r="AS75" s="106">
        <v>7718.4</v>
      </c>
      <c r="AT75" s="106">
        <v>20.359091182238828</v>
      </c>
      <c r="AU75" s="106">
        <v>13094.967448416013</v>
      </c>
      <c r="AV75" s="106">
        <v>23.869572394318645</v>
      </c>
      <c r="AW75" s="106">
        <v>15352.908964025752</v>
      </c>
      <c r="AX75" s="106">
        <v>14</v>
      </c>
      <c r="AY75" s="106">
        <v>9004.7999999999993</v>
      </c>
      <c r="AZ75" s="106">
        <v>4</v>
      </c>
      <c r="BA75" s="106">
        <v>2572.7999999999997</v>
      </c>
      <c r="BB75" s="106">
        <v>5</v>
      </c>
      <c r="BC75" s="106">
        <v>3215.9999999999995</v>
      </c>
      <c r="BD75" s="106">
        <v>5</v>
      </c>
      <c r="BE75" s="106">
        <v>3215.9999999999995</v>
      </c>
      <c r="BF75" s="106">
        <v>4</v>
      </c>
      <c r="BG75" s="106">
        <v>2572.7999999999997</v>
      </c>
      <c r="BH75" s="106">
        <v>19</v>
      </c>
      <c r="BI75" s="106">
        <v>12220.8</v>
      </c>
      <c r="BJ75" s="106">
        <v>17</v>
      </c>
      <c r="BK75" s="106">
        <v>10934.4</v>
      </c>
      <c r="BL75" s="106">
        <v>16</v>
      </c>
      <c r="BM75" s="106">
        <v>10291.199999999999</v>
      </c>
      <c r="BN75" s="106">
        <v>16</v>
      </c>
      <c r="BO75" s="106">
        <v>10291.199999999999</v>
      </c>
      <c r="BP75" s="106">
        <v>7</v>
      </c>
      <c r="BQ75" s="106">
        <v>4502.3999999999996</v>
      </c>
      <c r="BR75" s="106">
        <v>4</v>
      </c>
      <c r="BS75" s="106">
        <v>2572.7999999999997</v>
      </c>
      <c r="BT75" s="106">
        <v>8.4490317445355618</v>
      </c>
      <c r="BU75" s="106">
        <v>5434.4172180852729</v>
      </c>
      <c r="BV75" s="106">
        <v>6</v>
      </c>
      <c r="BW75" s="106">
        <v>3859.2</v>
      </c>
      <c r="BX75" s="106">
        <v>6.5933458135189609</v>
      </c>
      <c r="BY75" s="106">
        <v>4240.8400272553954</v>
      </c>
      <c r="BZ75" s="106">
        <v>6.5274652945189446</v>
      </c>
      <c r="CA75" s="106">
        <v>4198.4656774345849</v>
      </c>
      <c r="CB75" s="106">
        <v>4</v>
      </c>
      <c r="CC75" s="106">
        <v>2572.7999999999997</v>
      </c>
      <c r="CD75" s="106">
        <v>8</v>
      </c>
      <c r="CE75" s="106">
        <v>5145.5999999999995</v>
      </c>
      <c r="CF75" s="106">
        <v>12</v>
      </c>
      <c r="CG75" s="106">
        <v>7718.4</v>
      </c>
      <c r="CH75" s="106">
        <v>16</v>
      </c>
      <c r="CI75" s="106">
        <v>10291.199999999999</v>
      </c>
      <c r="CJ75" s="106">
        <v>17</v>
      </c>
      <c r="CK75" s="106">
        <v>10934.4</v>
      </c>
      <c r="CL75" s="106">
        <v>15</v>
      </c>
      <c r="CM75" s="106">
        <v>9647.9999999999982</v>
      </c>
      <c r="CN75" s="106">
        <v>5</v>
      </c>
      <c r="CO75" s="106">
        <v>3215.9999999999995</v>
      </c>
      <c r="CP75" s="106">
        <v>6</v>
      </c>
      <c r="CQ75" s="106">
        <v>3859.2</v>
      </c>
      <c r="CR75" s="106">
        <v>7</v>
      </c>
      <c r="CS75" s="106">
        <v>4502.3999999999996</v>
      </c>
      <c r="CT75" s="106">
        <v>7</v>
      </c>
      <c r="CU75" s="106">
        <v>4502.3999999999996</v>
      </c>
    </row>
    <row r="76" spans="2:99" x14ac:dyDescent="0.2">
      <c r="C76" s="105" t="s">
        <v>242</v>
      </c>
      <c r="D76" s="106">
        <v>10</v>
      </c>
      <c r="E76" s="106">
        <v>7788</v>
      </c>
      <c r="F76" s="106">
        <v>6</v>
      </c>
      <c r="G76" s="106">
        <v>4672.7999999999993</v>
      </c>
      <c r="H76" s="106">
        <v>7.5634235171696149</v>
      </c>
      <c r="I76" s="106">
        <v>5890.394235171696</v>
      </c>
      <c r="J76" s="106">
        <v>7.7522940898362283</v>
      </c>
      <c r="K76" s="106">
        <v>6037.4866371644539</v>
      </c>
      <c r="L76" s="106">
        <v>3.8769528191673728</v>
      </c>
      <c r="M76" s="106">
        <v>3019.3708555675498</v>
      </c>
      <c r="N76" s="106">
        <v>5</v>
      </c>
      <c r="O76" s="106">
        <v>3894</v>
      </c>
      <c r="P76" s="106">
        <v>5</v>
      </c>
      <c r="Q76" s="106">
        <v>3894</v>
      </c>
      <c r="R76" s="106">
        <v>3.1930176262680856</v>
      </c>
      <c r="S76" s="106">
        <v>2486.7221273375849</v>
      </c>
      <c r="T76" s="106">
        <v>28</v>
      </c>
      <c r="U76" s="106">
        <v>21806.399999999998</v>
      </c>
      <c r="V76" s="106">
        <v>24.814459212237431</v>
      </c>
      <c r="W76" s="106">
        <v>19325.500834490511</v>
      </c>
      <c r="X76" s="106">
        <v>20</v>
      </c>
      <c r="Y76" s="106">
        <v>15576</v>
      </c>
      <c r="Z76" s="106">
        <v>39.71953664513255</v>
      </c>
      <c r="AA76" s="106">
        <v>30933.57513922923</v>
      </c>
      <c r="AB76" s="106">
        <v>14.682857933686847</v>
      </c>
      <c r="AC76" s="106">
        <v>11435.009758755315</v>
      </c>
      <c r="AD76" s="106">
        <v>9</v>
      </c>
      <c r="AE76" s="106">
        <v>7009.2</v>
      </c>
      <c r="AF76" s="106">
        <v>10</v>
      </c>
      <c r="AG76" s="106">
        <v>7788</v>
      </c>
      <c r="AH76" s="106">
        <v>13.688494411571334</v>
      </c>
      <c r="AI76" s="106">
        <v>10660.599447731754</v>
      </c>
      <c r="AJ76" s="106">
        <v>13.297660414106435</v>
      </c>
      <c r="AK76" s="106">
        <v>10356.217930506091</v>
      </c>
      <c r="AL76" s="106">
        <v>12.363134492144452</v>
      </c>
      <c r="AM76" s="106">
        <v>9628.4091424820981</v>
      </c>
      <c r="AN76" s="106">
        <v>17.441334509425509</v>
      </c>
      <c r="AO76" s="106">
        <v>13583.311315940586</v>
      </c>
      <c r="AP76" s="106">
        <v>17</v>
      </c>
      <c r="AQ76" s="106">
        <v>13239.599999999999</v>
      </c>
      <c r="AR76" s="106">
        <v>12</v>
      </c>
      <c r="AS76" s="106">
        <v>9345.5999999999985</v>
      </c>
      <c r="AT76" s="106">
        <v>20.187520914439641</v>
      </c>
      <c r="AU76" s="106">
        <v>15722.041288165592</v>
      </c>
      <c r="AV76" s="106">
        <v>23.676168353527061</v>
      </c>
      <c r="AW76" s="106">
        <v>18438.999913726875</v>
      </c>
      <c r="AX76" s="106">
        <v>14</v>
      </c>
      <c r="AY76" s="106">
        <v>10903.199999999999</v>
      </c>
      <c r="AZ76" s="106">
        <v>4</v>
      </c>
      <c r="BA76" s="106">
        <v>3115.2</v>
      </c>
      <c r="BB76" s="106">
        <v>6</v>
      </c>
      <c r="BC76" s="106">
        <v>4672.7999999999993</v>
      </c>
      <c r="BD76" s="106">
        <v>4</v>
      </c>
      <c r="BE76" s="106">
        <v>3115.2</v>
      </c>
      <c r="BF76" s="106">
        <v>4</v>
      </c>
      <c r="BG76" s="106">
        <v>3115.2</v>
      </c>
      <c r="BH76" s="106">
        <v>19</v>
      </c>
      <c r="BI76" s="106">
        <v>14797.199999999999</v>
      </c>
      <c r="BJ76" s="106">
        <v>17</v>
      </c>
      <c r="BK76" s="106">
        <v>13239.599999999999</v>
      </c>
      <c r="BL76" s="106">
        <v>18</v>
      </c>
      <c r="BM76" s="106">
        <v>14018.4</v>
      </c>
      <c r="BN76" s="106">
        <v>14</v>
      </c>
      <c r="BO76" s="106">
        <v>10903.199999999999</v>
      </c>
      <c r="BP76" s="106">
        <v>6</v>
      </c>
      <c r="BQ76" s="106">
        <v>4672.7999999999993</v>
      </c>
      <c r="BR76" s="106">
        <v>5</v>
      </c>
      <c r="BS76" s="106">
        <v>3894</v>
      </c>
      <c r="BT76" s="106">
        <v>8.3991393284760552</v>
      </c>
      <c r="BU76" s="106">
        <v>6541.249709017151</v>
      </c>
      <c r="BV76" s="106">
        <v>7</v>
      </c>
      <c r="BW76" s="106">
        <v>5451.5999999999995</v>
      </c>
      <c r="BX76" s="106">
        <v>5.5650912509704398</v>
      </c>
      <c r="BY76" s="106">
        <v>4334.0930662557785</v>
      </c>
      <c r="BZ76" s="106">
        <v>6.5274652945189446</v>
      </c>
      <c r="CA76" s="106">
        <v>5083.5899713713534</v>
      </c>
      <c r="CB76" s="106">
        <v>4</v>
      </c>
      <c r="CC76" s="106">
        <v>3115.2</v>
      </c>
      <c r="CD76" s="106">
        <v>9</v>
      </c>
      <c r="CE76" s="106">
        <v>7009.2</v>
      </c>
      <c r="CF76" s="106">
        <v>11</v>
      </c>
      <c r="CG76" s="106">
        <v>8566.7999999999993</v>
      </c>
      <c r="CH76" s="106">
        <v>17</v>
      </c>
      <c r="CI76" s="106">
        <v>13239.599999999999</v>
      </c>
      <c r="CJ76" s="106">
        <v>16</v>
      </c>
      <c r="CK76" s="106">
        <v>12460.8</v>
      </c>
      <c r="CL76" s="106">
        <v>14</v>
      </c>
      <c r="CM76" s="106">
        <v>10903.199999999999</v>
      </c>
      <c r="CN76" s="106">
        <v>4</v>
      </c>
      <c r="CO76" s="106">
        <v>3115.2</v>
      </c>
      <c r="CP76" s="106">
        <v>6</v>
      </c>
      <c r="CQ76" s="106">
        <v>4672.7999999999993</v>
      </c>
      <c r="CR76" s="106">
        <v>6</v>
      </c>
      <c r="CS76" s="106">
        <v>4672.7999999999993</v>
      </c>
      <c r="CT76" s="106">
        <v>6</v>
      </c>
      <c r="CU76" s="106">
        <v>4672.7999999999993</v>
      </c>
    </row>
    <row r="77" spans="2:99" x14ac:dyDescent="0.2">
      <c r="C77" s="105" t="s">
        <v>243</v>
      </c>
      <c r="D77" s="106">
        <v>10</v>
      </c>
      <c r="E77" s="106">
        <v>2784</v>
      </c>
      <c r="F77" s="106">
        <v>6</v>
      </c>
      <c r="G77" s="106">
        <v>1670.3999999999999</v>
      </c>
      <c r="H77" s="106">
        <v>8.5965660770031214</v>
      </c>
      <c r="I77" s="106">
        <v>2393.283995837669</v>
      </c>
      <c r="J77" s="106">
        <v>7.7104999737342155</v>
      </c>
      <c r="K77" s="106">
        <v>2146.6031926876053</v>
      </c>
      <c r="L77" s="106">
        <v>3.9781396829174538</v>
      </c>
      <c r="M77" s="106">
        <v>1107.5140877242191</v>
      </c>
      <c r="N77" s="106">
        <v>6</v>
      </c>
      <c r="O77" s="106">
        <v>1670.3999999999999</v>
      </c>
      <c r="P77" s="106">
        <v>5</v>
      </c>
      <c r="Q77" s="106">
        <v>1392</v>
      </c>
      <c r="R77" s="106">
        <v>4.3421448295515965</v>
      </c>
      <c r="S77" s="106">
        <v>1208.8531205471643</v>
      </c>
      <c r="T77" s="106">
        <v>28</v>
      </c>
      <c r="U77" s="106">
        <v>7795.1999999999989</v>
      </c>
      <c r="V77" s="106">
        <v>28.814459212237431</v>
      </c>
      <c r="W77" s="106">
        <v>8021.9454446869004</v>
      </c>
      <c r="X77" s="106">
        <v>19</v>
      </c>
      <c r="Y77" s="106">
        <v>5289.5999999999995</v>
      </c>
      <c r="Z77" s="106">
        <v>41.71953664513255</v>
      </c>
      <c r="AA77" s="106">
        <v>11614.7190020049</v>
      </c>
      <c r="AB77" s="106">
        <v>15.682857933686847</v>
      </c>
      <c r="AC77" s="106">
        <v>4366.107648738418</v>
      </c>
      <c r="AD77" s="106">
        <v>12</v>
      </c>
      <c r="AE77" s="106">
        <v>3340.7999999999997</v>
      </c>
      <c r="AF77" s="106">
        <v>11</v>
      </c>
      <c r="AG77" s="106">
        <v>3062.3999999999996</v>
      </c>
      <c r="AH77" s="106">
        <v>15.836028928336621</v>
      </c>
      <c r="AI77" s="106">
        <v>4408.750453648915</v>
      </c>
      <c r="AJ77" s="106">
        <v>14.330733793451595</v>
      </c>
      <c r="AK77" s="106">
        <v>3989.6762880969236</v>
      </c>
      <c r="AL77" s="106">
        <v>11.363134492144452</v>
      </c>
      <c r="AM77" s="106">
        <v>3163.496642613015</v>
      </c>
      <c r="AN77" s="106">
        <v>16.411912208797144</v>
      </c>
      <c r="AO77" s="106">
        <v>4569.0763589291246</v>
      </c>
      <c r="AP77" s="106">
        <v>18</v>
      </c>
      <c r="AQ77" s="106">
        <v>5011.2</v>
      </c>
      <c r="AR77" s="106">
        <v>13</v>
      </c>
      <c r="AS77" s="106">
        <v>3619.2</v>
      </c>
      <c r="AT77" s="106">
        <v>21.401983749188627</v>
      </c>
      <c r="AU77" s="106">
        <v>5958.312275774113</v>
      </c>
      <c r="AV77" s="106">
        <v>24.998508421513034</v>
      </c>
      <c r="AW77" s="106">
        <v>6959.5847445492282</v>
      </c>
      <c r="AX77" s="106">
        <v>17</v>
      </c>
      <c r="AY77" s="106">
        <v>4732.7999999999993</v>
      </c>
      <c r="AZ77" s="106">
        <v>4</v>
      </c>
      <c r="BA77" s="106">
        <v>1113.5999999999999</v>
      </c>
      <c r="BB77" s="106">
        <v>7</v>
      </c>
      <c r="BC77" s="106">
        <v>1948.7999999999997</v>
      </c>
      <c r="BD77" s="106">
        <v>4</v>
      </c>
      <c r="BE77" s="106">
        <v>1113.5999999999999</v>
      </c>
      <c r="BF77" s="106">
        <v>4</v>
      </c>
      <c r="BG77" s="106">
        <v>1113.5999999999999</v>
      </c>
      <c r="BH77" s="106">
        <v>20</v>
      </c>
      <c r="BI77" s="106">
        <v>5568</v>
      </c>
      <c r="BJ77" s="106">
        <v>21</v>
      </c>
      <c r="BK77" s="106">
        <v>5846.4</v>
      </c>
      <c r="BL77" s="106">
        <v>20</v>
      </c>
      <c r="BM77" s="106">
        <v>5568</v>
      </c>
      <c r="BN77" s="106">
        <v>17</v>
      </c>
      <c r="BO77" s="106">
        <v>4732.7999999999993</v>
      </c>
      <c r="BP77" s="106">
        <v>7</v>
      </c>
      <c r="BQ77" s="106">
        <v>1948.7999999999997</v>
      </c>
      <c r="BR77" s="106">
        <v>4</v>
      </c>
      <c r="BS77" s="106">
        <v>1113.5999999999999</v>
      </c>
      <c r="BT77" s="106">
        <v>9.4490317445355618</v>
      </c>
      <c r="BU77" s="106">
        <v>2630.6104376787002</v>
      </c>
      <c r="BV77" s="106">
        <v>7</v>
      </c>
      <c r="BW77" s="106">
        <v>1948.7999999999997</v>
      </c>
      <c r="BX77" s="106">
        <v>6.6781095011645277</v>
      </c>
      <c r="BY77" s="106">
        <v>1859.1856851242044</v>
      </c>
      <c r="BZ77" s="106">
        <v>7.5010920297929973</v>
      </c>
      <c r="CA77" s="106">
        <v>2088.3040210943705</v>
      </c>
      <c r="CB77" s="106">
        <v>5</v>
      </c>
      <c r="CC77" s="106">
        <v>1392</v>
      </c>
      <c r="CD77" s="106">
        <v>8</v>
      </c>
      <c r="CE77" s="106">
        <v>2227.1999999999998</v>
      </c>
      <c r="CF77" s="106">
        <v>12</v>
      </c>
      <c r="CG77" s="106">
        <v>3340.7999999999997</v>
      </c>
      <c r="CH77" s="106">
        <v>19</v>
      </c>
      <c r="CI77" s="106">
        <v>5289.5999999999995</v>
      </c>
      <c r="CJ77" s="106">
        <v>17</v>
      </c>
      <c r="CK77" s="106">
        <v>4732.7999999999993</v>
      </c>
      <c r="CL77" s="106">
        <v>13</v>
      </c>
      <c r="CM77" s="106">
        <v>3619.2</v>
      </c>
      <c r="CN77" s="106">
        <v>5</v>
      </c>
      <c r="CO77" s="106">
        <v>1392</v>
      </c>
      <c r="CP77" s="106">
        <v>6</v>
      </c>
      <c r="CQ77" s="106">
        <v>1670.3999999999999</v>
      </c>
      <c r="CR77" s="106">
        <v>6</v>
      </c>
      <c r="CS77" s="106">
        <v>1670.3999999999999</v>
      </c>
      <c r="CT77" s="106">
        <v>7</v>
      </c>
      <c r="CU77" s="106">
        <v>1948.7999999999997</v>
      </c>
    </row>
    <row r="78" spans="2:99" x14ac:dyDescent="0.2">
      <c r="C78" s="105" t="s">
        <v>244</v>
      </c>
      <c r="D78" s="106">
        <v>9</v>
      </c>
      <c r="E78" s="106">
        <v>4968</v>
      </c>
      <c r="F78" s="106">
        <v>6</v>
      </c>
      <c r="G78" s="106">
        <v>3312</v>
      </c>
      <c r="H78" s="106">
        <v>7.5302809573361085</v>
      </c>
      <c r="I78" s="106">
        <v>4156.7150884495322</v>
      </c>
      <c r="J78" s="106">
        <v>7.7522940898362283</v>
      </c>
      <c r="K78" s="106">
        <v>4279.2663375895982</v>
      </c>
      <c r="L78" s="106">
        <v>3.9781396829174538</v>
      </c>
      <c r="M78" s="106">
        <v>2195.9331049704347</v>
      </c>
      <c r="N78" s="106">
        <v>5</v>
      </c>
      <c r="O78" s="106">
        <v>2760</v>
      </c>
      <c r="P78" s="106">
        <v>5</v>
      </c>
      <c r="Q78" s="106">
        <v>2760</v>
      </c>
      <c r="R78" s="106">
        <v>4.3918538973127665</v>
      </c>
      <c r="S78" s="106">
        <v>2424.303351316647</v>
      </c>
      <c r="T78" s="106">
        <v>29</v>
      </c>
      <c r="U78" s="106">
        <v>16008</v>
      </c>
      <c r="V78" s="106">
        <v>28.814459212237431</v>
      </c>
      <c r="W78" s="106">
        <v>15905.581485155062</v>
      </c>
      <c r="X78" s="106">
        <v>18</v>
      </c>
      <c r="Y78" s="106">
        <v>9936</v>
      </c>
      <c r="Z78" s="106">
        <v>36.795277344620182</v>
      </c>
      <c r="AA78" s="106">
        <v>20310.99309423034</v>
      </c>
      <c r="AB78" s="106">
        <v>15.731633500378766</v>
      </c>
      <c r="AC78" s="106">
        <v>8683.8616922090787</v>
      </c>
      <c r="AD78" s="106">
        <v>10</v>
      </c>
      <c r="AE78" s="106">
        <v>5520</v>
      </c>
      <c r="AF78" s="106">
        <v>12</v>
      </c>
      <c r="AG78" s="106">
        <v>6624</v>
      </c>
      <c r="AH78" s="106">
        <v>14.786850756081526</v>
      </c>
      <c r="AI78" s="106">
        <v>8162.3416173570022</v>
      </c>
      <c r="AJ78" s="106">
        <v>14.297660414106435</v>
      </c>
      <c r="AK78" s="106">
        <v>7892.3085485867523</v>
      </c>
      <c r="AL78" s="106">
        <v>10.326821042930007</v>
      </c>
      <c r="AM78" s="106">
        <v>5700.4052156973639</v>
      </c>
      <c r="AN78" s="106">
        <v>17.441334509425509</v>
      </c>
      <c r="AO78" s="106">
        <v>9627.6166492028806</v>
      </c>
      <c r="AP78" s="106">
        <v>16</v>
      </c>
      <c r="AQ78" s="106">
        <v>8832</v>
      </c>
      <c r="AR78" s="106">
        <v>14</v>
      </c>
      <c r="AS78" s="106">
        <v>7728</v>
      </c>
      <c r="AT78" s="106">
        <v>18.573554016987813</v>
      </c>
      <c r="AU78" s="106">
        <v>10252.601817377274</v>
      </c>
      <c r="AV78" s="106">
        <v>23.676168353527061</v>
      </c>
      <c r="AW78" s="106">
        <v>13069.244931146937</v>
      </c>
      <c r="AX78" s="106">
        <v>15</v>
      </c>
      <c r="AY78" s="106">
        <v>8280</v>
      </c>
      <c r="AZ78" s="106">
        <v>4</v>
      </c>
      <c r="BA78" s="106">
        <v>2208</v>
      </c>
      <c r="BB78" s="106">
        <v>6</v>
      </c>
      <c r="BC78" s="106">
        <v>3312</v>
      </c>
      <c r="BD78" s="106">
        <v>4</v>
      </c>
      <c r="BE78" s="106">
        <v>2208</v>
      </c>
      <c r="BF78" s="106">
        <v>4</v>
      </c>
      <c r="BG78" s="106">
        <v>2208</v>
      </c>
      <c r="BH78" s="106">
        <v>18</v>
      </c>
      <c r="BI78" s="106">
        <v>9936</v>
      </c>
      <c r="BJ78" s="106">
        <v>19</v>
      </c>
      <c r="BK78" s="106">
        <v>10488</v>
      </c>
      <c r="BL78" s="106">
        <v>18</v>
      </c>
      <c r="BM78" s="106">
        <v>9936</v>
      </c>
      <c r="BN78" s="106">
        <v>16</v>
      </c>
      <c r="BO78" s="106">
        <v>8832</v>
      </c>
      <c r="BP78" s="106">
        <v>7</v>
      </c>
      <c r="BQ78" s="106">
        <v>3864</v>
      </c>
      <c r="BR78" s="106">
        <v>4</v>
      </c>
      <c r="BS78" s="106">
        <v>2208</v>
      </c>
      <c r="BT78" s="106">
        <v>9.4490317445355618</v>
      </c>
      <c r="BU78" s="106">
        <v>5215.8655229836304</v>
      </c>
      <c r="BV78" s="106">
        <v>7.4067562547631178</v>
      </c>
      <c r="BW78" s="106">
        <v>4088.529452629241</v>
      </c>
      <c r="BX78" s="106">
        <v>6.5650912509704398</v>
      </c>
      <c r="BY78" s="106">
        <v>3623.9303705356829</v>
      </c>
      <c r="BZ78" s="106">
        <v>6.5010920297929973</v>
      </c>
      <c r="CA78" s="106">
        <v>3588.6028004457344</v>
      </c>
      <c r="CB78" s="106">
        <v>4</v>
      </c>
      <c r="CC78" s="106">
        <v>2208</v>
      </c>
      <c r="CD78" s="106">
        <v>8</v>
      </c>
      <c r="CE78" s="106">
        <v>4416</v>
      </c>
      <c r="CF78" s="106">
        <v>12</v>
      </c>
      <c r="CG78" s="106">
        <v>6624</v>
      </c>
      <c r="CH78" s="106">
        <v>18</v>
      </c>
      <c r="CI78" s="106">
        <v>9936</v>
      </c>
      <c r="CJ78" s="106">
        <v>17</v>
      </c>
      <c r="CK78" s="106">
        <v>9384</v>
      </c>
      <c r="CL78" s="106">
        <v>15</v>
      </c>
      <c r="CM78" s="106">
        <v>8280</v>
      </c>
      <c r="CN78" s="106">
        <v>4</v>
      </c>
      <c r="CO78" s="106">
        <v>2208</v>
      </c>
      <c r="CP78" s="106">
        <v>6</v>
      </c>
      <c r="CQ78" s="106">
        <v>3312</v>
      </c>
      <c r="CR78" s="106">
        <v>6</v>
      </c>
      <c r="CS78" s="106">
        <v>3312</v>
      </c>
      <c r="CT78" s="106">
        <v>7</v>
      </c>
      <c r="CU78" s="106">
        <v>3864</v>
      </c>
    </row>
    <row r="79" spans="2:99" x14ac:dyDescent="0.2">
      <c r="C79" s="105" t="s">
        <v>245</v>
      </c>
      <c r="D79" s="106">
        <v>10</v>
      </c>
      <c r="E79" s="106">
        <v>7571.9999999999991</v>
      </c>
      <c r="F79" s="106">
        <v>6</v>
      </c>
      <c r="G79" s="106">
        <v>4543.2</v>
      </c>
      <c r="H79" s="106">
        <v>7.5634235171696149</v>
      </c>
      <c r="I79" s="106">
        <v>5727.0242872008321</v>
      </c>
      <c r="J79" s="106">
        <v>7.6687058576322027</v>
      </c>
      <c r="K79" s="106">
        <v>5806.7440753991032</v>
      </c>
      <c r="L79" s="106">
        <v>3.8769528191673728</v>
      </c>
      <c r="M79" s="106">
        <v>2935.6286746735345</v>
      </c>
      <c r="N79" s="106">
        <v>5</v>
      </c>
      <c r="O79" s="106">
        <v>3785.9999999999995</v>
      </c>
      <c r="P79" s="106">
        <v>5</v>
      </c>
      <c r="Q79" s="106">
        <v>3785.9999999999995</v>
      </c>
      <c r="R79" s="106">
        <v>4.1930176262680856</v>
      </c>
      <c r="S79" s="106">
        <v>3174.952946610194</v>
      </c>
      <c r="T79" s="106">
        <v>31</v>
      </c>
      <c r="U79" s="106">
        <v>23473.199999999997</v>
      </c>
      <c r="V79" s="106">
        <v>27.814459212237431</v>
      </c>
      <c r="W79" s="106">
        <v>21061.108515506181</v>
      </c>
      <c r="X79" s="106">
        <v>17</v>
      </c>
      <c r="Y79" s="106">
        <v>12872.4</v>
      </c>
      <c r="Z79" s="106">
        <v>36.757406994876362</v>
      </c>
      <c r="AA79" s="106">
        <v>27832.708576520377</v>
      </c>
      <c r="AB79" s="106">
        <v>15.682857933686847</v>
      </c>
      <c r="AC79" s="106">
        <v>11875.060027387679</v>
      </c>
      <c r="AD79" s="106">
        <v>10</v>
      </c>
      <c r="AE79" s="106">
        <v>7571.9999999999991</v>
      </c>
      <c r="AF79" s="106">
        <v>10</v>
      </c>
      <c r="AG79" s="106">
        <v>7571.9999999999991</v>
      </c>
      <c r="AH79" s="106">
        <v>13.786850756081526</v>
      </c>
      <c r="AI79" s="106">
        <v>10439.40339250493</v>
      </c>
      <c r="AJ79" s="106">
        <v>12.330733793451595</v>
      </c>
      <c r="AK79" s="106">
        <v>9336.8316284015473</v>
      </c>
      <c r="AL79" s="106">
        <v>12.363134492144452</v>
      </c>
      <c r="AM79" s="106">
        <v>9361.3654374517773</v>
      </c>
      <c r="AN79" s="106">
        <v>15.441334509425511</v>
      </c>
      <c r="AO79" s="106">
        <v>11692.178490536995</v>
      </c>
      <c r="AP79" s="106">
        <v>16</v>
      </c>
      <c r="AQ79" s="106">
        <v>12115.199999999999</v>
      </c>
      <c r="AR79" s="106">
        <v>13</v>
      </c>
      <c r="AS79" s="106">
        <v>9843.5999999999985</v>
      </c>
      <c r="AT79" s="106">
        <v>18.444876316138423</v>
      </c>
      <c r="AU79" s="106">
        <v>13966.460346580012</v>
      </c>
      <c r="AV79" s="106">
        <v>24.740636367124253</v>
      </c>
      <c r="AW79" s="106">
        <v>18733.609857186482</v>
      </c>
      <c r="AX79" s="106">
        <v>16</v>
      </c>
      <c r="AY79" s="106">
        <v>12115.199999999999</v>
      </c>
      <c r="AZ79" s="106">
        <v>4</v>
      </c>
      <c r="BA79" s="106">
        <v>3028.7999999999997</v>
      </c>
      <c r="BB79" s="106">
        <v>6</v>
      </c>
      <c r="BC79" s="106">
        <v>4543.2</v>
      </c>
      <c r="BD79" s="106">
        <v>4</v>
      </c>
      <c r="BE79" s="106">
        <v>3028.7999999999997</v>
      </c>
      <c r="BF79" s="106">
        <v>4</v>
      </c>
      <c r="BG79" s="106">
        <v>3028.7999999999997</v>
      </c>
      <c r="BH79" s="106">
        <v>19</v>
      </c>
      <c r="BI79" s="106">
        <v>14386.8</v>
      </c>
      <c r="BJ79" s="106">
        <v>19</v>
      </c>
      <c r="BK79" s="106">
        <v>14386.8</v>
      </c>
      <c r="BL79" s="106">
        <v>18</v>
      </c>
      <c r="BM79" s="106">
        <v>13629.599999999999</v>
      </c>
      <c r="BN79" s="106">
        <v>16</v>
      </c>
      <c r="BO79" s="106">
        <v>12115.199999999999</v>
      </c>
      <c r="BP79" s="106">
        <v>7</v>
      </c>
      <c r="BQ79" s="106">
        <v>5300.4</v>
      </c>
      <c r="BR79" s="106">
        <v>4</v>
      </c>
      <c r="BS79" s="106">
        <v>3028.7999999999997</v>
      </c>
      <c r="BT79" s="106">
        <v>9</v>
      </c>
      <c r="BU79" s="106">
        <v>6814.7999999999993</v>
      </c>
      <c r="BV79" s="106">
        <v>7.4067562547631178</v>
      </c>
      <c r="BW79" s="106">
        <v>5608.3958361066325</v>
      </c>
      <c r="BX79" s="106">
        <v>5.5933458135189609</v>
      </c>
      <c r="BY79" s="106">
        <v>4235.2814499965571</v>
      </c>
      <c r="BZ79" s="106">
        <v>6.5010920297929973</v>
      </c>
      <c r="CA79" s="106">
        <v>4922.626884959257</v>
      </c>
      <c r="CB79" s="106">
        <v>4</v>
      </c>
      <c r="CC79" s="106">
        <v>3028.7999999999997</v>
      </c>
      <c r="CD79" s="106">
        <v>8</v>
      </c>
      <c r="CE79" s="106">
        <v>6057.5999999999995</v>
      </c>
      <c r="CF79" s="106">
        <v>11</v>
      </c>
      <c r="CG79" s="106">
        <v>8329.1999999999989</v>
      </c>
      <c r="CH79" s="106">
        <v>18</v>
      </c>
      <c r="CI79" s="106">
        <v>13629.599999999999</v>
      </c>
      <c r="CJ79" s="106">
        <v>16</v>
      </c>
      <c r="CK79" s="106">
        <v>12115.199999999999</v>
      </c>
      <c r="CL79" s="106">
        <v>15</v>
      </c>
      <c r="CM79" s="106">
        <v>11357.999999999998</v>
      </c>
      <c r="CN79" s="106">
        <v>5</v>
      </c>
      <c r="CO79" s="106">
        <v>3785.9999999999995</v>
      </c>
      <c r="CP79" s="106">
        <v>6</v>
      </c>
      <c r="CQ79" s="106">
        <v>4543.2</v>
      </c>
      <c r="CR79" s="106">
        <v>6</v>
      </c>
      <c r="CS79" s="106">
        <v>4543.2</v>
      </c>
      <c r="CT79" s="106">
        <v>7</v>
      </c>
      <c r="CU79" s="106">
        <v>5300.4</v>
      </c>
    </row>
    <row r="80" spans="2:99" x14ac:dyDescent="0.2">
      <c r="C80" s="105" t="s">
        <v>246</v>
      </c>
      <c r="D80" s="106">
        <v>8</v>
      </c>
      <c r="E80" s="106">
        <v>6441.5999999999995</v>
      </c>
      <c r="F80" s="106">
        <v>6</v>
      </c>
      <c r="G80" s="106">
        <v>4831.2</v>
      </c>
      <c r="H80" s="106">
        <v>7.5302809573361085</v>
      </c>
      <c r="I80" s="106">
        <v>6063.382226847034</v>
      </c>
      <c r="J80" s="106">
        <v>7.7104999737342155</v>
      </c>
      <c r="K80" s="106">
        <v>6208.4945788507894</v>
      </c>
      <c r="L80" s="106">
        <v>4.0118686375008146</v>
      </c>
      <c r="M80" s="106">
        <v>3230.3566269156554</v>
      </c>
      <c r="N80" s="106">
        <v>5</v>
      </c>
      <c r="O80" s="106">
        <v>4025.9999999999995</v>
      </c>
      <c r="P80" s="106">
        <v>5</v>
      </c>
      <c r="Q80" s="106">
        <v>4025.9999999999995</v>
      </c>
      <c r="R80" s="106">
        <v>4.2427266940292556</v>
      </c>
      <c r="S80" s="106">
        <v>3416.2435340323564</v>
      </c>
      <c r="T80" s="106">
        <v>28</v>
      </c>
      <c r="U80" s="106">
        <v>22545.599999999999</v>
      </c>
      <c r="V80" s="106">
        <v>23.769211478224239</v>
      </c>
      <c r="W80" s="106">
        <v>19138.969082266154</v>
      </c>
      <c r="X80" s="106">
        <v>17</v>
      </c>
      <c r="Y80" s="106">
        <v>13688.4</v>
      </c>
      <c r="Z80" s="106">
        <v>32.795277344620182</v>
      </c>
      <c r="AA80" s="106">
        <v>26406.757317888168</v>
      </c>
      <c r="AB80" s="106">
        <v>15.731633500378766</v>
      </c>
      <c r="AC80" s="106">
        <v>12667.111294504981</v>
      </c>
      <c r="AD80" s="106">
        <v>10</v>
      </c>
      <c r="AE80" s="106">
        <v>8051.9999999999991</v>
      </c>
      <c r="AF80" s="106">
        <v>11</v>
      </c>
      <c r="AG80" s="106">
        <v>8857.1999999999989</v>
      </c>
      <c r="AH80" s="106">
        <v>16.786850756081524</v>
      </c>
      <c r="AI80" s="106">
        <v>13516.772228796843</v>
      </c>
      <c r="AJ80" s="106">
        <v>13.330733793451595</v>
      </c>
      <c r="AK80" s="106">
        <v>10733.906850487223</v>
      </c>
      <c r="AL80" s="106">
        <v>10.363134492144452</v>
      </c>
      <c r="AM80" s="106">
        <v>8344.3958930747121</v>
      </c>
      <c r="AN80" s="106">
        <v>17.382489908168775</v>
      </c>
      <c r="AO80" s="106">
        <v>13996.380874057497</v>
      </c>
      <c r="AP80" s="106">
        <v>15</v>
      </c>
      <c r="AQ80" s="106">
        <v>12077.999999999998</v>
      </c>
      <c r="AR80" s="106">
        <v>13</v>
      </c>
      <c r="AS80" s="106">
        <v>10467.599999999999</v>
      </c>
      <c r="AT80" s="106">
        <v>20.359091182238828</v>
      </c>
      <c r="AU80" s="106">
        <v>16393.140219938701</v>
      </c>
      <c r="AV80" s="106">
        <v>23.611700339929865</v>
      </c>
      <c r="AW80" s="106">
        <v>19012.141113711525</v>
      </c>
      <c r="AX80" s="106">
        <v>16</v>
      </c>
      <c r="AY80" s="106">
        <v>12883.199999999999</v>
      </c>
      <c r="AZ80" s="106">
        <v>4</v>
      </c>
      <c r="BA80" s="106">
        <v>3220.7999999999997</v>
      </c>
      <c r="BB80" s="106">
        <v>6</v>
      </c>
      <c r="BC80" s="106">
        <v>4831.2</v>
      </c>
      <c r="BD80" s="106">
        <v>4</v>
      </c>
      <c r="BE80" s="106">
        <v>3220.7999999999997</v>
      </c>
      <c r="BF80" s="106">
        <v>4</v>
      </c>
      <c r="BG80" s="106">
        <v>3220.7999999999997</v>
      </c>
      <c r="BH80" s="106">
        <v>19</v>
      </c>
      <c r="BI80" s="106">
        <v>15298.8</v>
      </c>
      <c r="BJ80" s="106">
        <v>19</v>
      </c>
      <c r="BK80" s="106">
        <v>15298.8</v>
      </c>
      <c r="BL80" s="106">
        <v>17</v>
      </c>
      <c r="BM80" s="106">
        <v>13688.4</v>
      </c>
      <c r="BN80" s="106">
        <v>16</v>
      </c>
      <c r="BO80" s="106">
        <v>12883.199999999999</v>
      </c>
      <c r="BP80" s="106">
        <v>6</v>
      </c>
      <c r="BQ80" s="106">
        <v>4831.2</v>
      </c>
      <c r="BR80" s="106">
        <v>5</v>
      </c>
      <c r="BS80" s="106">
        <v>4025.9999999999995</v>
      </c>
      <c r="BT80" s="106">
        <v>9.4490317445355618</v>
      </c>
      <c r="BU80" s="106">
        <v>7608.3603607000341</v>
      </c>
      <c r="BV80" s="106">
        <v>7.3728599001995248</v>
      </c>
      <c r="BW80" s="106">
        <v>5936.6267916406568</v>
      </c>
      <c r="BX80" s="106">
        <v>5.6216003760674838</v>
      </c>
      <c r="BY80" s="106">
        <v>4526.5126228095378</v>
      </c>
      <c r="BZ80" s="106">
        <v>6.5274652945189446</v>
      </c>
      <c r="CA80" s="106">
        <v>5255.9150551466537</v>
      </c>
      <c r="CB80" s="106">
        <v>4</v>
      </c>
      <c r="CC80" s="106">
        <v>3220.7999999999997</v>
      </c>
      <c r="CD80" s="106">
        <v>7</v>
      </c>
      <c r="CE80" s="106">
        <v>5636.4</v>
      </c>
      <c r="CF80" s="106">
        <v>11</v>
      </c>
      <c r="CG80" s="106">
        <v>8857.1999999999989</v>
      </c>
      <c r="CH80" s="106">
        <v>16</v>
      </c>
      <c r="CI80" s="106">
        <v>12883.199999999999</v>
      </c>
      <c r="CJ80" s="106">
        <v>16</v>
      </c>
      <c r="CK80" s="106">
        <v>12883.199999999999</v>
      </c>
      <c r="CL80" s="106">
        <v>14</v>
      </c>
      <c r="CM80" s="106">
        <v>11272.8</v>
      </c>
      <c r="CN80" s="106">
        <v>4</v>
      </c>
      <c r="CO80" s="106">
        <v>3220.7999999999997</v>
      </c>
      <c r="CP80" s="106">
        <v>6</v>
      </c>
      <c r="CQ80" s="106">
        <v>4831.2</v>
      </c>
      <c r="CR80" s="106">
        <v>6</v>
      </c>
      <c r="CS80" s="106">
        <v>4831.2</v>
      </c>
      <c r="CT80" s="106">
        <v>7</v>
      </c>
      <c r="CU80" s="106">
        <v>5636.4</v>
      </c>
    </row>
    <row r="81" spans="2:99" x14ac:dyDescent="0.2">
      <c r="C81" s="105" t="s">
        <v>247</v>
      </c>
      <c r="D81" s="106">
        <v>9</v>
      </c>
      <c r="E81" s="106">
        <v>6782.4000000000005</v>
      </c>
      <c r="F81" s="106">
        <v>6</v>
      </c>
      <c r="G81" s="106">
        <v>4521.6000000000004</v>
      </c>
      <c r="H81" s="106">
        <v>7.5965660770031214</v>
      </c>
      <c r="I81" s="106">
        <v>5724.7721956295527</v>
      </c>
      <c r="J81" s="106">
        <v>7.7104999737342155</v>
      </c>
      <c r="K81" s="106">
        <v>5810.6327802061051</v>
      </c>
      <c r="L81" s="106">
        <v>3.9781396829174538</v>
      </c>
      <c r="M81" s="106">
        <v>2997.9260650465931</v>
      </c>
      <c r="N81" s="106">
        <v>5</v>
      </c>
      <c r="O81" s="106">
        <v>3768</v>
      </c>
      <c r="P81" s="106">
        <v>5</v>
      </c>
      <c r="Q81" s="106">
        <v>3768</v>
      </c>
      <c r="R81" s="106">
        <v>4.2924357617904265</v>
      </c>
      <c r="S81" s="106">
        <v>3234.7795900852657</v>
      </c>
      <c r="T81" s="106">
        <v>31</v>
      </c>
      <c r="U81" s="106">
        <v>23361.600000000002</v>
      </c>
      <c r="V81" s="106">
        <v>24.859706946250622</v>
      </c>
      <c r="W81" s="106">
        <v>18734.275154694471</v>
      </c>
      <c r="X81" s="106">
        <v>17</v>
      </c>
      <c r="Y81" s="106">
        <v>12811.2</v>
      </c>
      <c r="Z81" s="106">
        <v>37.757406994876362</v>
      </c>
      <c r="AA81" s="106">
        <v>28453.981911338826</v>
      </c>
      <c r="AB81" s="106">
        <v>15.731633500378766</v>
      </c>
      <c r="AC81" s="106">
        <v>11855.359005885439</v>
      </c>
      <c r="AD81" s="106">
        <v>11</v>
      </c>
      <c r="AE81" s="106">
        <v>8289.6</v>
      </c>
      <c r="AF81" s="106">
        <v>11</v>
      </c>
      <c r="AG81" s="106">
        <v>8289.6</v>
      </c>
      <c r="AH81" s="106">
        <v>16.786850756081524</v>
      </c>
      <c r="AI81" s="106">
        <v>12650.570729783038</v>
      </c>
      <c r="AJ81" s="106">
        <v>14.297660414106435</v>
      </c>
      <c r="AK81" s="106">
        <v>10774.71688807061</v>
      </c>
      <c r="AL81" s="106">
        <v>12.290507593715562</v>
      </c>
      <c r="AM81" s="106">
        <v>9262.1265226240484</v>
      </c>
      <c r="AN81" s="106">
        <v>16.411912208797144</v>
      </c>
      <c r="AO81" s="106">
        <v>12368.017040549528</v>
      </c>
      <c r="AP81" s="106">
        <v>16</v>
      </c>
      <c r="AQ81" s="106">
        <v>12057.6</v>
      </c>
      <c r="AR81" s="106">
        <v>14</v>
      </c>
      <c r="AS81" s="106">
        <v>10550.4</v>
      </c>
      <c r="AT81" s="106">
        <v>17.401983749188627</v>
      </c>
      <c r="AU81" s="106">
        <v>13114.13495338855</v>
      </c>
      <c r="AV81" s="106">
        <v>24.697657691392791</v>
      </c>
      <c r="AW81" s="106">
        <v>18612.154836233607</v>
      </c>
      <c r="AX81" s="106">
        <v>14</v>
      </c>
      <c r="AY81" s="106">
        <v>10550.4</v>
      </c>
      <c r="AZ81" s="106">
        <v>4</v>
      </c>
      <c r="BA81" s="106">
        <v>3014.4</v>
      </c>
      <c r="BB81" s="106">
        <v>6</v>
      </c>
      <c r="BC81" s="106">
        <v>4521.6000000000004</v>
      </c>
      <c r="BD81" s="106">
        <v>4</v>
      </c>
      <c r="BE81" s="106">
        <v>3014.4</v>
      </c>
      <c r="BF81" s="106">
        <v>4</v>
      </c>
      <c r="BG81" s="106">
        <v>3014.4</v>
      </c>
      <c r="BH81" s="106">
        <v>17</v>
      </c>
      <c r="BI81" s="106">
        <v>12811.2</v>
      </c>
      <c r="BJ81" s="106">
        <v>18</v>
      </c>
      <c r="BK81" s="106">
        <v>13564.800000000001</v>
      </c>
      <c r="BL81" s="106">
        <v>16</v>
      </c>
      <c r="BM81" s="106">
        <v>12057.6</v>
      </c>
      <c r="BN81" s="106">
        <v>16</v>
      </c>
      <c r="BO81" s="106">
        <v>12057.6</v>
      </c>
      <c r="BP81" s="106">
        <v>7</v>
      </c>
      <c r="BQ81" s="106">
        <v>5275.2</v>
      </c>
      <c r="BR81" s="106">
        <v>4</v>
      </c>
      <c r="BS81" s="106">
        <v>3014.4</v>
      </c>
      <c r="BT81" s="106">
        <v>8.3991393284760552</v>
      </c>
      <c r="BU81" s="106">
        <v>6329.5913979395555</v>
      </c>
      <c r="BV81" s="106">
        <v>7.4067562547631178</v>
      </c>
      <c r="BW81" s="106">
        <v>5581.731513589486</v>
      </c>
      <c r="BX81" s="106">
        <v>5.5933458135189609</v>
      </c>
      <c r="BY81" s="106">
        <v>4215.1454050678894</v>
      </c>
      <c r="BZ81" s="106">
        <v>7.5274652945189446</v>
      </c>
      <c r="CA81" s="106">
        <v>5672.6978459494767</v>
      </c>
      <c r="CB81" s="106">
        <v>4</v>
      </c>
      <c r="CC81" s="106">
        <v>3014.4</v>
      </c>
      <c r="CD81" s="106">
        <v>8</v>
      </c>
      <c r="CE81" s="106">
        <v>6028.8</v>
      </c>
      <c r="CF81" s="106">
        <v>12</v>
      </c>
      <c r="CG81" s="106">
        <v>9043.2000000000007</v>
      </c>
      <c r="CH81" s="106">
        <v>19</v>
      </c>
      <c r="CI81" s="106">
        <v>14318.4</v>
      </c>
      <c r="CJ81" s="106">
        <v>16</v>
      </c>
      <c r="CK81" s="106">
        <v>12057.6</v>
      </c>
      <c r="CL81" s="106">
        <v>15</v>
      </c>
      <c r="CM81" s="106">
        <v>11304</v>
      </c>
      <c r="CN81" s="106">
        <v>5</v>
      </c>
      <c r="CO81" s="106">
        <v>3768</v>
      </c>
      <c r="CP81" s="106">
        <v>5</v>
      </c>
      <c r="CQ81" s="106">
        <v>3768</v>
      </c>
      <c r="CR81" s="106">
        <v>6</v>
      </c>
      <c r="CS81" s="106">
        <v>4521.6000000000004</v>
      </c>
      <c r="CT81" s="106">
        <v>7</v>
      </c>
      <c r="CU81" s="106">
        <v>5275.2</v>
      </c>
    </row>
    <row r="82" spans="2:99" x14ac:dyDescent="0.2">
      <c r="C82" s="105" t="s">
        <v>248</v>
      </c>
      <c r="D82" s="106">
        <v>9</v>
      </c>
      <c r="E82" s="106">
        <v>4579.1999999999989</v>
      </c>
      <c r="F82" s="106">
        <v>6</v>
      </c>
      <c r="G82" s="106">
        <v>3052.7999999999993</v>
      </c>
      <c r="H82" s="106">
        <v>7.5302809573361085</v>
      </c>
      <c r="I82" s="106">
        <v>3831.4069510926111</v>
      </c>
      <c r="J82" s="106">
        <v>8.6687058576322027</v>
      </c>
      <c r="K82" s="106">
        <v>4410.6375403632637</v>
      </c>
      <c r="L82" s="106">
        <v>4.0455975920841754</v>
      </c>
      <c r="M82" s="106">
        <v>2058.4000548524282</v>
      </c>
      <c r="N82" s="106">
        <v>5</v>
      </c>
      <c r="O82" s="106">
        <v>2543.9999999999995</v>
      </c>
      <c r="P82" s="106">
        <v>5</v>
      </c>
      <c r="Q82" s="106">
        <v>2543.9999999999995</v>
      </c>
      <c r="R82" s="106">
        <v>4.3918538973127665</v>
      </c>
      <c r="S82" s="106">
        <v>2234.5752629527351</v>
      </c>
      <c r="T82" s="106">
        <v>28</v>
      </c>
      <c r="U82" s="106">
        <v>14246.399999999998</v>
      </c>
      <c r="V82" s="106">
        <v>24.769211478224239</v>
      </c>
      <c r="W82" s="106">
        <v>12602.57480012049</v>
      </c>
      <c r="X82" s="106">
        <v>18</v>
      </c>
      <c r="Y82" s="106">
        <v>9158.3999999999978</v>
      </c>
      <c r="Z82" s="106">
        <v>36.71953664513255</v>
      </c>
      <c r="AA82" s="106">
        <v>18682.900245043438</v>
      </c>
      <c r="AB82" s="106">
        <v>15.731633500378766</v>
      </c>
      <c r="AC82" s="106">
        <v>8004.2551249927146</v>
      </c>
      <c r="AD82" s="106">
        <v>10</v>
      </c>
      <c r="AE82" s="106">
        <v>5087.9999999999991</v>
      </c>
      <c r="AF82" s="106">
        <v>12</v>
      </c>
      <c r="AG82" s="106">
        <v>6105.5999999999985</v>
      </c>
      <c r="AH82" s="106">
        <v>14.786850756081526</v>
      </c>
      <c r="AI82" s="106">
        <v>7523.5496646942784</v>
      </c>
      <c r="AJ82" s="106">
        <v>12.330733793451595</v>
      </c>
      <c r="AK82" s="106">
        <v>6273.87735410817</v>
      </c>
      <c r="AL82" s="106">
        <v>11.326821042930007</v>
      </c>
      <c r="AM82" s="106">
        <v>5763.0865466427867</v>
      </c>
      <c r="AN82" s="106">
        <v>16.441334509425509</v>
      </c>
      <c r="AO82" s="106">
        <v>8365.3509983956974</v>
      </c>
      <c r="AP82" s="106">
        <v>17</v>
      </c>
      <c r="AQ82" s="106">
        <v>8649.5999999999985</v>
      </c>
      <c r="AR82" s="106">
        <v>13</v>
      </c>
      <c r="AS82" s="106">
        <v>6614.3999999999987</v>
      </c>
      <c r="AT82" s="106">
        <v>20.444876316138423</v>
      </c>
      <c r="AU82" s="106">
        <v>10402.353069651228</v>
      </c>
      <c r="AV82" s="106">
        <v>23.633189677795599</v>
      </c>
      <c r="AW82" s="106">
        <v>12024.566908062397</v>
      </c>
      <c r="AX82" s="106">
        <v>16</v>
      </c>
      <c r="AY82" s="106">
        <v>8140.7999999999984</v>
      </c>
      <c r="AZ82" s="106">
        <v>5</v>
      </c>
      <c r="BA82" s="106">
        <v>2543.9999999999995</v>
      </c>
      <c r="BB82" s="106">
        <v>6</v>
      </c>
      <c r="BC82" s="106">
        <v>3052.7999999999993</v>
      </c>
      <c r="BD82" s="106">
        <v>5</v>
      </c>
      <c r="BE82" s="106">
        <v>2543.9999999999995</v>
      </c>
      <c r="BF82" s="106">
        <v>4</v>
      </c>
      <c r="BG82" s="106">
        <v>2035.1999999999996</v>
      </c>
      <c r="BH82" s="106">
        <v>17</v>
      </c>
      <c r="BI82" s="106">
        <v>8649.5999999999985</v>
      </c>
      <c r="BJ82" s="106">
        <v>21</v>
      </c>
      <c r="BK82" s="106">
        <v>10684.799999999997</v>
      </c>
      <c r="BL82" s="106">
        <v>18</v>
      </c>
      <c r="BM82" s="106">
        <v>9158.3999999999978</v>
      </c>
      <c r="BN82" s="106">
        <v>14</v>
      </c>
      <c r="BO82" s="106">
        <v>7123.1999999999989</v>
      </c>
      <c r="BP82" s="106">
        <v>6</v>
      </c>
      <c r="BQ82" s="106">
        <v>3052.7999999999993</v>
      </c>
      <c r="BR82" s="106">
        <v>5</v>
      </c>
      <c r="BS82" s="106">
        <v>2543.9999999999995</v>
      </c>
      <c r="BT82" s="106">
        <v>8.3991393284760552</v>
      </c>
      <c r="BU82" s="106">
        <v>4273.4820903286163</v>
      </c>
      <c r="BV82" s="106">
        <v>7.4067562547631178</v>
      </c>
      <c r="BW82" s="106">
        <v>3768.5575824234734</v>
      </c>
      <c r="BX82" s="106">
        <v>6.5933458135189609</v>
      </c>
      <c r="BY82" s="106">
        <v>3354.6943499184467</v>
      </c>
      <c r="BZ82" s="106">
        <v>6.4747187650670499</v>
      </c>
      <c r="CA82" s="106">
        <v>3294.3369076661143</v>
      </c>
      <c r="CB82" s="106">
        <v>4</v>
      </c>
      <c r="CC82" s="106">
        <v>2035.1999999999996</v>
      </c>
      <c r="CD82" s="106">
        <v>9</v>
      </c>
      <c r="CE82" s="106">
        <v>4579.1999999999989</v>
      </c>
      <c r="CF82" s="106">
        <v>11</v>
      </c>
      <c r="CG82" s="106">
        <v>5596.7999999999993</v>
      </c>
      <c r="CH82" s="106">
        <v>20</v>
      </c>
      <c r="CI82" s="106">
        <v>10175.999999999998</v>
      </c>
      <c r="CJ82" s="106">
        <v>19</v>
      </c>
      <c r="CK82" s="106">
        <v>9667.1999999999989</v>
      </c>
      <c r="CL82" s="106">
        <v>16</v>
      </c>
      <c r="CM82" s="106">
        <v>8140.7999999999984</v>
      </c>
      <c r="CN82" s="106">
        <v>4</v>
      </c>
      <c r="CO82" s="106">
        <v>2035.1999999999996</v>
      </c>
      <c r="CP82" s="106">
        <v>6</v>
      </c>
      <c r="CQ82" s="106">
        <v>3052.7999999999993</v>
      </c>
      <c r="CR82" s="106">
        <v>7</v>
      </c>
      <c r="CS82" s="106">
        <v>3561.5999999999995</v>
      </c>
      <c r="CT82" s="106">
        <v>7</v>
      </c>
      <c r="CU82" s="106">
        <v>3561.5999999999995</v>
      </c>
    </row>
    <row r="83" spans="2:99" x14ac:dyDescent="0.2">
      <c r="C83" s="105" t="s">
        <v>249</v>
      </c>
      <c r="D83" s="106">
        <v>9</v>
      </c>
      <c r="E83" s="106">
        <v>7743.5999999999995</v>
      </c>
      <c r="F83" s="106">
        <v>5</v>
      </c>
      <c r="G83" s="106">
        <v>4302</v>
      </c>
      <c r="H83" s="106">
        <v>7.5302809573361085</v>
      </c>
      <c r="I83" s="106">
        <v>6479.0537356919876</v>
      </c>
      <c r="J83" s="106">
        <v>7.6269117415301899</v>
      </c>
      <c r="K83" s="106">
        <v>6562.1948624125753</v>
      </c>
      <c r="L83" s="106">
        <v>4.0118686375008146</v>
      </c>
      <c r="M83" s="106">
        <v>3451.8117757057007</v>
      </c>
      <c r="N83" s="106">
        <v>5</v>
      </c>
      <c r="O83" s="106">
        <v>4302</v>
      </c>
      <c r="P83" s="106">
        <v>5</v>
      </c>
      <c r="Q83" s="106">
        <v>4302</v>
      </c>
      <c r="R83" s="106">
        <v>4.2924357617904265</v>
      </c>
      <c r="S83" s="106">
        <v>3693.2117294444829</v>
      </c>
      <c r="T83" s="106">
        <v>30</v>
      </c>
      <c r="U83" s="106">
        <v>25812</v>
      </c>
      <c r="V83" s="106">
        <v>26.859706946250622</v>
      </c>
      <c r="W83" s="106">
        <v>23110.091856554034</v>
      </c>
      <c r="X83" s="106">
        <v>20</v>
      </c>
      <c r="Y83" s="106">
        <v>17208</v>
      </c>
      <c r="Z83" s="106">
        <v>35.757406994876362</v>
      </c>
      <c r="AA83" s="106">
        <v>30765.67297839162</v>
      </c>
      <c r="AB83" s="106">
        <v>14.780409067070684</v>
      </c>
      <c r="AC83" s="106">
        <v>12717.063961307616</v>
      </c>
      <c r="AD83" s="106">
        <v>10</v>
      </c>
      <c r="AE83" s="106">
        <v>8604</v>
      </c>
      <c r="AF83" s="106">
        <v>11</v>
      </c>
      <c r="AG83" s="106">
        <v>9464.4</v>
      </c>
      <c r="AH83" s="106">
        <v>14.737672583826431</v>
      </c>
      <c r="AI83" s="106">
        <v>12680.293491124261</v>
      </c>
      <c r="AJ83" s="106">
        <v>14.297660414106435</v>
      </c>
      <c r="AK83" s="106">
        <v>12301.707020297175</v>
      </c>
      <c r="AL83" s="106">
        <v>11.326821042930007</v>
      </c>
      <c r="AM83" s="106">
        <v>9745.5968253369774</v>
      </c>
      <c r="AN83" s="106">
        <v>18.441334509425509</v>
      </c>
      <c r="AO83" s="106">
        <v>15866.924211909707</v>
      </c>
      <c r="AP83" s="106">
        <v>16</v>
      </c>
      <c r="AQ83" s="106">
        <v>13766.4</v>
      </c>
      <c r="AR83" s="106">
        <v>12</v>
      </c>
      <c r="AS83" s="106">
        <v>10324.799999999999</v>
      </c>
      <c r="AT83" s="106">
        <v>19.359091182238828</v>
      </c>
      <c r="AU83" s="106">
        <v>16656.562053198286</v>
      </c>
      <c r="AV83" s="106">
        <v>24.525742988466938</v>
      </c>
      <c r="AW83" s="106">
        <v>21101.949267276952</v>
      </c>
      <c r="AX83" s="106">
        <v>15</v>
      </c>
      <c r="AY83" s="106">
        <v>12906</v>
      </c>
      <c r="AZ83" s="106">
        <v>4</v>
      </c>
      <c r="BA83" s="106">
        <v>3441.6</v>
      </c>
      <c r="BB83" s="106">
        <v>6</v>
      </c>
      <c r="BC83" s="106">
        <v>5162.3999999999996</v>
      </c>
      <c r="BD83" s="106">
        <v>4</v>
      </c>
      <c r="BE83" s="106">
        <v>3441.6</v>
      </c>
      <c r="BF83" s="106">
        <v>4</v>
      </c>
      <c r="BG83" s="106">
        <v>3441.6</v>
      </c>
      <c r="BH83" s="106">
        <v>17</v>
      </c>
      <c r="BI83" s="106">
        <v>14626.8</v>
      </c>
      <c r="BJ83" s="106">
        <v>17</v>
      </c>
      <c r="BK83" s="106">
        <v>14626.8</v>
      </c>
      <c r="BL83" s="106">
        <v>19</v>
      </c>
      <c r="BM83" s="106">
        <v>16347.6</v>
      </c>
      <c r="BN83" s="106">
        <v>15</v>
      </c>
      <c r="BO83" s="106">
        <v>12906</v>
      </c>
      <c r="BP83" s="106">
        <v>7</v>
      </c>
      <c r="BQ83" s="106">
        <v>6022.8</v>
      </c>
      <c r="BR83" s="106">
        <v>4</v>
      </c>
      <c r="BS83" s="106">
        <v>3441.6</v>
      </c>
      <c r="BT83" s="106">
        <v>9</v>
      </c>
      <c r="BU83" s="106">
        <v>7743.5999999999995</v>
      </c>
      <c r="BV83" s="106">
        <v>6.3728599001995248</v>
      </c>
      <c r="BW83" s="106">
        <v>5483.2086581316707</v>
      </c>
      <c r="BX83" s="106">
        <v>5.5933458135189609</v>
      </c>
      <c r="BY83" s="106">
        <v>4812.5147379517139</v>
      </c>
      <c r="BZ83" s="106">
        <v>6.4747187650670499</v>
      </c>
      <c r="CA83" s="106">
        <v>5570.8480254636897</v>
      </c>
      <c r="CB83" s="106">
        <v>4</v>
      </c>
      <c r="CC83" s="106">
        <v>3441.6</v>
      </c>
      <c r="CD83" s="106">
        <v>8</v>
      </c>
      <c r="CE83" s="106">
        <v>6883.2</v>
      </c>
      <c r="CF83" s="106">
        <v>12</v>
      </c>
      <c r="CG83" s="106">
        <v>10324.799999999999</v>
      </c>
      <c r="CH83" s="106">
        <v>19</v>
      </c>
      <c r="CI83" s="106">
        <v>16347.6</v>
      </c>
      <c r="CJ83" s="106">
        <v>15</v>
      </c>
      <c r="CK83" s="106">
        <v>12906</v>
      </c>
      <c r="CL83" s="106">
        <v>13</v>
      </c>
      <c r="CM83" s="106">
        <v>11185.199999999999</v>
      </c>
      <c r="CN83" s="106">
        <v>5</v>
      </c>
      <c r="CO83" s="106">
        <v>4302</v>
      </c>
      <c r="CP83" s="106">
        <v>6</v>
      </c>
      <c r="CQ83" s="106">
        <v>5162.3999999999996</v>
      </c>
      <c r="CR83" s="106">
        <v>6</v>
      </c>
      <c r="CS83" s="106">
        <v>5162.3999999999996</v>
      </c>
      <c r="CT83" s="106">
        <v>6</v>
      </c>
      <c r="CU83" s="106">
        <v>5162.3999999999996</v>
      </c>
    </row>
    <row r="84" spans="2:99" x14ac:dyDescent="0.2">
      <c r="C84" s="105" t="s">
        <v>250</v>
      </c>
      <c r="D84" s="106">
        <v>9</v>
      </c>
      <c r="E84" s="106">
        <v>7030.7999999999993</v>
      </c>
      <c r="F84" s="106">
        <v>5</v>
      </c>
      <c r="G84" s="106">
        <v>3905.9999999999995</v>
      </c>
      <c r="H84" s="106">
        <v>8.5634235171696158</v>
      </c>
      <c r="I84" s="106">
        <v>6689.746451612903</v>
      </c>
      <c r="J84" s="106">
        <v>7.7104999737342155</v>
      </c>
      <c r="K84" s="106">
        <v>6023.4425794811687</v>
      </c>
      <c r="L84" s="106">
        <v>3.9444107283340935</v>
      </c>
      <c r="M84" s="106">
        <v>3081.3736609745933</v>
      </c>
      <c r="N84" s="106">
        <v>5</v>
      </c>
      <c r="O84" s="106">
        <v>3905.9999999999995</v>
      </c>
      <c r="P84" s="106">
        <v>5</v>
      </c>
      <c r="Q84" s="106">
        <v>3905.9999999999995</v>
      </c>
      <c r="R84" s="106">
        <v>3.2924357617904265</v>
      </c>
      <c r="S84" s="106">
        <v>2572.0508171106808</v>
      </c>
      <c r="T84" s="106">
        <v>27</v>
      </c>
      <c r="U84" s="106">
        <v>21092.399999999998</v>
      </c>
      <c r="V84" s="106">
        <v>25.769211478224239</v>
      </c>
      <c r="W84" s="106">
        <v>20130.908006788773</v>
      </c>
      <c r="X84" s="106">
        <v>17</v>
      </c>
      <c r="Y84" s="106">
        <v>13280.4</v>
      </c>
      <c r="Z84" s="106">
        <v>36.68166629538873</v>
      </c>
      <c r="AA84" s="106">
        <v>28655.717709957673</v>
      </c>
      <c r="AB84" s="106">
        <v>14.682857933686847</v>
      </c>
      <c r="AC84" s="106">
        <v>11470.248617796164</v>
      </c>
      <c r="AD84" s="106">
        <v>10</v>
      </c>
      <c r="AE84" s="106">
        <v>7811.9999999999991</v>
      </c>
      <c r="AF84" s="106">
        <v>10</v>
      </c>
      <c r="AG84" s="106">
        <v>7811.9999999999991</v>
      </c>
      <c r="AH84" s="106">
        <v>14.737672583826431</v>
      </c>
      <c r="AI84" s="106">
        <v>11513.069822485206</v>
      </c>
      <c r="AJ84" s="106">
        <v>13.297660414106435</v>
      </c>
      <c r="AK84" s="106">
        <v>10388.132315499946</v>
      </c>
      <c r="AL84" s="106">
        <v>11.326821042930007</v>
      </c>
      <c r="AM84" s="106">
        <v>8848.5125987369211</v>
      </c>
      <c r="AN84" s="106">
        <v>16.411912208797144</v>
      </c>
      <c r="AO84" s="106">
        <v>12820.985817512328</v>
      </c>
      <c r="AP84" s="106">
        <v>16</v>
      </c>
      <c r="AQ84" s="106">
        <v>12499.199999999999</v>
      </c>
      <c r="AR84" s="106">
        <v>14</v>
      </c>
      <c r="AS84" s="106">
        <v>10936.8</v>
      </c>
      <c r="AT84" s="106">
        <v>18.230413481389441</v>
      </c>
      <c r="AU84" s="106">
        <v>14241.59901166143</v>
      </c>
      <c r="AV84" s="106">
        <v>23.676168353527061</v>
      </c>
      <c r="AW84" s="106">
        <v>18495.82271777534</v>
      </c>
      <c r="AX84" s="106">
        <v>14</v>
      </c>
      <c r="AY84" s="106">
        <v>10936.8</v>
      </c>
      <c r="AZ84" s="106">
        <v>4</v>
      </c>
      <c r="BA84" s="106">
        <v>3124.7999999999997</v>
      </c>
      <c r="BB84" s="106">
        <v>5</v>
      </c>
      <c r="BC84" s="106">
        <v>3905.9999999999995</v>
      </c>
      <c r="BD84" s="106">
        <v>4</v>
      </c>
      <c r="BE84" s="106">
        <v>3124.7999999999997</v>
      </c>
      <c r="BF84" s="106">
        <v>4</v>
      </c>
      <c r="BG84" s="106">
        <v>3124.7999999999997</v>
      </c>
      <c r="BH84" s="106">
        <v>16</v>
      </c>
      <c r="BI84" s="106">
        <v>12499.199999999999</v>
      </c>
      <c r="BJ84" s="106">
        <v>19</v>
      </c>
      <c r="BK84" s="106">
        <v>14842.8</v>
      </c>
      <c r="BL84" s="106">
        <v>17</v>
      </c>
      <c r="BM84" s="106">
        <v>13280.4</v>
      </c>
      <c r="BN84" s="106">
        <v>15</v>
      </c>
      <c r="BO84" s="106">
        <v>11717.999999999998</v>
      </c>
      <c r="BP84" s="106">
        <v>7</v>
      </c>
      <c r="BQ84" s="106">
        <v>5468.4</v>
      </c>
      <c r="BR84" s="106">
        <v>5</v>
      </c>
      <c r="BS84" s="106">
        <v>3905.9999999999995</v>
      </c>
      <c r="BT84" s="106">
        <v>9</v>
      </c>
      <c r="BU84" s="106">
        <v>7030.7999999999993</v>
      </c>
      <c r="BV84" s="106">
        <v>7.3728599001995248</v>
      </c>
      <c r="BW84" s="106">
        <v>5759.6781540358679</v>
      </c>
      <c r="BX84" s="106">
        <v>6.5650912509704398</v>
      </c>
      <c r="BY84" s="106">
        <v>5128.6492852581068</v>
      </c>
      <c r="BZ84" s="106">
        <v>7.5274652945189446</v>
      </c>
      <c r="CA84" s="106">
        <v>5880.4558880781988</v>
      </c>
      <c r="CB84" s="106">
        <v>4</v>
      </c>
      <c r="CC84" s="106">
        <v>3124.7999999999997</v>
      </c>
      <c r="CD84" s="106">
        <v>9</v>
      </c>
      <c r="CE84" s="106">
        <v>7030.7999999999993</v>
      </c>
      <c r="CF84" s="106">
        <v>12</v>
      </c>
      <c r="CG84" s="106">
        <v>9374.4</v>
      </c>
      <c r="CH84" s="106">
        <v>17</v>
      </c>
      <c r="CI84" s="106">
        <v>13280.4</v>
      </c>
      <c r="CJ84" s="106">
        <v>17</v>
      </c>
      <c r="CK84" s="106">
        <v>13280.4</v>
      </c>
      <c r="CL84" s="106">
        <v>14</v>
      </c>
      <c r="CM84" s="106">
        <v>10936.8</v>
      </c>
      <c r="CN84" s="106">
        <v>4</v>
      </c>
      <c r="CO84" s="106">
        <v>3124.7999999999997</v>
      </c>
      <c r="CP84" s="106">
        <v>5</v>
      </c>
      <c r="CQ84" s="106">
        <v>3905.9999999999995</v>
      </c>
      <c r="CR84" s="106">
        <v>6</v>
      </c>
      <c r="CS84" s="106">
        <v>4687.2</v>
      </c>
      <c r="CT84" s="106">
        <v>7</v>
      </c>
      <c r="CU84" s="106">
        <v>5468.4</v>
      </c>
    </row>
    <row r="85" spans="2:99" x14ac:dyDescent="0.2">
      <c r="C85" s="105" t="s">
        <v>251</v>
      </c>
      <c r="D85" s="106">
        <v>8</v>
      </c>
      <c r="E85" s="106">
        <v>1200</v>
      </c>
      <c r="F85" s="106">
        <v>5</v>
      </c>
      <c r="G85" s="106">
        <v>750</v>
      </c>
      <c r="H85" s="106">
        <v>8.5965660770031214</v>
      </c>
      <c r="I85" s="106">
        <v>1289.4849115504683</v>
      </c>
      <c r="J85" s="106">
        <v>8.7522940898362283</v>
      </c>
      <c r="K85" s="106">
        <v>1312.8441134754341</v>
      </c>
      <c r="L85" s="106">
        <v>4.0793265466675352</v>
      </c>
      <c r="M85" s="106">
        <v>611.89898200013033</v>
      </c>
      <c r="N85" s="106">
        <v>5</v>
      </c>
      <c r="O85" s="106">
        <v>750</v>
      </c>
      <c r="P85" s="106">
        <v>5</v>
      </c>
      <c r="Q85" s="106">
        <v>750</v>
      </c>
      <c r="R85" s="106">
        <v>4.2924357617904265</v>
      </c>
      <c r="S85" s="106">
        <v>643.86536426856401</v>
      </c>
      <c r="T85" s="106">
        <v>30</v>
      </c>
      <c r="U85" s="106">
        <v>4500</v>
      </c>
      <c r="V85" s="106">
        <v>30.859706946250622</v>
      </c>
      <c r="W85" s="106">
        <v>4628.956041937593</v>
      </c>
      <c r="X85" s="106">
        <v>20</v>
      </c>
      <c r="Y85" s="106">
        <v>3000</v>
      </c>
      <c r="Z85" s="106">
        <v>42.833147694364001</v>
      </c>
      <c r="AA85" s="106">
        <v>6424.9721541546005</v>
      </c>
      <c r="AB85" s="106">
        <v>17.780409067070682</v>
      </c>
      <c r="AC85" s="106">
        <v>2667.0613600606025</v>
      </c>
      <c r="AD85" s="106">
        <v>11</v>
      </c>
      <c r="AE85" s="106">
        <v>1650</v>
      </c>
      <c r="AF85" s="106">
        <v>13</v>
      </c>
      <c r="AG85" s="106">
        <v>1950</v>
      </c>
      <c r="AH85" s="106">
        <v>15.836028928336621</v>
      </c>
      <c r="AI85" s="106">
        <v>2375.4043392504932</v>
      </c>
      <c r="AJ85" s="106">
        <v>13.330733793451595</v>
      </c>
      <c r="AK85" s="106">
        <v>1999.6100690177391</v>
      </c>
      <c r="AL85" s="106">
        <v>12.326821042930007</v>
      </c>
      <c r="AM85" s="106">
        <v>1849.023156439501</v>
      </c>
      <c r="AN85" s="106">
        <v>18.411912208797144</v>
      </c>
      <c r="AO85" s="106">
        <v>2761.7868313195718</v>
      </c>
      <c r="AP85" s="106">
        <v>16</v>
      </c>
      <c r="AQ85" s="106">
        <v>2400</v>
      </c>
      <c r="AR85" s="106">
        <v>14</v>
      </c>
      <c r="AS85" s="106">
        <v>2100</v>
      </c>
      <c r="AT85" s="106">
        <v>22.487768883088222</v>
      </c>
      <c r="AU85" s="106">
        <v>3373.1653324632334</v>
      </c>
      <c r="AV85" s="106">
        <v>26.934040407915838</v>
      </c>
      <c r="AW85" s="106">
        <v>4040.1060611873754</v>
      </c>
      <c r="AX85" s="106">
        <v>17</v>
      </c>
      <c r="AY85" s="106">
        <v>2550</v>
      </c>
      <c r="AZ85" s="106">
        <v>4</v>
      </c>
      <c r="BA85" s="106">
        <v>600</v>
      </c>
      <c r="BB85" s="106">
        <v>7</v>
      </c>
      <c r="BC85" s="106">
        <v>1050</v>
      </c>
      <c r="BD85" s="106">
        <v>4</v>
      </c>
      <c r="BE85" s="106">
        <v>600</v>
      </c>
      <c r="BF85" s="106">
        <v>4</v>
      </c>
      <c r="BG85" s="106">
        <v>600</v>
      </c>
      <c r="BH85" s="106">
        <v>20</v>
      </c>
      <c r="BI85" s="106">
        <v>3000</v>
      </c>
      <c r="BJ85" s="106">
        <v>22</v>
      </c>
      <c r="BK85" s="106">
        <v>3300</v>
      </c>
      <c r="BL85" s="106">
        <v>19</v>
      </c>
      <c r="BM85" s="106">
        <v>2850</v>
      </c>
      <c r="BN85" s="106">
        <v>16</v>
      </c>
      <c r="BO85" s="106">
        <v>2400</v>
      </c>
      <c r="BP85" s="106">
        <v>7</v>
      </c>
      <c r="BQ85" s="106">
        <v>1050</v>
      </c>
      <c r="BR85" s="106">
        <v>5</v>
      </c>
      <c r="BS85" s="106">
        <v>750</v>
      </c>
      <c r="BT85" s="106">
        <v>8.4490317445355618</v>
      </c>
      <c r="BU85" s="106">
        <v>1267.3547616803344</v>
      </c>
      <c r="BV85" s="106">
        <v>8</v>
      </c>
      <c r="BW85" s="106">
        <v>1200</v>
      </c>
      <c r="BX85" s="106">
        <v>6.5933458135189609</v>
      </c>
      <c r="BY85" s="106">
        <v>989.00187202784412</v>
      </c>
      <c r="BZ85" s="106">
        <v>6.4747187650670499</v>
      </c>
      <c r="CA85" s="106">
        <v>971.20781476005743</v>
      </c>
      <c r="CB85" s="106">
        <v>4</v>
      </c>
      <c r="CC85" s="106">
        <v>600</v>
      </c>
      <c r="CD85" s="106">
        <v>9</v>
      </c>
      <c r="CE85" s="106">
        <v>1350</v>
      </c>
      <c r="CF85" s="106">
        <v>13</v>
      </c>
      <c r="CG85" s="106">
        <v>1950</v>
      </c>
      <c r="CH85" s="106">
        <v>21</v>
      </c>
      <c r="CI85" s="106">
        <v>3150</v>
      </c>
      <c r="CJ85" s="106">
        <v>17</v>
      </c>
      <c r="CK85" s="106">
        <v>2550</v>
      </c>
      <c r="CL85" s="106">
        <v>16</v>
      </c>
      <c r="CM85" s="106">
        <v>2400</v>
      </c>
      <c r="CN85" s="106">
        <v>5</v>
      </c>
      <c r="CO85" s="106">
        <v>750</v>
      </c>
      <c r="CP85" s="106">
        <v>6</v>
      </c>
      <c r="CQ85" s="106">
        <v>900</v>
      </c>
      <c r="CR85" s="106">
        <v>6</v>
      </c>
      <c r="CS85" s="106">
        <v>900</v>
      </c>
      <c r="CT85" s="106">
        <v>7</v>
      </c>
      <c r="CU85" s="106">
        <v>1050</v>
      </c>
    </row>
    <row r="86" spans="2:99" x14ac:dyDescent="0.2">
      <c r="C86" s="105" t="s">
        <v>252</v>
      </c>
      <c r="D86" s="106">
        <v>9</v>
      </c>
      <c r="E86" s="106">
        <v>4860</v>
      </c>
      <c r="F86" s="106">
        <v>5</v>
      </c>
      <c r="G86" s="106">
        <v>2700</v>
      </c>
      <c r="H86" s="106">
        <v>8.5302809573361085</v>
      </c>
      <c r="I86" s="106">
        <v>4606.3517169614988</v>
      </c>
      <c r="J86" s="106">
        <v>7.7104999737342155</v>
      </c>
      <c r="K86" s="106">
        <v>4163.6699858164766</v>
      </c>
      <c r="L86" s="106">
        <v>3.9106817737507331</v>
      </c>
      <c r="M86" s="106">
        <v>2111.768157825396</v>
      </c>
      <c r="N86" s="106">
        <v>5</v>
      </c>
      <c r="O86" s="106">
        <v>2700</v>
      </c>
      <c r="P86" s="106">
        <v>5</v>
      </c>
      <c r="Q86" s="106">
        <v>2700</v>
      </c>
      <c r="R86" s="106">
        <v>4.1433085585069156</v>
      </c>
      <c r="S86" s="106">
        <v>2237.3866215937346</v>
      </c>
      <c r="T86" s="106">
        <v>29</v>
      </c>
      <c r="U86" s="106">
        <v>15660</v>
      </c>
      <c r="V86" s="106">
        <v>26.904954680263813</v>
      </c>
      <c r="W86" s="106">
        <v>14528.675527342459</v>
      </c>
      <c r="X86" s="106">
        <v>20</v>
      </c>
      <c r="Y86" s="106">
        <v>10800</v>
      </c>
      <c r="Z86" s="106">
        <v>35.795277344620182</v>
      </c>
      <c r="AA86" s="106">
        <v>19329.449766094898</v>
      </c>
      <c r="AB86" s="106">
        <v>15.780409067070684</v>
      </c>
      <c r="AC86" s="106">
        <v>8521.4208962181692</v>
      </c>
      <c r="AD86" s="106">
        <v>10</v>
      </c>
      <c r="AE86" s="106">
        <v>5400</v>
      </c>
      <c r="AF86" s="106">
        <v>10</v>
      </c>
      <c r="AG86" s="106">
        <v>5400</v>
      </c>
      <c r="AH86" s="106">
        <v>14.737672583826431</v>
      </c>
      <c r="AI86" s="106">
        <v>7958.3431952662722</v>
      </c>
      <c r="AJ86" s="106">
        <v>14.264587034761275</v>
      </c>
      <c r="AK86" s="106">
        <v>7702.8769987710884</v>
      </c>
      <c r="AL86" s="106">
        <v>10.326821042930007</v>
      </c>
      <c r="AM86" s="106">
        <v>5576.4833631822039</v>
      </c>
      <c r="AN86" s="106">
        <v>16.411912208797144</v>
      </c>
      <c r="AO86" s="106">
        <v>8862.4325927504578</v>
      </c>
      <c r="AP86" s="106">
        <v>18</v>
      </c>
      <c r="AQ86" s="106">
        <v>9720</v>
      </c>
      <c r="AR86" s="106">
        <v>12</v>
      </c>
      <c r="AS86" s="106">
        <v>6480</v>
      </c>
      <c r="AT86" s="106">
        <v>19.530661450038018</v>
      </c>
      <c r="AU86" s="106">
        <v>10546.55718302053</v>
      </c>
      <c r="AV86" s="106">
        <v>24.697657691392791</v>
      </c>
      <c r="AW86" s="106">
        <v>13336.735153352107</v>
      </c>
      <c r="AX86" s="106">
        <v>16</v>
      </c>
      <c r="AY86" s="106">
        <v>8640</v>
      </c>
      <c r="AZ86" s="106">
        <v>4</v>
      </c>
      <c r="BA86" s="106">
        <v>2160</v>
      </c>
      <c r="BB86" s="106">
        <v>6</v>
      </c>
      <c r="BC86" s="106">
        <v>3240</v>
      </c>
      <c r="BD86" s="106">
        <v>5</v>
      </c>
      <c r="BE86" s="106">
        <v>2700</v>
      </c>
      <c r="BF86" s="106">
        <v>4</v>
      </c>
      <c r="BG86" s="106">
        <v>2160</v>
      </c>
      <c r="BH86" s="106">
        <v>17</v>
      </c>
      <c r="BI86" s="106">
        <v>9180</v>
      </c>
      <c r="BJ86" s="106">
        <v>18</v>
      </c>
      <c r="BK86" s="106">
        <v>9720</v>
      </c>
      <c r="BL86" s="106">
        <v>20</v>
      </c>
      <c r="BM86" s="106">
        <v>10800</v>
      </c>
      <c r="BN86" s="106">
        <v>16</v>
      </c>
      <c r="BO86" s="106">
        <v>8640</v>
      </c>
      <c r="BP86" s="106">
        <v>7</v>
      </c>
      <c r="BQ86" s="106">
        <v>3780</v>
      </c>
      <c r="BR86" s="106">
        <v>5</v>
      </c>
      <c r="BS86" s="106">
        <v>2700</v>
      </c>
      <c r="BT86" s="106">
        <v>8.4490317445355618</v>
      </c>
      <c r="BU86" s="106">
        <v>4562.4771420492034</v>
      </c>
      <c r="BV86" s="106">
        <v>7.4067562547631178</v>
      </c>
      <c r="BW86" s="106">
        <v>3999.6483775720835</v>
      </c>
      <c r="BX86" s="106">
        <v>5.6216003760674838</v>
      </c>
      <c r="BY86" s="106">
        <v>3035.664203076441</v>
      </c>
      <c r="BZ86" s="106">
        <v>6.4747187650670499</v>
      </c>
      <c r="CA86" s="106">
        <v>3496.3481331362068</v>
      </c>
      <c r="CB86" s="106">
        <v>4</v>
      </c>
      <c r="CC86" s="106">
        <v>2160</v>
      </c>
      <c r="CD86" s="106">
        <v>7</v>
      </c>
      <c r="CE86" s="106">
        <v>3780</v>
      </c>
      <c r="CF86" s="106">
        <v>12</v>
      </c>
      <c r="CG86" s="106">
        <v>6480</v>
      </c>
      <c r="CH86" s="106">
        <v>16</v>
      </c>
      <c r="CI86" s="106">
        <v>8640</v>
      </c>
      <c r="CJ86" s="106">
        <v>19</v>
      </c>
      <c r="CK86" s="106">
        <v>10260</v>
      </c>
      <c r="CL86" s="106">
        <v>14</v>
      </c>
      <c r="CM86" s="106">
        <v>7560</v>
      </c>
      <c r="CN86" s="106">
        <v>4</v>
      </c>
      <c r="CO86" s="106">
        <v>2160</v>
      </c>
      <c r="CP86" s="106">
        <v>6</v>
      </c>
      <c r="CQ86" s="106">
        <v>3240</v>
      </c>
      <c r="CR86" s="106">
        <v>6</v>
      </c>
      <c r="CS86" s="106">
        <v>3240</v>
      </c>
      <c r="CT86" s="106">
        <v>6</v>
      </c>
      <c r="CU86" s="106">
        <v>3240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9774</v>
      </c>
      <c r="F87" s="106">
        <v>3</v>
      </c>
      <c r="G87" s="106">
        <v>5864.4</v>
      </c>
      <c r="H87" s="106">
        <v>3.3645681581685745</v>
      </c>
      <c r="I87" s="106">
        <v>6577.0578355879288</v>
      </c>
      <c r="J87" s="106">
        <v>4.4597352771221397</v>
      </c>
      <c r="K87" s="106">
        <v>8717.8905197183576</v>
      </c>
      <c r="L87" s="106">
        <v>16.809494910000652</v>
      </c>
      <c r="M87" s="106">
        <v>32859.200650069273</v>
      </c>
      <c r="N87" s="106">
        <v>22</v>
      </c>
      <c r="O87" s="106">
        <v>43005.599999999999</v>
      </c>
      <c r="P87" s="106">
        <v>13</v>
      </c>
      <c r="Q87" s="106">
        <v>25412.399999999998</v>
      </c>
      <c r="R87" s="106">
        <v>13</v>
      </c>
      <c r="S87" s="106">
        <v>25412.399999999998</v>
      </c>
      <c r="T87" s="106">
        <v>31</v>
      </c>
      <c r="U87" s="106">
        <v>60598.799999999996</v>
      </c>
      <c r="V87" s="106">
        <v>42</v>
      </c>
      <c r="W87" s="106">
        <v>82101.599999999991</v>
      </c>
      <c r="X87" s="106">
        <v>36</v>
      </c>
      <c r="Y87" s="106">
        <v>70372.800000000003</v>
      </c>
      <c r="Z87" s="106">
        <v>34</v>
      </c>
      <c r="AA87" s="106">
        <v>66463.199999999997</v>
      </c>
      <c r="AB87" s="106">
        <v>10</v>
      </c>
      <c r="AC87" s="106">
        <v>19548</v>
      </c>
      <c r="AD87" s="106">
        <v>11</v>
      </c>
      <c r="AE87" s="106">
        <v>21502.799999999999</v>
      </c>
      <c r="AF87" s="106">
        <v>10</v>
      </c>
      <c r="AG87" s="106">
        <v>19548</v>
      </c>
      <c r="AH87" s="106">
        <v>9.8360289283366207</v>
      </c>
      <c r="AI87" s="106">
        <v>19227.469349112427</v>
      </c>
      <c r="AJ87" s="106">
        <v>10</v>
      </c>
      <c r="AK87" s="106">
        <v>19548</v>
      </c>
      <c r="AL87" s="106">
        <v>16</v>
      </c>
      <c r="AM87" s="106">
        <v>31276.799999999999</v>
      </c>
      <c r="AN87" s="106">
        <v>16</v>
      </c>
      <c r="AO87" s="106">
        <v>31276.799999999999</v>
      </c>
      <c r="AP87" s="106">
        <v>9</v>
      </c>
      <c r="AQ87" s="106">
        <v>17593.2</v>
      </c>
      <c r="AR87" s="106">
        <v>5</v>
      </c>
      <c r="AS87" s="106">
        <v>9774</v>
      </c>
      <c r="AT87" s="106">
        <v>4.4289256694979695</v>
      </c>
      <c r="AU87" s="106">
        <v>8657.6638987346305</v>
      </c>
      <c r="AV87" s="106">
        <v>6.1934040407915836</v>
      </c>
      <c r="AW87" s="106">
        <v>12106.866218939387</v>
      </c>
      <c r="AX87" s="106">
        <v>4</v>
      </c>
      <c r="AY87" s="106">
        <v>7819.2</v>
      </c>
      <c r="AZ87" s="106">
        <v>8</v>
      </c>
      <c r="BA87" s="106">
        <v>15638.4</v>
      </c>
      <c r="BB87" s="106">
        <v>8</v>
      </c>
      <c r="BC87" s="106">
        <v>15638.4</v>
      </c>
      <c r="BD87" s="106">
        <v>10</v>
      </c>
      <c r="BE87" s="106">
        <v>19548</v>
      </c>
      <c r="BF87" s="106">
        <v>9</v>
      </c>
      <c r="BG87" s="106">
        <v>17593.2</v>
      </c>
      <c r="BH87" s="106">
        <v>12</v>
      </c>
      <c r="BI87" s="106">
        <v>23457.599999999999</v>
      </c>
      <c r="BJ87" s="106">
        <v>20.75370862413056</v>
      </c>
      <c r="BK87" s="106">
        <v>40569.349618450418</v>
      </c>
      <c r="BL87" s="106">
        <v>21</v>
      </c>
      <c r="BM87" s="106">
        <v>41050.799999999996</v>
      </c>
      <c r="BN87" s="106">
        <v>15.851599899218947</v>
      </c>
      <c r="BO87" s="106">
        <v>30986.707482993195</v>
      </c>
      <c r="BP87" s="106">
        <v>34.687750386859214</v>
      </c>
      <c r="BQ87" s="106">
        <v>67807.61445623239</v>
      </c>
      <c r="BR87" s="106">
        <v>29</v>
      </c>
      <c r="BS87" s="106">
        <v>56689.2</v>
      </c>
      <c r="BT87" s="106">
        <v>32</v>
      </c>
      <c r="BU87" s="106">
        <v>62553.599999999999</v>
      </c>
      <c r="BV87" s="106">
        <v>35.457543246234508</v>
      </c>
      <c r="BW87" s="106">
        <v>69312.405537739207</v>
      </c>
      <c r="BX87" s="106">
        <v>39.423818438227826</v>
      </c>
      <c r="BY87" s="106">
        <v>77065.680283047754</v>
      </c>
      <c r="BZ87" s="106">
        <v>24.316479176711368</v>
      </c>
      <c r="CA87" s="106">
        <v>47533.853494635383</v>
      </c>
      <c r="CB87" s="106">
        <v>21</v>
      </c>
      <c r="CC87" s="106">
        <v>41050.799999999996</v>
      </c>
      <c r="CD87" s="106">
        <v>25</v>
      </c>
      <c r="CE87" s="106">
        <v>48870</v>
      </c>
      <c r="CF87" s="106">
        <v>10</v>
      </c>
      <c r="CG87" s="106">
        <v>19548</v>
      </c>
      <c r="CH87" s="106">
        <v>14</v>
      </c>
      <c r="CI87" s="106">
        <v>27367.200000000001</v>
      </c>
      <c r="CJ87" s="106">
        <v>13</v>
      </c>
      <c r="CK87" s="106">
        <v>25412.399999999998</v>
      </c>
      <c r="CL87" s="106">
        <v>10</v>
      </c>
      <c r="CM87" s="106">
        <v>19548</v>
      </c>
      <c r="CN87" s="106">
        <v>6</v>
      </c>
      <c r="CO87" s="106">
        <v>11728.8</v>
      </c>
      <c r="CP87" s="106">
        <v>8</v>
      </c>
      <c r="CQ87" s="106">
        <v>15638.4</v>
      </c>
      <c r="CR87" s="106">
        <v>4</v>
      </c>
      <c r="CS87" s="106">
        <v>7819.2</v>
      </c>
      <c r="CT87" s="106">
        <v>7</v>
      </c>
      <c r="CU87" s="106">
        <v>13683.6</v>
      </c>
    </row>
    <row r="88" spans="2:99" x14ac:dyDescent="0.2">
      <c r="C88" s="105" t="s">
        <v>254</v>
      </c>
      <c r="D88" s="106">
        <v>5</v>
      </c>
      <c r="E88" s="106">
        <v>9462</v>
      </c>
      <c r="F88" s="106">
        <v>3</v>
      </c>
      <c r="G88" s="106">
        <v>5677.2</v>
      </c>
      <c r="H88" s="106">
        <v>3.3314255983350676</v>
      </c>
      <c r="I88" s="106">
        <v>6304.3898022892818</v>
      </c>
      <c r="J88" s="106">
        <v>4.4597352771221397</v>
      </c>
      <c r="K88" s="106">
        <v>8439.6030384259357</v>
      </c>
      <c r="L88" s="106">
        <v>16</v>
      </c>
      <c r="M88" s="106">
        <v>30278.399999999998</v>
      </c>
      <c r="N88" s="106">
        <v>21</v>
      </c>
      <c r="O88" s="106">
        <v>39740.399999999994</v>
      </c>
      <c r="P88" s="106">
        <v>11</v>
      </c>
      <c r="Q88" s="106">
        <v>20816.399999999998</v>
      </c>
      <c r="R88" s="106">
        <v>12</v>
      </c>
      <c r="S88" s="106">
        <v>22708.799999999999</v>
      </c>
      <c r="T88" s="106">
        <v>32</v>
      </c>
      <c r="U88" s="106">
        <v>60556.799999999996</v>
      </c>
      <c r="V88" s="106">
        <v>35</v>
      </c>
      <c r="W88" s="106">
        <v>66234</v>
      </c>
      <c r="X88" s="106">
        <v>35</v>
      </c>
      <c r="Y88" s="106">
        <v>66234</v>
      </c>
      <c r="Z88" s="106">
        <v>29</v>
      </c>
      <c r="AA88" s="106">
        <v>54879.6</v>
      </c>
      <c r="AB88" s="106">
        <v>9</v>
      </c>
      <c r="AC88" s="106">
        <v>17031.599999999999</v>
      </c>
      <c r="AD88" s="106">
        <v>12</v>
      </c>
      <c r="AE88" s="106">
        <v>22708.799999999999</v>
      </c>
      <c r="AF88" s="106">
        <v>10</v>
      </c>
      <c r="AG88" s="106">
        <v>18924</v>
      </c>
      <c r="AH88" s="106">
        <v>10.737672583826431</v>
      </c>
      <c r="AI88" s="106">
        <v>20319.971597633135</v>
      </c>
      <c r="AJ88" s="106">
        <v>9</v>
      </c>
      <c r="AK88" s="106">
        <v>17031.599999999999</v>
      </c>
      <c r="AL88" s="106">
        <v>16</v>
      </c>
      <c r="AM88" s="106">
        <v>30278.399999999998</v>
      </c>
      <c r="AN88" s="106">
        <v>16</v>
      </c>
      <c r="AO88" s="106">
        <v>30278.399999999998</v>
      </c>
      <c r="AP88" s="106">
        <v>9</v>
      </c>
      <c r="AQ88" s="106">
        <v>17031.599999999999</v>
      </c>
      <c r="AR88" s="106">
        <v>5</v>
      </c>
      <c r="AS88" s="106">
        <v>9462</v>
      </c>
      <c r="AT88" s="106">
        <v>5.386033102548172</v>
      </c>
      <c r="AU88" s="106">
        <v>10192.52904326216</v>
      </c>
      <c r="AV88" s="106">
        <v>7.1934040407915836</v>
      </c>
      <c r="AW88" s="106">
        <v>13612.797806793991</v>
      </c>
      <c r="AX88" s="106">
        <v>4</v>
      </c>
      <c r="AY88" s="106">
        <v>7569.5999999999995</v>
      </c>
      <c r="AZ88" s="106">
        <v>9</v>
      </c>
      <c r="BA88" s="106">
        <v>17031.599999999999</v>
      </c>
      <c r="BB88" s="106">
        <v>7</v>
      </c>
      <c r="BC88" s="106">
        <v>13246.8</v>
      </c>
      <c r="BD88" s="106">
        <v>11</v>
      </c>
      <c r="BE88" s="106">
        <v>20816.399999999998</v>
      </c>
      <c r="BF88" s="106">
        <v>8</v>
      </c>
      <c r="BG88" s="106">
        <v>15139.199999999999</v>
      </c>
      <c r="BH88" s="106">
        <v>14</v>
      </c>
      <c r="BI88" s="106">
        <v>26493.599999999999</v>
      </c>
      <c r="BJ88" s="106">
        <v>18.75370862413056</v>
      </c>
      <c r="BK88" s="106">
        <v>35489.518200304672</v>
      </c>
      <c r="BL88" s="106">
        <v>22</v>
      </c>
      <c r="BM88" s="106">
        <v>41632.799999999996</v>
      </c>
      <c r="BN88" s="106">
        <v>16.949861426051903</v>
      </c>
      <c r="BO88" s="106">
        <v>32075.917762660618</v>
      </c>
      <c r="BP88" s="106">
        <v>31</v>
      </c>
      <c r="BQ88" s="106">
        <v>58664.399999999994</v>
      </c>
      <c r="BR88" s="106">
        <v>26</v>
      </c>
      <c r="BS88" s="106">
        <v>49202.399999999994</v>
      </c>
      <c r="BT88" s="106">
        <v>39</v>
      </c>
      <c r="BU88" s="106">
        <v>73803.599999999991</v>
      </c>
      <c r="BV88" s="106">
        <v>36.52533595536169</v>
      </c>
      <c r="BW88" s="106">
        <v>69120.545761926463</v>
      </c>
      <c r="BX88" s="106">
        <v>41.367309313130782</v>
      </c>
      <c r="BY88" s="106">
        <v>78283.49614416869</v>
      </c>
      <c r="BZ88" s="106">
        <v>25.395598970889207</v>
      </c>
      <c r="CA88" s="106">
        <v>48058.631492510729</v>
      </c>
      <c r="CB88" s="106">
        <v>21</v>
      </c>
      <c r="CC88" s="106">
        <v>39740.399999999994</v>
      </c>
      <c r="CD88" s="106">
        <v>21</v>
      </c>
      <c r="CE88" s="106">
        <v>39740.399999999994</v>
      </c>
      <c r="CF88" s="106">
        <v>11</v>
      </c>
      <c r="CG88" s="106">
        <v>20816.399999999998</v>
      </c>
      <c r="CH88" s="106">
        <v>12</v>
      </c>
      <c r="CI88" s="106">
        <v>22708.799999999999</v>
      </c>
      <c r="CJ88" s="106">
        <v>16</v>
      </c>
      <c r="CK88" s="106">
        <v>30278.399999999998</v>
      </c>
      <c r="CL88" s="106">
        <v>9</v>
      </c>
      <c r="CM88" s="106">
        <v>17031.599999999999</v>
      </c>
      <c r="CN88" s="106">
        <v>6</v>
      </c>
      <c r="CO88" s="106">
        <v>11354.4</v>
      </c>
      <c r="CP88" s="106">
        <v>7</v>
      </c>
      <c r="CQ88" s="106">
        <v>13246.8</v>
      </c>
      <c r="CR88" s="106">
        <v>4</v>
      </c>
      <c r="CS88" s="106">
        <v>7569.5999999999995</v>
      </c>
      <c r="CT88" s="106">
        <v>7</v>
      </c>
      <c r="CU88" s="106">
        <v>13246.8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3</v>
      </c>
      <c r="G89" s="106">
        <v>7192.7999999999993</v>
      </c>
      <c r="H89" s="106">
        <v>3.3314255983350676</v>
      </c>
      <c r="I89" s="106">
        <v>7987.4260145681574</v>
      </c>
      <c r="J89" s="106">
        <v>4.4597352771221397</v>
      </c>
      <c r="K89" s="106">
        <v>10692.661300428043</v>
      </c>
      <c r="L89" s="106">
        <v>18.843223864584012</v>
      </c>
      <c r="M89" s="106">
        <v>45178.513537726627</v>
      </c>
      <c r="N89" s="106">
        <v>20</v>
      </c>
      <c r="O89" s="106">
        <v>47952</v>
      </c>
      <c r="P89" s="106">
        <v>12</v>
      </c>
      <c r="Q89" s="106">
        <v>28771.199999999997</v>
      </c>
      <c r="R89" s="106">
        <v>11</v>
      </c>
      <c r="S89" s="106">
        <v>26373.599999999999</v>
      </c>
      <c r="T89" s="106">
        <v>26</v>
      </c>
      <c r="U89" s="106">
        <v>62337.599999999999</v>
      </c>
      <c r="V89" s="106">
        <v>37</v>
      </c>
      <c r="W89" s="106">
        <v>88711.2</v>
      </c>
      <c r="X89" s="106">
        <v>37</v>
      </c>
      <c r="Y89" s="106">
        <v>88711.2</v>
      </c>
      <c r="Z89" s="106">
        <v>28</v>
      </c>
      <c r="AA89" s="106">
        <v>67132.800000000003</v>
      </c>
      <c r="AB89" s="106">
        <v>9</v>
      </c>
      <c r="AC89" s="106">
        <v>21578.399999999998</v>
      </c>
      <c r="AD89" s="106">
        <v>10</v>
      </c>
      <c r="AE89" s="106">
        <v>23976</v>
      </c>
      <c r="AF89" s="106">
        <v>10</v>
      </c>
      <c r="AG89" s="106">
        <v>23976</v>
      </c>
      <c r="AH89" s="106">
        <v>8.7376725838264306</v>
      </c>
      <c r="AI89" s="106">
        <v>20949.44378698225</v>
      </c>
      <c r="AJ89" s="106">
        <v>9</v>
      </c>
      <c r="AK89" s="106">
        <v>21578.399999999998</v>
      </c>
      <c r="AL89" s="106">
        <v>14</v>
      </c>
      <c r="AM89" s="106">
        <v>33566.400000000001</v>
      </c>
      <c r="AN89" s="106">
        <v>16</v>
      </c>
      <c r="AO89" s="106">
        <v>38361.599999999999</v>
      </c>
      <c r="AP89" s="106">
        <v>8</v>
      </c>
      <c r="AQ89" s="106">
        <v>19180.8</v>
      </c>
      <c r="AR89" s="106">
        <v>5</v>
      </c>
      <c r="AS89" s="106">
        <v>11988</v>
      </c>
      <c r="AT89" s="106">
        <v>4.386033102548172</v>
      </c>
      <c r="AU89" s="106">
        <v>10515.952966669496</v>
      </c>
      <c r="AV89" s="106">
        <v>6.1719147029258528</v>
      </c>
      <c r="AW89" s="106">
        <v>14797.782691735025</v>
      </c>
      <c r="AX89" s="106">
        <v>4</v>
      </c>
      <c r="AY89" s="106">
        <v>9590.4</v>
      </c>
      <c r="AZ89" s="106">
        <v>9</v>
      </c>
      <c r="BA89" s="106">
        <v>21578.399999999998</v>
      </c>
      <c r="BB89" s="106">
        <v>8</v>
      </c>
      <c r="BC89" s="106">
        <v>19180.8</v>
      </c>
      <c r="BD89" s="106">
        <v>11</v>
      </c>
      <c r="BE89" s="106">
        <v>26373.599999999999</v>
      </c>
      <c r="BF89" s="106">
        <v>9</v>
      </c>
      <c r="BG89" s="106">
        <v>21578.399999999998</v>
      </c>
      <c r="BH89" s="106">
        <v>13</v>
      </c>
      <c r="BI89" s="106">
        <v>31168.799999999999</v>
      </c>
      <c r="BJ89" s="106">
        <v>19.800815413138722</v>
      </c>
      <c r="BK89" s="106">
        <v>47474.435034541399</v>
      </c>
      <c r="BL89" s="106">
        <v>21</v>
      </c>
      <c r="BM89" s="106">
        <v>50349.599999999999</v>
      </c>
      <c r="BN89" s="106">
        <v>13.949861426051902</v>
      </c>
      <c r="BO89" s="106">
        <v>33446.187755102037</v>
      </c>
      <c r="BP89" s="106">
        <v>32.638110669598653</v>
      </c>
      <c r="BQ89" s="106">
        <v>78253.134141429735</v>
      </c>
      <c r="BR89" s="106">
        <v>27</v>
      </c>
      <c r="BS89" s="106">
        <v>64735.199999999997</v>
      </c>
      <c r="BT89" s="106">
        <v>36</v>
      </c>
      <c r="BU89" s="106">
        <v>86313.599999999991</v>
      </c>
      <c r="BV89" s="106">
        <v>34.491439600798095</v>
      </c>
      <c r="BW89" s="106">
        <v>82696.675586873505</v>
      </c>
      <c r="BX89" s="106">
        <v>37.423818438227826</v>
      </c>
      <c r="BY89" s="106">
        <v>89727.347087495029</v>
      </c>
      <c r="BZ89" s="106">
        <v>24.369225706163263</v>
      </c>
      <c r="CA89" s="106">
        <v>58427.655553097036</v>
      </c>
      <c r="CB89" s="106">
        <v>22</v>
      </c>
      <c r="CC89" s="106">
        <v>52747.199999999997</v>
      </c>
      <c r="CD89" s="106">
        <v>20</v>
      </c>
      <c r="CE89" s="106">
        <v>47952</v>
      </c>
      <c r="CF89" s="106">
        <v>9</v>
      </c>
      <c r="CG89" s="106">
        <v>21578.399999999998</v>
      </c>
      <c r="CH89" s="106">
        <v>14</v>
      </c>
      <c r="CI89" s="106">
        <v>33566.400000000001</v>
      </c>
      <c r="CJ89" s="106">
        <v>14</v>
      </c>
      <c r="CK89" s="106">
        <v>33566.400000000001</v>
      </c>
      <c r="CL89" s="106">
        <v>10</v>
      </c>
      <c r="CM89" s="106">
        <v>23976</v>
      </c>
      <c r="CN89" s="106">
        <v>6</v>
      </c>
      <c r="CO89" s="106">
        <v>14385.599999999999</v>
      </c>
      <c r="CP89" s="106">
        <v>7</v>
      </c>
      <c r="CQ89" s="106">
        <v>16783.2</v>
      </c>
      <c r="CR89" s="106">
        <v>4</v>
      </c>
      <c r="CS89" s="106">
        <v>9590.4</v>
      </c>
      <c r="CT89" s="106">
        <v>7</v>
      </c>
      <c r="CU89" s="106">
        <v>16783.2</v>
      </c>
    </row>
    <row r="90" spans="2:99" x14ac:dyDescent="0.2">
      <c r="C90" s="105" t="s">
        <v>256</v>
      </c>
      <c r="D90" s="106">
        <v>5</v>
      </c>
      <c r="E90" s="106">
        <v>10986</v>
      </c>
      <c r="F90" s="106">
        <v>3</v>
      </c>
      <c r="G90" s="106">
        <v>6591.5999999999995</v>
      </c>
      <c r="H90" s="106">
        <v>3.3314255983350676</v>
      </c>
      <c r="I90" s="106">
        <v>7319.8083246618098</v>
      </c>
      <c r="J90" s="106">
        <v>4.4179411610201269</v>
      </c>
      <c r="K90" s="106">
        <v>9707.1003189934218</v>
      </c>
      <c r="L90" s="106">
        <v>15.74203700083393</v>
      </c>
      <c r="M90" s="106">
        <v>34588.403698232309</v>
      </c>
      <c r="N90" s="106">
        <v>20</v>
      </c>
      <c r="O90" s="106">
        <v>43944</v>
      </c>
      <c r="P90" s="106">
        <v>11</v>
      </c>
      <c r="Q90" s="106">
        <v>24169.199999999997</v>
      </c>
      <c r="R90" s="106">
        <v>11</v>
      </c>
      <c r="S90" s="106">
        <v>24169.199999999997</v>
      </c>
      <c r="T90" s="106">
        <v>30</v>
      </c>
      <c r="U90" s="106">
        <v>65916</v>
      </c>
      <c r="V90" s="106">
        <v>41</v>
      </c>
      <c r="W90" s="106">
        <v>90085.2</v>
      </c>
      <c r="X90" s="106">
        <v>36</v>
      </c>
      <c r="Y90" s="106">
        <v>79099.199999999997</v>
      </c>
      <c r="Z90" s="106">
        <v>32</v>
      </c>
      <c r="AA90" s="106">
        <v>70310.399999999994</v>
      </c>
      <c r="AB90" s="106">
        <v>10</v>
      </c>
      <c r="AC90" s="106">
        <v>21972</v>
      </c>
      <c r="AD90" s="106">
        <v>10</v>
      </c>
      <c r="AE90" s="106">
        <v>21972</v>
      </c>
      <c r="AF90" s="106">
        <v>9</v>
      </c>
      <c r="AG90" s="106">
        <v>19774.8</v>
      </c>
      <c r="AH90" s="106">
        <v>9.6884944115713338</v>
      </c>
      <c r="AI90" s="106">
        <v>21287.559921104534</v>
      </c>
      <c r="AJ90" s="106">
        <v>10</v>
      </c>
      <c r="AK90" s="106">
        <v>21972</v>
      </c>
      <c r="AL90" s="106">
        <v>15</v>
      </c>
      <c r="AM90" s="106">
        <v>32958</v>
      </c>
      <c r="AN90" s="106">
        <v>18</v>
      </c>
      <c r="AO90" s="106">
        <v>39549.599999999999</v>
      </c>
      <c r="AP90" s="106">
        <v>8</v>
      </c>
      <c r="AQ90" s="106">
        <v>17577.599999999999</v>
      </c>
      <c r="AR90" s="106">
        <v>5</v>
      </c>
      <c r="AS90" s="106">
        <v>10986</v>
      </c>
      <c r="AT90" s="106">
        <v>4.386033102548172</v>
      </c>
      <c r="AU90" s="106">
        <v>9636.9919329188433</v>
      </c>
      <c r="AV90" s="106">
        <v>7.2148933786573153</v>
      </c>
      <c r="AW90" s="106">
        <v>15852.563731585851</v>
      </c>
      <c r="AX90" s="106">
        <v>4</v>
      </c>
      <c r="AY90" s="106">
        <v>8788.7999999999993</v>
      </c>
      <c r="AZ90" s="106">
        <v>8</v>
      </c>
      <c r="BA90" s="106">
        <v>17577.599999999999</v>
      </c>
      <c r="BB90" s="106">
        <v>8</v>
      </c>
      <c r="BC90" s="106">
        <v>17577.599999999999</v>
      </c>
      <c r="BD90" s="106">
        <v>11</v>
      </c>
      <c r="BE90" s="106">
        <v>24169.199999999997</v>
      </c>
      <c r="BF90" s="106">
        <v>9</v>
      </c>
      <c r="BG90" s="106">
        <v>19774.8</v>
      </c>
      <c r="BH90" s="106">
        <v>14</v>
      </c>
      <c r="BI90" s="106">
        <v>30760.799999999996</v>
      </c>
      <c r="BJ90" s="106">
        <v>17.706601835122399</v>
      </c>
      <c r="BK90" s="106">
        <v>38904.945552130928</v>
      </c>
      <c r="BL90" s="106">
        <v>20</v>
      </c>
      <c r="BM90" s="106">
        <v>43944</v>
      </c>
      <c r="BN90" s="106">
        <v>14.851599899218947</v>
      </c>
      <c r="BO90" s="106">
        <v>32631.935298563865</v>
      </c>
      <c r="BP90" s="106">
        <v>31.638110669598653</v>
      </c>
      <c r="BQ90" s="106">
        <v>69515.256763242156</v>
      </c>
      <c r="BR90" s="106">
        <v>27</v>
      </c>
      <c r="BS90" s="106">
        <v>59324.399999999994</v>
      </c>
      <c r="BT90" s="106">
        <v>38</v>
      </c>
      <c r="BU90" s="106">
        <v>83493.599999999991</v>
      </c>
      <c r="BV90" s="106">
        <v>34.627025019052468</v>
      </c>
      <c r="BW90" s="106">
        <v>76082.499371862083</v>
      </c>
      <c r="BX90" s="106">
        <v>35.367309313130782</v>
      </c>
      <c r="BY90" s="106">
        <v>77709.052022810953</v>
      </c>
      <c r="BZ90" s="106">
        <v>23.369225706163263</v>
      </c>
      <c r="CA90" s="106">
        <v>51346.862721581914</v>
      </c>
      <c r="CB90" s="106">
        <v>20</v>
      </c>
      <c r="CC90" s="106">
        <v>43944</v>
      </c>
      <c r="CD90" s="106">
        <v>24</v>
      </c>
      <c r="CE90" s="106">
        <v>52732.799999999996</v>
      </c>
      <c r="CF90" s="106">
        <v>10</v>
      </c>
      <c r="CG90" s="106">
        <v>21972</v>
      </c>
      <c r="CH90" s="106">
        <v>13</v>
      </c>
      <c r="CI90" s="106">
        <v>28563.599999999999</v>
      </c>
      <c r="CJ90" s="106">
        <v>15</v>
      </c>
      <c r="CK90" s="106">
        <v>32958</v>
      </c>
      <c r="CL90" s="106">
        <v>9</v>
      </c>
      <c r="CM90" s="106">
        <v>19774.8</v>
      </c>
      <c r="CN90" s="106">
        <v>6</v>
      </c>
      <c r="CO90" s="106">
        <v>13183.199999999999</v>
      </c>
      <c r="CP90" s="106">
        <v>7</v>
      </c>
      <c r="CQ90" s="106">
        <v>15380.399999999998</v>
      </c>
      <c r="CR90" s="106">
        <v>4</v>
      </c>
      <c r="CS90" s="106">
        <v>8788.7999999999993</v>
      </c>
      <c r="CT90" s="106">
        <v>7</v>
      </c>
      <c r="CU90" s="106">
        <v>15380.399999999998</v>
      </c>
    </row>
    <row r="91" spans="2:99" x14ac:dyDescent="0.2">
      <c r="C91" s="105" t="s">
        <v>257</v>
      </c>
      <c r="D91" s="106">
        <v>5</v>
      </c>
      <c r="E91" s="106">
        <v>11483.999999999998</v>
      </c>
      <c r="F91" s="106">
        <v>3</v>
      </c>
      <c r="G91" s="106">
        <v>6890.4</v>
      </c>
      <c r="H91" s="106">
        <v>3.3645681581685745</v>
      </c>
      <c r="I91" s="106">
        <v>7727.7401456815805</v>
      </c>
      <c r="J91" s="106">
        <v>4.4597352771221397</v>
      </c>
      <c r="K91" s="106">
        <v>10243.119984494129</v>
      </c>
      <c r="L91" s="106">
        <v>16.775765955417292</v>
      </c>
      <c r="M91" s="106">
        <v>38530.579246402434</v>
      </c>
      <c r="N91" s="106">
        <v>21</v>
      </c>
      <c r="O91" s="106">
        <v>48232.799999999996</v>
      </c>
      <c r="P91" s="106">
        <v>10</v>
      </c>
      <c r="Q91" s="106">
        <v>22967.999999999996</v>
      </c>
      <c r="R91" s="106">
        <v>12</v>
      </c>
      <c r="S91" s="106">
        <v>27561.599999999999</v>
      </c>
      <c r="T91" s="106">
        <v>27</v>
      </c>
      <c r="U91" s="106">
        <v>62013.599999999991</v>
      </c>
      <c r="V91" s="106">
        <v>38</v>
      </c>
      <c r="W91" s="106">
        <v>87278.399999999994</v>
      </c>
      <c r="X91" s="106">
        <v>38</v>
      </c>
      <c r="Y91" s="106">
        <v>87278.399999999994</v>
      </c>
      <c r="Z91" s="106">
        <v>28</v>
      </c>
      <c r="AA91" s="106">
        <v>64310.399999999994</v>
      </c>
      <c r="AB91" s="106">
        <v>9</v>
      </c>
      <c r="AC91" s="106">
        <v>20671.199999999997</v>
      </c>
      <c r="AD91" s="106">
        <v>11</v>
      </c>
      <c r="AE91" s="106">
        <v>25264.799999999996</v>
      </c>
      <c r="AF91" s="106">
        <v>10</v>
      </c>
      <c r="AG91" s="106">
        <v>22967.999999999996</v>
      </c>
      <c r="AH91" s="106">
        <v>8.7376725838264306</v>
      </c>
      <c r="AI91" s="106">
        <v>20068.686390532544</v>
      </c>
      <c r="AJ91" s="106">
        <v>10</v>
      </c>
      <c r="AK91" s="106">
        <v>22967.999999999996</v>
      </c>
      <c r="AL91" s="106">
        <v>14</v>
      </c>
      <c r="AM91" s="106">
        <v>32155.199999999997</v>
      </c>
      <c r="AN91" s="106">
        <v>16</v>
      </c>
      <c r="AO91" s="106">
        <v>36748.799999999996</v>
      </c>
      <c r="AP91" s="106">
        <v>9</v>
      </c>
      <c r="AQ91" s="106">
        <v>20671.199999999997</v>
      </c>
      <c r="AR91" s="106">
        <v>5</v>
      </c>
      <c r="AS91" s="106">
        <v>11483.999999999998</v>
      </c>
      <c r="AT91" s="106">
        <v>4.4289256694979695</v>
      </c>
      <c r="AU91" s="106">
        <v>10172.356477702935</v>
      </c>
      <c r="AV91" s="106">
        <v>6.1719147029258528</v>
      </c>
      <c r="AW91" s="106">
        <v>14175.653689680097</v>
      </c>
      <c r="AX91" s="106">
        <v>4</v>
      </c>
      <c r="AY91" s="106">
        <v>9187.1999999999989</v>
      </c>
      <c r="AZ91" s="106">
        <v>9</v>
      </c>
      <c r="BA91" s="106">
        <v>20671.199999999997</v>
      </c>
      <c r="BB91" s="106">
        <v>9</v>
      </c>
      <c r="BC91" s="106">
        <v>20671.199999999997</v>
      </c>
      <c r="BD91" s="106">
        <v>10</v>
      </c>
      <c r="BE91" s="106">
        <v>22967.999999999996</v>
      </c>
      <c r="BF91" s="106">
        <v>8</v>
      </c>
      <c r="BG91" s="106">
        <v>18374.399999999998</v>
      </c>
      <c r="BH91" s="106">
        <v>11</v>
      </c>
      <c r="BI91" s="106">
        <v>25264.799999999996</v>
      </c>
      <c r="BJ91" s="106">
        <v>19.800815413138722</v>
      </c>
      <c r="BK91" s="106">
        <v>45478.512840897012</v>
      </c>
      <c r="BL91" s="106">
        <v>22</v>
      </c>
      <c r="BM91" s="106">
        <v>50529.599999999991</v>
      </c>
      <c r="BN91" s="106">
        <v>15.884353741496598</v>
      </c>
      <c r="BO91" s="106">
        <v>36483.183673469386</v>
      </c>
      <c r="BP91" s="106">
        <v>32.638110669598653</v>
      </c>
      <c r="BQ91" s="106">
        <v>74963.212585934176</v>
      </c>
      <c r="BR91" s="106">
        <v>25</v>
      </c>
      <c r="BS91" s="106">
        <v>57419.999999999993</v>
      </c>
      <c r="BT91" s="106">
        <v>34</v>
      </c>
      <c r="BU91" s="106">
        <v>78091.199999999997</v>
      </c>
      <c r="BV91" s="106">
        <v>35.491439600798095</v>
      </c>
      <c r="BW91" s="106">
        <v>81516.738475113059</v>
      </c>
      <c r="BX91" s="106">
        <v>33.423818438227826</v>
      </c>
      <c r="BY91" s="106">
        <v>76767.826188921666</v>
      </c>
      <c r="BZ91" s="106">
        <v>24.342852441437316</v>
      </c>
      <c r="CA91" s="106">
        <v>55910.663487493221</v>
      </c>
      <c r="CB91" s="106">
        <v>19</v>
      </c>
      <c r="CC91" s="106">
        <v>43639.199999999997</v>
      </c>
      <c r="CD91" s="106">
        <v>20</v>
      </c>
      <c r="CE91" s="106">
        <v>45935.999999999993</v>
      </c>
      <c r="CF91" s="106">
        <v>9</v>
      </c>
      <c r="CG91" s="106">
        <v>20671.199999999997</v>
      </c>
      <c r="CH91" s="106">
        <v>12</v>
      </c>
      <c r="CI91" s="106">
        <v>27561.599999999999</v>
      </c>
      <c r="CJ91" s="106">
        <v>15</v>
      </c>
      <c r="CK91" s="106">
        <v>34451.999999999993</v>
      </c>
      <c r="CL91" s="106">
        <v>8</v>
      </c>
      <c r="CM91" s="106">
        <v>18374.399999999998</v>
      </c>
      <c r="CN91" s="106">
        <v>6</v>
      </c>
      <c r="CO91" s="106">
        <v>13780.8</v>
      </c>
      <c r="CP91" s="106">
        <v>7</v>
      </c>
      <c r="CQ91" s="106">
        <v>16077.599999999999</v>
      </c>
      <c r="CR91" s="106">
        <v>4</v>
      </c>
      <c r="CS91" s="106">
        <v>9187.1999999999989</v>
      </c>
      <c r="CT91" s="106">
        <v>7</v>
      </c>
      <c r="CU91" s="106">
        <v>16077.599999999999</v>
      </c>
    </row>
    <row r="92" spans="2:99" x14ac:dyDescent="0.2">
      <c r="C92" s="105" t="s">
        <v>258</v>
      </c>
      <c r="D92" s="106">
        <v>5</v>
      </c>
      <c r="E92" s="106">
        <v>7104</v>
      </c>
      <c r="F92" s="106">
        <v>3</v>
      </c>
      <c r="G92" s="106">
        <v>4262.3999999999996</v>
      </c>
      <c r="H92" s="106">
        <v>3.3645681581685745</v>
      </c>
      <c r="I92" s="106">
        <v>4780.3784391259105</v>
      </c>
      <c r="J92" s="106">
        <v>4.5015293932241525</v>
      </c>
      <c r="K92" s="106">
        <v>6395.7729618928752</v>
      </c>
      <c r="L92" s="106">
        <v>18</v>
      </c>
      <c r="M92" s="106">
        <v>25574.399999999998</v>
      </c>
      <c r="N92" s="106">
        <v>21</v>
      </c>
      <c r="O92" s="106">
        <v>29836.799999999999</v>
      </c>
      <c r="P92" s="106">
        <v>13</v>
      </c>
      <c r="Q92" s="106">
        <v>18470.399999999998</v>
      </c>
      <c r="R92" s="106">
        <v>13</v>
      </c>
      <c r="S92" s="106">
        <v>18470.399999999998</v>
      </c>
      <c r="T92" s="106">
        <v>34</v>
      </c>
      <c r="U92" s="106">
        <v>48307.199999999997</v>
      </c>
      <c r="V92" s="106">
        <v>39</v>
      </c>
      <c r="W92" s="106">
        <v>55411.199999999997</v>
      </c>
      <c r="X92" s="106">
        <v>40</v>
      </c>
      <c r="Y92" s="106">
        <v>56832</v>
      </c>
      <c r="Z92" s="106">
        <v>35</v>
      </c>
      <c r="AA92" s="106">
        <v>49728</v>
      </c>
      <c r="AB92" s="106">
        <v>9</v>
      </c>
      <c r="AC92" s="106">
        <v>12787.199999999999</v>
      </c>
      <c r="AD92" s="106">
        <v>12</v>
      </c>
      <c r="AE92" s="106">
        <v>17049.599999999999</v>
      </c>
      <c r="AF92" s="106">
        <v>10</v>
      </c>
      <c r="AG92" s="106">
        <v>14208</v>
      </c>
      <c r="AH92" s="106">
        <v>10.786850756081526</v>
      </c>
      <c r="AI92" s="106">
        <v>15325.957554240631</v>
      </c>
      <c r="AJ92" s="106">
        <v>10</v>
      </c>
      <c r="AK92" s="106">
        <v>14208</v>
      </c>
      <c r="AL92" s="106">
        <v>16</v>
      </c>
      <c r="AM92" s="106">
        <v>22732.799999999999</v>
      </c>
      <c r="AN92" s="106">
        <v>18</v>
      </c>
      <c r="AO92" s="106">
        <v>25574.399999999998</v>
      </c>
      <c r="AP92" s="106">
        <v>9</v>
      </c>
      <c r="AQ92" s="106">
        <v>12787.199999999999</v>
      </c>
      <c r="AR92" s="106">
        <v>5</v>
      </c>
      <c r="AS92" s="106">
        <v>7104</v>
      </c>
      <c r="AT92" s="106">
        <v>4.4289256694979695</v>
      </c>
      <c r="AU92" s="106">
        <v>6292.6175912227145</v>
      </c>
      <c r="AV92" s="106">
        <v>6.1934040407915836</v>
      </c>
      <c r="AW92" s="106">
        <v>8799.5884611566817</v>
      </c>
      <c r="AX92" s="106">
        <v>5</v>
      </c>
      <c r="AY92" s="106">
        <v>7104</v>
      </c>
      <c r="AZ92" s="106">
        <v>9</v>
      </c>
      <c r="BA92" s="106">
        <v>12787.199999999999</v>
      </c>
      <c r="BB92" s="106">
        <v>9</v>
      </c>
      <c r="BC92" s="106">
        <v>12787.199999999999</v>
      </c>
      <c r="BD92" s="106">
        <v>10</v>
      </c>
      <c r="BE92" s="106">
        <v>14208</v>
      </c>
      <c r="BF92" s="106">
        <v>8</v>
      </c>
      <c r="BG92" s="106">
        <v>11366.4</v>
      </c>
      <c r="BH92" s="106">
        <v>14</v>
      </c>
      <c r="BI92" s="106">
        <v>19891.2</v>
      </c>
      <c r="BJ92" s="106">
        <v>21.895028991155041</v>
      </c>
      <c r="BK92" s="106">
        <v>31108.457190633082</v>
      </c>
      <c r="BL92" s="106">
        <v>21</v>
      </c>
      <c r="BM92" s="106">
        <v>29836.799999999999</v>
      </c>
      <c r="BN92" s="106">
        <v>17.91710758377425</v>
      </c>
      <c r="BO92" s="106">
        <v>25456.626455026453</v>
      </c>
      <c r="BP92" s="106">
        <v>33.935948973162041</v>
      </c>
      <c r="BQ92" s="106">
        <v>48216.19630106863</v>
      </c>
      <c r="BR92" s="106">
        <v>31</v>
      </c>
      <c r="BS92" s="106">
        <v>44044.799999999996</v>
      </c>
      <c r="BT92" s="106">
        <v>35</v>
      </c>
      <c r="BU92" s="106">
        <v>49728</v>
      </c>
      <c r="BV92" s="106">
        <v>40.796506791870435</v>
      </c>
      <c r="BW92" s="106">
        <v>57963.676849889511</v>
      </c>
      <c r="BX92" s="106">
        <v>38.452073000776352</v>
      </c>
      <c r="BY92" s="106">
        <v>54632.705319503038</v>
      </c>
      <c r="BZ92" s="106">
        <v>26.395598970889207</v>
      </c>
      <c r="CA92" s="106">
        <v>37502.86701783938</v>
      </c>
      <c r="CB92" s="106">
        <v>24</v>
      </c>
      <c r="CC92" s="106">
        <v>34099.199999999997</v>
      </c>
      <c r="CD92" s="106">
        <v>25</v>
      </c>
      <c r="CE92" s="106">
        <v>35520</v>
      </c>
      <c r="CF92" s="106">
        <v>11</v>
      </c>
      <c r="CG92" s="106">
        <v>15628.8</v>
      </c>
      <c r="CH92" s="106">
        <v>14</v>
      </c>
      <c r="CI92" s="106">
        <v>19891.2</v>
      </c>
      <c r="CJ92" s="106">
        <v>14</v>
      </c>
      <c r="CK92" s="106">
        <v>19891.2</v>
      </c>
      <c r="CL92" s="106">
        <v>10</v>
      </c>
      <c r="CM92" s="106">
        <v>14208</v>
      </c>
      <c r="CN92" s="106">
        <v>5</v>
      </c>
      <c r="CO92" s="106">
        <v>7104</v>
      </c>
      <c r="CP92" s="106">
        <v>8</v>
      </c>
      <c r="CQ92" s="106">
        <v>11366.4</v>
      </c>
      <c r="CR92" s="106">
        <v>4</v>
      </c>
      <c r="CS92" s="106">
        <v>5683.2</v>
      </c>
      <c r="CT92" s="106">
        <v>8</v>
      </c>
      <c r="CU92" s="106">
        <v>11366.4</v>
      </c>
    </row>
    <row r="93" spans="2:99" x14ac:dyDescent="0.2">
      <c r="C93" s="105" t="s">
        <v>259</v>
      </c>
      <c r="D93" s="106">
        <v>5</v>
      </c>
      <c r="E93" s="106">
        <v>8862</v>
      </c>
      <c r="F93" s="106">
        <v>3</v>
      </c>
      <c r="G93" s="106">
        <v>5317.2</v>
      </c>
      <c r="H93" s="106">
        <v>3.3314255983350676</v>
      </c>
      <c r="I93" s="106">
        <v>5904.6187304890736</v>
      </c>
      <c r="J93" s="106">
        <v>4.4597352771221397</v>
      </c>
      <c r="K93" s="106">
        <v>7904.4348051712795</v>
      </c>
      <c r="L93" s="106">
        <v>18.775765955417292</v>
      </c>
      <c r="M93" s="106">
        <v>33278.167579381603</v>
      </c>
      <c r="N93" s="106">
        <v>21</v>
      </c>
      <c r="O93" s="106">
        <v>37220.399999999994</v>
      </c>
      <c r="P93" s="106">
        <v>13</v>
      </c>
      <c r="Q93" s="106">
        <v>23041.199999999997</v>
      </c>
      <c r="R93" s="106">
        <v>13</v>
      </c>
      <c r="S93" s="106">
        <v>23041.199999999997</v>
      </c>
      <c r="T93" s="106">
        <v>33</v>
      </c>
      <c r="U93" s="106">
        <v>58489.2</v>
      </c>
      <c r="V93" s="106">
        <v>42</v>
      </c>
      <c r="W93" s="106">
        <v>74440.799999999988</v>
      </c>
      <c r="X93" s="106">
        <v>40</v>
      </c>
      <c r="Y93" s="106">
        <v>70896</v>
      </c>
      <c r="Z93" s="106">
        <v>33</v>
      </c>
      <c r="AA93" s="106">
        <v>58489.2</v>
      </c>
      <c r="AB93" s="106">
        <v>10</v>
      </c>
      <c r="AC93" s="106">
        <v>17724</v>
      </c>
      <c r="AD93" s="106">
        <v>12</v>
      </c>
      <c r="AE93" s="106">
        <v>21268.799999999999</v>
      </c>
      <c r="AF93" s="106">
        <v>10</v>
      </c>
      <c r="AG93" s="106">
        <v>17724</v>
      </c>
      <c r="AH93" s="106">
        <v>9.8360289283366207</v>
      </c>
      <c r="AI93" s="106">
        <v>17433.377672583825</v>
      </c>
      <c r="AJ93" s="106">
        <v>9</v>
      </c>
      <c r="AK93" s="106">
        <v>15951.599999999999</v>
      </c>
      <c r="AL93" s="106">
        <v>16</v>
      </c>
      <c r="AM93" s="106">
        <v>28358.399999999998</v>
      </c>
      <c r="AN93" s="106">
        <v>16</v>
      </c>
      <c r="AO93" s="106">
        <v>28358.399999999998</v>
      </c>
      <c r="AP93" s="106">
        <v>8</v>
      </c>
      <c r="AQ93" s="106">
        <v>14179.199999999999</v>
      </c>
      <c r="AR93" s="106">
        <v>5</v>
      </c>
      <c r="AS93" s="106">
        <v>8862</v>
      </c>
      <c r="AT93" s="106">
        <v>4.4289256694979695</v>
      </c>
      <c r="AU93" s="106">
        <v>7849.8278566182007</v>
      </c>
      <c r="AV93" s="106">
        <v>6.2148933786573153</v>
      </c>
      <c r="AW93" s="106">
        <v>11015.277024332225</v>
      </c>
      <c r="AX93" s="106">
        <v>5</v>
      </c>
      <c r="AY93" s="106">
        <v>8862</v>
      </c>
      <c r="AZ93" s="106">
        <v>10</v>
      </c>
      <c r="BA93" s="106">
        <v>17724</v>
      </c>
      <c r="BB93" s="106">
        <v>8</v>
      </c>
      <c r="BC93" s="106">
        <v>14179.199999999999</v>
      </c>
      <c r="BD93" s="106">
        <v>11</v>
      </c>
      <c r="BE93" s="106">
        <v>19496.399999999998</v>
      </c>
      <c r="BF93" s="106">
        <v>8</v>
      </c>
      <c r="BG93" s="106">
        <v>14179.199999999999</v>
      </c>
      <c r="BH93" s="106">
        <v>15</v>
      </c>
      <c r="BI93" s="106">
        <v>26585.999999999996</v>
      </c>
      <c r="BJ93" s="106">
        <v>18.800815413138722</v>
      </c>
      <c r="BK93" s="106">
        <v>33322.565238247065</v>
      </c>
      <c r="BL93" s="106">
        <v>23</v>
      </c>
      <c r="BM93" s="106">
        <v>40765.199999999997</v>
      </c>
      <c r="BN93" s="106">
        <v>16.8843537414966</v>
      </c>
      <c r="BO93" s="106">
        <v>29925.82857142857</v>
      </c>
      <c r="BP93" s="106">
        <v>35</v>
      </c>
      <c r="BQ93" s="106">
        <v>62033.999999999993</v>
      </c>
      <c r="BR93" s="106">
        <v>28</v>
      </c>
      <c r="BS93" s="106">
        <v>49627.199999999997</v>
      </c>
      <c r="BT93" s="106">
        <v>34</v>
      </c>
      <c r="BU93" s="106">
        <v>60261.599999999999</v>
      </c>
      <c r="BV93" s="106">
        <v>33.491439600798095</v>
      </c>
      <c r="BW93" s="106">
        <v>59360.227548454539</v>
      </c>
      <c r="BX93" s="106">
        <v>40.423818438227826</v>
      </c>
      <c r="BY93" s="106">
        <v>71647.175799915</v>
      </c>
      <c r="BZ93" s="106">
        <v>23.369225706163263</v>
      </c>
      <c r="CA93" s="106">
        <v>41419.615641603763</v>
      </c>
      <c r="CB93" s="106">
        <v>23</v>
      </c>
      <c r="CC93" s="106">
        <v>40765.199999999997</v>
      </c>
      <c r="CD93" s="106">
        <v>24</v>
      </c>
      <c r="CE93" s="106">
        <v>42537.599999999999</v>
      </c>
      <c r="CF93" s="106">
        <v>10</v>
      </c>
      <c r="CG93" s="106">
        <v>17724</v>
      </c>
      <c r="CH93" s="106">
        <v>14</v>
      </c>
      <c r="CI93" s="106">
        <v>24813.599999999999</v>
      </c>
      <c r="CJ93" s="106">
        <v>15</v>
      </c>
      <c r="CK93" s="106">
        <v>26585.999999999996</v>
      </c>
      <c r="CL93" s="106">
        <v>9</v>
      </c>
      <c r="CM93" s="106">
        <v>15951.599999999999</v>
      </c>
      <c r="CN93" s="106">
        <v>5</v>
      </c>
      <c r="CO93" s="106">
        <v>8862</v>
      </c>
      <c r="CP93" s="106">
        <v>8</v>
      </c>
      <c r="CQ93" s="106">
        <v>14179.199999999999</v>
      </c>
      <c r="CR93" s="106">
        <v>5</v>
      </c>
      <c r="CS93" s="106">
        <v>8862</v>
      </c>
      <c r="CT93" s="106">
        <v>8</v>
      </c>
      <c r="CU93" s="106">
        <v>14179.199999999999</v>
      </c>
    </row>
    <row r="94" spans="2:99" x14ac:dyDescent="0.2">
      <c r="C94" s="105" t="s">
        <v>260</v>
      </c>
      <c r="D94" s="106">
        <v>5</v>
      </c>
      <c r="E94" s="106">
        <v>11976</v>
      </c>
      <c r="F94" s="106">
        <v>3</v>
      </c>
      <c r="G94" s="106">
        <v>7185.5999999999995</v>
      </c>
      <c r="H94" s="106">
        <v>3.3314255983350676</v>
      </c>
      <c r="I94" s="106">
        <v>7979.4305931321533</v>
      </c>
      <c r="J94" s="106">
        <v>4.4597352771221397</v>
      </c>
      <c r="K94" s="106">
        <v>10681.957935762948</v>
      </c>
      <c r="L94" s="106">
        <v>16.809494910000652</v>
      </c>
      <c r="M94" s="106">
        <v>40262.102208433556</v>
      </c>
      <c r="N94" s="106">
        <v>20</v>
      </c>
      <c r="O94" s="106">
        <v>47904</v>
      </c>
      <c r="P94" s="106">
        <v>12</v>
      </c>
      <c r="Q94" s="106">
        <v>28742.399999999998</v>
      </c>
      <c r="R94" s="106">
        <v>10</v>
      </c>
      <c r="S94" s="106">
        <v>23952</v>
      </c>
      <c r="T94" s="106">
        <v>26</v>
      </c>
      <c r="U94" s="106">
        <v>62275.199999999997</v>
      </c>
      <c r="V94" s="106">
        <v>35</v>
      </c>
      <c r="W94" s="106">
        <v>83832</v>
      </c>
      <c r="X94" s="106">
        <v>34</v>
      </c>
      <c r="Y94" s="106">
        <v>81436.799999999988</v>
      </c>
      <c r="Z94" s="106">
        <v>31</v>
      </c>
      <c r="AA94" s="106">
        <v>74251.199999999997</v>
      </c>
      <c r="AB94" s="106">
        <v>9</v>
      </c>
      <c r="AC94" s="106">
        <v>21556.799999999999</v>
      </c>
      <c r="AD94" s="106">
        <v>11</v>
      </c>
      <c r="AE94" s="106">
        <v>26347.199999999997</v>
      </c>
      <c r="AF94" s="106">
        <v>10</v>
      </c>
      <c r="AG94" s="106">
        <v>23952</v>
      </c>
      <c r="AH94" s="106">
        <v>9.6884944115713338</v>
      </c>
      <c r="AI94" s="106">
        <v>23205.881814595657</v>
      </c>
      <c r="AJ94" s="106">
        <v>10</v>
      </c>
      <c r="AK94" s="106">
        <v>23952</v>
      </c>
      <c r="AL94" s="106">
        <v>16</v>
      </c>
      <c r="AM94" s="106">
        <v>38323.199999999997</v>
      </c>
      <c r="AN94" s="106">
        <v>17</v>
      </c>
      <c r="AO94" s="106">
        <v>40718.399999999994</v>
      </c>
      <c r="AP94" s="106">
        <v>9</v>
      </c>
      <c r="AQ94" s="106">
        <v>21556.799999999999</v>
      </c>
      <c r="AR94" s="106">
        <v>5</v>
      </c>
      <c r="AS94" s="106">
        <v>11976</v>
      </c>
      <c r="AT94" s="106">
        <v>5.3431405355983754</v>
      </c>
      <c r="AU94" s="106">
        <v>12797.890210865227</v>
      </c>
      <c r="AV94" s="106">
        <v>6.1719147029258528</v>
      </c>
      <c r="AW94" s="106">
        <v>14782.970096448002</v>
      </c>
      <c r="AX94" s="106">
        <v>4</v>
      </c>
      <c r="AY94" s="106">
        <v>9580.7999999999993</v>
      </c>
      <c r="AZ94" s="106">
        <v>8</v>
      </c>
      <c r="BA94" s="106">
        <v>19161.599999999999</v>
      </c>
      <c r="BB94" s="106">
        <v>8</v>
      </c>
      <c r="BC94" s="106">
        <v>19161.599999999999</v>
      </c>
      <c r="BD94" s="106">
        <v>10</v>
      </c>
      <c r="BE94" s="106">
        <v>23952</v>
      </c>
      <c r="BF94" s="106">
        <v>8</v>
      </c>
      <c r="BG94" s="106">
        <v>19161.599999999999</v>
      </c>
      <c r="BH94" s="106">
        <v>12</v>
      </c>
      <c r="BI94" s="106">
        <v>28742.399999999998</v>
      </c>
      <c r="BJ94" s="106">
        <v>16.800815413138722</v>
      </c>
      <c r="BK94" s="106">
        <v>40241.313077549865</v>
      </c>
      <c r="BL94" s="106">
        <v>22</v>
      </c>
      <c r="BM94" s="106">
        <v>52694.399999999994</v>
      </c>
      <c r="BN94" s="106">
        <v>14.818846056941295</v>
      </c>
      <c r="BO94" s="106">
        <v>35494.100075585789</v>
      </c>
      <c r="BP94" s="106">
        <v>29.588470952338088</v>
      </c>
      <c r="BQ94" s="106">
        <v>70870.305625040186</v>
      </c>
      <c r="BR94" s="106">
        <v>27</v>
      </c>
      <c r="BS94" s="106">
        <v>64670.399999999994</v>
      </c>
      <c r="BT94" s="106">
        <v>31</v>
      </c>
      <c r="BU94" s="106">
        <v>74251.199999999997</v>
      </c>
      <c r="BV94" s="106">
        <v>29.627025019052471</v>
      </c>
      <c r="BW94" s="106">
        <v>70962.650325634473</v>
      </c>
      <c r="BX94" s="106">
        <v>33.367309313130782</v>
      </c>
      <c r="BY94" s="106">
        <v>79921.379266810851</v>
      </c>
      <c r="BZ94" s="106">
        <v>21.342852441437316</v>
      </c>
      <c r="CA94" s="106">
        <v>51120.400167730651</v>
      </c>
      <c r="CB94" s="106">
        <v>20</v>
      </c>
      <c r="CC94" s="106">
        <v>47904</v>
      </c>
      <c r="CD94" s="106">
        <v>20</v>
      </c>
      <c r="CE94" s="106">
        <v>47904</v>
      </c>
      <c r="CF94" s="106">
        <v>10</v>
      </c>
      <c r="CG94" s="106">
        <v>23952</v>
      </c>
      <c r="CH94" s="106">
        <v>13</v>
      </c>
      <c r="CI94" s="106">
        <v>31137.599999999999</v>
      </c>
      <c r="CJ94" s="106">
        <v>13</v>
      </c>
      <c r="CK94" s="106">
        <v>31137.599999999999</v>
      </c>
      <c r="CL94" s="106">
        <v>9</v>
      </c>
      <c r="CM94" s="106">
        <v>21556.799999999999</v>
      </c>
      <c r="CN94" s="106">
        <v>5</v>
      </c>
      <c r="CO94" s="106">
        <v>11976</v>
      </c>
      <c r="CP94" s="106">
        <v>7</v>
      </c>
      <c r="CQ94" s="106">
        <v>16766.399999999998</v>
      </c>
      <c r="CR94" s="106">
        <v>4</v>
      </c>
      <c r="CS94" s="106">
        <v>9580.7999999999993</v>
      </c>
      <c r="CT94" s="106">
        <v>7</v>
      </c>
      <c r="CU94" s="106">
        <v>16766.399999999998</v>
      </c>
    </row>
    <row r="95" spans="2:99" x14ac:dyDescent="0.2">
      <c r="B95" s="105" t="s">
        <v>132</v>
      </c>
      <c r="C95" s="105" t="s">
        <v>261</v>
      </c>
      <c r="D95" s="106">
        <v>7</v>
      </c>
      <c r="E95" s="106">
        <v>12129.6</v>
      </c>
      <c r="F95" s="106">
        <v>7</v>
      </c>
      <c r="G95" s="106">
        <v>12129.6</v>
      </c>
      <c r="H95" s="106">
        <v>7.7565556711758585</v>
      </c>
      <c r="I95" s="106">
        <v>13440.559667013527</v>
      </c>
      <c r="J95" s="106">
        <v>8.0030587864483049</v>
      </c>
      <c r="K95" s="106">
        <v>13867.700265157622</v>
      </c>
      <c r="L95" s="106">
        <v>11.978139682917455</v>
      </c>
      <c r="M95" s="106">
        <v>20755.720442559366</v>
      </c>
      <c r="N95" s="106">
        <v>12</v>
      </c>
      <c r="O95" s="106">
        <v>20793.599999999999</v>
      </c>
      <c r="P95" s="106">
        <v>14</v>
      </c>
      <c r="Q95" s="106">
        <v>24259.200000000001</v>
      </c>
      <c r="R95" s="106">
        <v>13.391853897312767</v>
      </c>
      <c r="S95" s="106">
        <v>23205.404433263564</v>
      </c>
      <c r="T95" s="106">
        <v>10</v>
      </c>
      <c r="U95" s="106">
        <v>17328</v>
      </c>
      <c r="V95" s="106">
        <v>9</v>
      </c>
      <c r="W95" s="106">
        <v>15595.199999999999</v>
      </c>
      <c r="X95" s="106">
        <v>11</v>
      </c>
      <c r="Y95" s="106">
        <v>19060.8</v>
      </c>
      <c r="Z95" s="106">
        <v>11</v>
      </c>
      <c r="AA95" s="106">
        <v>19060.8</v>
      </c>
      <c r="AB95" s="106">
        <v>55.341428966843424</v>
      </c>
      <c r="AC95" s="106">
        <v>95895.628113746279</v>
      </c>
      <c r="AD95" s="106">
        <v>63</v>
      </c>
      <c r="AE95" s="106">
        <v>109166.39999999999</v>
      </c>
      <c r="AF95" s="106">
        <v>40</v>
      </c>
      <c r="AG95" s="106">
        <v>69312</v>
      </c>
      <c r="AH95" s="106">
        <v>57.442603550295857</v>
      </c>
      <c r="AI95" s="106">
        <v>99536.543431952654</v>
      </c>
      <c r="AJ95" s="106">
        <v>10.661467586903187</v>
      </c>
      <c r="AK95" s="106">
        <v>18474.191034585841</v>
      </c>
      <c r="AL95" s="106">
        <v>6</v>
      </c>
      <c r="AM95" s="106">
        <v>10396.799999999999</v>
      </c>
      <c r="AN95" s="106">
        <v>6</v>
      </c>
      <c r="AO95" s="106">
        <v>10396.799999999999</v>
      </c>
      <c r="AP95" s="106">
        <v>9</v>
      </c>
      <c r="AQ95" s="106">
        <v>15595.199999999999</v>
      </c>
      <c r="AR95" s="106">
        <v>39</v>
      </c>
      <c r="AS95" s="106">
        <v>67579.199999999997</v>
      </c>
      <c r="AT95" s="106">
        <v>28</v>
      </c>
      <c r="AU95" s="106">
        <v>48518.400000000001</v>
      </c>
      <c r="AV95" s="106">
        <v>24.644680135971946</v>
      </c>
      <c r="AW95" s="106">
        <v>42704.301739612187</v>
      </c>
      <c r="AX95" s="106">
        <v>40</v>
      </c>
      <c r="AY95" s="106">
        <v>69312</v>
      </c>
      <c r="AZ95" s="106">
        <v>20</v>
      </c>
      <c r="BA95" s="106">
        <v>34656</v>
      </c>
      <c r="BB95" s="106">
        <v>33</v>
      </c>
      <c r="BC95" s="106">
        <v>57182.400000000001</v>
      </c>
      <c r="BD95" s="106">
        <v>22</v>
      </c>
      <c r="BE95" s="106">
        <v>38121.599999999999</v>
      </c>
      <c r="BF95" s="106">
        <v>19.636939956640589</v>
      </c>
      <c r="BG95" s="106">
        <v>34026.889556866809</v>
      </c>
      <c r="BH95" s="106">
        <v>36</v>
      </c>
      <c r="BI95" s="106">
        <v>62380.799999999996</v>
      </c>
      <c r="BJ95" s="106">
        <v>26</v>
      </c>
      <c r="BK95" s="106">
        <v>45052.799999999996</v>
      </c>
      <c r="BL95" s="106">
        <v>39</v>
      </c>
      <c r="BM95" s="106">
        <v>67579.199999999997</v>
      </c>
      <c r="BN95" s="106">
        <v>37.68783068783069</v>
      </c>
      <c r="BO95" s="106">
        <v>65305.473015873016</v>
      </c>
      <c r="BP95" s="106">
        <v>27</v>
      </c>
      <c r="BQ95" s="106">
        <v>46785.599999999999</v>
      </c>
      <c r="BR95" s="106">
        <v>28</v>
      </c>
      <c r="BS95" s="106">
        <v>48518.400000000001</v>
      </c>
      <c r="BT95" s="106">
        <v>29</v>
      </c>
      <c r="BU95" s="106">
        <v>50251.199999999997</v>
      </c>
      <c r="BV95" s="106">
        <v>19</v>
      </c>
      <c r="BW95" s="106">
        <v>32923.199999999997</v>
      </c>
      <c r="BX95" s="106">
        <v>23</v>
      </c>
      <c r="BY95" s="106">
        <v>39854.400000000001</v>
      </c>
      <c r="BZ95" s="106">
        <v>30</v>
      </c>
      <c r="CA95" s="106">
        <v>51984</v>
      </c>
      <c r="CB95" s="106">
        <v>26</v>
      </c>
      <c r="CC95" s="106">
        <v>45052.799999999996</v>
      </c>
      <c r="CD95" s="106">
        <v>19</v>
      </c>
      <c r="CE95" s="106">
        <v>32923.199999999997</v>
      </c>
      <c r="CF95" s="106">
        <v>29</v>
      </c>
      <c r="CG95" s="106">
        <v>50251.199999999997</v>
      </c>
      <c r="CH95" s="106">
        <v>23</v>
      </c>
      <c r="CI95" s="106">
        <v>39854.400000000001</v>
      </c>
      <c r="CJ95" s="106">
        <v>32</v>
      </c>
      <c r="CK95" s="106">
        <v>55449.599999999999</v>
      </c>
      <c r="CL95" s="106">
        <v>16.443190192743764</v>
      </c>
      <c r="CM95" s="106">
        <v>28492.759965986392</v>
      </c>
      <c r="CN95" s="106">
        <v>107</v>
      </c>
      <c r="CO95" s="106">
        <v>185409.6</v>
      </c>
      <c r="CP95" s="106">
        <v>65</v>
      </c>
      <c r="CQ95" s="106">
        <v>112632</v>
      </c>
      <c r="CR95" s="106">
        <v>83</v>
      </c>
      <c r="CS95" s="106">
        <v>143822.39999999999</v>
      </c>
      <c r="CT95" s="106">
        <v>68</v>
      </c>
      <c r="CU95" s="106">
        <v>117830.39999999999</v>
      </c>
    </row>
    <row r="96" spans="2:99" x14ac:dyDescent="0.2">
      <c r="C96" s="105" t="s">
        <v>262</v>
      </c>
      <c r="D96" s="106">
        <v>9</v>
      </c>
      <c r="E96" s="106">
        <v>7408.7999999999993</v>
      </c>
      <c r="F96" s="106">
        <v>7</v>
      </c>
      <c r="G96" s="106">
        <v>5762.4</v>
      </c>
      <c r="H96" s="106">
        <v>7.789698231009365</v>
      </c>
      <c r="I96" s="106">
        <v>6412.4795837669089</v>
      </c>
      <c r="J96" s="106">
        <v>8.2956175991623926</v>
      </c>
      <c r="K96" s="106">
        <v>6828.9524076304806</v>
      </c>
      <c r="L96" s="106">
        <v>14.281700274167699</v>
      </c>
      <c r="M96" s="106">
        <v>11756.69566569485</v>
      </c>
      <c r="N96" s="106">
        <v>13</v>
      </c>
      <c r="O96" s="106">
        <v>10701.599999999999</v>
      </c>
      <c r="P96" s="106">
        <v>14</v>
      </c>
      <c r="Q96" s="106">
        <v>11524.8</v>
      </c>
      <c r="R96" s="106">
        <v>16.391853897312767</v>
      </c>
      <c r="S96" s="106">
        <v>13493.774128267869</v>
      </c>
      <c r="T96" s="106">
        <v>9</v>
      </c>
      <c r="U96" s="106">
        <v>7408.7999999999993</v>
      </c>
      <c r="V96" s="106">
        <v>10</v>
      </c>
      <c r="W96" s="106">
        <v>8232</v>
      </c>
      <c r="X96" s="106">
        <v>11</v>
      </c>
      <c r="Y96" s="106">
        <v>9055.1999999999989</v>
      </c>
      <c r="Z96" s="106">
        <v>13</v>
      </c>
      <c r="AA96" s="106">
        <v>10701.599999999999</v>
      </c>
      <c r="AB96" s="106">
        <v>56.390204533535339</v>
      </c>
      <c r="AC96" s="106">
        <v>46420.416372006286</v>
      </c>
      <c r="AD96" s="106">
        <v>70</v>
      </c>
      <c r="AE96" s="106">
        <v>57623.999999999993</v>
      </c>
      <c r="AF96" s="106">
        <v>45</v>
      </c>
      <c r="AG96" s="106">
        <v>37044</v>
      </c>
      <c r="AH96" s="106">
        <v>63.491781722550954</v>
      </c>
      <c r="AI96" s="106">
        <v>52266.434714003939</v>
      </c>
      <c r="AJ96" s="106">
        <v>11.793761104283826</v>
      </c>
      <c r="AK96" s="106">
        <v>9708.6241410464445</v>
      </c>
      <c r="AL96" s="106">
        <v>7</v>
      </c>
      <c r="AM96" s="106">
        <v>5762.4</v>
      </c>
      <c r="AN96" s="106">
        <v>6</v>
      </c>
      <c r="AO96" s="106">
        <v>4939.2</v>
      </c>
      <c r="AP96" s="106">
        <v>11</v>
      </c>
      <c r="AQ96" s="106">
        <v>9055.1999999999989</v>
      </c>
      <c r="AR96" s="106">
        <v>43</v>
      </c>
      <c r="AS96" s="106">
        <v>35397.599999999999</v>
      </c>
      <c r="AT96" s="106">
        <v>29</v>
      </c>
      <c r="AU96" s="106">
        <v>23872.799999999999</v>
      </c>
      <c r="AV96" s="106">
        <v>29.752126825300603</v>
      </c>
      <c r="AW96" s="106">
        <v>24491.950802587457</v>
      </c>
      <c r="AX96" s="106">
        <v>47</v>
      </c>
      <c r="AY96" s="106">
        <v>38690.399999999994</v>
      </c>
      <c r="AZ96" s="106">
        <v>22</v>
      </c>
      <c r="BA96" s="106">
        <v>18110.399999999998</v>
      </c>
      <c r="BB96" s="106">
        <v>36</v>
      </c>
      <c r="BC96" s="106">
        <v>29635.199999999997</v>
      </c>
      <c r="BD96" s="106">
        <v>26</v>
      </c>
      <c r="BE96" s="106">
        <v>21403.199999999997</v>
      </c>
      <c r="BF96" s="106">
        <v>21.636939956640589</v>
      </c>
      <c r="BG96" s="106">
        <v>17811.528972306533</v>
      </c>
      <c r="BH96" s="106">
        <v>46</v>
      </c>
      <c r="BI96" s="106">
        <v>37867.199999999997</v>
      </c>
      <c r="BJ96" s="106">
        <v>29.036349358179521</v>
      </c>
      <c r="BK96" s="106">
        <v>23902.722791653381</v>
      </c>
      <c r="BL96" s="106">
        <v>41</v>
      </c>
      <c r="BM96" s="106">
        <v>33751.199999999997</v>
      </c>
      <c r="BN96" s="106">
        <v>42.78609221466364</v>
      </c>
      <c r="BO96" s="106">
        <v>35221.511111111104</v>
      </c>
      <c r="BP96" s="106">
        <v>27</v>
      </c>
      <c r="BQ96" s="106">
        <v>22226.399999999998</v>
      </c>
      <c r="BR96" s="106">
        <v>28</v>
      </c>
      <c r="BS96" s="106">
        <v>23049.599999999999</v>
      </c>
      <c r="BT96" s="106">
        <v>35</v>
      </c>
      <c r="BU96" s="106">
        <v>28811.999999999996</v>
      </c>
      <c r="BV96" s="106">
        <v>24</v>
      </c>
      <c r="BW96" s="106">
        <v>19756.8</v>
      </c>
      <c r="BX96" s="106">
        <v>26</v>
      </c>
      <c r="BY96" s="106">
        <v>21403.199999999997</v>
      </c>
      <c r="BZ96" s="106">
        <v>39</v>
      </c>
      <c r="CA96" s="106">
        <v>32104.799999999996</v>
      </c>
      <c r="CB96" s="106">
        <v>29</v>
      </c>
      <c r="CC96" s="106">
        <v>23872.799999999999</v>
      </c>
      <c r="CD96" s="106">
        <v>19</v>
      </c>
      <c r="CE96" s="106">
        <v>15640.8</v>
      </c>
      <c r="CF96" s="106">
        <v>28</v>
      </c>
      <c r="CG96" s="106">
        <v>23049.599999999999</v>
      </c>
      <c r="CH96" s="106">
        <v>24</v>
      </c>
      <c r="CI96" s="106">
        <v>19756.8</v>
      </c>
      <c r="CJ96" s="106">
        <v>35</v>
      </c>
      <c r="CK96" s="106">
        <v>28811.999999999996</v>
      </c>
      <c r="CL96" s="106">
        <v>21.443190192743764</v>
      </c>
      <c r="CM96" s="106">
        <v>17652.034166666665</v>
      </c>
      <c r="CN96" s="106">
        <v>138</v>
      </c>
      <c r="CO96" s="106">
        <v>113601.59999999999</v>
      </c>
      <c r="CP96" s="106">
        <v>91</v>
      </c>
      <c r="CQ96" s="106">
        <v>74911.199999999997</v>
      </c>
      <c r="CR96" s="106">
        <v>101</v>
      </c>
      <c r="CS96" s="106">
        <v>83143.199999999997</v>
      </c>
      <c r="CT96" s="106">
        <v>88</v>
      </c>
      <c r="CU96" s="106">
        <v>72441.599999999991</v>
      </c>
    </row>
    <row r="97" spans="2:99" x14ac:dyDescent="0.2">
      <c r="C97" s="105" t="s">
        <v>263</v>
      </c>
      <c r="D97" s="106">
        <v>8</v>
      </c>
      <c r="E97" s="106">
        <v>14630.4</v>
      </c>
      <c r="F97" s="106">
        <v>5</v>
      </c>
      <c r="G97" s="106">
        <v>9144</v>
      </c>
      <c r="H97" s="106">
        <v>7.5908428720083245</v>
      </c>
      <c r="I97" s="106">
        <v>13882.133444328823</v>
      </c>
      <c r="J97" s="106">
        <v>8.0866470186523287</v>
      </c>
      <c r="K97" s="106">
        <v>14788.860067711379</v>
      </c>
      <c r="L97" s="106">
        <v>13.146784455834256</v>
      </c>
      <c r="M97" s="106">
        <v>24042.839412829686</v>
      </c>
      <c r="N97" s="106">
        <v>11</v>
      </c>
      <c r="O97" s="106">
        <v>20116.8</v>
      </c>
      <c r="P97" s="106">
        <v>13</v>
      </c>
      <c r="Q97" s="106">
        <v>23774.399999999998</v>
      </c>
      <c r="R97" s="106">
        <v>15.391853897312767</v>
      </c>
      <c r="S97" s="106">
        <v>28148.62240740559</v>
      </c>
      <c r="T97" s="106">
        <v>10</v>
      </c>
      <c r="U97" s="106">
        <v>18288</v>
      </c>
      <c r="V97" s="106">
        <v>9</v>
      </c>
      <c r="W97" s="106">
        <v>16459.2</v>
      </c>
      <c r="X97" s="106">
        <v>10</v>
      </c>
      <c r="Y97" s="106">
        <v>18288</v>
      </c>
      <c r="Z97" s="106">
        <v>11</v>
      </c>
      <c r="AA97" s="106">
        <v>20116.8</v>
      </c>
      <c r="AB97" s="106">
        <v>47.341428966843424</v>
      </c>
      <c r="AC97" s="106">
        <v>86578.005294563249</v>
      </c>
      <c r="AD97" s="106">
        <v>63</v>
      </c>
      <c r="AE97" s="106">
        <v>115214.39999999999</v>
      </c>
      <c r="AF97" s="106">
        <v>39</v>
      </c>
      <c r="AG97" s="106">
        <v>71323.199999999997</v>
      </c>
      <c r="AH97" s="106">
        <v>55.491781722550954</v>
      </c>
      <c r="AI97" s="106">
        <v>101483.37041420118</v>
      </c>
      <c r="AJ97" s="106">
        <v>10.628394207558028</v>
      </c>
      <c r="AK97" s="106">
        <v>19437.207326782122</v>
      </c>
      <c r="AL97" s="106">
        <v>6</v>
      </c>
      <c r="AM97" s="106">
        <v>10972.8</v>
      </c>
      <c r="AN97" s="106">
        <v>6</v>
      </c>
      <c r="AO97" s="106">
        <v>10972.8</v>
      </c>
      <c r="AP97" s="106">
        <v>10</v>
      </c>
      <c r="AQ97" s="106">
        <v>18288</v>
      </c>
      <c r="AR97" s="106">
        <v>33</v>
      </c>
      <c r="AS97" s="106">
        <v>60350.400000000001</v>
      </c>
      <c r="AT97" s="106">
        <v>28</v>
      </c>
      <c r="AU97" s="106">
        <v>51206.400000000001</v>
      </c>
      <c r="AV97" s="106">
        <v>23</v>
      </c>
      <c r="AW97" s="106">
        <v>42062.400000000001</v>
      </c>
      <c r="AX97" s="106">
        <v>38</v>
      </c>
      <c r="AY97" s="106">
        <v>69494.399999999994</v>
      </c>
      <c r="AZ97" s="106">
        <v>19</v>
      </c>
      <c r="BA97" s="106">
        <v>34747.199999999997</v>
      </c>
      <c r="BB97" s="106">
        <v>31</v>
      </c>
      <c r="BC97" s="106">
        <v>56692.799999999996</v>
      </c>
      <c r="BD97" s="106">
        <v>22</v>
      </c>
      <c r="BE97" s="106">
        <v>40233.599999999999</v>
      </c>
      <c r="BF97" s="106">
        <v>21.636939956640589</v>
      </c>
      <c r="BG97" s="106">
        <v>39569.635792704306</v>
      </c>
      <c r="BH97" s="106">
        <v>43</v>
      </c>
      <c r="BI97" s="106">
        <v>78638.399999999994</v>
      </c>
      <c r="BJ97" s="106">
        <v>25.98924256917136</v>
      </c>
      <c r="BK97" s="106">
        <v>47529.12681050058</v>
      </c>
      <c r="BL97" s="106">
        <v>36</v>
      </c>
      <c r="BM97" s="106">
        <v>65836.800000000003</v>
      </c>
      <c r="BN97" s="106">
        <v>41.622323003275383</v>
      </c>
      <c r="BO97" s="106">
        <v>76118.904308390018</v>
      </c>
      <c r="BP97" s="106">
        <v>24</v>
      </c>
      <c r="BQ97" s="106">
        <v>43891.199999999997</v>
      </c>
      <c r="BR97" s="106">
        <v>24</v>
      </c>
      <c r="BS97" s="106">
        <v>43891.199999999997</v>
      </c>
      <c r="BT97" s="106">
        <v>31</v>
      </c>
      <c r="BU97" s="106">
        <v>56692.799999999996</v>
      </c>
      <c r="BV97" s="106">
        <v>20</v>
      </c>
      <c r="BW97" s="106">
        <v>36576</v>
      </c>
      <c r="BX97" s="106">
        <v>26</v>
      </c>
      <c r="BY97" s="106">
        <v>47548.799999999996</v>
      </c>
      <c r="BZ97" s="106">
        <v>33</v>
      </c>
      <c r="CA97" s="106">
        <v>60350.400000000001</v>
      </c>
      <c r="CB97" s="106">
        <v>28</v>
      </c>
      <c r="CC97" s="106">
        <v>51206.400000000001</v>
      </c>
      <c r="CD97" s="106">
        <v>18</v>
      </c>
      <c r="CE97" s="106">
        <v>32918.400000000001</v>
      </c>
      <c r="CF97" s="106">
        <v>28</v>
      </c>
      <c r="CG97" s="106">
        <v>51206.400000000001</v>
      </c>
      <c r="CH97" s="106">
        <v>22</v>
      </c>
      <c r="CI97" s="106">
        <v>40233.599999999999</v>
      </c>
      <c r="CJ97" s="106">
        <v>27</v>
      </c>
      <c r="CK97" s="106">
        <v>49377.599999999999</v>
      </c>
      <c r="CL97" s="106">
        <v>16.443190192743764</v>
      </c>
      <c r="CM97" s="106">
        <v>30071.306224489796</v>
      </c>
      <c r="CN97" s="106">
        <v>96</v>
      </c>
      <c r="CO97" s="106">
        <v>175564.79999999999</v>
      </c>
      <c r="CP97" s="106">
        <v>73</v>
      </c>
      <c r="CQ97" s="106">
        <v>133502.39999999999</v>
      </c>
      <c r="CR97" s="106">
        <v>74</v>
      </c>
      <c r="CS97" s="106">
        <v>135331.19999999998</v>
      </c>
      <c r="CT97" s="106">
        <v>79</v>
      </c>
      <c r="CU97" s="106">
        <v>144475.19999999998</v>
      </c>
    </row>
    <row r="98" spans="2:99" x14ac:dyDescent="0.2">
      <c r="C98" s="105" t="s">
        <v>264</v>
      </c>
      <c r="D98" s="106">
        <v>7</v>
      </c>
      <c r="E98" s="106">
        <v>8845.1999999999989</v>
      </c>
      <c r="F98" s="106">
        <v>6</v>
      </c>
      <c r="G98" s="106">
        <v>7581.5999999999995</v>
      </c>
      <c r="H98" s="106">
        <v>7.955411030176899</v>
      </c>
      <c r="I98" s="106">
        <v>10052.457377731529</v>
      </c>
      <c r="J98" s="106">
        <v>7.1702352508563552</v>
      </c>
      <c r="K98" s="106">
        <v>9060.3092629820894</v>
      </c>
      <c r="L98" s="106">
        <v>13.011868637500815</v>
      </c>
      <c r="M98" s="106">
        <v>16441.797210346027</v>
      </c>
      <c r="N98" s="106">
        <v>14</v>
      </c>
      <c r="O98" s="106">
        <v>17690.399999999998</v>
      </c>
      <c r="P98" s="106">
        <v>15</v>
      </c>
      <c r="Q98" s="106">
        <v>18954</v>
      </c>
      <c r="R98" s="106">
        <v>16.441562965073938</v>
      </c>
      <c r="S98" s="106">
        <v>20775.558962667426</v>
      </c>
      <c r="T98" s="106">
        <v>9</v>
      </c>
      <c r="U98" s="106">
        <v>11372.4</v>
      </c>
      <c r="V98" s="106">
        <v>10</v>
      </c>
      <c r="W98" s="106">
        <v>12636</v>
      </c>
      <c r="X98" s="106">
        <v>10</v>
      </c>
      <c r="Y98" s="106">
        <v>12636</v>
      </c>
      <c r="Z98" s="106">
        <v>13</v>
      </c>
      <c r="AA98" s="106">
        <v>16426.8</v>
      </c>
      <c r="AB98" s="106">
        <v>60.438980100227262</v>
      </c>
      <c r="AC98" s="106">
        <v>76370.695254647158</v>
      </c>
      <c r="AD98" s="106">
        <v>63</v>
      </c>
      <c r="AE98" s="106">
        <v>79606.799999999988</v>
      </c>
      <c r="AF98" s="106">
        <v>37</v>
      </c>
      <c r="AG98" s="106">
        <v>46753.2</v>
      </c>
      <c r="AH98" s="106">
        <v>60.442603550295857</v>
      </c>
      <c r="AI98" s="106">
        <v>76375.273846153839</v>
      </c>
      <c r="AJ98" s="106">
        <v>11.727614345593507</v>
      </c>
      <c r="AK98" s="106">
        <v>14819.013487091954</v>
      </c>
      <c r="AL98" s="106">
        <v>7</v>
      </c>
      <c r="AM98" s="106">
        <v>8845.1999999999989</v>
      </c>
      <c r="AN98" s="106">
        <v>6</v>
      </c>
      <c r="AO98" s="106">
        <v>7581.5999999999995</v>
      </c>
      <c r="AP98" s="106">
        <v>10</v>
      </c>
      <c r="AQ98" s="106">
        <v>12636</v>
      </c>
      <c r="AR98" s="106">
        <v>41</v>
      </c>
      <c r="AS98" s="106">
        <v>51807.6</v>
      </c>
      <c r="AT98" s="106">
        <v>29</v>
      </c>
      <c r="AU98" s="106">
        <v>36644.399999999994</v>
      </c>
      <c r="AV98" s="106">
        <v>29.623190798106215</v>
      </c>
      <c r="AW98" s="106">
        <v>37431.86389248701</v>
      </c>
      <c r="AX98" s="106">
        <v>41</v>
      </c>
      <c r="AY98" s="106">
        <v>51807.6</v>
      </c>
      <c r="AZ98" s="106">
        <v>20</v>
      </c>
      <c r="BA98" s="106">
        <v>25272</v>
      </c>
      <c r="BB98" s="106">
        <v>34</v>
      </c>
      <c r="BC98" s="106">
        <v>42962.399999999994</v>
      </c>
      <c r="BD98" s="106">
        <v>25</v>
      </c>
      <c r="BE98" s="106">
        <v>31589.999999999996</v>
      </c>
      <c r="BF98" s="106">
        <v>23.587944575360542</v>
      </c>
      <c r="BG98" s="106">
        <v>29805.726765425577</v>
      </c>
      <c r="BH98" s="106">
        <v>43</v>
      </c>
      <c r="BI98" s="106">
        <v>54334.799999999996</v>
      </c>
      <c r="BJ98" s="106">
        <v>31.083456147187682</v>
      </c>
      <c r="BK98" s="106">
        <v>39277.055187586353</v>
      </c>
      <c r="BL98" s="106">
        <v>40</v>
      </c>
      <c r="BM98" s="106">
        <v>50544</v>
      </c>
      <c r="BN98" s="106">
        <v>44.68783068783069</v>
      </c>
      <c r="BO98" s="106">
        <v>56467.542857142857</v>
      </c>
      <c r="BP98" s="106">
        <v>28</v>
      </c>
      <c r="BQ98" s="106">
        <v>35380.799999999996</v>
      </c>
      <c r="BR98" s="106">
        <v>29</v>
      </c>
      <c r="BS98" s="106">
        <v>36644.399999999994</v>
      </c>
      <c r="BT98" s="106">
        <v>32</v>
      </c>
      <c r="BU98" s="106">
        <v>40435.199999999997</v>
      </c>
      <c r="BV98" s="106">
        <v>22</v>
      </c>
      <c r="BW98" s="106">
        <v>27799.199999999997</v>
      </c>
      <c r="BX98" s="106">
        <v>26</v>
      </c>
      <c r="BY98" s="106">
        <v>32853.599999999999</v>
      </c>
      <c r="BZ98" s="106">
        <v>37</v>
      </c>
      <c r="CA98" s="106">
        <v>46753.2</v>
      </c>
      <c r="CB98" s="106">
        <v>27</v>
      </c>
      <c r="CC98" s="106">
        <v>34117.199999999997</v>
      </c>
      <c r="CD98" s="106">
        <v>21</v>
      </c>
      <c r="CE98" s="106">
        <v>26535.599999999999</v>
      </c>
      <c r="CF98" s="106">
        <v>29</v>
      </c>
      <c r="CG98" s="106">
        <v>36644.399999999994</v>
      </c>
      <c r="CH98" s="106">
        <v>22</v>
      </c>
      <c r="CI98" s="106">
        <v>27799.199999999997</v>
      </c>
      <c r="CJ98" s="106">
        <v>31</v>
      </c>
      <c r="CK98" s="106">
        <v>39171.599999999999</v>
      </c>
      <c r="CL98" s="106">
        <v>17.492433547493071</v>
      </c>
      <c r="CM98" s="106">
        <v>22103.439030612244</v>
      </c>
      <c r="CN98" s="106">
        <v>129</v>
      </c>
      <c r="CO98" s="106">
        <v>163004.4</v>
      </c>
      <c r="CP98" s="106">
        <v>82</v>
      </c>
      <c r="CQ98" s="106">
        <v>103615.2</v>
      </c>
      <c r="CR98" s="106">
        <v>85</v>
      </c>
      <c r="CS98" s="106">
        <v>107405.99999999999</v>
      </c>
      <c r="CT98" s="106">
        <v>79</v>
      </c>
      <c r="CU98" s="106">
        <v>99824.4</v>
      </c>
    </row>
    <row r="99" spans="2:99" x14ac:dyDescent="0.2">
      <c r="C99" s="105" t="s">
        <v>265</v>
      </c>
      <c r="D99" s="106">
        <v>6</v>
      </c>
      <c r="E99" s="106">
        <v>32889.599999999999</v>
      </c>
      <c r="F99" s="106">
        <v>5</v>
      </c>
      <c r="G99" s="106">
        <v>27407.999999999996</v>
      </c>
      <c r="H99" s="106">
        <v>6.1931321540062436</v>
      </c>
      <c r="I99" s="106">
        <v>33948.273215400623</v>
      </c>
      <c r="J99" s="106">
        <v>5.794088205938241</v>
      </c>
      <c r="K99" s="106">
        <v>31760.87390967106</v>
      </c>
      <c r="L99" s="106">
        <v>10.70830804625057</v>
      </c>
      <c r="M99" s="106">
        <v>58698.66138632712</v>
      </c>
      <c r="N99" s="106">
        <v>10</v>
      </c>
      <c r="O99" s="106">
        <v>54815.999999999993</v>
      </c>
      <c r="P99" s="106">
        <v>11</v>
      </c>
      <c r="Q99" s="106">
        <v>60297.599999999991</v>
      </c>
      <c r="R99" s="106">
        <v>9.9941813552234038</v>
      </c>
      <c r="S99" s="106">
        <v>54784.104516792606</v>
      </c>
      <c r="T99" s="106">
        <v>8</v>
      </c>
      <c r="U99" s="106">
        <v>43852.799999999996</v>
      </c>
      <c r="V99" s="106">
        <v>6</v>
      </c>
      <c r="W99" s="106">
        <v>32889.599999999999</v>
      </c>
      <c r="X99" s="106">
        <v>7</v>
      </c>
      <c r="Y99" s="106">
        <v>38371.199999999997</v>
      </c>
      <c r="Z99" s="106">
        <v>9</v>
      </c>
      <c r="AA99" s="106">
        <v>49334.399999999994</v>
      </c>
      <c r="AB99" s="106">
        <v>34.292653400151508</v>
      </c>
      <c r="AC99" s="106">
        <v>187978.60887827049</v>
      </c>
      <c r="AD99" s="106">
        <v>34</v>
      </c>
      <c r="AE99" s="106">
        <v>186374.39999999999</v>
      </c>
      <c r="AF99" s="106">
        <v>24</v>
      </c>
      <c r="AG99" s="106">
        <v>131558.39999999999</v>
      </c>
      <c r="AH99" s="106">
        <v>34.34424720578567</v>
      </c>
      <c r="AI99" s="106">
        <v>188261.42548323472</v>
      </c>
      <c r="AJ99" s="106">
        <v>7.4299539314870726</v>
      </c>
      <c r="AK99" s="106">
        <v>40728.035470839532</v>
      </c>
      <c r="AL99" s="106">
        <v>5</v>
      </c>
      <c r="AM99" s="106">
        <v>27407.999999999996</v>
      </c>
      <c r="AN99" s="106">
        <v>5</v>
      </c>
      <c r="AO99" s="106">
        <v>27407.999999999996</v>
      </c>
      <c r="AP99" s="106">
        <v>8</v>
      </c>
      <c r="AQ99" s="106">
        <v>43852.799999999996</v>
      </c>
      <c r="AR99" s="106">
        <v>23</v>
      </c>
      <c r="AS99" s="106">
        <v>126076.79999999999</v>
      </c>
      <c r="AT99" s="106">
        <v>20</v>
      </c>
      <c r="AU99" s="106">
        <v>109631.99999999999</v>
      </c>
      <c r="AV99" s="106">
        <v>17.429786757314631</v>
      </c>
      <c r="AW99" s="106">
        <v>95543.119088895866</v>
      </c>
      <c r="AX99" s="106">
        <v>28</v>
      </c>
      <c r="AY99" s="106">
        <v>153484.79999999999</v>
      </c>
      <c r="AZ99" s="106">
        <v>13</v>
      </c>
      <c r="BA99" s="106">
        <v>71260.799999999988</v>
      </c>
      <c r="BB99" s="106">
        <v>21</v>
      </c>
      <c r="BC99" s="106">
        <v>115113.59999999999</v>
      </c>
      <c r="BD99" s="106">
        <v>16</v>
      </c>
      <c r="BE99" s="106">
        <v>87705.599999999991</v>
      </c>
      <c r="BF99" s="106">
        <v>14.489953812800453</v>
      </c>
      <c r="BG99" s="106">
        <v>79428.130820246952</v>
      </c>
      <c r="BH99" s="106">
        <v>28</v>
      </c>
      <c r="BI99" s="106">
        <v>153484.79999999999</v>
      </c>
      <c r="BJ99" s="106">
        <v>19.75370862413056</v>
      </c>
      <c r="BK99" s="106">
        <v>108281.92919403406</v>
      </c>
      <c r="BL99" s="106">
        <v>26</v>
      </c>
      <c r="BM99" s="106">
        <v>142521.59999999998</v>
      </c>
      <c r="BN99" s="106">
        <v>28.491307634164777</v>
      </c>
      <c r="BO99" s="106">
        <v>156177.95192743762</v>
      </c>
      <c r="BP99" s="106">
        <v>17</v>
      </c>
      <c r="BQ99" s="106">
        <v>93187.199999999997</v>
      </c>
      <c r="BR99" s="106">
        <v>17</v>
      </c>
      <c r="BS99" s="106">
        <v>93187.199999999997</v>
      </c>
      <c r="BT99" s="106">
        <v>23</v>
      </c>
      <c r="BU99" s="106">
        <v>126076.79999999999</v>
      </c>
      <c r="BV99" s="106">
        <v>15</v>
      </c>
      <c r="BW99" s="106">
        <v>82223.999999999985</v>
      </c>
      <c r="BX99" s="106">
        <v>18</v>
      </c>
      <c r="BY99" s="106">
        <v>98668.799999999988</v>
      </c>
      <c r="BZ99" s="106">
        <v>22</v>
      </c>
      <c r="CA99" s="106">
        <v>120595.19999999998</v>
      </c>
      <c r="CB99" s="106">
        <v>20</v>
      </c>
      <c r="CC99" s="106">
        <v>109631.99999999999</v>
      </c>
      <c r="CD99" s="106">
        <v>13</v>
      </c>
      <c r="CE99" s="106">
        <v>71260.799999999988</v>
      </c>
      <c r="CF99" s="106">
        <v>22</v>
      </c>
      <c r="CG99" s="106">
        <v>120595.19999999998</v>
      </c>
      <c r="CH99" s="106">
        <v>17</v>
      </c>
      <c r="CI99" s="106">
        <v>93187.199999999997</v>
      </c>
      <c r="CJ99" s="106">
        <v>19</v>
      </c>
      <c r="CK99" s="106">
        <v>104150.39999999999</v>
      </c>
      <c r="CL99" s="106">
        <v>12.393946837994458</v>
      </c>
      <c r="CM99" s="106">
        <v>67938.658987150411</v>
      </c>
      <c r="CN99" s="106">
        <v>59</v>
      </c>
      <c r="CO99" s="106">
        <v>323414.39999999997</v>
      </c>
      <c r="CP99" s="106">
        <v>39</v>
      </c>
      <c r="CQ99" s="106">
        <v>213782.39999999997</v>
      </c>
      <c r="CR99" s="106">
        <v>46</v>
      </c>
      <c r="CS99" s="106">
        <v>252153.59999999998</v>
      </c>
      <c r="CT99" s="106">
        <v>38</v>
      </c>
      <c r="CU99" s="106">
        <v>208300.79999999999</v>
      </c>
    </row>
    <row r="100" spans="2:99" x14ac:dyDescent="0.2">
      <c r="C100" s="105" t="s">
        <v>266</v>
      </c>
      <c r="D100" s="106">
        <v>7</v>
      </c>
      <c r="E100" s="106">
        <v>11356.8</v>
      </c>
      <c r="F100" s="106">
        <v>6</v>
      </c>
      <c r="G100" s="106">
        <v>9734.4</v>
      </c>
      <c r="H100" s="106">
        <v>8.8559833506763788</v>
      </c>
      <c r="I100" s="106">
        <v>14367.947388137356</v>
      </c>
      <c r="J100" s="106">
        <v>7.1702352508563552</v>
      </c>
      <c r="K100" s="106">
        <v>11632.989670989349</v>
      </c>
      <c r="L100" s="106">
        <v>14.146784455834256</v>
      </c>
      <c r="M100" s="106">
        <v>22951.743101145494</v>
      </c>
      <c r="N100" s="106">
        <v>12</v>
      </c>
      <c r="O100" s="106">
        <v>19468.8</v>
      </c>
      <c r="P100" s="106">
        <v>14</v>
      </c>
      <c r="Q100" s="106">
        <v>22713.599999999999</v>
      </c>
      <c r="R100" s="106">
        <v>15.242726694029257</v>
      </c>
      <c r="S100" s="106">
        <v>24729.799788393062</v>
      </c>
      <c r="T100" s="106">
        <v>9</v>
      </c>
      <c r="U100" s="106">
        <v>14601.599999999999</v>
      </c>
      <c r="V100" s="106">
        <v>9</v>
      </c>
      <c r="W100" s="106">
        <v>14601.599999999999</v>
      </c>
      <c r="X100" s="106">
        <v>10</v>
      </c>
      <c r="Y100" s="106">
        <v>16223.999999999998</v>
      </c>
      <c r="Z100" s="106">
        <v>11</v>
      </c>
      <c r="AA100" s="106">
        <v>17846.399999999998</v>
      </c>
      <c r="AB100" s="106">
        <v>53.390204533535339</v>
      </c>
      <c r="AC100" s="106">
        <v>86620.26783520772</v>
      </c>
      <c r="AD100" s="106">
        <v>60</v>
      </c>
      <c r="AE100" s="106">
        <v>97343.999999999985</v>
      </c>
      <c r="AF100" s="106">
        <v>37</v>
      </c>
      <c r="AG100" s="106">
        <v>60028.799999999996</v>
      </c>
      <c r="AH100" s="106">
        <v>53.442603550295857</v>
      </c>
      <c r="AI100" s="106">
        <v>86705.279999999984</v>
      </c>
      <c r="AJ100" s="106">
        <v>9.6283942075580278</v>
      </c>
      <c r="AK100" s="106">
        <v>15621.106762342142</v>
      </c>
      <c r="AL100" s="106">
        <v>6</v>
      </c>
      <c r="AM100" s="106">
        <v>9734.4</v>
      </c>
      <c r="AN100" s="106">
        <v>6</v>
      </c>
      <c r="AO100" s="106">
        <v>9734.4</v>
      </c>
      <c r="AP100" s="106">
        <v>10</v>
      </c>
      <c r="AQ100" s="106">
        <v>16223.999999999998</v>
      </c>
      <c r="AR100" s="106">
        <v>40</v>
      </c>
      <c r="AS100" s="106">
        <v>64895.999999999993</v>
      </c>
      <c r="AT100" s="106">
        <v>27</v>
      </c>
      <c r="AU100" s="106">
        <v>43804.799999999996</v>
      </c>
      <c r="AV100" s="106">
        <v>26.601701460240484</v>
      </c>
      <c r="AW100" s="106">
        <v>43158.600449094156</v>
      </c>
      <c r="AX100" s="106">
        <v>46</v>
      </c>
      <c r="AY100" s="106">
        <v>74630.399999999994</v>
      </c>
      <c r="AZ100" s="106">
        <v>18</v>
      </c>
      <c r="BA100" s="106">
        <v>29203.199999999997</v>
      </c>
      <c r="BB100" s="106">
        <v>33</v>
      </c>
      <c r="BC100" s="106">
        <v>53539.199999999997</v>
      </c>
      <c r="BD100" s="106">
        <v>24</v>
      </c>
      <c r="BE100" s="106">
        <v>38937.599999999999</v>
      </c>
      <c r="BF100" s="106">
        <v>20.587944575360542</v>
      </c>
      <c r="BG100" s="106">
        <v>33401.881279064939</v>
      </c>
      <c r="BH100" s="106">
        <v>44</v>
      </c>
      <c r="BI100" s="106">
        <v>71385.599999999991</v>
      </c>
      <c r="BJ100" s="106">
        <v>29</v>
      </c>
      <c r="BK100" s="106">
        <v>47049.599999999999</v>
      </c>
      <c r="BL100" s="106">
        <v>40</v>
      </c>
      <c r="BM100" s="106">
        <v>64895.999999999993</v>
      </c>
      <c r="BN100" s="106">
        <v>38.622323003275383</v>
      </c>
      <c r="BO100" s="106">
        <v>62660.856840513974</v>
      </c>
      <c r="BP100" s="106">
        <v>23</v>
      </c>
      <c r="BQ100" s="106">
        <v>37315.199999999997</v>
      </c>
      <c r="BR100" s="106">
        <v>27</v>
      </c>
      <c r="BS100" s="106">
        <v>43804.799999999996</v>
      </c>
      <c r="BT100" s="106">
        <v>30</v>
      </c>
      <c r="BU100" s="106">
        <v>48671.999999999993</v>
      </c>
      <c r="BV100" s="106">
        <v>22</v>
      </c>
      <c r="BW100" s="106">
        <v>35692.799999999996</v>
      </c>
      <c r="BX100" s="106">
        <v>24</v>
      </c>
      <c r="BY100" s="106">
        <v>38937.599999999999</v>
      </c>
      <c r="BZ100" s="106">
        <v>32</v>
      </c>
      <c r="CA100" s="106">
        <v>51916.799999999996</v>
      </c>
      <c r="CB100" s="106">
        <v>27</v>
      </c>
      <c r="CC100" s="106">
        <v>43804.799999999996</v>
      </c>
      <c r="CD100" s="106">
        <v>20</v>
      </c>
      <c r="CE100" s="106">
        <v>32447.999999999996</v>
      </c>
      <c r="CF100" s="106">
        <v>27</v>
      </c>
      <c r="CG100" s="106">
        <v>43804.799999999996</v>
      </c>
      <c r="CH100" s="106">
        <v>24</v>
      </c>
      <c r="CI100" s="106">
        <v>38937.599999999999</v>
      </c>
      <c r="CJ100" s="106">
        <v>30</v>
      </c>
      <c r="CK100" s="106">
        <v>48671.999999999993</v>
      </c>
      <c r="CL100" s="106">
        <v>17.393946837994456</v>
      </c>
      <c r="CM100" s="106">
        <v>28219.939349962202</v>
      </c>
      <c r="CN100" s="106">
        <v>110</v>
      </c>
      <c r="CO100" s="106">
        <v>178463.99999999997</v>
      </c>
      <c r="CP100" s="106">
        <v>69</v>
      </c>
      <c r="CQ100" s="106">
        <v>111945.59999999999</v>
      </c>
      <c r="CR100" s="106">
        <v>85</v>
      </c>
      <c r="CS100" s="106">
        <v>137904</v>
      </c>
      <c r="CT100" s="106">
        <v>70</v>
      </c>
      <c r="CU100" s="106">
        <v>113567.99999999999</v>
      </c>
    </row>
    <row r="101" spans="2:99" x14ac:dyDescent="0.2">
      <c r="C101" s="105" t="s">
        <v>267</v>
      </c>
      <c r="D101" s="106">
        <v>9</v>
      </c>
      <c r="E101" s="106">
        <v>10713.599999999999</v>
      </c>
      <c r="F101" s="106">
        <v>6</v>
      </c>
      <c r="G101" s="106">
        <v>7142.4</v>
      </c>
      <c r="H101" s="106">
        <v>7.789698231009365</v>
      </c>
      <c r="I101" s="106">
        <v>9272.8567741935476</v>
      </c>
      <c r="J101" s="106">
        <v>8.2120293669583688</v>
      </c>
      <c r="K101" s="106">
        <v>9775.5997584272409</v>
      </c>
      <c r="L101" s="106">
        <v>12.247971319584337</v>
      </c>
      <c r="M101" s="106">
        <v>14579.985058833194</v>
      </c>
      <c r="N101" s="106">
        <v>13</v>
      </c>
      <c r="O101" s="106">
        <v>15475.199999999999</v>
      </c>
      <c r="P101" s="106">
        <v>15</v>
      </c>
      <c r="Q101" s="106">
        <v>17855.999999999996</v>
      </c>
      <c r="R101" s="106">
        <v>14.342144829551597</v>
      </c>
      <c r="S101" s="106">
        <v>17072.889205098218</v>
      </c>
      <c r="T101" s="106">
        <v>9</v>
      </c>
      <c r="U101" s="106">
        <v>10713.599999999999</v>
      </c>
      <c r="V101" s="106">
        <v>10</v>
      </c>
      <c r="W101" s="106">
        <v>11903.999999999998</v>
      </c>
      <c r="X101" s="106">
        <v>11</v>
      </c>
      <c r="Y101" s="106">
        <v>13094.399999999998</v>
      </c>
      <c r="Z101" s="106">
        <v>12</v>
      </c>
      <c r="AA101" s="106">
        <v>14284.8</v>
      </c>
      <c r="AB101" s="106">
        <v>58.438980100227262</v>
      </c>
      <c r="AC101" s="106">
        <v>69565.761911310517</v>
      </c>
      <c r="AD101" s="106">
        <v>67</v>
      </c>
      <c r="AE101" s="106">
        <v>79756.799999999988</v>
      </c>
      <c r="AF101" s="106">
        <v>40</v>
      </c>
      <c r="AG101" s="106">
        <v>47615.999999999993</v>
      </c>
      <c r="AH101" s="106">
        <v>62.442603550295857</v>
      </c>
      <c r="AI101" s="106">
        <v>74331.675266272185</v>
      </c>
      <c r="AJ101" s="106">
        <v>9.793761104283826</v>
      </c>
      <c r="AK101" s="106">
        <v>11658.493218539465</v>
      </c>
      <c r="AL101" s="106">
        <v>6</v>
      </c>
      <c r="AM101" s="106">
        <v>7142.4</v>
      </c>
      <c r="AN101" s="106">
        <v>7</v>
      </c>
      <c r="AO101" s="106">
        <v>8332.7999999999993</v>
      </c>
      <c r="AP101" s="106">
        <v>11</v>
      </c>
      <c r="AQ101" s="106">
        <v>13094.399999999998</v>
      </c>
      <c r="AR101" s="106">
        <v>38</v>
      </c>
      <c r="AS101" s="106">
        <v>45235.199999999997</v>
      </c>
      <c r="AT101" s="106">
        <v>29</v>
      </c>
      <c r="AU101" s="106">
        <v>34521.599999999999</v>
      </c>
      <c r="AV101" s="106">
        <v>30.752126825300603</v>
      </c>
      <c r="AW101" s="106">
        <v>36607.331772837832</v>
      </c>
      <c r="AX101" s="106">
        <v>48</v>
      </c>
      <c r="AY101" s="106">
        <v>57139.199999999997</v>
      </c>
      <c r="AZ101" s="106">
        <v>20</v>
      </c>
      <c r="BA101" s="106">
        <v>23807.999999999996</v>
      </c>
      <c r="BB101" s="106">
        <v>37</v>
      </c>
      <c r="BC101" s="106">
        <v>44044.799999999996</v>
      </c>
      <c r="BD101" s="106">
        <v>24</v>
      </c>
      <c r="BE101" s="106">
        <v>28569.599999999999</v>
      </c>
      <c r="BF101" s="106">
        <v>20.587944575360542</v>
      </c>
      <c r="BG101" s="106">
        <v>24507.889222509188</v>
      </c>
      <c r="BH101" s="106">
        <v>43</v>
      </c>
      <c r="BI101" s="106">
        <v>51187.199999999997</v>
      </c>
      <c r="BJ101" s="106">
        <v>27</v>
      </c>
      <c r="BK101" s="106">
        <v>32140.799999999996</v>
      </c>
      <c r="BL101" s="106">
        <v>39</v>
      </c>
      <c r="BM101" s="106">
        <v>46425.599999999991</v>
      </c>
      <c r="BN101" s="106">
        <v>43.72058453010834</v>
      </c>
      <c r="BO101" s="106">
        <v>52044.983824640964</v>
      </c>
      <c r="BP101" s="106">
        <v>27</v>
      </c>
      <c r="BQ101" s="106">
        <v>32140.799999999996</v>
      </c>
      <c r="BR101" s="106">
        <v>25</v>
      </c>
      <c r="BS101" s="106">
        <v>29759.999999999996</v>
      </c>
      <c r="BT101" s="106">
        <v>34</v>
      </c>
      <c r="BU101" s="106">
        <v>40473.599999999999</v>
      </c>
      <c r="BV101" s="106">
        <v>22</v>
      </c>
      <c r="BW101" s="106">
        <v>26188.799999999996</v>
      </c>
      <c r="BX101" s="106">
        <v>26</v>
      </c>
      <c r="BY101" s="106">
        <v>30950.399999999998</v>
      </c>
      <c r="BZ101" s="106">
        <v>38</v>
      </c>
      <c r="CA101" s="106">
        <v>45235.199999999997</v>
      </c>
      <c r="CB101" s="106">
        <v>26</v>
      </c>
      <c r="CC101" s="106">
        <v>30950.399999999998</v>
      </c>
      <c r="CD101" s="106">
        <v>20</v>
      </c>
      <c r="CE101" s="106">
        <v>23807.999999999996</v>
      </c>
      <c r="CF101" s="106">
        <v>32</v>
      </c>
      <c r="CG101" s="106">
        <v>38092.799999999996</v>
      </c>
      <c r="CH101" s="106">
        <v>22</v>
      </c>
      <c r="CI101" s="106">
        <v>26188.799999999996</v>
      </c>
      <c r="CJ101" s="106">
        <v>32</v>
      </c>
      <c r="CK101" s="106">
        <v>38092.799999999996</v>
      </c>
      <c r="CL101" s="106">
        <v>18.443190192743764</v>
      </c>
      <c r="CM101" s="106">
        <v>21954.773605442173</v>
      </c>
      <c r="CN101" s="106">
        <v>125</v>
      </c>
      <c r="CO101" s="106">
        <v>148799.99999999997</v>
      </c>
      <c r="CP101" s="106">
        <v>72</v>
      </c>
      <c r="CQ101" s="106">
        <v>85708.799999999988</v>
      </c>
      <c r="CR101" s="106">
        <v>84</v>
      </c>
      <c r="CS101" s="106">
        <v>99993.599999999991</v>
      </c>
      <c r="CT101" s="106">
        <v>85</v>
      </c>
      <c r="CU101" s="106">
        <v>101183.99999999999</v>
      </c>
    </row>
    <row r="102" spans="2:99" x14ac:dyDescent="0.2">
      <c r="C102" s="105" t="s">
        <v>268</v>
      </c>
      <c r="D102" s="106">
        <v>8</v>
      </c>
      <c r="E102" s="106">
        <v>15513.599999999999</v>
      </c>
      <c r="F102" s="106">
        <v>6</v>
      </c>
      <c r="G102" s="106">
        <v>11635.199999999999</v>
      </c>
      <c r="H102" s="106">
        <v>7.7565556711758585</v>
      </c>
      <c r="I102" s="106">
        <v>15041.512757544224</v>
      </c>
      <c r="J102" s="106">
        <v>7.1702352508563552</v>
      </c>
      <c r="K102" s="106">
        <v>13904.520198460643</v>
      </c>
      <c r="L102" s="106">
        <v>13.944410728334093</v>
      </c>
      <c r="M102" s="106">
        <v>27041.001284385471</v>
      </c>
      <c r="N102" s="106">
        <v>13</v>
      </c>
      <c r="O102" s="106">
        <v>25209.599999999999</v>
      </c>
      <c r="P102" s="106">
        <v>12</v>
      </c>
      <c r="Q102" s="106">
        <v>23270.399999999998</v>
      </c>
      <c r="R102" s="106">
        <v>15.242726694029257</v>
      </c>
      <c r="S102" s="106">
        <v>29558.69560506153</v>
      </c>
      <c r="T102" s="106">
        <v>9</v>
      </c>
      <c r="U102" s="106">
        <v>17452.8</v>
      </c>
      <c r="V102" s="106">
        <v>8</v>
      </c>
      <c r="W102" s="106">
        <v>15513.599999999999</v>
      </c>
      <c r="X102" s="106">
        <v>9</v>
      </c>
      <c r="Y102" s="106">
        <v>17452.8</v>
      </c>
      <c r="Z102" s="106">
        <v>11</v>
      </c>
      <c r="AA102" s="106">
        <v>21331.199999999997</v>
      </c>
      <c r="AB102" s="106">
        <v>47.438980100227262</v>
      </c>
      <c r="AC102" s="106">
        <v>91993.670210360695</v>
      </c>
      <c r="AD102" s="106">
        <v>54</v>
      </c>
      <c r="AE102" s="106">
        <v>104716.79999999999</v>
      </c>
      <c r="AF102" s="106">
        <v>36</v>
      </c>
      <c r="AG102" s="106">
        <v>69811.199999999997</v>
      </c>
      <c r="AH102" s="106">
        <v>62.442603550295857</v>
      </c>
      <c r="AI102" s="106">
        <v>121088.69680473371</v>
      </c>
      <c r="AJ102" s="106">
        <v>9.6614675869031874</v>
      </c>
      <c r="AK102" s="106">
        <v>18735.51794452266</v>
      </c>
      <c r="AL102" s="106">
        <v>6</v>
      </c>
      <c r="AM102" s="106">
        <v>11635.199999999999</v>
      </c>
      <c r="AN102" s="106">
        <v>6</v>
      </c>
      <c r="AO102" s="106">
        <v>11635.199999999999</v>
      </c>
      <c r="AP102" s="106">
        <v>9</v>
      </c>
      <c r="AQ102" s="106">
        <v>17452.8</v>
      </c>
      <c r="AR102" s="106">
        <v>36</v>
      </c>
      <c r="AS102" s="106">
        <v>69811.199999999997</v>
      </c>
      <c r="AT102" s="106">
        <v>25</v>
      </c>
      <c r="AU102" s="106">
        <v>48479.999999999993</v>
      </c>
      <c r="AV102" s="106">
        <v>24.644680135971946</v>
      </c>
      <c r="AW102" s="106">
        <v>47790.963719676794</v>
      </c>
      <c r="AX102" s="106">
        <v>43</v>
      </c>
      <c r="AY102" s="106">
        <v>83385.599999999991</v>
      </c>
      <c r="AZ102" s="106">
        <v>17</v>
      </c>
      <c r="BA102" s="106">
        <v>32966.399999999994</v>
      </c>
      <c r="BB102" s="106">
        <v>34</v>
      </c>
      <c r="BC102" s="106">
        <v>65932.799999999988</v>
      </c>
      <c r="BD102" s="106">
        <v>23</v>
      </c>
      <c r="BE102" s="106">
        <v>44601.599999999999</v>
      </c>
      <c r="BF102" s="106">
        <v>20.587944575360542</v>
      </c>
      <c r="BG102" s="106">
        <v>39924.14212053916</v>
      </c>
      <c r="BH102" s="106">
        <v>38</v>
      </c>
      <c r="BI102" s="106">
        <v>73689.599999999991</v>
      </c>
      <c r="BJ102" s="106">
        <v>24</v>
      </c>
      <c r="BK102" s="106">
        <v>46540.799999999996</v>
      </c>
      <c r="BL102" s="106">
        <v>37</v>
      </c>
      <c r="BM102" s="106">
        <v>71750.399999999994</v>
      </c>
      <c r="BN102" s="106">
        <v>37.655076845553033</v>
      </c>
      <c r="BO102" s="106">
        <v>73020.725018896439</v>
      </c>
      <c r="BP102" s="106">
        <v>26</v>
      </c>
      <c r="BQ102" s="106">
        <v>50419.199999999997</v>
      </c>
      <c r="BR102" s="106">
        <v>23</v>
      </c>
      <c r="BS102" s="106">
        <v>44601.599999999999</v>
      </c>
      <c r="BT102" s="106">
        <v>32</v>
      </c>
      <c r="BU102" s="106">
        <v>62054.399999999994</v>
      </c>
      <c r="BV102" s="106">
        <v>19</v>
      </c>
      <c r="BW102" s="106">
        <v>36844.799999999996</v>
      </c>
      <c r="BX102" s="106">
        <v>24</v>
      </c>
      <c r="BY102" s="106">
        <v>46540.799999999996</v>
      </c>
      <c r="BZ102" s="106">
        <v>31</v>
      </c>
      <c r="CA102" s="106">
        <v>60115.199999999997</v>
      </c>
      <c r="CB102" s="106">
        <v>28</v>
      </c>
      <c r="CC102" s="106">
        <v>54297.599999999991</v>
      </c>
      <c r="CD102" s="106">
        <v>19</v>
      </c>
      <c r="CE102" s="106">
        <v>36844.799999999996</v>
      </c>
      <c r="CF102" s="106">
        <v>25</v>
      </c>
      <c r="CG102" s="106">
        <v>48479.999999999993</v>
      </c>
      <c r="CH102" s="106">
        <v>20</v>
      </c>
      <c r="CI102" s="106">
        <v>38784</v>
      </c>
      <c r="CJ102" s="106">
        <v>29</v>
      </c>
      <c r="CK102" s="106">
        <v>56236.799999999996</v>
      </c>
      <c r="CL102" s="106">
        <v>16.443190192743764</v>
      </c>
      <c r="CM102" s="106">
        <v>31886.634421768704</v>
      </c>
      <c r="CN102" s="106">
        <v>99</v>
      </c>
      <c r="CO102" s="106">
        <v>191980.79999999999</v>
      </c>
      <c r="CP102" s="106">
        <v>70</v>
      </c>
      <c r="CQ102" s="106">
        <v>135744</v>
      </c>
      <c r="CR102" s="106">
        <v>87</v>
      </c>
      <c r="CS102" s="106">
        <v>168710.39999999999</v>
      </c>
      <c r="CT102" s="106">
        <v>69</v>
      </c>
      <c r="CU102" s="106">
        <v>133804.79999999999</v>
      </c>
    </row>
    <row r="103" spans="2:99" x14ac:dyDescent="0.2">
      <c r="C103" s="105" t="s">
        <v>269</v>
      </c>
      <c r="D103" s="106">
        <v>8</v>
      </c>
      <c r="E103" s="106">
        <v>16224</v>
      </c>
      <c r="F103" s="106">
        <v>6</v>
      </c>
      <c r="G103" s="106">
        <v>12168</v>
      </c>
      <c r="H103" s="106">
        <v>7.4914151925078043</v>
      </c>
      <c r="I103" s="106">
        <v>15192.590010405827</v>
      </c>
      <c r="J103" s="106">
        <v>8.0866470186523287</v>
      </c>
      <c r="K103" s="106">
        <v>16399.720153826922</v>
      </c>
      <c r="L103" s="106">
        <v>13.011868637500815</v>
      </c>
      <c r="M103" s="106">
        <v>26388.069596851652</v>
      </c>
      <c r="N103" s="106">
        <v>11</v>
      </c>
      <c r="O103" s="106">
        <v>22308</v>
      </c>
      <c r="P103" s="106">
        <v>13</v>
      </c>
      <c r="Q103" s="106">
        <v>26364</v>
      </c>
      <c r="R103" s="106">
        <v>12.441562965073937</v>
      </c>
      <c r="S103" s="106">
        <v>25231.489693169944</v>
      </c>
      <c r="T103" s="106">
        <v>9</v>
      </c>
      <c r="U103" s="106">
        <v>18252</v>
      </c>
      <c r="V103" s="106">
        <v>8</v>
      </c>
      <c r="W103" s="106">
        <v>16224</v>
      </c>
      <c r="X103" s="106">
        <v>10</v>
      </c>
      <c r="Y103" s="106">
        <v>20280</v>
      </c>
      <c r="Z103" s="106">
        <v>10</v>
      </c>
      <c r="AA103" s="106">
        <v>20280</v>
      </c>
      <c r="AB103" s="106">
        <v>48.390204533535339</v>
      </c>
      <c r="AC103" s="106">
        <v>98135.334794009672</v>
      </c>
      <c r="AD103" s="106">
        <v>57</v>
      </c>
      <c r="AE103" s="106">
        <v>115596</v>
      </c>
      <c r="AF103" s="106">
        <v>36</v>
      </c>
      <c r="AG103" s="106">
        <v>73008</v>
      </c>
      <c r="AH103" s="106">
        <v>61.491781722550954</v>
      </c>
      <c r="AI103" s="106">
        <v>124705.33333333333</v>
      </c>
      <c r="AJ103" s="106">
        <v>8.694540966248347</v>
      </c>
      <c r="AK103" s="106">
        <v>17632.529079551648</v>
      </c>
      <c r="AL103" s="106">
        <v>6</v>
      </c>
      <c r="AM103" s="106">
        <v>12168</v>
      </c>
      <c r="AN103" s="106">
        <v>6</v>
      </c>
      <c r="AO103" s="106">
        <v>12168</v>
      </c>
      <c r="AP103" s="106">
        <v>10</v>
      </c>
      <c r="AQ103" s="106">
        <v>20280</v>
      </c>
      <c r="AR103" s="106">
        <v>38</v>
      </c>
      <c r="AS103" s="106">
        <v>77064</v>
      </c>
      <c r="AT103" s="106">
        <v>28</v>
      </c>
      <c r="AU103" s="106">
        <v>56784</v>
      </c>
      <c r="AV103" s="106">
        <v>26.58021212237475</v>
      </c>
      <c r="AW103" s="106">
        <v>53904.670184175993</v>
      </c>
      <c r="AX103" s="106">
        <v>42</v>
      </c>
      <c r="AY103" s="106">
        <v>85176</v>
      </c>
      <c r="AZ103" s="106">
        <v>19</v>
      </c>
      <c r="BA103" s="106">
        <v>38532</v>
      </c>
      <c r="BB103" s="106">
        <v>33</v>
      </c>
      <c r="BC103" s="106">
        <v>66924</v>
      </c>
      <c r="BD103" s="106">
        <v>23</v>
      </c>
      <c r="BE103" s="106">
        <v>46644</v>
      </c>
      <c r="BF103" s="106">
        <v>20.587944575360542</v>
      </c>
      <c r="BG103" s="106">
        <v>41752.351598831177</v>
      </c>
      <c r="BH103" s="106">
        <v>38</v>
      </c>
      <c r="BI103" s="106">
        <v>77064</v>
      </c>
      <c r="BJ103" s="106">
        <v>24</v>
      </c>
      <c r="BK103" s="106">
        <v>48672</v>
      </c>
      <c r="BL103" s="106">
        <v>34</v>
      </c>
      <c r="BM103" s="106">
        <v>68952</v>
      </c>
      <c r="BN103" s="106">
        <v>35.622323003275383</v>
      </c>
      <c r="BO103" s="106">
        <v>72242.07105064248</v>
      </c>
      <c r="BP103" s="106">
        <v>24</v>
      </c>
      <c r="BQ103" s="106">
        <v>48672</v>
      </c>
      <c r="BR103" s="106">
        <v>23</v>
      </c>
      <c r="BS103" s="106">
        <v>46644</v>
      </c>
      <c r="BT103" s="106">
        <v>31</v>
      </c>
      <c r="BU103" s="106">
        <v>62868</v>
      </c>
      <c r="BV103" s="106">
        <v>20</v>
      </c>
      <c r="BW103" s="106">
        <v>40560</v>
      </c>
      <c r="BX103" s="106">
        <v>23</v>
      </c>
      <c r="BY103" s="106">
        <v>46644</v>
      </c>
      <c r="BZ103" s="106">
        <v>30</v>
      </c>
      <c r="CA103" s="106">
        <v>60840</v>
      </c>
      <c r="CB103" s="106">
        <v>28</v>
      </c>
      <c r="CC103" s="106">
        <v>56784</v>
      </c>
      <c r="CD103" s="106">
        <v>19</v>
      </c>
      <c r="CE103" s="106">
        <v>38532</v>
      </c>
      <c r="CF103" s="106">
        <v>25</v>
      </c>
      <c r="CG103" s="106">
        <v>50700</v>
      </c>
      <c r="CH103" s="106">
        <v>22</v>
      </c>
      <c r="CI103" s="106">
        <v>44616</v>
      </c>
      <c r="CJ103" s="106">
        <v>30</v>
      </c>
      <c r="CK103" s="106">
        <v>60840</v>
      </c>
      <c r="CL103" s="106">
        <v>15.393946837994458</v>
      </c>
      <c r="CM103" s="106">
        <v>31218.924187452762</v>
      </c>
      <c r="CN103" s="106">
        <v>108</v>
      </c>
      <c r="CO103" s="106">
        <v>219024</v>
      </c>
      <c r="CP103" s="106">
        <v>62</v>
      </c>
      <c r="CQ103" s="106">
        <v>125736</v>
      </c>
      <c r="CR103" s="106">
        <v>75</v>
      </c>
      <c r="CS103" s="106">
        <v>152100</v>
      </c>
      <c r="CT103" s="106">
        <v>68</v>
      </c>
      <c r="CU103" s="106">
        <v>137904</v>
      </c>
    </row>
    <row r="104" spans="2:99" x14ac:dyDescent="0.2">
      <c r="C104" s="105" t="s">
        <v>270</v>
      </c>
      <c r="D104" s="106">
        <v>8</v>
      </c>
      <c r="E104" s="106">
        <v>16579.2</v>
      </c>
      <c r="F104" s="106">
        <v>6</v>
      </c>
      <c r="G104" s="106">
        <v>12434.400000000001</v>
      </c>
      <c r="H104" s="106">
        <v>7.7565556711758585</v>
      </c>
      <c r="I104" s="106">
        <v>16074.68597294485</v>
      </c>
      <c r="J104" s="106">
        <v>7.1284411347543424</v>
      </c>
      <c r="K104" s="106">
        <v>14772.9814076649</v>
      </c>
      <c r="L104" s="106">
        <v>12.045597592084174</v>
      </c>
      <c r="M104" s="106">
        <v>24963.296449835245</v>
      </c>
      <c r="N104" s="106">
        <v>13</v>
      </c>
      <c r="O104" s="106">
        <v>26941.200000000001</v>
      </c>
      <c r="P104" s="106">
        <v>13</v>
      </c>
      <c r="Q104" s="106">
        <v>26941.200000000001</v>
      </c>
      <c r="R104" s="106">
        <v>14.292435761790426</v>
      </c>
      <c r="S104" s="106">
        <v>29619.643872734479</v>
      </c>
      <c r="T104" s="106">
        <v>9</v>
      </c>
      <c r="U104" s="106">
        <v>18651.600000000002</v>
      </c>
      <c r="V104" s="106">
        <v>9</v>
      </c>
      <c r="W104" s="106">
        <v>18651.600000000002</v>
      </c>
      <c r="X104" s="106">
        <v>9</v>
      </c>
      <c r="Y104" s="106">
        <v>18651.600000000002</v>
      </c>
      <c r="Z104" s="106">
        <v>12</v>
      </c>
      <c r="AA104" s="106">
        <v>24868.800000000003</v>
      </c>
      <c r="AB104" s="106">
        <v>46.390204533535339</v>
      </c>
      <c r="AC104" s="106">
        <v>96139.059875298641</v>
      </c>
      <c r="AD104" s="106">
        <v>54</v>
      </c>
      <c r="AE104" s="106">
        <v>111909.6</v>
      </c>
      <c r="AF104" s="106">
        <v>39</v>
      </c>
      <c r="AG104" s="106">
        <v>80823.600000000006</v>
      </c>
      <c r="AH104" s="106">
        <v>54.39342537804076</v>
      </c>
      <c r="AI104" s="106">
        <v>112724.93475345167</v>
      </c>
      <c r="AJ104" s="106">
        <v>9.6283942075580278</v>
      </c>
      <c r="AK104" s="106">
        <v>19953.884155743257</v>
      </c>
      <c r="AL104" s="106">
        <v>6</v>
      </c>
      <c r="AM104" s="106">
        <v>12434.400000000001</v>
      </c>
      <c r="AN104" s="106">
        <v>5</v>
      </c>
      <c r="AO104" s="106">
        <v>10362</v>
      </c>
      <c r="AP104" s="106">
        <v>10</v>
      </c>
      <c r="AQ104" s="106">
        <v>20724</v>
      </c>
      <c r="AR104" s="106">
        <v>36</v>
      </c>
      <c r="AS104" s="106">
        <v>74606.400000000009</v>
      </c>
      <c r="AT104" s="106">
        <v>25</v>
      </c>
      <c r="AU104" s="106">
        <v>51810</v>
      </c>
      <c r="AV104" s="106">
        <v>25.623190798106215</v>
      </c>
      <c r="AW104" s="106">
        <v>53101.500609995324</v>
      </c>
      <c r="AX104" s="106">
        <v>37</v>
      </c>
      <c r="AY104" s="106">
        <v>76678.8</v>
      </c>
      <c r="AZ104" s="106">
        <v>20</v>
      </c>
      <c r="BA104" s="106">
        <v>41448</v>
      </c>
      <c r="BB104" s="106">
        <v>29</v>
      </c>
      <c r="BC104" s="106">
        <v>60099.600000000006</v>
      </c>
      <c r="BD104" s="106">
        <v>23</v>
      </c>
      <c r="BE104" s="106">
        <v>47665.200000000004</v>
      </c>
      <c r="BF104" s="106">
        <v>20.636939956640589</v>
      </c>
      <c r="BG104" s="106">
        <v>42767.99436614196</v>
      </c>
      <c r="BH104" s="106">
        <v>34</v>
      </c>
      <c r="BI104" s="106">
        <v>70461.600000000006</v>
      </c>
      <c r="BJ104" s="106">
        <v>24</v>
      </c>
      <c r="BK104" s="106">
        <v>49737.600000000006</v>
      </c>
      <c r="BL104" s="106">
        <v>33</v>
      </c>
      <c r="BM104" s="106">
        <v>68389.2</v>
      </c>
      <c r="BN104" s="106">
        <v>42.68783068783069</v>
      </c>
      <c r="BO104" s="106">
        <v>88466.260317460328</v>
      </c>
      <c r="BP104" s="106">
        <v>26</v>
      </c>
      <c r="BQ104" s="106">
        <v>53882.400000000001</v>
      </c>
      <c r="BR104" s="106">
        <v>23</v>
      </c>
      <c r="BS104" s="106">
        <v>47665.200000000004</v>
      </c>
      <c r="BT104" s="106">
        <v>30</v>
      </c>
      <c r="BU104" s="106">
        <v>62172</v>
      </c>
      <c r="BV104" s="106">
        <v>18</v>
      </c>
      <c r="BW104" s="106">
        <v>37303.200000000004</v>
      </c>
      <c r="BX104" s="106">
        <v>24</v>
      </c>
      <c r="BY104" s="106">
        <v>49737.600000000006</v>
      </c>
      <c r="BZ104" s="106">
        <v>31</v>
      </c>
      <c r="CA104" s="106">
        <v>64244.4</v>
      </c>
      <c r="CB104" s="106">
        <v>24</v>
      </c>
      <c r="CC104" s="106">
        <v>49737.600000000006</v>
      </c>
      <c r="CD104" s="106">
        <v>19</v>
      </c>
      <c r="CE104" s="106">
        <v>39375.599999999999</v>
      </c>
      <c r="CF104" s="106">
        <v>25</v>
      </c>
      <c r="CG104" s="106">
        <v>51810</v>
      </c>
      <c r="CH104" s="106">
        <v>20</v>
      </c>
      <c r="CI104" s="106">
        <v>41448</v>
      </c>
      <c r="CJ104" s="106">
        <v>31</v>
      </c>
      <c r="CK104" s="106">
        <v>64244.4</v>
      </c>
      <c r="CL104" s="106">
        <v>18.443190192743764</v>
      </c>
      <c r="CM104" s="106">
        <v>38221.66735544218</v>
      </c>
      <c r="CN104" s="106">
        <v>92</v>
      </c>
      <c r="CO104" s="106">
        <v>190660.80000000002</v>
      </c>
      <c r="CP104" s="106">
        <v>70</v>
      </c>
      <c r="CQ104" s="106">
        <v>145068</v>
      </c>
      <c r="CR104" s="106">
        <v>84</v>
      </c>
      <c r="CS104" s="106">
        <v>174081.6</v>
      </c>
      <c r="CT104" s="106">
        <v>67</v>
      </c>
      <c r="CU104" s="106">
        <v>138850.80000000002</v>
      </c>
    </row>
    <row r="105" spans="2:99" x14ac:dyDescent="0.2">
      <c r="C105" s="105" t="s">
        <v>271</v>
      </c>
      <c r="D105" s="106">
        <v>8</v>
      </c>
      <c r="E105" s="106">
        <v>15984</v>
      </c>
      <c r="F105" s="106">
        <v>6</v>
      </c>
      <c r="G105" s="106">
        <v>11988</v>
      </c>
      <c r="H105" s="106">
        <v>7.6571279916753383</v>
      </c>
      <c r="I105" s="106">
        <v>15298.941727367326</v>
      </c>
      <c r="J105" s="106">
        <v>7.0448529025503177</v>
      </c>
      <c r="K105" s="106">
        <v>14075.616099295536</v>
      </c>
      <c r="L105" s="106">
        <v>13.113055501250896</v>
      </c>
      <c r="M105" s="106">
        <v>26199.884891499289</v>
      </c>
      <c r="N105" s="106">
        <v>11</v>
      </c>
      <c r="O105" s="106">
        <v>21978</v>
      </c>
      <c r="P105" s="106">
        <v>14</v>
      </c>
      <c r="Q105" s="106">
        <v>27972</v>
      </c>
      <c r="R105" s="106">
        <v>13.441562965073937</v>
      </c>
      <c r="S105" s="106">
        <v>26856.242804217723</v>
      </c>
      <c r="T105" s="106">
        <v>8</v>
      </c>
      <c r="U105" s="106">
        <v>15984</v>
      </c>
      <c r="V105" s="106">
        <v>8</v>
      </c>
      <c r="W105" s="106">
        <v>15984</v>
      </c>
      <c r="X105" s="106">
        <v>9</v>
      </c>
      <c r="Y105" s="106">
        <v>17982</v>
      </c>
      <c r="Z105" s="106">
        <v>10</v>
      </c>
      <c r="AA105" s="106">
        <v>19980</v>
      </c>
      <c r="AB105" s="106">
        <v>54.341428966843424</v>
      </c>
      <c r="AC105" s="106">
        <v>108574.17507575316</v>
      </c>
      <c r="AD105" s="106">
        <v>59</v>
      </c>
      <c r="AE105" s="106">
        <v>117882</v>
      </c>
      <c r="AF105" s="106">
        <v>35</v>
      </c>
      <c r="AG105" s="106">
        <v>69930</v>
      </c>
      <c r="AH105" s="106">
        <v>55.442603550295857</v>
      </c>
      <c r="AI105" s="106">
        <v>110774.32189349113</v>
      </c>
      <c r="AJ105" s="106">
        <v>10.661467586903187</v>
      </c>
      <c r="AK105" s="106">
        <v>21301.61223863257</v>
      </c>
      <c r="AL105" s="106">
        <v>6</v>
      </c>
      <c r="AM105" s="106">
        <v>11988</v>
      </c>
      <c r="AN105" s="106">
        <v>6</v>
      </c>
      <c r="AO105" s="106">
        <v>11988</v>
      </c>
      <c r="AP105" s="106">
        <v>9</v>
      </c>
      <c r="AQ105" s="106">
        <v>17982</v>
      </c>
      <c r="AR105" s="106">
        <v>33</v>
      </c>
      <c r="AS105" s="106">
        <v>65934</v>
      </c>
      <c r="AT105" s="106">
        <v>27</v>
      </c>
      <c r="AU105" s="106">
        <v>53946</v>
      </c>
      <c r="AV105" s="106">
        <v>27.666169473837677</v>
      </c>
      <c r="AW105" s="106">
        <v>55277.006608727679</v>
      </c>
      <c r="AX105" s="106">
        <v>38</v>
      </c>
      <c r="AY105" s="106">
        <v>75924</v>
      </c>
      <c r="AZ105" s="106">
        <v>20</v>
      </c>
      <c r="BA105" s="106">
        <v>39960</v>
      </c>
      <c r="BB105" s="106">
        <v>32</v>
      </c>
      <c r="BC105" s="106">
        <v>63936</v>
      </c>
      <c r="BD105" s="106">
        <v>22</v>
      </c>
      <c r="BE105" s="106">
        <v>43956</v>
      </c>
      <c r="BF105" s="106">
        <v>18.587944575360542</v>
      </c>
      <c r="BG105" s="106">
        <v>37138.713261570359</v>
      </c>
      <c r="BH105" s="106">
        <v>38</v>
      </c>
      <c r="BI105" s="106">
        <v>75924</v>
      </c>
      <c r="BJ105" s="106">
        <v>28</v>
      </c>
      <c r="BK105" s="106">
        <v>55944</v>
      </c>
      <c r="BL105" s="106">
        <v>38</v>
      </c>
      <c r="BM105" s="106">
        <v>75924</v>
      </c>
      <c r="BN105" s="106">
        <v>35.622323003275383</v>
      </c>
      <c r="BO105" s="106">
        <v>71173.401360544216</v>
      </c>
      <c r="BP105" s="106">
        <v>23</v>
      </c>
      <c r="BQ105" s="106">
        <v>45954</v>
      </c>
      <c r="BR105" s="106">
        <v>23</v>
      </c>
      <c r="BS105" s="106">
        <v>45954</v>
      </c>
      <c r="BT105" s="106">
        <v>31</v>
      </c>
      <c r="BU105" s="106">
        <v>61938</v>
      </c>
      <c r="BV105" s="106">
        <v>19</v>
      </c>
      <c r="BW105" s="106">
        <v>37962</v>
      </c>
      <c r="BX105" s="106">
        <v>25</v>
      </c>
      <c r="BY105" s="106">
        <v>49950</v>
      </c>
      <c r="BZ105" s="106">
        <v>29</v>
      </c>
      <c r="CA105" s="106">
        <v>57942</v>
      </c>
      <c r="CB105" s="106">
        <v>28</v>
      </c>
      <c r="CC105" s="106">
        <v>55944</v>
      </c>
      <c r="CD105" s="106">
        <v>18</v>
      </c>
      <c r="CE105" s="106">
        <v>35964</v>
      </c>
      <c r="CF105" s="106">
        <v>26</v>
      </c>
      <c r="CG105" s="106">
        <v>51948</v>
      </c>
      <c r="CH105" s="106">
        <v>24</v>
      </c>
      <c r="CI105" s="106">
        <v>47952</v>
      </c>
      <c r="CJ105" s="106">
        <v>29</v>
      </c>
      <c r="CK105" s="106">
        <v>57942</v>
      </c>
      <c r="CL105" s="106">
        <v>18.443190192743764</v>
      </c>
      <c r="CM105" s="106">
        <v>36849.494005102038</v>
      </c>
      <c r="CN105" s="106">
        <v>93</v>
      </c>
      <c r="CO105" s="106">
        <v>185814</v>
      </c>
      <c r="CP105" s="106">
        <v>71</v>
      </c>
      <c r="CQ105" s="106">
        <v>141858</v>
      </c>
      <c r="CR105" s="106">
        <v>83</v>
      </c>
      <c r="CS105" s="106">
        <v>165834</v>
      </c>
      <c r="CT105" s="106">
        <v>66</v>
      </c>
      <c r="CU105" s="106">
        <v>131868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205</v>
      </c>
      <c r="E112" s="106">
        <f>SUM(L$49:L$70)+SUM(N$49:N$70)+SUM(P$49:P$70)+SUM(R$49:R$70)</f>
        <v>354.01186863750081</v>
      </c>
      <c r="F112" s="106">
        <f>SUM(T$49:T$70)+SUM(V$49:V$70)+SUM(X$49:X$70)+SUM(Z$49:Z$70)</f>
        <v>193.866468192398</v>
      </c>
      <c r="G112" s="106">
        <f>SUM(AB$49:AB$70)+SUM(AD$49:AD$70)+SUM(AF$49:AF$70)+SUM(AH$49:AH$70)</f>
        <v>52.59718320156697</v>
      </c>
      <c r="H112" s="106">
        <f>SUM(AJ$49:AJ$70)+SUM(AL$49:AL$70)+SUM(AN$49:AN$70)+SUM(AP$49:AP$70)</f>
        <v>77.849883487493997</v>
      </c>
      <c r="I112" s="106">
        <f>SUM(AR$49:AR$70)+SUM(AT$49:AT$70)+SUM(AV$49:AV$70)+SUM(AX$49:AX$70)</f>
        <v>74.623190798106208</v>
      </c>
      <c r="J112" s="106">
        <f>SUM(AZ$49:AZ$70)+SUM(BB$49:BB$70)+SUM(BD$49:BD$70)+SUM(BF$49:BF$70)</f>
        <v>422</v>
      </c>
      <c r="K112" s="106">
        <f>SUM(BH$49:BH$70)+SUM(BJ$49:BJ$70)+SUM(BL$49:BL$70)+SUM(BN$49:BN$70)</f>
        <v>76.753338372385997</v>
      </c>
      <c r="L112" s="106">
        <f>SUM(BP$49:BP$70)+SUM(BR$49:BR$70)+SUM(BT$49:BT$70)+SUM(BV$49:BV$70)</f>
        <v>71.96570168184121</v>
      </c>
      <c r="M112" s="106">
        <f>SUM(BX$49:BX$70)+SUM(BZ$49:BZ$70)+SUM(CB$49:CB$70)+SUM(CD$49:CD$70)</f>
        <v>94</v>
      </c>
      <c r="N112" s="106">
        <f>SUM(CF$49:CF$70)+SUM(CH$49:CH$70)+SUM(CJ$49:CJ$70)+SUM(CL$49:CL$70)</f>
        <v>100.42339740247373</v>
      </c>
      <c r="O112" s="106">
        <f>SUM(CN$49:CN$70)+SUM(CP$49:CP$70)+SUM(CR$49:CR$70)+SUM(CT$49:CT$70)</f>
        <v>283</v>
      </c>
    </row>
    <row r="113" spans="2:15" x14ac:dyDescent="0.2">
      <c r="C113" s="105" t="s">
        <v>130</v>
      </c>
      <c r="D113" s="106">
        <f>SUM(D$71:D$86)+SUM(F$71:F$86)+SUM(H$71:H$86)+SUM(J$71:J$86)</f>
        <v>488.36693640716476</v>
      </c>
      <c r="E113" s="106">
        <f>SUM(L$71:L$86)+SUM(N$71:N$86)+SUM(P$71:P$86)+SUM(R$71:R$86)</f>
        <v>296.14458222923145</v>
      </c>
      <c r="F113" s="106">
        <f>SUM(T$71:T$86)+SUM(V$71:V$86)+SUM(X$71:X$86)+SUM(Z$71:Z$86)</f>
        <v>1790.5118411859262</v>
      </c>
      <c r="G113" s="106">
        <f>SUM(AB$71:AB$86)+SUM(AD$71:AD$86)+SUM(AF$71:AF$86)+SUM(AH$71:AH$86)</f>
        <v>836.16626056375003</v>
      </c>
      <c r="H113" s="106">
        <f>SUM(AJ$71:AJ$86)+SUM(AL$71:AL$86)+SUM(AN$71:AN$86)+SUM(AP$71:AP$86)</f>
        <v>945.20822680781043</v>
      </c>
      <c r="I113" s="106">
        <f>SUM(AR$71:AR$86)+SUM(AT$71:AT$86)+SUM(AV$71:AV$86)+SUM(AX$71:AX$86)</f>
        <v>1170.2908874353157</v>
      </c>
      <c r="J113" s="106">
        <f>SUM(AZ$71:AZ$86)+SUM(BB$71:BB$86)+SUM(BD$71:BD$86)+SUM(BF$71:BF$86)</f>
        <v>294</v>
      </c>
      <c r="K113" s="106">
        <f>SUM(BH$71:BH$86)+SUM(BJ$71:BJ$86)+SUM(BL$71:BL$86)+SUM(BN$71:BN$86)</f>
        <v>1131</v>
      </c>
      <c r="L113" s="106">
        <f>SUM(BP$71:BP$86)+SUM(BR$71:BR$86)+SUM(BT$71:BT$86)+SUM(BV$71:BV$86)</f>
        <v>439.14706782784208</v>
      </c>
      <c r="M113" s="106">
        <f>SUM(BX$71:BX$86)+SUM(BZ$71:BZ$86)+SUM(CB$71:CB$86)+SUM(CD$71:CD$86)</f>
        <v>406.69938094171818</v>
      </c>
      <c r="N113" s="106">
        <f>SUM(CF$71:CF$86)+SUM(CH$71:CH$86)+SUM(CJ$71:CJ$86)+SUM(CL$71:CL$86)</f>
        <v>977</v>
      </c>
      <c r="O113" s="106">
        <f>SUM(CN$71:CN$86)+SUM(CP$71:CP$86)+SUM(CR$71:CR$86)+SUM(CT$71:CT$86)</f>
        <v>373</v>
      </c>
    </row>
    <row r="114" spans="2:15" x14ac:dyDescent="0.2">
      <c r="C114" s="105" t="s">
        <v>131</v>
      </c>
      <c r="D114" s="106">
        <f>SUM(D$87:D$94)+SUM(F$87:F$94)+SUM(H$87:H$94)+SUM(J$87:J$94)</f>
        <v>126.42871468315818</v>
      </c>
      <c r="E114" s="106">
        <f>SUM(L$87:L$94)+SUM(N$87:N$94)+SUM(P$87:P$94)+SUM(R$87:R$94)</f>
        <v>493.75578259625382</v>
      </c>
      <c r="F114" s="106">
        <f>SUM(T$87:T$94)+SUM(V$87:V$94)+SUM(X$87:X$94)+SUM(Z$87:Z$94)</f>
        <v>1094</v>
      </c>
      <c r="G114" s="106">
        <f>SUM(AB$87:AB$94)+SUM(AD$87:AD$94)+SUM(AF$87:AF$94)+SUM(AH$87:AH$94)</f>
        <v>321.04891518737674</v>
      </c>
      <c r="H114" s="106">
        <f>SUM(AJ$87:AJ$94)+SUM(AL$87:AL$94)+SUM(AN$87:AN$94)+SUM(AP$87:AP$94)</f>
        <v>402</v>
      </c>
      <c r="I114" s="106">
        <f>SUM(AR$87:AR$94)+SUM(AT$87:AT$94)+SUM(AV$87:AV$94)+SUM(AX$87:AX$94)</f>
        <v>162.74268550970172</v>
      </c>
      <c r="J114" s="106">
        <f>SUM(AZ$87:AZ$94)+SUM(BB$87:BB$94)+SUM(BD$87:BD$94)+SUM(BF$87:BF$94)</f>
        <v>286</v>
      </c>
      <c r="K114" s="106">
        <f>SUM(BH$87:BH$94)+SUM(BJ$87:BJ$94)+SUM(BL$87:BL$94)+SUM(BN$87:BN$94)</f>
        <v>558.41989350134395</v>
      </c>
      <c r="L114" s="106">
        <f>SUM(BP$87:BP$94)+SUM(BR$87:BR$94)+SUM(BT$87:BT$94)+SUM(BV$87:BV$94)</f>
        <v>1040.6342571551213</v>
      </c>
      <c r="M114" s="106">
        <f>SUM(BX$87:BX$94)+SUM(BZ$87:BZ$94)+SUM(CB$87:CB$94)+SUM(CD$87:CD$94)</f>
        <v>841.15033381293415</v>
      </c>
      <c r="N114" s="106">
        <f>SUM(CF$87:CF$94)+SUM(CH$87:CH$94)+SUM(CJ$87:CJ$94)+SUM(CL$87:CL$94)</f>
        <v>375</v>
      </c>
      <c r="O114" s="106">
        <f>SUM(CN$87:CN$94)+SUM(CP$87:CP$94)+SUM(CR$87:CR$94)+SUM(CT$87:CT$94)</f>
        <v>195</v>
      </c>
    </row>
    <row r="115" spans="2:15" x14ac:dyDescent="0.2">
      <c r="C115" s="105" t="s">
        <v>132</v>
      </c>
      <c r="D115" s="106">
        <f>SUM(D$95:D$105)+SUM(F$95:F$105)+SUM(H$95:H$105)+SUM(J$95:J$105)</f>
        <v>317.755063852283</v>
      </c>
      <c r="E115" s="106">
        <f>SUM(L$95:L$105)+SUM(N$95:N$105)+SUM(P$95:P$105)+SUM(R$95:R$105)</f>
        <v>579.25095525304334</v>
      </c>
      <c r="F115" s="106">
        <f>SUM(T$95:T$105)+SUM(V$95:V$105)+SUM(X$95:X$105)+SUM(Z$95:Z$105)</f>
        <v>425</v>
      </c>
      <c r="G115" s="106">
        <f>SUM(AB$95:AB$105)+SUM(AD$95:AD$105)+SUM(AF$95:AF$105)+SUM(AH$95:AH$105)</f>
        <v>2235.0633377887593</v>
      </c>
      <c r="H115" s="106">
        <f>SUM(AJ$95:AJ$105)+SUM(AL$95:AL$105)+SUM(AN$95:AN$105)+SUM(AP$95:AP$105)</f>
        <v>349.30921683528027</v>
      </c>
      <c r="I115" s="106">
        <f>SUM(AR$95:AR$105)+SUM(AT$95:AT$105)+SUM(AV$95:AV$105)+SUM(AX$95:AX$105)</f>
        <v>1429.3178653325251</v>
      </c>
      <c r="J115" s="106">
        <f>SUM(AZ$95:AZ$105)+SUM(BB$95:BB$105)+SUM(BD$95:BD$105)+SUM(BF$95:BF$105)</f>
        <v>1033.565381091526</v>
      </c>
      <c r="K115" s="106">
        <f>SUM(BH$95:BH$105)+SUM(BJ$95:BJ$105)+SUM(BL$95:BL$105)+SUM(BN$95:BN$105)</f>
        <v>1551.0686019997527</v>
      </c>
      <c r="L115" s="106">
        <f>SUM(BP$95:BP$105)+SUM(BR$95:BR$105)+SUM(BT$95:BT$105)+SUM(BV$95:BV$105)</f>
        <v>1100</v>
      </c>
      <c r="M115" s="106">
        <f>SUM(BX$95:BX$105)+SUM(BZ$95:BZ$105)+SUM(CB$95:CB$105)+SUM(CD$95:CD$105)</f>
        <v>1113</v>
      </c>
      <c r="N115" s="106">
        <f>SUM(CF$95:CF$105)+SUM(CH$95:CH$105)+SUM(CJ$95:CJ$105)+SUM(CL$95:CL$105)</f>
        <v>1049.7766054106828</v>
      </c>
      <c r="O115" s="106">
        <f>SUM(CN$95:CN$105)+SUM(CP$95:CP$105)+SUM(CR$95:CR$105)+SUM(CT$95:CT$105)</f>
        <v>3584</v>
      </c>
    </row>
    <row r="116" spans="2:15" x14ac:dyDescent="0.2">
      <c r="C116" s="105" t="s">
        <v>278</v>
      </c>
      <c r="D116" s="106">
        <f t="shared" ref="D116:O116" si="0">SUM(D$109:D$115)</f>
        <v>1137.550714942606</v>
      </c>
      <c r="E116" s="106">
        <f t="shared" si="0"/>
        <v>1723.1631887160293</v>
      </c>
      <c r="F116" s="106">
        <f t="shared" si="0"/>
        <v>3503.378309378324</v>
      </c>
      <c r="G116" s="106">
        <f t="shared" si="0"/>
        <v>3444.8756967414529</v>
      </c>
      <c r="H116" s="106">
        <f t="shared" si="0"/>
        <v>1774.3673271305847</v>
      </c>
      <c r="I116" s="106">
        <f t="shared" si="0"/>
        <v>2836.9746290756484</v>
      </c>
      <c r="J116" s="106">
        <f t="shared" si="0"/>
        <v>2035.565381091526</v>
      </c>
      <c r="K116" s="106">
        <f t="shared" si="0"/>
        <v>3317.2418338734824</v>
      </c>
      <c r="L116" s="106">
        <f t="shared" si="0"/>
        <v>2651.7470266648047</v>
      </c>
      <c r="M116" s="106">
        <f t="shared" si="0"/>
        <v>2454.8497147546523</v>
      </c>
      <c r="N116" s="106">
        <f t="shared" si="0"/>
        <v>2502.2000028131565</v>
      </c>
      <c r="O116" s="106">
        <f t="shared" si="0"/>
        <v>4435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766809.22936101607</v>
      </c>
      <c r="E123" s="106">
        <f>E112*pricing!E27*2000</f>
        <v>1083957.8758825974</v>
      </c>
      <c r="F123" s="106">
        <f>F112*pricing!F27*2000</f>
        <v>753645.24331073463</v>
      </c>
      <c r="G123" s="106">
        <f>G112*pricing!G27*2000</f>
        <v>352440.65943567647</v>
      </c>
      <c r="H123" s="106">
        <f>H112*pricing!H27*2000</f>
        <v>490470.59829870076</v>
      </c>
      <c r="I123" s="106">
        <f>I112*pricing!I27*2000</f>
        <v>423648.77736543643</v>
      </c>
      <c r="J123" s="106">
        <f>J112*pricing!J27*2000</f>
        <v>1072893.8641336164</v>
      </c>
      <c r="K123" s="106">
        <f>K112*pricing!K27*2000</f>
        <v>496774.14476578392</v>
      </c>
      <c r="L123" s="106">
        <f>L112*pricing!L27*2000</f>
        <v>475847.98724746559</v>
      </c>
      <c r="M123" s="106">
        <f>M112*pricing!M27*2000</f>
        <v>522462.95831249788</v>
      </c>
      <c r="N123" s="106">
        <f>N112*pricing!N27*2000</f>
        <v>524202.7778283722</v>
      </c>
      <c r="O123" s="106">
        <f>O112*pricing!O27*2000</f>
        <v>870591.66859467304</v>
      </c>
    </row>
    <row r="124" spans="2:15" x14ac:dyDescent="0.2">
      <c r="C124" s="105" t="s">
        <v>130</v>
      </c>
      <c r="D124" s="106">
        <f>D113*pricing!D28*2000</f>
        <v>2493984.6187282638</v>
      </c>
      <c r="E124" s="106">
        <f>E113*pricing!E28*2000</f>
        <v>2090957.6743064146</v>
      </c>
      <c r="F124" s="106">
        <f>F113*pricing!F28*2000</f>
        <v>5125437.0245908443</v>
      </c>
      <c r="G124" s="106">
        <f>G113*pricing!G28*2000</f>
        <v>3337296.2570482078</v>
      </c>
      <c r="H124" s="106">
        <f>H113*pricing!H28*2000</f>
        <v>3896801.7891646726</v>
      </c>
      <c r="I124" s="106">
        <f>I113*pricing!I28*2000</f>
        <v>4218531.1770766079</v>
      </c>
      <c r="J124" s="106">
        <f>J113*pricing!J28*2000</f>
        <v>1931178.8015429338</v>
      </c>
      <c r="K124" s="106">
        <f>K113*pricing!K28*2000</f>
        <v>4442494.3033866333</v>
      </c>
      <c r="L124" s="106">
        <f>L113*pricing!L28*2000</f>
        <v>2499225.6501466245</v>
      </c>
      <c r="M124" s="106">
        <f>M113*pricing!M28*2000</f>
        <v>2403052.7742607333</v>
      </c>
      <c r="N124" s="106">
        <f>N113*pricing!N28*2000</f>
        <v>3729863.3288910338</v>
      </c>
      <c r="O124" s="106">
        <f>O113*pricing!O28*2000</f>
        <v>2350071.559861972</v>
      </c>
    </row>
    <row r="125" spans="2:15" x14ac:dyDescent="0.2">
      <c r="C125" s="105" t="s">
        <v>131</v>
      </c>
      <c r="D125" s="106">
        <f>D114*pricing!D29*2000</f>
        <v>859580.18244584184</v>
      </c>
      <c r="E125" s="106">
        <f>E114*pricing!E29*2000</f>
        <v>1759382.5863140023</v>
      </c>
      <c r="F125" s="106">
        <f>F114*pricing!F29*2000</f>
        <v>2817369.8726446126</v>
      </c>
      <c r="G125" s="106">
        <f>G114*pricing!G29*2000</f>
        <v>1548416.5069520457</v>
      </c>
      <c r="H125" s="106">
        <f>H114*pricing!H29*2000</f>
        <v>1681796.0927016896</v>
      </c>
      <c r="I125" s="106">
        <f>I114*pricing!I29*2000</f>
        <v>987813.76965443196</v>
      </c>
      <c r="J125" s="106">
        <f>J114*pricing!J29*2000</f>
        <v>1505489.3364831</v>
      </c>
      <c r="K125" s="106">
        <f>K114*pricing!K29*2000</f>
        <v>1998049.3429668727</v>
      </c>
      <c r="L125" s="106">
        <f>L114*pricing!L29*2000</f>
        <v>2566427.8402510574</v>
      </c>
      <c r="M125" s="106">
        <f>M114*pricing!M29*2000</f>
        <v>2416714.9023700128</v>
      </c>
      <c r="N125" s="106">
        <f>N114*pricing!N29*2000</f>
        <v>1721749.4504757405</v>
      </c>
      <c r="O125" s="106">
        <f>O114*pricing!O29*2000</f>
        <v>1262686.4832959794</v>
      </c>
    </row>
    <row r="126" spans="2:15" x14ac:dyDescent="0.2">
      <c r="C126" s="105" t="s">
        <v>132</v>
      </c>
      <c r="D126" s="106">
        <f>D115*pricing!D30*2000</f>
        <v>2021536.6946704886</v>
      </c>
      <c r="E126" s="106">
        <f>E115*pricing!E30*2000</f>
        <v>3160905.3072022023</v>
      </c>
      <c r="F126" s="106">
        <f>F115*pricing!F30*2000</f>
        <v>2191458.6243436025</v>
      </c>
      <c r="G126" s="106">
        <f>G115*pricing!G30*2000</f>
        <v>6112756.7287299037</v>
      </c>
      <c r="H126" s="106">
        <f>H115*pricing!H30*2000</f>
        <v>2404846.605460084</v>
      </c>
      <c r="I126" s="106">
        <f>I115*pricing!I30*2000</f>
        <v>4381473.9705703575</v>
      </c>
      <c r="J126" s="106">
        <f>J115*pricing!J30*2000</f>
        <v>3879127.5987202586</v>
      </c>
      <c r="K126" s="106">
        <f>K115*pricing!K30*2000</f>
        <v>5181955.8669484714</v>
      </c>
      <c r="L126" s="106">
        <f>L115*pricing!L30*2000</f>
        <v>4275030.0093584452</v>
      </c>
      <c r="M126" s="106">
        <f>M115*pricing!M30*2000</f>
        <v>4101421.2221391145</v>
      </c>
      <c r="N126" s="106">
        <f>N115*pricing!N30*2000</f>
        <v>4218076.9427273246</v>
      </c>
      <c r="O126" s="106">
        <f>O115*pricing!O30*2000</f>
        <v>7222461.9758439995</v>
      </c>
    </row>
    <row r="127" spans="2:15" x14ac:dyDescent="0.2">
      <c r="C127" s="105" t="s">
        <v>278</v>
      </c>
      <c r="D127" s="106">
        <f t="shared" ref="D127:O127" si="1">SUM(D$120:D$126)</f>
        <v>6141910.7252056096</v>
      </c>
      <c r="E127" s="106">
        <f t="shared" si="1"/>
        <v>8095203.4437052161</v>
      </c>
      <c r="F127" s="106">
        <f t="shared" si="1"/>
        <v>10887910.764889793</v>
      </c>
      <c r="G127" s="106">
        <f t="shared" si="1"/>
        <v>11350910.152165834</v>
      </c>
      <c r="H127" s="106">
        <f t="shared" si="1"/>
        <v>8473915.0856251456</v>
      </c>
      <c r="I127" s="106">
        <f t="shared" si="1"/>
        <v>10011467.694666835</v>
      </c>
      <c r="J127" s="106">
        <f t="shared" si="1"/>
        <v>8388689.6008799076</v>
      </c>
      <c r="K127" s="106">
        <f t="shared" si="1"/>
        <v>12119273.658067763</v>
      </c>
      <c r="L127" s="106">
        <f t="shared" si="1"/>
        <v>9816531.4870035928</v>
      </c>
      <c r="M127" s="106">
        <f t="shared" si="1"/>
        <v>9443651.8570823595</v>
      </c>
      <c r="N127" s="106">
        <f t="shared" si="1"/>
        <v>10193892.499922471</v>
      </c>
      <c r="O127" s="106">
        <f t="shared" si="1"/>
        <v>11705811.687596625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225680.39999999997</v>
      </c>
      <c r="E134" s="112">
        <f>SUM(M$49:M$70)+SUM(O$49:O$70)+SUM(Q$49:Q$70)+SUM(S$49:S$70)</f>
        <v>390897.01727885491</v>
      </c>
      <c r="F134" s="112">
        <f>SUM(U$49:U$70)+SUM(W$49:W$70)+SUM(Y$49:Y$70)+SUM(AA$49:AA$70)</f>
        <v>213721.47000508121</v>
      </c>
      <c r="G134" s="112">
        <f>SUM(AC$49:AC$70)+SUM(AE$49:AE$70)+SUM(AG$49:AG$70)+SUM(AI$49:AI$70)</f>
        <v>58213.343175360234</v>
      </c>
      <c r="H134" s="112">
        <f>SUM(AK$49:AK$70)+SUM(AM$49:AM$70)+SUM(AO$49:AO$70)+SUM(AQ$49:AQ$70)</f>
        <v>86042.045022279141</v>
      </c>
      <c r="I134" s="112">
        <f>SUM(AS$49:AS$70)+SUM(AU$49:AU$70)+SUM(AW$49:AW$70)+SUM(AY$49:AY$70)</f>
        <v>82386.420207530638</v>
      </c>
      <c r="J134" s="112">
        <f>SUM(BA$49:BA$70)+SUM(BC$49:BC$70)+SUM(BE$49:BE$70)+SUM(BG$49:BG$70)</f>
        <v>466620</v>
      </c>
      <c r="K134" s="112">
        <f>SUM(BI$49:BI$70)+SUM(BK$49:BK$70)+SUM(BM$49:BM$70)+SUM(BO$49:BO$70)</f>
        <v>84749.388964474681</v>
      </c>
      <c r="L134" s="112">
        <f>SUM(BQ$49:BQ$70)+SUM(BS$49:BS$70)+SUM(BU$49:BU$70)+SUM(BW$49:BW$70)</f>
        <v>79471.480504691572</v>
      </c>
      <c r="M134" s="112">
        <f>SUM(BY$49:BY$70)+SUM(CA$49:CA$70)+SUM(CC$49:CC$70)+SUM(CE$49:CE$70)</f>
        <v>103694.39999999999</v>
      </c>
      <c r="N134" s="112">
        <f>SUM(CG$49:CG$70)+SUM(CI$49:CI$70)+SUM(CK$49:CK$70)+SUM(CM$49:CM$70)</f>
        <v>110891.12596919558</v>
      </c>
      <c r="O134" s="112">
        <f>SUM(CO$49:CO$70)+SUM(CQ$49:CQ$70)+SUM(CS$49:CS$70)+SUM(CU$49:CU$70)</f>
        <v>312015.59999999998</v>
      </c>
    </row>
    <row r="135" spans="2:15" x14ac:dyDescent="0.2">
      <c r="C135" s="111" t="s">
        <v>130</v>
      </c>
      <c r="D135" s="112">
        <f>SUM(E$71:E$86)+SUM(G$71:G$86)+SUM(I$71:I$86)+SUM(K$71:K$86)</f>
        <v>273105.48701163667</v>
      </c>
      <c r="E135" s="112">
        <f>SUM(M$71:M$86)+SUM(O$71:O$86)+SUM(Q$71:Q$86)+SUM(S$71:S$86)</f>
        <v>164611.03074646305</v>
      </c>
      <c r="F135" s="112">
        <f>SUM(U$71:U$86)+SUM(W$71:W$86)+SUM(Y$71:Y$86)+SUM(AA$71:AA$86)</f>
        <v>993965.74705385976</v>
      </c>
      <c r="G135" s="112">
        <f>SUM(AC$71:AC$86)+SUM(AE$71:AE$86)+SUM(AG$71:AG$86)+SUM(AI$71:AI$86)</f>
        <v>463738.29841734108</v>
      </c>
      <c r="H135" s="112">
        <f>SUM(AK$71:AK$86)+SUM(AM$71:AM$86)+SUM(AO$71:AO$86)+SUM(AQ$71:AQ$86)</f>
        <v>527112.98691687954</v>
      </c>
      <c r="I135" s="112">
        <f>SUM(AS$71:AS$86)+SUM(AU$71:AU$86)+SUM(AW$71:AW$86)+SUM(AY$71:AY$86)</f>
        <v>649625.96289590898</v>
      </c>
      <c r="J135" s="112">
        <f>SUM(BA$71:BA$86)+SUM(BC$71:BC$86)+SUM(BE$71:BE$86)+SUM(BG$71:BG$86)</f>
        <v>164344.79999999999</v>
      </c>
      <c r="K135" s="112">
        <f>SUM(BI$71:BI$86)+SUM(BK$71:BK$86)+SUM(BM$71:BM$86)+SUM(BO$71:BO$86)</f>
        <v>626960.4</v>
      </c>
      <c r="L135" s="112">
        <f>SUM(BQ$71:BQ$86)+SUM(BS$71:BS$86)+SUM(BU$71:BU$86)+SUM(BW$71:BW$86)</f>
        <v>246146.58731034934</v>
      </c>
      <c r="M135" s="112">
        <f>SUM(BY$71:BY$86)+SUM(CA$71:CA$86)+SUM(CC$71:CC$86)+SUM(CE$71:CE$86)</f>
        <v>225657.71032668388</v>
      </c>
      <c r="N135" s="112">
        <f>SUM(CG$71:CG$86)+SUM(CI$71:CI$86)+SUM(CK$71:CK$86)+SUM(CM$71:CM$86)</f>
        <v>544208.39999999991</v>
      </c>
      <c r="O135" s="112">
        <f>SUM(CO$71:CO$86)+SUM(CQ$71:CQ$86)+SUM(CS$71:CS$86)+SUM(CU$71:CU$86)</f>
        <v>208094.40000000002</v>
      </c>
    </row>
    <row r="136" spans="2:15" x14ac:dyDescent="0.2">
      <c r="C136" s="111" t="s">
        <v>131</v>
      </c>
      <c r="D136" s="112">
        <f>SUM(E$87:E$94)+SUM(G$87:G$94)+SUM(I$87:I$94)+SUM(K$87:K$94)</f>
        <v>257980.99075042288</v>
      </c>
      <c r="E136" s="112">
        <f>SUM(M$87:M$94)+SUM(O$87:O$94)+SUM(Q$87:Q$94)+SUM(S$87:S$94)</f>
        <v>1002466.1669202457</v>
      </c>
      <c r="F136" s="112">
        <f>SUM(U$87:U$94)+SUM(W$87:W$94)+SUM(Y$87:Y$94)+SUM(AA$87:AA$94)</f>
        <v>2215014</v>
      </c>
      <c r="G136" s="112">
        <f>SUM(AC$87:AC$94)+SUM(AE$87:AE$94)+SUM(AG$87:AG$94)+SUM(AI$87:AI$94)</f>
        <v>651852.34808678494</v>
      </c>
      <c r="H136" s="112">
        <f>SUM(AK$87:AK$94)+SUM(AM$87:AM$94)+SUM(AO$87:AO$94)+SUM(AQ$87:AQ$94)</f>
        <v>818302.79999999993</v>
      </c>
      <c r="I136" s="112">
        <f>SUM(AS$87:AS$94)+SUM(AU$87:AU$94)+SUM(AW$87:AW$94)+SUM(AY$87:AY$94)</f>
        <v>331397.32969866548</v>
      </c>
      <c r="J136" s="112">
        <f>SUM(BA$87:BA$94)+SUM(BC$87:BC$94)+SUM(BE$87:BE$94)+SUM(BG$87:BG$94)</f>
        <v>583311.6</v>
      </c>
      <c r="K136" s="112">
        <f>SUM(BI$87:BI$94)+SUM(BK$87:BK$94)+SUM(BM$87:BM$94)+SUM(BO$87:BO$94)</f>
        <v>1132257.9838275844</v>
      </c>
      <c r="L136" s="112">
        <f>SUM(BQ$87:BQ$94)+SUM(BS$87:BS$94)+SUM(BU$87:BU$94)+SUM(BW$87:BW$94)</f>
        <v>2111549.5393304401</v>
      </c>
      <c r="M136" s="112">
        <f>SUM(BY$87:BY$94)+SUM(CA$87:CA$94)+SUM(CC$87:CC$94)+SUM(CE$87:CE$94)</f>
        <v>1702158.0116891651</v>
      </c>
      <c r="N136" s="112">
        <f>SUM(CG$87:CG$94)+SUM(CI$87:CI$94)+SUM(CK$87:CK$94)+SUM(CM$87:CM$94)</f>
        <v>762204</v>
      </c>
      <c r="O136" s="112">
        <f>SUM(CO$87:CO$94)+SUM(CQ$87:CQ$94)+SUM(CS$87:CS$94)+SUM(CU$87:CU$94)</f>
        <v>396377.99999999994</v>
      </c>
    </row>
    <row r="137" spans="2:15" x14ac:dyDescent="0.2">
      <c r="C137" s="111" t="s">
        <v>132</v>
      </c>
      <c r="D137" s="112">
        <f>SUM(E$95:E$105)+SUM(G$95:G$105)+SUM(I$95:I$105)+SUM(K$95:K$105)</f>
        <v>609255.36112065171</v>
      </c>
      <c r="E137" s="112">
        <f>SUM(M$95:M$105)+SUM(O$95:O$105)+SUM(Q$95:Q$105)+SUM(S$95:S$105)</f>
        <v>1106722.3199173794</v>
      </c>
      <c r="F137" s="112">
        <f>SUM(U$95:U$105)+SUM(W$95:W$105)+SUM(Y$95:Y$105)+SUM(AA$95:AA$105)</f>
        <v>807924</v>
      </c>
      <c r="G137" s="112">
        <f>SUM(AC$95:AC$105)+SUM(AE$95:AE$105)+SUM(AG$95:AG$105)+SUM(AI$95:AI$105)</f>
        <v>4124924.5135560017</v>
      </c>
      <c r="H137" s="112">
        <f>SUM(AK$95:AK$105)+SUM(AM$95:AM$105)+SUM(AO$95:AO$105)+SUM(AQ$95:AQ$105)</f>
        <v>667261.01485967753</v>
      </c>
      <c r="I137" s="112">
        <f>SUM(AS$95:AS$105)+SUM(AU$95:AU$105)+SUM(AW$95:AW$105)+SUM(AY$95:AY$105)</f>
        <v>2665775.7088680901</v>
      </c>
      <c r="J137" s="112">
        <f>SUM(BA$95:BA$105)+SUM(BC$95:BC$105)+SUM(BE$95:BE$105)+SUM(BG$95:BG$105)</f>
        <v>1935589.6837562069</v>
      </c>
      <c r="K137" s="112">
        <f>SUM(BI$95:BI$105)+SUM(BK$95:BK$105)+SUM(BM$95:BM$105)+SUM(BO$95:BO$105)</f>
        <v>2916016.1156164277</v>
      </c>
      <c r="L137" s="112">
        <f>SUM(BQ$95:BQ$105)+SUM(BS$95:BS$105)+SUM(BU$95:BU$105)+SUM(BW$95:BW$105)</f>
        <v>2067852</v>
      </c>
      <c r="M137" s="112">
        <f>SUM(BY$95:BY$105)+SUM(CA$95:CA$105)+SUM(CC$95:CC$105)+SUM(CE$95:CE$105)</f>
        <v>2096821.2</v>
      </c>
      <c r="N137" s="112">
        <f>SUM(CG$95:CG$105)+SUM(CI$95:CI$105)+SUM(CK$95:CK$105)+SUM(CM$95:CM$105)</f>
        <v>1982938.8313000752</v>
      </c>
      <c r="O137" s="112">
        <f>SUM(CO$95:CO$105)+SUM(CQ$95:CQ$105)+SUM(CS$95:CS$105)+SUM(CU$95:CU$105)</f>
        <v>6480774</v>
      </c>
    </row>
    <row r="138" spans="2:15" x14ac:dyDescent="0.2">
      <c r="C138" s="111" t="s">
        <v>278</v>
      </c>
      <c r="D138" s="106">
        <f t="shared" ref="D138:O138" si="2">SUM(D$131:D$137)</f>
        <v>1366022.2388827112</v>
      </c>
      <c r="E138" s="106">
        <f t="shared" si="2"/>
        <v>2664696.534862943</v>
      </c>
      <c r="F138" s="106">
        <f t="shared" si="2"/>
        <v>4230625.2170589408</v>
      </c>
      <c r="G138" s="106">
        <f t="shared" si="2"/>
        <v>5298728.5032354882</v>
      </c>
      <c r="H138" s="106">
        <f t="shared" si="2"/>
        <v>2098718.8467988363</v>
      </c>
      <c r="I138" s="106">
        <f t="shared" si="2"/>
        <v>3729185.4216701952</v>
      </c>
      <c r="J138" s="106">
        <f t="shared" si="2"/>
        <v>3149866.0837562066</v>
      </c>
      <c r="K138" s="106">
        <f t="shared" si="2"/>
        <v>4759983.8884084867</v>
      </c>
      <c r="L138" s="106">
        <f t="shared" si="2"/>
        <v>4505019.6071454808</v>
      </c>
      <c r="M138" s="106">
        <f t="shared" si="2"/>
        <v>4128331.3220158489</v>
      </c>
      <c r="N138" s="106">
        <f t="shared" si="2"/>
        <v>3400242.3572692708</v>
      </c>
      <c r="O138" s="106">
        <f t="shared" si="2"/>
        <v>7397262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2</v>
      </c>
      <c r="E6" s="106">
        <v>1156.8</v>
      </c>
      <c r="F6" s="106">
        <v>2</v>
      </c>
      <c r="G6" s="106">
        <v>1156.8</v>
      </c>
      <c r="H6" s="106">
        <v>4</v>
      </c>
      <c r="I6" s="106">
        <v>2313.6</v>
      </c>
      <c r="J6" s="106">
        <v>4</v>
      </c>
      <c r="K6" s="106">
        <v>2313.6</v>
      </c>
      <c r="L6" s="106">
        <v>2</v>
      </c>
      <c r="M6" s="106">
        <v>1156.8</v>
      </c>
      <c r="N6" s="106">
        <v>2</v>
      </c>
      <c r="O6" s="106">
        <v>1156.8</v>
      </c>
      <c r="P6" s="106">
        <v>3</v>
      </c>
      <c r="Q6" s="106">
        <v>1735.1999999999998</v>
      </c>
      <c r="R6" s="106">
        <v>3</v>
      </c>
      <c r="S6" s="106">
        <v>1735.1999999999998</v>
      </c>
      <c r="T6" s="106">
        <v>6</v>
      </c>
      <c r="U6" s="106">
        <v>3470.3999999999996</v>
      </c>
      <c r="V6" s="106">
        <v>4</v>
      </c>
      <c r="W6" s="106">
        <v>2313.6</v>
      </c>
      <c r="X6" s="106">
        <v>5</v>
      </c>
      <c r="Y6" s="106">
        <v>2892</v>
      </c>
      <c r="Z6" s="106">
        <v>7</v>
      </c>
      <c r="AA6" s="106">
        <v>4048.7999999999997</v>
      </c>
      <c r="AB6" s="106">
        <v>20</v>
      </c>
      <c r="AC6" s="106">
        <v>11568</v>
      </c>
      <c r="AD6" s="106">
        <v>26</v>
      </c>
      <c r="AE6" s="106">
        <v>15038.4</v>
      </c>
      <c r="AF6" s="106">
        <v>20</v>
      </c>
      <c r="AG6" s="106">
        <v>11568</v>
      </c>
      <c r="AH6" s="106">
        <v>24</v>
      </c>
      <c r="AI6" s="106">
        <v>13881.599999999999</v>
      </c>
      <c r="AJ6" s="106">
        <v>3</v>
      </c>
      <c r="AK6" s="106">
        <v>1735.1999999999998</v>
      </c>
      <c r="AL6" s="106">
        <v>3</v>
      </c>
      <c r="AM6" s="106">
        <v>1735.1999999999998</v>
      </c>
      <c r="AN6" s="106">
        <v>4</v>
      </c>
      <c r="AO6" s="106">
        <v>2313.6</v>
      </c>
      <c r="AP6" s="106">
        <v>4</v>
      </c>
      <c r="AQ6" s="106">
        <v>2313.6</v>
      </c>
      <c r="AR6" s="106">
        <v>15</v>
      </c>
      <c r="AS6" s="106">
        <v>8676</v>
      </c>
      <c r="AT6" s="106">
        <v>13</v>
      </c>
      <c r="AU6" s="106">
        <v>7519.2</v>
      </c>
      <c r="AV6" s="106">
        <v>14</v>
      </c>
      <c r="AW6" s="106">
        <v>8097.5999999999995</v>
      </c>
      <c r="AX6" s="106">
        <v>15</v>
      </c>
      <c r="AY6" s="106">
        <v>8676</v>
      </c>
      <c r="AZ6" s="106">
        <v>3</v>
      </c>
      <c r="BA6" s="106">
        <v>1735.1999999999998</v>
      </c>
      <c r="BB6" s="106">
        <v>4</v>
      </c>
      <c r="BC6" s="106">
        <v>2313.6</v>
      </c>
      <c r="BD6" s="106">
        <v>3</v>
      </c>
      <c r="BE6" s="106">
        <v>1735.1999999999998</v>
      </c>
      <c r="BF6" s="106">
        <v>6</v>
      </c>
      <c r="BG6" s="106">
        <v>3470.3999999999996</v>
      </c>
      <c r="BH6" s="106">
        <v>9</v>
      </c>
      <c r="BI6" s="106">
        <v>5205.5999999999995</v>
      </c>
      <c r="BJ6" s="106">
        <v>8</v>
      </c>
      <c r="BK6" s="106">
        <v>4627.2</v>
      </c>
      <c r="BL6" s="106">
        <v>4</v>
      </c>
      <c r="BM6" s="106">
        <v>2313.6</v>
      </c>
      <c r="BN6" s="106">
        <v>8</v>
      </c>
      <c r="BO6" s="106">
        <v>4627.2</v>
      </c>
      <c r="BP6" s="106">
        <v>36</v>
      </c>
      <c r="BQ6" s="106">
        <v>20822.399999999998</v>
      </c>
      <c r="BR6" s="106">
        <v>32</v>
      </c>
      <c r="BS6" s="106">
        <v>18508.8</v>
      </c>
      <c r="BT6" s="106">
        <v>26</v>
      </c>
      <c r="BU6" s="106">
        <v>15038.4</v>
      </c>
      <c r="BV6" s="106">
        <v>42</v>
      </c>
      <c r="BW6" s="106">
        <v>24292.799999999999</v>
      </c>
      <c r="BX6" s="106">
        <v>5</v>
      </c>
      <c r="BY6" s="106">
        <v>2892</v>
      </c>
      <c r="BZ6" s="106">
        <v>3</v>
      </c>
      <c r="CA6" s="106">
        <v>1735.1999999999998</v>
      </c>
      <c r="CB6" s="106">
        <v>6</v>
      </c>
      <c r="CC6" s="106">
        <v>3470.3999999999996</v>
      </c>
      <c r="CD6" s="106">
        <v>3</v>
      </c>
      <c r="CE6" s="106">
        <v>1735.1999999999998</v>
      </c>
      <c r="CF6" s="106">
        <v>24</v>
      </c>
      <c r="CG6" s="106">
        <v>13881.599999999999</v>
      </c>
      <c r="CH6" s="106">
        <v>23</v>
      </c>
      <c r="CI6" s="106">
        <v>13303.199999999999</v>
      </c>
      <c r="CJ6" s="106">
        <v>43</v>
      </c>
      <c r="CK6" s="106">
        <v>24871.200000000001</v>
      </c>
      <c r="CL6" s="106">
        <v>32</v>
      </c>
      <c r="CM6" s="106">
        <v>18508.8</v>
      </c>
      <c r="CN6" s="106">
        <v>11</v>
      </c>
      <c r="CO6" s="106">
        <v>6362.4</v>
      </c>
      <c r="CP6" s="106">
        <v>6</v>
      </c>
      <c r="CQ6" s="106">
        <v>3470.3999999999996</v>
      </c>
      <c r="CR6" s="106">
        <v>11</v>
      </c>
      <c r="CS6" s="106">
        <v>6362.4</v>
      </c>
      <c r="CT6" s="106">
        <v>8</v>
      </c>
      <c r="CU6" s="106">
        <v>4627.2</v>
      </c>
    </row>
    <row r="7" spans="1:99" x14ac:dyDescent="0.2">
      <c r="C7" s="105" t="s">
        <v>173</v>
      </c>
      <c r="D7" s="106">
        <v>2</v>
      </c>
      <c r="E7" s="106">
        <v>1576.8</v>
      </c>
      <c r="F7" s="106">
        <v>2</v>
      </c>
      <c r="G7" s="106">
        <v>1576.8</v>
      </c>
      <c r="H7" s="106">
        <v>4</v>
      </c>
      <c r="I7" s="106">
        <v>3153.6</v>
      </c>
      <c r="J7" s="106">
        <v>4</v>
      </c>
      <c r="K7" s="106">
        <v>3153.6</v>
      </c>
      <c r="L7" s="106">
        <v>2</v>
      </c>
      <c r="M7" s="106">
        <v>1576.8</v>
      </c>
      <c r="N7" s="106">
        <v>2</v>
      </c>
      <c r="O7" s="106">
        <v>1576.8</v>
      </c>
      <c r="P7" s="106">
        <v>4</v>
      </c>
      <c r="Q7" s="106">
        <v>3153.6</v>
      </c>
      <c r="R7" s="106">
        <v>3</v>
      </c>
      <c r="S7" s="106">
        <v>2365.1999999999998</v>
      </c>
      <c r="T7" s="106">
        <v>5</v>
      </c>
      <c r="U7" s="106">
        <v>3942</v>
      </c>
      <c r="V7" s="106">
        <v>4</v>
      </c>
      <c r="W7" s="106">
        <v>3153.6</v>
      </c>
      <c r="X7" s="106">
        <v>5</v>
      </c>
      <c r="Y7" s="106">
        <v>3942</v>
      </c>
      <c r="Z7" s="106">
        <v>7</v>
      </c>
      <c r="AA7" s="106">
        <v>5518.8</v>
      </c>
      <c r="AB7" s="106">
        <v>20</v>
      </c>
      <c r="AC7" s="106">
        <v>15768</v>
      </c>
      <c r="AD7" s="106">
        <v>27</v>
      </c>
      <c r="AE7" s="106">
        <v>21286.799999999999</v>
      </c>
      <c r="AF7" s="106">
        <v>19</v>
      </c>
      <c r="AG7" s="106">
        <v>14979.6</v>
      </c>
      <c r="AH7" s="106">
        <v>23</v>
      </c>
      <c r="AI7" s="106">
        <v>18133.2</v>
      </c>
      <c r="AJ7" s="106">
        <v>4</v>
      </c>
      <c r="AK7" s="106">
        <v>3153.6</v>
      </c>
      <c r="AL7" s="106">
        <v>3</v>
      </c>
      <c r="AM7" s="106">
        <v>2365.1999999999998</v>
      </c>
      <c r="AN7" s="106">
        <v>5</v>
      </c>
      <c r="AO7" s="106">
        <v>3942</v>
      </c>
      <c r="AP7" s="106">
        <v>4</v>
      </c>
      <c r="AQ7" s="106">
        <v>3153.6</v>
      </c>
      <c r="AR7" s="106">
        <v>14</v>
      </c>
      <c r="AS7" s="106">
        <v>11037.6</v>
      </c>
      <c r="AT7" s="106">
        <v>13</v>
      </c>
      <c r="AU7" s="106">
        <v>10249.199999999999</v>
      </c>
      <c r="AV7" s="106">
        <v>11</v>
      </c>
      <c r="AW7" s="106">
        <v>8672.4</v>
      </c>
      <c r="AX7" s="106">
        <v>15</v>
      </c>
      <c r="AY7" s="106">
        <v>11826</v>
      </c>
      <c r="AZ7" s="106">
        <v>3</v>
      </c>
      <c r="BA7" s="106">
        <v>2365.1999999999998</v>
      </c>
      <c r="BB7" s="106">
        <v>5</v>
      </c>
      <c r="BC7" s="106">
        <v>3942</v>
      </c>
      <c r="BD7" s="106">
        <v>3</v>
      </c>
      <c r="BE7" s="106">
        <v>2365.1999999999998</v>
      </c>
      <c r="BF7" s="106">
        <v>6</v>
      </c>
      <c r="BG7" s="106">
        <v>4730.3999999999996</v>
      </c>
      <c r="BH7" s="106">
        <v>9</v>
      </c>
      <c r="BI7" s="106">
        <v>7095.5999999999995</v>
      </c>
      <c r="BJ7" s="106">
        <v>7</v>
      </c>
      <c r="BK7" s="106">
        <v>5518.8</v>
      </c>
      <c r="BL7" s="106">
        <v>4</v>
      </c>
      <c r="BM7" s="106">
        <v>3153.6</v>
      </c>
      <c r="BN7" s="106">
        <v>8</v>
      </c>
      <c r="BO7" s="106">
        <v>6307.2</v>
      </c>
      <c r="BP7" s="106">
        <v>34</v>
      </c>
      <c r="BQ7" s="106">
        <v>26805.599999999999</v>
      </c>
      <c r="BR7" s="106">
        <v>29</v>
      </c>
      <c r="BS7" s="106">
        <v>22863.599999999999</v>
      </c>
      <c r="BT7" s="106">
        <v>24</v>
      </c>
      <c r="BU7" s="106">
        <v>18921.599999999999</v>
      </c>
      <c r="BV7" s="106">
        <v>46</v>
      </c>
      <c r="BW7" s="106">
        <v>36266.400000000001</v>
      </c>
      <c r="BX7" s="106">
        <v>5</v>
      </c>
      <c r="BY7" s="106">
        <v>3942</v>
      </c>
      <c r="BZ7" s="106">
        <v>3</v>
      </c>
      <c r="CA7" s="106">
        <v>2365.1999999999998</v>
      </c>
      <c r="CB7" s="106">
        <v>5</v>
      </c>
      <c r="CC7" s="106">
        <v>3942</v>
      </c>
      <c r="CD7" s="106">
        <v>4</v>
      </c>
      <c r="CE7" s="106">
        <v>3153.6</v>
      </c>
      <c r="CF7" s="106">
        <v>25</v>
      </c>
      <c r="CG7" s="106">
        <v>19710</v>
      </c>
      <c r="CH7" s="106">
        <v>23</v>
      </c>
      <c r="CI7" s="106">
        <v>18133.2</v>
      </c>
      <c r="CJ7" s="106">
        <v>35</v>
      </c>
      <c r="CK7" s="106">
        <v>27594</v>
      </c>
      <c r="CL7" s="106">
        <v>29</v>
      </c>
      <c r="CM7" s="106">
        <v>22863.599999999999</v>
      </c>
      <c r="CN7" s="106">
        <v>11</v>
      </c>
      <c r="CO7" s="106">
        <v>8672.4</v>
      </c>
      <c r="CP7" s="106">
        <v>6</v>
      </c>
      <c r="CQ7" s="106">
        <v>4730.3999999999996</v>
      </c>
      <c r="CR7" s="106">
        <v>11</v>
      </c>
      <c r="CS7" s="106">
        <v>8672.4</v>
      </c>
      <c r="CT7" s="106">
        <v>8</v>
      </c>
      <c r="CU7" s="106">
        <v>6307.2</v>
      </c>
    </row>
    <row r="8" spans="1:99" x14ac:dyDescent="0.2">
      <c r="C8" s="105" t="s">
        <v>174</v>
      </c>
      <c r="D8" s="106">
        <v>2</v>
      </c>
      <c r="E8" s="106">
        <v>619.19999999999993</v>
      </c>
      <c r="F8" s="106">
        <v>2</v>
      </c>
      <c r="G8" s="106">
        <v>619.19999999999993</v>
      </c>
      <c r="H8" s="106">
        <v>4</v>
      </c>
      <c r="I8" s="106">
        <v>1238.3999999999999</v>
      </c>
      <c r="J8" s="106">
        <v>4</v>
      </c>
      <c r="K8" s="106">
        <v>1238.3999999999999</v>
      </c>
      <c r="L8" s="106">
        <v>2</v>
      </c>
      <c r="M8" s="106">
        <v>619.19999999999993</v>
      </c>
      <c r="N8" s="106">
        <v>2</v>
      </c>
      <c r="O8" s="106">
        <v>619.19999999999993</v>
      </c>
      <c r="P8" s="106">
        <v>4</v>
      </c>
      <c r="Q8" s="106">
        <v>1238.3999999999999</v>
      </c>
      <c r="R8" s="106">
        <v>4</v>
      </c>
      <c r="S8" s="106">
        <v>1238.3999999999999</v>
      </c>
      <c r="T8" s="106">
        <v>6</v>
      </c>
      <c r="U8" s="106">
        <v>1857.6</v>
      </c>
      <c r="V8" s="106">
        <v>4</v>
      </c>
      <c r="W8" s="106">
        <v>1238.3999999999999</v>
      </c>
      <c r="X8" s="106">
        <v>5</v>
      </c>
      <c r="Y8" s="106">
        <v>1547.9999999999998</v>
      </c>
      <c r="Z8" s="106">
        <v>7</v>
      </c>
      <c r="AA8" s="106">
        <v>2167.1999999999998</v>
      </c>
      <c r="AB8" s="106">
        <v>21</v>
      </c>
      <c r="AC8" s="106">
        <v>6501.5999999999995</v>
      </c>
      <c r="AD8" s="106">
        <v>27</v>
      </c>
      <c r="AE8" s="106">
        <v>8359.1999999999989</v>
      </c>
      <c r="AF8" s="106">
        <v>21</v>
      </c>
      <c r="AG8" s="106">
        <v>6501.5999999999995</v>
      </c>
      <c r="AH8" s="106">
        <v>24</v>
      </c>
      <c r="AI8" s="106">
        <v>7430.4</v>
      </c>
      <c r="AJ8" s="106">
        <v>4</v>
      </c>
      <c r="AK8" s="106">
        <v>1238.3999999999999</v>
      </c>
      <c r="AL8" s="106">
        <v>3</v>
      </c>
      <c r="AM8" s="106">
        <v>928.8</v>
      </c>
      <c r="AN8" s="106">
        <v>5</v>
      </c>
      <c r="AO8" s="106">
        <v>1547.9999999999998</v>
      </c>
      <c r="AP8" s="106">
        <v>4</v>
      </c>
      <c r="AQ8" s="106">
        <v>1238.3999999999999</v>
      </c>
      <c r="AR8" s="106">
        <v>14</v>
      </c>
      <c r="AS8" s="106">
        <v>4334.3999999999996</v>
      </c>
      <c r="AT8" s="106">
        <v>14</v>
      </c>
      <c r="AU8" s="106">
        <v>4334.3999999999996</v>
      </c>
      <c r="AV8" s="106">
        <v>14</v>
      </c>
      <c r="AW8" s="106">
        <v>4334.3999999999996</v>
      </c>
      <c r="AX8" s="106">
        <v>16</v>
      </c>
      <c r="AY8" s="106">
        <v>4953.5999999999995</v>
      </c>
      <c r="AZ8" s="106">
        <v>3</v>
      </c>
      <c r="BA8" s="106">
        <v>928.8</v>
      </c>
      <c r="BB8" s="106">
        <v>5</v>
      </c>
      <c r="BC8" s="106">
        <v>1547.9999999999998</v>
      </c>
      <c r="BD8" s="106">
        <v>3</v>
      </c>
      <c r="BE8" s="106">
        <v>928.8</v>
      </c>
      <c r="BF8" s="106">
        <v>6</v>
      </c>
      <c r="BG8" s="106">
        <v>1857.6</v>
      </c>
      <c r="BH8" s="106">
        <v>8</v>
      </c>
      <c r="BI8" s="106">
        <v>2476.7999999999997</v>
      </c>
      <c r="BJ8" s="106">
        <v>7</v>
      </c>
      <c r="BK8" s="106">
        <v>2167.1999999999998</v>
      </c>
      <c r="BL8" s="106">
        <v>5</v>
      </c>
      <c r="BM8" s="106">
        <v>1547.9999999999998</v>
      </c>
      <c r="BN8" s="106">
        <v>8</v>
      </c>
      <c r="BO8" s="106">
        <v>2476.7999999999997</v>
      </c>
      <c r="BP8" s="106">
        <v>37</v>
      </c>
      <c r="BQ8" s="106">
        <v>11455.199999999999</v>
      </c>
      <c r="BR8" s="106">
        <v>37</v>
      </c>
      <c r="BS8" s="106">
        <v>11455.199999999999</v>
      </c>
      <c r="BT8" s="106">
        <v>26</v>
      </c>
      <c r="BU8" s="106">
        <v>8049.5999999999995</v>
      </c>
      <c r="BV8" s="106">
        <v>42</v>
      </c>
      <c r="BW8" s="106">
        <v>13003.199999999999</v>
      </c>
      <c r="BX8" s="106">
        <v>5</v>
      </c>
      <c r="BY8" s="106">
        <v>1547.9999999999998</v>
      </c>
      <c r="BZ8" s="106">
        <v>3</v>
      </c>
      <c r="CA8" s="106">
        <v>928.8</v>
      </c>
      <c r="CB8" s="106">
        <v>6</v>
      </c>
      <c r="CC8" s="106">
        <v>1857.6</v>
      </c>
      <c r="CD8" s="106">
        <v>3</v>
      </c>
      <c r="CE8" s="106">
        <v>928.8</v>
      </c>
      <c r="CF8" s="106">
        <v>26</v>
      </c>
      <c r="CG8" s="106">
        <v>8049.5999999999995</v>
      </c>
      <c r="CH8" s="106">
        <v>22</v>
      </c>
      <c r="CI8" s="106">
        <v>6811.1999999999989</v>
      </c>
      <c r="CJ8" s="106">
        <v>45</v>
      </c>
      <c r="CK8" s="106">
        <v>13931.999999999998</v>
      </c>
      <c r="CL8" s="106">
        <v>35</v>
      </c>
      <c r="CM8" s="106">
        <v>10835.999999999998</v>
      </c>
      <c r="CN8" s="106">
        <v>12</v>
      </c>
      <c r="CO8" s="106">
        <v>3715.2</v>
      </c>
      <c r="CP8" s="106">
        <v>7</v>
      </c>
      <c r="CQ8" s="106">
        <v>2167.1999999999998</v>
      </c>
      <c r="CR8" s="106">
        <v>12</v>
      </c>
      <c r="CS8" s="106">
        <v>3715.2</v>
      </c>
      <c r="CT8" s="106">
        <v>9</v>
      </c>
      <c r="CU8" s="106">
        <v>2786.3999999999996</v>
      </c>
    </row>
    <row r="9" spans="1:99" x14ac:dyDescent="0.2">
      <c r="C9" s="105" t="s">
        <v>175</v>
      </c>
      <c r="D9" s="106">
        <v>2</v>
      </c>
      <c r="E9" s="106">
        <v>1404</v>
      </c>
      <c r="F9" s="106">
        <v>2</v>
      </c>
      <c r="G9" s="106">
        <v>1404</v>
      </c>
      <c r="H9" s="106">
        <v>4</v>
      </c>
      <c r="I9" s="106">
        <v>2808</v>
      </c>
      <c r="J9" s="106">
        <v>4</v>
      </c>
      <c r="K9" s="106">
        <v>2808</v>
      </c>
      <c r="L9" s="106">
        <v>2</v>
      </c>
      <c r="M9" s="106">
        <v>1404</v>
      </c>
      <c r="N9" s="106">
        <v>2</v>
      </c>
      <c r="O9" s="106">
        <v>1404</v>
      </c>
      <c r="P9" s="106">
        <v>4</v>
      </c>
      <c r="Q9" s="106">
        <v>2808</v>
      </c>
      <c r="R9" s="106">
        <v>3</v>
      </c>
      <c r="S9" s="106">
        <v>2106</v>
      </c>
      <c r="T9" s="106">
        <v>5</v>
      </c>
      <c r="U9" s="106">
        <v>3510</v>
      </c>
      <c r="V9" s="106">
        <v>4</v>
      </c>
      <c r="W9" s="106">
        <v>2808</v>
      </c>
      <c r="X9" s="106">
        <v>5</v>
      </c>
      <c r="Y9" s="106">
        <v>3510</v>
      </c>
      <c r="Z9" s="106">
        <v>7</v>
      </c>
      <c r="AA9" s="106">
        <v>4914</v>
      </c>
      <c r="AB9" s="106">
        <v>19</v>
      </c>
      <c r="AC9" s="106">
        <v>13338</v>
      </c>
      <c r="AD9" s="106">
        <v>28</v>
      </c>
      <c r="AE9" s="106">
        <v>19656</v>
      </c>
      <c r="AF9" s="106">
        <v>21</v>
      </c>
      <c r="AG9" s="106">
        <v>14742</v>
      </c>
      <c r="AH9" s="106">
        <v>22</v>
      </c>
      <c r="AI9" s="106">
        <v>15444</v>
      </c>
      <c r="AJ9" s="106">
        <v>3</v>
      </c>
      <c r="AK9" s="106">
        <v>2106</v>
      </c>
      <c r="AL9" s="106">
        <v>2</v>
      </c>
      <c r="AM9" s="106">
        <v>1404</v>
      </c>
      <c r="AN9" s="106">
        <v>5</v>
      </c>
      <c r="AO9" s="106">
        <v>3510</v>
      </c>
      <c r="AP9" s="106">
        <v>4</v>
      </c>
      <c r="AQ9" s="106">
        <v>2808</v>
      </c>
      <c r="AR9" s="106">
        <v>14</v>
      </c>
      <c r="AS9" s="106">
        <v>9828</v>
      </c>
      <c r="AT9" s="106">
        <v>14</v>
      </c>
      <c r="AU9" s="106">
        <v>9828</v>
      </c>
      <c r="AV9" s="106">
        <v>13</v>
      </c>
      <c r="AW9" s="106">
        <v>9126</v>
      </c>
      <c r="AX9" s="106">
        <v>15</v>
      </c>
      <c r="AY9" s="106">
        <v>10530</v>
      </c>
      <c r="AZ9" s="106">
        <v>3</v>
      </c>
      <c r="BA9" s="106">
        <v>2106</v>
      </c>
      <c r="BB9" s="106">
        <v>4</v>
      </c>
      <c r="BC9" s="106">
        <v>2808</v>
      </c>
      <c r="BD9" s="106">
        <v>3</v>
      </c>
      <c r="BE9" s="106">
        <v>2106</v>
      </c>
      <c r="BF9" s="106">
        <v>5</v>
      </c>
      <c r="BG9" s="106">
        <v>3510</v>
      </c>
      <c r="BH9" s="106">
        <v>8</v>
      </c>
      <c r="BI9" s="106">
        <v>5616</v>
      </c>
      <c r="BJ9" s="106">
        <v>7</v>
      </c>
      <c r="BK9" s="106">
        <v>4914</v>
      </c>
      <c r="BL9" s="106">
        <v>5</v>
      </c>
      <c r="BM9" s="106">
        <v>3510</v>
      </c>
      <c r="BN9" s="106">
        <v>9</v>
      </c>
      <c r="BO9" s="106">
        <v>6318</v>
      </c>
      <c r="BP9" s="106">
        <v>29</v>
      </c>
      <c r="BQ9" s="106">
        <v>20358</v>
      </c>
      <c r="BR9" s="106">
        <v>32</v>
      </c>
      <c r="BS9" s="106">
        <v>22464</v>
      </c>
      <c r="BT9" s="106">
        <v>23</v>
      </c>
      <c r="BU9" s="106">
        <v>16146</v>
      </c>
      <c r="BV9" s="106">
        <v>38</v>
      </c>
      <c r="BW9" s="106">
        <v>26676</v>
      </c>
      <c r="BX9" s="106">
        <v>4</v>
      </c>
      <c r="BY9" s="106">
        <v>2808</v>
      </c>
      <c r="BZ9" s="106">
        <v>3</v>
      </c>
      <c r="CA9" s="106">
        <v>2106</v>
      </c>
      <c r="CB9" s="106">
        <v>5</v>
      </c>
      <c r="CC9" s="106">
        <v>3510</v>
      </c>
      <c r="CD9" s="106">
        <v>4</v>
      </c>
      <c r="CE9" s="106">
        <v>2808</v>
      </c>
      <c r="CF9" s="106">
        <v>24</v>
      </c>
      <c r="CG9" s="106">
        <v>16848</v>
      </c>
      <c r="CH9" s="106">
        <v>20</v>
      </c>
      <c r="CI9" s="106">
        <v>14040</v>
      </c>
      <c r="CJ9" s="106">
        <v>38</v>
      </c>
      <c r="CK9" s="106">
        <v>26676</v>
      </c>
      <c r="CL9" s="106">
        <v>30</v>
      </c>
      <c r="CM9" s="106">
        <v>21060</v>
      </c>
      <c r="CN9" s="106">
        <v>11</v>
      </c>
      <c r="CO9" s="106">
        <v>7722</v>
      </c>
      <c r="CP9" s="106">
        <v>6</v>
      </c>
      <c r="CQ9" s="106">
        <v>4212</v>
      </c>
      <c r="CR9" s="106">
        <v>11</v>
      </c>
      <c r="CS9" s="106">
        <v>7722</v>
      </c>
      <c r="CT9" s="106">
        <v>8</v>
      </c>
      <c r="CU9" s="106">
        <v>5616</v>
      </c>
    </row>
    <row r="10" spans="1:99" x14ac:dyDescent="0.2">
      <c r="C10" s="105" t="s">
        <v>176</v>
      </c>
      <c r="D10" s="106">
        <v>2</v>
      </c>
      <c r="E10" s="106">
        <v>1089.5999999999999</v>
      </c>
      <c r="F10" s="106">
        <v>2</v>
      </c>
      <c r="G10" s="106">
        <v>1089.5999999999999</v>
      </c>
      <c r="H10" s="106">
        <v>3</v>
      </c>
      <c r="I10" s="106">
        <v>1634.3999999999999</v>
      </c>
      <c r="J10" s="106">
        <v>4</v>
      </c>
      <c r="K10" s="106">
        <v>2179.1999999999998</v>
      </c>
      <c r="L10" s="106">
        <v>2</v>
      </c>
      <c r="M10" s="106">
        <v>1089.5999999999999</v>
      </c>
      <c r="N10" s="106">
        <v>2</v>
      </c>
      <c r="O10" s="106">
        <v>1089.5999999999999</v>
      </c>
      <c r="P10" s="106">
        <v>4</v>
      </c>
      <c r="Q10" s="106">
        <v>2179.1999999999998</v>
      </c>
      <c r="R10" s="106">
        <v>4</v>
      </c>
      <c r="S10" s="106">
        <v>2179.1999999999998</v>
      </c>
      <c r="T10" s="106">
        <v>5</v>
      </c>
      <c r="U10" s="106">
        <v>2724</v>
      </c>
      <c r="V10" s="106">
        <v>4</v>
      </c>
      <c r="W10" s="106">
        <v>2179.1999999999998</v>
      </c>
      <c r="X10" s="106">
        <v>5</v>
      </c>
      <c r="Y10" s="106">
        <v>2724</v>
      </c>
      <c r="Z10" s="106">
        <v>7</v>
      </c>
      <c r="AA10" s="106">
        <v>3813.5999999999995</v>
      </c>
      <c r="AB10" s="106">
        <v>19</v>
      </c>
      <c r="AC10" s="106">
        <v>10351.199999999999</v>
      </c>
      <c r="AD10" s="106">
        <v>24</v>
      </c>
      <c r="AE10" s="106">
        <v>13075.199999999999</v>
      </c>
      <c r="AF10" s="106">
        <v>18</v>
      </c>
      <c r="AG10" s="106">
        <v>9806.4</v>
      </c>
      <c r="AH10" s="106">
        <v>21</v>
      </c>
      <c r="AI10" s="106">
        <v>11440.8</v>
      </c>
      <c r="AJ10" s="106">
        <v>4</v>
      </c>
      <c r="AK10" s="106">
        <v>2179.1999999999998</v>
      </c>
      <c r="AL10" s="106">
        <v>3</v>
      </c>
      <c r="AM10" s="106">
        <v>1634.3999999999999</v>
      </c>
      <c r="AN10" s="106">
        <v>5</v>
      </c>
      <c r="AO10" s="106">
        <v>2724</v>
      </c>
      <c r="AP10" s="106">
        <v>5</v>
      </c>
      <c r="AQ10" s="106">
        <v>2724</v>
      </c>
      <c r="AR10" s="106">
        <v>14</v>
      </c>
      <c r="AS10" s="106">
        <v>7627.1999999999989</v>
      </c>
      <c r="AT10" s="106">
        <v>15</v>
      </c>
      <c r="AU10" s="106">
        <v>8171.9999999999991</v>
      </c>
      <c r="AV10" s="106">
        <v>14</v>
      </c>
      <c r="AW10" s="106">
        <v>7627.1999999999989</v>
      </c>
      <c r="AX10" s="106">
        <v>17</v>
      </c>
      <c r="AY10" s="106">
        <v>9261.5999999999985</v>
      </c>
      <c r="AZ10" s="106">
        <v>4</v>
      </c>
      <c r="BA10" s="106">
        <v>2179.1999999999998</v>
      </c>
      <c r="BB10" s="106">
        <v>5</v>
      </c>
      <c r="BC10" s="106">
        <v>2724</v>
      </c>
      <c r="BD10" s="106">
        <v>3</v>
      </c>
      <c r="BE10" s="106">
        <v>1634.3999999999999</v>
      </c>
      <c r="BF10" s="106">
        <v>5</v>
      </c>
      <c r="BG10" s="106">
        <v>2724</v>
      </c>
      <c r="BH10" s="106">
        <v>9</v>
      </c>
      <c r="BI10" s="106">
        <v>4903.2</v>
      </c>
      <c r="BJ10" s="106">
        <v>7</v>
      </c>
      <c r="BK10" s="106">
        <v>3813.5999999999995</v>
      </c>
      <c r="BL10" s="106">
        <v>5</v>
      </c>
      <c r="BM10" s="106">
        <v>2724</v>
      </c>
      <c r="BN10" s="106">
        <v>8</v>
      </c>
      <c r="BO10" s="106">
        <v>4358.3999999999996</v>
      </c>
      <c r="BP10" s="106">
        <v>36</v>
      </c>
      <c r="BQ10" s="106">
        <v>19612.8</v>
      </c>
      <c r="BR10" s="106">
        <v>32</v>
      </c>
      <c r="BS10" s="106">
        <v>17433.599999999999</v>
      </c>
      <c r="BT10" s="106">
        <v>23</v>
      </c>
      <c r="BU10" s="106">
        <v>12530.4</v>
      </c>
      <c r="BV10" s="106">
        <v>43</v>
      </c>
      <c r="BW10" s="106">
        <v>23426.399999999998</v>
      </c>
      <c r="BX10" s="106">
        <v>4</v>
      </c>
      <c r="BY10" s="106">
        <v>2179.1999999999998</v>
      </c>
      <c r="BZ10" s="106">
        <v>3</v>
      </c>
      <c r="CA10" s="106">
        <v>1634.3999999999999</v>
      </c>
      <c r="CB10" s="106">
        <v>5</v>
      </c>
      <c r="CC10" s="106">
        <v>2724</v>
      </c>
      <c r="CD10" s="106">
        <v>3</v>
      </c>
      <c r="CE10" s="106">
        <v>1634.3999999999999</v>
      </c>
      <c r="CF10" s="106">
        <v>25</v>
      </c>
      <c r="CG10" s="106">
        <v>13619.999999999998</v>
      </c>
      <c r="CH10" s="106">
        <v>23</v>
      </c>
      <c r="CI10" s="106">
        <v>12530.4</v>
      </c>
      <c r="CJ10" s="106">
        <v>40</v>
      </c>
      <c r="CK10" s="106">
        <v>21792</v>
      </c>
      <c r="CL10" s="106">
        <v>35</v>
      </c>
      <c r="CM10" s="106">
        <v>19068</v>
      </c>
      <c r="CN10" s="106">
        <v>10</v>
      </c>
      <c r="CO10" s="106">
        <v>5448</v>
      </c>
      <c r="CP10" s="106">
        <v>7</v>
      </c>
      <c r="CQ10" s="106">
        <v>3813.5999999999995</v>
      </c>
      <c r="CR10" s="106">
        <v>10</v>
      </c>
      <c r="CS10" s="106">
        <v>5448</v>
      </c>
      <c r="CT10" s="106">
        <v>7</v>
      </c>
      <c r="CU10" s="106">
        <v>3813.5999999999995</v>
      </c>
    </row>
    <row r="11" spans="1:99" x14ac:dyDescent="0.2">
      <c r="C11" s="105" t="s">
        <v>177</v>
      </c>
      <c r="D11" s="106">
        <v>2</v>
      </c>
      <c r="E11" s="106">
        <v>1065.5999999999999</v>
      </c>
      <c r="F11" s="106">
        <v>2</v>
      </c>
      <c r="G11" s="106">
        <v>1065.5999999999999</v>
      </c>
      <c r="H11" s="106">
        <v>3</v>
      </c>
      <c r="I11" s="106">
        <v>1598.3999999999999</v>
      </c>
      <c r="J11" s="106">
        <v>3</v>
      </c>
      <c r="K11" s="106">
        <v>1598.3999999999999</v>
      </c>
      <c r="L11" s="106">
        <v>2</v>
      </c>
      <c r="M11" s="106">
        <v>1065.5999999999999</v>
      </c>
      <c r="N11" s="106">
        <v>2</v>
      </c>
      <c r="O11" s="106">
        <v>1065.5999999999999</v>
      </c>
      <c r="P11" s="106">
        <v>3</v>
      </c>
      <c r="Q11" s="106">
        <v>1598.3999999999999</v>
      </c>
      <c r="R11" s="106">
        <v>4</v>
      </c>
      <c r="S11" s="106">
        <v>2131.1999999999998</v>
      </c>
      <c r="T11" s="106">
        <v>5</v>
      </c>
      <c r="U11" s="106">
        <v>2664</v>
      </c>
      <c r="V11" s="106">
        <v>4</v>
      </c>
      <c r="W11" s="106">
        <v>2131.1999999999998</v>
      </c>
      <c r="X11" s="106">
        <v>5</v>
      </c>
      <c r="Y11" s="106">
        <v>2664</v>
      </c>
      <c r="Z11" s="106">
        <v>8</v>
      </c>
      <c r="AA11" s="106">
        <v>4262.3999999999996</v>
      </c>
      <c r="AB11" s="106">
        <v>22</v>
      </c>
      <c r="AC11" s="106">
        <v>11721.599999999999</v>
      </c>
      <c r="AD11" s="106">
        <v>26</v>
      </c>
      <c r="AE11" s="106">
        <v>13852.8</v>
      </c>
      <c r="AF11" s="106">
        <v>18</v>
      </c>
      <c r="AG11" s="106">
        <v>9590.4</v>
      </c>
      <c r="AH11" s="106">
        <v>25</v>
      </c>
      <c r="AI11" s="106">
        <v>13319.999999999998</v>
      </c>
      <c r="AJ11" s="106">
        <v>4</v>
      </c>
      <c r="AK11" s="106">
        <v>2131.1999999999998</v>
      </c>
      <c r="AL11" s="106">
        <v>3</v>
      </c>
      <c r="AM11" s="106">
        <v>1598.3999999999999</v>
      </c>
      <c r="AN11" s="106">
        <v>5</v>
      </c>
      <c r="AO11" s="106">
        <v>2664</v>
      </c>
      <c r="AP11" s="106">
        <v>5</v>
      </c>
      <c r="AQ11" s="106">
        <v>2664</v>
      </c>
      <c r="AR11" s="106">
        <v>13</v>
      </c>
      <c r="AS11" s="106">
        <v>6926.4</v>
      </c>
      <c r="AT11" s="106">
        <v>15</v>
      </c>
      <c r="AU11" s="106">
        <v>7991.9999999999991</v>
      </c>
      <c r="AV11" s="106">
        <v>14</v>
      </c>
      <c r="AW11" s="106">
        <v>7459.1999999999989</v>
      </c>
      <c r="AX11" s="106">
        <v>16</v>
      </c>
      <c r="AY11" s="106">
        <v>8524.7999999999993</v>
      </c>
      <c r="AZ11" s="106">
        <v>4</v>
      </c>
      <c r="BA11" s="106">
        <v>2131.1999999999998</v>
      </c>
      <c r="BB11" s="106">
        <v>4</v>
      </c>
      <c r="BC11" s="106">
        <v>2131.1999999999998</v>
      </c>
      <c r="BD11" s="106">
        <v>3</v>
      </c>
      <c r="BE11" s="106">
        <v>1598.3999999999999</v>
      </c>
      <c r="BF11" s="106">
        <v>5</v>
      </c>
      <c r="BG11" s="106">
        <v>2664</v>
      </c>
      <c r="BH11" s="106">
        <v>8</v>
      </c>
      <c r="BI11" s="106">
        <v>4262.3999999999996</v>
      </c>
      <c r="BJ11" s="106">
        <v>7</v>
      </c>
      <c r="BK11" s="106">
        <v>3729.5999999999995</v>
      </c>
      <c r="BL11" s="106">
        <v>5</v>
      </c>
      <c r="BM11" s="106">
        <v>2664</v>
      </c>
      <c r="BN11" s="106">
        <v>8</v>
      </c>
      <c r="BO11" s="106">
        <v>4262.3999999999996</v>
      </c>
      <c r="BP11" s="106">
        <v>30</v>
      </c>
      <c r="BQ11" s="106">
        <v>15983.999999999998</v>
      </c>
      <c r="BR11" s="106">
        <v>35</v>
      </c>
      <c r="BS11" s="106">
        <v>18648</v>
      </c>
      <c r="BT11" s="106">
        <v>24</v>
      </c>
      <c r="BU11" s="106">
        <v>12787.199999999999</v>
      </c>
      <c r="BV11" s="106">
        <v>47</v>
      </c>
      <c r="BW11" s="106">
        <v>25041.599999999999</v>
      </c>
      <c r="BX11" s="106">
        <v>5</v>
      </c>
      <c r="BY11" s="106">
        <v>2664</v>
      </c>
      <c r="BZ11" s="106">
        <v>3</v>
      </c>
      <c r="CA11" s="106">
        <v>1598.3999999999999</v>
      </c>
      <c r="CB11" s="106">
        <v>5</v>
      </c>
      <c r="CC11" s="106">
        <v>2664</v>
      </c>
      <c r="CD11" s="106">
        <v>4</v>
      </c>
      <c r="CE11" s="106">
        <v>2131.1999999999998</v>
      </c>
      <c r="CF11" s="106">
        <v>23</v>
      </c>
      <c r="CG11" s="106">
        <v>12254.4</v>
      </c>
      <c r="CH11" s="106">
        <v>23</v>
      </c>
      <c r="CI11" s="106">
        <v>12254.4</v>
      </c>
      <c r="CJ11" s="106">
        <v>40</v>
      </c>
      <c r="CK11" s="106">
        <v>21312</v>
      </c>
      <c r="CL11" s="106">
        <v>33</v>
      </c>
      <c r="CM11" s="106">
        <v>17582.399999999998</v>
      </c>
      <c r="CN11" s="106">
        <v>10</v>
      </c>
      <c r="CO11" s="106">
        <v>5328</v>
      </c>
      <c r="CP11" s="106">
        <v>6</v>
      </c>
      <c r="CQ11" s="106">
        <v>3196.7999999999997</v>
      </c>
      <c r="CR11" s="106">
        <v>11</v>
      </c>
      <c r="CS11" s="106">
        <v>5860.7999999999993</v>
      </c>
      <c r="CT11" s="106">
        <v>8</v>
      </c>
      <c r="CU11" s="106">
        <v>4262.3999999999996</v>
      </c>
    </row>
    <row r="12" spans="1:99" x14ac:dyDescent="0.2">
      <c r="C12" s="105" t="s">
        <v>178</v>
      </c>
      <c r="D12" s="106">
        <v>2</v>
      </c>
      <c r="E12" s="106">
        <v>1125.5999999999999</v>
      </c>
      <c r="F12" s="106">
        <v>2</v>
      </c>
      <c r="G12" s="106">
        <v>1125.5999999999999</v>
      </c>
      <c r="H12" s="106">
        <v>3</v>
      </c>
      <c r="I12" s="106">
        <v>1688.3999999999999</v>
      </c>
      <c r="J12" s="106">
        <v>4</v>
      </c>
      <c r="K12" s="106">
        <v>2251.1999999999998</v>
      </c>
      <c r="L12" s="106">
        <v>2</v>
      </c>
      <c r="M12" s="106">
        <v>1125.5999999999999</v>
      </c>
      <c r="N12" s="106">
        <v>2</v>
      </c>
      <c r="O12" s="106">
        <v>1125.5999999999999</v>
      </c>
      <c r="P12" s="106">
        <v>4</v>
      </c>
      <c r="Q12" s="106">
        <v>2251.1999999999998</v>
      </c>
      <c r="R12" s="106">
        <v>4</v>
      </c>
      <c r="S12" s="106">
        <v>2251.1999999999998</v>
      </c>
      <c r="T12" s="106">
        <v>5</v>
      </c>
      <c r="U12" s="106">
        <v>2814</v>
      </c>
      <c r="V12" s="106">
        <v>4</v>
      </c>
      <c r="W12" s="106">
        <v>2251.1999999999998</v>
      </c>
      <c r="X12" s="106">
        <v>5</v>
      </c>
      <c r="Y12" s="106">
        <v>2814</v>
      </c>
      <c r="Z12" s="106">
        <v>6</v>
      </c>
      <c r="AA12" s="106">
        <v>3376.7999999999997</v>
      </c>
      <c r="AB12" s="106">
        <v>18</v>
      </c>
      <c r="AC12" s="106">
        <v>10130.4</v>
      </c>
      <c r="AD12" s="106">
        <v>28</v>
      </c>
      <c r="AE12" s="106">
        <v>15758.399999999998</v>
      </c>
      <c r="AF12" s="106">
        <v>21</v>
      </c>
      <c r="AG12" s="106">
        <v>11818.8</v>
      </c>
      <c r="AH12" s="106">
        <v>23</v>
      </c>
      <c r="AI12" s="106">
        <v>12944.4</v>
      </c>
      <c r="AJ12" s="106">
        <v>3</v>
      </c>
      <c r="AK12" s="106">
        <v>1688.3999999999999</v>
      </c>
      <c r="AL12" s="106">
        <v>2</v>
      </c>
      <c r="AM12" s="106">
        <v>1125.5999999999999</v>
      </c>
      <c r="AN12" s="106">
        <v>5</v>
      </c>
      <c r="AO12" s="106">
        <v>2814</v>
      </c>
      <c r="AP12" s="106">
        <v>5</v>
      </c>
      <c r="AQ12" s="106">
        <v>2814</v>
      </c>
      <c r="AR12" s="106">
        <v>15</v>
      </c>
      <c r="AS12" s="106">
        <v>8442</v>
      </c>
      <c r="AT12" s="106">
        <v>15</v>
      </c>
      <c r="AU12" s="106">
        <v>8442</v>
      </c>
      <c r="AV12" s="106">
        <v>14</v>
      </c>
      <c r="AW12" s="106">
        <v>7879.1999999999989</v>
      </c>
      <c r="AX12" s="106">
        <v>16</v>
      </c>
      <c r="AY12" s="106">
        <v>9004.7999999999993</v>
      </c>
      <c r="AZ12" s="106">
        <v>4</v>
      </c>
      <c r="BA12" s="106">
        <v>2251.1999999999998</v>
      </c>
      <c r="BB12" s="106">
        <v>4</v>
      </c>
      <c r="BC12" s="106">
        <v>2251.1999999999998</v>
      </c>
      <c r="BD12" s="106">
        <v>3</v>
      </c>
      <c r="BE12" s="106">
        <v>1688.3999999999999</v>
      </c>
      <c r="BF12" s="106">
        <v>5</v>
      </c>
      <c r="BG12" s="106">
        <v>2814</v>
      </c>
      <c r="BH12" s="106">
        <v>8</v>
      </c>
      <c r="BI12" s="106">
        <v>4502.3999999999996</v>
      </c>
      <c r="BJ12" s="106">
        <v>7</v>
      </c>
      <c r="BK12" s="106">
        <v>3939.5999999999995</v>
      </c>
      <c r="BL12" s="106">
        <v>4</v>
      </c>
      <c r="BM12" s="106">
        <v>2251.1999999999998</v>
      </c>
      <c r="BN12" s="106">
        <v>8</v>
      </c>
      <c r="BO12" s="106">
        <v>4502.3999999999996</v>
      </c>
      <c r="BP12" s="106">
        <v>36</v>
      </c>
      <c r="BQ12" s="106">
        <v>20260.8</v>
      </c>
      <c r="BR12" s="106">
        <v>31</v>
      </c>
      <c r="BS12" s="106">
        <v>17446.8</v>
      </c>
      <c r="BT12" s="106">
        <v>28</v>
      </c>
      <c r="BU12" s="106">
        <v>15758.399999999998</v>
      </c>
      <c r="BV12" s="106">
        <v>39</v>
      </c>
      <c r="BW12" s="106">
        <v>21949.199999999997</v>
      </c>
      <c r="BX12" s="106">
        <v>5</v>
      </c>
      <c r="BY12" s="106">
        <v>2814</v>
      </c>
      <c r="BZ12" s="106">
        <v>3</v>
      </c>
      <c r="CA12" s="106">
        <v>1688.3999999999999</v>
      </c>
      <c r="CB12" s="106">
        <v>5</v>
      </c>
      <c r="CC12" s="106">
        <v>2814</v>
      </c>
      <c r="CD12" s="106">
        <v>3</v>
      </c>
      <c r="CE12" s="106">
        <v>1688.3999999999999</v>
      </c>
      <c r="CF12" s="106">
        <v>25</v>
      </c>
      <c r="CG12" s="106">
        <v>14069.999999999998</v>
      </c>
      <c r="CH12" s="106">
        <v>24</v>
      </c>
      <c r="CI12" s="106">
        <v>13507.199999999999</v>
      </c>
      <c r="CJ12" s="106">
        <v>36</v>
      </c>
      <c r="CK12" s="106">
        <v>20260.8</v>
      </c>
      <c r="CL12" s="106">
        <v>32</v>
      </c>
      <c r="CM12" s="106">
        <v>18009.599999999999</v>
      </c>
      <c r="CN12" s="106">
        <v>11</v>
      </c>
      <c r="CO12" s="106">
        <v>6190.7999999999993</v>
      </c>
      <c r="CP12" s="106">
        <v>6</v>
      </c>
      <c r="CQ12" s="106">
        <v>3376.7999999999997</v>
      </c>
      <c r="CR12" s="106">
        <v>10</v>
      </c>
      <c r="CS12" s="106">
        <v>5628</v>
      </c>
      <c r="CT12" s="106">
        <v>8</v>
      </c>
      <c r="CU12" s="106">
        <v>4502.3999999999996</v>
      </c>
    </row>
    <row r="13" spans="1:99" x14ac:dyDescent="0.2">
      <c r="C13" s="105" t="s">
        <v>179</v>
      </c>
      <c r="D13" s="106">
        <v>2</v>
      </c>
      <c r="E13" s="106">
        <v>170.4</v>
      </c>
      <c r="F13" s="106">
        <v>2</v>
      </c>
      <c r="G13" s="106">
        <v>170.4</v>
      </c>
      <c r="H13" s="106">
        <v>4</v>
      </c>
      <c r="I13" s="106">
        <v>340.8</v>
      </c>
      <c r="J13" s="106">
        <v>4</v>
      </c>
      <c r="K13" s="106">
        <v>340.8</v>
      </c>
      <c r="L13" s="106">
        <v>2</v>
      </c>
      <c r="M13" s="106">
        <v>170.4</v>
      </c>
      <c r="N13" s="106">
        <v>2</v>
      </c>
      <c r="O13" s="106">
        <v>170.4</v>
      </c>
      <c r="P13" s="106">
        <v>4</v>
      </c>
      <c r="Q13" s="106">
        <v>340.8</v>
      </c>
      <c r="R13" s="106">
        <v>4</v>
      </c>
      <c r="S13" s="106">
        <v>340.8</v>
      </c>
      <c r="T13" s="106">
        <v>6</v>
      </c>
      <c r="U13" s="106">
        <v>511.20000000000005</v>
      </c>
      <c r="V13" s="106">
        <v>4</v>
      </c>
      <c r="W13" s="106">
        <v>340.8</v>
      </c>
      <c r="X13" s="106">
        <v>6</v>
      </c>
      <c r="Y13" s="106">
        <v>511.20000000000005</v>
      </c>
      <c r="Z13" s="106">
        <v>7</v>
      </c>
      <c r="AA13" s="106">
        <v>596.4</v>
      </c>
      <c r="AB13" s="106">
        <v>22</v>
      </c>
      <c r="AC13" s="106">
        <v>1874.4</v>
      </c>
      <c r="AD13" s="106">
        <v>27</v>
      </c>
      <c r="AE13" s="106">
        <v>2300.4</v>
      </c>
      <c r="AF13" s="106">
        <v>21</v>
      </c>
      <c r="AG13" s="106">
        <v>1789.2</v>
      </c>
      <c r="AH13" s="106">
        <v>22</v>
      </c>
      <c r="AI13" s="106">
        <v>1874.4</v>
      </c>
      <c r="AJ13" s="106">
        <v>4</v>
      </c>
      <c r="AK13" s="106">
        <v>340.8</v>
      </c>
      <c r="AL13" s="106">
        <v>3</v>
      </c>
      <c r="AM13" s="106">
        <v>255.60000000000002</v>
      </c>
      <c r="AN13" s="106">
        <v>5</v>
      </c>
      <c r="AO13" s="106">
        <v>426</v>
      </c>
      <c r="AP13" s="106">
        <v>5</v>
      </c>
      <c r="AQ13" s="106">
        <v>426</v>
      </c>
      <c r="AR13" s="106">
        <v>14</v>
      </c>
      <c r="AS13" s="106">
        <v>1192.8</v>
      </c>
      <c r="AT13" s="106">
        <v>15</v>
      </c>
      <c r="AU13" s="106">
        <v>1278</v>
      </c>
      <c r="AV13" s="106">
        <v>14</v>
      </c>
      <c r="AW13" s="106">
        <v>1192.8</v>
      </c>
      <c r="AX13" s="106">
        <v>14</v>
      </c>
      <c r="AY13" s="106">
        <v>1192.8</v>
      </c>
      <c r="AZ13" s="106">
        <v>3</v>
      </c>
      <c r="BA13" s="106">
        <v>255.60000000000002</v>
      </c>
      <c r="BB13" s="106">
        <v>5</v>
      </c>
      <c r="BC13" s="106">
        <v>426</v>
      </c>
      <c r="BD13" s="106">
        <v>4</v>
      </c>
      <c r="BE13" s="106">
        <v>340.8</v>
      </c>
      <c r="BF13" s="106">
        <v>6</v>
      </c>
      <c r="BG13" s="106">
        <v>511.20000000000005</v>
      </c>
      <c r="BH13" s="106">
        <v>8</v>
      </c>
      <c r="BI13" s="106">
        <v>681.6</v>
      </c>
      <c r="BJ13" s="106">
        <v>7</v>
      </c>
      <c r="BK13" s="106">
        <v>596.4</v>
      </c>
      <c r="BL13" s="106">
        <v>5</v>
      </c>
      <c r="BM13" s="106">
        <v>426</v>
      </c>
      <c r="BN13" s="106">
        <v>9</v>
      </c>
      <c r="BO13" s="106">
        <v>766.80000000000007</v>
      </c>
      <c r="BP13" s="106">
        <v>34</v>
      </c>
      <c r="BQ13" s="106">
        <v>2896.8</v>
      </c>
      <c r="BR13" s="106">
        <v>34</v>
      </c>
      <c r="BS13" s="106">
        <v>2896.8</v>
      </c>
      <c r="BT13" s="106">
        <v>28</v>
      </c>
      <c r="BU13" s="106">
        <v>2385.6</v>
      </c>
      <c r="BV13" s="106">
        <v>44</v>
      </c>
      <c r="BW13" s="106">
        <v>3748.8</v>
      </c>
      <c r="BX13" s="106">
        <v>5</v>
      </c>
      <c r="BY13" s="106">
        <v>426</v>
      </c>
      <c r="BZ13" s="106">
        <v>3</v>
      </c>
      <c r="CA13" s="106">
        <v>255.60000000000002</v>
      </c>
      <c r="CB13" s="106">
        <v>6</v>
      </c>
      <c r="CC13" s="106">
        <v>511.20000000000005</v>
      </c>
      <c r="CD13" s="106">
        <v>4</v>
      </c>
      <c r="CE13" s="106">
        <v>340.8</v>
      </c>
      <c r="CF13" s="106">
        <v>25</v>
      </c>
      <c r="CG13" s="106">
        <v>2130</v>
      </c>
      <c r="CH13" s="106">
        <v>23</v>
      </c>
      <c r="CI13" s="106">
        <v>1959.6000000000001</v>
      </c>
      <c r="CJ13" s="106">
        <v>40</v>
      </c>
      <c r="CK13" s="106">
        <v>3408</v>
      </c>
      <c r="CL13" s="106">
        <v>38</v>
      </c>
      <c r="CM13" s="106">
        <v>3237.6</v>
      </c>
      <c r="CN13" s="106">
        <v>11</v>
      </c>
      <c r="CO13" s="106">
        <v>937.2</v>
      </c>
      <c r="CP13" s="106">
        <v>6</v>
      </c>
      <c r="CQ13" s="106">
        <v>511.20000000000005</v>
      </c>
      <c r="CR13" s="106">
        <v>12</v>
      </c>
      <c r="CS13" s="106">
        <v>1022.4000000000001</v>
      </c>
      <c r="CT13" s="106">
        <v>9</v>
      </c>
      <c r="CU13" s="106">
        <v>766.80000000000007</v>
      </c>
    </row>
    <row r="14" spans="1:99" x14ac:dyDescent="0.2">
      <c r="C14" s="105" t="s">
        <v>180</v>
      </c>
      <c r="D14" s="106">
        <v>2</v>
      </c>
      <c r="E14" s="106">
        <v>976.8</v>
      </c>
      <c r="F14" s="106">
        <v>2</v>
      </c>
      <c r="G14" s="106">
        <v>976.8</v>
      </c>
      <c r="H14" s="106">
        <v>4</v>
      </c>
      <c r="I14" s="106">
        <v>1953.6</v>
      </c>
      <c r="J14" s="106">
        <v>4</v>
      </c>
      <c r="K14" s="106">
        <v>1953.6</v>
      </c>
      <c r="L14" s="106">
        <v>2</v>
      </c>
      <c r="M14" s="106">
        <v>976.8</v>
      </c>
      <c r="N14" s="106">
        <v>2</v>
      </c>
      <c r="O14" s="106">
        <v>976.8</v>
      </c>
      <c r="P14" s="106">
        <v>4</v>
      </c>
      <c r="Q14" s="106">
        <v>1953.6</v>
      </c>
      <c r="R14" s="106">
        <v>3</v>
      </c>
      <c r="S14" s="106">
        <v>1465.1999999999998</v>
      </c>
      <c r="T14" s="106">
        <v>6</v>
      </c>
      <c r="U14" s="106">
        <v>2930.3999999999996</v>
      </c>
      <c r="V14" s="106">
        <v>4</v>
      </c>
      <c r="W14" s="106">
        <v>1953.6</v>
      </c>
      <c r="X14" s="106">
        <v>4</v>
      </c>
      <c r="Y14" s="106">
        <v>1953.6</v>
      </c>
      <c r="Z14" s="106">
        <v>7</v>
      </c>
      <c r="AA14" s="106">
        <v>3418.7999999999997</v>
      </c>
      <c r="AB14" s="106">
        <v>21</v>
      </c>
      <c r="AC14" s="106">
        <v>10256.4</v>
      </c>
      <c r="AD14" s="106">
        <v>25</v>
      </c>
      <c r="AE14" s="106">
        <v>12210</v>
      </c>
      <c r="AF14" s="106">
        <v>21</v>
      </c>
      <c r="AG14" s="106">
        <v>10256.4</v>
      </c>
      <c r="AH14" s="106">
        <v>22</v>
      </c>
      <c r="AI14" s="106">
        <v>10744.8</v>
      </c>
      <c r="AJ14" s="106">
        <v>4</v>
      </c>
      <c r="AK14" s="106">
        <v>1953.6</v>
      </c>
      <c r="AL14" s="106">
        <v>3</v>
      </c>
      <c r="AM14" s="106">
        <v>1465.1999999999998</v>
      </c>
      <c r="AN14" s="106">
        <v>5</v>
      </c>
      <c r="AO14" s="106">
        <v>2442</v>
      </c>
      <c r="AP14" s="106">
        <v>4</v>
      </c>
      <c r="AQ14" s="106">
        <v>1953.6</v>
      </c>
      <c r="AR14" s="106">
        <v>13</v>
      </c>
      <c r="AS14" s="106">
        <v>6349.2</v>
      </c>
      <c r="AT14" s="106">
        <v>15</v>
      </c>
      <c r="AU14" s="106">
        <v>7326</v>
      </c>
      <c r="AV14" s="106">
        <v>14</v>
      </c>
      <c r="AW14" s="106">
        <v>6837.5999999999995</v>
      </c>
      <c r="AX14" s="106">
        <v>16</v>
      </c>
      <c r="AY14" s="106">
        <v>7814.4</v>
      </c>
      <c r="AZ14" s="106">
        <v>3</v>
      </c>
      <c r="BA14" s="106">
        <v>1465.1999999999998</v>
      </c>
      <c r="BB14" s="106">
        <v>4</v>
      </c>
      <c r="BC14" s="106">
        <v>1953.6</v>
      </c>
      <c r="BD14" s="106">
        <v>3</v>
      </c>
      <c r="BE14" s="106">
        <v>1465.1999999999998</v>
      </c>
      <c r="BF14" s="106">
        <v>5</v>
      </c>
      <c r="BG14" s="106">
        <v>2442</v>
      </c>
      <c r="BH14" s="106">
        <v>8</v>
      </c>
      <c r="BI14" s="106">
        <v>3907.2</v>
      </c>
      <c r="BJ14" s="106">
        <v>8</v>
      </c>
      <c r="BK14" s="106">
        <v>3907.2</v>
      </c>
      <c r="BL14" s="106">
        <v>5</v>
      </c>
      <c r="BM14" s="106">
        <v>2442</v>
      </c>
      <c r="BN14" s="106">
        <v>9</v>
      </c>
      <c r="BO14" s="106">
        <v>4395.5999999999995</v>
      </c>
      <c r="BP14" s="106">
        <v>34</v>
      </c>
      <c r="BQ14" s="106">
        <v>16605.599999999999</v>
      </c>
      <c r="BR14" s="106">
        <v>31</v>
      </c>
      <c r="BS14" s="106">
        <v>15140.4</v>
      </c>
      <c r="BT14" s="106">
        <v>26</v>
      </c>
      <c r="BU14" s="106">
        <v>12698.4</v>
      </c>
      <c r="BV14" s="106">
        <v>43</v>
      </c>
      <c r="BW14" s="106">
        <v>21001.200000000001</v>
      </c>
      <c r="BX14" s="106">
        <v>5</v>
      </c>
      <c r="BY14" s="106">
        <v>2442</v>
      </c>
      <c r="BZ14" s="106">
        <v>3</v>
      </c>
      <c r="CA14" s="106">
        <v>1465.1999999999998</v>
      </c>
      <c r="CB14" s="106">
        <v>5</v>
      </c>
      <c r="CC14" s="106">
        <v>2442</v>
      </c>
      <c r="CD14" s="106">
        <v>4</v>
      </c>
      <c r="CE14" s="106">
        <v>1953.6</v>
      </c>
      <c r="CF14" s="106">
        <v>26</v>
      </c>
      <c r="CG14" s="106">
        <v>12698.4</v>
      </c>
      <c r="CH14" s="106">
        <v>23</v>
      </c>
      <c r="CI14" s="106">
        <v>11233.199999999999</v>
      </c>
      <c r="CJ14" s="106">
        <v>40</v>
      </c>
      <c r="CK14" s="106">
        <v>19536</v>
      </c>
      <c r="CL14" s="106">
        <v>31</v>
      </c>
      <c r="CM14" s="106">
        <v>15140.4</v>
      </c>
      <c r="CN14" s="106">
        <v>10</v>
      </c>
      <c r="CO14" s="106">
        <v>4884</v>
      </c>
      <c r="CP14" s="106">
        <v>6</v>
      </c>
      <c r="CQ14" s="106">
        <v>2930.3999999999996</v>
      </c>
      <c r="CR14" s="106">
        <v>12</v>
      </c>
      <c r="CS14" s="106">
        <v>5860.7999999999993</v>
      </c>
      <c r="CT14" s="106">
        <v>8</v>
      </c>
      <c r="CU14" s="106">
        <v>3907.2</v>
      </c>
    </row>
    <row r="15" spans="1:99" x14ac:dyDescent="0.2">
      <c r="C15" s="105" t="s">
        <v>181</v>
      </c>
      <c r="D15" s="106">
        <v>2</v>
      </c>
      <c r="E15" s="106">
        <v>1526.3999999999999</v>
      </c>
      <c r="F15" s="106">
        <v>2</v>
      </c>
      <c r="G15" s="106">
        <v>1526.3999999999999</v>
      </c>
      <c r="H15" s="106">
        <v>4</v>
      </c>
      <c r="I15" s="106">
        <v>3052.7999999999997</v>
      </c>
      <c r="J15" s="106">
        <v>3</v>
      </c>
      <c r="K15" s="106">
        <v>2289.6</v>
      </c>
      <c r="L15" s="106">
        <v>2</v>
      </c>
      <c r="M15" s="106">
        <v>1526.3999999999999</v>
      </c>
      <c r="N15" s="106">
        <v>2</v>
      </c>
      <c r="O15" s="106">
        <v>1526.3999999999999</v>
      </c>
      <c r="P15" s="106">
        <v>4</v>
      </c>
      <c r="Q15" s="106">
        <v>3052.7999999999997</v>
      </c>
      <c r="R15" s="106">
        <v>3</v>
      </c>
      <c r="S15" s="106">
        <v>2289.6</v>
      </c>
      <c r="T15" s="106">
        <v>5</v>
      </c>
      <c r="U15" s="106">
        <v>3815.9999999999995</v>
      </c>
      <c r="V15" s="106">
        <v>4</v>
      </c>
      <c r="W15" s="106">
        <v>3052.7999999999997</v>
      </c>
      <c r="X15" s="106">
        <v>5</v>
      </c>
      <c r="Y15" s="106">
        <v>3815.9999999999995</v>
      </c>
      <c r="Z15" s="106">
        <v>7</v>
      </c>
      <c r="AA15" s="106">
        <v>5342.4</v>
      </c>
      <c r="AB15" s="106">
        <v>18</v>
      </c>
      <c r="AC15" s="106">
        <v>13737.599999999999</v>
      </c>
      <c r="AD15" s="106">
        <v>24</v>
      </c>
      <c r="AE15" s="106">
        <v>18316.8</v>
      </c>
      <c r="AF15" s="106">
        <v>20</v>
      </c>
      <c r="AG15" s="106">
        <v>15263.999999999998</v>
      </c>
      <c r="AH15" s="106">
        <v>22</v>
      </c>
      <c r="AI15" s="106">
        <v>16790.399999999998</v>
      </c>
      <c r="AJ15" s="106">
        <v>4</v>
      </c>
      <c r="AK15" s="106">
        <v>3052.7999999999997</v>
      </c>
      <c r="AL15" s="106">
        <v>3</v>
      </c>
      <c r="AM15" s="106">
        <v>2289.6</v>
      </c>
      <c r="AN15" s="106">
        <v>4</v>
      </c>
      <c r="AO15" s="106">
        <v>3052.7999999999997</v>
      </c>
      <c r="AP15" s="106">
        <v>4</v>
      </c>
      <c r="AQ15" s="106">
        <v>3052.7999999999997</v>
      </c>
      <c r="AR15" s="106">
        <v>13</v>
      </c>
      <c r="AS15" s="106">
        <v>9921.5999999999985</v>
      </c>
      <c r="AT15" s="106">
        <v>14</v>
      </c>
      <c r="AU15" s="106">
        <v>10684.8</v>
      </c>
      <c r="AV15" s="106">
        <v>14</v>
      </c>
      <c r="AW15" s="106">
        <v>10684.8</v>
      </c>
      <c r="AX15" s="106">
        <v>16</v>
      </c>
      <c r="AY15" s="106">
        <v>12211.199999999999</v>
      </c>
      <c r="AZ15" s="106">
        <v>3</v>
      </c>
      <c r="BA15" s="106">
        <v>2289.6</v>
      </c>
      <c r="BB15" s="106">
        <v>5</v>
      </c>
      <c r="BC15" s="106">
        <v>3815.9999999999995</v>
      </c>
      <c r="BD15" s="106">
        <v>3</v>
      </c>
      <c r="BE15" s="106">
        <v>2289.6</v>
      </c>
      <c r="BF15" s="106">
        <v>6</v>
      </c>
      <c r="BG15" s="106">
        <v>4579.2</v>
      </c>
      <c r="BH15" s="106">
        <v>9</v>
      </c>
      <c r="BI15" s="106">
        <v>6868.7999999999993</v>
      </c>
      <c r="BJ15" s="106">
        <v>7</v>
      </c>
      <c r="BK15" s="106">
        <v>5342.4</v>
      </c>
      <c r="BL15" s="106">
        <v>5</v>
      </c>
      <c r="BM15" s="106">
        <v>3815.9999999999995</v>
      </c>
      <c r="BN15" s="106">
        <v>8</v>
      </c>
      <c r="BO15" s="106">
        <v>6105.5999999999995</v>
      </c>
      <c r="BP15" s="106">
        <v>33</v>
      </c>
      <c r="BQ15" s="106">
        <v>25185.599999999999</v>
      </c>
      <c r="BR15" s="106">
        <v>32</v>
      </c>
      <c r="BS15" s="106">
        <v>24422.399999999998</v>
      </c>
      <c r="BT15" s="106">
        <v>25</v>
      </c>
      <c r="BU15" s="106">
        <v>19080</v>
      </c>
      <c r="BV15" s="106">
        <v>42</v>
      </c>
      <c r="BW15" s="106">
        <v>32054.399999999998</v>
      </c>
      <c r="BX15" s="106">
        <v>5</v>
      </c>
      <c r="BY15" s="106">
        <v>3815.9999999999995</v>
      </c>
      <c r="BZ15" s="106">
        <v>3</v>
      </c>
      <c r="CA15" s="106">
        <v>2289.6</v>
      </c>
      <c r="CB15" s="106">
        <v>5</v>
      </c>
      <c r="CC15" s="106">
        <v>3815.9999999999995</v>
      </c>
      <c r="CD15" s="106">
        <v>3</v>
      </c>
      <c r="CE15" s="106">
        <v>2289.6</v>
      </c>
      <c r="CF15" s="106">
        <v>23</v>
      </c>
      <c r="CG15" s="106">
        <v>17553.599999999999</v>
      </c>
      <c r="CH15" s="106">
        <v>22</v>
      </c>
      <c r="CI15" s="106">
        <v>16790.399999999998</v>
      </c>
      <c r="CJ15" s="106">
        <v>37</v>
      </c>
      <c r="CK15" s="106">
        <v>28238.399999999998</v>
      </c>
      <c r="CL15" s="106">
        <v>35</v>
      </c>
      <c r="CM15" s="106">
        <v>26711.999999999996</v>
      </c>
      <c r="CN15" s="106">
        <v>11</v>
      </c>
      <c r="CO15" s="106">
        <v>8395.1999999999989</v>
      </c>
      <c r="CP15" s="106">
        <v>6</v>
      </c>
      <c r="CQ15" s="106">
        <v>4579.2</v>
      </c>
      <c r="CR15" s="106">
        <v>12</v>
      </c>
      <c r="CS15" s="106">
        <v>9158.4</v>
      </c>
      <c r="CT15" s="106">
        <v>8</v>
      </c>
      <c r="CU15" s="106">
        <v>6105.5999999999995</v>
      </c>
    </row>
    <row r="16" spans="1:99" x14ac:dyDescent="0.2">
      <c r="C16" s="105" t="s">
        <v>182</v>
      </c>
      <c r="D16" s="106">
        <v>2</v>
      </c>
      <c r="E16" s="106">
        <v>681.6</v>
      </c>
      <c r="F16" s="106">
        <v>2</v>
      </c>
      <c r="G16" s="106">
        <v>681.6</v>
      </c>
      <c r="H16" s="106">
        <v>4</v>
      </c>
      <c r="I16" s="106">
        <v>1363.2</v>
      </c>
      <c r="J16" s="106">
        <v>3</v>
      </c>
      <c r="K16" s="106">
        <v>1022.4000000000001</v>
      </c>
      <c r="L16" s="106">
        <v>2</v>
      </c>
      <c r="M16" s="106">
        <v>681.6</v>
      </c>
      <c r="N16" s="106">
        <v>2</v>
      </c>
      <c r="O16" s="106">
        <v>681.6</v>
      </c>
      <c r="P16" s="106">
        <v>3</v>
      </c>
      <c r="Q16" s="106">
        <v>1022.4000000000001</v>
      </c>
      <c r="R16" s="106">
        <v>3</v>
      </c>
      <c r="S16" s="106">
        <v>1022.4000000000001</v>
      </c>
      <c r="T16" s="106">
        <v>5</v>
      </c>
      <c r="U16" s="106">
        <v>1704</v>
      </c>
      <c r="V16" s="106">
        <v>4</v>
      </c>
      <c r="W16" s="106">
        <v>1363.2</v>
      </c>
      <c r="X16" s="106">
        <v>5</v>
      </c>
      <c r="Y16" s="106">
        <v>1704</v>
      </c>
      <c r="Z16" s="106">
        <v>7</v>
      </c>
      <c r="AA16" s="106">
        <v>2385.6</v>
      </c>
      <c r="AB16" s="106">
        <v>20</v>
      </c>
      <c r="AC16" s="106">
        <v>6816</v>
      </c>
      <c r="AD16" s="106">
        <v>27</v>
      </c>
      <c r="AE16" s="106">
        <v>9201.6</v>
      </c>
      <c r="AF16" s="106">
        <v>21</v>
      </c>
      <c r="AG16" s="106">
        <v>7156.8</v>
      </c>
      <c r="AH16" s="106">
        <v>25</v>
      </c>
      <c r="AI16" s="106">
        <v>8520</v>
      </c>
      <c r="AJ16" s="106">
        <v>4</v>
      </c>
      <c r="AK16" s="106">
        <v>1363.2</v>
      </c>
      <c r="AL16" s="106">
        <v>3</v>
      </c>
      <c r="AM16" s="106">
        <v>1022.4000000000001</v>
      </c>
      <c r="AN16" s="106">
        <v>5</v>
      </c>
      <c r="AO16" s="106">
        <v>1704</v>
      </c>
      <c r="AP16" s="106">
        <v>5</v>
      </c>
      <c r="AQ16" s="106">
        <v>1704</v>
      </c>
      <c r="AR16" s="106">
        <v>13</v>
      </c>
      <c r="AS16" s="106">
        <v>4430.4000000000005</v>
      </c>
      <c r="AT16" s="106">
        <v>14</v>
      </c>
      <c r="AU16" s="106">
        <v>4771.2</v>
      </c>
      <c r="AV16" s="106">
        <v>14</v>
      </c>
      <c r="AW16" s="106">
        <v>4771.2</v>
      </c>
      <c r="AX16" s="106">
        <v>15</v>
      </c>
      <c r="AY16" s="106">
        <v>5112</v>
      </c>
      <c r="AZ16" s="106">
        <v>4</v>
      </c>
      <c r="BA16" s="106">
        <v>1363.2</v>
      </c>
      <c r="BB16" s="106">
        <v>5</v>
      </c>
      <c r="BC16" s="106">
        <v>1704</v>
      </c>
      <c r="BD16" s="106">
        <v>3</v>
      </c>
      <c r="BE16" s="106">
        <v>1022.4000000000001</v>
      </c>
      <c r="BF16" s="106">
        <v>6</v>
      </c>
      <c r="BG16" s="106">
        <v>2044.8000000000002</v>
      </c>
      <c r="BH16" s="106">
        <v>9</v>
      </c>
      <c r="BI16" s="106">
        <v>3067.2000000000003</v>
      </c>
      <c r="BJ16" s="106">
        <v>8</v>
      </c>
      <c r="BK16" s="106">
        <v>2726.4</v>
      </c>
      <c r="BL16" s="106">
        <v>5</v>
      </c>
      <c r="BM16" s="106">
        <v>1704</v>
      </c>
      <c r="BN16" s="106">
        <v>8</v>
      </c>
      <c r="BO16" s="106">
        <v>2726.4</v>
      </c>
      <c r="BP16" s="106">
        <v>32</v>
      </c>
      <c r="BQ16" s="106">
        <v>10905.6</v>
      </c>
      <c r="BR16" s="106">
        <v>35</v>
      </c>
      <c r="BS16" s="106">
        <v>11928</v>
      </c>
      <c r="BT16" s="106">
        <v>27</v>
      </c>
      <c r="BU16" s="106">
        <v>9201.6</v>
      </c>
      <c r="BV16" s="106">
        <v>42</v>
      </c>
      <c r="BW16" s="106">
        <v>14313.6</v>
      </c>
      <c r="BX16" s="106">
        <v>5</v>
      </c>
      <c r="BY16" s="106">
        <v>1704</v>
      </c>
      <c r="BZ16" s="106">
        <v>3</v>
      </c>
      <c r="CA16" s="106">
        <v>1022.4000000000001</v>
      </c>
      <c r="CB16" s="106">
        <v>5</v>
      </c>
      <c r="CC16" s="106">
        <v>1704</v>
      </c>
      <c r="CD16" s="106">
        <v>3</v>
      </c>
      <c r="CE16" s="106">
        <v>1022.4000000000001</v>
      </c>
      <c r="CF16" s="106">
        <v>24</v>
      </c>
      <c r="CG16" s="106">
        <v>8179.2000000000007</v>
      </c>
      <c r="CH16" s="106">
        <v>25</v>
      </c>
      <c r="CI16" s="106">
        <v>8520</v>
      </c>
      <c r="CJ16" s="106">
        <v>39</v>
      </c>
      <c r="CK16" s="106">
        <v>13291.2</v>
      </c>
      <c r="CL16" s="106">
        <v>33</v>
      </c>
      <c r="CM16" s="106">
        <v>11246.4</v>
      </c>
      <c r="CN16" s="106">
        <v>11</v>
      </c>
      <c r="CO16" s="106">
        <v>3748.8</v>
      </c>
      <c r="CP16" s="106">
        <v>7</v>
      </c>
      <c r="CQ16" s="106">
        <v>2385.6</v>
      </c>
      <c r="CR16" s="106">
        <v>12</v>
      </c>
      <c r="CS16" s="106">
        <v>4089.6000000000004</v>
      </c>
      <c r="CT16" s="106">
        <v>8</v>
      </c>
      <c r="CU16" s="106">
        <v>2726.4</v>
      </c>
    </row>
    <row r="17" spans="2:99" x14ac:dyDescent="0.2">
      <c r="C17" s="105" t="s">
        <v>183</v>
      </c>
      <c r="D17" s="106">
        <v>2</v>
      </c>
      <c r="E17" s="106">
        <v>844.8</v>
      </c>
      <c r="F17" s="106">
        <v>2</v>
      </c>
      <c r="G17" s="106">
        <v>844.8</v>
      </c>
      <c r="H17" s="106">
        <v>4</v>
      </c>
      <c r="I17" s="106">
        <v>1689.6</v>
      </c>
      <c r="J17" s="106">
        <v>4</v>
      </c>
      <c r="K17" s="106">
        <v>1689.6</v>
      </c>
      <c r="L17" s="106">
        <v>2</v>
      </c>
      <c r="M17" s="106">
        <v>844.8</v>
      </c>
      <c r="N17" s="106">
        <v>2</v>
      </c>
      <c r="O17" s="106">
        <v>844.8</v>
      </c>
      <c r="P17" s="106">
        <v>4</v>
      </c>
      <c r="Q17" s="106">
        <v>1689.6</v>
      </c>
      <c r="R17" s="106">
        <v>4</v>
      </c>
      <c r="S17" s="106">
        <v>1689.6</v>
      </c>
      <c r="T17" s="106">
        <v>5</v>
      </c>
      <c r="U17" s="106">
        <v>2112</v>
      </c>
      <c r="V17" s="106">
        <v>4</v>
      </c>
      <c r="W17" s="106">
        <v>1689.6</v>
      </c>
      <c r="X17" s="106">
        <v>5</v>
      </c>
      <c r="Y17" s="106">
        <v>2112</v>
      </c>
      <c r="Z17" s="106">
        <v>7</v>
      </c>
      <c r="AA17" s="106">
        <v>2956.7999999999997</v>
      </c>
      <c r="AB17" s="106">
        <v>19</v>
      </c>
      <c r="AC17" s="106">
        <v>8025.5999999999995</v>
      </c>
      <c r="AD17" s="106">
        <v>27</v>
      </c>
      <c r="AE17" s="106">
        <v>11404.8</v>
      </c>
      <c r="AF17" s="106">
        <v>18</v>
      </c>
      <c r="AG17" s="106">
        <v>7603.2</v>
      </c>
      <c r="AH17" s="106">
        <v>23</v>
      </c>
      <c r="AI17" s="106">
        <v>9715.1999999999989</v>
      </c>
      <c r="AJ17" s="106">
        <v>4</v>
      </c>
      <c r="AK17" s="106">
        <v>1689.6</v>
      </c>
      <c r="AL17" s="106">
        <v>3</v>
      </c>
      <c r="AM17" s="106">
        <v>1267.1999999999998</v>
      </c>
      <c r="AN17" s="106">
        <v>5</v>
      </c>
      <c r="AO17" s="106">
        <v>2112</v>
      </c>
      <c r="AP17" s="106">
        <v>4</v>
      </c>
      <c r="AQ17" s="106">
        <v>1689.6</v>
      </c>
      <c r="AR17" s="106">
        <v>15</v>
      </c>
      <c r="AS17" s="106">
        <v>6336</v>
      </c>
      <c r="AT17" s="106">
        <v>15</v>
      </c>
      <c r="AU17" s="106">
        <v>6336</v>
      </c>
      <c r="AV17" s="106">
        <v>14</v>
      </c>
      <c r="AW17" s="106">
        <v>5913.5999999999995</v>
      </c>
      <c r="AX17" s="106">
        <v>15</v>
      </c>
      <c r="AY17" s="106">
        <v>6336</v>
      </c>
      <c r="AZ17" s="106">
        <v>3</v>
      </c>
      <c r="BA17" s="106">
        <v>1267.1999999999998</v>
      </c>
      <c r="BB17" s="106">
        <v>4</v>
      </c>
      <c r="BC17" s="106">
        <v>1689.6</v>
      </c>
      <c r="BD17" s="106">
        <v>3</v>
      </c>
      <c r="BE17" s="106">
        <v>1267.1999999999998</v>
      </c>
      <c r="BF17" s="106">
        <v>5</v>
      </c>
      <c r="BG17" s="106">
        <v>2112</v>
      </c>
      <c r="BH17" s="106">
        <v>9</v>
      </c>
      <c r="BI17" s="106">
        <v>3801.6</v>
      </c>
      <c r="BJ17" s="106">
        <v>8</v>
      </c>
      <c r="BK17" s="106">
        <v>3379.2</v>
      </c>
      <c r="BL17" s="106">
        <v>5</v>
      </c>
      <c r="BM17" s="106">
        <v>2112</v>
      </c>
      <c r="BN17" s="106">
        <v>8</v>
      </c>
      <c r="BO17" s="106">
        <v>3379.2</v>
      </c>
      <c r="BP17" s="106">
        <v>37</v>
      </c>
      <c r="BQ17" s="106">
        <v>15628.8</v>
      </c>
      <c r="BR17" s="106">
        <v>35</v>
      </c>
      <c r="BS17" s="106">
        <v>14784</v>
      </c>
      <c r="BT17" s="106">
        <v>25</v>
      </c>
      <c r="BU17" s="106">
        <v>10560</v>
      </c>
      <c r="BV17" s="106">
        <v>49</v>
      </c>
      <c r="BW17" s="106">
        <v>20697.599999999999</v>
      </c>
      <c r="BX17" s="106">
        <v>5</v>
      </c>
      <c r="BY17" s="106">
        <v>2112</v>
      </c>
      <c r="BZ17" s="106">
        <v>3</v>
      </c>
      <c r="CA17" s="106">
        <v>1267.1999999999998</v>
      </c>
      <c r="CB17" s="106">
        <v>5</v>
      </c>
      <c r="CC17" s="106">
        <v>2112</v>
      </c>
      <c r="CD17" s="106">
        <v>3</v>
      </c>
      <c r="CE17" s="106">
        <v>1267.1999999999998</v>
      </c>
      <c r="CF17" s="106">
        <v>22</v>
      </c>
      <c r="CG17" s="106">
        <v>9292.7999999999993</v>
      </c>
      <c r="CH17" s="106">
        <v>22</v>
      </c>
      <c r="CI17" s="106">
        <v>9292.7999999999993</v>
      </c>
      <c r="CJ17" s="106">
        <v>41</v>
      </c>
      <c r="CK17" s="106">
        <v>17318.399999999998</v>
      </c>
      <c r="CL17" s="106">
        <v>36</v>
      </c>
      <c r="CM17" s="106">
        <v>15206.4</v>
      </c>
      <c r="CN17" s="106">
        <v>11</v>
      </c>
      <c r="CO17" s="106">
        <v>4646.3999999999996</v>
      </c>
      <c r="CP17" s="106">
        <v>6</v>
      </c>
      <c r="CQ17" s="106">
        <v>2534.3999999999996</v>
      </c>
      <c r="CR17" s="106">
        <v>12</v>
      </c>
      <c r="CS17" s="106">
        <v>5068.7999999999993</v>
      </c>
      <c r="CT17" s="106">
        <v>8</v>
      </c>
      <c r="CU17" s="106">
        <v>3379.2</v>
      </c>
    </row>
    <row r="18" spans="2:99" x14ac:dyDescent="0.2">
      <c r="C18" s="105" t="s">
        <v>184</v>
      </c>
      <c r="D18" s="106">
        <v>2</v>
      </c>
      <c r="E18" s="106">
        <v>1305.5999999999999</v>
      </c>
      <c r="F18" s="106">
        <v>2</v>
      </c>
      <c r="G18" s="106">
        <v>1305.5999999999999</v>
      </c>
      <c r="H18" s="106">
        <v>3</v>
      </c>
      <c r="I18" s="106">
        <v>1958.3999999999999</v>
      </c>
      <c r="J18" s="106">
        <v>3</v>
      </c>
      <c r="K18" s="106">
        <v>1958.3999999999999</v>
      </c>
      <c r="L18" s="106">
        <v>2</v>
      </c>
      <c r="M18" s="106">
        <v>1305.5999999999999</v>
      </c>
      <c r="N18" s="106">
        <v>2</v>
      </c>
      <c r="O18" s="106">
        <v>1305.5999999999999</v>
      </c>
      <c r="P18" s="106">
        <v>4</v>
      </c>
      <c r="Q18" s="106">
        <v>2611.1999999999998</v>
      </c>
      <c r="R18" s="106">
        <v>3</v>
      </c>
      <c r="S18" s="106">
        <v>1958.3999999999999</v>
      </c>
      <c r="T18" s="106">
        <v>6</v>
      </c>
      <c r="U18" s="106">
        <v>3916.7999999999997</v>
      </c>
      <c r="V18" s="106">
        <v>4</v>
      </c>
      <c r="W18" s="106">
        <v>2611.1999999999998</v>
      </c>
      <c r="X18" s="106">
        <v>5</v>
      </c>
      <c r="Y18" s="106">
        <v>3264</v>
      </c>
      <c r="Z18" s="106">
        <v>7</v>
      </c>
      <c r="AA18" s="106">
        <v>4569.5999999999995</v>
      </c>
      <c r="AB18" s="106">
        <v>20</v>
      </c>
      <c r="AC18" s="106">
        <v>13056</v>
      </c>
      <c r="AD18" s="106">
        <v>25</v>
      </c>
      <c r="AE18" s="106">
        <v>16319.999999999998</v>
      </c>
      <c r="AF18" s="106">
        <v>18</v>
      </c>
      <c r="AG18" s="106">
        <v>11750.4</v>
      </c>
      <c r="AH18" s="106">
        <v>21</v>
      </c>
      <c r="AI18" s="106">
        <v>13708.8</v>
      </c>
      <c r="AJ18" s="106">
        <v>4</v>
      </c>
      <c r="AK18" s="106">
        <v>2611.1999999999998</v>
      </c>
      <c r="AL18" s="106">
        <v>3</v>
      </c>
      <c r="AM18" s="106">
        <v>1958.3999999999999</v>
      </c>
      <c r="AN18" s="106">
        <v>4</v>
      </c>
      <c r="AO18" s="106">
        <v>2611.1999999999998</v>
      </c>
      <c r="AP18" s="106">
        <v>5</v>
      </c>
      <c r="AQ18" s="106">
        <v>3264</v>
      </c>
      <c r="AR18" s="106">
        <v>14</v>
      </c>
      <c r="AS18" s="106">
        <v>9139.1999999999989</v>
      </c>
      <c r="AT18" s="106">
        <v>14</v>
      </c>
      <c r="AU18" s="106">
        <v>9139.1999999999989</v>
      </c>
      <c r="AV18" s="106">
        <v>12</v>
      </c>
      <c r="AW18" s="106">
        <v>7833.5999999999995</v>
      </c>
      <c r="AX18" s="106">
        <v>16</v>
      </c>
      <c r="AY18" s="106">
        <v>10444.799999999999</v>
      </c>
      <c r="AZ18" s="106">
        <v>3</v>
      </c>
      <c r="BA18" s="106">
        <v>1958.3999999999999</v>
      </c>
      <c r="BB18" s="106">
        <v>5</v>
      </c>
      <c r="BC18" s="106">
        <v>3264</v>
      </c>
      <c r="BD18" s="106">
        <v>3</v>
      </c>
      <c r="BE18" s="106">
        <v>1958.3999999999999</v>
      </c>
      <c r="BF18" s="106">
        <v>5</v>
      </c>
      <c r="BG18" s="106">
        <v>3264</v>
      </c>
      <c r="BH18" s="106">
        <v>9</v>
      </c>
      <c r="BI18" s="106">
        <v>5875.2</v>
      </c>
      <c r="BJ18" s="106">
        <v>8</v>
      </c>
      <c r="BK18" s="106">
        <v>5222.3999999999996</v>
      </c>
      <c r="BL18" s="106">
        <v>5</v>
      </c>
      <c r="BM18" s="106">
        <v>3264</v>
      </c>
      <c r="BN18" s="106">
        <v>9</v>
      </c>
      <c r="BO18" s="106">
        <v>5875.2</v>
      </c>
      <c r="BP18" s="106">
        <v>34</v>
      </c>
      <c r="BQ18" s="106">
        <v>22195.199999999997</v>
      </c>
      <c r="BR18" s="106">
        <v>34</v>
      </c>
      <c r="BS18" s="106">
        <v>22195.199999999997</v>
      </c>
      <c r="BT18" s="106">
        <v>27</v>
      </c>
      <c r="BU18" s="106">
        <v>17625.599999999999</v>
      </c>
      <c r="BV18" s="106">
        <v>40</v>
      </c>
      <c r="BW18" s="106">
        <v>26112</v>
      </c>
      <c r="BX18" s="106">
        <v>5</v>
      </c>
      <c r="BY18" s="106">
        <v>3264</v>
      </c>
      <c r="BZ18" s="106">
        <v>3</v>
      </c>
      <c r="CA18" s="106">
        <v>1958.3999999999999</v>
      </c>
      <c r="CB18" s="106">
        <v>5</v>
      </c>
      <c r="CC18" s="106">
        <v>3264</v>
      </c>
      <c r="CD18" s="106">
        <v>3</v>
      </c>
      <c r="CE18" s="106">
        <v>1958.3999999999999</v>
      </c>
      <c r="CF18" s="106">
        <v>24</v>
      </c>
      <c r="CG18" s="106">
        <v>15667.199999999999</v>
      </c>
      <c r="CH18" s="106">
        <v>22</v>
      </c>
      <c r="CI18" s="106">
        <v>14361.599999999999</v>
      </c>
      <c r="CJ18" s="106">
        <v>39</v>
      </c>
      <c r="CK18" s="106">
        <v>25459.199999999997</v>
      </c>
      <c r="CL18" s="106">
        <v>34</v>
      </c>
      <c r="CM18" s="106">
        <v>22195.199999999997</v>
      </c>
      <c r="CN18" s="106">
        <v>11</v>
      </c>
      <c r="CO18" s="106">
        <v>7180.7999999999993</v>
      </c>
      <c r="CP18" s="106">
        <v>6</v>
      </c>
      <c r="CQ18" s="106">
        <v>3916.7999999999997</v>
      </c>
      <c r="CR18" s="106">
        <v>11</v>
      </c>
      <c r="CS18" s="106">
        <v>7180.7999999999993</v>
      </c>
      <c r="CT18" s="106">
        <v>7</v>
      </c>
      <c r="CU18" s="106">
        <v>4569.5999999999995</v>
      </c>
    </row>
    <row r="19" spans="2:99" x14ac:dyDescent="0.2">
      <c r="C19" s="105" t="s">
        <v>185</v>
      </c>
      <c r="D19" s="106">
        <v>2</v>
      </c>
      <c r="E19" s="106">
        <v>660</v>
      </c>
      <c r="F19" s="106">
        <v>2</v>
      </c>
      <c r="G19" s="106">
        <v>660</v>
      </c>
      <c r="H19" s="106">
        <v>4</v>
      </c>
      <c r="I19" s="106">
        <v>1320</v>
      </c>
      <c r="J19" s="106">
        <v>3</v>
      </c>
      <c r="K19" s="106">
        <v>990</v>
      </c>
      <c r="L19" s="106">
        <v>2</v>
      </c>
      <c r="M19" s="106">
        <v>660</v>
      </c>
      <c r="N19" s="106">
        <v>2</v>
      </c>
      <c r="O19" s="106">
        <v>660</v>
      </c>
      <c r="P19" s="106">
        <v>4</v>
      </c>
      <c r="Q19" s="106">
        <v>1320</v>
      </c>
      <c r="R19" s="106">
        <v>4</v>
      </c>
      <c r="S19" s="106">
        <v>1320</v>
      </c>
      <c r="T19" s="106">
        <v>6</v>
      </c>
      <c r="U19" s="106">
        <v>1980</v>
      </c>
      <c r="V19" s="106">
        <v>4</v>
      </c>
      <c r="W19" s="106">
        <v>1320</v>
      </c>
      <c r="X19" s="106">
        <v>5</v>
      </c>
      <c r="Y19" s="106">
        <v>1650</v>
      </c>
      <c r="Z19" s="106">
        <v>8</v>
      </c>
      <c r="AA19" s="106">
        <v>2640</v>
      </c>
      <c r="AB19" s="106">
        <v>22</v>
      </c>
      <c r="AC19" s="106">
        <v>7260</v>
      </c>
      <c r="AD19" s="106">
        <v>30</v>
      </c>
      <c r="AE19" s="106">
        <v>9900</v>
      </c>
      <c r="AF19" s="106">
        <v>21</v>
      </c>
      <c r="AG19" s="106">
        <v>6930</v>
      </c>
      <c r="AH19" s="106">
        <v>25</v>
      </c>
      <c r="AI19" s="106">
        <v>8250</v>
      </c>
      <c r="AJ19" s="106">
        <v>3</v>
      </c>
      <c r="AK19" s="106">
        <v>990</v>
      </c>
      <c r="AL19" s="106">
        <v>3</v>
      </c>
      <c r="AM19" s="106">
        <v>990</v>
      </c>
      <c r="AN19" s="106">
        <v>4</v>
      </c>
      <c r="AO19" s="106">
        <v>1320</v>
      </c>
      <c r="AP19" s="106">
        <v>5</v>
      </c>
      <c r="AQ19" s="106">
        <v>1650</v>
      </c>
      <c r="AR19" s="106">
        <v>15</v>
      </c>
      <c r="AS19" s="106">
        <v>4950</v>
      </c>
      <c r="AT19" s="106">
        <v>14</v>
      </c>
      <c r="AU19" s="106">
        <v>4620</v>
      </c>
      <c r="AV19" s="106">
        <v>14</v>
      </c>
      <c r="AW19" s="106">
        <v>4620</v>
      </c>
      <c r="AX19" s="106">
        <v>17</v>
      </c>
      <c r="AY19" s="106">
        <v>5610</v>
      </c>
      <c r="AZ19" s="106">
        <v>4</v>
      </c>
      <c r="BA19" s="106">
        <v>1320</v>
      </c>
      <c r="BB19" s="106">
        <v>5</v>
      </c>
      <c r="BC19" s="106">
        <v>1650</v>
      </c>
      <c r="BD19" s="106">
        <v>3</v>
      </c>
      <c r="BE19" s="106">
        <v>990</v>
      </c>
      <c r="BF19" s="106">
        <v>5</v>
      </c>
      <c r="BG19" s="106">
        <v>1650</v>
      </c>
      <c r="BH19" s="106">
        <v>9</v>
      </c>
      <c r="BI19" s="106">
        <v>2970</v>
      </c>
      <c r="BJ19" s="106">
        <v>8</v>
      </c>
      <c r="BK19" s="106">
        <v>2640</v>
      </c>
      <c r="BL19" s="106">
        <v>5</v>
      </c>
      <c r="BM19" s="106">
        <v>1650</v>
      </c>
      <c r="BN19" s="106">
        <v>9</v>
      </c>
      <c r="BO19" s="106">
        <v>2970</v>
      </c>
      <c r="BP19" s="106">
        <v>38</v>
      </c>
      <c r="BQ19" s="106">
        <v>12540</v>
      </c>
      <c r="BR19" s="106">
        <v>31</v>
      </c>
      <c r="BS19" s="106">
        <v>10230</v>
      </c>
      <c r="BT19" s="106">
        <v>27</v>
      </c>
      <c r="BU19" s="106">
        <v>8910</v>
      </c>
      <c r="BV19" s="106">
        <v>46</v>
      </c>
      <c r="BW19" s="106">
        <v>15180</v>
      </c>
      <c r="BX19" s="106">
        <v>5</v>
      </c>
      <c r="BY19" s="106">
        <v>1650</v>
      </c>
      <c r="BZ19" s="106">
        <v>3</v>
      </c>
      <c r="CA19" s="106">
        <v>990</v>
      </c>
      <c r="CB19" s="106">
        <v>5</v>
      </c>
      <c r="CC19" s="106">
        <v>1650</v>
      </c>
      <c r="CD19" s="106">
        <v>3</v>
      </c>
      <c r="CE19" s="106">
        <v>990</v>
      </c>
      <c r="CF19" s="106">
        <v>24</v>
      </c>
      <c r="CG19" s="106">
        <v>7920</v>
      </c>
      <c r="CH19" s="106">
        <v>23</v>
      </c>
      <c r="CI19" s="106">
        <v>7590</v>
      </c>
      <c r="CJ19" s="106">
        <v>39</v>
      </c>
      <c r="CK19" s="106">
        <v>12870</v>
      </c>
      <c r="CL19" s="106">
        <v>37</v>
      </c>
      <c r="CM19" s="106">
        <v>12210</v>
      </c>
      <c r="CN19" s="106">
        <v>12</v>
      </c>
      <c r="CO19" s="106">
        <v>3960</v>
      </c>
      <c r="CP19" s="106">
        <v>7</v>
      </c>
      <c r="CQ19" s="106">
        <v>2310</v>
      </c>
      <c r="CR19" s="106">
        <v>12</v>
      </c>
      <c r="CS19" s="106">
        <v>3960</v>
      </c>
      <c r="CT19" s="106">
        <v>8</v>
      </c>
      <c r="CU19" s="106">
        <v>2640</v>
      </c>
    </row>
    <row r="20" spans="2:99" x14ac:dyDescent="0.2">
      <c r="B20" s="105" t="s">
        <v>127</v>
      </c>
      <c r="C20" s="105" t="s">
        <v>186</v>
      </c>
      <c r="D20" s="106">
        <v>3</v>
      </c>
      <c r="E20" s="106">
        <v>860.40000000000009</v>
      </c>
      <c r="F20" s="106">
        <v>4</v>
      </c>
      <c r="G20" s="106">
        <v>1147.2</v>
      </c>
      <c r="H20" s="106">
        <v>4</v>
      </c>
      <c r="I20" s="106">
        <v>1147.2</v>
      </c>
      <c r="J20" s="106">
        <v>3</v>
      </c>
      <c r="K20" s="106">
        <v>860.40000000000009</v>
      </c>
      <c r="L20" s="106">
        <v>14</v>
      </c>
      <c r="M20" s="106">
        <v>4015.2000000000003</v>
      </c>
      <c r="N20" s="106">
        <v>19</v>
      </c>
      <c r="O20" s="106">
        <v>5449.2</v>
      </c>
      <c r="P20" s="106">
        <v>26</v>
      </c>
      <c r="Q20" s="106">
        <v>7456.8</v>
      </c>
      <c r="R20" s="106">
        <v>16</v>
      </c>
      <c r="S20" s="106">
        <v>4588.8</v>
      </c>
      <c r="T20" s="106">
        <v>4</v>
      </c>
      <c r="U20" s="106">
        <v>1147.2</v>
      </c>
      <c r="V20" s="106">
        <v>3</v>
      </c>
      <c r="W20" s="106">
        <v>860.40000000000009</v>
      </c>
      <c r="X20" s="106">
        <v>3</v>
      </c>
      <c r="Y20" s="106">
        <v>860.40000000000009</v>
      </c>
      <c r="Z20" s="106">
        <v>3</v>
      </c>
      <c r="AA20" s="106">
        <v>860.40000000000009</v>
      </c>
      <c r="AB20" s="106">
        <v>3</v>
      </c>
      <c r="AC20" s="106">
        <v>860.40000000000009</v>
      </c>
      <c r="AD20" s="106">
        <v>3</v>
      </c>
      <c r="AE20" s="106">
        <v>860.40000000000009</v>
      </c>
      <c r="AF20" s="106">
        <v>3</v>
      </c>
      <c r="AG20" s="106">
        <v>860.40000000000009</v>
      </c>
      <c r="AH20" s="106">
        <v>4</v>
      </c>
      <c r="AI20" s="106">
        <v>1147.2</v>
      </c>
      <c r="AJ20" s="106">
        <v>11</v>
      </c>
      <c r="AK20" s="106">
        <v>3154.8</v>
      </c>
      <c r="AL20" s="106">
        <v>8</v>
      </c>
      <c r="AM20" s="106">
        <v>2294.4</v>
      </c>
      <c r="AN20" s="106">
        <v>10</v>
      </c>
      <c r="AO20" s="106">
        <v>2868</v>
      </c>
      <c r="AP20" s="106">
        <v>13</v>
      </c>
      <c r="AQ20" s="106">
        <v>3728.4</v>
      </c>
      <c r="AR20" s="106">
        <v>32</v>
      </c>
      <c r="AS20" s="106">
        <v>9177.6</v>
      </c>
      <c r="AT20" s="106">
        <v>35</v>
      </c>
      <c r="AU20" s="106">
        <v>10038</v>
      </c>
      <c r="AV20" s="106">
        <v>37</v>
      </c>
      <c r="AW20" s="106">
        <v>10611.6</v>
      </c>
      <c r="AX20" s="106">
        <v>25</v>
      </c>
      <c r="AY20" s="106">
        <v>7170</v>
      </c>
      <c r="AZ20" s="106">
        <v>3</v>
      </c>
      <c r="BA20" s="106">
        <v>860.40000000000009</v>
      </c>
      <c r="BB20" s="106">
        <v>3</v>
      </c>
      <c r="BC20" s="106">
        <v>860.40000000000009</v>
      </c>
      <c r="BD20" s="106">
        <v>3</v>
      </c>
      <c r="BE20" s="106">
        <v>860.40000000000009</v>
      </c>
      <c r="BF20" s="106">
        <v>3</v>
      </c>
      <c r="BG20" s="106">
        <v>860.40000000000009</v>
      </c>
      <c r="BH20" s="106">
        <v>10</v>
      </c>
      <c r="BI20" s="106">
        <v>2868</v>
      </c>
      <c r="BJ20" s="106">
        <v>14</v>
      </c>
      <c r="BK20" s="106">
        <v>4015.2000000000003</v>
      </c>
      <c r="BL20" s="106">
        <v>15</v>
      </c>
      <c r="BM20" s="106">
        <v>4302</v>
      </c>
      <c r="BN20" s="106">
        <v>14</v>
      </c>
      <c r="BO20" s="106">
        <v>4015.2000000000003</v>
      </c>
      <c r="BP20" s="106">
        <v>3</v>
      </c>
      <c r="BQ20" s="106">
        <v>860.40000000000009</v>
      </c>
      <c r="BR20" s="106">
        <v>4</v>
      </c>
      <c r="BS20" s="106">
        <v>1147.2</v>
      </c>
      <c r="BT20" s="106">
        <v>3</v>
      </c>
      <c r="BU20" s="106">
        <v>860.40000000000009</v>
      </c>
      <c r="BV20" s="106">
        <v>2</v>
      </c>
      <c r="BW20" s="106">
        <v>573.6</v>
      </c>
      <c r="BX20" s="106">
        <v>20</v>
      </c>
      <c r="BY20" s="106">
        <v>5736</v>
      </c>
      <c r="BZ20" s="106">
        <v>24</v>
      </c>
      <c r="CA20" s="106">
        <v>6883.2000000000007</v>
      </c>
      <c r="CB20" s="106">
        <v>16</v>
      </c>
      <c r="CC20" s="106">
        <v>4588.8</v>
      </c>
      <c r="CD20" s="106">
        <v>22</v>
      </c>
      <c r="CE20" s="106">
        <v>6309.6</v>
      </c>
      <c r="CF20" s="106">
        <v>36</v>
      </c>
      <c r="CG20" s="106">
        <v>10324.800000000001</v>
      </c>
      <c r="CH20" s="106">
        <v>22</v>
      </c>
      <c r="CI20" s="106">
        <v>6309.6</v>
      </c>
      <c r="CJ20" s="106">
        <v>22</v>
      </c>
      <c r="CK20" s="106">
        <v>6309.6</v>
      </c>
      <c r="CL20" s="106">
        <v>25</v>
      </c>
      <c r="CM20" s="106">
        <v>7170</v>
      </c>
      <c r="CN20" s="106">
        <v>25</v>
      </c>
      <c r="CO20" s="106">
        <v>7170</v>
      </c>
      <c r="CP20" s="106">
        <v>25</v>
      </c>
      <c r="CQ20" s="106">
        <v>7170</v>
      </c>
      <c r="CR20" s="106">
        <v>17</v>
      </c>
      <c r="CS20" s="106">
        <v>4875.6000000000004</v>
      </c>
      <c r="CT20" s="106">
        <v>18</v>
      </c>
      <c r="CU20" s="106">
        <v>5162.4000000000005</v>
      </c>
    </row>
    <row r="21" spans="2:99" x14ac:dyDescent="0.2">
      <c r="C21" s="105" t="s">
        <v>187</v>
      </c>
      <c r="D21" s="106">
        <v>3</v>
      </c>
      <c r="E21" s="106">
        <v>187.2</v>
      </c>
      <c r="F21" s="106">
        <v>4</v>
      </c>
      <c r="G21" s="106">
        <v>249.6</v>
      </c>
      <c r="H21" s="106">
        <v>4</v>
      </c>
      <c r="I21" s="106">
        <v>249.6</v>
      </c>
      <c r="J21" s="106">
        <v>2</v>
      </c>
      <c r="K21" s="106">
        <v>124.8</v>
      </c>
      <c r="L21" s="106">
        <v>14</v>
      </c>
      <c r="M21" s="106">
        <v>873.6</v>
      </c>
      <c r="N21" s="106">
        <v>20</v>
      </c>
      <c r="O21" s="106">
        <v>1248</v>
      </c>
      <c r="P21" s="106">
        <v>22</v>
      </c>
      <c r="Q21" s="106">
        <v>1372.8</v>
      </c>
      <c r="R21" s="106">
        <v>17</v>
      </c>
      <c r="S21" s="106">
        <v>1060.8</v>
      </c>
      <c r="T21" s="106">
        <v>4</v>
      </c>
      <c r="U21" s="106">
        <v>249.6</v>
      </c>
      <c r="V21" s="106">
        <v>3</v>
      </c>
      <c r="W21" s="106">
        <v>187.2</v>
      </c>
      <c r="X21" s="106">
        <v>3</v>
      </c>
      <c r="Y21" s="106">
        <v>187.2</v>
      </c>
      <c r="Z21" s="106">
        <v>3</v>
      </c>
      <c r="AA21" s="106">
        <v>187.2</v>
      </c>
      <c r="AB21" s="106">
        <v>3</v>
      </c>
      <c r="AC21" s="106">
        <v>187.2</v>
      </c>
      <c r="AD21" s="106">
        <v>3</v>
      </c>
      <c r="AE21" s="106">
        <v>187.2</v>
      </c>
      <c r="AF21" s="106">
        <v>2</v>
      </c>
      <c r="AG21" s="106">
        <v>124.8</v>
      </c>
      <c r="AH21" s="106">
        <v>4</v>
      </c>
      <c r="AI21" s="106">
        <v>249.6</v>
      </c>
      <c r="AJ21" s="106">
        <v>12</v>
      </c>
      <c r="AK21" s="106">
        <v>748.8</v>
      </c>
      <c r="AL21" s="106">
        <v>8</v>
      </c>
      <c r="AM21" s="106">
        <v>499.2</v>
      </c>
      <c r="AN21" s="106">
        <v>10</v>
      </c>
      <c r="AO21" s="106">
        <v>624</v>
      </c>
      <c r="AP21" s="106">
        <v>12</v>
      </c>
      <c r="AQ21" s="106">
        <v>748.8</v>
      </c>
      <c r="AR21" s="106">
        <v>35</v>
      </c>
      <c r="AS21" s="106">
        <v>2184</v>
      </c>
      <c r="AT21" s="106">
        <v>36</v>
      </c>
      <c r="AU21" s="106">
        <v>2246.4</v>
      </c>
      <c r="AV21" s="106">
        <v>40</v>
      </c>
      <c r="AW21" s="106">
        <v>2496</v>
      </c>
      <c r="AX21" s="106">
        <v>24</v>
      </c>
      <c r="AY21" s="106">
        <v>1497.6</v>
      </c>
      <c r="AZ21" s="106">
        <v>3</v>
      </c>
      <c r="BA21" s="106">
        <v>187.2</v>
      </c>
      <c r="BB21" s="106">
        <v>4</v>
      </c>
      <c r="BC21" s="106">
        <v>249.6</v>
      </c>
      <c r="BD21" s="106">
        <v>3</v>
      </c>
      <c r="BE21" s="106">
        <v>187.2</v>
      </c>
      <c r="BF21" s="106">
        <v>3</v>
      </c>
      <c r="BG21" s="106">
        <v>187.2</v>
      </c>
      <c r="BH21" s="106">
        <v>10</v>
      </c>
      <c r="BI21" s="106">
        <v>624</v>
      </c>
      <c r="BJ21" s="106">
        <v>16</v>
      </c>
      <c r="BK21" s="106">
        <v>998.4</v>
      </c>
      <c r="BL21" s="106">
        <v>16</v>
      </c>
      <c r="BM21" s="106">
        <v>998.4</v>
      </c>
      <c r="BN21" s="106">
        <v>15</v>
      </c>
      <c r="BO21" s="106">
        <v>936</v>
      </c>
      <c r="BP21" s="106">
        <v>3</v>
      </c>
      <c r="BQ21" s="106">
        <v>187.2</v>
      </c>
      <c r="BR21" s="106">
        <v>4</v>
      </c>
      <c r="BS21" s="106">
        <v>249.6</v>
      </c>
      <c r="BT21" s="106">
        <v>4</v>
      </c>
      <c r="BU21" s="106">
        <v>249.6</v>
      </c>
      <c r="BV21" s="106">
        <v>2</v>
      </c>
      <c r="BW21" s="106">
        <v>124.8</v>
      </c>
      <c r="BX21" s="106">
        <v>19</v>
      </c>
      <c r="BY21" s="106">
        <v>1185.5999999999999</v>
      </c>
      <c r="BZ21" s="106">
        <v>26</v>
      </c>
      <c r="CA21" s="106">
        <v>1622.3999999999999</v>
      </c>
      <c r="CB21" s="106">
        <v>17</v>
      </c>
      <c r="CC21" s="106">
        <v>1060.8</v>
      </c>
      <c r="CD21" s="106">
        <v>21</v>
      </c>
      <c r="CE21" s="106">
        <v>1310.3999999999999</v>
      </c>
      <c r="CF21" s="106">
        <v>35</v>
      </c>
      <c r="CG21" s="106">
        <v>2184</v>
      </c>
      <c r="CH21" s="106">
        <v>20</v>
      </c>
      <c r="CI21" s="106">
        <v>1248</v>
      </c>
      <c r="CJ21" s="106">
        <v>22</v>
      </c>
      <c r="CK21" s="106">
        <v>1372.8</v>
      </c>
      <c r="CL21" s="106">
        <v>28</v>
      </c>
      <c r="CM21" s="106">
        <v>1747.2</v>
      </c>
      <c r="CN21" s="106">
        <v>29</v>
      </c>
      <c r="CO21" s="106">
        <v>1809.6</v>
      </c>
      <c r="CP21" s="106">
        <v>28</v>
      </c>
      <c r="CQ21" s="106">
        <v>1747.2</v>
      </c>
      <c r="CR21" s="106">
        <v>18</v>
      </c>
      <c r="CS21" s="106">
        <v>1123.2</v>
      </c>
      <c r="CT21" s="106">
        <v>20</v>
      </c>
      <c r="CU21" s="106">
        <v>1248</v>
      </c>
    </row>
    <row r="22" spans="2:99" x14ac:dyDescent="0.2">
      <c r="C22" s="105" t="s">
        <v>188</v>
      </c>
      <c r="D22" s="106">
        <v>3</v>
      </c>
      <c r="E22" s="106">
        <v>561.59999999999991</v>
      </c>
      <c r="F22" s="106">
        <v>4</v>
      </c>
      <c r="G22" s="106">
        <v>748.8</v>
      </c>
      <c r="H22" s="106">
        <v>4</v>
      </c>
      <c r="I22" s="106">
        <v>748.8</v>
      </c>
      <c r="J22" s="106">
        <v>3</v>
      </c>
      <c r="K22" s="106">
        <v>561.59999999999991</v>
      </c>
      <c r="L22" s="106">
        <v>15</v>
      </c>
      <c r="M22" s="106">
        <v>2808</v>
      </c>
      <c r="N22" s="106">
        <v>20</v>
      </c>
      <c r="O22" s="106">
        <v>3744</v>
      </c>
      <c r="P22" s="106">
        <v>23</v>
      </c>
      <c r="Q22" s="106">
        <v>4305.5999999999995</v>
      </c>
      <c r="R22" s="106">
        <v>15</v>
      </c>
      <c r="S22" s="106">
        <v>2808</v>
      </c>
      <c r="T22" s="106">
        <v>5</v>
      </c>
      <c r="U22" s="106">
        <v>936</v>
      </c>
      <c r="V22" s="106">
        <v>3</v>
      </c>
      <c r="W22" s="106">
        <v>561.59999999999991</v>
      </c>
      <c r="X22" s="106">
        <v>3</v>
      </c>
      <c r="Y22" s="106">
        <v>561.59999999999991</v>
      </c>
      <c r="Z22" s="106">
        <v>2</v>
      </c>
      <c r="AA22" s="106">
        <v>374.4</v>
      </c>
      <c r="AB22" s="106">
        <v>3</v>
      </c>
      <c r="AC22" s="106">
        <v>561.59999999999991</v>
      </c>
      <c r="AD22" s="106">
        <v>3</v>
      </c>
      <c r="AE22" s="106">
        <v>561.59999999999991</v>
      </c>
      <c r="AF22" s="106">
        <v>3</v>
      </c>
      <c r="AG22" s="106">
        <v>561.59999999999991</v>
      </c>
      <c r="AH22" s="106">
        <v>4</v>
      </c>
      <c r="AI22" s="106">
        <v>748.8</v>
      </c>
      <c r="AJ22" s="106">
        <v>11</v>
      </c>
      <c r="AK22" s="106">
        <v>2059.1999999999998</v>
      </c>
      <c r="AL22" s="106">
        <v>7</v>
      </c>
      <c r="AM22" s="106">
        <v>1310.3999999999999</v>
      </c>
      <c r="AN22" s="106">
        <v>10</v>
      </c>
      <c r="AO22" s="106">
        <v>1872</v>
      </c>
      <c r="AP22" s="106">
        <v>12</v>
      </c>
      <c r="AQ22" s="106">
        <v>2246.3999999999996</v>
      </c>
      <c r="AR22" s="106">
        <v>32</v>
      </c>
      <c r="AS22" s="106">
        <v>5990.4</v>
      </c>
      <c r="AT22" s="106">
        <v>34</v>
      </c>
      <c r="AU22" s="106">
        <v>6364.7999999999993</v>
      </c>
      <c r="AV22" s="106">
        <v>41</v>
      </c>
      <c r="AW22" s="106">
        <v>7675.2</v>
      </c>
      <c r="AX22" s="106">
        <v>22</v>
      </c>
      <c r="AY22" s="106">
        <v>4118.3999999999996</v>
      </c>
      <c r="AZ22" s="106">
        <v>3</v>
      </c>
      <c r="BA22" s="106">
        <v>561.59999999999991</v>
      </c>
      <c r="BB22" s="106">
        <v>4</v>
      </c>
      <c r="BC22" s="106">
        <v>748.8</v>
      </c>
      <c r="BD22" s="106">
        <v>4</v>
      </c>
      <c r="BE22" s="106">
        <v>748.8</v>
      </c>
      <c r="BF22" s="106">
        <v>3</v>
      </c>
      <c r="BG22" s="106">
        <v>561.59999999999991</v>
      </c>
      <c r="BH22" s="106">
        <v>12</v>
      </c>
      <c r="BI22" s="106">
        <v>2246.3999999999996</v>
      </c>
      <c r="BJ22" s="106">
        <v>15</v>
      </c>
      <c r="BK22" s="106">
        <v>2808</v>
      </c>
      <c r="BL22" s="106">
        <v>15</v>
      </c>
      <c r="BM22" s="106">
        <v>2808</v>
      </c>
      <c r="BN22" s="106">
        <v>14</v>
      </c>
      <c r="BO22" s="106">
        <v>2620.7999999999997</v>
      </c>
      <c r="BP22" s="106">
        <v>3</v>
      </c>
      <c r="BQ22" s="106">
        <v>561.59999999999991</v>
      </c>
      <c r="BR22" s="106">
        <v>4</v>
      </c>
      <c r="BS22" s="106">
        <v>748.8</v>
      </c>
      <c r="BT22" s="106">
        <v>3</v>
      </c>
      <c r="BU22" s="106">
        <v>561.59999999999991</v>
      </c>
      <c r="BV22" s="106">
        <v>2</v>
      </c>
      <c r="BW22" s="106">
        <v>374.4</v>
      </c>
      <c r="BX22" s="106">
        <v>18</v>
      </c>
      <c r="BY22" s="106">
        <v>3369.6</v>
      </c>
      <c r="BZ22" s="106">
        <v>22</v>
      </c>
      <c r="CA22" s="106">
        <v>4118.3999999999996</v>
      </c>
      <c r="CB22" s="106">
        <v>14</v>
      </c>
      <c r="CC22" s="106">
        <v>2620.7999999999997</v>
      </c>
      <c r="CD22" s="106">
        <v>20</v>
      </c>
      <c r="CE22" s="106">
        <v>3744</v>
      </c>
      <c r="CF22" s="106">
        <v>34</v>
      </c>
      <c r="CG22" s="106">
        <v>6364.7999999999993</v>
      </c>
      <c r="CH22" s="106">
        <v>20</v>
      </c>
      <c r="CI22" s="106">
        <v>3744</v>
      </c>
      <c r="CJ22" s="106">
        <v>22</v>
      </c>
      <c r="CK22" s="106">
        <v>4118.3999999999996</v>
      </c>
      <c r="CL22" s="106">
        <v>24</v>
      </c>
      <c r="CM22" s="106">
        <v>4492.7999999999993</v>
      </c>
      <c r="CN22" s="106">
        <v>27</v>
      </c>
      <c r="CO22" s="106">
        <v>5054.3999999999996</v>
      </c>
      <c r="CP22" s="106">
        <v>27</v>
      </c>
      <c r="CQ22" s="106">
        <v>5054.3999999999996</v>
      </c>
      <c r="CR22" s="106">
        <v>18</v>
      </c>
      <c r="CS22" s="106">
        <v>3369.6</v>
      </c>
      <c r="CT22" s="106">
        <v>19</v>
      </c>
      <c r="CU22" s="106">
        <v>3556.7999999999997</v>
      </c>
    </row>
    <row r="23" spans="2:99" x14ac:dyDescent="0.2">
      <c r="C23" s="105" t="s">
        <v>189</v>
      </c>
      <c r="D23" s="106">
        <v>3</v>
      </c>
      <c r="E23" s="106">
        <v>882</v>
      </c>
      <c r="F23" s="106">
        <v>3</v>
      </c>
      <c r="G23" s="106">
        <v>882</v>
      </c>
      <c r="H23" s="106">
        <v>4</v>
      </c>
      <c r="I23" s="106">
        <v>1176</v>
      </c>
      <c r="J23" s="106">
        <v>3</v>
      </c>
      <c r="K23" s="106">
        <v>882</v>
      </c>
      <c r="L23" s="106">
        <v>14</v>
      </c>
      <c r="M23" s="106">
        <v>4116</v>
      </c>
      <c r="N23" s="106">
        <v>20</v>
      </c>
      <c r="O23" s="106">
        <v>5880</v>
      </c>
      <c r="P23" s="106">
        <v>23</v>
      </c>
      <c r="Q23" s="106">
        <v>6762</v>
      </c>
      <c r="R23" s="106">
        <v>16</v>
      </c>
      <c r="S23" s="106">
        <v>4704</v>
      </c>
      <c r="T23" s="106">
        <v>4</v>
      </c>
      <c r="U23" s="106">
        <v>1176</v>
      </c>
      <c r="V23" s="106">
        <v>3</v>
      </c>
      <c r="W23" s="106">
        <v>882</v>
      </c>
      <c r="X23" s="106">
        <v>3</v>
      </c>
      <c r="Y23" s="106">
        <v>882</v>
      </c>
      <c r="Z23" s="106">
        <v>2</v>
      </c>
      <c r="AA23" s="106">
        <v>588</v>
      </c>
      <c r="AB23" s="106">
        <v>3</v>
      </c>
      <c r="AC23" s="106">
        <v>882</v>
      </c>
      <c r="AD23" s="106">
        <v>3</v>
      </c>
      <c r="AE23" s="106">
        <v>882</v>
      </c>
      <c r="AF23" s="106">
        <v>2</v>
      </c>
      <c r="AG23" s="106">
        <v>588</v>
      </c>
      <c r="AH23" s="106">
        <v>4</v>
      </c>
      <c r="AI23" s="106">
        <v>1176</v>
      </c>
      <c r="AJ23" s="106">
        <v>12</v>
      </c>
      <c r="AK23" s="106">
        <v>3528</v>
      </c>
      <c r="AL23" s="106">
        <v>7</v>
      </c>
      <c r="AM23" s="106">
        <v>2058</v>
      </c>
      <c r="AN23" s="106">
        <v>10</v>
      </c>
      <c r="AO23" s="106">
        <v>2940</v>
      </c>
      <c r="AP23" s="106">
        <v>13</v>
      </c>
      <c r="AQ23" s="106">
        <v>3822</v>
      </c>
      <c r="AR23" s="106">
        <v>29</v>
      </c>
      <c r="AS23" s="106">
        <v>8526</v>
      </c>
      <c r="AT23" s="106">
        <v>31</v>
      </c>
      <c r="AU23" s="106">
        <v>9114</v>
      </c>
      <c r="AV23" s="106">
        <v>34</v>
      </c>
      <c r="AW23" s="106">
        <v>9996</v>
      </c>
      <c r="AX23" s="106">
        <v>25</v>
      </c>
      <c r="AY23" s="106">
        <v>7350</v>
      </c>
      <c r="AZ23" s="106">
        <v>2</v>
      </c>
      <c r="BA23" s="106">
        <v>588</v>
      </c>
      <c r="BB23" s="106">
        <v>4</v>
      </c>
      <c r="BC23" s="106">
        <v>1176</v>
      </c>
      <c r="BD23" s="106">
        <v>3</v>
      </c>
      <c r="BE23" s="106">
        <v>882</v>
      </c>
      <c r="BF23" s="106">
        <v>3</v>
      </c>
      <c r="BG23" s="106">
        <v>882</v>
      </c>
      <c r="BH23" s="106">
        <v>10</v>
      </c>
      <c r="BI23" s="106">
        <v>2940</v>
      </c>
      <c r="BJ23" s="106">
        <v>14</v>
      </c>
      <c r="BK23" s="106">
        <v>4116</v>
      </c>
      <c r="BL23" s="106">
        <v>16</v>
      </c>
      <c r="BM23" s="106">
        <v>4704</v>
      </c>
      <c r="BN23" s="106">
        <v>13</v>
      </c>
      <c r="BO23" s="106">
        <v>3822</v>
      </c>
      <c r="BP23" s="106">
        <v>3</v>
      </c>
      <c r="BQ23" s="106">
        <v>882</v>
      </c>
      <c r="BR23" s="106">
        <v>4</v>
      </c>
      <c r="BS23" s="106">
        <v>1176</v>
      </c>
      <c r="BT23" s="106">
        <v>4</v>
      </c>
      <c r="BU23" s="106">
        <v>1176</v>
      </c>
      <c r="BV23" s="106">
        <v>2</v>
      </c>
      <c r="BW23" s="106">
        <v>588</v>
      </c>
      <c r="BX23" s="106">
        <v>18</v>
      </c>
      <c r="BY23" s="106">
        <v>5292</v>
      </c>
      <c r="BZ23" s="106">
        <v>25</v>
      </c>
      <c r="CA23" s="106">
        <v>7350</v>
      </c>
      <c r="CB23" s="106">
        <v>14</v>
      </c>
      <c r="CC23" s="106">
        <v>4116</v>
      </c>
      <c r="CD23" s="106">
        <v>23</v>
      </c>
      <c r="CE23" s="106">
        <v>6762</v>
      </c>
      <c r="CF23" s="106">
        <v>36</v>
      </c>
      <c r="CG23" s="106">
        <v>10584</v>
      </c>
      <c r="CH23" s="106">
        <v>19</v>
      </c>
      <c r="CI23" s="106">
        <v>5586</v>
      </c>
      <c r="CJ23" s="106">
        <v>20</v>
      </c>
      <c r="CK23" s="106">
        <v>5880</v>
      </c>
      <c r="CL23" s="106">
        <v>24</v>
      </c>
      <c r="CM23" s="106">
        <v>7056</v>
      </c>
      <c r="CN23" s="106">
        <v>26</v>
      </c>
      <c r="CO23" s="106">
        <v>7644</v>
      </c>
      <c r="CP23" s="106">
        <v>28</v>
      </c>
      <c r="CQ23" s="106">
        <v>8232</v>
      </c>
      <c r="CR23" s="106">
        <v>15</v>
      </c>
      <c r="CS23" s="106">
        <v>4410</v>
      </c>
      <c r="CT23" s="106">
        <v>20</v>
      </c>
      <c r="CU23" s="106">
        <v>5880</v>
      </c>
    </row>
    <row r="24" spans="2:99" x14ac:dyDescent="0.2">
      <c r="C24" s="105" t="s">
        <v>190</v>
      </c>
      <c r="D24" s="106">
        <v>3</v>
      </c>
      <c r="E24" s="106">
        <v>1101.5999999999999</v>
      </c>
      <c r="F24" s="106">
        <v>4</v>
      </c>
      <c r="G24" s="106">
        <v>1468.8</v>
      </c>
      <c r="H24" s="106">
        <v>4</v>
      </c>
      <c r="I24" s="106">
        <v>1468.8</v>
      </c>
      <c r="J24" s="106">
        <v>2</v>
      </c>
      <c r="K24" s="106">
        <v>734.4</v>
      </c>
      <c r="L24" s="106">
        <v>13</v>
      </c>
      <c r="M24" s="106">
        <v>4773.5999999999995</v>
      </c>
      <c r="N24" s="106">
        <v>21</v>
      </c>
      <c r="O24" s="106">
        <v>7711.2</v>
      </c>
      <c r="P24" s="106">
        <v>24</v>
      </c>
      <c r="Q24" s="106">
        <v>8812.7999999999993</v>
      </c>
      <c r="R24" s="106">
        <v>16</v>
      </c>
      <c r="S24" s="106">
        <v>5875.2</v>
      </c>
      <c r="T24" s="106">
        <v>4</v>
      </c>
      <c r="U24" s="106">
        <v>1468.8</v>
      </c>
      <c r="V24" s="106">
        <v>3</v>
      </c>
      <c r="W24" s="106">
        <v>1101.5999999999999</v>
      </c>
      <c r="X24" s="106">
        <v>3</v>
      </c>
      <c r="Y24" s="106">
        <v>1101.5999999999999</v>
      </c>
      <c r="Z24" s="106">
        <v>2</v>
      </c>
      <c r="AA24" s="106">
        <v>734.4</v>
      </c>
      <c r="AB24" s="106">
        <v>3</v>
      </c>
      <c r="AC24" s="106">
        <v>1101.5999999999999</v>
      </c>
      <c r="AD24" s="106">
        <v>3</v>
      </c>
      <c r="AE24" s="106">
        <v>1101.5999999999999</v>
      </c>
      <c r="AF24" s="106">
        <v>2</v>
      </c>
      <c r="AG24" s="106">
        <v>734.4</v>
      </c>
      <c r="AH24" s="106">
        <v>4</v>
      </c>
      <c r="AI24" s="106">
        <v>1468.8</v>
      </c>
      <c r="AJ24" s="106">
        <v>10</v>
      </c>
      <c r="AK24" s="106">
        <v>3672</v>
      </c>
      <c r="AL24" s="106">
        <v>7</v>
      </c>
      <c r="AM24" s="106">
        <v>2570.4</v>
      </c>
      <c r="AN24" s="106">
        <v>10</v>
      </c>
      <c r="AO24" s="106">
        <v>3672</v>
      </c>
      <c r="AP24" s="106">
        <v>12</v>
      </c>
      <c r="AQ24" s="106">
        <v>4406.3999999999996</v>
      </c>
      <c r="AR24" s="106">
        <v>30</v>
      </c>
      <c r="AS24" s="106">
        <v>11016</v>
      </c>
      <c r="AT24" s="106">
        <v>35</v>
      </c>
      <c r="AU24" s="106">
        <v>12852</v>
      </c>
      <c r="AV24" s="106">
        <v>38</v>
      </c>
      <c r="AW24" s="106">
        <v>13953.6</v>
      </c>
      <c r="AX24" s="106">
        <v>23</v>
      </c>
      <c r="AY24" s="106">
        <v>8445.6</v>
      </c>
      <c r="AZ24" s="106">
        <v>2</v>
      </c>
      <c r="BA24" s="106">
        <v>734.4</v>
      </c>
      <c r="BB24" s="106">
        <v>3</v>
      </c>
      <c r="BC24" s="106">
        <v>1101.5999999999999</v>
      </c>
      <c r="BD24" s="106">
        <v>4</v>
      </c>
      <c r="BE24" s="106">
        <v>1468.8</v>
      </c>
      <c r="BF24" s="106">
        <v>3</v>
      </c>
      <c r="BG24" s="106">
        <v>1101.5999999999999</v>
      </c>
      <c r="BH24" s="106">
        <v>10</v>
      </c>
      <c r="BI24" s="106">
        <v>3672</v>
      </c>
      <c r="BJ24" s="106">
        <v>14</v>
      </c>
      <c r="BK24" s="106">
        <v>5140.8</v>
      </c>
      <c r="BL24" s="106">
        <v>15</v>
      </c>
      <c r="BM24" s="106">
        <v>5508</v>
      </c>
      <c r="BN24" s="106">
        <v>14</v>
      </c>
      <c r="BO24" s="106">
        <v>5140.8</v>
      </c>
      <c r="BP24" s="106">
        <v>3</v>
      </c>
      <c r="BQ24" s="106">
        <v>1101.5999999999999</v>
      </c>
      <c r="BR24" s="106">
        <v>4</v>
      </c>
      <c r="BS24" s="106">
        <v>1468.8</v>
      </c>
      <c r="BT24" s="106">
        <v>3</v>
      </c>
      <c r="BU24" s="106">
        <v>1101.5999999999999</v>
      </c>
      <c r="BV24" s="106">
        <v>2</v>
      </c>
      <c r="BW24" s="106">
        <v>734.4</v>
      </c>
      <c r="BX24" s="106">
        <v>18</v>
      </c>
      <c r="BY24" s="106">
        <v>6609.5999999999995</v>
      </c>
      <c r="BZ24" s="106">
        <v>25</v>
      </c>
      <c r="CA24" s="106">
        <v>9180</v>
      </c>
      <c r="CB24" s="106">
        <v>17</v>
      </c>
      <c r="CC24" s="106">
        <v>6242.4</v>
      </c>
      <c r="CD24" s="106">
        <v>22</v>
      </c>
      <c r="CE24" s="106">
        <v>8078.4</v>
      </c>
      <c r="CF24" s="106">
        <v>34</v>
      </c>
      <c r="CG24" s="106">
        <v>12484.8</v>
      </c>
      <c r="CH24" s="106">
        <v>20</v>
      </c>
      <c r="CI24" s="106">
        <v>7344</v>
      </c>
      <c r="CJ24" s="106">
        <v>19</v>
      </c>
      <c r="CK24" s="106">
        <v>6976.8</v>
      </c>
      <c r="CL24" s="106">
        <v>24</v>
      </c>
      <c r="CM24" s="106">
        <v>8812.7999999999993</v>
      </c>
      <c r="CN24" s="106">
        <v>25</v>
      </c>
      <c r="CO24" s="106">
        <v>9180</v>
      </c>
      <c r="CP24" s="106">
        <v>25</v>
      </c>
      <c r="CQ24" s="106">
        <v>9180</v>
      </c>
      <c r="CR24" s="106">
        <v>16</v>
      </c>
      <c r="CS24" s="106">
        <v>5875.2</v>
      </c>
      <c r="CT24" s="106">
        <v>20</v>
      </c>
      <c r="CU24" s="106">
        <v>7344</v>
      </c>
    </row>
    <row r="25" spans="2:99" x14ac:dyDescent="0.2">
      <c r="C25" s="105" t="s">
        <v>191</v>
      </c>
      <c r="D25" s="106">
        <v>3</v>
      </c>
      <c r="E25" s="106">
        <v>1591.1999999999998</v>
      </c>
      <c r="F25" s="106">
        <v>4</v>
      </c>
      <c r="G25" s="106">
        <v>2121.6</v>
      </c>
      <c r="H25" s="106">
        <v>4</v>
      </c>
      <c r="I25" s="106">
        <v>2121.6</v>
      </c>
      <c r="J25" s="106">
        <v>3</v>
      </c>
      <c r="K25" s="106">
        <v>1591.1999999999998</v>
      </c>
      <c r="L25" s="106">
        <v>14</v>
      </c>
      <c r="M25" s="106">
        <v>7425.5999999999995</v>
      </c>
      <c r="N25" s="106">
        <v>21</v>
      </c>
      <c r="O25" s="106">
        <v>11138.4</v>
      </c>
      <c r="P25" s="106">
        <v>22</v>
      </c>
      <c r="Q25" s="106">
        <v>11668.8</v>
      </c>
      <c r="R25" s="106">
        <v>16</v>
      </c>
      <c r="S25" s="106">
        <v>8486.4</v>
      </c>
      <c r="T25" s="106">
        <v>4</v>
      </c>
      <c r="U25" s="106">
        <v>2121.6</v>
      </c>
      <c r="V25" s="106">
        <v>3</v>
      </c>
      <c r="W25" s="106">
        <v>1591.1999999999998</v>
      </c>
      <c r="X25" s="106">
        <v>3</v>
      </c>
      <c r="Y25" s="106">
        <v>1591.1999999999998</v>
      </c>
      <c r="Z25" s="106">
        <v>2</v>
      </c>
      <c r="AA25" s="106">
        <v>1060.8</v>
      </c>
      <c r="AB25" s="106">
        <v>3</v>
      </c>
      <c r="AC25" s="106">
        <v>1591.1999999999998</v>
      </c>
      <c r="AD25" s="106">
        <v>3</v>
      </c>
      <c r="AE25" s="106">
        <v>1591.1999999999998</v>
      </c>
      <c r="AF25" s="106">
        <v>3</v>
      </c>
      <c r="AG25" s="106">
        <v>1591.1999999999998</v>
      </c>
      <c r="AH25" s="106">
        <v>4</v>
      </c>
      <c r="AI25" s="106">
        <v>2121.6</v>
      </c>
      <c r="AJ25" s="106">
        <v>10</v>
      </c>
      <c r="AK25" s="106">
        <v>5304</v>
      </c>
      <c r="AL25" s="106">
        <v>8</v>
      </c>
      <c r="AM25" s="106">
        <v>4243.2</v>
      </c>
      <c r="AN25" s="106">
        <v>10</v>
      </c>
      <c r="AO25" s="106">
        <v>5304</v>
      </c>
      <c r="AP25" s="106">
        <v>12</v>
      </c>
      <c r="AQ25" s="106">
        <v>6364.7999999999993</v>
      </c>
      <c r="AR25" s="106">
        <v>27</v>
      </c>
      <c r="AS25" s="106">
        <v>14320.8</v>
      </c>
      <c r="AT25" s="106">
        <v>33</v>
      </c>
      <c r="AU25" s="106">
        <v>17503.2</v>
      </c>
      <c r="AV25" s="106">
        <v>36</v>
      </c>
      <c r="AW25" s="106">
        <v>19094.399999999998</v>
      </c>
      <c r="AX25" s="106">
        <v>23</v>
      </c>
      <c r="AY25" s="106">
        <v>12199.199999999999</v>
      </c>
      <c r="AZ25" s="106">
        <v>2</v>
      </c>
      <c r="BA25" s="106">
        <v>1060.8</v>
      </c>
      <c r="BB25" s="106">
        <v>4</v>
      </c>
      <c r="BC25" s="106">
        <v>2121.6</v>
      </c>
      <c r="BD25" s="106">
        <v>4</v>
      </c>
      <c r="BE25" s="106">
        <v>2121.6</v>
      </c>
      <c r="BF25" s="106">
        <v>3</v>
      </c>
      <c r="BG25" s="106">
        <v>1591.1999999999998</v>
      </c>
      <c r="BH25" s="106">
        <v>9</v>
      </c>
      <c r="BI25" s="106">
        <v>4773.5999999999995</v>
      </c>
      <c r="BJ25" s="106">
        <v>14</v>
      </c>
      <c r="BK25" s="106">
        <v>7425.5999999999995</v>
      </c>
      <c r="BL25" s="106">
        <v>15</v>
      </c>
      <c r="BM25" s="106">
        <v>7956</v>
      </c>
      <c r="BN25" s="106">
        <v>13</v>
      </c>
      <c r="BO25" s="106">
        <v>6895.2</v>
      </c>
      <c r="BP25" s="106">
        <v>3</v>
      </c>
      <c r="BQ25" s="106">
        <v>1591.1999999999998</v>
      </c>
      <c r="BR25" s="106">
        <v>3</v>
      </c>
      <c r="BS25" s="106">
        <v>1591.1999999999998</v>
      </c>
      <c r="BT25" s="106">
        <v>4</v>
      </c>
      <c r="BU25" s="106">
        <v>2121.6</v>
      </c>
      <c r="BV25" s="106">
        <v>2</v>
      </c>
      <c r="BW25" s="106">
        <v>1060.8</v>
      </c>
      <c r="BX25" s="106">
        <v>20</v>
      </c>
      <c r="BY25" s="106">
        <v>10608</v>
      </c>
      <c r="BZ25" s="106">
        <v>23</v>
      </c>
      <c r="CA25" s="106">
        <v>12199.199999999999</v>
      </c>
      <c r="CB25" s="106">
        <v>15</v>
      </c>
      <c r="CC25" s="106">
        <v>7956</v>
      </c>
      <c r="CD25" s="106">
        <v>19</v>
      </c>
      <c r="CE25" s="106">
        <v>10077.6</v>
      </c>
      <c r="CF25" s="106">
        <v>34</v>
      </c>
      <c r="CG25" s="106">
        <v>18033.599999999999</v>
      </c>
      <c r="CH25" s="106">
        <v>18</v>
      </c>
      <c r="CI25" s="106">
        <v>9547.1999999999989</v>
      </c>
      <c r="CJ25" s="106">
        <v>18</v>
      </c>
      <c r="CK25" s="106">
        <v>9547.1999999999989</v>
      </c>
      <c r="CL25" s="106">
        <v>27</v>
      </c>
      <c r="CM25" s="106">
        <v>14320.8</v>
      </c>
      <c r="CN25" s="106">
        <v>24</v>
      </c>
      <c r="CO25" s="106">
        <v>12729.599999999999</v>
      </c>
      <c r="CP25" s="106">
        <v>27</v>
      </c>
      <c r="CQ25" s="106">
        <v>14320.8</v>
      </c>
      <c r="CR25" s="106">
        <v>16</v>
      </c>
      <c r="CS25" s="106">
        <v>8486.4</v>
      </c>
      <c r="CT25" s="106">
        <v>17</v>
      </c>
      <c r="CU25" s="106">
        <v>9016.7999999999993</v>
      </c>
    </row>
    <row r="26" spans="2:99" x14ac:dyDescent="0.2">
      <c r="C26" s="105" t="s">
        <v>192</v>
      </c>
      <c r="D26" s="106">
        <v>3</v>
      </c>
      <c r="E26" s="106">
        <v>1458</v>
      </c>
      <c r="F26" s="106">
        <v>3</v>
      </c>
      <c r="G26" s="106">
        <v>1458</v>
      </c>
      <c r="H26" s="106">
        <v>4</v>
      </c>
      <c r="I26" s="106">
        <v>1944</v>
      </c>
      <c r="J26" s="106">
        <v>3</v>
      </c>
      <c r="K26" s="106">
        <v>1458</v>
      </c>
      <c r="L26" s="106">
        <v>14</v>
      </c>
      <c r="M26" s="106">
        <v>6804</v>
      </c>
      <c r="N26" s="106">
        <v>21</v>
      </c>
      <c r="O26" s="106">
        <v>10206</v>
      </c>
      <c r="P26" s="106">
        <v>23</v>
      </c>
      <c r="Q26" s="106">
        <v>11178</v>
      </c>
      <c r="R26" s="106">
        <v>15</v>
      </c>
      <c r="S26" s="106">
        <v>7290</v>
      </c>
      <c r="T26" s="106">
        <v>4</v>
      </c>
      <c r="U26" s="106">
        <v>1944</v>
      </c>
      <c r="V26" s="106">
        <v>3</v>
      </c>
      <c r="W26" s="106">
        <v>1458</v>
      </c>
      <c r="X26" s="106">
        <v>3</v>
      </c>
      <c r="Y26" s="106">
        <v>1458</v>
      </c>
      <c r="Z26" s="106">
        <v>2</v>
      </c>
      <c r="AA26" s="106">
        <v>972</v>
      </c>
      <c r="AB26" s="106">
        <v>3</v>
      </c>
      <c r="AC26" s="106">
        <v>1458</v>
      </c>
      <c r="AD26" s="106">
        <v>3</v>
      </c>
      <c r="AE26" s="106">
        <v>1458</v>
      </c>
      <c r="AF26" s="106">
        <v>3</v>
      </c>
      <c r="AG26" s="106">
        <v>1458</v>
      </c>
      <c r="AH26" s="106">
        <v>4</v>
      </c>
      <c r="AI26" s="106">
        <v>1944</v>
      </c>
      <c r="AJ26" s="106">
        <v>11</v>
      </c>
      <c r="AK26" s="106">
        <v>5346</v>
      </c>
      <c r="AL26" s="106">
        <v>8</v>
      </c>
      <c r="AM26" s="106">
        <v>3888</v>
      </c>
      <c r="AN26" s="106">
        <v>10</v>
      </c>
      <c r="AO26" s="106">
        <v>4860</v>
      </c>
      <c r="AP26" s="106">
        <v>13</v>
      </c>
      <c r="AQ26" s="106">
        <v>6318</v>
      </c>
      <c r="AR26" s="106">
        <v>27</v>
      </c>
      <c r="AS26" s="106">
        <v>13122</v>
      </c>
      <c r="AT26" s="106">
        <v>32</v>
      </c>
      <c r="AU26" s="106">
        <v>15552</v>
      </c>
      <c r="AV26" s="106">
        <v>35</v>
      </c>
      <c r="AW26" s="106">
        <v>17010</v>
      </c>
      <c r="AX26" s="106">
        <v>23</v>
      </c>
      <c r="AY26" s="106">
        <v>11178</v>
      </c>
      <c r="AZ26" s="106">
        <v>3</v>
      </c>
      <c r="BA26" s="106">
        <v>1458</v>
      </c>
      <c r="BB26" s="106">
        <v>4</v>
      </c>
      <c r="BC26" s="106">
        <v>1944</v>
      </c>
      <c r="BD26" s="106">
        <v>3</v>
      </c>
      <c r="BE26" s="106">
        <v>1458</v>
      </c>
      <c r="BF26" s="106">
        <v>3</v>
      </c>
      <c r="BG26" s="106">
        <v>1458</v>
      </c>
      <c r="BH26" s="106">
        <v>11</v>
      </c>
      <c r="BI26" s="106">
        <v>5346</v>
      </c>
      <c r="BJ26" s="106">
        <v>13</v>
      </c>
      <c r="BK26" s="106">
        <v>6318</v>
      </c>
      <c r="BL26" s="106">
        <v>15</v>
      </c>
      <c r="BM26" s="106">
        <v>7290</v>
      </c>
      <c r="BN26" s="106">
        <v>14</v>
      </c>
      <c r="BO26" s="106">
        <v>6804</v>
      </c>
      <c r="BP26" s="106">
        <v>3</v>
      </c>
      <c r="BQ26" s="106">
        <v>1458</v>
      </c>
      <c r="BR26" s="106">
        <v>4</v>
      </c>
      <c r="BS26" s="106">
        <v>1944</v>
      </c>
      <c r="BT26" s="106">
        <v>3</v>
      </c>
      <c r="BU26" s="106">
        <v>1458</v>
      </c>
      <c r="BV26" s="106">
        <v>2</v>
      </c>
      <c r="BW26" s="106">
        <v>972</v>
      </c>
      <c r="BX26" s="106">
        <v>18</v>
      </c>
      <c r="BY26" s="106">
        <v>8748</v>
      </c>
      <c r="BZ26" s="106">
        <v>24</v>
      </c>
      <c r="CA26" s="106">
        <v>11664</v>
      </c>
      <c r="CB26" s="106">
        <v>15</v>
      </c>
      <c r="CC26" s="106">
        <v>7290</v>
      </c>
      <c r="CD26" s="106">
        <v>20</v>
      </c>
      <c r="CE26" s="106">
        <v>9720</v>
      </c>
      <c r="CF26" s="106">
        <v>32</v>
      </c>
      <c r="CG26" s="106">
        <v>15552</v>
      </c>
      <c r="CH26" s="106">
        <v>21</v>
      </c>
      <c r="CI26" s="106">
        <v>10206</v>
      </c>
      <c r="CJ26" s="106">
        <v>20</v>
      </c>
      <c r="CK26" s="106">
        <v>9720</v>
      </c>
      <c r="CL26" s="106">
        <v>23</v>
      </c>
      <c r="CM26" s="106">
        <v>11178</v>
      </c>
      <c r="CN26" s="106">
        <v>27</v>
      </c>
      <c r="CO26" s="106">
        <v>13122</v>
      </c>
      <c r="CP26" s="106">
        <v>27</v>
      </c>
      <c r="CQ26" s="106">
        <v>13122</v>
      </c>
      <c r="CR26" s="106">
        <v>16</v>
      </c>
      <c r="CS26" s="106">
        <v>7776</v>
      </c>
      <c r="CT26" s="106">
        <v>18</v>
      </c>
      <c r="CU26" s="106">
        <v>8748</v>
      </c>
    </row>
    <row r="27" spans="2:99" x14ac:dyDescent="0.2">
      <c r="C27" s="105" t="s">
        <v>193</v>
      </c>
      <c r="D27" s="106">
        <v>3</v>
      </c>
      <c r="E27" s="106">
        <v>1281.5999999999999</v>
      </c>
      <c r="F27" s="106">
        <v>3</v>
      </c>
      <c r="G27" s="106">
        <v>1281.5999999999999</v>
      </c>
      <c r="H27" s="106">
        <v>4</v>
      </c>
      <c r="I27" s="106">
        <v>1708.8</v>
      </c>
      <c r="J27" s="106">
        <v>3</v>
      </c>
      <c r="K27" s="106">
        <v>1281.5999999999999</v>
      </c>
      <c r="L27" s="106">
        <v>13</v>
      </c>
      <c r="M27" s="106">
        <v>5553.5999999999995</v>
      </c>
      <c r="N27" s="106">
        <v>18</v>
      </c>
      <c r="O27" s="106">
        <v>7689.5999999999995</v>
      </c>
      <c r="P27" s="106">
        <v>24</v>
      </c>
      <c r="Q27" s="106">
        <v>10252.799999999999</v>
      </c>
      <c r="R27" s="106">
        <v>17</v>
      </c>
      <c r="S27" s="106">
        <v>7262.4</v>
      </c>
      <c r="T27" s="106">
        <v>4</v>
      </c>
      <c r="U27" s="106">
        <v>1708.8</v>
      </c>
      <c r="V27" s="106">
        <v>3</v>
      </c>
      <c r="W27" s="106">
        <v>1281.5999999999999</v>
      </c>
      <c r="X27" s="106">
        <v>3</v>
      </c>
      <c r="Y27" s="106">
        <v>1281.5999999999999</v>
      </c>
      <c r="Z27" s="106">
        <v>3</v>
      </c>
      <c r="AA27" s="106">
        <v>1281.5999999999999</v>
      </c>
      <c r="AB27" s="106">
        <v>3</v>
      </c>
      <c r="AC27" s="106">
        <v>1281.5999999999999</v>
      </c>
      <c r="AD27" s="106">
        <v>3</v>
      </c>
      <c r="AE27" s="106">
        <v>1281.5999999999999</v>
      </c>
      <c r="AF27" s="106">
        <v>2</v>
      </c>
      <c r="AG27" s="106">
        <v>854.4</v>
      </c>
      <c r="AH27" s="106">
        <v>4</v>
      </c>
      <c r="AI27" s="106">
        <v>1708.8</v>
      </c>
      <c r="AJ27" s="106">
        <v>10</v>
      </c>
      <c r="AK27" s="106">
        <v>4272</v>
      </c>
      <c r="AL27" s="106">
        <v>7</v>
      </c>
      <c r="AM27" s="106">
        <v>2990.4</v>
      </c>
      <c r="AN27" s="106">
        <v>9</v>
      </c>
      <c r="AO27" s="106">
        <v>3844.7999999999997</v>
      </c>
      <c r="AP27" s="106">
        <v>11</v>
      </c>
      <c r="AQ27" s="106">
        <v>4699.2</v>
      </c>
      <c r="AR27" s="106">
        <v>32</v>
      </c>
      <c r="AS27" s="106">
        <v>13670.4</v>
      </c>
      <c r="AT27" s="106">
        <v>33</v>
      </c>
      <c r="AU27" s="106">
        <v>14097.6</v>
      </c>
      <c r="AV27" s="106">
        <v>34</v>
      </c>
      <c r="AW27" s="106">
        <v>14524.8</v>
      </c>
      <c r="AX27" s="106">
        <v>23</v>
      </c>
      <c r="AY27" s="106">
        <v>9825.6</v>
      </c>
      <c r="AZ27" s="106">
        <v>2</v>
      </c>
      <c r="BA27" s="106">
        <v>854.4</v>
      </c>
      <c r="BB27" s="106">
        <v>3</v>
      </c>
      <c r="BC27" s="106">
        <v>1281.5999999999999</v>
      </c>
      <c r="BD27" s="106">
        <v>4</v>
      </c>
      <c r="BE27" s="106">
        <v>1708.8</v>
      </c>
      <c r="BF27" s="106">
        <v>3</v>
      </c>
      <c r="BG27" s="106">
        <v>1281.5999999999999</v>
      </c>
      <c r="BH27" s="106">
        <v>11</v>
      </c>
      <c r="BI27" s="106">
        <v>4699.2</v>
      </c>
      <c r="BJ27" s="106">
        <v>15</v>
      </c>
      <c r="BK27" s="106">
        <v>6408</v>
      </c>
      <c r="BL27" s="106">
        <v>16</v>
      </c>
      <c r="BM27" s="106">
        <v>6835.2</v>
      </c>
      <c r="BN27" s="106">
        <v>15</v>
      </c>
      <c r="BO27" s="106">
        <v>6408</v>
      </c>
      <c r="BP27" s="106">
        <v>3</v>
      </c>
      <c r="BQ27" s="106">
        <v>1281.5999999999999</v>
      </c>
      <c r="BR27" s="106">
        <v>4</v>
      </c>
      <c r="BS27" s="106">
        <v>1708.8</v>
      </c>
      <c r="BT27" s="106">
        <v>4</v>
      </c>
      <c r="BU27" s="106">
        <v>1708.8</v>
      </c>
      <c r="BV27" s="106">
        <v>2</v>
      </c>
      <c r="BW27" s="106">
        <v>854.4</v>
      </c>
      <c r="BX27" s="106">
        <v>19</v>
      </c>
      <c r="BY27" s="106">
        <v>8116.8</v>
      </c>
      <c r="BZ27" s="106">
        <v>25</v>
      </c>
      <c r="CA27" s="106">
        <v>10680</v>
      </c>
      <c r="CB27" s="106">
        <v>14</v>
      </c>
      <c r="CC27" s="106">
        <v>5980.8</v>
      </c>
      <c r="CD27" s="106">
        <v>20</v>
      </c>
      <c r="CE27" s="106">
        <v>8544</v>
      </c>
      <c r="CF27" s="106">
        <v>30</v>
      </c>
      <c r="CG27" s="106">
        <v>12816</v>
      </c>
      <c r="CH27" s="106">
        <v>20</v>
      </c>
      <c r="CI27" s="106">
        <v>8544</v>
      </c>
      <c r="CJ27" s="106">
        <v>22</v>
      </c>
      <c r="CK27" s="106">
        <v>9398.4</v>
      </c>
      <c r="CL27" s="106">
        <v>27</v>
      </c>
      <c r="CM27" s="106">
        <v>11534.4</v>
      </c>
      <c r="CN27" s="106">
        <v>27</v>
      </c>
      <c r="CO27" s="106">
        <v>11534.4</v>
      </c>
      <c r="CP27" s="106">
        <v>27</v>
      </c>
      <c r="CQ27" s="106">
        <v>11534.4</v>
      </c>
      <c r="CR27" s="106">
        <v>16</v>
      </c>
      <c r="CS27" s="106">
        <v>6835.2</v>
      </c>
      <c r="CT27" s="106">
        <v>18</v>
      </c>
      <c r="CU27" s="106">
        <v>7689.5999999999995</v>
      </c>
    </row>
    <row r="28" spans="2:99" x14ac:dyDescent="0.2">
      <c r="C28" s="105" t="s">
        <v>194</v>
      </c>
      <c r="D28" s="106">
        <v>3</v>
      </c>
      <c r="E28" s="106">
        <v>2214</v>
      </c>
      <c r="F28" s="106">
        <v>4</v>
      </c>
      <c r="G28" s="106">
        <v>2952</v>
      </c>
      <c r="H28" s="106">
        <v>4</v>
      </c>
      <c r="I28" s="106">
        <v>2952</v>
      </c>
      <c r="J28" s="106">
        <v>2</v>
      </c>
      <c r="K28" s="106">
        <v>1476</v>
      </c>
      <c r="L28" s="106">
        <v>14</v>
      </c>
      <c r="M28" s="106">
        <v>10332</v>
      </c>
      <c r="N28" s="106">
        <v>19</v>
      </c>
      <c r="O28" s="106">
        <v>14022</v>
      </c>
      <c r="P28" s="106">
        <v>22</v>
      </c>
      <c r="Q28" s="106">
        <v>16236</v>
      </c>
      <c r="R28" s="106">
        <v>16</v>
      </c>
      <c r="S28" s="106">
        <v>11808</v>
      </c>
      <c r="T28" s="106">
        <v>4</v>
      </c>
      <c r="U28" s="106">
        <v>2952</v>
      </c>
      <c r="V28" s="106">
        <v>3</v>
      </c>
      <c r="W28" s="106">
        <v>2214</v>
      </c>
      <c r="X28" s="106">
        <v>3</v>
      </c>
      <c r="Y28" s="106">
        <v>2214</v>
      </c>
      <c r="Z28" s="106">
        <v>2</v>
      </c>
      <c r="AA28" s="106">
        <v>1476</v>
      </c>
      <c r="AB28" s="106">
        <v>3</v>
      </c>
      <c r="AC28" s="106">
        <v>2214</v>
      </c>
      <c r="AD28" s="106">
        <v>3</v>
      </c>
      <c r="AE28" s="106">
        <v>2214</v>
      </c>
      <c r="AF28" s="106">
        <v>2</v>
      </c>
      <c r="AG28" s="106">
        <v>1476</v>
      </c>
      <c r="AH28" s="106">
        <v>4</v>
      </c>
      <c r="AI28" s="106">
        <v>2952</v>
      </c>
      <c r="AJ28" s="106">
        <v>11</v>
      </c>
      <c r="AK28" s="106">
        <v>8118</v>
      </c>
      <c r="AL28" s="106">
        <v>7</v>
      </c>
      <c r="AM28" s="106">
        <v>5166</v>
      </c>
      <c r="AN28" s="106">
        <v>9</v>
      </c>
      <c r="AO28" s="106">
        <v>6642</v>
      </c>
      <c r="AP28" s="106">
        <v>11</v>
      </c>
      <c r="AQ28" s="106">
        <v>8118</v>
      </c>
      <c r="AR28" s="106">
        <v>29</v>
      </c>
      <c r="AS28" s="106">
        <v>21402</v>
      </c>
      <c r="AT28" s="106">
        <v>28</v>
      </c>
      <c r="AU28" s="106">
        <v>20664</v>
      </c>
      <c r="AV28" s="106">
        <v>34</v>
      </c>
      <c r="AW28" s="106">
        <v>25092</v>
      </c>
      <c r="AX28" s="106">
        <v>23</v>
      </c>
      <c r="AY28" s="106">
        <v>16974</v>
      </c>
      <c r="AZ28" s="106">
        <v>3</v>
      </c>
      <c r="BA28" s="106">
        <v>2214</v>
      </c>
      <c r="BB28" s="106">
        <v>3</v>
      </c>
      <c r="BC28" s="106">
        <v>2214</v>
      </c>
      <c r="BD28" s="106">
        <v>3</v>
      </c>
      <c r="BE28" s="106">
        <v>2214</v>
      </c>
      <c r="BF28" s="106">
        <v>3</v>
      </c>
      <c r="BG28" s="106">
        <v>2214</v>
      </c>
      <c r="BH28" s="106">
        <v>11</v>
      </c>
      <c r="BI28" s="106">
        <v>8118</v>
      </c>
      <c r="BJ28" s="106">
        <v>14</v>
      </c>
      <c r="BK28" s="106">
        <v>10332</v>
      </c>
      <c r="BL28" s="106">
        <v>15</v>
      </c>
      <c r="BM28" s="106">
        <v>11070</v>
      </c>
      <c r="BN28" s="106">
        <v>14</v>
      </c>
      <c r="BO28" s="106">
        <v>10332</v>
      </c>
      <c r="BP28" s="106">
        <v>3</v>
      </c>
      <c r="BQ28" s="106">
        <v>2214</v>
      </c>
      <c r="BR28" s="106">
        <v>3</v>
      </c>
      <c r="BS28" s="106">
        <v>2214</v>
      </c>
      <c r="BT28" s="106">
        <v>3</v>
      </c>
      <c r="BU28" s="106">
        <v>2214</v>
      </c>
      <c r="BV28" s="106">
        <v>2</v>
      </c>
      <c r="BW28" s="106">
        <v>1476</v>
      </c>
      <c r="BX28" s="106">
        <v>19</v>
      </c>
      <c r="BY28" s="106">
        <v>14022</v>
      </c>
      <c r="BZ28" s="106">
        <v>21</v>
      </c>
      <c r="CA28" s="106">
        <v>15498</v>
      </c>
      <c r="CB28" s="106">
        <v>13</v>
      </c>
      <c r="CC28" s="106">
        <v>9594</v>
      </c>
      <c r="CD28" s="106">
        <v>19</v>
      </c>
      <c r="CE28" s="106">
        <v>14022</v>
      </c>
      <c r="CF28" s="106">
        <v>33</v>
      </c>
      <c r="CG28" s="106">
        <v>24354</v>
      </c>
      <c r="CH28" s="106">
        <v>20</v>
      </c>
      <c r="CI28" s="106">
        <v>14760</v>
      </c>
      <c r="CJ28" s="106">
        <v>18</v>
      </c>
      <c r="CK28" s="106">
        <v>13284</v>
      </c>
      <c r="CL28" s="106">
        <v>26</v>
      </c>
      <c r="CM28" s="106">
        <v>19188</v>
      </c>
      <c r="CN28" s="106">
        <v>22</v>
      </c>
      <c r="CO28" s="106">
        <v>16236</v>
      </c>
      <c r="CP28" s="106">
        <v>25</v>
      </c>
      <c r="CQ28" s="106">
        <v>18450</v>
      </c>
      <c r="CR28" s="106">
        <v>15</v>
      </c>
      <c r="CS28" s="106">
        <v>11070</v>
      </c>
      <c r="CT28" s="106">
        <v>18</v>
      </c>
      <c r="CU28" s="106">
        <v>13284</v>
      </c>
    </row>
    <row r="29" spans="2:99" x14ac:dyDescent="0.2">
      <c r="C29" s="105" t="s">
        <v>195</v>
      </c>
      <c r="D29" s="106">
        <v>3</v>
      </c>
      <c r="E29" s="106">
        <v>1015.1999999999999</v>
      </c>
      <c r="F29" s="106">
        <v>4</v>
      </c>
      <c r="G29" s="106">
        <v>1353.6</v>
      </c>
      <c r="H29" s="106">
        <v>4</v>
      </c>
      <c r="I29" s="106">
        <v>1353.6</v>
      </c>
      <c r="J29" s="106">
        <v>3</v>
      </c>
      <c r="K29" s="106">
        <v>1015.1999999999999</v>
      </c>
      <c r="L29" s="106">
        <v>14</v>
      </c>
      <c r="M29" s="106">
        <v>4737.5999999999995</v>
      </c>
      <c r="N29" s="106">
        <v>19</v>
      </c>
      <c r="O29" s="106">
        <v>6429.5999999999995</v>
      </c>
      <c r="P29" s="106">
        <v>22</v>
      </c>
      <c r="Q29" s="106">
        <v>7444.7999999999993</v>
      </c>
      <c r="R29" s="106">
        <v>16</v>
      </c>
      <c r="S29" s="106">
        <v>5414.4</v>
      </c>
      <c r="T29" s="106">
        <v>4</v>
      </c>
      <c r="U29" s="106">
        <v>1353.6</v>
      </c>
      <c r="V29" s="106">
        <v>3</v>
      </c>
      <c r="W29" s="106">
        <v>1015.1999999999999</v>
      </c>
      <c r="X29" s="106">
        <v>3</v>
      </c>
      <c r="Y29" s="106">
        <v>1015.1999999999999</v>
      </c>
      <c r="Z29" s="106">
        <v>2</v>
      </c>
      <c r="AA29" s="106">
        <v>676.8</v>
      </c>
      <c r="AB29" s="106">
        <v>3</v>
      </c>
      <c r="AC29" s="106">
        <v>1015.1999999999999</v>
      </c>
      <c r="AD29" s="106">
        <v>3</v>
      </c>
      <c r="AE29" s="106">
        <v>1015.1999999999999</v>
      </c>
      <c r="AF29" s="106">
        <v>3</v>
      </c>
      <c r="AG29" s="106">
        <v>1015.1999999999999</v>
      </c>
      <c r="AH29" s="106">
        <v>4</v>
      </c>
      <c r="AI29" s="106">
        <v>1353.6</v>
      </c>
      <c r="AJ29" s="106">
        <v>10</v>
      </c>
      <c r="AK29" s="106">
        <v>3384</v>
      </c>
      <c r="AL29" s="106">
        <v>7</v>
      </c>
      <c r="AM29" s="106">
        <v>2368.7999999999997</v>
      </c>
      <c r="AN29" s="106">
        <v>9</v>
      </c>
      <c r="AO29" s="106">
        <v>3045.6</v>
      </c>
      <c r="AP29" s="106">
        <v>11</v>
      </c>
      <c r="AQ29" s="106">
        <v>3722.3999999999996</v>
      </c>
      <c r="AR29" s="106">
        <v>32</v>
      </c>
      <c r="AS29" s="106">
        <v>10828.8</v>
      </c>
      <c r="AT29" s="106">
        <v>30</v>
      </c>
      <c r="AU29" s="106">
        <v>10152</v>
      </c>
      <c r="AV29" s="106">
        <v>40</v>
      </c>
      <c r="AW29" s="106">
        <v>13536</v>
      </c>
      <c r="AX29" s="106">
        <v>21</v>
      </c>
      <c r="AY29" s="106">
        <v>7106.4</v>
      </c>
      <c r="AZ29" s="106">
        <v>3</v>
      </c>
      <c r="BA29" s="106">
        <v>1015.1999999999999</v>
      </c>
      <c r="BB29" s="106">
        <v>3</v>
      </c>
      <c r="BC29" s="106">
        <v>1015.1999999999999</v>
      </c>
      <c r="BD29" s="106">
        <v>3</v>
      </c>
      <c r="BE29" s="106">
        <v>1015.1999999999999</v>
      </c>
      <c r="BF29" s="106">
        <v>3</v>
      </c>
      <c r="BG29" s="106">
        <v>1015.1999999999999</v>
      </c>
      <c r="BH29" s="106">
        <v>10</v>
      </c>
      <c r="BI29" s="106">
        <v>3384</v>
      </c>
      <c r="BJ29" s="106">
        <v>13</v>
      </c>
      <c r="BK29" s="106">
        <v>4399.2</v>
      </c>
      <c r="BL29" s="106">
        <v>15</v>
      </c>
      <c r="BM29" s="106">
        <v>5076</v>
      </c>
      <c r="BN29" s="106">
        <v>14</v>
      </c>
      <c r="BO29" s="106">
        <v>4737.5999999999995</v>
      </c>
      <c r="BP29" s="106">
        <v>3</v>
      </c>
      <c r="BQ29" s="106">
        <v>1015.1999999999999</v>
      </c>
      <c r="BR29" s="106">
        <v>4</v>
      </c>
      <c r="BS29" s="106">
        <v>1353.6</v>
      </c>
      <c r="BT29" s="106">
        <v>4</v>
      </c>
      <c r="BU29" s="106">
        <v>1353.6</v>
      </c>
      <c r="BV29" s="106">
        <v>2</v>
      </c>
      <c r="BW29" s="106">
        <v>676.8</v>
      </c>
      <c r="BX29" s="106">
        <v>19</v>
      </c>
      <c r="BY29" s="106">
        <v>6429.5999999999995</v>
      </c>
      <c r="BZ29" s="106">
        <v>25</v>
      </c>
      <c r="CA29" s="106">
        <v>8460</v>
      </c>
      <c r="CB29" s="106">
        <v>16</v>
      </c>
      <c r="CC29" s="106">
        <v>5414.4</v>
      </c>
      <c r="CD29" s="106">
        <v>20</v>
      </c>
      <c r="CE29" s="106">
        <v>6768</v>
      </c>
      <c r="CF29" s="106">
        <v>31</v>
      </c>
      <c r="CG29" s="106">
        <v>10490.4</v>
      </c>
      <c r="CH29" s="106">
        <v>21</v>
      </c>
      <c r="CI29" s="106">
        <v>7106.4</v>
      </c>
      <c r="CJ29" s="106">
        <v>21</v>
      </c>
      <c r="CK29" s="106">
        <v>7106.4</v>
      </c>
      <c r="CL29" s="106">
        <v>27</v>
      </c>
      <c r="CM29" s="106">
        <v>9136.7999999999993</v>
      </c>
      <c r="CN29" s="106">
        <v>27</v>
      </c>
      <c r="CO29" s="106">
        <v>9136.7999999999993</v>
      </c>
      <c r="CP29" s="106">
        <v>28</v>
      </c>
      <c r="CQ29" s="106">
        <v>9475.1999999999989</v>
      </c>
      <c r="CR29" s="106">
        <v>15</v>
      </c>
      <c r="CS29" s="106">
        <v>5076</v>
      </c>
      <c r="CT29" s="106">
        <v>20</v>
      </c>
      <c r="CU29" s="106">
        <v>6768</v>
      </c>
    </row>
    <row r="30" spans="2:99" x14ac:dyDescent="0.2">
      <c r="C30" s="105" t="s">
        <v>196</v>
      </c>
      <c r="D30" s="106">
        <v>3</v>
      </c>
      <c r="E30" s="106">
        <v>417.59999999999997</v>
      </c>
      <c r="F30" s="106">
        <v>4</v>
      </c>
      <c r="G30" s="106">
        <v>556.79999999999995</v>
      </c>
      <c r="H30" s="106">
        <v>4</v>
      </c>
      <c r="I30" s="106">
        <v>556.79999999999995</v>
      </c>
      <c r="J30" s="106">
        <v>3</v>
      </c>
      <c r="K30" s="106">
        <v>417.59999999999997</v>
      </c>
      <c r="L30" s="106">
        <v>16</v>
      </c>
      <c r="M30" s="106">
        <v>2227.1999999999998</v>
      </c>
      <c r="N30" s="106">
        <v>19</v>
      </c>
      <c r="O30" s="106">
        <v>2644.7999999999997</v>
      </c>
      <c r="P30" s="106">
        <v>26</v>
      </c>
      <c r="Q30" s="106">
        <v>3619.2</v>
      </c>
      <c r="R30" s="106">
        <v>16</v>
      </c>
      <c r="S30" s="106">
        <v>2227.1999999999998</v>
      </c>
      <c r="T30" s="106">
        <v>5</v>
      </c>
      <c r="U30" s="106">
        <v>696</v>
      </c>
      <c r="V30" s="106">
        <v>3</v>
      </c>
      <c r="W30" s="106">
        <v>417.59999999999997</v>
      </c>
      <c r="X30" s="106">
        <v>3</v>
      </c>
      <c r="Y30" s="106">
        <v>417.59999999999997</v>
      </c>
      <c r="Z30" s="106">
        <v>3</v>
      </c>
      <c r="AA30" s="106">
        <v>417.59999999999997</v>
      </c>
      <c r="AB30" s="106">
        <v>3</v>
      </c>
      <c r="AC30" s="106">
        <v>417.59999999999997</v>
      </c>
      <c r="AD30" s="106">
        <v>3</v>
      </c>
      <c r="AE30" s="106">
        <v>417.59999999999997</v>
      </c>
      <c r="AF30" s="106">
        <v>2</v>
      </c>
      <c r="AG30" s="106">
        <v>278.39999999999998</v>
      </c>
      <c r="AH30" s="106">
        <v>4</v>
      </c>
      <c r="AI30" s="106">
        <v>556.79999999999995</v>
      </c>
      <c r="AJ30" s="106">
        <v>11</v>
      </c>
      <c r="AK30" s="106">
        <v>1531.1999999999998</v>
      </c>
      <c r="AL30" s="106">
        <v>7</v>
      </c>
      <c r="AM30" s="106">
        <v>974.39999999999986</v>
      </c>
      <c r="AN30" s="106">
        <v>11</v>
      </c>
      <c r="AO30" s="106">
        <v>1531.1999999999998</v>
      </c>
      <c r="AP30" s="106">
        <v>12</v>
      </c>
      <c r="AQ30" s="106">
        <v>1670.3999999999999</v>
      </c>
      <c r="AR30" s="106">
        <v>33</v>
      </c>
      <c r="AS30" s="106">
        <v>4593.5999999999995</v>
      </c>
      <c r="AT30" s="106">
        <v>33</v>
      </c>
      <c r="AU30" s="106">
        <v>4593.5999999999995</v>
      </c>
      <c r="AV30" s="106">
        <v>37</v>
      </c>
      <c r="AW30" s="106">
        <v>5150.3999999999996</v>
      </c>
      <c r="AX30" s="106">
        <v>26</v>
      </c>
      <c r="AY30" s="106">
        <v>3619.2</v>
      </c>
      <c r="AZ30" s="106">
        <v>3</v>
      </c>
      <c r="BA30" s="106">
        <v>417.59999999999997</v>
      </c>
      <c r="BB30" s="106">
        <v>3</v>
      </c>
      <c r="BC30" s="106">
        <v>417.59999999999997</v>
      </c>
      <c r="BD30" s="106">
        <v>4</v>
      </c>
      <c r="BE30" s="106">
        <v>556.79999999999995</v>
      </c>
      <c r="BF30" s="106">
        <v>3</v>
      </c>
      <c r="BG30" s="106">
        <v>417.59999999999997</v>
      </c>
      <c r="BH30" s="106">
        <v>11</v>
      </c>
      <c r="BI30" s="106">
        <v>1531.1999999999998</v>
      </c>
      <c r="BJ30" s="106">
        <v>15</v>
      </c>
      <c r="BK30" s="106">
        <v>2088</v>
      </c>
      <c r="BL30" s="106">
        <v>16</v>
      </c>
      <c r="BM30" s="106">
        <v>2227.1999999999998</v>
      </c>
      <c r="BN30" s="106">
        <v>15</v>
      </c>
      <c r="BO30" s="106">
        <v>2088</v>
      </c>
      <c r="BP30" s="106">
        <v>3</v>
      </c>
      <c r="BQ30" s="106">
        <v>417.59999999999997</v>
      </c>
      <c r="BR30" s="106">
        <v>4</v>
      </c>
      <c r="BS30" s="106">
        <v>556.79999999999995</v>
      </c>
      <c r="BT30" s="106">
        <v>4</v>
      </c>
      <c r="BU30" s="106">
        <v>556.79999999999995</v>
      </c>
      <c r="BV30" s="106">
        <v>2</v>
      </c>
      <c r="BW30" s="106">
        <v>278.39999999999998</v>
      </c>
      <c r="BX30" s="106">
        <v>19</v>
      </c>
      <c r="BY30" s="106">
        <v>2644.7999999999997</v>
      </c>
      <c r="BZ30" s="106">
        <v>22</v>
      </c>
      <c r="CA30" s="106">
        <v>3062.3999999999996</v>
      </c>
      <c r="CB30" s="106">
        <v>16</v>
      </c>
      <c r="CC30" s="106">
        <v>2227.1999999999998</v>
      </c>
      <c r="CD30" s="106">
        <v>23</v>
      </c>
      <c r="CE30" s="106">
        <v>3201.6</v>
      </c>
      <c r="CF30" s="106">
        <v>36</v>
      </c>
      <c r="CG30" s="106">
        <v>5011.2</v>
      </c>
      <c r="CH30" s="106">
        <v>19</v>
      </c>
      <c r="CI30" s="106">
        <v>2644.7999999999997</v>
      </c>
      <c r="CJ30" s="106">
        <v>22</v>
      </c>
      <c r="CK30" s="106">
        <v>3062.3999999999996</v>
      </c>
      <c r="CL30" s="106">
        <v>28</v>
      </c>
      <c r="CM30" s="106">
        <v>3897.5999999999995</v>
      </c>
      <c r="CN30" s="106">
        <v>28</v>
      </c>
      <c r="CO30" s="106">
        <v>3897.5999999999995</v>
      </c>
      <c r="CP30" s="106">
        <v>27</v>
      </c>
      <c r="CQ30" s="106">
        <v>3758.3999999999996</v>
      </c>
      <c r="CR30" s="106">
        <v>16</v>
      </c>
      <c r="CS30" s="106">
        <v>2227.1999999999998</v>
      </c>
      <c r="CT30" s="106">
        <v>19</v>
      </c>
      <c r="CU30" s="106">
        <v>2644.7999999999997</v>
      </c>
    </row>
    <row r="31" spans="2:99" x14ac:dyDescent="0.2">
      <c r="C31" s="105" t="s">
        <v>197</v>
      </c>
      <c r="D31" s="106">
        <v>4</v>
      </c>
      <c r="E31" s="106">
        <v>1363.2</v>
      </c>
      <c r="F31" s="106">
        <v>4</v>
      </c>
      <c r="G31" s="106">
        <v>1363.2</v>
      </c>
      <c r="H31" s="106">
        <v>4</v>
      </c>
      <c r="I31" s="106">
        <v>1363.2</v>
      </c>
      <c r="J31" s="106">
        <v>3</v>
      </c>
      <c r="K31" s="106">
        <v>1022.4000000000001</v>
      </c>
      <c r="L31" s="106">
        <v>13</v>
      </c>
      <c r="M31" s="106">
        <v>4430.4000000000005</v>
      </c>
      <c r="N31" s="106">
        <v>22</v>
      </c>
      <c r="O31" s="106">
        <v>7497.6</v>
      </c>
      <c r="P31" s="106">
        <v>25</v>
      </c>
      <c r="Q31" s="106">
        <v>8520</v>
      </c>
      <c r="R31" s="106">
        <v>15</v>
      </c>
      <c r="S31" s="106">
        <v>5112</v>
      </c>
      <c r="T31" s="106">
        <v>5</v>
      </c>
      <c r="U31" s="106">
        <v>1704</v>
      </c>
      <c r="V31" s="106">
        <v>2</v>
      </c>
      <c r="W31" s="106">
        <v>681.6</v>
      </c>
      <c r="X31" s="106">
        <v>3</v>
      </c>
      <c r="Y31" s="106">
        <v>1022.4000000000001</v>
      </c>
      <c r="Z31" s="106">
        <v>3</v>
      </c>
      <c r="AA31" s="106">
        <v>1022.4000000000001</v>
      </c>
      <c r="AB31" s="106">
        <v>3</v>
      </c>
      <c r="AC31" s="106">
        <v>1022.4000000000001</v>
      </c>
      <c r="AD31" s="106">
        <v>3</v>
      </c>
      <c r="AE31" s="106">
        <v>1022.4000000000001</v>
      </c>
      <c r="AF31" s="106">
        <v>2</v>
      </c>
      <c r="AG31" s="106">
        <v>681.6</v>
      </c>
      <c r="AH31" s="106">
        <v>4</v>
      </c>
      <c r="AI31" s="106">
        <v>1363.2</v>
      </c>
      <c r="AJ31" s="106">
        <v>10</v>
      </c>
      <c r="AK31" s="106">
        <v>3408</v>
      </c>
      <c r="AL31" s="106">
        <v>8</v>
      </c>
      <c r="AM31" s="106">
        <v>2726.4</v>
      </c>
      <c r="AN31" s="106">
        <v>9</v>
      </c>
      <c r="AO31" s="106">
        <v>3067.2000000000003</v>
      </c>
      <c r="AP31" s="106">
        <v>11</v>
      </c>
      <c r="AQ31" s="106">
        <v>3748.8</v>
      </c>
      <c r="AR31" s="106">
        <v>29</v>
      </c>
      <c r="AS31" s="106">
        <v>9883.2000000000007</v>
      </c>
      <c r="AT31" s="106">
        <v>34</v>
      </c>
      <c r="AU31" s="106">
        <v>11587.2</v>
      </c>
      <c r="AV31" s="106">
        <v>36</v>
      </c>
      <c r="AW31" s="106">
        <v>12268.800000000001</v>
      </c>
      <c r="AX31" s="106">
        <v>21</v>
      </c>
      <c r="AY31" s="106">
        <v>7156.8</v>
      </c>
      <c r="AZ31" s="106">
        <v>2</v>
      </c>
      <c r="BA31" s="106">
        <v>681.6</v>
      </c>
      <c r="BB31" s="106">
        <v>3</v>
      </c>
      <c r="BC31" s="106">
        <v>1022.4000000000001</v>
      </c>
      <c r="BD31" s="106">
        <v>4</v>
      </c>
      <c r="BE31" s="106">
        <v>1363.2</v>
      </c>
      <c r="BF31" s="106">
        <v>3</v>
      </c>
      <c r="BG31" s="106">
        <v>1022.4000000000001</v>
      </c>
      <c r="BH31" s="106">
        <v>10</v>
      </c>
      <c r="BI31" s="106">
        <v>3408</v>
      </c>
      <c r="BJ31" s="106">
        <v>14</v>
      </c>
      <c r="BK31" s="106">
        <v>4771.2</v>
      </c>
      <c r="BL31" s="106">
        <v>14</v>
      </c>
      <c r="BM31" s="106">
        <v>4771.2</v>
      </c>
      <c r="BN31" s="106">
        <v>13</v>
      </c>
      <c r="BO31" s="106">
        <v>4430.4000000000005</v>
      </c>
      <c r="BP31" s="106">
        <v>3</v>
      </c>
      <c r="BQ31" s="106">
        <v>1022.4000000000001</v>
      </c>
      <c r="BR31" s="106">
        <v>4</v>
      </c>
      <c r="BS31" s="106">
        <v>1363.2</v>
      </c>
      <c r="BT31" s="106">
        <v>3</v>
      </c>
      <c r="BU31" s="106">
        <v>1022.4000000000001</v>
      </c>
      <c r="BV31" s="106">
        <v>2</v>
      </c>
      <c r="BW31" s="106">
        <v>681.6</v>
      </c>
      <c r="BX31" s="106">
        <v>18</v>
      </c>
      <c r="BY31" s="106">
        <v>6134.4000000000005</v>
      </c>
      <c r="BZ31" s="106">
        <v>22</v>
      </c>
      <c r="CA31" s="106">
        <v>7497.6</v>
      </c>
      <c r="CB31" s="106">
        <v>14</v>
      </c>
      <c r="CC31" s="106">
        <v>4771.2</v>
      </c>
      <c r="CD31" s="106">
        <v>19</v>
      </c>
      <c r="CE31" s="106">
        <v>6475.2</v>
      </c>
      <c r="CF31" s="106">
        <v>32</v>
      </c>
      <c r="CG31" s="106">
        <v>10905.6</v>
      </c>
      <c r="CH31" s="106">
        <v>21</v>
      </c>
      <c r="CI31" s="106">
        <v>7156.8</v>
      </c>
      <c r="CJ31" s="106">
        <v>21</v>
      </c>
      <c r="CK31" s="106">
        <v>7156.8</v>
      </c>
      <c r="CL31" s="106">
        <v>27</v>
      </c>
      <c r="CM31" s="106">
        <v>9201.6</v>
      </c>
      <c r="CN31" s="106">
        <v>24</v>
      </c>
      <c r="CO31" s="106">
        <v>8179.2000000000007</v>
      </c>
      <c r="CP31" s="106">
        <v>25</v>
      </c>
      <c r="CQ31" s="106">
        <v>8520</v>
      </c>
      <c r="CR31" s="106">
        <v>16</v>
      </c>
      <c r="CS31" s="106">
        <v>5452.8</v>
      </c>
      <c r="CT31" s="106">
        <v>19</v>
      </c>
      <c r="CU31" s="106">
        <v>6475.2</v>
      </c>
    </row>
    <row r="32" spans="2:99" x14ac:dyDescent="0.2">
      <c r="C32" s="105" t="s">
        <v>198</v>
      </c>
      <c r="D32" s="106">
        <v>3</v>
      </c>
      <c r="E32" s="106">
        <v>2520</v>
      </c>
      <c r="F32" s="106">
        <v>3</v>
      </c>
      <c r="G32" s="106">
        <v>2520</v>
      </c>
      <c r="H32" s="106">
        <v>4</v>
      </c>
      <c r="I32" s="106">
        <v>3360</v>
      </c>
      <c r="J32" s="106">
        <v>3</v>
      </c>
      <c r="K32" s="106">
        <v>2520</v>
      </c>
      <c r="L32" s="106">
        <v>12</v>
      </c>
      <c r="M32" s="106">
        <v>10080</v>
      </c>
      <c r="N32" s="106">
        <v>18</v>
      </c>
      <c r="O32" s="106">
        <v>15120</v>
      </c>
      <c r="P32" s="106">
        <v>21</v>
      </c>
      <c r="Q32" s="106">
        <v>17640</v>
      </c>
      <c r="R32" s="106">
        <v>14</v>
      </c>
      <c r="S32" s="106">
        <v>11760</v>
      </c>
      <c r="T32" s="106">
        <v>4</v>
      </c>
      <c r="U32" s="106">
        <v>3360</v>
      </c>
      <c r="V32" s="106">
        <v>3</v>
      </c>
      <c r="W32" s="106">
        <v>2520</v>
      </c>
      <c r="X32" s="106">
        <v>3</v>
      </c>
      <c r="Y32" s="106">
        <v>2520</v>
      </c>
      <c r="Z32" s="106">
        <v>3</v>
      </c>
      <c r="AA32" s="106">
        <v>2520</v>
      </c>
      <c r="AB32" s="106">
        <v>3</v>
      </c>
      <c r="AC32" s="106">
        <v>2520</v>
      </c>
      <c r="AD32" s="106">
        <v>3</v>
      </c>
      <c r="AE32" s="106">
        <v>2520</v>
      </c>
      <c r="AF32" s="106">
        <v>2</v>
      </c>
      <c r="AG32" s="106">
        <v>1680</v>
      </c>
      <c r="AH32" s="106">
        <v>4</v>
      </c>
      <c r="AI32" s="106">
        <v>3360</v>
      </c>
      <c r="AJ32" s="106">
        <v>10</v>
      </c>
      <c r="AK32" s="106">
        <v>8400</v>
      </c>
      <c r="AL32" s="106">
        <v>7</v>
      </c>
      <c r="AM32" s="106">
        <v>5880</v>
      </c>
      <c r="AN32" s="106">
        <v>9</v>
      </c>
      <c r="AO32" s="106">
        <v>7560</v>
      </c>
      <c r="AP32" s="106">
        <v>10</v>
      </c>
      <c r="AQ32" s="106">
        <v>8400</v>
      </c>
      <c r="AR32" s="106">
        <v>26</v>
      </c>
      <c r="AS32" s="106">
        <v>21840</v>
      </c>
      <c r="AT32" s="106">
        <v>29</v>
      </c>
      <c r="AU32" s="106">
        <v>24360</v>
      </c>
      <c r="AV32" s="106">
        <v>33</v>
      </c>
      <c r="AW32" s="106">
        <v>27720</v>
      </c>
      <c r="AX32" s="106">
        <v>22</v>
      </c>
      <c r="AY32" s="106">
        <v>18480</v>
      </c>
      <c r="AZ32" s="106">
        <v>2</v>
      </c>
      <c r="BA32" s="106">
        <v>1680</v>
      </c>
      <c r="BB32" s="106">
        <v>3</v>
      </c>
      <c r="BC32" s="106">
        <v>2520</v>
      </c>
      <c r="BD32" s="106">
        <v>4</v>
      </c>
      <c r="BE32" s="106">
        <v>3360</v>
      </c>
      <c r="BF32" s="106">
        <v>3</v>
      </c>
      <c r="BG32" s="106">
        <v>2520</v>
      </c>
      <c r="BH32" s="106">
        <v>9</v>
      </c>
      <c r="BI32" s="106">
        <v>7560</v>
      </c>
      <c r="BJ32" s="106">
        <v>13</v>
      </c>
      <c r="BK32" s="106">
        <v>10920</v>
      </c>
      <c r="BL32" s="106">
        <v>15</v>
      </c>
      <c r="BM32" s="106">
        <v>12600</v>
      </c>
      <c r="BN32" s="106">
        <v>12</v>
      </c>
      <c r="BO32" s="106">
        <v>10080</v>
      </c>
      <c r="BP32" s="106">
        <v>3</v>
      </c>
      <c r="BQ32" s="106">
        <v>2520</v>
      </c>
      <c r="BR32" s="106">
        <v>4</v>
      </c>
      <c r="BS32" s="106">
        <v>3360</v>
      </c>
      <c r="BT32" s="106">
        <v>4</v>
      </c>
      <c r="BU32" s="106">
        <v>3360</v>
      </c>
      <c r="BV32" s="106">
        <v>2</v>
      </c>
      <c r="BW32" s="106">
        <v>1680</v>
      </c>
      <c r="BX32" s="106">
        <v>17</v>
      </c>
      <c r="BY32" s="106">
        <v>14280</v>
      </c>
      <c r="BZ32" s="106">
        <v>21</v>
      </c>
      <c r="CA32" s="106">
        <v>17640</v>
      </c>
      <c r="CB32" s="106">
        <v>13</v>
      </c>
      <c r="CC32" s="106">
        <v>10920</v>
      </c>
      <c r="CD32" s="106">
        <v>20</v>
      </c>
      <c r="CE32" s="106">
        <v>16800</v>
      </c>
      <c r="CF32" s="106">
        <v>33</v>
      </c>
      <c r="CG32" s="106">
        <v>27720</v>
      </c>
      <c r="CH32" s="106">
        <v>18</v>
      </c>
      <c r="CI32" s="106">
        <v>15120</v>
      </c>
      <c r="CJ32" s="106">
        <v>18</v>
      </c>
      <c r="CK32" s="106">
        <v>15120</v>
      </c>
      <c r="CL32" s="106">
        <v>24</v>
      </c>
      <c r="CM32" s="106">
        <v>20160</v>
      </c>
      <c r="CN32" s="106">
        <v>24</v>
      </c>
      <c r="CO32" s="106">
        <v>20160</v>
      </c>
      <c r="CP32" s="106">
        <v>24</v>
      </c>
      <c r="CQ32" s="106">
        <v>20160</v>
      </c>
      <c r="CR32" s="106">
        <v>14</v>
      </c>
      <c r="CS32" s="106">
        <v>11760</v>
      </c>
      <c r="CT32" s="106">
        <v>19</v>
      </c>
      <c r="CU32" s="106">
        <v>15960</v>
      </c>
    </row>
    <row r="33" spans="2:99" x14ac:dyDescent="0.2">
      <c r="C33" s="105" t="s">
        <v>199</v>
      </c>
      <c r="D33" s="106">
        <v>3</v>
      </c>
      <c r="E33" s="106">
        <v>1422</v>
      </c>
      <c r="F33" s="106">
        <v>4</v>
      </c>
      <c r="G33" s="106">
        <v>1896</v>
      </c>
      <c r="H33" s="106">
        <v>4</v>
      </c>
      <c r="I33" s="106">
        <v>1896</v>
      </c>
      <c r="J33" s="106">
        <v>3</v>
      </c>
      <c r="K33" s="106">
        <v>1422</v>
      </c>
      <c r="L33" s="106">
        <v>15</v>
      </c>
      <c r="M33" s="106">
        <v>7110</v>
      </c>
      <c r="N33" s="106">
        <v>20</v>
      </c>
      <c r="O33" s="106">
        <v>9480</v>
      </c>
      <c r="P33" s="106">
        <v>21</v>
      </c>
      <c r="Q33" s="106">
        <v>9954</v>
      </c>
      <c r="R33" s="106">
        <v>14</v>
      </c>
      <c r="S33" s="106">
        <v>6636</v>
      </c>
      <c r="T33" s="106">
        <v>5</v>
      </c>
      <c r="U33" s="106">
        <v>2370</v>
      </c>
      <c r="V33" s="106">
        <v>3</v>
      </c>
      <c r="W33" s="106">
        <v>1422</v>
      </c>
      <c r="X33" s="106">
        <v>3</v>
      </c>
      <c r="Y33" s="106">
        <v>1422</v>
      </c>
      <c r="Z33" s="106">
        <v>2</v>
      </c>
      <c r="AA33" s="106">
        <v>948</v>
      </c>
      <c r="AB33" s="106">
        <v>3</v>
      </c>
      <c r="AC33" s="106">
        <v>1422</v>
      </c>
      <c r="AD33" s="106">
        <v>3</v>
      </c>
      <c r="AE33" s="106">
        <v>1422</v>
      </c>
      <c r="AF33" s="106">
        <v>2</v>
      </c>
      <c r="AG33" s="106">
        <v>948</v>
      </c>
      <c r="AH33" s="106">
        <v>4</v>
      </c>
      <c r="AI33" s="106">
        <v>1896</v>
      </c>
      <c r="AJ33" s="106">
        <v>12</v>
      </c>
      <c r="AK33" s="106">
        <v>5688</v>
      </c>
      <c r="AL33" s="106">
        <v>7</v>
      </c>
      <c r="AM33" s="106">
        <v>3318</v>
      </c>
      <c r="AN33" s="106">
        <v>10</v>
      </c>
      <c r="AO33" s="106">
        <v>4740</v>
      </c>
      <c r="AP33" s="106">
        <v>10</v>
      </c>
      <c r="AQ33" s="106">
        <v>4740</v>
      </c>
      <c r="AR33" s="106">
        <v>29</v>
      </c>
      <c r="AS33" s="106">
        <v>13746</v>
      </c>
      <c r="AT33" s="106">
        <v>33</v>
      </c>
      <c r="AU33" s="106">
        <v>15642</v>
      </c>
      <c r="AV33" s="106">
        <v>33</v>
      </c>
      <c r="AW33" s="106">
        <v>15642</v>
      </c>
      <c r="AX33" s="106">
        <v>22</v>
      </c>
      <c r="AY33" s="106">
        <v>10428</v>
      </c>
      <c r="AZ33" s="106">
        <v>2</v>
      </c>
      <c r="BA33" s="106">
        <v>948</v>
      </c>
      <c r="BB33" s="106">
        <v>3</v>
      </c>
      <c r="BC33" s="106">
        <v>1422</v>
      </c>
      <c r="BD33" s="106">
        <v>4</v>
      </c>
      <c r="BE33" s="106">
        <v>1896</v>
      </c>
      <c r="BF33" s="106">
        <v>3</v>
      </c>
      <c r="BG33" s="106">
        <v>1422</v>
      </c>
      <c r="BH33" s="106">
        <v>11</v>
      </c>
      <c r="BI33" s="106">
        <v>5214</v>
      </c>
      <c r="BJ33" s="106">
        <v>13</v>
      </c>
      <c r="BK33" s="106">
        <v>6162</v>
      </c>
      <c r="BL33" s="106">
        <v>15</v>
      </c>
      <c r="BM33" s="106">
        <v>7110</v>
      </c>
      <c r="BN33" s="106">
        <v>14</v>
      </c>
      <c r="BO33" s="106">
        <v>6636</v>
      </c>
      <c r="BP33" s="106">
        <v>3</v>
      </c>
      <c r="BQ33" s="106">
        <v>1422</v>
      </c>
      <c r="BR33" s="106">
        <v>4</v>
      </c>
      <c r="BS33" s="106">
        <v>1896</v>
      </c>
      <c r="BT33" s="106">
        <v>4</v>
      </c>
      <c r="BU33" s="106">
        <v>1896</v>
      </c>
      <c r="BV33" s="106">
        <v>2</v>
      </c>
      <c r="BW33" s="106">
        <v>948</v>
      </c>
      <c r="BX33" s="106">
        <v>17</v>
      </c>
      <c r="BY33" s="106">
        <v>8058</v>
      </c>
      <c r="BZ33" s="106">
        <v>23</v>
      </c>
      <c r="CA33" s="106">
        <v>10902</v>
      </c>
      <c r="CB33" s="106">
        <v>15</v>
      </c>
      <c r="CC33" s="106">
        <v>7110</v>
      </c>
      <c r="CD33" s="106">
        <v>18</v>
      </c>
      <c r="CE33" s="106">
        <v>8532</v>
      </c>
      <c r="CF33" s="106">
        <v>31</v>
      </c>
      <c r="CG33" s="106">
        <v>14694</v>
      </c>
      <c r="CH33" s="106">
        <v>18</v>
      </c>
      <c r="CI33" s="106">
        <v>8532</v>
      </c>
      <c r="CJ33" s="106">
        <v>21</v>
      </c>
      <c r="CK33" s="106">
        <v>9954</v>
      </c>
      <c r="CL33" s="106">
        <v>27</v>
      </c>
      <c r="CM33" s="106">
        <v>12798</v>
      </c>
      <c r="CN33" s="106">
        <v>27</v>
      </c>
      <c r="CO33" s="106">
        <v>12798</v>
      </c>
      <c r="CP33" s="106">
        <v>24</v>
      </c>
      <c r="CQ33" s="106">
        <v>11376</v>
      </c>
      <c r="CR33" s="106">
        <v>15</v>
      </c>
      <c r="CS33" s="106">
        <v>7110</v>
      </c>
      <c r="CT33" s="106">
        <v>18</v>
      </c>
      <c r="CU33" s="106">
        <v>8532</v>
      </c>
    </row>
    <row r="34" spans="2:99" x14ac:dyDescent="0.2">
      <c r="C34" s="105" t="s">
        <v>200</v>
      </c>
      <c r="D34" s="106">
        <v>3</v>
      </c>
      <c r="E34" s="106">
        <v>1645.1999999999998</v>
      </c>
      <c r="F34" s="106">
        <v>4</v>
      </c>
      <c r="G34" s="106">
        <v>2193.6</v>
      </c>
      <c r="H34" s="106">
        <v>4</v>
      </c>
      <c r="I34" s="106">
        <v>2193.6</v>
      </c>
      <c r="J34" s="106">
        <v>3</v>
      </c>
      <c r="K34" s="106">
        <v>1645.1999999999998</v>
      </c>
      <c r="L34" s="106">
        <v>13</v>
      </c>
      <c r="M34" s="106">
        <v>7129.2</v>
      </c>
      <c r="N34" s="106">
        <v>21</v>
      </c>
      <c r="O34" s="106">
        <v>11516.4</v>
      </c>
      <c r="P34" s="106">
        <v>25</v>
      </c>
      <c r="Q34" s="106">
        <v>13710</v>
      </c>
      <c r="R34" s="106">
        <v>14</v>
      </c>
      <c r="S34" s="106">
        <v>7677.5999999999995</v>
      </c>
      <c r="T34" s="106">
        <v>4</v>
      </c>
      <c r="U34" s="106">
        <v>2193.6</v>
      </c>
      <c r="V34" s="106">
        <v>3</v>
      </c>
      <c r="W34" s="106">
        <v>1645.1999999999998</v>
      </c>
      <c r="X34" s="106">
        <v>3</v>
      </c>
      <c r="Y34" s="106">
        <v>1645.1999999999998</v>
      </c>
      <c r="Z34" s="106">
        <v>2</v>
      </c>
      <c r="AA34" s="106">
        <v>1096.8</v>
      </c>
      <c r="AB34" s="106">
        <v>3</v>
      </c>
      <c r="AC34" s="106">
        <v>1645.1999999999998</v>
      </c>
      <c r="AD34" s="106">
        <v>3</v>
      </c>
      <c r="AE34" s="106">
        <v>1645.1999999999998</v>
      </c>
      <c r="AF34" s="106">
        <v>2</v>
      </c>
      <c r="AG34" s="106">
        <v>1096.8</v>
      </c>
      <c r="AH34" s="106">
        <v>4</v>
      </c>
      <c r="AI34" s="106">
        <v>2193.6</v>
      </c>
      <c r="AJ34" s="106">
        <v>12</v>
      </c>
      <c r="AK34" s="106">
        <v>6580.7999999999993</v>
      </c>
      <c r="AL34" s="106">
        <v>7</v>
      </c>
      <c r="AM34" s="106">
        <v>3838.7999999999997</v>
      </c>
      <c r="AN34" s="106">
        <v>10</v>
      </c>
      <c r="AO34" s="106">
        <v>5484</v>
      </c>
      <c r="AP34" s="106">
        <v>12</v>
      </c>
      <c r="AQ34" s="106">
        <v>6580.7999999999993</v>
      </c>
      <c r="AR34" s="106">
        <v>28</v>
      </c>
      <c r="AS34" s="106">
        <v>15355.199999999999</v>
      </c>
      <c r="AT34" s="106">
        <v>28</v>
      </c>
      <c r="AU34" s="106">
        <v>15355.199999999999</v>
      </c>
      <c r="AV34" s="106">
        <v>34</v>
      </c>
      <c r="AW34" s="106">
        <v>18645.599999999999</v>
      </c>
      <c r="AX34" s="106">
        <v>21</v>
      </c>
      <c r="AY34" s="106">
        <v>11516.4</v>
      </c>
      <c r="AZ34" s="106">
        <v>3</v>
      </c>
      <c r="BA34" s="106">
        <v>1645.1999999999998</v>
      </c>
      <c r="BB34" s="106">
        <v>3</v>
      </c>
      <c r="BC34" s="106">
        <v>1645.1999999999998</v>
      </c>
      <c r="BD34" s="106">
        <v>3</v>
      </c>
      <c r="BE34" s="106">
        <v>1645.1999999999998</v>
      </c>
      <c r="BF34" s="106">
        <v>3</v>
      </c>
      <c r="BG34" s="106">
        <v>1645.1999999999998</v>
      </c>
      <c r="BH34" s="106">
        <v>11</v>
      </c>
      <c r="BI34" s="106">
        <v>6032.4</v>
      </c>
      <c r="BJ34" s="106">
        <v>14</v>
      </c>
      <c r="BK34" s="106">
        <v>7677.5999999999995</v>
      </c>
      <c r="BL34" s="106">
        <v>15</v>
      </c>
      <c r="BM34" s="106">
        <v>8226</v>
      </c>
      <c r="BN34" s="106">
        <v>13</v>
      </c>
      <c r="BO34" s="106">
        <v>7129.2</v>
      </c>
      <c r="BP34" s="106">
        <v>3</v>
      </c>
      <c r="BQ34" s="106">
        <v>1645.1999999999998</v>
      </c>
      <c r="BR34" s="106">
        <v>4</v>
      </c>
      <c r="BS34" s="106">
        <v>2193.6</v>
      </c>
      <c r="BT34" s="106">
        <v>3</v>
      </c>
      <c r="BU34" s="106">
        <v>1645.1999999999998</v>
      </c>
      <c r="BV34" s="106">
        <v>2</v>
      </c>
      <c r="BW34" s="106">
        <v>1096.8</v>
      </c>
      <c r="BX34" s="106">
        <v>18</v>
      </c>
      <c r="BY34" s="106">
        <v>9871.1999999999989</v>
      </c>
      <c r="BZ34" s="106">
        <v>24</v>
      </c>
      <c r="CA34" s="106">
        <v>13161.599999999999</v>
      </c>
      <c r="CB34" s="106">
        <v>13</v>
      </c>
      <c r="CC34" s="106">
        <v>7129.2</v>
      </c>
      <c r="CD34" s="106">
        <v>21</v>
      </c>
      <c r="CE34" s="106">
        <v>11516.4</v>
      </c>
      <c r="CF34" s="106">
        <v>31</v>
      </c>
      <c r="CG34" s="106">
        <v>17000.399999999998</v>
      </c>
      <c r="CH34" s="106">
        <v>21</v>
      </c>
      <c r="CI34" s="106">
        <v>11516.4</v>
      </c>
      <c r="CJ34" s="106">
        <v>19</v>
      </c>
      <c r="CK34" s="106">
        <v>10419.6</v>
      </c>
      <c r="CL34" s="106">
        <v>24</v>
      </c>
      <c r="CM34" s="106">
        <v>13161.599999999999</v>
      </c>
      <c r="CN34" s="106">
        <v>26</v>
      </c>
      <c r="CO34" s="106">
        <v>14258.4</v>
      </c>
      <c r="CP34" s="106">
        <v>27</v>
      </c>
      <c r="CQ34" s="106">
        <v>14806.8</v>
      </c>
      <c r="CR34" s="106">
        <v>17</v>
      </c>
      <c r="CS34" s="106">
        <v>9322.7999999999993</v>
      </c>
      <c r="CT34" s="106">
        <v>18</v>
      </c>
      <c r="CU34" s="106">
        <v>9871.1999999999989</v>
      </c>
    </row>
    <row r="35" spans="2:99" x14ac:dyDescent="0.2">
      <c r="C35" s="105" t="s">
        <v>201</v>
      </c>
      <c r="D35" s="106">
        <v>3</v>
      </c>
      <c r="E35" s="106">
        <v>1508.3999999999996</v>
      </c>
      <c r="F35" s="106">
        <v>3</v>
      </c>
      <c r="G35" s="106">
        <v>1508.3999999999996</v>
      </c>
      <c r="H35" s="106">
        <v>4</v>
      </c>
      <c r="I35" s="106">
        <v>2011.1999999999996</v>
      </c>
      <c r="J35" s="106">
        <v>3</v>
      </c>
      <c r="K35" s="106">
        <v>1508.3999999999996</v>
      </c>
      <c r="L35" s="106">
        <v>14</v>
      </c>
      <c r="M35" s="106">
        <v>7039.1999999999989</v>
      </c>
      <c r="N35" s="106">
        <v>20</v>
      </c>
      <c r="O35" s="106">
        <v>10055.999999999998</v>
      </c>
      <c r="P35" s="106">
        <v>21</v>
      </c>
      <c r="Q35" s="106">
        <v>10558.799999999997</v>
      </c>
      <c r="R35" s="106">
        <v>16</v>
      </c>
      <c r="S35" s="106">
        <v>8044.7999999999984</v>
      </c>
      <c r="T35" s="106">
        <v>4</v>
      </c>
      <c r="U35" s="106">
        <v>2011.1999999999996</v>
      </c>
      <c r="V35" s="106">
        <v>3</v>
      </c>
      <c r="W35" s="106">
        <v>1508.3999999999996</v>
      </c>
      <c r="X35" s="106">
        <v>3</v>
      </c>
      <c r="Y35" s="106">
        <v>1508.3999999999996</v>
      </c>
      <c r="Z35" s="106">
        <v>3</v>
      </c>
      <c r="AA35" s="106">
        <v>1508.3999999999996</v>
      </c>
      <c r="AB35" s="106">
        <v>3</v>
      </c>
      <c r="AC35" s="106">
        <v>1508.3999999999996</v>
      </c>
      <c r="AD35" s="106">
        <v>3</v>
      </c>
      <c r="AE35" s="106">
        <v>1508.3999999999996</v>
      </c>
      <c r="AF35" s="106">
        <v>2</v>
      </c>
      <c r="AG35" s="106">
        <v>1005.5999999999998</v>
      </c>
      <c r="AH35" s="106">
        <v>4</v>
      </c>
      <c r="AI35" s="106">
        <v>2011.1999999999996</v>
      </c>
      <c r="AJ35" s="106">
        <v>10</v>
      </c>
      <c r="AK35" s="106">
        <v>5027.9999999999991</v>
      </c>
      <c r="AL35" s="106">
        <v>8</v>
      </c>
      <c r="AM35" s="106">
        <v>4022.3999999999992</v>
      </c>
      <c r="AN35" s="106">
        <v>10</v>
      </c>
      <c r="AO35" s="106">
        <v>5027.9999999999991</v>
      </c>
      <c r="AP35" s="106">
        <v>10</v>
      </c>
      <c r="AQ35" s="106">
        <v>5027.9999999999991</v>
      </c>
      <c r="AR35" s="106">
        <v>28</v>
      </c>
      <c r="AS35" s="106">
        <v>14078.399999999998</v>
      </c>
      <c r="AT35" s="106">
        <v>28</v>
      </c>
      <c r="AU35" s="106">
        <v>14078.399999999998</v>
      </c>
      <c r="AV35" s="106">
        <v>38</v>
      </c>
      <c r="AW35" s="106">
        <v>19106.399999999998</v>
      </c>
      <c r="AX35" s="106">
        <v>22</v>
      </c>
      <c r="AY35" s="106">
        <v>11061.599999999999</v>
      </c>
      <c r="AZ35" s="106">
        <v>2</v>
      </c>
      <c r="BA35" s="106">
        <v>1005.5999999999998</v>
      </c>
      <c r="BB35" s="106">
        <v>4</v>
      </c>
      <c r="BC35" s="106">
        <v>2011.1999999999996</v>
      </c>
      <c r="BD35" s="106">
        <v>3</v>
      </c>
      <c r="BE35" s="106">
        <v>1508.3999999999996</v>
      </c>
      <c r="BF35" s="106">
        <v>3</v>
      </c>
      <c r="BG35" s="106">
        <v>1508.3999999999996</v>
      </c>
      <c r="BH35" s="106">
        <v>10</v>
      </c>
      <c r="BI35" s="106">
        <v>5027.9999999999991</v>
      </c>
      <c r="BJ35" s="106">
        <v>15</v>
      </c>
      <c r="BK35" s="106">
        <v>7541.9999999999982</v>
      </c>
      <c r="BL35" s="106">
        <v>13</v>
      </c>
      <c r="BM35" s="106">
        <v>6536.3999999999987</v>
      </c>
      <c r="BN35" s="106">
        <v>13</v>
      </c>
      <c r="BO35" s="106">
        <v>6536.3999999999987</v>
      </c>
      <c r="BP35" s="106">
        <v>3</v>
      </c>
      <c r="BQ35" s="106">
        <v>1508.3999999999996</v>
      </c>
      <c r="BR35" s="106">
        <v>4</v>
      </c>
      <c r="BS35" s="106">
        <v>2011.1999999999996</v>
      </c>
      <c r="BT35" s="106">
        <v>3</v>
      </c>
      <c r="BU35" s="106">
        <v>1508.3999999999996</v>
      </c>
      <c r="BV35" s="106">
        <v>2</v>
      </c>
      <c r="BW35" s="106">
        <v>1005.5999999999998</v>
      </c>
      <c r="BX35" s="106">
        <v>17</v>
      </c>
      <c r="BY35" s="106">
        <v>8547.5999999999985</v>
      </c>
      <c r="BZ35" s="106">
        <v>21</v>
      </c>
      <c r="CA35" s="106">
        <v>10558.799999999997</v>
      </c>
      <c r="CB35" s="106">
        <v>16</v>
      </c>
      <c r="CC35" s="106">
        <v>8044.7999999999984</v>
      </c>
      <c r="CD35" s="106">
        <v>21</v>
      </c>
      <c r="CE35" s="106">
        <v>10558.799999999997</v>
      </c>
      <c r="CF35" s="106">
        <v>30</v>
      </c>
      <c r="CG35" s="106">
        <v>15083.999999999996</v>
      </c>
      <c r="CH35" s="106">
        <v>20</v>
      </c>
      <c r="CI35" s="106">
        <v>10055.999999999998</v>
      </c>
      <c r="CJ35" s="106">
        <v>19</v>
      </c>
      <c r="CK35" s="106">
        <v>9553.1999999999989</v>
      </c>
      <c r="CL35" s="106">
        <v>23</v>
      </c>
      <c r="CM35" s="106">
        <v>11564.399999999998</v>
      </c>
      <c r="CN35" s="106">
        <v>23</v>
      </c>
      <c r="CO35" s="106">
        <v>11564.399999999998</v>
      </c>
      <c r="CP35" s="106">
        <v>24</v>
      </c>
      <c r="CQ35" s="106">
        <v>12067.199999999997</v>
      </c>
      <c r="CR35" s="106">
        <v>17</v>
      </c>
      <c r="CS35" s="106">
        <v>8547.5999999999985</v>
      </c>
      <c r="CT35" s="106">
        <v>18</v>
      </c>
      <c r="CU35" s="106">
        <v>9050.3999999999978</v>
      </c>
    </row>
    <row r="36" spans="2:99" x14ac:dyDescent="0.2">
      <c r="C36" s="105" t="s">
        <v>202</v>
      </c>
      <c r="D36" s="106">
        <v>3</v>
      </c>
      <c r="E36" s="106">
        <v>2282.3999999999996</v>
      </c>
      <c r="F36" s="106">
        <v>3</v>
      </c>
      <c r="G36" s="106">
        <v>2282.3999999999996</v>
      </c>
      <c r="H36" s="106">
        <v>4</v>
      </c>
      <c r="I36" s="106">
        <v>3043.2</v>
      </c>
      <c r="J36" s="106">
        <v>2</v>
      </c>
      <c r="K36" s="106">
        <v>1521.6</v>
      </c>
      <c r="L36" s="106">
        <v>13</v>
      </c>
      <c r="M36" s="106">
        <v>9890.4</v>
      </c>
      <c r="N36" s="106">
        <v>20</v>
      </c>
      <c r="O36" s="106">
        <v>15216</v>
      </c>
      <c r="P36" s="106">
        <v>22</v>
      </c>
      <c r="Q36" s="106">
        <v>16737.599999999999</v>
      </c>
      <c r="R36" s="106">
        <v>15</v>
      </c>
      <c r="S36" s="106">
        <v>11412</v>
      </c>
      <c r="T36" s="106">
        <v>4</v>
      </c>
      <c r="U36" s="106">
        <v>3043.2</v>
      </c>
      <c r="V36" s="106">
        <v>3</v>
      </c>
      <c r="W36" s="106">
        <v>2282.3999999999996</v>
      </c>
      <c r="X36" s="106">
        <v>3</v>
      </c>
      <c r="Y36" s="106">
        <v>2282.3999999999996</v>
      </c>
      <c r="Z36" s="106">
        <v>2</v>
      </c>
      <c r="AA36" s="106">
        <v>1521.6</v>
      </c>
      <c r="AB36" s="106">
        <v>3</v>
      </c>
      <c r="AC36" s="106">
        <v>2282.3999999999996</v>
      </c>
      <c r="AD36" s="106">
        <v>3</v>
      </c>
      <c r="AE36" s="106">
        <v>2282.3999999999996</v>
      </c>
      <c r="AF36" s="106">
        <v>2</v>
      </c>
      <c r="AG36" s="106">
        <v>1521.6</v>
      </c>
      <c r="AH36" s="106">
        <v>4</v>
      </c>
      <c r="AI36" s="106">
        <v>3043.2</v>
      </c>
      <c r="AJ36" s="106">
        <v>10</v>
      </c>
      <c r="AK36" s="106">
        <v>7608</v>
      </c>
      <c r="AL36" s="106">
        <v>7</v>
      </c>
      <c r="AM36" s="106">
        <v>5325.5999999999995</v>
      </c>
      <c r="AN36" s="106">
        <v>9</v>
      </c>
      <c r="AO36" s="106">
        <v>6847.2</v>
      </c>
      <c r="AP36" s="106">
        <v>11</v>
      </c>
      <c r="AQ36" s="106">
        <v>8368.7999999999993</v>
      </c>
      <c r="AR36" s="106">
        <v>27</v>
      </c>
      <c r="AS36" s="106">
        <v>20541.599999999999</v>
      </c>
      <c r="AT36" s="106">
        <v>29</v>
      </c>
      <c r="AU36" s="106">
        <v>22063.199999999997</v>
      </c>
      <c r="AV36" s="106">
        <v>37</v>
      </c>
      <c r="AW36" s="106">
        <v>28149.599999999999</v>
      </c>
      <c r="AX36" s="106">
        <v>22</v>
      </c>
      <c r="AY36" s="106">
        <v>16737.599999999999</v>
      </c>
      <c r="AZ36" s="106">
        <v>2</v>
      </c>
      <c r="BA36" s="106">
        <v>1521.6</v>
      </c>
      <c r="BB36" s="106">
        <v>3</v>
      </c>
      <c r="BC36" s="106">
        <v>2282.3999999999996</v>
      </c>
      <c r="BD36" s="106">
        <v>3</v>
      </c>
      <c r="BE36" s="106">
        <v>2282.3999999999996</v>
      </c>
      <c r="BF36" s="106">
        <v>3</v>
      </c>
      <c r="BG36" s="106">
        <v>2282.3999999999996</v>
      </c>
      <c r="BH36" s="106">
        <v>10</v>
      </c>
      <c r="BI36" s="106">
        <v>7608</v>
      </c>
      <c r="BJ36" s="106">
        <v>13</v>
      </c>
      <c r="BK36" s="106">
        <v>9890.4</v>
      </c>
      <c r="BL36" s="106">
        <v>14</v>
      </c>
      <c r="BM36" s="106">
        <v>10651.199999999999</v>
      </c>
      <c r="BN36" s="106">
        <v>13</v>
      </c>
      <c r="BO36" s="106">
        <v>9890.4</v>
      </c>
      <c r="BP36" s="106">
        <v>3</v>
      </c>
      <c r="BQ36" s="106">
        <v>2282.3999999999996</v>
      </c>
      <c r="BR36" s="106">
        <v>4</v>
      </c>
      <c r="BS36" s="106">
        <v>3043.2</v>
      </c>
      <c r="BT36" s="106">
        <v>3</v>
      </c>
      <c r="BU36" s="106">
        <v>2282.3999999999996</v>
      </c>
      <c r="BV36" s="106">
        <v>2</v>
      </c>
      <c r="BW36" s="106">
        <v>1521.6</v>
      </c>
      <c r="BX36" s="106">
        <v>18</v>
      </c>
      <c r="BY36" s="106">
        <v>13694.4</v>
      </c>
      <c r="BZ36" s="106">
        <v>20</v>
      </c>
      <c r="CA36" s="106">
        <v>15216</v>
      </c>
      <c r="CB36" s="106">
        <v>14</v>
      </c>
      <c r="CC36" s="106">
        <v>10651.199999999999</v>
      </c>
      <c r="CD36" s="106">
        <v>21</v>
      </c>
      <c r="CE36" s="106">
        <v>15976.8</v>
      </c>
      <c r="CF36" s="106">
        <v>32</v>
      </c>
      <c r="CG36" s="106">
        <v>24345.599999999999</v>
      </c>
      <c r="CH36" s="106">
        <v>18</v>
      </c>
      <c r="CI36" s="106">
        <v>13694.4</v>
      </c>
      <c r="CJ36" s="106">
        <v>21</v>
      </c>
      <c r="CK36" s="106">
        <v>15976.8</v>
      </c>
      <c r="CL36" s="106">
        <v>25</v>
      </c>
      <c r="CM36" s="106">
        <v>19020</v>
      </c>
      <c r="CN36" s="106">
        <v>25</v>
      </c>
      <c r="CO36" s="106">
        <v>19020</v>
      </c>
      <c r="CP36" s="106">
        <v>24</v>
      </c>
      <c r="CQ36" s="106">
        <v>18259.199999999997</v>
      </c>
      <c r="CR36" s="106">
        <v>15</v>
      </c>
      <c r="CS36" s="106">
        <v>11412</v>
      </c>
      <c r="CT36" s="106">
        <v>19</v>
      </c>
      <c r="CU36" s="106">
        <v>14455.199999999999</v>
      </c>
    </row>
    <row r="37" spans="2:99" x14ac:dyDescent="0.2">
      <c r="B37" s="105" t="s">
        <v>128</v>
      </c>
      <c r="C37" s="105" t="s">
        <v>203</v>
      </c>
      <c r="D37" s="106">
        <v>10</v>
      </c>
      <c r="E37" s="106">
        <v>8604</v>
      </c>
      <c r="F37" s="106">
        <v>11</v>
      </c>
      <c r="G37" s="106">
        <v>9464.4</v>
      </c>
      <c r="H37" s="106">
        <v>12</v>
      </c>
      <c r="I37" s="106">
        <v>10324.799999999999</v>
      </c>
      <c r="J37" s="106">
        <v>14</v>
      </c>
      <c r="K37" s="106">
        <v>12045.6</v>
      </c>
      <c r="L37" s="106">
        <v>54</v>
      </c>
      <c r="M37" s="106">
        <v>46461.599999999999</v>
      </c>
      <c r="N37" s="106">
        <v>95</v>
      </c>
      <c r="O37" s="106">
        <v>81738</v>
      </c>
      <c r="P37" s="106">
        <v>95</v>
      </c>
      <c r="Q37" s="106">
        <v>81738</v>
      </c>
      <c r="R37" s="106">
        <v>88</v>
      </c>
      <c r="S37" s="106">
        <v>75715.199999999997</v>
      </c>
      <c r="T37" s="106">
        <v>4</v>
      </c>
      <c r="U37" s="106">
        <v>3441.6</v>
      </c>
      <c r="V37" s="106">
        <v>4</v>
      </c>
      <c r="W37" s="106">
        <v>3441.6</v>
      </c>
      <c r="X37" s="106">
        <v>3</v>
      </c>
      <c r="Y37" s="106">
        <v>2581.1999999999998</v>
      </c>
      <c r="Z37" s="106">
        <v>6</v>
      </c>
      <c r="AA37" s="106">
        <v>5162.3999999999996</v>
      </c>
      <c r="AB37" s="106">
        <v>74</v>
      </c>
      <c r="AC37" s="106">
        <v>63669.599999999999</v>
      </c>
      <c r="AD37" s="106">
        <v>71</v>
      </c>
      <c r="AE37" s="106">
        <v>61088.4</v>
      </c>
      <c r="AF37" s="106">
        <v>60</v>
      </c>
      <c r="AG37" s="106">
        <v>51624</v>
      </c>
      <c r="AH37" s="106">
        <v>74</v>
      </c>
      <c r="AI37" s="106">
        <v>63669.599999999999</v>
      </c>
      <c r="AJ37" s="106">
        <v>75</v>
      </c>
      <c r="AK37" s="106">
        <v>64530</v>
      </c>
      <c r="AL37" s="106">
        <v>47</v>
      </c>
      <c r="AM37" s="106">
        <v>40438.799999999996</v>
      </c>
      <c r="AN37" s="106">
        <v>52</v>
      </c>
      <c r="AO37" s="106">
        <v>44740.799999999996</v>
      </c>
      <c r="AP37" s="106">
        <v>40</v>
      </c>
      <c r="AQ37" s="106">
        <v>34416</v>
      </c>
      <c r="AR37" s="106">
        <v>17</v>
      </c>
      <c r="AS37" s="106">
        <v>14626.8</v>
      </c>
      <c r="AT37" s="106">
        <v>29</v>
      </c>
      <c r="AU37" s="106">
        <v>24951.599999999999</v>
      </c>
      <c r="AV37" s="106">
        <v>18</v>
      </c>
      <c r="AW37" s="106">
        <v>15487.199999999999</v>
      </c>
      <c r="AX37" s="106">
        <v>19</v>
      </c>
      <c r="AY37" s="106">
        <v>16347.6</v>
      </c>
      <c r="AZ37" s="106">
        <v>6</v>
      </c>
      <c r="BA37" s="106">
        <v>5162.3999999999996</v>
      </c>
      <c r="BB37" s="106">
        <v>8</v>
      </c>
      <c r="BC37" s="106">
        <v>6883.2</v>
      </c>
      <c r="BD37" s="106">
        <v>4</v>
      </c>
      <c r="BE37" s="106">
        <v>3441.6</v>
      </c>
      <c r="BF37" s="106">
        <v>6</v>
      </c>
      <c r="BG37" s="106">
        <v>5162.3999999999996</v>
      </c>
      <c r="BH37" s="106">
        <v>50</v>
      </c>
      <c r="BI37" s="106">
        <v>43020</v>
      </c>
      <c r="BJ37" s="106">
        <v>58</v>
      </c>
      <c r="BK37" s="106">
        <v>49903.199999999997</v>
      </c>
      <c r="BL37" s="106">
        <v>39</v>
      </c>
      <c r="BM37" s="106">
        <v>33555.599999999999</v>
      </c>
      <c r="BN37" s="106">
        <v>65</v>
      </c>
      <c r="BO37" s="106">
        <v>55926</v>
      </c>
      <c r="BP37" s="106">
        <v>43</v>
      </c>
      <c r="BQ37" s="106">
        <v>36997.199999999997</v>
      </c>
      <c r="BR37" s="106">
        <v>31</v>
      </c>
      <c r="BS37" s="106">
        <v>26672.399999999998</v>
      </c>
      <c r="BT37" s="106">
        <v>36</v>
      </c>
      <c r="BU37" s="106">
        <v>30974.399999999998</v>
      </c>
      <c r="BV37" s="106">
        <v>26</v>
      </c>
      <c r="BW37" s="106">
        <v>22370.399999999998</v>
      </c>
      <c r="BX37" s="106">
        <v>10</v>
      </c>
      <c r="BY37" s="106">
        <v>8604</v>
      </c>
      <c r="BZ37" s="106">
        <v>12</v>
      </c>
      <c r="CA37" s="106">
        <v>10324.799999999999</v>
      </c>
      <c r="CB37" s="106">
        <v>7</v>
      </c>
      <c r="CC37" s="106">
        <v>6022.8</v>
      </c>
      <c r="CD37" s="106">
        <v>11</v>
      </c>
      <c r="CE37" s="106">
        <v>9464.4</v>
      </c>
      <c r="CF37" s="106">
        <v>5</v>
      </c>
      <c r="CG37" s="106">
        <v>4302</v>
      </c>
      <c r="CH37" s="106">
        <v>7</v>
      </c>
      <c r="CI37" s="106">
        <v>6022.8</v>
      </c>
      <c r="CJ37" s="106">
        <v>6</v>
      </c>
      <c r="CK37" s="106">
        <v>5162.3999999999996</v>
      </c>
      <c r="CL37" s="106">
        <v>4</v>
      </c>
      <c r="CM37" s="106">
        <v>3441.6</v>
      </c>
      <c r="CN37" s="106">
        <v>8</v>
      </c>
      <c r="CO37" s="106">
        <v>6883.2</v>
      </c>
      <c r="CP37" s="106">
        <v>7</v>
      </c>
      <c r="CQ37" s="106">
        <v>6022.8</v>
      </c>
      <c r="CR37" s="106">
        <v>6</v>
      </c>
      <c r="CS37" s="106">
        <v>5162.3999999999996</v>
      </c>
      <c r="CT37" s="106">
        <v>5</v>
      </c>
      <c r="CU37" s="106">
        <v>4302</v>
      </c>
    </row>
    <row r="38" spans="2:99" x14ac:dyDescent="0.2">
      <c r="C38" s="105" t="s">
        <v>204</v>
      </c>
      <c r="D38" s="106">
        <v>9</v>
      </c>
      <c r="E38" s="106">
        <v>11178</v>
      </c>
      <c r="F38" s="106">
        <v>10</v>
      </c>
      <c r="G38" s="106">
        <v>12420</v>
      </c>
      <c r="H38" s="106">
        <v>12</v>
      </c>
      <c r="I38" s="106">
        <v>14904</v>
      </c>
      <c r="J38" s="106">
        <v>14</v>
      </c>
      <c r="K38" s="106">
        <v>17388</v>
      </c>
      <c r="L38" s="106">
        <v>43</v>
      </c>
      <c r="M38" s="106">
        <v>53406</v>
      </c>
      <c r="N38" s="106">
        <v>91</v>
      </c>
      <c r="O38" s="106">
        <v>113022</v>
      </c>
      <c r="P38" s="106">
        <v>85</v>
      </c>
      <c r="Q38" s="106">
        <v>105570</v>
      </c>
      <c r="R38" s="106">
        <v>84</v>
      </c>
      <c r="S38" s="106">
        <v>104328</v>
      </c>
      <c r="T38" s="106">
        <v>4</v>
      </c>
      <c r="U38" s="106">
        <v>4968</v>
      </c>
      <c r="V38" s="106">
        <v>4</v>
      </c>
      <c r="W38" s="106">
        <v>4968</v>
      </c>
      <c r="X38" s="106">
        <v>3</v>
      </c>
      <c r="Y38" s="106">
        <v>3726</v>
      </c>
      <c r="Z38" s="106">
        <v>5</v>
      </c>
      <c r="AA38" s="106">
        <v>6210</v>
      </c>
      <c r="AB38" s="106">
        <v>76</v>
      </c>
      <c r="AC38" s="106">
        <v>94392</v>
      </c>
      <c r="AD38" s="106">
        <v>60</v>
      </c>
      <c r="AE38" s="106">
        <v>74520</v>
      </c>
      <c r="AF38" s="106">
        <v>56</v>
      </c>
      <c r="AG38" s="106">
        <v>69552</v>
      </c>
      <c r="AH38" s="106">
        <v>63</v>
      </c>
      <c r="AI38" s="106">
        <v>78246</v>
      </c>
      <c r="AJ38" s="106">
        <v>60</v>
      </c>
      <c r="AK38" s="106">
        <v>74520</v>
      </c>
      <c r="AL38" s="106">
        <v>42</v>
      </c>
      <c r="AM38" s="106">
        <v>52164</v>
      </c>
      <c r="AN38" s="106">
        <v>45</v>
      </c>
      <c r="AO38" s="106">
        <v>55890</v>
      </c>
      <c r="AP38" s="106">
        <v>42</v>
      </c>
      <c r="AQ38" s="106">
        <v>52164</v>
      </c>
      <c r="AR38" s="106">
        <v>16</v>
      </c>
      <c r="AS38" s="106">
        <v>19872</v>
      </c>
      <c r="AT38" s="106">
        <v>28</v>
      </c>
      <c r="AU38" s="106">
        <v>34776</v>
      </c>
      <c r="AV38" s="106">
        <v>16</v>
      </c>
      <c r="AW38" s="106">
        <v>19872</v>
      </c>
      <c r="AX38" s="106">
        <v>17</v>
      </c>
      <c r="AY38" s="106">
        <v>21114</v>
      </c>
      <c r="AZ38" s="106">
        <v>6</v>
      </c>
      <c r="BA38" s="106">
        <v>7452</v>
      </c>
      <c r="BB38" s="106">
        <v>7</v>
      </c>
      <c r="BC38" s="106">
        <v>8694</v>
      </c>
      <c r="BD38" s="106">
        <v>4</v>
      </c>
      <c r="BE38" s="106">
        <v>4968</v>
      </c>
      <c r="BF38" s="106">
        <v>6</v>
      </c>
      <c r="BG38" s="106">
        <v>7452</v>
      </c>
      <c r="BH38" s="106">
        <v>41</v>
      </c>
      <c r="BI38" s="106">
        <v>50922</v>
      </c>
      <c r="BJ38" s="106">
        <v>62</v>
      </c>
      <c r="BK38" s="106">
        <v>77004</v>
      </c>
      <c r="BL38" s="106">
        <v>42</v>
      </c>
      <c r="BM38" s="106">
        <v>52164</v>
      </c>
      <c r="BN38" s="106">
        <v>61</v>
      </c>
      <c r="BO38" s="106">
        <v>75762</v>
      </c>
      <c r="BP38" s="106">
        <v>40</v>
      </c>
      <c r="BQ38" s="106">
        <v>49680</v>
      </c>
      <c r="BR38" s="106">
        <v>28</v>
      </c>
      <c r="BS38" s="106">
        <v>34776</v>
      </c>
      <c r="BT38" s="106">
        <v>32</v>
      </c>
      <c r="BU38" s="106">
        <v>39744</v>
      </c>
      <c r="BV38" s="106">
        <v>29</v>
      </c>
      <c r="BW38" s="106">
        <v>36018</v>
      </c>
      <c r="BX38" s="106">
        <v>9</v>
      </c>
      <c r="BY38" s="106">
        <v>11178</v>
      </c>
      <c r="BZ38" s="106">
        <v>11</v>
      </c>
      <c r="CA38" s="106">
        <v>13662</v>
      </c>
      <c r="CB38" s="106">
        <v>6</v>
      </c>
      <c r="CC38" s="106">
        <v>7452</v>
      </c>
      <c r="CD38" s="106">
        <v>12</v>
      </c>
      <c r="CE38" s="106">
        <v>14904</v>
      </c>
      <c r="CF38" s="106">
        <v>5</v>
      </c>
      <c r="CG38" s="106">
        <v>6210</v>
      </c>
      <c r="CH38" s="106">
        <v>6</v>
      </c>
      <c r="CI38" s="106">
        <v>7452</v>
      </c>
      <c r="CJ38" s="106">
        <v>6</v>
      </c>
      <c r="CK38" s="106">
        <v>7452</v>
      </c>
      <c r="CL38" s="106">
        <v>4</v>
      </c>
      <c r="CM38" s="106">
        <v>4968</v>
      </c>
      <c r="CN38" s="106">
        <v>7</v>
      </c>
      <c r="CO38" s="106">
        <v>8694</v>
      </c>
      <c r="CP38" s="106">
        <v>8</v>
      </c>
      <c r="CQ38" s="106">
        <v>9936</v>
      </c>
      <c r="CR38" s="106">
        <v>6</v>
      </c>
      <c r="CS38" s="106">
        <v>7452</v>
      </c>
      <c r="CT38" s="106">
        <v>6</v>
      </c>
      <c r="CU38" s="106">
        <v>7452</v>
      </c>
    </row>
    <row r="39" spans="2:99" x14ac:dyDescent="0.2">
      <c r="C39" s="105" t="s">
        <v>205</v>
      </c>
      <c r="D39" s="106">
        <v>10</v>
      </c>
      <c r="E39" s="106">
        <v>14232</v>
      </c>
      <c r="F39" s="106">
        <v>9</v>
      </c>
      <c r="G39" s="106">
        <v>12808.800000000001</v>
      </c>
      <c r="H39" s="106">
        <v>11</v>
      </c>
      <c r="I39" s="106">
        <v>15655.2</v>
      </c>
      <c r="J39" s="106">
        <v>13</v>
      </c>
      <c r="K39" s="106">
        <v>18501.600000000002</v>
      </c>
      <c r="L39" s="106">
        <v>48</v>
      </c>
      <c r="M39" s="106">
        <v>68313.600000000006</v>
      </c>
      <c r="N39" s="106">
        <v>77</v>
      </c>
      <c r="O39" s="106">
        <v>109586.40000000001</v>
      </c>
      <c r="P39" s="106">
        <v>89</v>
      </c>
      <c r="Q39" s="106">
        <v>126664.8</v>
      </c>
      <c r="R39" s="106">
        <v>85</v>
      </c>
      <c r="S39" s="106">
        <v>120972</v>
      </c>
      <c r="T39" s="106">
        <v>4</v>
      </c>
      <c r="U39" s="106">
        <v>5692.8</v>
      </c>
      <c r="V39" s="106">
        <v>4</v>
      </c>
      <c r="W39" s="106">
        <v>5692.8</v>
      </c>
      <c r="X39" s="106">
        <v>3</v>
      </c>
      <c r="Y39" s="106">
        <v>4269.6000000000004</v>
      </c>
      <c r="Z39" s="106">
        <v>5</v>
      </c>
      <c r="AA39" s="106">
        <v>7116</v>
      </c>
      <c r="AB39" s="106">
        <v>67</v>
      </c>
      <c r="AC39" s="106">
        <v>95354.400000000009</v>
      </c>
      <c r="AD39" s="106">
        <v>63</v>
      </c>
      <c r="AE39" s="106">
        <v>89661.6</v>
      </c>
      <c r="AF39" s="106">
        <v>51</v>
      </c>
      <c r="AG39" s="106">
        <v>72583.199999999997</v>
      </c>
      <c r="AH39" s="106">
        <v>62</v>
      </c>
      <c r="AI39" s="106">
        <v>88238.400000000009</v>
      </c>
      <c r="AJ39" s="106">
        <v>56</v>
      </c>
      <c r="AK39" s="106">
        <v>79699.199999999997</v>
      </c>
      <c r="AL39" s="106">
        <v>35</v>
      </c>
      <c r="AM39" s="106">
        <v>49812</v>
      </c>
      <c r="AN39" s="106">
        <v>41</v>
      </c>
      <c r="AO39" s="106">
        <v>58351.200000000004</v>
      </c>
      <c r="AP39" s="106">
        <v>39</v>
      </c>
      <c r="AQ39" s="106">
        <v>55504.800000000003</v>
      </c>
      <c r="AR39" s="106">
        <v>16</v>
      </c>
      <c r="AS39" s="106">
        <v>22771.200000000001</v>
      </c>
      <c r="AT39" s="106">
        <v>27</v>
      </c>
      <c r="AU39" s="106">
        <v>38426.400000000001</v>
      </c>
      <c r="AV39" s="106">
        <v>19</v>
      </c>
      <c r="AW39" s="106">
        <v>27040.799999999999</v>
      </c>
      <c r="AX39" s="106">
        <v>17</v>
      </c>
      <c r="AY39" s="106">
        <v>24194.400000000001</v>
      </c>
      <c r="AZ39" s="106">
        <v>5</v>
      </c>
      <c r="BA39" s="106">
        <v>7116</v>
      </c>
      <c r="BB39" s="106">
        <v>8</v>
      </c>
      <c r="BC39" s="106">
        <v>11385.6</v>
      </c>
      <c r="BD39" s="106">
        <v>4</v>
      </c>
      <c r="BE39" s="106">
        <v>5692.8</v>
      </c>
      <c r="BF39" s="106">
        <v>7</v>
      </c>
      <c r="BG39" s="106">
        <v>9962.4</v>
      </c>
      <c r="BH39" s="106">
        <v>38</v>
      </c>
      <c r="BI39" s="106">
        <v>54081.599999999999</v>
      </c>
      <c r="BJ39" s="106">
        <v>56</v>
      </c>
      <c r="BK39" s="106">
        <v>79699.199999999997</v>
      </c>
      <c r="BL39" s="106">
        <v>35</v>
      </c>
      <c r="BM39" s="106">
        <v>49812</v>
      </c>
      <c r="BN39" s="106">
        <v>52</v>
      </c>
      <c r="BO39" s="106">
        <v>74006.400000000009</v>
      </c>
      <c r="BP39" s="106">
        <v>38</v>
      </c>
      <c r="BQ39" s="106">
        <v>54081.599999999999</v>
      </c>
      <c r="BR39" s="106">
        <v>25</v>
      </c>
      <c r="BS39" s="106">
        <v>35580</v>
      </c>
      <c r="BT39" s="106">
        <v>29</v>
      </c>
      <c r="BU39" s="106">
        <v>41272.800000000003</v>
      </c>
      <c r="BV39" s="106">
        <v>27</v>
      </c>
      <c r="BW39" s="106">
        <v>38426.400000000001</v>
      </c>
      <c r="BX39" s="106">
        <v>9</v>
      </c>
      <c r="BY39" s="106">
        <v>12808.800000000001</v>
      </c>
      <c r="BZ39" s="106">
        <v>10</v>
      </c>
      <c r="CA39" s="106">
        <v>14232</v>
      </c>
      <c r="CB39" s="106">
        <v>7</v>
      </c>
      <c r="CC39" s="106">
        <v>9962.4</v>
      </c>
      <c r="CD39" s="106">
        <v>10</v>
      </c>
      <c r="CE39" s="106">
        <v>14232</v>
      </c>
      <c r="CF39" s="106">
        <v>5</v>
      </c>
      <c r="CG39" s="106">
        <v>7116</v>
      </c>
      <c r="CH39" s="106">
        <v>7</v>
      </c>
      <c r="CI39" s="106">
        <v>9962.4</v>
      </c>
      <c r="CJ39" s="106">
        <v>6</v>
      </c>
      <c r="CK39" s="106">
        <v>8539.2000000000007</v>
      </c>
      <c r="CL39" s="106">
        <v>4</v>
      </c>
      <c r="CM39" s="106">
        <v>5692.8</v>
      </c>
      <c r="CN39" s="106">
        <v>7</v>
      </c>
      <c r="CO39" s="106">
        <v>9962.4</v>
      </c>
      <c r="CP39" s="106">
        <v>7</v>
      </c>
      <c r="CQ39" s="106">
        <v>9962.4</v>
      </c>
      <c r="CR39" s="106">
        <v>6</v>
      </c>
      <c r="CS39" s="106">
        <v>8539.2000000000007</v>
      </c>
      <c r="CT39" s="106">
        <v>5</v>
      </c>
      <c r="CU39" s="106">
        <v>7116</v>
      </c>
    </row>
    <row r="40" spans="2:99" x14ac:dyDescent="0.2">
      <c r="C40" s="105" t="s">
        <v>206</v>
      </c>
      <c r="D40" s="106">
        <v>10</v>
      </c>
      <c r="E40" s="106">
        <v>7248</v>
      </c>
      <c r="F40" s="106">
        <v>10</v>
      </c>
      <c r="G40" s="106">
        <v>7248</v>
      </c>
      <c r="H40" s="106">
        <v>15</v>
      </c>
      <c r="I40" s="106">
        <v>10872</v>
      </c>
      <c r="J40" s="106">
        <v>14</v>
      </c>
      <c r="K40" s="106">
        <v>10147.199999999999</v>
      </c>
      <c r="L40" s="106">
        <v>54</v>
      </c>
      <c r="M40" s="106">
        <v>39139.199999999997</v>
      </c>
      <c r="N40" s="106">
        <v>98</v>
      </c>
      <c r="O40" s="106">
        <v>71030.399999999994</v>
      </c>
      <c r="P40" s="106">
        <v>88</v>
      </c>
      <c r="Q40" s="106">
        <v>63782.399999999994</v>
      </c>
      <c r="R40" s="106">
        <v>91</v>
      </c>
      <c r="S40" s="106">
        <v>65956.800000000003</v>
      </c>
      <c r="T40" s="106">
        <v>4</v>
      </c>
      <c r="U40" s="106">
        <v>2899.2</v>
      </c>
      <c r="V40" s="106">
        <v>4</v>
      </c>
      <c r="W40" s="106">
        <v>2899.2</v>
      </c>
      <c r="X40" s="106">
        <v>3</v>
      </c>
      <c r="Y40" s="106">
        <v>2174.3999999999996</v>
      </c>
      <c r="Z40" s="106">
        <v>6</v>
      </c>
      <c r="AA40" s="106">
        <v>4348.7999999999993</v>
      </c>
      <c r="AB40" s="106">
        <v>77</v>
      </c>
      <c r="AC40" s="106">
        <v>55809.599999999999</v>
      </c>
      <c r="AD40" s="106">
        <v>70</v>
      </c>
      <c r="AE40" s="106">
        <v>50736</v>
      </c>
      <c r="AF40" s="106">
        <v>60</v>
      </c>
      <c r="AG40" s="106">
        <v>43488</v>
      </c>
      <c r="AH40" s="106">
        <v>74</v>
      </c>
      <c r="AI40" s="106">
        <v>53635.199999999997</v>
      </c>
      <c r="AJ40" s="106">
        <v>71</v>
      </c>
      <c r="AK40" s="106">
        <v>51460.799999999996</v>
      </c>
      <c r="AL40" s="106">
        <v>47</v>
      </c>
      <c r="AM40" s="106">
        <v>34065.599999999999</v>
      </c>
      <c r="AN40" s="106">
        <v>56</v>
      </c>
      <c r="AO40" s="106">
        <v>40588.799999999996</v>
      </c>
      <c r="AP40" s="106">
        <v>42</v>
      </c>
      <c r="AQ40" s="106">
        <v>30441.599999999999</v>
      </c>
      <c r="AR40" s="106">
        <v>17</v>
      </c>
      <c r="AS40" s="106">
        <v>12321.599999999999</v>
      </c>
      <c r="AT40" s="106">
        <v>30</v>
      </c>
      <c r="AU40" s="106">
        <v>21744</v>
      </c>
      <c r="AV40" s="106">
        <v>17</v>
      </c>
      <c r="AW40" s="106">
        <v>12321.599999999999</v>
      </c>
      <c r="AX40" s="106">
        <v>17</v>
      </c>
      <c r="AY40" s="106">
        <v>12321.599999999999</v>
      </c>
      <c r="AZ40" s="106">
        <v>5</v>
      </c>
      <c r="BA40" s="106">
        <v>3624</v>
      </c>
      <c r="BB40" s="106">
        <v>7</v>
      </c>
      <c r="BC40" s="106">
        <v>5073.5999999999995</v>
      </c>
      <c r="BD40" s="106">
        <v>5</v>
      </c>
      <c r="BE40" s="106">
        <v>3624</v>
      </c>
      <c r="BF40" s="106">
        <v>7</v>
      </c>
      <c r="BG40" s="106">
        <v>5073.5999999999995</v>
      </c>
      <c r="BH40" s="106">
        <v>49</v>
      </c>
      <c r="BI40" s="106">
        <v>35515.199999999997</v>
      </c>
      <c r="BJ40" s="106">
        <v>65</v>
      </c>
      <c r="BK40" s="106">
        <v>47112</v>
      </c>
      <c r="BL40" s="106">
        <v>45</v>
      </c>
      <c r="BM40" s="106">
        <v>32615.999999999996</v>
      </c>
      <c r="BN40" s="106">
        <v>69</v>
      </c>
      <c r="BO40" s="106">
        <v>50011.199999999997</v>
      </c>
      <c r="BP40" s="106">
        <v>40</v>
      </c>
      <c r="BQ40" s="106">
        <v>28992</v>
      </c>
      <c r="BR40" s="106">
        <v>31</v>
      </c>
      <c r="BS40" s="106">
        <v>22468.799999999999</v>
      </c>
      <c r="BT40" s="106">
        <v>34</v>
      </c>
      <c r="BU40" s="106">
        <v>24643.199999999997</v>
      </c>
      <c r="BV40" s="106">
        <v>28</v>
      </c>
      <c r="BW40" s="106">
        <v>20294.399999999998</v>
      </c>
      <c r="BX40" s="106">
        <v>10</v>
      </c>
      <c r="BY40" s="106">
        <v>7248</v>
      </c>
      <c r="BZ40" s="106">
        <v>11</v>
      </c>
      <c r="CA40" s="106">
        <v>7972.7999999999993</v>
      </c>
      <c r="CB40" s="106">
        <v>7</v>
      </c>
      <c r="CC40" s="106">
        <v>5073.5999999999995</v>
      </c>
      <c r="CD40" s="106">
        <v>11</v>
      </c>
      <c r="CE40" s="106">
        <v>7972.7999999999993</v>
      </c>
      <c r="CF40" s="106">
        <v>5</v>
      </c>
      <c r="CG40" s="106">
        <v>3624</v>
      </c>
      <c r="CH40" s="106">
        <v>6</v>
      </c>
      <c r="CI40" s="106">
        <v>4348.7999999999993</v>
      </c>
      <c r="CJ40" s="106">
        <v>7</v>
      </c>
      <c r="CK40" s="106">
        <v>5073.5999999999995</v>
      </c>
      <c r="CL40" s="106">
        <v>4</v>
      </c>
      <c r="CM40" s="106">
        <v>2899.2</v>
      </c>
      <c r="CN40" s="106">
        <v>7</v>
      </c>
      <c r="CO40" s="106">
        <v>5073.5999999999995</v>
      </c>
      <c r="CP40" s="106">
        <v>8</v>
      </c>
      <c r="CQ40" s="106">
        <v>5798.4</v>
      </c>
      <c r="CR40" s="106">
        <v>7</v>
      </c>
      <c r="CS40" s="106">
        <v>5073.5999999999995</v>
      </c>
      <c r="CT40" s="106">
        <v>6</v>
      </c>
      <c r="CU40" s="106">
        <v>4348.7999999999993</v>
      </c>
    </row>
    <row r="41" spans="2:99" x14ac:dyDescent="0.2">
      <c r="C41" s="105" t="s">
        <v>207</v>
      </c>
      <c r="D41" s="106">
        <v>12</v>
      </c>
      <c r="E41" s="106">
        <v>7920</v>
      </c>
      <c r="F41" s="106">
        <v>10</v>
      </c>
      <c r="G41" s="106">
        <v>6600</v>
      </c>
      <c r="H41" s="106">
        <v>14</v>
      </c>
      <c r="I41" s="106">
        <v>9240</v>
      </c>
      <c r="J41" s="106">
        <v>15</v>
      </c>
      <c r="K41" s="106">
        <v>9900</v>
      </c>
      <c r="L41" s="106">
        <v>55</v>
      </c>
      <c r="M41" s="106">
        <v>36300</v>
      </c>
      <c r="N41" s="106">
        <v>111</v>
      </c>
      <c r="O41" s="106">
        <v>73260</v>
      </c>
      <c r="P41" s="106">
        <v>103</v>
      </c>
      <c r="Q41" s="106">
        <v>67980</v>
      </c>
      <c r="R41" s="106">
        <v>87</v>
      </c>
      <c r="S41" s="106">
        <v>57420</v>
      </c>
      <c r="T41" s="106">
        <v>4</v>
      </c>
      <c r="U41" s="106">
        <v>2640</v>
      </c>
      <c r="V41" s="106">
        <v>4</v>
      </c>
      <c r="W41" s="106">
        <v>2640</v>
      </c>
      <c r="X41" s="106">
        <v>4</v>
      </c>
      <c r="Y41" s="106">
        <v>2640</v>
      </c>
      <c r="Z41" s="106">
        <v>5</v>
      </c>
      <c r="AA41" s="106">
        <v>3300</v>
      </c>
      <c r="AB41" s="106">
        <v>80</v>
      </c>
      <c r="AC41" s="106">
        <v>52800</v>
      </c>
      <c r="AD41" s="106">
        <v>67</v>
      </c>
      <c r="AE41" s="106">
        <v>44220</v>
      </c>
      <c r="AF41" s="106">
        <v>67</v>
      </c>
      <c r="AG41" s="106">
        <v>44220</v>
      </c>
      <c r="AH41" s="106">
        <v>72</v>
      </c>
      <c r="AI41" s="106">
        <v>47520</v>
      </c>
      <c r="AJ41" s="106">
        <v>70</v>
      </c>
      <c r="AK41" s="106">
        <v>46200</v>
      </c>
      <c r="AL41" s="106">
        <v>47</v>
      </c>
      <c r="AM41" s="106">
        <v>31020</v>
      </c>
      <c r="AN41" s="106">
        <v>51</v>
      </c>
      <c r="AO41" s="106">
        <v>33660</v>
      </c>
      <c r="AP41" s="106">
        <v>39</v>
      </c>
      <c r="AQ41" s="106">
        <v>25740</v>
      </c>
      <c r="AR41" s="106">
        <v>21</v>
      </c>
      <c r="AS41" s="106">
        <v>13860</v>
      </c>
      <c r="AT41" s="106">
        <v>31</v>
      </c>
      <c r="AU41" s="106">
        <v>20460</v>
      </c>
      <c r="AV41" s="106">
        <v>20</v>
      </c>
      <c r="AW41" s="106">
        <v>13200</v>
      </c>
      <c r="AX41" s="106">
        <v>17</v>
      </c>
      <c r="AY41" s="106">
        <v>11220</v>
      </c>
      <c r="AZ41" s="106">
        <v>5</v>
      </c>
      <c r="BA41" s="106">
        <v>3300</v>
      </c>
      <c r="BB41" s="106">
        <v>8</v>
      </c>
      <c r="BC41" s="106">
        <v>5280</v>
      </c>
      <c r="BD41" s="106">
        <v>4</v>
      </c>
      <c r="BE41" s="106">
        <v>2640</v>
      </c>
      <c r="BF41" s="106">
        <v>6</v>
      </c>
      <c r="BG41" s="106">
        <v>3960</v>
      </c>
      <c r="BH41" s="106">
        <v>48</v>
      </c>
      <c r="BI41" s="106">
        <v>31680</v>
      </c>
      <c r="BJ41" s="106">
        <v>69</v>
      </c>
      <c r="BK41" s="106">
        <v>45540</v>
      </c>
      <c r="BL41" s="106">
        <v>41</v>
      </c>
      <c r="BM41" s="106">
        <v>27060</v>
      </c>
      <c r="BN41" s="106">
        <v>69</v>
      </c>
      <c r="BO41" s="106">
        <v>45540</v>
      </c>
      <c r="BP41" s="106">
        <v>38</v>
      </c>
      <c r="BQ41" s="106">
        <v>25080</v>
      </c>
      <c r="BR41" s="106">
        <v>29</v>
      </c>
      <c r="BS41" s="106">
        <v>19140</v>
      </c>
      <c r="BT41" s="106">
        <v>37</v>
      </c>
      <c r="BU41" s="106">
        <v>24420</v>
      </c>
      <c r="BV41" s="106">
        <v>32</v>
      </c>
      <c r="BW41" s="106">
        <v>21120</v>
      </c>
      <c r="BX41" s="106">
        <v>10</v>
      </c>
      <c r="BY41" s="106">
        <v>6600</v>
      </c>
      <c r="BZ41" s="106">
        <v>11</v>
      </c>
      <c r="CA41" s="106">
        <v>7260</v>
      </c>
      <c r="CB41" s="106">
        <v>6</v>
      </c>
      <c r="CC41" s="106">
        <v>3960</v>
      </c>
      <c r="CD41" s="106">
        <v>13</v>
      </c>
      <c r="CE41" s="106">
        <v>8580</v>
      </c>
      <c r="CF41" s="106">
        <v>5</v>
      </c>
      <c r="CG41" s="106">
        <v>3300</v>
      </c>
      <c r="CH41" s="106">
        <v>7</v>
      </c>
      <c r="CI41" s="106">
        <v>4620</v>
      </c>
      <c r="CJ41" s="106">
        <v>6</v>
      </c>
      <c r="CK41" s="106">
        <v>3960</v>
      </c>
      <c r="CL41" s="106">
        <v>4</v>
      </c>
      <c r="CM41" s="106">
        <v>2640</v>
      </c>
      <c r="CN41" s="106">
        <v>8</v>
      </c>
      <c r="CO41" s="106">
        <v>5280</v>
      </c>
      <c r="CP41" s="106">
        <v>7</v>
      </c>
      <c r="CQ41" s="106">
        <v>4620</v>
      </c>
      <c r="CR41" s="106">
        <v>7</v>
      </c>
      <c r="CS41" s="106">
        <v>4620</v>
      </c>
      <c r="CT41" s="106">
        <v>6</v>
      </c>
      <c r="CU41" s="106">
        <v>3960</v>
      </c>
    </row>
    <row r="42" spans="2:99" x14ac:dyDescent="0.2">
      <c r="C42" s="105" t="s">
        <v>208</v>
      </c>
      <c r="D42" s="106">
        <v>11</v>
      </c>
      <c r="E42" s="106">
        <v>9306</v>
      </c>
      <c r="F42" s="106">
        <v>10</v>
      </c>
      <c r="G42" s="106">
        <v>8460</v>
      </c>
      <c r="H42" s="106">
        <v>12</v>
      </c>
      <c r="I42" s="106">
        <v>10152</v>
      </c>
      <c r="J42" s="106">
        <v>15</v>
      </c>
      <c r="K42" s="106">
        <v>12690</v>
      </c>
      <c r="L42" s="106">
        <v>53</v>
      </c>
      <c r="M42" s="106">
        <v>44838</v>
      </c>
      <c r="N42" s="106">
        <v>89</v>
      </c>
      <c r="O42" s="106">
        <v>75294</v>
      </c>
      <c r="P42" s="106">
        <v>101</v>
      </c>
      <c r="Q42" s="106">
        <v>85446</v>
      </c>
      <c r="R42" s="106">
        <v>88</v>
      </c>
      <c r="S42" s="106">
        <v>74448</v>
      </c>
      <c r="T42" s="106">
        <v>5</v>
      </c>
      <c r="U42" s="106">
        <v>4230</v>
      </c>
      <c r="V42" s="106">
        <v>4</v>
      </c>
      <c r="W42" s="106">
        <v>3384</v>
      </c>
      <c r="X42" s="106">
        <v>3</v>
      </c>
      <c r="Y42" s="106">
        <v>2538</v>
      </c>
      <c r="Z42" s="106">
        <v>5</v>
      </c>
      <c r="AA42" s="106">
        <v>4230</v>
      </c>
      <c r="AB42" s="106">
        <v>76</v>
      </c>
      <c r="AC42" s="106">
        <v>64296</v>
      </c>
      <c r="AD42" s="106">
        <v>71</v>
      </c>
      <c r="AE42" s="106">
        <v>60066</v>
      </c>
      <c r="AF42" s="106">
        <v>60</v>
      </c>
      <c r="AG42" s="106">
        <v>50760</v>
      </c>
      <c r="AH42" s="106">
        <v>73</v>
      </c>
      <c r="AI42" s="106">
        <v>61758</v>
      </c>
      <c r="AJ42" s="106">
        <v>66</v>
      </c>
      <c r="AK42" s="106">
        <v>55836</v>
      </c>
      <c r="AL42" s="106">
        <v>41</v>
      </c>
      <c r="AM42" s="106">
        <v>34686</v>
      </c>
      <c r="AN42" s="106">
        <v>48</v>
      </c>
      <c r="AO42" s="106">
        <v>40608</v>
      </c>
      <c r="AP42" s="106">
        <v>43</v>
      </c>
      <c r="AQ42" s="106">
        <v>36378</v>
      </c>
      <c r="AR42" s="106">
        <v>19</v>
      </c>
      <c r="AS42" s="106">
        <v>16074</v>
      </c>
      <c r="AT42" s="106">
        <v>29</v>
      </c>
      <c r="AU42" s="106">
        <v>24534</v>
      </c>
      <c r="AV42" s="106">
        <v>19</v>
      </c>
      <c r="AW42" s="106">
        <v>16074</v>
      </c>
      <c r="AX42" s="106">
        <v>19</v>
      </c>
      <c r="AY42" s="106">
        <v>16074</v>
      </c>
      <c r="AZ42" s="106">
        <v>6</v>
      </c>
      <c r="BA42" s="106">
        <v>5076</v>
      </c>
      <c r="BB42" s="106">
        <v>7</v>
      </c>
      <c r="BC42" s="106">
        <v>5922</v>
      </c>
      <c r="BD42" s="106">
        <v>5</v>
      </c>
      <c r="BE42" s="106">
        <v>4230</v>
      </c>
      <c r="BF42" s="106">
        <v>7</v>
      </c>
      <c r="BG42" s="106">
        <v>5922</v>
      </c>
      <c r="BH42" s="106">
        <v>45</v>
      </c>
      <c r="BI42" s="106">
        <v>38070</v>
      </c>
      <c r="BJ42" s="106">
        <v>58</v>
      </c>
      <c r="BK42" s="106">
        <v>49068</v>
      </c>
      <c r="BL42" s="106">
        <v>43</v>
      </c>
      <c r="BM42" s="106">
        <v>36378</v>
      </c>
      <c r="BN42" s="106">
        <v>56</v>
      </c>
      <c r="BO42" s="106">
        <v>47376</v>
      </c>
      <c r="BP42" s="106">
        <v>42</v>
      </c>
      <c r="BQ42" s="106">
        <v>35532</v>
      </c>
      <c r="BR42" s="106">
        <v>26</v>
      </c>
      <c r="BS42" s="106">
        <v>21996</v>
      </c>
      <c r="BT42" s="106">
        <v>37</v>
      </c>
      <c r="BU42" s="106">
        <v>31302</v>
      </c>
      <c r="BV42" s="106">
        <v>27</v>
      </c>
      <c r="BW42" s="106">
        <v>22842</v>
      </c>
      <c r="BX42" s="106">
        <v>9</v>
      </c>
      <c r="BY42" s="106">
        <v>7614</v>
      </c>
      <c r="BZ42" s="106">
        <v>12</v>
      </c>
      <c r="CA42" s="106">
        <v>10152</v>
      </c>
      <c r="CB42" s="106">
        <v>6</v>
      </c>
      <c r="CC42" s="106">
        <v>5076</v>
      </c>
      <c r="CD42" s="106">
        <v>12</v>
      </c>
      <c r="CE42" s="106">
        <v>10152</v>
      </c>
      <c r="CF42" s="106">
        <v>5</v>
      </c>
      <c r="CG42" s="106">
        <v>4230</v>
      </c>
      <c r="CH42" s="106">
        <v>6</v>
      </c>
      <c r="CI42" s="106">
        <v>5076</v>
      </c>
      <c r="CJ42" s="106">
        <v>7</v>
      </c>
      <c r="CK42" s="106">
        <v>5922</v>
      </c>
      <c r="CL42" s="106">
        <v>4</v>
      </c>
      <c r="CM42" s="106">
        <v>3384</v>
      </c>
      <c r="CN42" s="106">
        <v>8</v>
      </c>
      <c r="CO42" s="106">
        <v>6768</v>
      </c>
      <c r="CP42" s="106">
        <v>8</v>
      </c>
      <c r="CQ42" s="106">
        <v>6768</v>
      </c>
      <c r="CR42" s="106">
        <v>7</v>
      </c>
      <c r="CS42" s="106">
        <v>5922</v>
      </c>
      <c r="CT42" s="106">
        <v>6</v>
      </c>
      <c r="CU42" s="106">
        <v>5076</v>
      </c>
    </row>
    <row r="43" spans="2:99" x14ac:dyDescent="0.2">
      <c r="C43" s="105" t="s">
        <v>209</v>
      </c>
      <c r="D43" s="106">
        <v>11</v>
      </c>
      <c r="E43" s="106">
        <v>11246.4</v>
      </c>
      <c r="F43" s="106">
        <v>11</v>
      </c>
      <c r="G43" s="106">
        <v>11246.4</v>
      </c>
      <c r="H43" s="106">
        <v>12</v>
      </c>
      <c r="I43" s="106">
        <v>12268.8</v>
      </c>
      <c r="J43" s="106">
        <v>16</v>
      </c>
      <c r="K43" s="106">
        <v>16358.4</v>
      </c>
      <c r="L43" s="106">
        <v>48</v>
      </c>
      <c r="M43" s="106">
        <v>49075.199999999997</v>
      </c>
      <c r="N43" s="106">
        <v>87</v>
      </c>
      <c r="O43" s="106">
        <v>88948.800000000003</v>
      </c>
      <c r="P43" s="106">
        <v>96</v>
      </c>
      <c r="Q43" s="106">
        <v>98150.399999999994</v>
      </c>
      <c r="R43" s="106">
        <v>82</v>
      </c>
      <c r="S43" s="106">
        <v>83836.800000000003</v>
      </c>
      <c r="T43" s="106">
        <v>4</v>
      </c>
      <c r="U43" s="106">
        <v>4089.6</v>
      </c>
      <c r="V43" s="106">
        <v>4</v>
      </c>
      <c r="W43" s="106">
        <v>4089.6</v>
      </c>
      <c r="X43" s="106">
        <v>3</v>
      </c>
      <c r="Y43" s="106">
        <v>3067.2</v>
      </c>
      <c r="Z43" s="106">
        <v>5</v>
      </c>
      <c r="AA43" s="106">
        <v>5112</v>
      </c>
      <c r="AB43" s="106">
        <v>81</v>
      </c>
      <c r="AC43" s="106">
        <v>82814.399999999994</v>
      </c>
      <c r="AD43" s="106">
        <v>67</v>
      </c>
      <c r="AE43" s="106">
        <v>68500.800000000003</v>
      </c>
      <c r="AF43" s="106">
        <v>62</v>
      </c>
      <c r="AG43" s="106">
        <v>63388.799999999996</v>
      </c>
      <c r="AH43" s="106">
        <v>74</v>
      </c>
      <c r="AI43" s="106">
        <v>75657.599999999991</v>
      </c>
      <c r="AJ43" s="106">
        <v>69</v>
      </c>
      <c r="AK43" s="106">
        <v>70545.599999999991</v>
      </c>
      <c r="AL43" s="106">
        <v>44</v>
      </c>
      <c r="AM43" s="106">
        <v>44985.599999999999</v>
      </c>
      <c r="AN43" s="106">
        <v>50</v>
      </c>
      <c r="AO43" s="106">
        <v>51120</v>
      </c>
      <c r="AP43" s="106">
        <v>37</v>
      </c>
      <c r="AQ43" s="106">
        <v>37828.799999999996</v>
      </c>
      <c r="AR43" s="106">
        <v>19</v>
      </c>
      <c r="AS43" s="106">
        <v>19425.599999999999</v>
      </c>
      <c r="AT43" s="106">
        <v>28</v>
      </c>
      <c r="AU43" s="106">
        <v>28627.200000000001</v>
      </c>
      <c r="AV43" s="106">
        <v>17</v>
      </c>
      <c r="AW43" s="106">
        <v>17380.8</v>
      </c>
      <c r="AX43" s="106">
        <v>18</v>
      </c>
      <c r="AY43" s="106">
        <v>18403.2</v>
      </c>
      <c r="AZ43" s="106">
        <v>5</v>
      </c>
      <c r="BA43" s="106">
        <v>5112</v>
      </c>
      <c r="BB43" s="106">
        <v>8</v>
      </c>
      <c r="BC43" s="106">
        <v>8179.2</v>
      </c>
      <c r="BD43" s="106">
        <v>4</v>
      </c>
      <c r="BE43" s="106">
        <v>4089.6</v>
      </c>
      <c r="BF43" s="106">
        <v>6</v>
      </c>
      <c r="BG43" s="106">
        <v>6134.4</v>
      </c>
      <c r="BH43" s="106">
        <v>42</v>
      </c>
      <c r="BI43" s="106">
        <v>42940.799999999996</v>
      </c>
      <c r="BJ43" s="106">
        <v>64</v>
      </c>
      <c r="BK43" s="106">
        <v>65433.599999999999</v>
      </c>
      <c r="BL43" s="106">
        <v>44</v>
      </c>
      <c r="BM43" s="106">
        <v>44985.599999999999</v>
      </c>
      <c r="BN43" s="106">
        <v>56</v>
      </c>
      <c r="BO43" s="106">
        <v>57254.400000000001</v>
      </c>
      <c r="BP43" s="106">
        <v>38</v>
      </c>
      <c r="BQ43" s="106">
        <v>38851.199999999997</v>
      </c>
      <c r="BR43" s="106">
        <v>27</v>
      </c>
      <c r="BS43" s="106">
        <v>27604.799999999999</v>
      </c>
      <c r="BT43" s="106">
        <v>34</v>
      </c>
      <c r="BU43" s="106">
        <v>34761.599999999999</v>
      </c>
      <c r="BV43" s="106">
        <v>26</v>
      </c>
      <c r="BW43" s="106">
        <v>26582.399999999998</v>
      </c>
      <c r="BX43" s="106">
        <v>9</v>
      </c>
      <c r="BY43" s="106">
        <v>9201.6</v>
      </c>
      <c r="BZ43" s="106">
        <v>11</v>
      </c>
      <c r="CA43" s="106">
        <v>11246.4</v>
      </c>
      <c r="CB43" s="106">
        <v>7</v>
      </c>
      <c r="CC43" s="106">
        <v>7156.8</v>
      </c>
      <c r="CD43" s="106">
        <v>11</v>
      </c>
      <c r="CE43" s="106">
        <v>11246.4</v>
      </c>
      <c r="CF43" s="106">
        <v>5</v>
      </c>
      <c r="CG43" s="106">
        <v>5112</v>
      </c>
      <c r="CH43" s="106">
        <v>7</v>
      </c>
      <c r="CI43" s="106">
        <v>7156.8</v>
      </c>
      <c r="CJ43" s="106">
        <v>6</v>
      </c>
      <c r="CK43" s="106">
        <v>6134.4</v>
      </c>
      <c r="CL43" s="106">
        <v>4</v>
      </c>
      <c r="CM43" s="106">
        <v>4089.6</v>
      </c>
      <c r="CN43" s="106">
        <v>7</v>
      </c>
      <c r="CO43" s="106">
        <v>7156.8</v>
      </c>
      <c r="CP43" s="106">
        <v>8</v>
      </c>
      <c r="CQ43" s="106">
        <v>8179.2</v>
      </c>
      <c r="CR43" s="106">
        <v>6</v>
      </c>
      <c r="CS43" s="106">
        <v>6134.4</v>
      </c>
      <c r="CT43" s="106">
        <v>5</v>
      </c>
      <c r="CU43" s="106">
        <v>5112</v>
      </c>
    </row>
    <row r="44" spans="2:99" x14ac:dyDescent="0.2">
      <c r="C44" s="105" t="s">
        <v>210</v>
      </c>
      <c r="D44" s="106">
        <v>12</v>
      </c>
      <c r="E44" s="106">
        <v>12268.8</v>
      </c>
      <c r="F44" s="106">
        <v>11</v>
      </c>
      <c r="G44" s="106">
        <v>11246.4</v>
      </c>
      <c r="H44" s="106">
        <v>13</v>
      </c>
      <c r="I44" s="106">
        <v>13291.199999999999</v>
      </c>
      <c r="J44" s="106">
        <v>15</v>
      </c>
      <c r="K44" s="106">
        <v>15336</v>
      </c>
      <c r="L44" s="106">
        <v>44</v>
      </c>
      <c r="M44" s="106">
        <v>44985.599999999999</v>
      </c>
      <c r="N44" s="106">
        <v>95</v>
      </c>
      <c r="O44" s="106">
        <v>97128</v>
      </c>
      <c r="P44" s="106">
        <v>94</v>
      </c>
      <c r="Q44" s="106">
        <v>96105.599999999991</v>
      </c>
      <c r="R44" s="106">
        <v>82</v>
      </c>
      <c r="S44" s="106">
        <v>83836.800000000003</v>
      </c>
      <c r="T44" s="106">
        <v>4</v>
      </c>
      <c r="U44" s="106">
        <v>4089.6</v>
      </c>
      <c r="V44" s="106">
        <v>4</v>
      </c>
      <c r="W44" s="106">
        <v>4089.6</v>
      </c>
      <c r="X44" s="106">
        <v>3</v>
      </c>
      <c r="Y44" s="106">
        <v>3067.2</v>
      </c>
      <c r="Z44" s="106">
        <v>6</v>
      </c>
      <c r="AA44" s="106">
        <v>6134.4</v>
      </c>
      <c r="AB44" s="106">
        <v>71</v>
      </c>
      <c r="AC44" s="106">
        <v>72590.399999999994</v>
      </c>
      <c r="AD44" s="106">
        <v>67</v>
      </c>
      <c r="AE44" s="106">
        <v>68500.800000000003</v>
      </c>
      <c r="AF44" s="106">
        <v>59</v>
      </c>
      <c r="AG44" s="106">
        <v>60321.599999999999</v>
      </c>
      <c r="AH44" s="106">
        <v>75</v>
      </c>
      <c r="AI44" s="106">
        <v>76680</v>
      </c>
      <c r="AJ44" s="106">
        <v>63</v>
      </c>
      <c r="AK44" s="106">
        <v>64411.199999999997</v>
      </c>
      <c r="AL44" s="106">
        <v>41</v>
      </c>
      <c r="AM44" s="106">
        <v>41918.400000000001</v>
      </c>
      <c r="AN44" s="106">
        <v>53</v>
      </c>
      <c r="AO44" s="106">
        <v>54187.199999999997</v>
      </c>
      <c r="AP44" s="106">
        <v>37</v>
      </c>
      <c r="AQ44" s="106">
        <v>37828.799999999996</v>
      </c>
      <c r="AR44" s="106">
        <v>17</v>
      </c>
      <c r="AS44" s="106">
        <v>17380.8</v>
      </c>
      <c r="AT44" s="106">
        <v>27</v>
      </c>
      <c r="AU44" s="106">
        <v>27604.799999999999</v>
      </c>
      <c r="AV44" s="106">
        <v>18</v>
      </c>
      <c r="AW44" s="106">
        <v>18403.2</v>
      </c>
      <c r="AX44" s="106">
        <v>16</v>
      </c>
      <c r="AY44" s="106">
        <v>16358.4</v>
      </c>
      <c r="AZ44" s="106">
        <v>6</v>
      </c>
      <c r="BA44" s="106">
        <v>6134.4</v>
      </c>
      <c r="BB44" s="106">
        <v>8</v>
      </c>
      <c r="BC44" s="106">
        <v>8179.2</v>
      </c>
      <c r="BD44" s="106">
        <v>5</v>
      </c>
      <c r="BE44" s="106">
        <v>5112</v>
      </c>
      <c r="BF44" s="106">
        <v>6</v>
      </c>
      <c r="BG44" s="106">
        <v>6134.4</v>
      </c>
      <c r="BH44" s="106">
        <v>43</v>
      </c>
      <c r="BI44" s="106">
        <v>43963.199999999997</v>
      </c>
      <c r="BJ44" s="106">
        <v>54</v>
      </c>
      <c r="BK44" s="106">
        <v>55209.599999999999</v>
      </c>
      <c r="BL44" s="106">
        <v>39</v>
      </c>
      <c r="BM44" s="106">
        <v>39873.599999999999</v>
      </c>
      <c r="BN44" s="106">
        <v>63</v>
      </c>
      <c r="BO44" s="106">
        <v>64411.199999999997</v>
      </c>
      <c r="BP44" s="106">
        <v>38</v>
      </c>
      <c r="BQ44" s="106">
        <v>38851.199999999997</v>
      </c>
      <c r="BR44" s="106">
        <v>29</v>
      </c>
      <c r="BS44" s="106">
        <v>29649.599999999999</v>
      </c>
      <c r="BT44" s="106">
        <v>32</v>
      </c>
      <c r="BU44" s="106">
        <v>32716.799999999999</v>
      </c>
      <c r="BV44" s="106">
        <v>27</v>
      </c>
      <c r="BW44" s="106">
        <v>27604.799999999999</v>
      </c>
      <c r="BX44" s="106">
        <v>10</v>
      </c>
      <c r="BY44" s="106">
        <v>10224</v>
      </c>
      <c r="BZ44" s="106">
        <v>12</v>
      </c>
      <c r="CA44" s="106">
        <v>12268.8</v>
      </c>
      <c r="CB44" s="106">
        <v>7</v>
      </c>
      <c r="CC44" s="106">
        <v>7156.8</v>
      </c>
      <c r="CD44" s="106">
        <v>11</v>
      </c>
      <c r="CE44" s="106">
        <v>11246.4</v>
      </c>
      <c r="CF44" s="106">
        <v>6</v>
      </c>
      <c r="CG44" s="106">
        <v>6134.4</v>
      </c>
      <c r="CH44" s="106">
        <v>6</v>
      </c>
      <c r="CI44" s="106">
        <v>6134.4</v>
      </c>
      <c r="CJ44" s="106">
        <v>6</v>
      </c>
      <c r="CK44" s="106">
        <v>6134.4</v>
      </c>
      <c r="CL44" s="106">
        <v>4</v>
      </c>
      <c r="CM44" s="106">
        <v>4089.6</v>
      </c>
      <c r="CN44" s="106">
        <v>8</v>
      </c>
      <c r="CO44" s="106">
        <v>8179.2</v>
      </c>
      <c r="CP44" s="106">
        <v>8</v>
      </c>
      <c r="CQ44" s="106">
        <v>8179.2</v>
      </c>
      <c r="CR44" s="106">
        <v>6</v>
      </c>
      <c r="CS44" s="106">
        <v>6134.4</v>
      </c>
      <c r="CT44" s="106">
        <v>6</v>
      </c>
      <c r="CU44" s="106">
        <v>6134.4</v>
      </c>
    </row>
    <row r="45" spans="2:99" x14ac:dyDescent="0.2">
      <c r="C45" s="105" t="s">
        <v>211</v>
      </c>
      <c r="D45" s="106">
        <v>11</v>
      </c>
      <c r="E45" s="106">
        <v>13741.2</v>
      </c>
      <c r="F45" s="106">
        <v>11</v>
      </c>
      <c r="G45" s="106">
        <v>13741.2</v>
      </c>
      <c r="H45" s="106">
        <v>12</v>
      </c>
      <c r="I45" s="106">
        <v>14990.400000000001</v>
      </c>
      <c r="J45" s="106">
        <v>13</v>
      </c>
      <c r="K45" s="106">
        <v>16239.6</v>
      </c>
      <c r="L45" s="106">
        <v>50</v>
      </c>
      <c r="M45" s="106">
        <v>62460</v>
      </c>
      <c r="N45" s="106">
        <v>82</v>
      </c>
      <c r="O45" s="106">
        <v>102434.40000000001</v>
      </c>
      <c r="P45" s="106">
        <v>93</v>
      </c>
      <c r="Q45" s="106">
        <v>116175.6</v>
      </c>
      <c r="R45" s="106">
        <v>79</v>
      </c>
      <c r="S45" s="106">
        <v>98686.8</v>
      </c>
      <c r="T45" s="106">
        <v>4</v>
      </c>
      <c r="U45" s="106">
        <v>4996.8</v>
      </c>
      <c r="V45" s="106">
        <v>4</v>
      </c>
      <c r="W45" s="106">
        <v>4996.8</v>
      </c>
      <c r="X45" s="106">
        <v>3</v>
      </c>
      <c r="Y45" s="106">
        <v>3747.6000000000004</v>
      </c>
      <c r="Z45" s="106">
        <v>5</v>
      </c>
      <c r="AA45" s="106">
        <v>6246</v>
      </c>
      <c r="AB45" s="106">
        <v>64</v>
      </c>
      <c r="AC45" s="106">
        <v>79948.800000000003</v>
      </c>
      <c r="AD45" s="106">
        <v>67</v>
      </c>
      <c r="AE45" s="106">
        <v>83696.400000000009</v>
      </c>
      <c r="AF45" s="106">
        <v>58</v>
      </c>
      <c r="AG45" s="106">
        <v>72453.600000000006</v>
      </c>
      <c r="AH45" s="106">
        <v>67</v>
      </c>
      <c r="AI45" s="106">
        <v>83696.400000000009</v>
      </c>
      <c r="AJ45" s="106">
        <v>65</v>
      </c>
      <c r="AK45" s="106">
        <v>81198</v>
      </c>
      <c r="AL45" s="106">
        <v>42</v>
      </c>
      <c r="AM45" s="106">
        <v>52466.400000000001</v>
      </c>
      <c r="AN45" s="106">
        <v>46</v>
      </c>
      <c r="AO45" s="106">
        <v>57463.200000000004</v>
      </c>
      <c r="AP45" s="106">
        <v>40</v>
      </c>
      <c r="AQ45" s="106">
        <v>49968</v>
      </c>
      <c r="AR45" s="106">
        <v>17</v>
      </c>
      <c r="AS45" s="106">
        <v>21236.400000000001</v>
      </c>
      <c r="AT45" s="106">
        <v>27</v>
      </c>
      <c r="AU45" s="106">
        <v>33728.400000000001</v>
      </c>
      <c r="AV45" s="106">
        <v>18</v>
      </c>
      <c r="AW45" s="106">
        <v>22485.600000000002</v>
      </c>
      <c r="AX45" s="106">
        <v>18</v>
      </c>
      <c r="AY45" s="106">
        <v>22485.600000000002</v>
      </c>
      <c r="AZ45" s="106">
        <v>5</v>
      </c>
      <c r="BA45" s="106">
        <v>6246</v>
      </c>
      <c r="BB45" s="106">
        <v>8</v>
      </c>
      <c r="BC45" s="106">
        <v>9993.6</v>
      </c>
      <c r="BD45" s="106">
        <v>5</v>
      </c>
      <c r="BE45" s="106">
        <v>6246</v>
      </c>
      <c r="BF45" s="106">
        <v>6</v>
      </c>
      <c r="BG45" s="106">
        <v>7495.2000000000007</v>
      </c>
      <c r="BH45" s="106">
        <v>47</v>
      </c>
      <c r="BI45" s="106">
        <v>58712.4</v>
      </c>
      <c r="BJ45" s="106">
        <v>51</v>
      </c>
      <c r="BK45" s="106">
        <v>63709.200000000004</v>
      </c>
      <c r="BL45" s="106">
        <v>39</v>
      </c>
      <c r="BM45" s="106">
        <v>48718.8</v>
      </c>
      <c r="BN45" s="106">
        <v>55</v>
      </c>
      <c r="BO45" s="106">
        <v>68706</v>
      </c>
      <c r="BP45" s="106">
        <v>36</v>
      </c>
      <c r="BQ45" s="106">
        <v>44971.200000000004</v>
      </c>
      <c r="BR45" s="106">
        <v>29</v>
      </c>
      <c r="BS45" s="106">
        <v>36226.800000000003</v>
      </c>
      <c r="BT45" s="106">
        <v>29</v>
      </c>
      <c r="BU45" s="106">
        <v>36226.800000000003</v>
      </c>
      <c r="BV45" s="106">
        <v>26</v>
      </c>
      <c r="BW45" s="106">
        <v>32479.200000000001</v>
      </c>
      <c r="BX45" s="106">
        <v>9</v>
      </c>
      <c r="BY45" s="106">
        <v>11242.800000000001</v>
      </c>
      <c r="BZ45" s="106">
        <v>12</v>
      </c>
      <c r="CA45" s="106">
        <v>14990.400000000001</v>
      </c>
      <c r="CB45" s="106">
        <v>7</v>
      </c>
      <c r="CC45" s="106">
        <v>8744.4</v>
      </c>
      <c r="CD45" s="106">
        <v>11</v>
      </c>
      <c r="CE45" s="106">
        <v>13741.2</v>
      </c>
      <c r="CF45" s="106">
        <v>5</v>
      </c>
      <c r="CG45" s="106">
        <v>6246</v>
      </c>
      <c r="CH45" s="106">
        <v>7</v>
      </c>
      <c r="CI45" s="106">
        <v>8744.4</v>
      </c>
      <c r="CJ45" s="106">
        <v>6</v>
      </c>
      <c r="CK45" s="106">
        <v>7495.2000000000007</v>
      </c>
      <c r="CL45" s="106">
        <v>4</v>
      </c>
      <c r="CM45" s="106">
        <v>4996.8</v>
      </c>
      <c r="CN45" s="106">
        <v>8</v>
      </c>
      <c r="CO45" s="106">
        <v>9993.6</v>
      </c>
      <c r="CP45" s="106">
        <v>7</v>
      </c>
      <c r="CQ45" s="106">
        <v>8744.4</v>
      </c>
      <c r="CR45" s="106">
        <v>6</v>
      </c>
      <c r="CS45" s="106">
        <v>7495.2000000000007</v>
      </c>
      <c r="CT45" s="106">
        <v>6</v>
      </c>
      <c r="CU45" s="106">
        <v>7495.2000000000007</v>
      </c>
    </row>
    <row r="46" spans="2:99" x14ac:dyDescent="0.2">
      <c r="C46" s="105" t="s">
        <v>212</v>
      </c>
      <c r="D46" s="106">
        <v>10</v>
      </c>
      <c r="E46" s="106">
        <v>12120</v>
      </c>
      <c r="F46" s="106">
        <v>11</v>
      </c>
      <c r="G46" s="106">
        <v>13332</v>
      </c>
      <c r="H46" s="106">
        <v>14</v>
      </c>
      <c r="I46" s="106">
        <v>16968</v>
      </c>
      <c r="J46" s="106">
        <v>16</v>
      </c>
      <c r="K46" s="106">
        <v>19392</v>
      </c>
      <c r="L46" s="106">
        <v>44</v>
      </c>
      <c r="M46" s="106">
        <v>53328</v>
      </c>
      <c r="N46" s="106">
        <v>84</v>
      </c>
      <c r="O46" s="106">
        <v>101808</v>
      </c>
      <c r="P46" s="106">
        <v>85</v>
      </c>
      <c r="Q46" s="106">
        <v>103020</v>
      </c>
      <c r="R46" s="106">
        <v>86</v>
      </c>
      <c r="S46" s="106">
        <v>104232</v>
      </c>
      <c r="T46" s="106">
        <v>5</v>
      </c>
      <c r="U46" s="106">
        <v>6060</v>
      </c>
      <c r="V46" s="106">
        <v>4</v>
      </c>
      <c r="W46" s="106">
        <v>4848</v>
      </c>
      <c r="X46" s="106">
        <v>3</v>
      </c>
      <c r="Y46" s="106">
        <v>3636</v>
      </c>
      <c r="Z46" s="106">
        <v>6</v>
      </c>
      <c r="AA46" s="106">
        <v>7272</v>
      </c>
      <c r="AB46" s="106">
        <v>77</v>
      </c>
      <c r="AC46" s="106">
        <v>93324</v>
      </c>
      <c r="AD46" s="106">
        <v>64</v>
      </c>
      <c r="AE46" s="106">
        <v>77568</v>
      </c>
      <c r="AF46" s="106">
        <v>57</v>
      </c>
      <c r="AG46" s="106">
        <v>69084</v>
      </c>
      <c r="AH46" s="106">
        <v>73</v>
      </c>
      <c r="AI46" s="106">
        <v>88476</v>
      </c>
      <c r="AJ46" s="106">
        <v>59</v>
      </c>
      <c r="AK46" s="106">
        <v>71508</v>
      </c>
      <c r="AL46" s="106">
        <v>37</v>
      </c>
      <c r="AM46" s="106">
        <v>44844</v>
      </c>
      <c r="AN46" s="106">
        <v>50</v>
      </c>
      <c r="AO46" s="106">
        <v>60600</v>
      </c>
      <c r="AP46" s="106">
        <v>39</v>
      </c>
      <c r="AQ46" s="106">
        <v>47268</v>
      </c>
      <c r="AR46" s="106">
        <v>16</v>
      </c>
      <c r="AS46" s="106">
        <v>19392</v>
      </c>
      <c r="AT46" s="106">
        <v>24</v>
      </c>
      <c r="AU46" s="106">
        <v>29088</v>
      </c>
      <c r="AV46" s="106">
        <v>17</v>
      </c>
      <c r="AW46" s="106">
        <v>20604</v>
      </c>
      <c r="AX46" s="106">
        <v>16</v>
      </c>
      <c r="AY46" s="106">
        <v>19392</v>
      </c>
      <c r="AZ46" s="106">
        <v>6</v>
      </c>
      <c r="BA46" s="106">
        <v>7272</v>
      </c>
      <c r="BB46" s="106">
        <v>8</v>
      </c>
      <c r="BC46" s="106">
        <v>9696</v>
      </c>
      <c r="BD46" s="106">
        <v>4</v>
      </c>
      <c r="BE46" s="106">
        <v>4848</v>
      </c>
      <c r="BF46" s="106">
        <v>7</v>
      </c>
      <c r="BG46" s="106">
        <v>8484</v>
      </c>
      <c r="BH46" s="106">
        <v>43</v>
      </c>
      <c r="BI46" s="106">
        <v>52116</v>
      </c>
      <c r="BJ46" s="106">
        <v>61</v>
      </c>
      <c r="BK46" s="106">
        <v>73932</v>
      </c>
      <c r="BL46" s="106">
        <v>37</v>
      </c>
      <c r="BM46" s="106">
        <v>44844</v>
      </c>
      <c r="BN46" s="106">
        <v>57</v>
      </c>
      <c r="BO46" s="106">
        <v>69084</v>
      </c>
      <c r="BP46" s="106">
        <v>34</v>
      </c>
      <c r="BQ46" s="106">
        <v>41208</v>
      </c>
      <c r="BR46" s="106">
        <v>25</v>
      </c>
      <c r="BS46" s="106">
        <v>30300</v>
      </c>
      <c r="BT46" s="106">
        <v>30</v>
      </c>
      <c r="BU46" s="106">
        <v>36360</v>
      </c>
      <c r="BV46" s="106">
        <v>25</v>
      </c>
      <c r="BW46" s="106">
        <v>30300</v>
      </c>
      <c r="BX46" s="106">
        <v>9</v>
      </c>
      <c r="BY46" s="106">
        <v>10908</v>
      </c>
      <c r="BZ46" s="106">
        <v>10</v>
      </c>
      <c r="CA46" s="106">
        <v>12120</v>
      </c>
      <c r="CB46" s="106">
        <v>6</v>
      </c>
      <c r="CC46" s="106">
        <v>7272</v>
      </c>
      <c r="CD46" s="106">
        <v>12</v>
      </c>
      <c r="CE46" s="106">
        <v>14544</v>
      </c>
      <c r="CF46" s="106">
        <v>5</v>
      </c>
      <c r="CG46" s="106">
        <v>6060</v>
      </c>
      <c r="CH46" s="106">
        <v>7</v>
      </c>
      <c r="CI46" s="106">
        <v>8484</v>
      </c>
      <c r="CJ46" s="106">
        <v>6</v>
      </c>
      <c r="CK46" s="106">
        <v>7272</v>
      </c>
      <c r="CL46" s="106">
        <v>3</v>
      </c>
      <c r="CM46" s="106">
        <v>3636</v>
      </c>
      <c r="CN46" s="106">
        <v>7</v>
      </c>
      <c r="CO46" s="106">
        <v>8484</v>
      </c>
      <c r="CP46" s="106">
        <v>7</v>
      </c>
      <c r="CQ46" s="106">
        <v>8484</v>
      </c>
      <c r="CR46" s="106">
        <v>6</v>
      </c>
      <c r="CS46" s="106">
        <v>7272</v>
      </c>
      <c r="CT46" s="106">
        <v>6</v>
      </c>
      <c r="CU46" s="106">
        <v>7272</v>
      </c>
    </row>
    <row r="47" spans="2:99" x14ac:dyDescent="0.2">
      <c r="C47" s="105" t="s">
        <v>213</v>
      </c>
      <c r="D47" s="106">
        <v>10</v>
      </c>
      <c r="E47" s="106">
        <v>15276</v>
      </c>
      <c r="F47" s="106">
        <v>9</v>
      </c>
      <c r="G47" s="106">
        <v>13748.4</v>
      </c>
      <c r="H47" s="106">
        <v>13</v>
      </c>
      <c r="I47" s="106">
        <v>19858.8</v>
      </c>
      <c r="J47" s="106">
        <v>14</v>
      </c>
      <c r="K47" s="106">
        <v>21386.399999999998</v>
      </c>
      <c r="L47" s="106">
        <v>43</v>
      </c>
      <c r="M47" s="106">
        <v>65686.8</v>
      </c>
      <c r="N47" s="106">
        <v>83</v>
      </c>
      <c r="O47" s="106">
        <v>126790.79999999999</v>
      </c>
      <c r="P47" s="106">
        <v>83</v>
      </c>
      <c r="Q47" s="106">
        <v>126790.79999999999</v>
      </c>
      <c r="R47" s="106">
        <v>80</v>
      </c>
      <c r="S47" s="106">
        <v>122208</v>
      </c>
      <c r="T47" s="106">
        <v>4</v>
      </c>
      <c r="U47" s="106">
        <v>6110.4</v>
      </c>
      <c r="V47" s="106">
        <v>4</v>
      </c>
      <c r="W47" s="106">
        <v>6110.4</v>
      </c>
      <c r="X47" s="106">
        <v>3</v>
      </c>
      <c r="Y47" s="106">
        <v>4582.7999999999993</v>
      </c>
      <c r="Z47" s="106">
        <v>5</v>
      </c>
      <c r="AA47" s="106">
        <v>7638</v>
      </c>
      <c r="AB47" s="106">
        <v>69</v>
      </c>
      <c r="AC47" s="106">
        <v>105404.4</v>
      </c>
      <c r="AD47" s="106">
        <v>56</v>
      </c>
      <c r="AE47" s="106">
        <v>85545.599999999991</v>
      </c>
      <c r="AF47" s="106">
        <v>57</v>
      </c>
      <c r="AG47" s="106">
        <v>87073.2</v>
      </c>
      <c r="AH47" s="106">
        <v>61</v>
      </c>
      <c r="AI47" s="106">
        <v>93183.599999999991</v>
      </c>
      <c r="AJ47" s="106">
        <v>57</v>
      </c>
      <c r="AK47" s="106">
        <v>87073.2</v>
      </c>
      <c r="AL47" s="106">
        <v>40</v>
      </c>
      <c r="AM47" s="106">
        <v>61104</v>
      </c>
      <c r="AN47" s="106">
        <v>46</v>
      </c>
      <c r="AO47" s="106">
        <v>70269.599999999991</v>
      </c>
      <c r="AP47" s="106">
        <v>39</v>
      </c>
      <c r="AQ47" s="106">
        <v>59576.399999999994</v>
      </c>
      <c r="AR47" s="106">
        <v>18</v>
      </c>
      <c r="AS47" s="106">
        <v>27496.799999999999</v>
      </c>
      <c r="AT47" s="106">
        <v>24</v>
      </c>
      <c r="AU47" s="106">
        <v>36662.399999999994</v>
      </c>
      <c r="AV47" s="106">
        <v>15</v>
      </c>
      <c r="AW47" s="106">
        <v>22914</v>
      </c>
      <c r="AX47" s="106">
        <v>17</v>
      </c>
      <c r="AY47" s="106">
        <v>25969.199999999997</v>
      </c>
      <c r="AZ47" s="106">
        <v>6</v>
      </c>
      <c r="BA47" s="106">
        <v>9165.5999999999985</v>
      </c>
      <c r="BB47" s="106">
        <v>7</v>
      </c>
      <c r="BC47" s="106">
        <v>10693.199999999999</v>
      </c>
      <c r="BD47" s="106">
        <v>4</v>
      </c>
      <c r="BE47" s="106">
        <v>6110.4</v>
      </c>
      <c r="BF47" s="106">
        <v>6</v>
      </c>
      <c r="BG47" s="106">
        <v>9165.5999999999985</v>
      </c>
      <c r="BH47" s="106">
        <v>41</v>
      </c>
      <c r="BI47" s="106">
        <v>62631.6</v>
      </c>
      <c r="BJ47" s="106">
        <v>58</v>
      </c>
      <c r="BK47" s="106">
        <v>88600.799999999988</v>
      </c>
      <c r="BL47" s="106">
        <v>41</v>
      </c>
      <c r="BM47" s="106">
        <v>62631.6</v>
      </c>
      <c r="BN47" s="106">
        <v>54</v>
      </c>
      <c r="BO47" s="106">
        <v>82490.399999999994</v>
      </c>
      <c r="BP47" s="106">
        <v>36</v>
      </c>
      <c r="BQ47" s="106">
        <v>54993.599999999999</v>
      </c>
      <c r="BR47" s="106">
        <v>23</v>
      </c>
      <c r="BS47" s="106">
        <v>35134.799999999996</v>
      </c>
      <c r="BT47" s="106">
        <v>34</v>
      </c>
      <c r="BU47" s="106">
        <v>51938.399999999994</v>
      </c>
      <c r="BV47" s="106">
        <v>25</v>
      </c>
      <c r="BW47" s="106">
        <v>38190</v>
      </c>
      <c r="BX47" s="106">
        <v>9</v>
      </c>
      <c r="BY47" s="106">
        <v>13748.4</v>
      </c>
      <c r="BZ47" s="106">
        <v>11</v>
      </c>
      <c r="CA47" s="106">
        <v>16803.599999999999</v>
      </c>
      <c r="CB47" s="106">
        <v>6</v>
      </c>
      <c r="CC47" s="106">
        <v>9165.5999999999985</v>
      </c>
      <c r="CD47" s="106">
        <v>10</v>
      </c>
      <c r="CE47" s="106">
        <v>15276</v>
      </c>
      <c r="CF47" s="106">
        <v>5</v>
      </c>
      <c r="CG47" s="106">
        <v>7638</v>
      </c>
      <c r="CH47" s="106">
        <v>6</v>
      </c>
      <c r="CI47" s="106">
        <v>9165.5999999999985</v>
      </c>
      <c r="CJ47" s="106">
        <v>6</v>
      </c>
      <c r="CK47" s="106">
        <v>9165.5999999999985</v>
      </c>
      <c r="CL47" s="106">
        <v>3</v>
      </c>
      <c r="CM47" s="106">
        <v>4582.7999999999993</v>
      </c>
      <c r="CN47" s="106">
        <v>7</v>
      </c>
      <c r="CO47" s="106">
        <v>10693.199999999999</v>
      </c>
      <c r="CP47" s="106">
        <v>7</v>
      </c>
      <c r="CQ47" s="106">
        <v>10693.199999999999</v>
      </c>
      <c r="CR47" s="106">
        <v>6</v>
      </c>
      <c r="CS47" s="106">
        <v>9165.5999999999985</v>
      </c>
      <c r="CT47" s="106">
        <v>6</v>
      </c>
      <c r="CU47" s="106">
        <v>9165.5999999999985</v>
      </c>
    </row>
    <row r="48" spans="2:99" x14ac:dyDescent="0.2">
      <c r="C48" s="105" t="s">
        <v>214</v>
      </c>
      <c r="D48" s="106">
        <v>11</v>
      </c>
      <c r="E48" s="106">
        <v>9543.6</v>
      </c>
      <c r="F48" s="106">
        <v>9</v>
      </c>
      <c r="G48" s="106">
        <v>7808.4000000000005</v>
      </c>
      <c r="H48" s="106">
        <v>13</v>
      </c>
      <c r="I48" s="106">
        <v>11278.800000000001</v>
      </c>
      <c r="J48" s="106">
        <v>15</v>
      </c>
      <c r="K48" s="106">
        <v>13014</v>
      </c>
      <c r="L48" s="106">
        <v>49</v>
      </c>
      <c r="M48" s="106">
        <v>42512.4</v>
      </c>
      <c r="N48" s="106">
        <v>103</v>
      </c>
      <c r="O48" s="106">
        <v>89362.8</v>
      </c>
      <c r="P48" s="106">
        <v>95</v>
      </c>
      <c r="Q48" s="106">
        <v>82422</v>
      </c>
      <c r="R48" s="106">
        <v>90</v>
      </c>
      <c r="S48" s="106">
        <v>78084</v>
      </c>
      <c r="T48" s="106">
        <v>4</v>
      </c>
      <c r="U48" s="106">
        <v>3470.4</v>
      </c>
      <c r="V48" s="106">
        <v>4</v>
      </c>
      <c r="W48" s="106">
        <v>3470.4</v>
      </c>
      <c r="X48" s="106">
        <v>3</v>
      </c>
      <c r="Y48" s="106">
        <v>2602.8000000000002</v>
      </c>
      <c r="Z48" s="106">
        <v>5</v>
      </c>
      <c r="AA48" s="106">
        <v>4338</v>
      </c>
      <c r="AB48" s="106">
        <v>70</v>
      </c>
      <c r="AC48" s="106">
        <v>60732</v>
      </c>
      <c r="AD48" s="106">
        <v>68</v>
      </c>
      <c r="AE48" s="106">
        <v>58996.800000000003</v>
      </c>
      <c r="AF48" s="106">
        <v>61</v>
      </c>
      <c r="AG48" s="106">
        <v>52923.6</v>
      </c>
      <c r="AH48" s="106">
        <v>68</v>
      </c>
      <c r="AI48" s="106">
        <v>58996.800000000003</v>
      </c>
      <c r="AJ48" s="106">
        <v>63</v>
      </c>
      <c r="AK48" s="106">
        <v>54658.8</v>
      </c>
      <c r="AL48" s="106">
        <v>40</v>
      </c>
      <c r="AM48" s="106">
        <v>34704</v>
      </c>
      <c r="AN48" s="106">
        <v>48</v>
      </c>
      <c r="AO48" s="106">
        <v>41644.800000000003</v>
      </c>
      <c r="AP48" s="106">
        <v>42</v>
      </c>
      <c r="AQ48" s="106">
        <v>36439.200000000004</v>
      </c>
      <c r="AR48" s="106">
        <v>18</v>
      </c>
      <c r="AS48" s="106">
        <v>15616.800000000001</v>
      </c>
      <c r="AT48" s="106">
        <v>31</v>
      </c>
      <c r="AU48" s="106">
        <v>26895.600000000002</v>
      </c>
      <c r="AV48" s="106">
        <v>17</v>
      </c>
      <c r="AW48" s="106">
        <v>14749.2</v>
      </c>
      <c r="AX48" s="106">
        <v>18</v>
      </c>
      <c r="AY48" s="106">
        <v>15616.800000000001</v>
      </c>
      <c r="AZ48" s="106">
        <v>6</v>
      </c>
      <c r="BA48" s="106">
        <v>5205.6000000000004</v>
      </c>
      <c r="BB48" s="106">
        <v>7</v>
      </c>
      <c r="BC48" s="106">
        <v>6073.2</v>
      </c>
      <c r="BD48" s="106">
        <v>4</v>
      </c>
      <c r="BE48" s="106">
        <v>3470.4</v>
      </c>
      <c r="BF48" s="106">
        <v>6</v>
      </c>
      <c r="BG48" s="106">
        <v>5205.6000000000004</v>
      </c>
      <c r="BH48" s="106">
        <v>48</v>
      </c>
      <c r="BI48" s="106">
        <v>41644.800000000003</v>
      </c>
      <c r="BJ48" s="106">
        <v>66</v>
      </c>
      <c r="BK48" s="106">
        <v>57261.599999999999</v>
      </c>
      <c r="BL48" s="106">
        <v>40</v>
      </c>
      <c r="BM48" s="106">
        <v>34704</v>
      </c>
      <c r="BN48" s="106">
        <v>61</v>
      </c>
      <c r="BO48" s="106">
        <v>52923.6</v>
      </c>
      <c r="BP48" s="106">
        <v>41</v>
      </c>
      <c r="BQ48" s="106">
        <v>35571.599999999999</v>
      </c>
      <c r="BR48" s="106">
        <v>30</v>
      </c>
      <c r="BS48" s="106">
        <v>26028</v>
      </c>
      <c r="BT48" s="106">
        <v>37</v>
      </c>
      <c r="BU48" s="106">
        <v>32101.200000000001</v>
      </c>
      <c r="BV48" s="106">
        <v>27</v>
      </c>
      <c r="BW48" s="106">
        <v>23425.200000000001</v>
      </c>
      <c r="BX48" s="106">
        <v>9</v>
      </c>
      <c r="BY48" s="106">
        <v>7808.4000000000005</v>
      </c>
      <c r="BZ48" s="106">
        <v>10</v>
      </c>
      <c r="CA48" s="106">
        <v>8676</v>
      </c>
      <c r="CB48" s="106">
        <v>6</v>
      </c>
      <c r="CC48" s="106">
        <v>5205.6000000000004</v>
      </c>
      <c r="CD48" s="106">
        <v>13</v>
      </c>
      <c r="CE48" s="106">
        <v>11278.800000000001</v>
      </c>
      <c r="CF48" s="106">
        <v>5</v>
      </c>
      <c r="CG48" s="106">
        <v>4338</v>
      </c>
      <c r="CH48" s="106">
        <v>7</v>
      </c>
      <c r="CI48" s="106">
        <v>6073.2</v>
      </c>
      <c r="CJ48" s="106">
        <v>6</v>
      </c>
      <c r="CK48" s="106">
        <v>5205.6000000000004</v>
      </c>
      <c r="CL48" s="106">
        <v>4</v>
      </c>
      <c r="CM48" s="106">
        <v>3470.4</v>
      </c>
      <c r="CN48" s="106">
        <v>8</v>
      </c>
      <c r="CO48" s="106">
        <v>6940.8</v>
      </c>
      <c r="CP48" s="106">
        <v>7</v>
      </c>
      <c r="CQ48" s="106">
        <v>6073.2</v>
      </c>
      <c r="CR48" s="106">
        <v>6</v>
      </c>
      <c r="CS48" s="106">
        <v>5205.6000000000004</v>
      </c>
      <c r="CT48" s="106">
        <v>6</v>
      </c>
      <c r="CU48" s="106">
        <v>5205.6000000000004</v>
      </c>
    </row>
    <row r="49" spans="2:99" x14ac:dyDescent="0.2">
      <c r="B49" s="105" t="s">
        <v>129</v>
      </c>
      <c r="C49" s="105" t="s">
        <v>215</v>
      </c>
      <c r="D49" s="106">
        <v>6</v>
      </c>
      <c r="E49" s="106">
        <v>5911.2</v>
      </c>
      <c r="F49" s="106">
        <v>6</v>
      </c>
      <c r="G49" s="106">
        <v>5911.2</v>
      </c>
      <c r="H49" s="106">
        <v>6</v>
      </c>
      <c r="I49" s="106">
        <v>5911.2</v>
      </c>
      <c r="J49" s="106">
        <v>5</v>
      </c>
      <c r="K49" s="106">
        <v>4926</v>
      </c>
      <c r="L49" s="106">
        <v>21.337289545833606</v>
      </c>
      <c r="M49" s="106">
        <v>21021.497660555266</v>
      </c>
      <c r="N49" s="106">
        <v>31</v>
      </c>
      <c r="O49" s="106">
        <v>30541.199999999997</v>
      </c>
      <c r="P49" s="106">
        <v>26</v>
      </c>
      <c r="Q49" s="106">
        <v>25615.199999999997</v>
      </c>
      <c r="R49" s="106">
        <v>36</v>
      </c>
      <c r="S49" s="106">
        <v>35467.199999999997</v>
      </c>
      <c r="T49" s="106">
        <v>5</v>
      </c>
      <c r="U49" s="106">
        <v>4926</v>
      </c>
      <c r="V49" s="106">
        <v>4.3167341380923343</v>
      </c>
      <c r="W49" s="106">
        <v>4252.8464728485678</v>
      </c>
      <c r="X49" s="106">
        <v>4</v>
      </c>
      <c r="Y49" s="106">
        <v>3940.7999999999997</v>
      </c>
      <c r="Z49" s="106">
        <v>4.3029627979505456</v>
      </c>
      <c r="AA49" s="106">
        <v>4239.2789485408775</v>
      </c>
      <c r="AB49" s="106">
        <v>6.3414289668434236</v>
      </c>
      <c r="AC49" s="106">
        <v>6247.5758181341407</v>
      </c>
      <c r="AD49" s="106">
        <v>8</v>
      </c>
      <c r="AE49" s="106">
        <v>7881.5999999999995</v>
      </c>
      <c r="AF49" s="106">
        <v>6</v>
      </c>
      <c r="AG49" s="106">
        <v>5911.2</v>
      </c>
      <c r="AH49" s="106">
        <v>7</v>
      </c>
      <c r="AI49" s="106">
        <v>6896.4</v>
      </c>
      <c r="AJ49" s="106">
        <v>5.9260546216644636</v>
      </c>
      <c r="AK49" s="106">
        <v>5838.349013263829</v>
      </c>
      <c r="AL49" s="106">
        <v>6</v>
      </c>
      <c r="AM49" s="106">
        <v>5911.2</v>
      </c>
      <c r="AN49" s="106">
        <v>5.6472906138240822</v>
      </c>
      <c r="AO49" s="106">
        <v>5563.7107127394856</v>
      </c>
      <c r="AP49" s="106">
        <v>9</v>
      </c>
      <c r="AQ49" s="106">
        <v>8866.7999999999993</v>
      </c>
      <c r="AR49" s="106">
        <v>4</v>
      </c>
      <c r="AS49" s="106">
        <v>3940.7999999999997</v>
      </c>
      <c r="AT49" s="106">
        <v>4</v>
      </c>
      <c r="AU49" s="106">
        <v>3940.7999999999997</v>
      </c>
      <c r="AV49" s="106">
        <v>5</v>
      </c>
      <c r="AW49" s="106">
        <v>4926</v>
      </c>
      <c r="AX49" s="106">
        <v>4</v>
      </c>
      <c r="AY49" s="106">
        <v>3940.7999999999997</v>
      </c>
      <c r="AZ49" s="106">
        <v>7</v>
      </c>
      <c r="BA49" s="106">
        <v>6896.4</v>
      </c>
      <c r="BB49" s="106">
        <v>7</v>
      </c>
      <c r="BC49" s="106">
        <v>6896.4</v>
      </c>
      <c r="BD49" s="106">
        <v>9</v>
      </c>
      <c r="BE49" s="106">
        <v>8866.7999999999993</v>
      </c>
      <c r="BF49" s="106">
        <v>5</v>
      </c>
      <c r="BG49" s="106">
        <v>4926</v>
      </c>
      <c r="BH49" s="106">
        <v>4</v>
      </c>
      <c r="BI49" s="106">
        <v>3940.7999999999997</v>
      </c>
      <c r="BJ49" s="106">
        <v>3</v>
      </c>
      <c r="BK49" s="106">
        <v>2955.6</v>
      </c>
      <c r="BL49" s="106">
        <v>4</v>
      </c>
      <c r="BM49" s="106">
        <v>3940.7999999999997</v>
      </c>
      <c r="BN49" s="106">
        <v>5.7533383723859917</v>
      </c>
      <c r="BO49" s="106">
        <v>5668.1889644746789</v>
      </c>
      <c r="BP49" s="106">
        <v>3.8935149106901741</v>
      </c>
      <c r="BQ49" s="106">
        <v>3835.8908900119591</v>
      </c>
      <c r="BR49" s="106">
        <v>4</v>
      </c>
      <c r="BS49" s="106">
        <v>3940.7999999999997</v>
      </c>
      <c r="BT49" s="106">
        <v>3.6486014087735898</v>
      </c>
      <c r="BU49" s="106">
        <v>3594.6021079237403</v>
      </c>
      <c r="BV49" s="106">
        <v>3.4745489638903035</v>
      </c>
      <c r="BW49" s="106">
        <v>3423.1256392247269</v>
      </c>
      <c r="BX49" s="106">
        <v>59</v>
      </c>
      <c r="BY49" s="106">
        <v>58126.799999999996</v>
      </c>
      <c r="BZ49" s="106">
        <v>47</v>
      </c>
      <c r="CA49" s="106">
        <v>46304.399999999994</v>
      </c>
      <c r="CB49" s="106">
        <v>59</v>
      </c>
      <c r="CC49" s="106">
        <v>58126.799999999996</v>
      </c>
      <c r="CD49" s="106">
        <v>36</v>
      </c>
      <c r="CE49" s="106">
        <v>35467.199999999997</v>
      </c>
      <c r="CF49" s="106">
        <v>27</v>
      </c>
      <c r="CG49" s="106">
        <v>26600.399999999998</v>
      </c>
      <c r="CH49" s="106">
        <v>19</v>
      </c>
      <c r="CI49" s="106">
        <v>18718.8</v>
      </c>
      <c r="CJ49" s="106">
        <v>17</v>
      </c>
      <c r="CK49" s="106">
        <v>16748.399999999998</v>
      </c>
      <c r="CL49" s="106">
        <v>16.837137030738219</v>
      </c>
      <c r="CM49" s="106">
        <v>16587.947402683294</v>
      </c>
      <c r="CN49" s="106">
        <v>3</v>
      </c>
      <c r="CO49" s="106">
        <v>2955.6</v>
      </c>
      <c r="CP49" s="106">
        <v>2</v>
      </c>
      <c r="CQ49" s="106">
        <v>1970.3999999999999</v>
      </c>
      <c r="CR49" s="106">
        <v>4</v>
      </c>
      <c r="CS49" s="106">
        <v>3940.7999999999997</v>
      </c>
      <c r="CT49" s="106">
        <v>4</v>
      </c>
      <c r="CU49" s="106">
        <v>3940.7999999999997</v>
      </c>
    </row>
    <row r="50" spans="2:99" x14ac:dyDescent="0.2">
      <c r="C50" s="105" t="s">
        <v>216</v>
      </c>
      <c r="D50" s="106">
        <v>6</v>
      </c>
      <c r="E50" s="106">
        <v>1692</v>
      </c>
      <c r="F50" s="106">
        <v>7</v>
      </c>
      <c r="G50" s="106">
        <v>1974</v>
      </c>
      <c r="H50" s="106">
        <v>6</v>
      </c>
      <c r="I50" s="106">
        <v>1692</v>
      </c>
      <c r="J50" s="106">
        <v>5</v>
      </c>
      <c r="K50" s="106">
        <v>1410</v>
      </c>
      <c r="L50" s="106">
        <v>23</v>
      </c>
      <c r="M50" s="106">
        <v>6486</v>
      </c>
      <c r="N50" s="106">
        <v>40</v>
      </c>
      <c r="O50" s="106">
        <v>11280</v>
      </c>
      <c r="P50" s="106">
        <v>26</v>
      </c>
      <c r="Q50" s="106">
        <v>7332</v>
      </c>
      <c r="R50" s="106">
        <v>39</v>
      </c>
      <c r="S50" s="106">
        <v>10998</v>
      </c>
      <c r="T50" s="106">
        <v>5</v>
      </c>
      <c r="U50" s="106">
        <v>1410</v>
      </c>
      <c r="V50" s="106">
        <v>5</v>
      </c>
      <c r="W50" s="106">
        <v>1410</v>
      </c>
      <c r="X50" s="106">
        <v>5</v>
      </c>
      <c r="Y50" s="106">
        <v>1410</v>
      </c>
      <c r="Z50" s="106">
        <v>4</v>
      </c>
      <c r="AA50" s="106">
        <v>1128</v>
      </c>
      <c r="AB50" s="106">
        <v>7</v>
      </c>
      <c r="AC50" s="106">
        <v>1974</v>
      </c>
      <c r="AD50" s="106">
        <v>9</v>
      </c>
      <c r="AE50" s="106">
        <v>2538</v>
      </c>
      <c r="AF50" s="106">
        <v>6</v>
      </c>
      <c r="AG50" s="106">
        <v>1692</v>
      </c>
      <c r="AH50" s="106">
        <v>8</v>
      </c>
      <c r="AI50" s="106">
        <v>2256</v>
      </c>
      <c r="AJ50" s="106">
        <v>4</v>
      </c>
      <c r="AK50" s="106">
        <v>1128</v>
      </c>
      <c r="AL50" s="106">
        <v>6</v>
      </c>
      <c r="AM50" s="106">
        <v>1692</v>
      </c>
      <c r="AN50" s="106">
        <v>5</v>
      </c>
      <c r="AO50" s="106">
        <v>1410</v>
      </c>
      <c r="AP50" s="106">
        <v>9</v>
      </c>
      <c r="AQ50" s="106">
        <v>2538</v>
      </c>
      <c r="AR50" s="106">
        <v>4</v>
      </c>
      <c r="AS50" s="106">
        <v>1128</v>
      </c>
      <c r="AT50" s="106">
        <v>4</v>
      </c>
      <c r="AU50" s="106">
        <v>1128</v>
      </c>
      <c r="AV50" s="106">
        <v>5</v>
      </c>
      <c r="AW50" s="106">
        <v>1410</v>
      </c>
      <c r="AX50" s="106">
        <v>4</v>
      </c>
      <c r="AY50" s="106">
        <v>1128</v>
      </c>
      <c r="AZ50" s="106">
        <v>6</v>
      </c>
      <c r="BA50" s="106">
        <v>1692</v>
      </c>
      <c r="BB50" s="106">
        <v>7</v>
      </c>
      <c r="BC50" s="106">
        <v>1974</v>
      </c>
      <c r="BD50" s="106">
        <v>8</v>
      </c>
      <c r="BE50" s="106">
        <v>2256</v>
      </c>
      <c r="BF50" s="106">
        <v>5</v>
      </c>
      <c r="BG50" s="106">
        <v>1410</v>
      </c>
      <c r="BH50" s="106">
        <v>4</v>
      </c>
      <c r="BI50" s="106">
        <v>1128</v>
      </c>
      <c r="BJ50" s="106">
        <v>4</v>
      </c>
      <c r="BK50" s="106">
        <v>1128</v>
      </c>
      <c r="BL50" s="106">
        <v>5</v>
      </c>
      <c r="BM50" s="106">
        <v>1410</v>
      </c>
      <c r="BN50" s="106">
        <v>4</v>
      </c>
      <c r="BO50" s="106">
        <v>1128</v>
      </c>
      <c r="BP50" s="106">
        <v>3</v>
      </c>
      <c r="BQ50" s="106">
        <v>846</v>
      </c>
      <c r="BR50" s="106">
        <v>4</v>
      </c>
      <c r="BS50" s="106">
        <v>1128</v>
      </c>
      <c r="BT50" s="106">
        <v>3</v>
      </c>
      <c r="BU50" s="106">
        <v>846</v>
      </c>
      <c r="BV50" s="106">
        <v>3</v>
      </c>
      <c r="BW50" s="106">
        <v>846</v>
      </c>
      <c r="BX50" s="106">
        <v>75</v>
      </c>
      <c r="BY50" s="106">
        <v>21150</v>
      </c>
      <c r="BZ50" s="106">
        <v>55</v>
      </c>
      <c r="CA50" s="106">
        <v>15510</v>
      </c>
      <c r="CB50" s="106">
        <v>60</v>
      </c>
      <c r="CC50" s="106">
        <v>16920</v>
      </c>
      <c r="CD50" s="106">
        <v>51</v>
      </c>
      <c r="CE50" s="106">
        <v>14382</v>
      </c>
      <c r="CF50" s="106">
        <v>29</v>
      </c>
      <c r="CG50" s="106">
        <v>8178</v>
      </c>
      <c r="CH50" s="106">
        <v>18</v>
      </c>
      <c r="CI50" s="106">
        <v>5076</v>
      </c>
      <c r="CJ50" s="106">
        <v>19</v>
      </c>
      <c r="CK50" s="106">
        <v>5358</v>
      </c>
      <c r="CL50" s="106">
        <v>18</v>
      </c>
      <c r="CM50" s="106">
        <v>5076</v>
      </c>
      <c r="CN50" s="106">
        <v>4</v>
      </c>
      <c r="CO50" s="106">
        <v>1128</v>
      </c>
      <c r="CP50" s="106">
        <v>2</v>
      </c>
      <c r="CQ50" s="106">
        <v>564</v>
      </c>
      <c r="CR50" s="106">
        <v>4</v>
      </c>
      <c r="CS50" s="106">
        <v>1128</v>
      </c>
      <c r="CT50" s="106">
        <v>4</v>
      </c>
      <c r="CU50" s="106">
        <v>1128</v>
      </c>
    </row>
    <row r="51" spans="2:99" x14ac:dyDescent="0.2">
      <c r="C51" s="105" t="s">
        <v>217</v>
      </c>
      <c r="D51" s="106">
        <v>5</v>
      </c>
      <c r="E51" s="106">
        <v>4272</v>
      </c>
      <c r="F51" s="106">
        <v>6</v>
      </c>
      <c r="G51" s="106">
        <v>5126.3999999999996</v>
      </c>
      <c r="H51" s="106">
        <v>7</v>
      </c>
      <c r="I51" s="106">
        <v>5980.8</v>
      </c>
      <c r="J51" s="106">
        <v>5</v>
      </c>
      <c r="K51" s="106">
        <v>4272</v>
      </c>
      <c r="L51" s="106">
        <v>21</v>
      </c>
      <c r="M51" s="106">
        <v>17942.399999999998</v>
      </c>
      <c r="N51" s="106">
        <v>34</v>
      </c>
      <c r="O51" s="106">
        <v>29049.599999999999</v>
      </c>
      <c r="P51" s="106">
        <v>26</v>
      </c>
      <c r="Q51" s="106">
        <v>22214.399999999998</v>
      </c>
      <c r="R51" s="106">
        <v>40</v>
      </c>
      <c r="S51" s="106">
        <v>34176</v>
      </c>
      <c r="T51" s="106">
        <v>5</v>
      </c>
      <c r="U51" s="106">
        <v>4272</v>
      </c>
      <c r="V51" s="106">
        <v>4</v>
      </c>
      <c r="W51" s="106">
        <v>3417.6</v>
      </c>
      <c r="X51" s="106">
        <v>4</v>
      </c>
      <c r="Y51" s="106">
        <v>3417.6</v>
      </c>
      <c r="Z51" s="106">
        <v>4</v>
      </c>
      <c r="AA51" s="106">
        <v>3417.6</v>
      </c>
      <c r="AB51" s="106">
        <v>6</v>
      </c>
      <c r="AC51" s="106">
        <v>5126.3999999999996</v>
      </c>
      <c r="AD51" s="106">
        <v>8</v>
      </c>
      <c r="AE51" s="106">
        <v>6835.2</v>
      </c>
      <c r="AF51" s="106">
        <v>6</v>
      </c>
      <c r="AG51" s="106">
        <v>5126.3999999999996</v>
      </c>
      <c r="AH51" s="106">
        <v>8</v>
      </c>
      <c r="AI51" s="106">
        <v>6835.2</v>
      </c>
      <c r="AJ51" s="106">
        <v>5</v>
      </c>
      <c r="AK51" s="106">
        <v>4272</v>
      </c>
      <c r="AL51" s="106">
        <v>6</v>
      </c>
      <c r="AM51" s="106">
        <v>5126.3999999999996</v>
      </c>
      <c r="AN51" s="106">
        <v>5</v>
      </c>
      <c r="AO51" s="106">
        <v>4272</v>
      </c>
      <c r="AP51" s="106">
        <v>8</v>
      </c>
      <c r="AQ51" s="106">
        <v>6835.2</v>
      </c>
      <c r="AR51" s="106">
        <v>4</v>
      </c>
      <c r="AS51" s="106">
        <v>3417.6</v>
      </c>
      <c r="AT51" s="106">
        <v>5</v>
      </c>
      <c r="AU51" s="106">
        <v>4272</v>
      </c>
      <c r="AV51" s="106">
        <v>5</v>
      </c>
      <c r="AW51" s="106">
        <v>4272</v>
      </c>
      <c r="AX51" s="106">
        <v>4</v>
      </c>
      <c r="AY51" s="106">
        <v>3417.6</v>
      </c>
      <c r="AZ51" s="106">
        <v>6</v>
      </c>
      <c r="BA51" s="106">
        <v>5126.3999999999996</v>
      </c>
      <c r="BB51" s="106">
        <v>6</v>
      </c>
      <c r="BC51" s="106">
        <v>5126.3999999999996</v>
      </c>
      <c r="BD51" s="106">
        <v>9</v>
      </c>
      <c r="BE51" s="106">
        <v>7689.5999999999995</v>
      </c>
      <c r="BF51" s="106">
        <v>5</v>
      </c>
      <c r="BG51" s="106">
        <v>4272</v>
      </c>
      <c r="BH51" s="106">
        <v>4</v>
      </c>
      <c r="BI51" s="106">
        <v>3417.6</v>
      </c>
      <c r="BJ51" s="106">
        <v>3</v>
      </c>
      <c r="BK51" s="106">
        <v>2563.1999999999998</v>
      </c>
      <c r="BL51" s="106">
        <v>5</v>
      </c>
      <c r="BM51" s="106">
        <v>4272</v>
      </c>
      <c r="BN51" s="106">
        <v>5</v>
      </c>
      <c r="BO51" s="106">
        <v>4272</v>
      </c>
      <c r="BP51" s="106">
        <v>3</v>
      </c>
      <c r="BQ51" s="106">
        <v>2563.1999999999998</v>
      </c>
      <c r="BR51" s="106">
        <v>4</v>
      </c>
      <c r="BS51" s="106">
        <v>3417.6</v>
      </c>
      <c r="BT51" s="106">
        <v>3</v>
      </c>
      <c r="BU51" s="106">
        <v>2563.1999999999998</v>
      </c>
      <c r="BV51" s="106">
        <v>3</v>
      </c>
      <c r="BW51" s="106">
        <v>2563.1999999999998</v>
      </c>
      <c r="BX51" s="106">
        <v>58</v>
      </c>
      <c r="BY51" s="106">
        <v>49555.199999999997</v>
      </c>
      <c r="BZ51" s="106">
        <v>46</v>
      </c>
      <c r="CA51" s="106">
        <v>39302.400000000001</v>
      </c>
      <c r="CB51" s="106">
        <v>62</v>
      </c>
      <c r="CC51" s="106">
        <v>52972.799999999996</v>
      </c>
      <c r="CD51" s="106">
        <v>38</v>
      </c>
      <c r="CE51" s="106">
        <v>32467.200000000001</v>
      </c>
      <c r="CF51" s="106">
        <v>27</v>
      </c>
      <c r="CG51" s="106">
        <v>23068.799999999999</v>
      </c>
      <c r="CH51" s="106">
        <v>17</v>
      </c>
      <c r="CI51" s="106">
        <v>14524.8</v>
      </c>
      <c r="CJ51" s="106">
        <v>15</v>
      </c>
      <c r="CK51" s="106">
        <v>12816</v>
      </c>
      <c r="CL51" s="106">
        <v>16</v>
      </c>
      <c r="CM51" s="106">
        <v>13670.4</v>
      </c>
      <c r="CN51" s="106">
        <v>3</v>
      </c>
      <c r="CO51" s="106">
        <v>2563.1999999999998</v>
      </c>
      <c r="CP51" s="106">
        <v>2</v>
      </c>
      <c r="CQ51" s="106">
        <v>1708.8</v>
      </c>
      <c r="CR51" s="106">
        <v>4</v>
      </c>
      <c r="CS51" s="106">
        <v>3417.6</v>
      </c>
      <c r="CT51" s="106">
        <v>4</v>
      </c>
      <c r="CU51" s="106">
        <v>3417.6</v>
      </c>
    </row>
    <row r="52" spans="2:99" x14ac:dyDescent="0.2">
      <c r="C52" s="105" t="s">
        <v>218</v>
      </c>
      <c r="D52" s="106">
        <v>6</v>
      </c>
      <c r="E52" s="106">
        <v>3240</v>
      </c>
      <c r="F52" s="106">
        <v>6</v>
      </c>
      <c r="G52" s="106">
        <v>3240</v>
      </c>
      <c r="H52" s="106">
        <v>7</v>
      </c>
      <c r="I52" s="106">
        <v>3780</v>
      </c>
      <c r="J52" s="106">
        <v>5</v>
      </c>
      <c r="K52" s="106">
        <v>2700</v>
      </c>
      <c r="L52" s="106">
        <v>22</v>
      </c>
      <c r="M52" s="106">
        <v>11880</v>
      </c>
      <c r="N52" s="106">
        <v>36</v>
      </c>
      <c r="O52" s="106">
        <v>19440</v>
      </c>
      <c r="P52" s="106">
        <v>27</v>
      </c>
      <c r="Q52" s="106">
        <v>14580</v>
      </c>
      <c r="R52" s="106">
        <v>43</v>
      </c>
      <c r="S52" s="106">
        <v>23220</v>
      </c>
      <c r="T52" s="106">
        <v>5</v>
      </c>
      <c r="U52" s="106">
        <v>2700</v>
      </c>
      <c r="V52" s="106">
        <v>5</v>
      </c>
      <c r="W52" s="106">
        <v>2700</v>
      </c>
      <c r="X52" s="106">
        <v>5</v>
      </c>
      <c r="Y52" s="106">
        <v>2700</v>
      </c>
      <c r="Z52" s="106">
        <v>4</v>
      </c>
      <c r="AA52" s="106">
        <v>2160</v>
      </c>
      <c r="AB52" s="106">
        <v>7</v>
      </c>
      <c r="AC52" s="106">
        <v>3780</v>
      </c>
      <c r="AD52" s="106">
        <v>8</v>
      </c>
      <c r="AE52" s="106">
        <v>4320</v>
      </c>
      <c r="AF52" s="106">
        <v>6</v>
      </c>
      <c r="AG52" s="106">
        <v>3240</v>
      </c>
      <c r="AH52" s="106">
        <v>9</v>
      </c>
      <c r="AI52" s="106">
        <v>4860</v>
      </c>
      <c r="AJ52" s="106">
        <v>4</v>
      </c>
      <c r="AK52" s="106">
        <v>2160</v>
      </c>
      <c r="AL52" s="106">
        <v>6</v>
      </c>
      <c r="AM52" s="106">
        <v>3240</v>
      </c>
      <c r="AN52" s="106">
        <v>5</v>
      </c>
      <c r="AO52" s="106">
        <v>2700</v>
      </c>
      <c r="AP52" s="106">
        <v>8</v>
      </c>
      <c r="AQ52" s="106">
        <v>4320</v>
      </c>
      <c r="AR52" s="106">
        <v>4</v>
      </c>
      <c r="AS52" s="106">
        <v>2160</v>
      </c>
      <c r="AT52" s="106">
        <v>5</v>
      </c>
      <c r="AU52" s="106">
        <v>2700</v>
      </c>
      <c r="AV52" s="106">
        <v>5</v>
      </c>
      <c r="AW52" s="106">
        <v>2700</v>
      </c>
      <c r="AX52" s="106">
        <v>4</v>
      </c>
      <c r="AY52" s="106">
        <v>2160</v>
      </c>
      <c r="AZ52" s="106">
        <v>7</v>
      </c>
      <c r="BA52" s="106">
        <v>3780</v>
      </c>
      <c r="BB52" s="106">
        <v>7</v>
      </c>
      <c r="BC52" s="106">
        <v>3780</v>
      </c>
      <c r="BD52" s="106">
        <v>9</v>
      </c>
      <c r="BE52" s="106">
        <v>4860</v>
      </c>
      <c r="BF52" s="106">
        <v>6</v>
      </c>
      <c r="BG52" s="106">
        <v>3240</v>
      </c>
      <c r="BH52" s="106">
        <v>5</v>
      </c>
      <c r="BI52" s="106">
        <v>2700</v>
      </c>
      <c r="BJ52" s="106">
        <v>4</v>
      </c>
      <c r="BK52" s="106">
        <v>2160</v>
      </c>
      <c r="BL52" s="106">
        <v>4</v>
      </c>
      <c r="BM52" s="106">
        <v>2160</v>
      </c>
      <c r="BN52" s="106">
        <v>5</v>
      </c>
      <c r="BO52" s="106">
        <v>2700</v>
      </c>
      <c r="BP52" s="106">
        <v>3</v>
      </c>
      <c r="BQ52" s="106">
        <v>1620</v>
      </c>
      <c r="BR52" s="106">
        <v>4</v>
      </c>
      <c r="BS52" s="106">
        <v>2160</v>
      </c>
      <c r="BT52" s="106">
        <v>3</v>
      </c>
      <c r="BU52" s="106">
        <v>1620</v>
      </c>
      <c r="BV52" s="106">
        <v>3</v>
      </c>
      <c r="BW52" s="106">
        <v>1620</v>
      </c>
      <c r="BX52" s="106">
        <v>68</v>
      </c>
      <c r="BY52" s="106">
        <v>36720</v>
      </c>
      <c r="BZ52" s="106">
        <v>47</v>
      </c>
      <c r="CA52" s="106">
        <v>25380</v>
      </c>
      <c r="CB52" s="106">
        <v>60</v>
      </c>
      <c r="CC52" s="106">
        <v>32400</v>
      </c>
      <c r="CD52" s="106">
        <v>47</v>
      </c>
      <c r="CE52" s="106">
        <v>25380</v>
      </c>
      <c r="CF52" s="106">
        <v>29</v>
      </c>
      <c r="CG52" s="106">
        <v>15660</v>
      </c>
      <c r="CH52" s="106">
        <v>18</v>
      </c>
      <c r="CI52" s="106">
        <v>9720</v>
      </c>
      <c r="CJ52" s="106">
        <v>19</v>
      </c>
      <c r="CK52" s="106">
        <v>10260</v>
      </c>
      <c r="CL52" s="106">
        <v>18</v>
      </c>
      <c r="CM52" s="106">
        <v>9720</v>
      </c>
      <c r="CN52" s="106">
        <v>3</v>
      </c>
      <c r="CO52" s="106">
        <v>1620</v>
      </c>
      <c r="CP52" s="106">
        <v>2</v>
      </c>
      <c r="CQ52" s="106">
        <v>1080</v>
      </c>
      <c r="CR52" s="106">
        <v>4</v>
      </c>
      <c r="CS52" s="106">
        <v>2160</v>
      </c>
      <c r="CT52" s="106">
        <v>4</v>
      </c>
      <c r="CU52" s="106">
        <v>2160</v>
      </c>
    </row>
    <row r="53" spans="2:99" x14ac:dyDescent="0.2">
      <c r="C53" s="105" t="s">
        <v>219</v>
      </c>
      <c r="D53" s="106">
        <v>5</v>
      </c>
      <c r="E53" s="106">
        <v>2034</v>
      </c>
      <c r="F53" s="106">
        <v>6</v>
      </c>
      <c r="G53" s="106">
        <v>2440.8000000000002</v>
      </c>
      <c r="H53" s="106">
        <v>7</v>
      </c>
      <c r="I53" s="106">
        <v>2847.6</v>
      </c>
      <c r="J53" s="106">
        <v>5</v>
      </c>
      <c r="K53" s="106">
        <v>2034</v>
      </c>
      <c r="L53" s="106">
        <v>23</v>
      </c>
      <c r="M53" s="106">
        <v>9356.4</v>
      </c>
      <c r="N53" s="106">
        <v>42</v>
      </c>
      <c r="O53" s="106">
        <v>17085.600000000002</v>
      </c>
      <c r="P53" s="106">
        <v>26</v>
      </c>
      <c r="Q53" s="106">
        <v>10576.800000000001</v>
      </c>
      <c r="R53" s="106">
        <v>41</v>
      </c>
      <c r="S53" s="106">
        <v>16678.8</v>
      </c>
      <c r="T53" s="106">
        <v>4</v>
      </c>
      <c r="U53" s="106">
        <v>1627.2</v>
      </c>
      <c r="V53" s="106">
        <v>5</v>
      </c>
      <c r="W53" s="106">
        <v>2034</v>
      </c>
      <c r="X53" s="106">
        <v>5</v>
      </c>
      <c r="Y53" s="106">
        <v>2034</v>
      </c>
      <c r="Z53" s="106">
        <v>4</v>
      </c>
      <c r="AA53" s="106">
        <v>1627.2</v>
      </c>
      <c r="AB53" s="106">
        <v>7</v>
      </c>
      <c r="AC53" s="106">
        <v>2847.6</v>
      </c>
      <c r="AD53" s="106">
        <v>8</v>
      </c>
      <c r="AE53" s="106">
        <v>3254.4</v>
      </c>
      <c r="AF53" s="106">
        <v>6</v>
      </c>
      <c r="AG53" s="106">
        <v>2440.8000000000002</v>
      </c>
      <c r="AH53" s="106">
        <v>8</v>
      </c>
      <c r="AI53" s="106">
        <v>3254.4</v>
      </c>
      <c r="AJ53" s="106">
        <v>4</v>
      </c>
      <c r="AK53" s="106">
        <v>1627.2</v>
      </c>
      <c r="AL53" s="106">
        <v>6</v>
      </c>
      <c r="AM53" s="106">
        <v>2440.8000000000002</v>
      </c>
      <c r="AN53" s="106">
        <v>5</v>
      </c>
      <c r="AO53" s="106">
        <v>2034</v>
      </c>
      <c r="AP53" s="106">
        <v>9</v>
      </c>
      <c r="AQ53" s="106">
        <v>3661.2000000000003</v>
      </c>
      <c r="AR53" s="106">
        <v>4</v>
      </c>
      <c r="AS53" s="106">
        <v>1627.2</v>
      </c>
      <c r="AT53" s="106">
        <v>4</v>
      </c>
      <c r="AU53" s="106">
        <v>1627.2</v>
      </c>
      <c r="AV53" s="106">
        <v>5</v>
      </c>
      <c r="AW53" s="106">
        <v>2034</v>
      </c>
      <c r="AX53" s="106">
        <v>5</v>
      </c>
      <c r="AY53" s="106">
        <v>2034</v>
      </c>
      <c r="AZ53" s="106">
        <v>6</v>
      </c>
      <c r="BA53" s="106">
        <v>2440.8000000000002</v>
      </c>
      <c r="BB53" s="106">
        <v>7</v>
      </c>
      <c r="BC53" s="106">
        <v>2847.6</v>
      </c>
      <c r="BD53" s="106">
        <v>8</v>
      </c>
      <c r="BE53" s="106">
        <v>3254.4</v>
      </c>
      <c r="BF53" s="106">
        <v>6</v>
      </c>
      <c r="BG53" s="106">
        <v>2440.8000000000002</v>
      </c>
      <c r="BH53" s="106">
        <v>4</v>
      </c>
      <c r="BI53" s="106">
        <v>1627.2</v>
      </c>
      <c r="BJ53" s="106">
        <v>3</v>
      </c>
      <c r="BK53" s="106">
        <v>1220.4000000000001</v>
      </c>
      <c r="BL53" s="106">
        <v>4</v>
      </c>
      <c r="BM53" s="106">
        <v>1627.2</v>
      </c>
      <c r="BN53" s="106">
        <v>5</v>
      </c>
      <c r="BO53" s="106">
        <v>2034</v>
      </c>
      <c r="BP53" s="106">
        <v>3</v>
      </c>
      <c r="BQ53" s="106">
        <v>1220.4000000000001</v>
      </c>
      <c r="BR53" s="106">
        <v>4</v>
      </c>
      <c r="BS53" s="106">
        <v>1627.2</v>
      </c>
      <c r="BT53" s="106">
        <v>3</v>
      </c>
      <c r="BU53" s="106">
        <v>1220.4000000000001</v>
      </c>
      <c r="BV53" s="106">
        <v>3</v>
      </c>
      <c r="BW53" s="106">
        <v>1220.4000000000001</v>
      </c>
      <c r="BX53" s="106">
        <v>76</v>
      </c>
      <c r="BY53" s="106">
        <v>30916.799999999999</v>
      </c>
      <c r="BZ53" s="106">
        <v>47</v>
      </c>
      <c r="CA53" s="106">
        <v>19119.600000000002</v>
      </c>
      <c r="CB53" s="106">
        <v>59</v>
      </c>
      <c r="CC53" s="106">
        <v>24001.200000000001</v>
      </c>
      <c r="CD53" s="106">
        <v>50</v>
      </c>
      <c r="CE53" s="106">
        <v>20340</v>
      </c>
      <c r="CF53" s="106">
        <v>28</v>
      </c>
      <c r="CG53" s="106">
        <v>11390.4</v>
      </c>
      <c r="CH53" s="106">
        <v>19</v>
      </c>
      <c r="CI53" s="106">
        <v>7729.2</v>
      </c>
      <c r="CJ53" s="106">
        <v>18</v>
      </c>
      <c r="CK53" s="106">
        <v>7322.4000000000005</v>
      </c>
      <c r="CL53" s="106">
        <v>17</v>
      </c>
      <c r="CM53" s="106">
        <v>6915.6</v>
      </c>
      <c r="CN53" s="106">
        <v>3</v>
      </c>
      <c r="CO53" s="106">
        <v>1220.4000000000001</v>
      </c>
      <c r="CP53" s="106">
        <v>2</v>
      </c>
      <c r="CQ53" s="106">
        <v>813.6</v>
      </c>
      <c r="CR53" s="106">
        <v>4</v>
      </c>
      <c r="CS53" s="106">
        <v>1627.2</v>
      </c>
      <c r="CT53" s="106">
        <v>4</v>
      </c>
      <c r="CU53" s="106">
        <v>1627.2</v>
      </c>
    </row>
    <row r="54" spans="2:99" x14ac:dyDescent="0.2">
      <c r="C54" s="105" t="s">
        <v>220</v>
      </c>
      <c r="D54" s="106">
        <v>6</v>
      </c>
      <c r="E54" s="106">
        <v>2008.8000000000002</v>
      </c>
      <c r="F54" s="106">
        <v>6</v>
      </c>
      <c r="G54" s="106">
        <v>2008.8000000000002</v>
      </c>
      <c r="H54" s="106">
        <v>6</v>
      </c>
      <c r="I54" s="106">
        <v>2008.8000000000002</v>
      </c>
      <c r="J54" s="106">
        <v>5</v>
      </c>
      <c r="K54" s="106">
        <v>1674</v>
      </c>
      <c r="L54" s="106">
        <v>22</v>
      </c>
      <c r="M54" s="106">
        <v>7365.6</v>
      </c>
      <c r="N54" s="106">
        <v>42</v>
      </c>
      <c r="O54" s="106">
        <v>14061.6</v>
      </c>
      <c r="P54" s="106">
        <v>25</v>
      </c>
      <c r="Q54" s="106">
        <v>8370</v>
      </c>
      <c r="R54" s="106">
        <v>44</v>
      </c>
      <c r="S54" s="106">
        <v>14731.2</v>
      </c>
      <c r="T54" s="106">
        <v>5</v>
      </c>
      <c r="U54" s="106">
        <v>1674</v>
      </c>
      <c r="V54" s="106">
        <v>4</v>
      </c>
      <c r="W54" s="106">
        <v>1339.2</v>
      </c>
      <c r="X54" s="106">
        <v>5</v>
      </c>
      <c r="Y54" s="106">
        <v>1674</v>
      </c>
      <c r="Z54" s="106">
        <v>4</v>
      </c>
      <c r="AA54" s="106">
        <v>1339.2</v>
      </c>
      <c r="AB54" s="106">
        <v>6</v>
      </c>
      <c r="AC54" s="106">
        <v>2008.8000000000002</v>
      </c>
      <c r="AD54" s="106">
        <v>8</v>
      </c>
      <c r="AE54" s="106">
        <v>2678.4</v>
      </c>
      <c r="AF54" s="106">
        <v>7</v>
      </c>
      <c r="AG54" s="106">
        <v>2343.6</v>
      </c>
      <c r="AH54" s="106">
        <v>9</v>
      </c>
      <c r="AI54" s="106">
        <v>3013.2000000000003</v>
      </c>
      <c r="AJ54" s="106">
        <v>4</v>
      </c>
      <c r="AK54" s="106">
        <v>1339.2</v>
      </c>
      <c r="AL54" s="106">
        <v>6</v>
      </c>
      <c r="AM54" s="106">
        <v>2008.8000000000002</v>
      </c>
      <c r="AN54" s="106">
        <v>5</v>
      </c>
      <c r="AO54" s="106">
        <v>1674</v>
      </c>
      <c r="AP54" s="106">
        <v>9</v>
      </c>
      <c r="AQ54" s="106">
        <v>3013.2000000000003</v>
      </c>
      <c r="AR54" s="106">
        <v>4</v>
      </c>
      <c r="AS54" s="106">
        <v>1339.2</v>
      </c>
      <c r="AT54" s="106">
        <v>4</v>
      </c>
      <c r="AU54" s="106">
        <v>1339.2</v>
      </c>
      <c r="AV54" s="106">
        <v>5</v>
      </c>
      <c r="AW54" s="106">
        <v>1674</v>
      </c>
      <c r="AX54" s="106">
        <v>5</v>
      </c>
      <c r="AY54" s="106">
        <v>1674</v>
      </c>
      <c r="AZ54" s="106">
        <v>6</v>
      </c>
      <c r="BA54" s="106">
        <v>2008.8000000000002</v>
      </c>
      <c r="BB54" s="106">
        <v>7</v>
      </c>
      <c r="BC54" s="106">
        <v>2343.6</v>
      </c>
      <c r="BD54" s="106">
        <v>10</v>
      </c>
      <c r="BE54" s="106">
        <v>3348</v>
      </c>
      <c r="BF54" s="106">
        <v>5</v>
      </c>
      <c r="BG54" s="106">
        <v>1674</v>
      </c>
      <c r="BH54" s="106">
        <v>5</v>
      </c>
      <c r="BI54" s="106">
        <v>1674</v>
      </c>
      <c r="BJ54" s="106">
        <v>3</v>
      </c>
      <c r="BK54" s="106">
        <v>1004.4000000000001</v>
      </c>
      <c r="BL54" s="106">
        <v>4</v>
      </c>
      <c r="BM54" s="106">
        <v>1339.2</v>
      </c>
      <c r="BN54" s="106">
        <v>4</v>
      </c>
      <c r="BO54" s="106">
        <v>1339.2</v>
      </c>
      <c r="BP54" s="106">
        <v>3</v>
      </c>
      <c r="BQ54" s="106">
        <v>1004.4000000000001</v>
      </c>
      <c r="BR54" s="106">
        <v>4</v>
      </c>
      <c r="BS54" s="106">
        <v>1339.2</v>
      </c>
      <c r="BT54" s="106">
        <v>3</v>
      </c>
      <c r="BU54" s="106">
        <v>1004.4000000000001</v>
      </c>
      <c r="BV54" s="106">
        <v>3</v>
      </c>
      <c r="BW54" s="106">
        <v>1004.4000000000001</v>
      </c>
      <c r="BX54" s="106">
        <v>76</v>
      </c>
      <c r="BY54" s="106">
        <v>25444.799999999999</v>
      </c>
      <c r="BZ54" s="106">
        <v>50</v>
      </c>
      <c r="CA54" s="106">
        <v>16740</v>
      </c>
      <c r="CB54" s="106">
        <v>62</v>
      </c>
      <c r="CC54" s="106">
        <v>20757.600000000002</v>
      </c>
      <c r="CD54" s="106">
        <v>50</v>
      </c>
      <c r="CE54" s="106">
        <v>16740</v>
      </c>
      <c r="CF54" s="106">
        <v>30</v>
      </c>
      <c r="CG54" s="106">
        <v>10044</v>
      </c>
      <c r="CH54" s="106">
        <v>22</v>
      </c>
      <c r="CI54" s="106">
        <v>7365.6</v>
      </c>
      <c r="CJ54" s="106">
        <v>19</v>
      </c>
      <c r="CK54" s="106">
        <v>6361.2</v>
      </c>
      <c r="CL54" s="106">
        <v>17</v>
      </c>
      <c r="CM54" s="106">
        <v>5691.6</v>
      </c>
      <c r="CN54" s="106">
        <v>4</v>
      </c>
      <c r="CO54" s="106">
        <v>1339.2</v>
      </c>
      <c r="CP54" s="106">
        <v>2</v>
      </c>
      <c r="CQ54" s="106">
        <v>669.6</v>
      </c>
      <c r="CR54" s="106">
        <v>4</v>
      </c>
      <c r="CS54" s="106">
        <v>1339.2</v>
      </c>
      <c r="CT54" s="106">
        <v>4</v>
      </c>
      <c r="CU54" s="106">
        <v>1339.2</v>
      </c>
    </row>
    <row r="55" spans="2:99" x14ac:dyDescent="0.2">
      <c r="C55" s="105" t="s">
        <v>221</v>
      </c>
      <c r="D55" s="106">
        <v>5</v>
      </c>
      <c r="E55" s="106">
        <v>3318</v>
      </c>
      <c r="F55" s="106">
        <v>6</v>
      </c>
      <c r="G55" s="106">
        <v>3981.6000000000004</v>
      </c>
      <c r="H55" s="106">
        <v>7</v>
      </c>
      <c r="I55" s="106">
        <v>4645.2</v>
      </c>
      <c r="J55" s="106">
        <v>5</v>
      </c>
      <c r="K55" s="106">
        <v>3318</v>
      </c>
      <c r="L55" s="106">
        <v>21</v>
      </c>
      <c r="M55" s="106">
        <v>13935.6</v>
      </c>
      <c r="N55" s="106">
        <v>35</v>
      </c>
      <c r="O55" s="106">
        <v>23226</v>
      </c>
      <c r="P55" s="106">
        <v>27</v>
      </c>
      <c r="Q55" s="106">
        <v>17917.2</v>
      </c>
      <c r="R55" s="106">
        <v>37</v>
      </c>
      <c r="S55" s="106">
        <v>24553.200000000001</v>
      </c>
      <c r="T55" s="106">
        <v>5</v>
      </c>
      <c r="U55" s="106">
        <v>3318</v>
      </c>
      <c r="V55" s="106">
        <v>4</v>
      </c>
      <c r="W55" s="106">
        <v>2654.4</v>
      </c>
      <c r="X55" s="106">
        <v>4</v>
      </c>
      <c r="Y55" s="106">
        <v>2654.4</v>
      </c>
      <c r="Z55" s="106">
        <v>4</v>
      </c>
      <c r="AA55" s="106">
        <v>2654.4</v>
      </c>
      <c r="AB55" s="106">
        <v>7</v>
      </c>
      <c r="AC55" s="106">
        <v>4645.2</v>
      </c>
      <c r="AD55" s="106">
        <v>9</v>
      </c>
      <c r="AE55" s="106">
        <v>5972.4000000000005</v>
      </c>
      <c r="AF55" s="106">
        <v>6</v>
      </c>
      <c r="AG55" s="106">
        <v>3981.6000000000004</v>
      </c>
      <c r="AH55" s="106">
        <v>8</v>
      </c>
      <c r="AI55" s="106">
        <v>5308.8</v>
      </c>
      <c r="AJ55" s="106">
        <v>4</v>
      </c>
      <c r="AK55" s="106">
        <v>2654.4</v>
      </c>
      <c r="AL55" s="106">
        <v>6</v>
      </c>
      <c r="AM55" s="106">
        <v>3981.6000000000004</v>
      </c>
      <c r="AN55" s="106">
        <v>5</v>
      </c>
      <c r="AO55" s="106">
        <v>3318</v>
      </c>
      <c r="AP55" s="106">
        <v>9</v>
      </c>
      <c r="AQ55" s="106">
        <v>5972.4000000000005</v>
      </c>
      <c r="AR55" s="106">
        <v>4</v>
      </c>
      <c r="AS55" s="106">
        <v>2654.4</v>
      </c>
      <c r="AT55" s="106">
        <v>4</v>
      </c>
      <c r="AU55" s="106">
        <v>2654.4</v>
      </c>
      <c r="AV55" s="106">
        <v>5</v>
      </c>
      <c r="AW55" s="106">
        <v>3318</v>
      </c>
      <c r="AX55" s="106">
        <v>4</v>
      </c>
      <c r="AY55" s="106">
        <v>2654.4</v>
      </c>
      <c r="AZ55" s="106">
        <v>6</v>
      </c>
      <c r="BA55" s="106">
        <v>3981.6000000000004</v>
      </c>
      <c r="BB55" s="106">
        <v>6</v>
      </c>
      <c r="BC55" s="106">
        <v>3981.6000000000004</v>
      </c>
      <c r="BD55" s="106">
        <v>9</v>
      </c>
      <c r="BE55" s="106">
        <v>5972.4000000000005</v>
      </c>
      <c r="BF55" s="106">
        <v>6</v>
      </c>
      <c r="BG55" s="106">
        <v>3981.6000000000004</v>
      </c>
      <c r="BH55" s="106">
        <v>4</v>
      </c>
      <c r="BI55" s="106">
        <v>2654.4</v>
      </c>
      <c r="BJ55" s="106">
        <v>4</v>
      </c>
      <c r="BK55" s="106">
        <v>2654.4</v>
      </c>
      <c r="BL55" s="106">
        <v>4</v>
      </c>
      <c r="BM55" s="106">
        <v>2654.4</v>
      </c>
      <c r="BN55" s="106">
        <v>5</v>
      </c>
      <c r="BO55" s="106">
        <v>3318</v>
      </c>
      <c r="BP55" s="106">
        <v>3</v>
      </c>
      <c r="BQ55" s="106">
        <v>1990.8000000000002</v>
      </c>
      <c r="BR55" s="106">
        <v>4</v>
      </c>
      <c r="BS55" s="106">
        <v>2654.4</v>
      </c>
      <c r="BT55" s="106">
        <v>3</v>
      </c>
      <c r="BU55" s="106">
        <v>1990.8000000000002</v>
      </c>
      <c r="BV55" s="106">
        <v>3</v>
      </c>
      <c r="BW55" s="106">
        <v>1990.8000000000002</v>
      </c>
      <c r="BX55" s="106">
        <v>66</v>
      </c>
      <c r="BY55" s="106">
        <v>43797.599999999999</v>
      </c>
      <c r="BZ55" s="106">
        <v>45</v>
      </c>
      <c r="CA55" s="106">
        <v>29862</v>
      </c>
      <c r="CB55" s="106">
        <v>66</v>
      </c>
      <c r="CC55" s="106">
        <v>43797.599999999999</v>
      </c>
      <c r="CD55" s="106">
        <v>44</v>
      </c>
      <c r="CE55" s="106">
        <v>29198.400000000001</v>
      </c>
      <c r="CF55" s="106">
        <v>29</v>
      </c>
      <c r="CG55" s="106">
        <v>19244.400000000001</v>
      </c>
      <c r="CH55" s="106">
        <v>20</v>
      </c>
      <c r="CI55" s="106">
        <v>13272</v>
      </c>
      <c r="CJ55" s="106">
        <v>16</v>
      </c>
      <c r="CK55" s="106">
        <v>10617.6</v>
      </c>
      <c r="CL55" s="106">
        <v>17</v>
      </c>
      <c r="CM55" s="106">
        <v>11281.2</v>
      </c>
      <c r="CN55" s="106">
        <v>3</v>
      </c>
      <c r="CO55" s="106">
        <v>1990.8000000000002</v>
      </c>
      <c r="CP55" s="106">
        <v>2</v>
      </c>
      <c r="CQ55" s="106">
        <v>1327.2</v>
      </c>
      <c r="CR55" s="106">
        <v>4</v>
      </c>
      <c r="CS55" s="106">
        <v>2654.4</v>
      </c>
      <c r="CT55" s="106">
        <v>4</v>
      </c>
      <c r="CU55" s="106">
        <v>2654.4</v>
      </c>
    </row>
    <row r="56" spans="2:99" x14ac:dyDescent="0.2">
      <c r="C56" s="105" t="s">
        <v>222</v>
      </c>
      <c r="D56" s="106">
        <v>5</v>
      </c>
      <c r="E56" s="106">
        <v>5754</v>
      </c>
      <c r="F56" s="106">
        <v>6</v>
      </c>
      <c r="G56" s="106">
        <v>6904.7999999999993</v>
      </c>
      <c r="H56" s="106">
        <v>6</v>
      </c>
      <c r="I56" s="106">
        <v>6904.7999999999993</v>
      </c>
      <c r="J56" s="106">
        <v>5</v>
      </c>
      <c r="K56" s="106">
        <v>5754</v>
      </c>
      <c r="L56" s="106">
        <v>20.371018500416966</v>
      </c>
      <c r="M56" s="106">
        <v>23442.968090279843</v>
      </c>
      <c r="N56" s="106">
        <v>31</v>
      </c>
      <c r="O56" s="106">
        <v>35674.799999999996</v>
      </c>
      <c r="P56" s="106">
        <v>22</v>
      </c>
      <c r="Q56" s="106">
        <v>25317.599999999999</v>
      </c>
      <c r="R56" s="106">
        <v>36</v>
      </c>
      <c r="S56" s="106">
        <v>41428.799999999996</v>
      </c>
      <c r="T56" s="106">
        <v>4</v>
      </c>
      <c r="U56" s="106">
        <v>4603.2</v>
      </c>
      <c r="V56" s="106">
        <v>4.3619818721055248</v>
      </c>
      <c r="W56" s="106">
        <v>5019.7687384190376</v>
      </c>
      <c r="X56" s="106">
        <v>4</v>
      </c>
      <c r="Y56" s="106">
        <v>4603.2</v>
      </c>
      <c r="Z56" s="106">
        <v>4.3029627979505456</v>
      </c>
      <c r="AA56" s="106">
        <v>4951.8495878814874</v>
      </c>
      <c r="AB56" s="106">
        <v>7.3902045335353419</v>
      </c>
      <c r="AC56" s="106">
        <v>8504.6473771924702</v>
      </c>
      <c r="AD56" s="106">
        <v>9</v>
      </c>
      <c r="AE56" s="106">
        <v>10357.199999999999</v>
      </c>
      <c r="AF56" s="106">
        <v>6</v>
      </c>
      <c r="AG56" s="106">
        <v>6904.7999999999993</v>
      </c>
      <c r="AH56" s="106">
        <v>7</v>
      </c>
      <c r="AI56" s="106">
        <v>8055.5999999999995</v>
      </c>
      <c r="AJ56" s="106">
        <v>5.992201380354782</v>
      </c>
      <c r="AK56" s="106">
        <v>6895.8253485122832</v>
      </c>
      <c r="AL56" s="106">
        <v>6</v>
      </c>
      <c r="AM56" s="106">
        <v>6904.7999999999993</v>
      </c>
      <c r="AN56" s="106">
        <v>5.6178683131957143</v>
      </c>
      <c r="AO56" s="106">
        <v>6465.0428548256277</v>
      </c>
      <c r="AP56" s="106">
        <v>8</v>
      </c>
      <c r="AQ56" s="106">
        <v>9206.4</v>
      </c>
      <c r="AR56" s="106">
        <v>3</v>
      </c>
      <c r="AS56" s="106">
        <v>3452.3999999999996</v>
      </c>
      <c r="AT56" s="106">
        <v>4</v>
      </c>
      <c r="AU56" s="106">
        <v>4603.2</v>
      </c>
      <c r="AV56" s="106">
        <v>4</v>
      </c>
      <c r="AW56" s="106">
        <v>4603.2</v>
      </c>
      <c r="AX56" s="106">
        <v>4</v>
      </c>
      <c r="AY56" s="106">
        <v>4603.2</v>
      </c>
      <c r="AZ56" s="106">
        <v>5</v>
      </c>
      <c r="BA56" s="106">
        <v>5754</v>
      </c>
      <c r="BB56" s="106">
        <v>7</v>
      </c>
      <c r="BC56" s="106">
        <v>8055.5999999999995</v>
      </c>
      <c r="BD56" s="106">
        <v>8</v>
      </c>
      <c r="BE56" s="106">
        <v>9206.4</v>
      </c>
      <c r="BF56" s="106">
        <v>5</v>
      </c>
      <c r="BG56" s="106">
        <v>5754</v>
      </c>
      <c r="BH56" s="106">
        <v>4</v>
      </c>
      <c r="BI56" s="106">
        <v>4603.2</v>
      </c>
      <c r="BJ56" s="106">
        <v>3</v>
      </c>
      <c r="BK56" s="106">
        <v>3452.3999999999996</v>
      </c>
      <c r="BL56" s="106">
        <v>4</v>
      </c>
      <c r="BM56" s="106">
        <v>4603.2</v>
      </c>
      <c r="BN56" s="106">
        <v>4</v>
      </c>
      <c r="BO56" s="106">
        <v>4603.2</v>
      </c>
      <c r="BP56" s="106">
        <v>3</v>
      </c>
      <c r="BQ56" s="106">
        <v>3452.3999999999996</v>
      </c>
      <c r="BR56" s="106">
        <v>4</v>
      </c>
      <c r="BS56" s="106">
        <v>4603.2</v>
      </c>
      <c r="BT56" s="106">
        <v>2.5987089927140827</v>
      </c>
      <c r="BU56" s="106">
        <v>2990.5943088153663</v>
      </c>
      <c r="BV56" s="106">
        <v>3.4745489638903035</v>
      </c>
      <c r="BW56" s="106">
        <v>3998.5109476449611</v>
      </c>
      <c r="BX56" s="106">
        <v>65</v>
      </c>
      <c r="BY56" s="106">
        <v>74802</v>
      </c>
      <c r="BZ56" s="106">
        <v>43</v>
      </c>
      <c r="CA56" s="106">
        <v>49484.4</v>
      </c>
      <c r="CB56" s="106">
        <v>59</v>
      </c>
      <c r="CC56" s="106">
        <v>67897.2</v>
      </c>
      <c r="CD56" s="106">
        <v>37</v>
      </c>
      <c r="CE56" s="106">
        <v>42579.6</v>
      </c>
      <c r="CF56" s="106">
        <v>25</v>
      </c>
      <c r="CG56" s="106">
        <v>28770</v>
      </c>
      <c r="CH56" s="106">
        <v>18</v>
      </c>
      <c r="CI56" s="106">
        <v>20714.399999999998</v>
      </c>
      <c r="CJ56" s="106">
        <v>14</v>
      </c>
      <c r="CK56" s="106">
        <v>16111.199999999999</v>
      </c>
      <c r="CL56" s="106">
        <v>16.886380385487527</v>
      </c>
      <c r="CM56" s="106">
        <v>19432.846547619047</v>
      </c>
      <c r="CN56" s="106">
        <v>4</v>
      </c>
      <c r="CO56" s="106">
        <v>4603.2</v>
      </c>
      <c r="CP56" s="106">
        <v>2</v>
      </c>
      <c r="CQ56" s="106">
        <v>2301.6</v>
      </c>
      <c r="CR56" s="106">
        <v>4</v>
      </c>
      <c r="CS56" s="106">
        <v>4603.2</v>
      </c>
      <c r="CT56" s="106">
        <v>3</v>
      </c>
      <c r="CU56" s="106">
        <v>3452.3999999999996</v>
      </c>
    </row>
    <row r="57" spans="2:99" x14ac:dyDescent="0.2">
      <c r="C57" s="105" t="s">
        <v>223</v>
      </c>
      <c r="D57" s="106">
        <v>5</v>
      </c>
      <c r="E57" s="106">
        <v>7056</v>
      </c>
      <c r="F57" s="106">
        <v>6</v>
      </c>
      <c r="G57" s="106">
        <v>8467.2000000000007</v>
      </c>
      <c r="H57" s="106">
        <v>6</v>
      </c>
      <c r="I57" s="106">
        <v>8467.2000000000007</v>
      </c>
      <c r="J57" s="106">
        <v>5</v>
      </c>
      <c r="K57" s="106">
        <v>7056</v>
      </c>
      <c r="L57" s="106">
        <v>18</v>
      </c>
      <c r="M57" s="106">
        <v>25401.600000000002</v>
      </c>
      <c r="N57" s="106">
        <v>31</v>
      </c>
      <c r="O57" s="106">
        <v>43747.200000000004</v>
      </c>
      <c r="P57" s="106">
        <v>21</v>
      </c>
      <c r="Q57" s="106">
        <v>29635.200000000001</v>
      </c>
      <c r="R57" s="106">
        <v>32</v>
      </c>
      <c r="S57" s="106">
        <v>45158.400000000001</v>
      </c>
      <c r="T57" s="106">
        <v>5</v>
      </c>
      <c r="U57" s="106">
        <v>7056</v>
      </c>
      <c r="V57" s="106">
        <v>4</v>
      </c>
      <c r="W57" s="106">
        <v>5644.8</v>
      </c>
      <c r="X57" s="106">
        <v>4</v>
      </c>
      <c r="Y57" s="106">
        <v>5644.8</v>
      </c>
      <c r="Z57" s="106">
        <v>4</v>
      </c>
      <c r="AA57" s="106">
        <v>5644.8</v>
      </c>
      <c r="AB57" s="106">
        <v>6</v>
      </c>
      <c r="AC57" s="106">
        <v>8467.2000000000007</v>
      </c>
      <c r="AD57" s="106">
        <v>8</v>
      </c>
      <c r="AE57" s="106">
        <v>11289.6</v>
      </c>
      <c r="AF57" s="106">
        <v>6</v>
      </c>
      <c r="AG57" s="106">
        <v>8467.2000000000007</v>
      </c>
      <c r="AH57" s="106">
        <v>8</v>
      </c>
      <c r="AI57" s="106">
        <v>11289.6</v>
      </c>
      <c r="AJ57" s="106">
        <v>5</v>
      </c>
      <c r="AK57" s="106">
        <v>7056</v>
      </c>
      <c r="AL57" s="106">
        <v>5</v>
      </c>
      <c r="AM57" s="106">
        <v>7056</v>
      </c>
      <c r="AN57" s="106">
        <v>5</v>
      </c>
      <c r="AO57" s="106">
        <v>7056</v>
      </c>
      <c r="AP57" s="106">
        <v>8</v>
      </c>
      <c r="AQ57" s="106">
        <v>11289.6</v>
      </c>
      <c r="AR57" s="106">
        <v>4</v>
      </c>
      <c r="AS57" s="106">
        <v>5644.8</v>
      </c>
      <c r="AT57" s="106">
        <v>5</v>
      </c>
      <c r="AU57" s="106">
        <v>7056</v>
      </c>
      <c r="AV57" s="106">
        <v>5</v>
      </c>
      <c r="AW57" s="106">
        <v>7056</v>
      </c>
      <c r="AX57" s="106">
        <v>4</v>
      </c>
      <c r="AY57" s="106">
        <v>5644.8</v>
      </c>
      <c r="AZ57" s="106">
        <v>6</v>
      </c>
      <c r="BA57" s="106">
        <v>8467.2000000000007</v>
      </c>
      <c r="BB57" s="106">
        <v>6</v>
      </c>
      <c r="BC57" s="106">
        <v>8467.2000000000007</v>
      </c>
      <c r="BD57" s="106">
        <v>8</v>
      </c>
      <c r="BE57" s="106">
        <v>11289.6</v>
      </c>
      <c r="BF57" s="106">
        <v>5</v>
      </c>
      <c r="BG57" s="106">
        <v>7056</v>
      </c>
      <c r="BH57" s="106">
        <v>4</v>
      </c>
      <c r="BI57" s="106">
        <v>5644.8</v>
      </c>
      <c r="BJ57" s="106">
        <v>3</v>
      </c>
      <c r="BK57" s="106">
        <v>4233.6000000000004</v>
      </c>
      <c r="BL57" s="106">
        <v>4</v>
      </c>
      <c r="BM57" s="106">
        <v>5644.8</v>
      </c>
      <c r="BN57" s="106">
        <v>4</v>
      </c>
      <c r="BO57" s="106">
        <v>5644.8</v>
      </c>
      <c r="BP57" s="106">
        <v>3</v>
      </c>
      <c r="BQ57" s="106">
        <v>4233.6000000000004</v>
      </c>
      <c r="BR57" s="106">
        <v>3</v>
      </c>
      <c r="BS57" s="106">
        <v>4233.6000000000004</v>
      </c>
      <c r="BT57" s="106">
        <v>3</v>
      </c>
      <c r="BU57" s="106">
        <v>4233.6000000000004</v>
      </c>
      <c r="BV57" s="106">
        <v>3</v>
      </c>
      <c r="BW57" s="106">
        <v>4233.6000000000004</v>
      </c>
      <c r="BX57" s="106">
        <v>53</v>
      </c>
      <c r="BY57" s="106">
        <v>74793.600000000006</v>
      </c>
      <c r="BZ57" s="106">
        <v>44</v>
      </c>
      <c r="CA57" s="106">
        <v>62092.800000000003</v>
      </c>
      <c r="CB57" s="106">
        <v>54</v>
      </c>
      <c r="CC57" s="106">
        <v>76204.800000000003</v>
      </c>
      <c r="CD57" s="106">
        <v>38</v>
      </c>
      <c r="CE57" s="106">
        <v>53625.599999999999</v>
      </c>
      <c r="CF57" s="106">
        <v>26</v>
      </c>
      <c r="CG57" s="106">
        <v>36691.200000000004</v>
      </c>
      <c r="CH57" s="106">
        <v>15</v>
      </c>
      <c r="CI57" s="106">
        <v>21168</v>
      </c>
      <c r="CJ57" s="106">
        <v>17</v>
      </c>
      <c r="CK57" s="106">
        <v>23990.400000000001</v>
      </c>
      <c r="CL57" s="106">
        <v>14</v>
      </c>
      <c r="CM57" s="106">
        <v>19756.8</v>
      </c>
      <c r="CN57" s="106">
        <v>3</v>
      </c>
      <c r="CO57" s="106">
        <v>4233.6000000000004</v>
      </c>
      <c r="CP57" s="106">
        <v>2</v>
      </c>
      <c r="CQ57" s="106">
        <v>2822.4</v>
      </c>
      <c r="CR57" s="106">
        <v>4</v>
      </c>
      <c r="CS57" s="106">
        <v>5644.8</v>
      </c>
      <c r="CT57" s="106">
        <v>3</v>
      </c>
      <c r="CU57" s="106">
        <v>4233.6000000000004</v>
      </c>
    </row>
    <row r="58" spans="2:99" x14ac:dyDescent="0.2">
      <c r="C58" s="105" t="s">
        <v>224</v>
      </c>
      <c r="D58" s="106">
        <v>5</v>
      </c>
      <c r="E58" s="106">
        <v>5886</v>
      </c>
      <c r="F58" s="106">
        <v>6</v>
      </c>
      <c r="G58" s="106">
        <v>7063.2000000000007</v>
      </c>
      <c r="H58" s="106">
        <v>7</v>
      </c>
      <c r="I58" s="106">
        <v>8240.4</v>
      </c>
      <c r="J58" s="106">
        <v>5</v>
      </c>
      <c r="K58" s="106">
        <v>5886</v>
      </c>
      <c r="L58" s="106">
        <v>17.303560591250246</v>
      </c>
      <c r="M58" s="106">
        <v>20369.751528019791</v>
      </c>
      <c r="N58" s="106">
        <v>36</v>
      </c>
      <c r="O58" s="106">
        <v>42379.200000000004</v>
      </c>
      <c r="P58" s="106">
        <v>21</v>
      </c>
      <c r="Q58" s="106">
        <v>24721.200000000001</v>
      </c>
      <c r="R58" s="106">
        <v>34</v>
      </c>
      <c r="S58" s="106">
        <v>40024.800000000003</v>
      </c>
      <c r="T58" s="106">
        <v>5</v>
      </c>
      <c r="U58" s="106">
        <v>5886</v>
      </c>
      <c r="V58" s="106">
        <v>4.3167341380923343</v>
      </c>
      <c r="W58" s="106">
        <v>5081.6594273622959</v>
      </c>
      <c r="X58" s="106">
        <v>4</v>
      </c>
      <c r="Y58" s="106">
        <v>4708.8</v>
      </c>
      <c r="Z58" s="106">
        <v>4.2650924482067278</v>
      </c>
      <c r="AA58" s="106">
        <v>5020.8668300289601</v>
      </c>
      <c r="AB58" s="106">
        <v>6.3902045335353419</v>
      </c>
      <c r="AC58" s="106">
        <v>7522.5487768778048</v>
      </c>
      <c r="AD58" s="106">
        <v>9</v>
      </c>
      <c r="AE58" s="106">
        <v>10594.800000000001</v>
      </c>
      <c r="AF58" s="106">
        <v>6</v>
      </c>
      <c r="AG58" s="106">
        <v>7063.2000000000007</v>
      </c>
      <c r="AH58" s="106">
        <v>8</v>
      </c>
      <c r="AI58" s="106">
        <v>9417.6</v>
      </c>
      <c r="AJ58" s="106">
        <v>4.8599078629741443</v>
      </c>
      <c r="AK58" s="106">
        <v>5721.083536293163</v>
      </c>
      <c r="AL58" s="106">
        <v>6</v>
      </c>
      <c r="AM58" s="106">
        <v>7063.2000000000007</v>
      </c>
      <c r="AN58" s="106">
        <v>5.6472906138240822</v>
      </c>
      <c r="AO58" s="106">
        <v>6647.9905105937096</v>
      </c>
      <c r="AP58" s="106">
        <v>9</v>
      </c>
      <c r="AQ58" s="106">
        <v>10594.800000000001</v>
      </c>
      <c r="AR58" s="106">
        <v>4</v>
      </c>
      <c r="AS58" s="106">
        <v>4708.8</v>
      </c>
      <c r="AT58" s="106">
        <v>4</v>
      </c>
      <c r="AU58" s="106">
        <v>4708.8</v>
      </c>
      <c r="AV58" s="106">
        <v>4.623190798106215</v>
      </c>
      <c r="AW58" s="106">
        <v>5442.4202075306366</v>
      </c>
      <c r="AX58" s="106">
        <v>4</v>
      </c>
      <c r="AY58" s="106">
        <v>4708.8</v>
      </c>
      <c r="AZ58" s="106">
        <v>6</v>
      </c>
      <c r="BA58" s="106">
        <v>7063.2000000000007</v>
      </c>
      <c r="BB58" s="106">
        <v>6</v>
      </c>
      <c r="BC58" s="106">
        <v>7063.2000000000007</v>
      </c>
      <c r="BD58" s="106">
        <v>8</v>
      </c>
      <c r="BE58" s="106">
        <v>9417.6</v>
      </c>
      <c r="BF58" s="106">
        <v>6</v>
      </c>
      <c r="BG58" s="106">
        <v>7063.2000000000007</v>
      </c>
      <c r="BH58" s="106">
        <v>4</v>
      </c>
      <c r="BI58" s="106">
        <v>4708.8</v>
      </c>
      <c r="BJ58" s="106">
        <v>3</v>
      </c>
      <c r="BK58" s="106">
        <v>3531.6000000000004</v>
      </c>
      <c r="BL58" s="106">
        <v>4</v>
      </c>
      <c r="BM58" s="106">
        <v>4708.8</v>
      </c>
      <c r="BN58" s="106">
        <v>4</v>
      </c>
      <c r="BO58" s="106">
        <v>4708.8</v>
      </c>
      <c r="BP58" s="106">
        <v>3</v>
      </c>
      <c r="BQ58" s="106">
        <v>3531.6000000000004</v>
      </c>
      <c r="BR58" s="106">
        <v>4</v>
      </c>
      <c r="BS58" s="106">
        <v>4708.8</v>
      </c>
      <c r="BT58" s="106">
        <v>3.5488165766545761</v>
      </c>
      <c r="BU58" s="106">
        <v>4177.6668740377672</v>
      </c>
      <c r="BV58" s="106">
        <v>3.4406526093267109</v>
      </c>
      <c r="BW58" s="106">
        <v>4050.3362516994043</v>
      </c>
      <c r="BX58" s="106">
        <v>55</v>
      </c>
      <c r="BY58" s="106">
        <v>64746</v>
      </c>
      <c r="BZ58" s="106">
        <v>42</v>
      </c>
      <c r="CA58" s="106">
        <v>49442.400000000001</v>
      </c>
      <c r="CB58" s="106">
        <v>48</v>
      </c>
      <c r="CC58" s="106">
        <v>56505.600000000006</v>
      </c>
      <c r="CD58" s="106">
        <v>36</v>
      </c>
      <c r="CE58" s="106">
        <v>42379.200000000004</v>
      </c>
      <c r="CF58" s="106">
        <v>26</v>
      </c>
      <c r="CG58" s="106">
        <v>30607.200000000001</v>
      </c>
      <c r="CH58" s="106">
        <v>18</v>
      </c>
      <c r="CI58" s="106">
        <v>21189.600000000002</v>
      </c>
      <c r="CJ58" s="106">
        <v>16</v>
      </c>
      <c r="CK58" s="106">
        <v>18835.2</v>
      </c>
      <c r="CL58" s="106">
        <v>16.886380385487527</v>
      </c>
      <c r="CM58" s="106">
        <v>19878.646989795918</v>
      </c>
      <c r="CN58" s="106">
        <v>3</v>
      </c>
      <c r="CO58" s="106">
        <v>3531.6000000000004</v>
      </c>
      <c r="CP58" s="106">
        <v>2</v>
      </c>
      <c r="CQ58" s="106">
        <v>2354.4</v>
      </c>
      <c r="CR58" s="106">
        <v>4</v>
      </c>
      <c r="CS58" s="106">
        <v>4708.8</v>
      </c>
      <c r="CT58" s="106">
        <v>4</v>
      </c>
      <c r="CU58" s="106">
        <v>4708.8</v>
      </c>
    </row>
    <row r="59" spans="2:99" x14ac:dyDescent="0.2">
      <c r="C59" s="105" t="s">
        <v>225</v>
      </c>
      <c r="D59" s="106">
        <v>6</v>
      </c>
      <c r="E59" s="106">
        <v>1821.6</v>
      </c>
      <c r="F59" s="106">
        <v>6</v>
      </c>
      <c r="G59" s="106">
        <v>1821.6</v>
      </c>
      <c r="H59" s="106">
        <v>7</v>
      </c>
      <c r="I59" s="106">
        <v>2125.1999999999998</v>
      </c>
      <c r="J59" s="106">
        <v>5</v>
      </c>
      <c r="K59" s="106">
        <v>1517.9999999999998</v>
      </c>
      <c r="L59" s="106">
        <v>21</v>
      </c>
      <c r="M59" s="106">
        <v>6375.5999999999995</v>
      </c>
      <c r="N59" s="106">
        <v>39</v>
      </c>
      <c r="O59" s="106">
        <v>11840.399999999998</v>
      </c>
      <c r="P59" s="106">
        <v>28</v>
      </c>
      <c r="Q59" s="106">
        <v>8500.7999999999993</v>
      </c>
      <c r="R59" s="106">
        <v>45</v>
      </c>
      <c r="S59" s="106">
        <v>13661.999999999998</v>
      </c>
      <c r="T59" s="106">
        <v>5</v>
      </c>
      <c r="U59" s="106">
        <v>1517.9999999999998</v>
      </c>
      <c r="V59" s="106">
        <v>4</v>
      </c>
      <c r="W59" s="106">
        <v>1214.3999999999999</v>
      </c>
      <c r="X59" s="106">
        <v>5</v>
      </c>
      <c r="Y59" s="106">
        <v>1517.9999999999998</v>
      </c>
      <c r="Z59" s="106">
        <v>4</v>
      </c>
      <c r="AA59" s="106">
        <v>1214.3999999999999</v>
      </c>
      <c r="AB59" s="106">
        <v>7</v>
      </c>
      <c r="AC59" s="106">
        <v>2125.1999999999998</v>
      </c>
      <c r="AD59" s="106">
        <v>9</v>
      </c>
      <c r="AE59" s="106">
        <v>2732.3999999999996</v>
      </c>
      <c r="AF59" s="106">
        <v>7</v>
      </c>
      <c r="AG59" s="106">
        <v>2125.1999999999998</v>
      </c>
      <c r="AH59" s="106">
        <v>8</v>
      </c>
      <c r="AI59" s="106">
        <v>2428.7999999999997</v>
      </c>
      <c r="AJ59" s="106">
        <v>5</v>
      </c>
      <c r="AK59" s="106">
        <v>1517.9999999999998</v>
      </c>
      <c r="AL59" s="106">
        <v>6</v>
      </c>
      <c r="AM59" s="106">
        <v>1821.6</v>
      </c>
      <c r="AN59" s="106">
        <v>5</v>
      </c>
      <c r="AO59" s="106">
        <v>1517.9999999999998</v>
      </c>
      <c r="AP59" s="106">
        <v>9</v>
      </c>
      <c r="AQ59" s="106">
        <v>2732.3999999999996</v>
      </c>
      <c r="AR59" s="106">
        <v>4</v>
      </c>
      <c r="AS59" s="106">
        <v>1214.3999999999999</v>
      </c>
      <c r="AT59" s="106">
        <v>5</v>
      </c>
      <c r="AU59" s="106">
        <v>1517.9999999999998</v>
      </c>
      <c r="AV59" s="106">
        <v>5</v>
      </c>
      <c r="AW59" s="106">
        <v>1517.9999999999998</v>
      </c>
      <c r="AX59" s="106">
        <v>4</v>
      </c>
      <c r="AY59" s="106">
        <v>1214.3999999999999</v>
      </c>
      <c r="AZ59" s="106">
        <v>7</v>
      </c>
      <c r="BA59" s="106">
        <v>2125.1999999999998</v>
      </c>
      <c r="BB59" s="106">
        <v>6</v>
      </c>
      <c r="BC59" s="106">
        <v>1821.6</v>
      </c>
      <c r="BD59" s="106">
        <v>8</v>
      </c>
      <c r="BE59" s="106">
        <v>2428.7999999999997</v>
      </c>
      <c r="BF59" s="106">
        <v>6</v>
      </c>
      <c r="BG59" s="106">
        <v>1821.6</v>
      </c>
      <c r="BH59" s="106">
        <v>4</v>
      </c>
      <c r="BI59" s="106">
        <v>1214.3999999999999</v>
      </c>
      <c r="BJ59" s="106">
        <v>3</v>
      </c>
      <c r="BK59" s="106">
        <v>910.8</v>
      </c>
      <c r="BL59" s="106">
        <v>4</v>
      </c>
      <c r="BM59" s="106">
        <v>1214.3999999999999</v>
      </c>
      <c r="BN59" s="106">
        <v>5</v>
      </c>
      <c r="BO59" s="106">
        <v>1517.9999999999998</v>
      </c>
      <c r="BP59" s="106">
        <v>3</v>
      </c>
      <c r="BQ59" s="106">
        <v>910.8</v>
      </c>
      <c r="BR59" s="106">
        <v>4</v>
      </c>
      <c r="BS59" s="106">
        <v>1214.3999999999999</v>
      </c>
      <c r="BT59" s="106">
        <v>3</v>
      </c>
      <c r="BU59" s="106">
        <v>910.8</v>
      </c>
      <c r="BV59" s="106">
        <v>3</v>
      </c>
      <c r="BW59" s="106">
        <v>910.8</v>
      </c>
      <c r="BX59" s="106">
        <v>80</v>
      </c>
      <c r="BY59" s="106">
        <v>24287.999999999996</v>
      </c>
      <c r="BZ59" s="106">
        <v>58</v>
      </c>
      <c r="CA59" s="106">
        <v>17608.8</v>
      </c>
      <c r="CB59" s="106">
        <v>67</v>
      </c>
      <c r="CC59" s="106">
        <v>20341.199999999997</v>
      </c>
      <c r="CD59" s="106">
        <v>46</v>
      </c>
      <c r="CE59" s="106">
        <v>13965.599999999999</v>
      </c>
      <c r="CF59" s="106">
        <v>28</v>
      </c>
      <c r="CG59" s="106">
        <v>8500.7999999999993</v>
      </c>
      <c r="CH59" s="106">
        <v>20</v>
      </c>
      <c r="CI59" s="106">
        <v>6071.9999999999991</v>
      </c>
      <c r="CJ59" s="106">
        <v>19</v>
      </c>
      <c r="CK59" s="106">
        <v>5768.4</v>
      </c>
      <c r="CL59" s="106">
        <v>17</v>
      </c>
      <c r="CM59" s="106">
        <v>5161.2</v>
      </c>
      <c r="CN59" s="106">
        <v>4</v>
      </c>
      <c r="CO59" s="106">
        <v>1214.3999999999999</v>
      </c>
      <c r="CP59" s="106">
        <v>2</v>
      </c>
      <c r="CQ59" s="106">
        <v>607.19999999999993</v>
      </c>
      <c r="CR59" s="106">
        <v>4</v>
      </c>
      <c r="CS59" s="106">
        <v>1214.3999999999999</v>
      </c>
      <c r="CT59" s="106">
        <v>4</v>
      </c>
      <c r="CU59" s="106">
        <v>1214.3999999999999</v>
      </c>
    </row>
    <row r="60" spans="2:99" x14ac:dyDescent="0.2">
      <c r="C60" s="105" t="s">
        <v>226</v>
      </c>
      <c r="D60" s="106">
        <v>5</v>
      </c>
      <c r="E60" s="106">
        <v>3258</v>
      </c>
      <c r="F60" s="106">
        <v>6</v>
      </c>
      <c r="G60" s="106">
        <v>3909.6000000000004</v>
      </c>
      <c r="H60" s="106">
        <v>6</v>
      </c>
      <c r="I60" s="106">
        <v>3909.6000000000004</v>
      </c>
      <c r="J60" s="106">
        <v>5</v>
      </c>
      <c r="K60" s="106">
        <v>3258</v>
      </c>
      <c r="L60" s="106">
        <v>21</v>
      </c>
      <c r="M60" s="106">
        <v>13683.6</v>
      </c>
      <c r="N60" s="106">
        <v>38</v>
      </c>
      <c r="O60" s="106">
        <v>24760.799999999999</v>
      </c>
      <c r="P60" s="106">
        <v>27</v>
      </c>
      <c r="Q60" s="106">
        <v>17593.2</v>
      </c>
      <c r="R60" s="106">
        <v>35</v>
      </c>
      <c r="S60" s="106">
        <v>22806</v>
      </c>
      <c r="T60" s="106">
        <v>5</v>
      </c>
      <c r="U60" s="106">
        <v>3258</v>
      </c>
      <c r="V60" s="106">
        <v>4</v>
      </c>
      <c r="W60" s="106">
        <v>2606.4</v>
      </c>
      <c r="X60" s="106">
        <v>5</v>
      </c>
      <c r="Y60" s="106">
        <v>3258</v>
      </c>
      <c r="Z60" s="106">
        <v>4</v>
      </c>
      <c r="AA60" s="106">
        <v>2606.4</v>
      </c>
      <c r="AB60" s="106">
        <v>6</v>
      </c>
      <c r="AC60" s="106">
        <v>3909.6000000000004</v>
      </c>
      <c r="AD60" s="106">
        <v>9</v>
      </c>
      <c r="AE60" s="106">
        <v>5864.4000000000005</v>
      </c>
      <c r="AF60" s="106">
        <v>7</v>
      </c>
      <c r="AG60" s="106">
        <v>4561.2</v>
      </c>
      <c r="AH60" s="106">
        <v>8</v>
      </c>
      <c r="AI60" s="106">
        <v>5212.8</v>
      </c>
      <c r="AJ60" s="106">
        <v>5</v>
      </c>
      <c r="AK60" s="106">
        <v>3258</v>
      </c>
      <c r="AL60" s="106">
        <v>7</v>
      </c>
      <c r="AM60" s="106">
        <v>4561.2</v>
      </c>
      <c r="AN60" s="106">
        <v>5</v>
      </c>
      <c r="AO60" s="106">
        <v>3258</v>
      </c>
      <c r="AP60" s="106">
        <v>8</v>
      </c>
      <c r="AQ60" s="106">
        <v>5212.8</v>
      </c>
      <c r="AR60" s="106">
        <v>4</v>
      </c>
      <c r="AS60" s="106">
        <v>2606.4</v>
      </c>
      <c r="AT60" s="106">
        <v>5</v>
      </c>
      <c r="AU60" s="106">
        <v>3258</v>
      </c>
      <c r="AV60" s="106">
        <v>5</v>
      </c>
      <c r="AW60" s="106">
        <v>3258</v>
      </c>
      <c r="AX60" s="106">
        <v>4</v>
      </c>
      <c r="AY60" s="106">
        <v>2606.4</v>
      </c>
      <c r="AZ60" s="106">
        <v>6</v>
      </c>
      <c r="BA60" s="106">
        <v>3909.6000000000004</v>
      </c>
      <c r="BB60" s="106">
        <v>6</v>
      </c>
      <c r="BC60" s="106">
        <v>3909.6000000000004</v>
      </c>
      <c r="BD60" s="106">
        <v>9</v>
      </c>
      <c r="BE60" s="106">
        <v>5864.4000000000005</v>
      </c>
      <c r="BF60" s="106">
        <v>6</v>
      </c>
      <c r="BG60" s="106">
        <v>3909.6000000000004</v>
      </c>
      <c r="BH60" s="106">
        <v>4</v>
      </c>
      <c r="BI60" s="106">
        <v>2606.4</v>
      </c>
      <c r="BJ60" s="106">
        <v>3</v>
      </c>
      <c r="BK60" s="106">
        <v>1954.8000000000002</v>
      </c>
      <c r="BL60" s="106">
        <v>4</v>
      </c>
      <c r="BM60" s="106">
        <v>2606.4</v>
      </c>
      <c r="BN60" s="106">
        <v>5</v>
      </c>
      <c r="BO60" s="106">
        <v>3258</v>
      </c>
      <c r="BP60" s="106">
        <v>3</v>
      </c>
      <c r="BQ60" s="106">
        <v>1954.8000000000002</v>
      </c>
      <c r="BR60" s="106">
        <v>3</v>
      </c>
      <c r="BS60" s="106">
        <v>1954.8000000000002</v>
      </c>
      <c r="BT60" s="106">
        <v>3</v>
      </c>
      <c r="BU60" s="106">
        <v>1954.8000000000002</v>
      </c>
      <c r="BV60" s="106">
        <v>3</v>
      </c>
      <c r="BW60" s="106">
        <v>1954.8000000000002</v>
      </c>
      <c r="BX60" s="106">
        <v>69</v>
      </c>
      <c r="BY60" s="106">
        <v>44960.4</v>
      </c>
      <c r="BZ60" s="106">
        <v>48</v>
      </c>
      <c r="CA60" s="106">
        <v>31276.800000000003</v>
      </c>
      <c r="CB60" s="106">
        <v>55</v>
      </c>
      <c r="CC60" s="106">
        <v>35838</v>
      </c>
      <c r="CD60" s="106">
        <v>40</v>
      </c>
      <c r="CE60" s="106">
        <v>26064</v>
      </c>
      <c r="CF60" s="106">
        <v>29</v>
      </c>
      <c r="CG60" s="106">
        <v>18896.400000000001</v>
      </c>
      <c r="CH60" s="106">
        <v>20</v>
      </c>
      <c r="CI60" s="106">
        <v>13032</v>
      </c>
      <c r="CJ60" s="106">
        <v>19</v>
      </c>
      <c r="CK60" s="106">
        <v>12380.4</v>
      </c>
      <c r="CL60" s="106">
        <v>17</v>
      </c>
      <c r="CM60" s="106">
        <v>11077.2</v>
      </c>
      <c r="CN60" s="106">
        <v>3</v>
      </c>
      <c r="CO60" s="106">
        <v>1954.8000000000002</v>
      </c>
      <c r="CP60" s="106">
        <v>2</v>
      </c>
      <c r="CQ60" s="106">
        <v>1303.2</v>
      </c>
      <c r="CR60" s="106">
        <v>4</v>
      </c>
      <c r="CS60" s="106">
        <v>2606.4</v>
      </c>
      <c r="CT60" s="106">
        <v>4</v>
      </c>
      <c r="CU60" s="106">
        <v>2606.4</v>
      </c>
    </row>
    <row r="61" spans="2:99" x14ac:dyDescent="0.2">
      <c r="C61" s="105" t="s">
        <v>227</v>
      </c>
      <c r="D61" s="106">
        <v>5</v>
      </c>
      <c r="E61" s="106">
        <v>4758</v>
      </c>
      <c r="F61" s="106">
        <v>6</v>
      </c>
      <c r="G61" s="106">
        <v>5709.5999999999995</v>
      </c>
      <c r="H61" s="106">
        <v>7</v>
      </c>
      <c r="I61" s="106">
        <v>6661.1999999999989</v>
      </c>
      <c r="J61" s="106">
        <v>4</v>
      </c>
      <c r="K61" s="106">
        <v>3806.3999999999996</v>
      </c>
      <c r="L61" s="106">
        <v>19</v>
      </c>
      <c r="M61" s="106">
        <v>18080.399999999998</v>
      </c>
      <c r="N61" s="106">
        <v>38</v>
      </c>
      <c r="O61" s="106">
        <v>36160.799999999996</v>
      </c>
      <c r="P61" s="106">
        <v>22</v>
      </c>
      <c r="Q61" s="106">
        <v>20935.199999999997</v>
      </c>
      <c r="R61" s="106">
        <v>36</v>
      </c>
      <c r="S61" s="106">
        <v>34257.599999999999</v>
      </c>
      <c r="T61" s="106">
        <v>4</v>
      </c>
      <c r="U61" s="106">
        <v>3806.3999999999996</v>
      </c>
      <c r="V61" s="106">
        <v>4</v>
      </c>
      <c r="W61" s="106">
        <v>3806.3999999999996</v>
      </c>
      <c r="X61" s="106">
        <v>5</v>
      </c>
      <c r="Y61" s="106">
        <v>4758</v>
      </c>
      <c r="Z61" s="106">
        <v>4</v>
      </c>
      <c r="AA61" s="106">
        <v>3806.3999999999996</v>
      </c>
      <c r="AB61" s="106">
        <v>6</v>
      </c>
      <c r="AC61" s="106">
        <v>5709.5999999999995</v>
      </c>
      <c r="AD61" s="106">
        <v>9</v>
      </c>
      <c r="AE61" s="106">
        <v>8564.4</v>
      </c>
      <c r="AF61" s="106">
        <v>6</v>
      </c>
      <c r="AG61" s="106">
        <v>5709.5999999999995</v>
      </c>
      <c r="AH61" s="106">
        <v>7</v>
      </c>
      <c r="AI61" s="106">
        <v>6661.1999999999989</v>
      </c>
      <c r="AJ61" s="106">
        <v>5</v>
      </c>
      <c r="AK61" s="106">
        <v>4758</v>
      </c>
      <c r="AL61" s="106">
        <v>5</v>
      </c>
      <c r="AM61" s="106">
        <v>4758</v>
      </c>
      <c r="AN61" s="106">
        <v>4</v>
      </c>
      <c r="AO61" s="106">
        <v>3806.3999999999996</v>
      </c>
      <c r="AP61" s="106">
        <v>8</v>
      </c>
      <c r="AQ61" s="106">
        <v>7612.7999999999993</v>
      </c>
      <c r="AR61" s="106">
        <v>4</v>
      </c>
      <c r="AS61" s="106">
        <v>3806.3999999999996</v>
      </c>
      <c r="AT61" s="106">
        <v>5</v>
      </c>
      <c r="AU61" s="106">
        <v>4758</v>
      </c>
      <c r="AV61" s="106">
        <v>4</v>
      </c>
      <c r="AW61" s="106">
        <v>3806.3999999999996</v>
      </c>
      <c r="AX61" s="106">
        <v>4</v>
      </c>
      <c r="AY61" s="106">
        <v>3806.3999999999996</v>
      </c>
      <c r="AZ61" s="106">
        <v>6</v>
      </c>
      <c r="BA61" s="106">
        <v>5709.5999999999995</v>
      </c>
      <c r="BB61" s="106">
        <v>6</v>
      </c>
      <c r="BC61" s="106">
        <v>5709.5999999999995</v>
      </c>
      <c r="BD61" s="106">
        <v>8</v>
      </c>
      <c r="BE61" s="106">
        <v>7612.7999999999993</v>
      </c>
      <c r="BF61" s="106">
        <v>6</v>
      </c>
      <c r="BG61" s="106">
        <v>5709.5999999999995</v>
      </c>
      <c r="BH61" s="106">
        <v>4</v>
      </c>
      <c r="BI61" s="106">
        <v>3806.3999999999996</v>
      </c>
      <c r="BJ61" s="106">
        <v>4</v>
      </c>
      <c r="BK61" s="106">
        <v>3806.3999999999996</v>
      </c>
      <c r="BL61" s="106">
        <v>4</v>
      </c>
      <c r="BM61" s="106">
        <v>3806.3999999999996</v>
      </c>
      <c r="BN61" s="106">
        <v>4</v>
      </c>
      <c r="BO61" s="106">
        <v>3806.3999999999996</v>
      </c>
      <c r="BP61" s="106">
        <v>3</v>
      </c>
      <c r="BQ61" s="106">
        <v>2854.7999999999997</v>
      </c>
      <c r="BR61" s="106">
        <v>4</v>
      </c>
      <c r="BS61" s="106">
        <v>3806.3999999999996</v>
      </c>
      <c r="BT61" s="106">
        <v>2</v>
      </c>
      <c r="BU61" s="106">
        <v>1903.1999999999998</v>
      </c>
      <c r="BV61" s="106">
        <v>3</v>
      </c>
      <c r="BW61" s="106">
        <v>2854.7999999999997</v>
      </c>
      <c r="BX61" s="106">
        <v>68</v>
      </c>
      <c r="BY61" s="106">
        <v>64708.799999999996</v>
      </c>
      <c r="BZ61" s="106">
        <v>45</v>
      </c>
      <c r="CA61" s="106">
        <v>42821.999999999993</v>
      </c>
      <c r="CB61" s="106">
        <v>58</v>
      </c>
      <c r="CC61" s="106">
        <v>55192.799999999996</v>
      </c>
      <c r="CD61" s="106">
        <v>38</v>
      </c>
      <c r="CE61" s="106">
        <v>36160.799999999996</v>
      </c>
      <c r="CF61" s="106">
        <v>27</v>
      </c>
      <c r="CG61" s="106">
        <v>25693.199999999997</v>
      </c>
      <c r="CH61" s="106">
        <v>16</v>
      </c>
      <c r="CI61" s="106">
        <v>15225.599999999999</v>
      </c>
      <c r="CJ61" s="106">
        <v>17</v>
      </c>
      <c r="CK61" s="106">
        <v>16177.199999999999</v>
      </c>
      <c r="CL61" s="106">
        <v>18</v>
      </c>
      <c r="CM61" s="106">
        <v>17128.8</v>
      </c>
      <c r="CN61" s="106">
        <v>4</v>
      </c>
      <c r="CO61" s="106">
        <v>3806.3999999999996</v>
      </c>
      <c r="CP61" s="106">
        <v>2</v>
      </c>
      <c r="CQ61" s="106">
        <v>1903.1999999999998</v>
      </c>
      <c r="CR61" s="106">
        <v>4</v>
      </c>
      <c r="CS61" s="106">
        <v>3806.3999999999996</v>
      </c>
      <c r="CT61" s="106">
        <v>4</v>
      </c>
      <c r="CU61" s="106">
        <v>3806.3999999999996</v>
      </c>
    </row>
    <row r="62" spans="2:99" x14ac:dyDescent="0.2">
      <c r="C62" s="105" t="s">
        <v>228</v>
      </c>
      <c r="D62" s="106">
        <v>5</v>
      </c>
      <c r="E62" s="106">
        <v>8526</v>
      </c>
      <c r="F62" s="106">
        <v>6</v>
      </c>
      <c r="G62" s="106">
        <v>10231.200000000001</v>
      </c>
      <c r="H62" s="106">
        <v>6</v>
      </c>
      <c r="I62" s="106">
        <v>10231.200000000001</v>
      </c>
      <c r="J62" s="106">
        <v>4</v>
      </c>
      <c r="K62" s="106">
        <v>6820.8</v>
      </c>
      <c r="L62" s="106">
        <v>17</v>
      </c>
      <c r="M62" s="106">
        <v>28988.400000000001</v>
      </c>
      <c r="N62" s="106">
        <v>29</v>
      </c>
      <c r="O62" s="106">
        <v>49450.8</v>
      </c>
      <c r="P62" s="106">
        <v>22</v>
      </c>
      <c r="Q62" s="106">
        <v>37514.400000000001</v>
      </c>
      <c r="R62" s="106">
        <v>33</v>
      </c>
      <c r="S62" s="106">
        <v>56271.6</v>
      </c>
      <c r="T62" s="106">
        <v>5</v>
      </c>
      <c r="U62" s="106">
        <v>8526</v>
      </c>
      <c r="V62" s="106">
        <v>4</v>
      </c>
      <c r="W62" s="106">
        <v>6820.8</v>
      </c>
      <c r="X62" s="106">
        <v>4</v>
      </c>
      <c r="Y62" s="106">
        <v>6820.8</v>
      </c>
      <c r="Z62" s="106">
        <v>4</v>
      </c>
      <c r="AA62" s="106">
        <v>6820.8</v>
      </c>
      <c r="AB62" s="106">
        <v>6</v>
      </c>
      <c r="AC62" s="106">
        <v>10231.200000000001</v>
      </c>
      <c r="AD62" s="106">
        <v>8</v>
      </c>
      <c r="AE62" s="106">
        <v>13641.6</v>
      </c>
      <c r="AF62" s="106">
        <v>6</v>
      </c>
      <c r="AG62" s="106">
        <v>10231.200000000001</v>
      </c>
      <c r="AH62" s="106">
        <v>7</v>
      </c>
      <c r="AI62" s="106">
        <v>11936.4</v>
      </c>
      <c r="AJ62" s="106">
        <v>4</v>
      </c>
      <c r="AK62" s="106">
        <v>6820.8</v>
      </c>
      <c r="AL62" s="106">
        <v>5</v>
      </c>
      <c r="AM62" s="106">
        <v>8526</v>
      </c>
      <c r="AN62" s="106">
        <v>4</v>
      </c>
      <c r="AO62" s="106">
        <v>6820.8</v>
      </c>
      <c r="AP62" s="106">
        <v>8</v>
      </c>
      <c r="AQ62" s="106">
        <v>13641.6</v>
      </c>
      <c r="AR62" s="106">
        <v>4</v>
      </c>
      <c r="AS62" s="106">
        <v>6820.8</v>
      </c>
      <c r="AT62" s="106">
        <v>4</v>
      </c>
      <c r="AU62" s="106">
        <v>6820.8</v>
      </c>
      <c r="AV62" s="106">
        <v>5</v>
      </c>
      <c r="AW62" s="106">
        <v>8526</v>
      </c>
      <c r="AX62" s="106">
        <v>4</v>
      </c>
      <c r="AY62" s="106">
        <v>6820.8</v>
      </c>
      <c r="AZ62" s="106">
        <v>5</v>
      </c>
      <c r="BA62" s="106">
        <v>8526</v>
      </c>
      <c r="BB62" s="106">
        <v>5</v>
      </c>
      <c r="BC62" s="106">
        <v>8526</v>
      </c>
      <c r="BD62" s="106">
        <v>8</v>
      </c>
      <c r="BE62" s="106">
        <v>13641.6</v>
      </c>
      <c r="BF62" s="106">
        <v>5</v>
      </c>
      <c r="BG62" s="106">
        <v>8526</v>
      </c>
      <c r="BH62" s="106">
        <v>4</v>
      </c>
      <c r="BI62" s="106">
        <v>6820.8</v>
      </c>
      <c r="BJ62" s="106">
        <v>3</v>
      </c>
      <c r="BK62" s="106">
        <v>5115.6000000000004</v>
      </c>
      <c r="BL62" s="106">
        <v>4</v>
      </c>
      <c r="BM62" s="106">
        <v>6820.8</v>
      </c>
      <c r="BN62" s="106">
        <v>4</v>
      </c>
      <c r="BO62" s="106">
        <v>6820.8</v>
      </c>
      <c r="BP62" s="106">
        <v>3</v>
      </c>
      <c r="BQ62" s="106">
        <v>5115.6000000000004</v>
      </c>
      <c r="BR62" s="106">
        <v>4</v>
      </c>
      <c r="BS62" s="106">
        <v>6820.8</v>
      </c>
      <c r="BT62" s="106">
        <v>2</v>
      </c>
      <c r="BU62" s="106">
        <v>3410.4</v>
      </c>
      <c r="BV62" s="106">
        <v>3</v>
      </c>
      <c r="BW62" s="106">
        <v>5115.6000000000004</v>
      </c>
      <c r="BX62" s="106">
        <v>55</v>
      </c>
      <c r="BY62" s="106">
        <v>93786</v>
      </c>
      <c r="BZ62" s="106">
        <v>36</v>
      </c>
      <c r="CA62" s="106">
        <v>61387.200000000004</v>
      </c>
      <c r="CB62" s="106">
        <v>44</v>
      </c>
      <c r="CC62" s="106">
        <v>75028.800000000003</v>
      </c>
      <c r="CD62" s="106">
        <v>33</v>
      </c>
      <c r="CE62" s="106">
        <v>56271.6</v>
      </c>
      <c r="CF62" s="106">
        <v>26</v>
      </c>
      <c r="CG62" s="106">
        <v>44335.200000000004</v>
      </c>
      <c r="CH62" s="106">
        <v>16</v>
      </c>
      <c r="CI62" s="106">
        <v>27283.200000000001</v>
      </c>
      <c r="CJ62" s="106">
        <v>16</v>
      </c>
      <c r="CK62" s="106">
        <v>27283.200000000001</v>
      </c>
      <c r="CL62" s="106">
        <v>16</v>
      </c>
      <c r="CM62" s="106">
        <v>27283.200000000001</v>
      </c>
      <c r="CN62" s="106">
        <v>3</v>
      </c>
      <c r="CO62" s="106">
        <v>5115.6000000000004</v>
      </c>
      <c r="CP62" s="106">
        <v>2</v>
      </c>
      <c r="CQ62" s="106">
        <v>3410.4</v>
      </c>
      <c r="CR62" s="106">
        <v>4</v>
      </c>
      <c r="CS62" s="106">
        <v>6820.8</v>
      </c>
      <c r="CT62" s="106">
        <v>4</v>
      </c>
      <c r="CU62" s="106">
        <v>6820.8</v>
      </c>
    </row>
    <row r="63" spans="2:99" x14ac:dyDescent="0.2">
      <c r="C63" s="105" t="s">
        <v>229</v>
      </c>
      <c r="D63" s="106">
        <v>5</v>
      </c>
      <c r="E63" s="106">
        <v>3978</v>
      </c>
      <c r="F63" s="106">
        <v>6</v>
      </c>
      <c r="G63" s="106">
        <v>4773.6000000000004</v>
      </c>
      <c r="H63" s="106">
        <v>6</v>
      </c>
      <c r="I63" s="106">
        <v>4773.6000000000004</v>
      </c>
      <c r="J63" s="106">
        <v>4</v>
      </c>
      <c r="K63" s="106">
        <v>3182.4</v>
      </c>
      <c r="L63" s="106">
        <v>20</v>
      </c>
      <c r="M63" s="106">
        <v>15912</v>
      </c>
      <c r="N63" s="106">
        <v>33</v>
      </c>
      <c r="O63" s="106">
        <v>26254.799999999999</v>
      </c>
      <c r="P63" s="106">
        <v>23</v>
      </c>
      <c r="Q63" s="106">
        <v>18298.8</v>
      </c>
      <c r="R63" s="106">
        <v>39</v>
      </c>
      <c r="S63" s="106">
        <v>31028.400000000001</v>
      </c>
      <c r="T63" s="106">
        <v>5</v>
      </c>
      <c r="U63" s="106">
        <v>3978</v>
      </c>
      <c r="V63" s="106">
        <v>4</v>
      </c>
      <c r="W63" s="106">
        <v>3182.4</v>
      </c>
      <c r="X63" s="106">
        <v>4</v>
      </c>
      <c r="Y63" s="106">
        <v>3182.4</v>
      </c>
      <c r="Z63" s="106">
        <v>4</v>
      </c>
      <c r="AA63" s="106">
        <v>3182.4</v>
      </c>
      <c r="AB63" s="106">
        <v>6</v>
      </c>
      <c r="AC63" s="106">
        <v>4773.6000000000004</v>
      </c>
      <c r="AD63" s="106">
        <v>8</v>
      </c>
      <c r="AE63" s="106">
        <v>6364.8</v>
      </c>
      <c r="AF63" s="106">
        <v>6</v>
      </c>
      <c r="AG63" s="106">
        <v>4773.6000000000004</v>
      </c>
      <c r="AH63" s="106">
        <v>9</v>
      </c>
      <c r="AI63" s="106">
        <v>7160.4000000000005</v>
      </c>
      <c r="AJ63" s="106">
        <v>5</v>
      </c>
      <c r="AK63" s="106">
        <v>3978</v>
      </c>
      <c r="AL63" s="106">
        <v>6</v>
      </c>
      <c r="AM63" s="106">
        <v>4773.6000000000004</v>
      </c>
      <c r="AN63" s="106">
        <v>5</v>
      </c>
      <c r="AO63" s="106">
        <v>3978</v>
      </c>
      <c r="AP63" s="106">
        <v>8</v>
      </c>
      <c r="AQ63" s="106">
        <v>6364.8</v>
      </c>
      <c r="AR63" s="106">
        <v>4</v>
      </c>
      <c r="AS63" s="106">
        <v>3182.4</v>
      </c>
      <c r="AT63" s="106">
        <v>5</v>
      </c>
      <c r="AU63" s="106">
        <v>3978</v>
      </c>
      <c r="AV63" s="106">
        <v>5</v>
      </c>
      <c r="AW63" s="106">
        <v>3978</v>
      </c>
      <c r="AX63" s="106">
        <v>4</v>
      </c>
      <c r="AY63" s="106">
        <v>3182.4</v>
      </c>
      <c r="AZ63" s="106">
        <v>7</v>
      </c>
      <c r="BA63" s="106">
        <v>5569.2</v>
      </c>
      <c r="BB63" s="106">
        <v>6</v>
      </c>
      <c r="BC63" s="106">
        <v>4773.6000000000004</v>
      </c>
      <c r="BD63" s="106">
        <v>9</v>
      </c>
      <c r="BE63" s="106">
        <v>7160.4000000000005</v>
      </c>
      <c r="BF63" s="106">
        <v>5</v>
      </c>
      <c r="BG63" s="106">
        <v>3978</v>
      </c>
      <c r="BH63" s="106">
        <v>4</v>
      </c>
      <c r="BI63" s="106">
        <v>3182.4</v>
      </c>
      <c r="BJ63" s="106">
        <v>3</v>
      </c>
      <c r="BK63" s="106">
        <v>2386.8000000000002</v>
      </c>
      <c r="BL63" s="106">
        <v>4</v>
      </c>
      <c r="BM63" s="106">
        <v>3182.4</v>
      </c>
      <c r="BN63" s="106">
        <v>4</v>
      </c>
      <c r="BO63" s="106">
        <v>3182.4</v>
      </c>
      <c r="BP63" s="106">
        <v>3</v>
      </c>
      <c r="BQ63" s="106">
        <v>2386.8000000000002</v>
      </c>
      <c r="BR63" s="106">
        <v>3</v>
      </c>
      <c r="BS63" s="106">
        <v>2386.8000000000002</v>
      </c>
      <c r="BT63" s="106">
        <v>3</v>
      </c>
      <c r="BU63" s="106">
        <v>2386.8000000000002</v>
      </c>
      <c r="BV63" s="106">
        <v>3</v>
      </c>
      <c r="BW63" s="106">
        <v>2386.8000000000002</v>
      </c>
      <c r="BX63" s="106">
        <v>62</v>
      </c>
      <c r="BY63" s="106">
        <v>49327.200000000004</v>
      </c>
      <c r="BZ63" s="106">
        <v>51</v>
      </c>
      <c r="CA63" s="106">
        <v>40575.599999999999</v>
      </c>
      <c r="CB63" s="106">
        <v>61</v>
      </c>
      <c r="CC63" s="106">
        <v>48531.6</v>
      </c>
      <c r="CD63" s="106">
        <v>45</v>
      </c>
      <c r="CE63" s="106">
        <v>35802</v>
      </c>
      <c r="CF63" s="106">
        <v>26</v>
      </c>
      <c r="CG63" s="106">
        <v>20685.600000000002</v>
      </c>
      <c r="CH63" s="106">
        <v>18</v>
      </c>
      <c r="CI63" s="106">
        <v>14320.800000000001</v>
      </c>
      <c r="CJ63" s="106">
        <v>17</v>
      </c>
      <c r="CK63" s="106">
        <v>13525.2</v>
      </c>
      <c r="CL63" s="106">
        <v>16</v>
      </c>
      <c r="CM63" s="106">
        <v>12729.6</v>
      </c>
      <c r="CN63" s="106">
        <v>4</v>
      </c>
      <c r="CO63" s="106">
        <v>3182.4</v>
      </c>
      <c r="CP63" s="106">
        <v>2</v>
      </c>
      <c r="CQ63" s="106">
        <v>1591.2</v>
      </c>
      <c r="CR63" s="106">
        <v>4</v>
      </c>
      <c r="CS63" s="106">
        <v>3182.4</v>
      </c>
      <c r="CT63" s="106">
        <v>4</v>
      </c>
      <c r="CU63" s="106">
        <v>3182.4</v>
      </c>
    </row>
    <row r="64" spans="2:99" x14ac:dyDescent="0.2">
      <c r="C64" s="105" t="s">
        <v>230</v>
      </c>
      <c r="D64" s="106">
        <v>6</v>
      </c>
      <c r="E64" s="106">
        <v>6055.1999999999989</v>
      </c>
      <c r="F64" s="106">
        <v>6</v>
      </c>
      <c r="G64" s="106">
        <v>6055.1999999999989</v>
      </c>
      <c r="H64" s="106">
        <v>6</v>
      </c>
      <c r="I64" s="106">
        <v>6055.1999999999989</v>
      </c>
      <c r="J64" s="106">
        <v>5</v>
      </c>
      <c r="K64" s="106">
        <v>5045.9999999999991</v>
      </c>
      <c r="L64" s="106">
        <v>21</v>
      </c>
      <c r="M64" s="106">
        <v>21193.199999999997</v>
      </c>
      <c r="N64" s="106">
        <v>36</v>
      </c>
      <c r="O64" s="106">
        <v>36331.199999999997</v>
      </c>
      <c r="P64" s="106">
        <v>24</v>
      </c>
      <c r="Q64" s="106">
        <v>24220.799999999996</v>
      </c>
      <c r="R64" s="106">
        <v>35</v>
      </c>
      <c r="S64" s="106">
        <v>35321.999999999993</v>
      </c>
      <c r="T64" s="106">
        <v>4</v>
      </c>
      <c r="U64" s="106">
        <v>4036.7999999999993</v>
      </c>
      <c r="V64" s="106">
        <v>4</v>
      </c>
      <c r="W64" s="106">
        <v>4036.7999999999993</v>
      </c>
      <c r="X64" s="106">
        <v>4</v>
      </c>
      <c r="Y64" s="106">
        <v>4036.7999999999993</v>
      </c>
      <c r="Z64" s="106">
        <v>4</v>
      </c>
      <c r="AA64" s="106">
        <v>4036.7999999999993</v>
      </c>
      <c r="AB64" s="106">
        <v>6</v>
      </c>
      <c r="AC64" s="106">
        <v>6055.1999999999989</v>
      </c>
      <c r="AD64" s="106">
        <v>8</v>
      </c>
      <c r="AE64" s="106">
        <v>8073.5999999999985</v>
      </c>
      <c r="AF64" s="106">
        <v>6</v>
      </c>
      <c r="AG64" s="106">
        <v>6055.1999999999989</v>
      </c>
      <c r="AH64" s="106">
        <v>8</v>
      </c>
      <c r="AI64" s="106">
        <v>8073.5999999999985</v>
      </c>
      <c r="AJ64" s="106">
        <v>5</v>
      </c>
      <c r="AK64" s="106">
        <v>5045.9999999999991</v>
      </c>
      <c r="AL64" s="106">
        <v>6</v>
      </c>
      <c r="AM64" s="106">
        <v>6055.1999999999989</v>
      </c>
      <c r="AN64" s="106">
        <v>5</v>
      </c>
      <c r="AO64" s="106">
        <v>5045.9999999999991</v>
      </c>
      <c r="AP64" s="106">
        <v>9</v>
      </c>
      <c r="AQ64" s="106">
        <v>9082.7999999999993</v>
      </c>
      <c r="AR64" s="106">
        <v>4</v>
      </c>
      <c r="AS64" s="106">
        <v>4036.7999999999993</v>
      </c>
      <c r="AT64" s="106">
        <v>5</v>
      </c>
      <c r="AU64" s="106">
        <v>5045.9999999999991</v>
      </c>
      <c r="AV64" s="106">
        <v>5</v>
      </c>
      <c r="AW64" s="106">
        <v>5045.9999999999991</v>
      </c>
      <c r="AX64" s="106">
        <v>4</v>
      </c>
      <c r="AY64" s="106">
        <v>4036.7999999999993</v>
      </c>
      <c r="AZ64" s="106">
        <v>7</v>
      </c>
      <c r="BA64" s="106">
        <v>7064.3999999999987</v>
      </c>
      <c r="BB64" s="106">
        <v>6</v>
      </c>
      <c r="BC64" s="106">
        <v>6055.1999999999989</v>
      </c>
      <c r="BD64" s="106">
        <v>8</v>
      </c>
      <c r="BE64" s="106">
        <v>8073.5999999999985</v>
      </c>
      <c r="BF64" s="106">
        <v>5</v>
      </c>
      <c r="BG64" s="106">
        <v>5045.9999999999991</v>
      </c>
      <c r="BH64" s="106">
        <v>5</v>
      </c>
      <c r="BI64" s="106">
        <v>5045.9999999999991</v>
      </c>
      <c r="BJ64" s="106">
        <v>3</v>
      </c>
      <c r="BK64" s="106">
        <v>3027.5999999999995</v>
      </c>
      <c r="BL64" s="106">
        <v>4</v>
      </c>
      <c r="BM64" s="106">
        <v>4036.7999999999993</v>
      </c>
      <c r="BN64" s="106">
        <v>5</v>
      </c>
      <c r="BO64" s="106">
        <v>5045.9999999999991</v>
      </c>
      <c r="BP64" s="106">
        <v>3</v>
      </c>
      <c r="BQ64" s="106">
        <v>3027.5999999999995</v>
      </c>
      <c r="BR64" s="106">
        <v>3</v>
      </c>
      <c r="BS64" s="106">
        <v>3027.5999999999995</v>
      </c>
      <c r="BT64" s="106">
        <v>3</v>
      </c>
      <c r="BU64" s="106">
        <v>3027.5999999999995</v>
      </c>
      <c r="BV64" s="106">
        <v>3</v>
      </c>
      <c r="BW64" s="106">
        <v>3027.5999999999995</v>
      </c>
      <c r="BX64" s="106">
        <v>58</v>
      </c>
      <c r="BY64" s="106">
        <v>58533.599999999991</v>
      </c>
      <c r="BZ64" s="106">
        <v>46</v>
      </c>
      <c r="CA64" s="106">
        <v>46423.19999999999</v>
      </c>
      <c r="CB64" s="106">
        <v>55</v>
      </c>
      <c r="CC64" s="106">
        <v>55505.999999999993</v>
      </c>
      <c r="CD64" s="106">
        <v>41</v>
      </c>
      <c r="CE64" s="106">
        <v>41377.19999999999</v>
      </c>
      <c r="CF64" s="106">
        <v>28</v>
      </c>
      <c r="CG64" s="106">
        <v>28257.599999999995</v>
      </c>
      <c r="CH64" s="106">
        <v>19</v>
      </c>
      <c r="CI64" s="106">
        <v>19174.799999999996</v>
      </c>
      <c r="CJ64" s="106">
        <v>16</v>
      </c>
      <c r="CK64" s="106">
        <v>16147.199999999997</v>
      </c>
      <c r="CL64" s="106">
        <v>15</v>
      </c>
      <c r="CM64" s="106">
        <v>15137.999999999996</v>
      </c>
      <c r="CN64" s="106">
        <v>3</v>
      </c>
      <c r="CO64" s="106">
        <v>3027.5999999999995</v>
      </c>
      <c r="CP64" s="106">
        <v>2</v>
      </c>
      <c r="CQ64" s="106">
        <v>2018.3999999999996</v>
      </c>
      <c r="CR64" s="106">
        <v>4</v>
      </c>
      <c r="CS64" s="106">
        <v>4036.7999999999993</v>
      </c>
      <c r="CT64" s="106">
        <v>4</v>
      </c>
      <c r="CU64" s="106">
        <v>4036.7999999999993</v>
      </c>
    </row>
    <row r="65" spans="2:99" x14ac:dyDescent="0.2">
      <c r="C65" s="105" t="s">
        <v>231</v>
      </c>
      <c r="D65" s="106">
        <v>5</v>
      </c>
      <c r="E65" s="106">
        <v>5130</v>
      </c>
      <c r="F65" s="106">
        <v>6</v>
      </c>
      <c r="G65" s="106">
        <v>6156</v>
      </c>
      <c r="H65" s="106">
        <v>6</v>
      </c>
      <c r="I65" s="106">
        <v>6156</v>
      </c>
      <c r="J65" s="106">
        <v>5</v>
      </c>
      <c r="K65" s="106">
        <v>5130</v>
      </c>
      <c r="L65" s="106">
        <v>17</v>
      </c>
      <c r="M65" s="106">
        <v>17442</v>
      </c>
      <c r="N65" s="106">
        <v>34</v>
      </c>
      <c r="O65" s="106">
        <v>34884</v>
      </c>
      <c r="P65" s="106">
        <v>21</v>
      </c>
      <c r="Q65" s="106">
        <v>21546</v>
      </c>
      <c r="R65" s="106">
        <v>34</v>
      </c>
      <c r="S65" s="106">
        <v>34884</v>
      </c>
      <c r="T65" s="106">
        <v>5</v>
      </c>
      <c r="U65" s="106">
        <v>5130</v>
      </c>
      <c r="V65" s="106">
        <v>4</v>
      </c>
      <c r="W65" s="106">
        <v>4104</v>
      </c>
      <c r="X65" s="106">
        <v>4</v>
      </c>
      <c r="Y65" s="106">
        <v>4104</v>
      </c>
      <c r="Z65" s="106">
        <v>4</v>
      </c>
      <c r="AA65" s="106">
        <v>4104</v>
      </c>
      <c r="AB65" s="106">
        <v>6</v>
      </c>
      <c r="AC65" s="106">
        <v>6156</v>
      </c>
      <c r="AD65" s="106">
        <v>8</v>
      </c>
      <c r="AE65" s="106">
        <v>8208</v>
      </c>
      <c r="AF65" s="106">
        <v>6</v>
      </c>
      <c r="AG65" s="106">
        <v>6156</v>
      </c>
      <c r="AH65" s="106">
        <v>9</v>
      </c>
      <c r="AI65" s="106">
        <v>9234</v>
      </c>
      <c r="AJ65" s="106">
        <v>4</v>
      </c>
      <c r="AK65" s="106">
        <v>4104</v>
      </c>
      <c r="AL65" s="106">
        <v>6</v>
      </c>
      <c r="AM65" s="106">
        <v>6156</v>
      </c>
      <c r="AN65" s="106">
        <v>5</v>
      </c>
      <c r="AO65" s="106">
        <v>5130</v>
      </c>
      <c r="AP65" s="106">
        <v>8</v>
      </c>
      <c r="AQ65" s="106">
        <v>8208</v>
      </c>
      <c r="AR65" s="106">
        <v>4</v>
      </c>
      <c r="AS65" s="106">
        <v>4104</v>
      </c>
      <c r="AT65" s="106">
        <v>4</v>
      </c>
      <c r="AU65" s="106">
        <v>4104</v>
      </c>
      <c r="AV65" s="106">
        <v>4</v>
      </c>
      <c r="AW65" s="106">
        <v>4104</v>
      </c>
      <c r="AX65" s="106">
        <v>4</v>
      </c>
      <c r="AY65" s="106">
        <v>4104</v>
      </c>
      <c r="AZ65" s="106">
        <v>6</v>
      </c>
      <c r="BA65" s="106">
        <v>6156</v>
      </c>
      <c r="BB65" s="106">
        <v>6</v>
      </c>
      <c r="BC65" s="106">
        <v>6156</v>
      </c>
      <c r="BD65" s="106">
        <v>9</v>
      </c>
      <c r="BE65" s="106">
        <v>9234</v>
      </c>
      <c r="BF65" s="106">
        <v>5</v>
      </c>
      <c r="BG65" s="106">
        <v>5130</v>
      </c>
      <c r="BH65" s="106">
        <v>4</v>
      </c>
      <c r="BI65" s="106">
        <v>4104</v>
      </c>
      <c r="BJ65" s="106">
        <v>3</v>
      </c>
      <c r="BK65" s="106">
        <v>3078</v>
      </c>
      <c r="BL65" s="106">
        <v>4</v>
      </c>
      <c r="BM65" s="106">
        <v>4104</v>
      </c>
      <c r="BN65" s="106">
        <v>5</v>
      </c>
      <c r="BO65" s="106">
        <v>5130</v>
      </c>
      <c r="BP65" s="106">
        <v>3</v>
      </c>
      <c r="BQ65" s="106">
        <v>3078</v>
      </c>
      <c r="BR65" s="106">
        <v>4</v>
      </c>
      <c r="BS65" s="106">
        <v>4104</v>
      </c>
      <c r="BT65" s="106">
        <v>3</v>
      </c>
      <c r="BU65" s="106">
        <v>3078</v>
      </c>
      <c r="BV65" s="106">
        <v>3</v>
      </c>
      <c r="BW65" s="106">
        <v>3078</v>
      </c>
      <c r="BX65" s="106">
        <v>65</v>
      </c>
      <c r="BY65" s="106">
        <v>66690</v>
      </c>
      <c r="BZ65" s="106">
        <v>45</v>
      </c>
      <c r="CA65" s="106">
        <v>46170</v>
      </c>
      <c r="CB65" s="106">
        <v>59</v>
      </c>
      <c r="CC65" s="106">
        <v>60534</v>
      </c>
      <c r="CD65" s="106">
        <v>37</v>
      </c>
      <c r="CE65" s="106">
        <v>37962</v>
      </c>
      <c r="CF65" s="106">
        <v>27</v>
      </c>
      <c r="CG65" s="106">
        <v>27702</v>
      </c>
      <c r="CH65" s="106">
        <v>18</v>
      </c>
      <c r="CI65" s="106">
        <v>18468</v>
      </c>
      <c r="CJ65" s="106">
        <v>18</v>
      </c>
      <c r="CK65" s="106">
        <v>18468</v>
      </c>
      <c r="CL65" s="106">
        <v>16</v>
      </c>
      <c r="CM65" s="106">
        <v>16416</v>
      </c>
      <c r="CN65" s="106">
        <v>3</v>
      </c>
      <c r="CO65" s="106">
        <v>3078</v>
      </c>
      <c r="CP65" s="106">
        <v>2</v>
      </c>
      <c r="CQ65" s="106">
        <v>2052</v>
      </c>
      <c r="CR65" s="106">
        <v>4</v>
      </c>
      <c r="CS65" s="106">
        <v>4104</v>
      </c>
      <c r="CT65" s="106">
        <v>3</v>
      </c>
      <c r="CU65" s="106">
        <v>3078</v>
      </c>
    </row>
    <row r="66" spans="2:99" x14ac:dyDescent="0.2">
      <c r="C66" s="105" t="s">
        <v>232</v>
      </c>
      <c r="D66" s="106">
        <v>5</v>
      </c>
      <c r="E66" s="106">
        <v>5951.9999999999991</v>
      </c>
      <c r="F66" s="106">
        <v>5</v>
      </c>
      <c r="G66" s="106">
        <v>5951.9999999999991</v>
      </c>
      <c r="H66" s="106">
        <v>7</v>
      </c>
      <c r="I66" s="106">
        <v>8332.7999999999993</v>
      </c>
      <c r="J66" s="106">
        <v>5</v>
      </c>
      <c r="K66" s="106">
        <v>5951.9999999999991</v>
      </c>
      <c r="L66" s="106">
        <v>18</v>
      </c>
      <c r="M66" s="106">
        <v>21427.199999999997</v>
      </c>
      <c r="N66" s="106">
        <v>35</v>
      </c>
      <c r="O66" s="106">
        <v>41663.999999999993</v>
      </c>
      <c r="P66" s="106">
        <v>20</v>
      </c>
      <c r="Q66" s="106">
        <v>23807.999999999996</v>
      </c>
      <c r="R66" s="106">
        <v>34</v>
      </c>
      <c r="S66" s="106">
        <v>40473.599999999999</v>
      </c>
      <c r="T66" s="106">
        <v>4</v>
      </c>
      <c r="U66" s="106">
        <v>4761.5999999999995</v>
      </c>
      <c r="V66" s="106">
        <v>4</v>
      </c>
      <c r="W66" s="106">
        <v>4761.5999999999995</v>
      </c>
      <c r="X66" s="106">
        <v>4</v>
      </c>
      <c r="Y66" s="106">
        <v>4761.5999999999995</v>
      </c>
      <c r="Z66" s="106">
        <v>4</v>
      </c>
      <c r="AA66" s="106">
        <v>4761.5999999999995</v>
      </c>
      <c r="AB66" s="106">
        <v>6</v>
      </c>
      <c r="AC66" s="106">
        <v>7142.4</v>
      </c>
      <c r="AD66" s="106">
        <v>7</v>
      </c>
      <c r="AE66" s="106">
        <v>8332.7999999999993</v>
      </c>
      <c r="AF66" s="106">
        <v>6</v>
      </c>
      <c r="AG66" s="106">
        <v>7142.4</v>
      </c>
      <c r="AH66" s="106">
        <v>8</v>
      </c>
      <c r="AI66" s="106">
        <v>9523.1999999999989</v>
      </c>
      <c r="AJ66" s="106">
        <v>4</v>
      </c>
      <c r="AK66" s="106">
        <v>4761.5999999999995</v>
      </c>
      <c r="AL66" s="106">
        <v>5</v>
      </c>
      <c r="AM66" s="106">
        <v>5951.9999999999991</v>
      </c>
      <c r="AN66" s="106">
        <v>4</v>
      </c>
      <c r="AO66" s="106">
        <v>4761.5999999999995</v>
      </c>
      <c r="AP66" s="106">
        <v>9</v>
      </c>
      <c r="AQ66" s="106">
        <v>10713.599999999999</v>
      </c>
      <c r="AR66" s="106">
        <v>4</v>
      </c>
      <c r="AS66" s="106">
        <v>4761.5999999999995</v>
      </c>
      <c r="AT66" s="106">
        <v>5</v>
      </c>
      <c r="AU66" s="106">
        <v>5951.9999999999991</v>
      </c>
      <c r="AV66" s="106">
        <v>4</v>
      </c>
      <c r="AW66" s="106">
        <v>4761.5999999999995</v>
      </c>
      <c r="AX66" s="106">
        <v>4</v>
      </c>
      <c r="AY66" s="106">
        <v>4761.5999999999995</v>
      </c>
      <c r="AZ66" s="106">
        <v>6</v>
      </c>
      <c r="BA66" s="106">
        <v>7142.4</v>
      </c>
      <c r="BB66" s="106">
        <v>7</v>
      </c>
      <c r="BC66" s="106">
        <v>8332.7999999999993</v>
      </c>
      <c r="BD66" s="106">
        <v>9</v>
      </c>
      <c r="BE66" s="106">
        <v>10713.599999999999</v>
      </c>
      <c r="BF66" s="106">
        <v>6</v>
      </c>
      <c r="BG66" s="106">
        <v>7142.4</v>
      </c>
      <c r="BH66" s="106">
        <v>4</v>
      </c>
      <c r="BI66" s="106">
        <v>4761.5999999999995</v>
      </c>
      <c r="BJ66" s="106">
        <v>3</v>
      </c>
      <c r="BK66" s="106">
        <v>3571.2</v>
      </c>
      <c r="BL66" s="106">
        <v>4</v>
      </c>
      <c r="BM66" s="106">
        <v>4761.5999999999995</v>
      </c>
      <c r="BN66" s="106">
        <v>4</v>
      </c>
      <c r="BO66" s="106">
        <v>4761.5999999999995</v>
      </c>
      <c r="BP66" s="106">
        <v>3</v>
      </c>
      <c r="BQ66" s="106">
        <v>3571.2</v>
      </c>
      <c r="BR66" s="106">
        <v>4</v>
      </c>
      <c r="BS66" s="106">
        <v>4761.5999999999995</v>
      </c>
      <c r="BT66" s="106">
        <v>3</v>
      </c>
      <c r="BU66" s="106">
        <v>3571.2</v>
      </c>
      <c r="BV66" s="106">
        <v>3</v>
      </c>
      <c r="BW66" s="106">
        <v>3571.2</v>
      </c>
      <c r="BX66" s="106">
        <v>61</v>
      </c>
      <c r="BY66" s="106">
        <v>72614.399999999994</v>
      </c>
      <c r="BZ66" s="106">
        <v>40</v>
      </c>
      <c r="CA66" s="106">
        <v>47615.999999999993</v>
      </c>
      <c r="CB66" s="106">
        <v>58</v>
      </c>
      <c r="CC66" s="106">
        <v>69043.199999999997</v>
      </c>
      <c r="CD66" s="106">
        <v>40</v>
      </c>
      <c r="CE66" s="106">
        <v>47615.999999999993</v>
      </c>
      <c r="CF66" s="106">
        <v>25</v>
      </c>
      <c r="CG66" s="106">
        <v>29759.999999999996</v>
      </c>
      <c r="CH66" s="106">
        <v>16</v>
      </c>
      <c r="CI66" s="106">
        <v>19046.399999999998</v>
      </c>
      <c r="CJ66" s="106">
        <v>15</v>
      </c>
      <c r="CK66" s="106">
        <v>17855.999999999996</v>
      </c>
      <c r="CL66" s="106">
        <v>16</v>
      </c>
      <c r="CM66" s="106">
        <v>19046.399999999998</v>
      </c>
      <c r="CN66" s="106">
        <v>3</v>
      </c>
      <c r="CO66" s="106">
        <v>3571.2</v>
      </c>
      <c r="CP66" s="106">
        <v>2</v>
      </c>
      <c r="CQ66" s="106">
        <v>2380.7999999999997</v>
      </c>
      <c r="CR66" s="106">
        <v>4</v>
      </c>
      <c r="CS66" s="106">
        <v>4761.5999999999995</v>
      </c>
      <c r="CT66" s="106">
        <v>4</v>
      </c>
      <c r="CU66" s="106">
        <v>4761.5999999999995</v>
      </c>
    </row>
    <row r="67" spans="2:99" x14ac:dyDescent="0.2">
      <c r="C67" s="105" t="s">
        <v>233</v>
      </c>
      <c r="D67" s="106">
        <v>5</v>
      </c>
      <c r="E67" s="106">
        <v>5616</v>
      </c>
      <c r="F67" s="106">
        <v>6</v>
      </c>
      <c r="G67" s="106">
        <v>6739.2000000000007</v>
      </c>
      <c r="H67" s="106">
        <v>6</v>
      </c>
      <c r="I67" s="106">
        <v>6739.2000000000007</v>
      </c>
      <c r="J67" s="106">
        <v>5</v>
      </c>
      <c r="K67" s="106">
        <v>5616</v>
      </c>
      <c r="L67" s="106">
        <v>21</v>
      </c>
      <c r="M67" s="106">
        <v>23587.200000000001</v>
      </c>
      <c r="N67" s="106">
        <v>35</v>
      </c>
      <c r="O67" s="106">
        <v>39312</v>
      </c>
      <c r="P67" s="106">
        <v>24</v>
      </c>
      <c r="Q67" s="106">
        <v>26956.800000000003</v>
      </c>
      <c r="R67" s="106">
        <v>36</v>
      </c>
      <c r="S67" s="106">
        <v>40435.200000000004</v>
      </c>
      <c r="T67" s="106">
        <v>4</v>
      </c>
      <c r="U67" s="106">
        <v>4492.8</v>
      </c>
      <c r="V67" s="106">
        <v>4</v>
      </c>
      <c r="W67" s="106">
        <v>4492.8</v>
      </c>
      <c r="X67" s="106">
        <v>4</v>
      </c>
      <c r="Y67" s="106">
        <v>4492.8</v>
      </c>
      <c r="Z67" s="106">
        <v>4</v>
      </c>
      <c r="AA67" s="106">
        <v>4492.8</v>
      </c>
      <c r="AB67" s="106">
        <v>6</v>
      </c>
      <c r="AC67" s="106">
        <v>6739.2000000000007</v>
      </c>
      <c r="AD67" s="106">
        <v>7</v>
      </c>
      <c r="AE67" s="106">
        <v>7862.4000000000005</v>
      </c>
      <c r="AF67" s="106">
        <v>6</v>
      </c>
      <c r="AG67" s="106">
        <v>6739.2000000000007</v>
      </c>
      <c r="AH67" s="106">
        <v>9</v>
      </c>
      <c r="AI67" s="106">
        <v>10108.800000000001</v>
      </c>
      <c r="AJ67" s="106">
        <v>4</v>
      </c>
      <c r="AK67" s="106">
        <v>4492.8</v>
      </c>
      <c r="AL67" s="106">
        <v>5</v>
      </c>
      <c r="AM67" s="106">
        <v>5616</v>
      </c>
      <c r="AN67" s="106">
        <v>5</v>
      </c>
      <c r="AO67" s="106">
        <v>5616</v>
      </c>
      <c r="AP67" s="106">
        <v>8</v>
      </c>
      <c r="AQ67" s="106">
        <v>8985.6</v>
      </c>
      <c r="AR67" s="106">
        <v>4</v>
      </c>
      <c r="AS67" s="106">
        <v>4492.8</v>
      </c>
      <c r="AT67" s="106">
        <v>4</v>
      </c>
      <c r="AU67" s="106">
        <v>4492.8</v>
      </c>
      <c r="AV67" s="106">
        <v>4</v>
      </c>
      <c r="AW67" s="106">
        <v>4492.8</v>
      </c>
      <c r="AX67" s="106">
        <v>4</v>
      </c>
      <c r="AY67" s="106">
        <v>4492.8</v>
      </c>
      <c r="AZ67" s="106">
        <v>5</v>
      </c>
      <c r="BA67" s="106">
        <v>5616</v>
      </c>
      <c r="BB67" s="106">
        <v>7</v>
      </c>
      <c r="BC67" s="106">
        <v>7862.4000000000005</v>
      </c>
      <c r="BD67" s="106">
        <v>9</v>
      </c>
      <c r="BE67" s="106">
        <v>10108.800000000001</v>
      </c>
      <c r="BF67" s="106">
        <v>5</v>
      </c>
      <c r="BG67" s="106">
        <v>5616</v>
      </c>
      <c r="BH67" s="106">
        <v>4</v>
      </c>
      <c r="BI67" s="106">
        <v>4492.8</v>
      </c>
      <c r="BJ67" s="106">
        <v>3</v>
      </c>
      <c r="BK67" s="106">
        <v>3369.6000000000004</v>
      </c>
      <c r="BL67" s="106">
        <v>4</v>
      </c>
      <c r="BM67" s="106">
        <v>4492.8</v>
      </c>
      <c r="BN67" s="106">
        <v>4</v>
      </c>
      <c r="BO67" s="106">
        <v>4492.8</v>
      </c>
      <c r="BP67" s="106">
        <v>3</v>
      </c>
      <c r="BQ67" s="106">
        <v>3369.6000000000004</v>
      </c>
      <c r="BR67" s="106">
        <v>4</v>
      </c>
      <c r="BS67" s="106">
        <v>4492.8</v>
      </c>
      <c r="BT67" s="106">
        <v>3</v>
      </c>
      <c r="BU67" s="106">
        <v>3369.6000000000004</v>
      </c>
      <c r="BV67" s="106">
        <v>3</v>
      </c>
      <c r="BW67" s="106">
        <v>3369.6000000000004</v>
      </c>
      <c r="BX67" s="106">
        <v>62</v>
      </c>
      <c r="BY67" s="106">
        <v>69638.400000000009</v>
      </c>
      <c r="BZ67" s="106">
        <v>46</v>
      </c>
      <c r="CA67" s="106">
        <v>51667.200000000004</v>
      </c>
      <c r="CB67" s="106">
        <v>54</v>
      </c>
      <c r="CC67" s="106">
        <v>60652.800000000003</v>
      </c>
      <c r="CD67" s="106">
        <v>38</v>
      </c>
      <c r="CE67" s="106">
        <v>42681.599999999999</v>
      </c>
      <c r="CF67" s="106">
        <v>26</v>
      </c>
      <c r="CG67" s="106">
        <v>29203.200000000001</v>
      </c>
      <c r="CH67" s="106">
        <v>17</v>
      </c>
      <c r="CI67" s="106">
        <v>19094.400000000001</v>
      </c>
      <c r="CJ67" s="106">
        <v>17</v>
      </c>
      <c r="CK67" s="106">
        <v>19094.400000000001</v>
      </c>
      <c r="CL67" s="106">
        <v>17</v>
      </c>
      <c r="CM67" s="106">
        <v>19094.400000000001</v>
      </c>
      <c r="CN67" s="106">
        <v>3</v>
      </c>
      <c r="CO67" s="106">
        <v>3369.6000000000004</v>
      </c>
      <c r="CP67" s="106">
        <v>2</v>
      </c>
      <c r="CQ67" s="106">
        <v>2246.4</v>
      </c>
      <c r="CR67" s="106">
        <v>4</v>
      </c>
      <c r="CS67" s="106">
        <v>4492.8</v>
      </c>
      <c r="CT67" s="106">
        <v>4</v>
      </c>
      <c r="CU67" s="106">
        <v>4492.8</v>
      </c>
    </row>
    <row r="68" spans="2:99" x14ac:dyDescent="0.2">
      <c r="C68" s="105" t="s">
        <v>234</v>
      </c>
      <c r="D68" s="106">
        <v>5</v>
      </c>
      <c r="E68" s="106">
        <v>5166</v>
      </c>
      <c r="F68" s="106">
        <v>5</v>
      </c>
      <c r="G68" s="106">
        <v>5166</v>
      </c>
      <c r="H68" s="106">
        <v>6</v>
      </c>
      <c r="I68" s="106">
        <v>6199.2000000000007</v>
      </c>
      <c r="J68" s="106">
        <v>4</v>
      </c>
      <c r="K68" s="106">
        <v>4132.8</v>
      </c>
      <c r="L68" s="106">
        <v>19</v>
      </c>
      <c r="M68" s="106">
        <v>19630.8</v>
      </c>
      <c r="N68" s="106">
        <v>35</v>
      </c>
      <c r="O68" s="106">
        <v>36162</v>
      </c>
      <c r="P68" s="106">
        <v>21</v>
      </c>
      <c r="Q68" s="106">
        <v>21697.200000000001</v>
      </c>
      <c r="R68" s="106">
        <v>33</v>
      </c>
      <c r="S68" s="106">
        <v>34095.599999999999</v>
      </c>
      <c r="T68" s="106">
        <v>5</v>
      </c>
      <c r="U68" s="106">
        <v>5166</v>
      </c>
      <c r="V68" s="106">
        <v>4</v>
      </c>
      <c r="W68" s="106">
        <v>4132.8</v>
      </c>
      <c r="X68" s="106">
        <v>4</v>
      </c>
      <c r="Y68" s="106">
        <v>4132.8</v>
      </c>
      <c r="Z68" s="106">
        <v>4</v>
      </c>
      <c r="AA68" s="106">
        <v>4132.8</v>
      </c>
      <c r="AB68" s="106">
        <v>6</v>
      </c>
      <c r="AC68" s="106">
        <v>6199.2000000000007</v>
      </c>
      <c r="AD68" s="106">
        <v>9</v>
      </c>
      <c r="AE68" s="106">
        <v>9298.8000000000011</v>
      </c>
      <c r="AF68" s="106">
        <v>5</v>
      </c>
      <c r="AG68" s="106">
        <v>5166</v>
      </c>
      <c r="AH68" s="106">
        <v>8</v>
      </c>
      <c r="AI68" s="106">
        <v>8265.6</v>
      </c>
      <c r="AJ68" s="106">
        <v>5</v>
      </c>
      <c r="AK68" s="106">
        <v>5166</v>
      </c>
      <c r="AL68" s="106">
        <v>6</v>
      </c>
      <c r="AM68" s="106">
        <v>6199.2000000000007</v>
      </c>
      <c r="AN68" s="106">
        <v>5</v>
      </c>
      <c r="AO68" s="106">
        <v>5166</v>
      </c>
      <c r="AP68" s="106">
        <v>9</v>
      </c>
      <c r="AQ68" s="106">
        <v>9298.8000000000011</v>
      </c>
      <c r="AR68" s="106">
        <v>4</v>
      </c>
      <c r="AS68" s="106">
        <v>4132.8</v>
      </c>
      <c r="AT68" s="106">
        <v>4</v>
      </c>
      <c r="AU68" s="106">
        <v>4132.8</v>
      </c>
      <c r="AV68" s="106">
        <v>4</v>
      </c>
      <c r="AW68" s="106">
        <v>4132.8</v>
      </c>
      <c r="AX68" s="106">
        <v>4</v>
      </c>
      <c r="AY68" s="106">
        <v>4132.8</v>
      </c>
      <c r="AZ68" s="106">
        <v>6</v>
      </c>
      <c r="BA68" s="106">
        <v>6199.2000000000007</v>
      </c>
      <c r="BB68" s="106">
        <v>6</v>
      </c>
      <c r="BC68" s="106">
        <v>6199.2000000000007</v>
      </c>
      <c r="BD68" s="106">
        <v>9</v>
      </c>
      <c r="BE68" s="106">
        <v>9298.8000000000011</v>
      </c>
      <c r="BF68" s="106">
        <v>5</v>
      </c>
      <c r="BG68" s="106">
        <v>5166</v>
      </c>
      <c r="BH68" s="106">
        <v>4</v>
      </c>
      <c r="BI68" s="106">
        <v>4132.8</v>
      </c>
      <c r="BJ68" s="106">
        <v>3</v>
      </c>
      <c r="BK68" s="106">
        <v>3099.6000000000004</v>
      </c>
      <c r="BL68" s="106">
        <v>4</v>
      </c>
      <c r="BM68" s="106">
        <v>4132.8</v>
      </c>
      <c r="BN68" s="106">
        <v>5</v>
      </c>
      <c r="BO68" s="106">
        <v>5166</v>
      </c>
      <c r="BP68" s="106">
        <v>3</v>
      </c>
      <c r="BQ68" s="106">
        <v>3099.6000000000004</v>
      </c>
      <c r="BR68" s="106">
        <v>4</v>
      </c>
      <c r="BS68" s="106">
        <v>4132.8</v>
      </c>
      <c r="BT68" s="106">
        <v>3</v>
      </c>
      <c r="BU68" s="106">
        <v>3099.6000000000004</v>
      </c>
      <c r="BV68" s="106">
        <v>3</v>
      </c>
      <c r="BW68" s="106">
        <v>3099.6000000000004</v>
      </c>
      <c r="BX68" s="106">
        <v>57</v>
      </c>
      <c r="BY68" s="106">
        <v>58892.4</v>
      </c>
      <c r="BZ68" s="106">
        <v>41</v>
      </c>
      <c r="CA68" s="106">
        <v>42361.200000000004</v>
      </c>
      <c r="CB68" s="106">
        <v>61</v>
      </c>
      <c r="CC68" s="106">
        <v>63025.200000000004</v>
      </c>
      <c r="CD68" s="106">
        <v>38</v>
      </c>
      <c r="CE68" s="106">
        <v>39261.599999999999</v>
      </c>
      <c r="CF68" s="106">
        <v>25</v>
      </c>
      <c r="CG68" s="106">
        <v>25830</v>
      </c>
      <c r="CH68" s="106">
        <v>19</v>
      </c>
      <c r="CI68" s="106">
        <v>19630.8</v>
      </c>
      <c r="CJ68" s="106">
        <v>15</v>
      </c>
      <c r="CK68" s="106">
        <v>15498</v>
      </c>
      <c r="CL68" s="106">
        <v>17</v>
      </c>
      <c r="CM68" s="106">
        <v>17564.400000000001</v>
      </c>
      <c r="CN68" s="106">
        <v>3</v>
      </c>
      <c r="CO68" s="106">
        <v>3099.6000000000004</v>
      </c>
      <c r="CP68" s="106">
        <v>2</v>
      </c>
      <c r="CQ68" s="106">
        <v>2066.4</v>
      </c>
      <c r="CR68" s="106">
        <v>4</v>
      </c>
      <c r="CS68" s="106">
        <v>4132.8</v>
      </c>
      <c r="CT68" s="106">
        <v>4</v>
      </c>
      <c r="CU68" s="106">
        <v>4132.8</v>
      </c>
    </row>
    <row r="69" spans="2:99" x14ac:dyDescent="0.2">
      <c r="C69" s="105" t="s">
        <v>235</v>
      </c>
      <c r="D69" s="106">
        <v>5</v>
      </c>
      <c r="E69" s="106">
        <v>3792</v>
      </c>
      <c r="F69" s="106">
        <v>6</v>
      </c>
      <c r="G69" s="106">
        <v>4550.3999999999996</v>
      </c>
      <c r="H69" s="106">
        <v>7</v>
      </c>
      <c r="I69" s="106">
        <v>5308.8</v>
      </c>
      <c r="J69" s="106">
        <v>5</v>
      </c>
      <c r="K69" s="106">
        <v>3792</v>
      </c>
      <c r="L69" s="106">
        <v>21</v>
      </c>
      <c r="M69" s="106">
        <v>15926.4</v>
      </c>
      <c r="N69" s="106">
        <v>39</v>
      </c>
      <c r="O69" s="106">
        <v>29577.599999999999</v>
      </c>
      <c r="P69" s="106">
        <v>26</v>
      </c>
      <c r="Q69" s="106">
        <v>19718.399999999998</v>
      </c>
      <c r="R69" s="106">
        <v>40</v>
      </c>
      <c r="S69" s="106">
        <v>30336</v>
      </c>
      <c r="T69" s="106">
        <v>5</v>
      </c>
      <c r="U69" s="106">
        <v>3792</v>
      </c>
      <c r="V69" s="106">
        <v>4</v>
      </c>
      <c r="W69" s="106">
        <v>3033.6</v>
      </c>
      <c r="X69" s="106">
        <v>4</v>
      </c>
      <c r="Y69" s="106">
        <v>3033.6</v>
      </c>
      <c r="Z69" s="106">
        <v>4</v>
      </c>
      <c r="AA69" s="106">
        <v>3033.6</v>
      </c>
      <c r="AB69" s="106">
        <v>6</v>
      </c>
      <c r="AC69" s="106">
        <v>4550.3999999999996</v>
      </c>
      <c r="AD69" s="106">
        <v>8</v>
      </c>
      <c r="AE69" s="106">
        <v>6067.2</v>
      </c>
      <c r="AF69" s="106">
        <v>6</v>
      </c>
      <c r="AG69" s="106">
        <v>4550.3999999999996</v>
      </c>
      <c r="AH69" s="106">
        <v>8</v>
      </c>
      <c r="AI69" s="106">
        <v>6067.2</v>
      </c>
      <c r="AJ69" s="106">
        <v>4</v>
      </c>
      <c r="AK69" s="106">
        <v>3033.6</v>
      </c>
      <c r="AL69" s="106">
        <v>6</v>
      </c>
      <c r="AM69" s="106">
        <v>4550.3999999999996</v>
      </c>
      <c r="AN69" s="106">
        <v>5</v>
      </c>
      <c r="AO69" s="106">
        <v>3792</v>
      </c>
      <c r="AP69" s="106">
        <v>9</v>
      </c>
      <c r="AQ69" s="106">
        <v>6825.5999999999995</v>
      </c>
      <c r="AR69" s="106">
        <v>4</v>
      </c>
      <c r="AS69" s="106">
        <v>3033.6</v>
      </c>
      <c r="AT69" s="106">
        <v>5</v>
      </c>
      <c r="AU69" s="106">
        <v>3792</v>
      </c>
      <c r="AV69" s="106">
        <v>4</v>
      </c>
      <c r="AW69" s="106">
        <v>3033.6</v>
      </c>
      <c r="AX69" s="106">
        <v>4</v>
      </c>
      <c r="AY69" s="106">
        <v>3033.6</v>
      </c>
      <c r="AZ69" s="106">
        <v>6</v>
      </c>
      <c r="BA69" s="106">
        <v>4550.3999999999996</v>
      </c>
      <c r="BB69" s="106">
        <v>7</v>
      </c>
      <c r="BC69" s="106">
        <v>5308.8</v>
      </c>
      <c r="BD69" s="106">
        <v>10</v>
      </c>
      <c r="BE69" s="106">
        <v>7584</v>
      </c>
      <c r="BF69" s="106">
        <v>6</v>
      </c>
      <c r="BG69" s="106">
        <v>4550.3999999999996</v>
      </c>
      <c r="BH69" s="106">
        <v>4</v>
      </c>
      <c r="BI69" s="106">
        <v>3033.6</v>
      </c>
      <c r="BJ69" s="106">
        <v>3</v>
      </c>
      <c r="BK69" s="106">
        <v>2275.1999999999998</v>
      </c>
      <c r="BL69" s="106">
        <v>4</v>
      </c>
      <c r="BM69" s="106">
        <v>3033.6</v>
      </c>
      <c r="BN69" s="106">
        <v>5</v>
      </c>
      <c r="BO69" s="106">
        <v>3792</v>
      </c>
      <c r="BP69" s="106">
        <v>3</v>
      </c>
      <c r="BQ69" s="106">
        <v>2275.1999999999998</v>
      </c>
      <c r="BR69" s="106">
        <v>4</v>
      </c>
      <c r="BS69" s="106">
        <v>3033.6</v>
      </c>
      <c r="BT69" s="106">
        <v>3</v>
      </c>
      <c r="BU69" s="106">
        <v>2275.1999999999998</v>
      </c>
      <c r="BV69" s="106">
        <v>3</v>
      </c>
      <c r="BW69" s="106">
        <v>2275.1999999999998</v>
      </c>
      <c r="BX69" s="106">
        <v>71</v>
      </c>
      <c r="BY69" s="106">
        <v>53846.400000000001</v>
      </c>
      <c r="BZ69" s="106">
        <v>43</v>
      </c>
      <c r="CA69" s="106">
        <v>32611.200000000001</v>
      </c>
      <c r="CB69" s="106">
        <v>64</v>
      </c>
      <c r="CC69" s="106">
        <v>48537.599999999999</v>
      </c>
      <c r="CD69" s="106">
        <v>40</v>
      </c>
      <c r="CE69" s="106">
        <v>30336</v>
      </c>
      <c r="CF69" s="106">
        <v>26</v>
      </c>
      <c r="CG69" s="106">
        <v>19718.399999999998</v>
      </c>
      <c r="CH69" s="106">
        <v>20</v>
      </c>
      <c r="CI69" s="106">
        <v>15168</v>
      </c>
      <c r="CJ69" s="106">
        <v>16</v>
      </c>
      <c r="CK69" s="106">
        <v>12134.4</v>
      </c>
      <c r="CL69" s="106">
        <v>16</v>
      </c>
      <c r="CM69" s="106">
        <v>12134.4</v>
      </c>
      <c r="CN69" s="106">
        <v>4</v>
      </c>
      <c r="CO69" s="106">
        <v>3033.6</v>
      </c>
      <c r="CP69" s="106">
        <v>2</v>
      </c>
      <c r="CQ69" s="106">
        <v>1516.8</v>
      </c>
      <c r="CR69" s="106">
        <v>4</v>
      </c>
      <c r="CS69" s="106">
        <v>3033.6</v>
      </c>
      <c r="CT69" s="106">
        <v>4</v>
      </c>
      <c r="CU69" s="106">
        <v>3033.6</v>
      </c>
    </row>
    <row r="70" spans="2:99" x14ac:dyDescent="0.2">
      <c r="C70" s="105" t="s">
        <v>236</v>
      </c>
      <c r="D70" s="106">
        <v>5</v>
      </c>
      <c r="E70" s="106">
        <v>2675.9999999999995</v>
      </c>
      <c r="F70" s="106">
        <v>6</v>
      </c>
      <c r="G70" s="106">
        <v>3211.2</v>
      </c>
      <c r="H70" s="106">
        <v>6</v>
      </c>
      <c r="I70" s="106">
        <v>3211.2</v>
      </c>
      <c r="J70" s="106">
        <v>5</v>
      </c>
      <c r="K70" s="106">
        <v>2675.9999999999995</v>
      </c>
      <c r="L70" s="106">
        <v>20</v>
      </c>
      <c r="M70" s="106">
        <v>10703.999999999998</v>
      </c>
      <c r="N70" s="106">
        <v>41</v>
      </c>
      <c r="O70" s="106">
        <v>21943.199999999997</v>
      </c>
      <c r="P70" s="106">
        <v>24</v>
      </c>
      <c r="Q70" s="106">
        <v>12844.8</v>
      </c>
      <c r="R70" s="106">
        <v>37</v>
      </c>
      <c r="S70" s="106">
        <v>19802.399999999998</v>
      </c>
      <c r="T70" s="106">
        <v>5</v>
      </c>
      <c r="U70" s="106">
        <v>2675.9999999999995</v>
      </c>
      <c r="V70" s="106">
        <v>5</v>
      </c>
      <c r="W70" s="106">
        <v>2675.9999999999995</v>
      </c>
      <c r="X70" s="106">
        <v>5</v>
      </c>
      <c r="Y70" s="106">
        <v>2675.9999999999995</v>
      </c>
      <c r="Z70" s="106">
        <v>4</v>
      </c>
      <c r="AA70" s="106">
        <v>2140.7999999999997</v>
      </c>
      <c r="AB70" s="106">
        <v>7</v>
      </c>
      <c r="AC70" s="106">
        <v>3746.3999999999996</v>
      </c>
      <c r="AD70" s="106">
        <v>8</v>
      </c>
      <c r="AE70" s="106">
        <v>4281.5999999999995</v>
      </c>
      <c r="AF70" s="106">
        <v>6</v>
      </c>
      <c r="AG70" s="106">
        <v>3211.2</v>
      </c>
      <c r="AH70" s="106">
        <v>9</v>
      </c>
      <c r="AI70" s="106">
        <v>4816.7999999999993</v>
      </c>
      <c r="AJ70" s="106">
        <v>5</v>
      </c>
      <c r="AK70" s="106">
        <v>2675.9999999999995</v>
      </c>
      <c r="AL70" s="106">
        <v>6</v>
      </c>
      <c r="AM70" s="106">
        <v>3211.2</v>
      </c>
      <c r="AN70" s="106">
        <v>6</v>
      </c>
      <c r="AO70" s="106">
        <v>3211.2</v>
      </c>
      <c r="AP70" s="106">
        <v>8</v>
      </c>
      <c r="AQ70" s="106">
        <v>4281.5999999999995</v>
      </c>
      <c r="AR70" s="106">
        <v>4</v>
      </c>
      <c r="AS70" s="106">
        <v>2140.7999999999997</v>
      </c>
      <c r="AT70" s="106">
        <v>5</v>
      </c>
      <c r="AU70" s="106">
        <v>2675.9999999999995</v>
      </c>
      <c r="AV70" s="106">
        <v>5</v>
      </c>
      <c r="AW70" s="106">
        <v>2675.9999999999995</v>
      </c>
      <c r="AX70" s="106">
        <v>4</v>
      </c>
      <c r="AY70" s="106">
        <v>2140.7999999999997</v>
      </c>
      <c r="AZ70" s="106">
        <v>6</v>
      </c>
      <c r="BA70" s="106">
        <v>3211.2</v>
      </c>
      <c r="BB70" s="106">
        <v>6</v>
      </c>
      <c r="BC70" s="106">
        <v>3211.2</v>
      </c>
      <c r="BD70" s="106">
        <v>8</v>
      </c>
      <c r="BE70" s="106">
        <v>4281.5999999999995</v>
      </c>
      <c r="BF70" s="106">
        <v>6</v>
      </c>
      <c r="BG70" s="106">
        <v>3211.2</v>
      </c>
      <c r="BH70" s="106">
        <v>4</v>
      </c>
      <c r="BI70" s="106">
        <v>2140.7999999999997</v>
      </c>
      <c r="BJ70" s="106">
        <v>3</v>
      </c>
      <c r="BK70" s="106">
        <v>1605.6</v>
      </c>
      <c r="BL70" s="106">
        <v>4</v>
      </c>
      <c r="BM70" s="106">
        <v>2140.7999999999997</v>
      </c>
      <c r="BN70" s="106">
        <v>4</v>
      </c>
      <c r="BO70" s="106">
        <v>2140.7999999999997</v>
      </c>
      <c r="BP70" s="106">
        <v>3</v>
      </c>
      <c r="BQ70" s="106">
        <v>1605.6</v>
      </c>
      <c r="BR70" s="106">
        <v>4</v>
      </c>
      <c r="BS70" s="106">
        <v>2140.7999999999997</v>
      </c>
      <c r="BT70" s="106">
        <v>3</v>
      </c>
      <c r="BU70" s="106">
        <v>1605.6</v>
      </c>
      <c r="BV70" s="106">
        <v>3</v>
      </c>
      <c r="BW70" s="106">
        <v>1605.6</v>
      </c>
      <c r="BX70" s="106">
        <v>67</v>
      </c>
      <c r="BY70" s="106">
        <v>35858.399999999994</v>
      </c>
      <c r="BZ70" s="106">
        <v>51</v>
      </c>
      <c r="CA70" s="106">
        <v>27295.199999999997</v>
      </c>
      <c r="CB70" s="106">
        <v>67</v>
      </c>
      <c r="CC70" s="106">
        <v>35858.399999999994</v>
      </c>
      <c r="CD70" s="106">
        <v>44</v>
      </c>
      <c r="CE70" s="106">
        <v>23548.799999999996</v>
      </c>
      <c r="CF70" s="106">
        <v>26</v>
      </c>
      <c r="CG70" s="106">
        <v>13915.199999999999</v>
      </c>
      <c r="CH70" s="106">
        <v>19</v>
      </c>
      <c r="CI70" s="106">
        <v>10168.799999999999</v>
      </c>
      <c r="CJ70" s="106">
        <v>18</v>
      </c>
      <c r="CK70" s="106">
        <v>9633.5999999999985</v>
      </c>
      <c r="CL70" s="106">
        <v>16</v>
      </c>
      <c r="CM70" s="106">
        <v>8563.1999999999989</v>
      </c>
      <c r="CN70" s="106">
        <v>3</v>
      </c>
      <c r="CO70" s="106">
        <v>1605.6</v>
      </c>
      <c r="CP70" s="106">
        <v>3</v>
      </c>
      <c r="CQ70" s="106">
        <v>1605.6</v>
      </c>
      <c r="CR70" s="106">
        <v>4</v>
      </c>
      <c r="CS70" s="106">
        <v>2140.7999999999997</v>
      </c>
      <c r="CT70" s="106">
        <v>4</v>
      </c>
      <c r="CU70" s="106">
        <v>2140.7999999999997</v>
      </c>
    </row>
    <row r="71" spans="2:99" x14ac:dyDescent="0.2">
      <c r="B71" s="105" t="s">
        <v>130</v>
      </c>
      <c r="C71" s="105" t="s">
        <v>237</v>
      </c>
      <c r="D71" s="106">
        <v>19</v>
      </c>
      <c r="E71" s="106">
        <v>10716</v>
      </c>
      <c r="F71" s="106">
        <v>16</v>
      </c>
      <c r="G71" s="106">
        <v>9024</v>
      </c>
      <c r="H71" s="106">
        <v>12.497138397502601</v>
      </c>
      <c r="I71" s="106">
        <v>7048.3860561914671</v>
      </c>
      <c r="J71" s="106">
        <v>19.752294089836226</v>
      </c>
      <c r="K71" s="106">
        <v>11140.293866667631</v>
      </c>
      <c r="L71" s="106">
        <v>20</v>
      </c>
      <c r="M71" s="106">
        <v>11280</v>
      </c>
      <c r="N71" s="106">
        <v>17</v>
      </c>
      <c r="O71" s="106">
        <v>9588</v>
      </c>
      <c r="P71" s="106">
        <v>18</v>
      </c>
      <c r="Q71" s="106">
        <v>10152</v>
      </c>
      <c r="R71" s="106">
        <v>21</v>
      </c>
      <c r="S71" s="106">
        <v>11844</v>
      </c>
      <c r="T71" s="106">
        <v>7</v>
      </c>
      <c r="U71" s="106">
        <v>3948</v>
      </c>
      <c r="V71" s="106">
        <v>5.9049546802638124</v>
      </c>
      <c r="W71" s="106">
        <v>3330.3944396687903</v>
      </c>
      <c r="X71" s="106">
        <v>7</v>
      </c>
      <c r="Y71" s="106">
        <v>3948</v>
      </c>
      <c r="Z71" s="106">
        <v>8.7195366451325462</v>
      </c>
      <c r="AA71" s="106">
        <v>4917.8186678547563</v>
      </c>
      <c r="AB71" s="106">
        <v>8.6828579336868472</v>
      </c>
      <c r="AC71" s="106">
        <v>4897.1318745993822</v>
      </c>
      <c r="AD71" s="106">
        <v>10</v>
      </c>
      <c r="AE71" s="106">
        <v>5640</v>
      </c>
      <c r="AF71" s="106">
        <v>6</v>
      </c>
      <c r="AG71" s="106">
        <v>3384</v>
      </c>
      <c r="AH71" s="106">
        <v>10.786850756081526</v>
      </c>
      <c r="AI71" s="106">
        <v>6083.7838264299808</v>
      </c>
      <c r="AJ71" s="106">
        <v>6.3307337934515937</v>
      </c>
      <c r="AK71" s="106">
        <v>3570.5338595066987</v>
      </c>
      <c r="AL71" s="106">
        <v>5.3631344921444519</v>
      </c>
      <c r="AM71" s="106">
        <v>3024.8078535694708</v>
      </c>
      <c r="AN71" s="106">
        <v>4.4119122087971432</v>
      </c>
      <c r="AO71" s="106">
        <v>2488.3184857615888</v>
      </c>
      <c r="AP71" s="106">
        <v>4</v>
      </c>
      <c r="AQ71" s="106">
        <v>2256</v>
      </c>
      <c r="AR71" s="106">
        <v>43</v>
      </c>
      <c r="AS71" s="106">
        <v>24252</v>
      </c>
      <c r="AT71" s="106">
        <v>25.616446583937609</v>
      </c>
      <c r="AU71" s="106">
        <v>14447.675873340811</v>
      </c>
      <c r="AV71" s="106">
        <v>30.934040407915838</v>
      </c>
      <c r="AW71" s="106">
        <v>17446.798790064531</v>
      </c>
      <c r="AX71" s="106">
        <v>37</v>
      </c>
      <c r="AY71" s="106">
        <v>20868</v>
      </c>
      <c r="AZ71" s="106">
        <v>50</v>
      </c>
      <c r="BA71" s="106">
        <v>28200</v>
      </c>
      <c r="BB71" s="106">
        <v>67</v>
      </c>
      <c r="BC71" s="106">
        <v>37788</v>
      </c>
      <c r="BD71" s="106">
        <v>69</v>
      </c>
      <c r="BE71" s="106">
        <v>38916</v>
      </c>
      <c r="BF71" s="106">
        <v>61</v>
      </c>
      <c r="BG71" s="106">
        <v>34404</v>
      </c>
      <c r="BH71" s="106">
        <v>4</v>
      </c>
      <c r="BI71" s="106">
        <v>2256</v>
      </c>
      <c r="BJ71" s="106">
        <v>4</v>
      </c>
      <c r="BK71" s="106">
        <v>2256</v>
      </c>
      <c r="BL71" s="106">
        <v>3</v>
      </c>
      <c r="BM71" s="106">
        <v>1692</v>
      </c>
      <c r="BN71" s="106">
        <v>4</v>
      </c>
      <c r="BO71" s="106">
        <v>2256</v>
      </c>
      <c r="BP71" s="106">
        <v>4</v>
      </c>
      <c r="BQ71" s="106">
        <v>2256</v>
      </c>
      <c r="BR71" s="106">
        <v>3</v>
      </c>
      <c r="BS71" s="106">
        <v>1692</v>
      </c>
      <c r="BT71" s="106">
        <v>4.4490317445355618</v>
      </c>
      <c r="BU71" s="106">
        <v>2509.2539039180569</v>
      </c>
      <c r="BV71" s="106">
        <v>4</v>
      </c>
      <c r="BW71" s="106">
        <v>2256</v>
      </c>
      <c r="BX71" s="106">
        <v>6.5650912509704398</v>
      </c>
      <c r="BY71" s="106">
        <v>3702.7114655473279</v>
      </c>
      <c r="BZ71" s="106">
        <v>4.5010920297929973</v>
      </c>
      <c r="CA71" s="106">
        <v>2538.6159048032505</v>
      </c>
      <c r="CB71" s="106">
        <v>4</v>
      </c>
      <c r="CC71" s="106">
        <v>2256</v>
      </c>
      <c r="CD71" s="106">
        <v>5</v>
      </c>
      <c r="CE71" s="106">
        <v>2820</v>
      </c>
      <c r="CF71" s="106">
        <v>19</v>
      </c>
      <c r="CG71" s="106">
        <v>10716</v>
      </c>
      <c r="CH71" s="106">
        <v>27</v>
      </c>
      <c r="CI71" s="106">
        <v>15228</v>
      </c>
      <c r="CJ71" s="106">
        <v>34</v>
      </c>
      <c r="CK71" s="106">
        <v>19176</v>
      </c>
      <c r="CL71" s="106">
        <v>17</v>
      </c>
      <c r="CM71" s="106">
        <v>9588</v>
      </c>
      <c r="CN71" s="106">
        <v>4</v>
      </c>
      <c r="CO71" s="106">
        <v>2256</v>
      </c>
      <c r="CP71" s="106">
        <v>5</v>
      </c>
      <c r="CQ71" s="106">
        <v>2820</v>
      </c>
      <c r="CR71" s="106">
        <v>4</v>
      </c>
      <c r="CS71" s="106">
        <v>2256</v>
      </c>
      <c r="CT71" s="106">
        <v>4</v>
      </c>
      <c r="CU71" s="106">
        <v>2256</v>
      </c>
    </row>
    <row r="72" spans="2:99" x14ac:dyDescent="0.2">
      <c r="C72" s="105" t="s">
        <v>238</v>
      </c>
      <c r="D72" s="106">
        <v>22</v>
      </c>
      <c r="E72" s="106">
        <v>1636.7999999999997</v>
      </c>
      <c r="F72" s="106">
        <v>20</v>
      </c>
      <c r="G72" s="106">
        <v>1487.9999999999998</v>
      </c>
      <c r="H72" s="106">
        <v>13.596566077003121</v>
      </c>
      <c r="I72" s="106">
        <v>1011.5845161290321</v>
      </c>
      <c r="J72" s="106">
        <v>21.710499973734215</v>
      </c>
      <c r="K72" s="106">
        <v>1615.2611980458255</v>
      </c>
      <c r="L72" s="106">
        <v>25</v>
      </c>
      <c r="M72" s="106">
        <v>1859.9999999999998</v>
      </c>
      <c r="N72" s="106">
        <v>18</v>
      </c>
      <c r="O72" s="106">
        <v>1339.1999999999998</v>
      </c>
      <c r="P72" s="106">
        <v>18</v>
      </c>
      <c r="Q72" s="106">
        <v>1339.1999999999998</v>
      </c>
      <c r="R72" s="106">
        <v>25</v>
      </c>
      <c r="S72" s="106">
        <v>1859.9999999999998</v>
      </c>
      <c r="T72" s="106">
        <v>8</v>
      </c>
      <c r="U72" s="106">
        <v>595.19999999999993</v>
      </c>
      <c r="V72" s="106">
        <v>6.8597069462506219</v>
      </c>
      <c r="W72" s="106">
        <v>510.3621968010462</v>
      </c>
      <c r="X72" s="106">
        <v>7</v>
      </c>
      <c r="Y72" s="106">
        <v>520.79999999999995</v>
      </c>
      <c r="Z72" s="106">
        <v>7.7574069948763649</v>
      </c>
      <c r="AA72" s="106">
        <v>577.15108041880148</v>
      </c>
      <c r="AB72" s="106">
        <v>9.6828579336868472</v>
      </c>
      <c r="AC72" s="106">
        <v>720.4046302663013</v>
      </c>
      <c r="AD72" s="106">
        <v>12</v>
      </c>
      <c r="AE72" s="106">
        <v>892.8</v>
      </c>
      <c r="AF72" s="106">
        <v>6</v>
      </c>
      <c r="AG72" s="106">
        <v>446.4</v>
      </c>
      <c r="AH72" s="106">
        <v>10.786850756081526</v>
      </c>
      <c r="AI72" s="106">
        <v>802.54169625246539</v>
      </c>
      <c r="AJ72" s="106">
        <v>6.3307337934515937</v>
      </c>
      <c r="AK72" s="106">
        <v>471.00659423279853</v>
      </c>
      <c r="AL72" s="106">
        <v>5.3631344921444519</v>
      </c>
      <c r="AM72" s="106">
        <v>399.01720621554716</v>
      </c>
      <c r="AN72" s="106">
        <v>5.4707568100538779</v>
      </c>
      <c r="AO72" s="106">
        <v>407.02430666800848</v>
      </c>
      <c r="AP72" s="106">
        <v>4</v>
      </c>
      <c r="AQ72" s="106">
        <v>297.59999999999997</v>
      </c>
      <c r="AR72" s="106">
        <v>43</v>
      </c>
      <c r="AS72" s="106">
        <v>3199.2</v>
      </c>
      <c r="AT72" s="106">
        <v>31.702231717837204</v>
      </c>
      <c r="AU72" s="106">
        <v>2358.6460398070876</v>
      </c>
      <c r="AV72" s="106">
        <v>37.105955110841691</v>
      </c>
      <c r="AW72" s="106">
        <v>2760.6830602466216</v>
      </c>
      <c r="AX72" s="106">
        <v>44</v>
      </c>
      <c r="AY72" s="106">
        <v>3273.5999999999995</v>
      </c>
      <c r="AZ72" s="106">
        <v>55</v>
      </c>
      <c r="BA72" s="106">
        <v>4091.9999999999995</v>
      </c>
      <c r="BB72" s="106">
        <v>75</v>
      </c>
      <c r="BC72" s="106">
        <v>5579.9999999999991</v>
      </c>
      <c r="BD72" s="106">
        <v>72</v>
      </c>
      <c r="BE72" s="106">
        <v>5356.7999999999993</v>
      </c>
      <c r="BF72" s="106">
        <v>71</v>
      </c>
      <c r="BG72" s="106">
        <v>5282.4</v>
      </c>
      <c r="BH72" s="106">
        <v>4</v>
      </c>
      <c r="BI72" s="106">
        <v>297.59999999999997</v>
      </c>
      <c r="BJ72" s="106">
        <v>4</v>
      </c>
      <c r="BK72" s="106">
        <v>297.59999999999997</v>
      </c>
      <c r="BL72" s="106">
        <v>4</v>
      </c>
      <c r="BM72" s="106">
        <v>297.59999999999997</v>
      </c>
      <c r="BN72" s="106">
        <v>5</v>
      </c>
      <c r="BO72" s="106">
        <v>371.99999999999994</v>
      </c>
      <c r="BP72" s="106">
        <v>4</v>
      </c>
      <c r="BQ72" s="106">
        <v>297.59999999999997</v>
      </c>
      <c r="BR72" s="106">
        <v>3</v>
      </c>
      <c r="BS72" s="106">
        <v>223.2</v>
      </c>
      <c r="BT72" s="106">
        <v>5.3991393284760552</v>
      </c>
      <c r="BU72" s="106">
        <v>401.69596603861845</v>
      </c>
      <c r="BV72" s="106">
        <v>4</v>
      </c>
      <c r="BW72" s="106">
        <v>297.59999999999997</v>
      </c>
      <c r="BX72" s="106">
        <v>6.6216003760674838</v>
      </c>
      <c r="BY72" s="106">
        <v>492.64706797942074</v>
      </c>
      <c r="BZ72" s="106">
        <v>3.5274652945189446</v>
      </c>
      <c r="CA72" s="106">
        <v>262.44341791220944</v>
      </c>
      <c r="CB72" s="106">
        <v>4</v>
      </c>
      <c r="CC72" s="106">
        <v>297.59999999999997</v>
      </c>
      <c r="CD72" s="106">
        <v>5</v>
      </c>
      <c r="CE72" s="106">
        <v>371.99999999999994</v>
      </c>
      <c r="CF72" s="106">
        <v>20</v>
      </c>
      <c r="CG72" s="106">
        <v>1487.9999999999998</v>
      </c>
      <c r="CH72" s="106">
        <v>30</v>
      </c>
      <c r="CI72" s="106">
        <v>2231.9999999999995</v>
      </c>
      <c r="CJ72" s="106">
        <v>36</v>
      </c>
      <c r="CK72" s="106">
        <v>2678.3999999999996</v>
      </c>
      <c r="CL72" s="106">
        <v>18</v>
      </c>
      <c r="CM72" s="106">
        <v>1339.1999999999998</v>
      </c>
      <c r="CN72" s="106">
        <v>4</v>
      </c>
      <c r="CO72" s="106">
        <v>297.59999999999997</v>
      </c>
      <c r="CP72" s="106">
        <v>5</v>
      </c>
      <c r="CQ72" s="106">
        <v>371.99999999999994</v>
      </c>
      <c r="CR72" s="106">
        <v>4</v>
      </c>
      <c r="CS72" s="106">
        <v>297.59999999999997</v>
      </c>
      <c r="CT72" s="106">
        <v>4</v>
      </c>
      <c r="CU72" s="106">
        <v>297.59999999999997</v>
      </c>
    </row>
    <row r="73" spans="2:99" x14ac:dyDescent="0.2">
      <c r="C73" s="105" t="s">
        <v>239</v>
      </c>
      <c r="D73" s="106">
        <v>20</v>
      </c>
      <c r="E73" s="106">
        <v>11183.999999999998</v>
      </c>
      <c r="F73" s="106">
        <v>17</v>
      </c>
      <c r="G73" s="106">
        <v>9506.4</v>
      </c>
      <c r="H73" s="106">
        <v>14.530280957336108</v>
      </c>
      <c r="I73" s="106">
        <v>8125.333111342351</v>
      </c>
      <c r="J73" s="106">
        <v>18.710499973734215</v>
      </c>
      <c r="K73" s="106">
        <v>10462.911585312171</v>
      </c>
      <c r="L73" s="106">
        <v>19</v>
      </c>
      <c r="M73" s="106">
        <v>10624.8</v>
      </c>
      <c r="N73" s="106">
        <v>16</v>
      </c>
      <c r="O73" s="106">
        <v>8947.1999999999989</v>
      </c>
      <c r="P73" s="106">
        <v>17</v>
      </c>
      <c r="Q73" s="106">
        <v>9506.4</v>
      </c>
      <c r="R73" s="106">
        <v>22</v>
      </c>
      <c r="S73" s="106">
        <v>12302.399999999998</v>
      </c>
      <c r="T73" s="106">
        <v>7</v>
      </c>
      <c r="U73" s="106">
        <v>3914.3999999999996</v>
      </c>
      <c r="V73" s="106">
        <v>6.8144592122374306</v>
      </c>
      <c r="W73" s="106">
        <v>3810.6455914831708</v>
      </c>
      <c r="X73" s="106">
        <v>7</v>
      </c>
      <c r="Y73" s="106">
        <v>3914.3999999999996</v>
      </c>
      <c r="Z73" s="106">
        <v>7.7952773446201826</v>
      </c>
      <c r="AA73" s="106">
        <v>4359.1190911116055</v>
      </c>
      <c r="AB73" s="106">
        <v>8.7316335003787664</v>
      </c>
      <c r="AC73" s="106">
        <v>4882.7294534118055</v>
      </c>
      <c r="AD73" s="106">
        <v>11</v>
      </c>
      <c r="AE73" s="106">
        <v>6151.1999999999989</v>
      </c>
      <c r="AF73" s="106">
        <v>5</v>
      </c>
      <c r="AG73" s="106">
        <v>2795.9999999999995</v>
      </c>
      <c r="AH73" s="106">
        <v>9.7376725838264306</v>
      </c>
      <c r="AI73" s="106">
        <v>5445.3065088757394</v>
      </c>
      <c r="AJ73" s="106">
        <v>6.297660414106435</v>
      </c>
      <c r="AK73" s="106">
        <v>3521.6517035683178</v>
      </c>
      <c r="AL73" s="106">
        <v>5.3268210429300069</v>
      </c>
      <c r="AM73" s="106">
        <v>2978.7583272064594</v>
      </c>
      <c r="AN73" s="106">
        <v>5.441334509425511</v>
      </c>
      <c r="AO73" s="106">
        <v>3042.7942576707455</v>
      </c>
      <c r="AP73" s="106">
        <v>4</v>
      </c>
      <c r="AQ73" s="106">
        <v>2236.7999999999997</v>
      </c>
      <c r="AR73" s="106">
        <v>40</v>
      </c>
      <c r="AS73" s="106">
        <v>22367.999999999996</v>
      </c>
      <c r="AT73" s="106">
        <v>26.187520914439641</v>
      </c>
      <c r="AU73" s="106">
        <v>14644.061695354645</v>
      </c>
      <c r="AV73" s="106">
        <v>31.611700339929865</v>
      </c>
      <c r="AW73" s="106">
        <v>17677.262830088777</v>
      </c>
      <c r="AX73" s="106">
        <v>35</v>
      </c>
      <c r="AY73" s="106">
        <v>19571.999999999996</v>
      </c>
      <c r="AZ73" s="106">
        <v>50</v>
      </c>
      <c r="BA73" s="106">
        <v>27959.999999999996</v>
      </c>
      <c r="BB73" s="106">
        <v>62</v>
      </c>
      <c r="BC73" s="106">
        <v>34670.399999999994</v>
      </c>
      <c r="BD73" s="106">
        <v>60</v>
      </c>
      <c r="BE73" s="106">
        <v>33551.999999999993</v>
      </c>
      <c r="BF73" s="106">
        <v>65</v>
      </c>
      <c r="BG73" s="106">
        <v>36347.999999999993</v>
      </c>
      <c r="BH73" s="106">
        <v>4</v>
      </c>
      <c r="BI73" s="106">
        <v>2236.7999999999997</v>
      </c>
      <c r="BJ73" s="106">
        <v>4</v>
      </c>
      <c r="BK73" s="106">
        <v>2236.7999999999997</v>
      </c>
      <c r="BL73" s="106">
        <v>4</v>
      </c>
      <c r="BM73" s="106">
        <v>2236.7999999999997</v>
      </c>
      <c r="BN73" s="106">
        <v>5</v>
      </c>
      <c r="BO73" s="106">
        <v>2795.9999999999995</v>
      </c>
      <c r="BP73" s="106">
        <v>4</v>
      </c>
      <c r="BQ73" s="106">
        <v>2236.7999999999997</v>
      </c>
      <c r="BR73" s="106">
        <v>3</v>
      </c>
      <c r="BS73" s="106">
        <v>1677.6</v>
      </c>
      <c r="BT73" s="106">
        <v>5.3991393284760552</v>
      </c>
      <c r="BU73" s="106">
        <v>3019.1987124838097</v>
      </c>
      <c r="BV73" s="106">
        <v>4</v>
      </c>
      <c r="BW73" s="106">
        <v>2236.7999999999997</v>
      </c>
      <c r="BX73" s="106">
        <v>6.5650912509704398</v>
      </c>
      <c r="BY73" s="106">
        <v>3671.1990275426697</v>
      </c>
      <c r="BZ73" s="106">
        <v>3.5010920297929977</v>
      </c>
      <c r="CA73" s="106">
        <v>1957.810663060244</v>
      </c>
      <c r="CB73" s="106">
        <v>3</v>
      </c>
      <c r="CC73" s="106">
        <v>1677.6</v>
      </c>
      <c r="CD73" s="106">
        <v>5</v>
      </c>
      <c r="CE73" s="106">
        <v>2795.9999999999995</v>
      </c>
      <c r="CF73" s="106">
        <v>20</v>
      </c>
      <c r="CG73" s="106">
        <v>11183.999999999998</v>
      </c>
      <c r="CH73" s="106">
        <v>25</v>
      </c>
      <c r="CI73" s="106">
        <v>13979.999999999998</v>
      </c>
      <c r="CJ73" s="106">
        <v>34</v>
      </c>
      <c r="CK73" s="106">
        <v>19012.8</v>
      </c>
      <c r="CL73" s="106">
        <v>18</v>
      </c>
      <c r="CM73" s="106">
        <v>10065.599999999999</v>
      </c>
      <c r="CN73" s="106">
        <v>4</v>
      </c>
      <c r="CO73" s="106">
        <v>2236.7999999999997</v>
      </c>
      <c r="CP73" s="106">
        <v>5</v>
      </c>
      <c r="CQ73" s="106">
        <v>2795.9999999999995</v>
      </c>
      <c r="CR73" s="106">
        <v>4</v>
      </c>
      <c r="CS73" s="106">
        <v>2236.7999999999997</v>
      </c>
      <c r="CT73" s="106">
        <v>5</v>
      </c>
      <c r="CU73" s="106">
        <v>2795.9999999999995</v>
      </c>
    </row>
    <row r="74" spans="2:99" x14ac:dyDescent="0.2">
      <c r="C74" s="105" t="s">
        <v>240</v>
      </c>
      <c r="D74" s="106">
        <v>19</v>
      </c>
      <c r="E74" s="106">
        <v>7660.8</v>
      </c>
      <c r="F74" s="106">
        <v>18</v>
      </c>
      <c r="G74" s="106">
        <v>7257.5999999999995</v>
      </c>
      <c r="H74" s="106">
        <v>15.563423517169616</v>
      </c>
      <c r="I74" s="106">
        <v>6275.1723621227893</v>
      </c>
      <c r="J74" s="106">
        <v>21.752294089836226</v>
      </c>
      <c r="K74" s="106">
        <v>8770.5249770219671</v>
      </c>
      <c r="L74" s="106">
        <v>22</v>
      </c>
      <c r="M74" s="106">
        <v>8870.4</v>
      </c>
      <c r="N74" s="106">
        <v>19</v>
      </c>
      <c r="O74" s="106">
        <v>7660.8</v>
      </c>
      <c r="P74" s="106">
        <v>17</v>
      </c>
      <c r="Q74" s="106">
        <v>6854.4</v>
      </c>
      <c r="R74" s="106">
        <v>24</v>
      </c>
      <c r="S74" s="106">
        <v>9676.7999999999993</v>
      </c>
      <c r="T74" s="106">
        <v>7</v>
      </c>
      <c r="U74" s="106">
        <v>2822.4</v>
      </c>
      <c r="V74" s="106">
        <v>6.9502024142770029</v>
      </c>
      <c r="W74" s="106">
        <v>2802.3216134364875</v>
      </c>
      <c r="X74" s="106">
        <v>7</v>
      </c>
      <c r="Y74" s="106">
        <v>2822.4</v>
      </c>
      <c r="Z74" s="106">
        <v>7.7195366451325462</v>
      </c>
      <c r="AA74" s="106">
        <v>3112.5171753174427</v>
      </c>
      <c r="AB74" s="106">
        <v>9.7316335003787664</v>
      </c>
      <c r="AC74" s="106">
        <v>3923.7946273527186</v>
      </c>
      <c r="AD74" s="106">
        <v>11</v>
      </c>
      <c r="AE74" s="106">
        <v>4435.2</v>
      </c>
      <c r="AF74" s="106">
        <v>6</v>
      </c>
      <c r="AG74" s="106">
        <v>2419.1999999999998</v>
      </c>
      <c r="AH74" s="106">
        <v>10</v>
      </c>
      <c r="AI74" s="106">
        <v>4032</v>
      </c>
      <c r="AJ74" s="106">
        <v>5.3307337934515937</v>
      </c>
      <c r="AK74" s="106">
        <v>2149.3518655196826</v>
      </c>
      <c r="AL74" s="106">
        <v>6.3268210429300069</v>
      </c>
      <c r="AM74" s="106">
        <v>2550.9742445093789</v>
      </c>
      <c r="AN74" s="106">
        <v>5.4119122087971432</v>
      </c>
      <c r="AO74" s="106">
        <v>2182.0830025870082</v>
      </c>
      <c r="AP74" s="106">
        <v>4</v>
      </c>
      <c r="AQ74" s="106">
        <v>1612.8</v>
      </c>
      <c r="AR74" s="106">
        <v>46</v>
      </c>
      <c r="AS74" s="106">
        <v>18547.2</v>
      </c>
      <c r="AT74" s="106">
        <v>28.659339150887408</v>
      </c>
      <c r="AU74" s="106">
        <v>11555.445545637804</v>
      </c>
      <c r="AV74" s="106">
        <v>32.955529745781568</v>
      </c>
      <c r="AW74" s="106">
        <v>13287.669593499128</v>
      </c>
      <c r="AX74" s="106">
        <v>40</v>
      </c>
      <c r="AY74" s="106">
        <v>16128</v>
      </c>
      <c r="AZ74" s="106">
        <v>53</v>
      </c>
      <c r="BA74" s="106">
        <v>21369.599999999999</v>
      </c>
      <c r="BB74" s="106">
        <v>69</v>
      </c>
      <c r="BC74" s="106">
        <v>27820.799999999999</v>
      </c>
      <c r="BD74" s="106">
        <v>67</v>
      </c>
      <c r="BE74" s="106">
        <v>27014.399999999998</v>
      </c>
      <c r="BF74" s="106">
        <v>64</v>
      </c>
      <c r="BG74" s="106">
        <v>25804.799999999999</v>
      </c>
      <c r="BH74" s="106">
        <v>4</v>
      </c>
      <c r="BI74" s="106">
        <v>1612.8</v>
      </c>
      <c r="BJ74" s="106">
        <v>4</v>
      </c>
      <c r="BK74" s="106">
        <v>1612.8</v>
      </c>
      <c r="BL74" s="106">
        <v>4</v>
      </c>
      <c r="BM74" s="106">
        <v>1612.8</v>
      </c>
      <c r="BN74" s="106">
        <v>5</v>
      </c>
      <c r="BO74" s="106">
        <v>2016</v>
      </c>
      <c r="BP74" s="106">
        <v>4</v>
      </c>
      <c r="BQ74" s="106">
        <v>1612.8</v>
      </c>
      <c r="BR74" s="106">
        <v>3</v>
      </c>
      <c r="BS74" s="106">
        <v>1209.5999999999999</v>
      </c>
      <c r="BT74" s="106">
        <v>5.4490317445355618</v>
      </c>
      <c r="BU74" s="106">
        <v>2197.0495993967384</v>
      </c>
      <c r="BV74" s="106">
        <v>3.4067562547631174</v>
      </c>
      <c r="BW74" s="106">
        <v>1373.604121920489</v>
      </c>
      <c r="BX74" s="106">
        <v>6.6216003760674838</v>
      </c>
      <c r="BY74" s="106">
        <v>2669.8292716304095</v>
      </c>
      <c r="BZ74" s="106">
        <v>3.5802118239708394</v>
      </c>
      <c r="CA74" s="106">
        <v>1443.5414074250423</v>
      </c>
      <c r="CB74" s="106">
        <v>4</v>
      </c>
      <c r="CC74" s="106">
        <v>1612.8</v>
      </c>
      <c r="CD74" s="106">
        <v>5</v>
      </c>
      <c r="CE74" s="106">
        <v>2016</v>
      </c>
      <c r="CF74" s="106">
        <v>19</v>
      </c>
      <c r="CG74" s="106">
        <v>7660.8</v>
      </c>
      <c r="CH74" s="106">
        <v>30</v>
      </c>
      <c r="CI74" s="106">
        <v>12096</v>
      </c>
      <c r="CJ74" s="106">
        <v>32</v>
      </c>
      <c r="CK74" s="106">
        <v>12902.4</v>
      </c>
      <c r="CL74" s="106">
        <v>18</v>
      </c>
      <c r="CM74" s="106">
        <v>7257.5999999999995</v>
      </c>
      <c r="CN74" s="106">
        <v>4</v>
      </c>
      <c r="CO74" s="106">
        <v>1612.8</v>
      </c>
      <c r="CP74" s="106">
        <v>5</v>
      </c>
      <c r="CQ74" s="106">
        <v>2016</v>
      </c>
      <c r="CR74" s="106">
        <v>4</v>
      </c>
      <c r="CS74" s="106">
        <v>1612.8</v>
      </c>
      <c r="CT74" s="106">
        <v>4</v>
      </c>
      <c r="CU74" s="106">
        <v>1612.8</v>
      </c>
    </row>
    <row r="75" spans="2:99" x14ac:dyDescent="0.2">
      <c r="C75" s="105" t="s">
        <v>241</v>
      </c>
      <c r="D75" s="106">
        <v>20</v>
      </c>
      <c r="E75" s="106">
        <v>12863.999999999998</v>
      </c>
      <c r="F75" s="106">
        <v>18</v>
      </c>
      <c r="G75" s="106">
        <v>11577.599999999999</v>
      </c>
      <c r="H75" s="106">
        <v>12.596566077003121</v>
      </c>
      <c r="I75" s="106">
        <v>8102.1113007284066</v>
      </c>
      <c r="J75" s="106">
        <v>17.752294089836226</v>
      </c>
      <c r="K75" s="106">
        <v>11418.27555858266</v>
      </c>
      <c r="L75" s="106">
        <v>20</v>
      </c>
      <c r="M75" s="106">
        <v>12863.999999999998</v>
      </c>
      <c r="N75" s="106">
        <v>18</v>
      </c>
      <c r="O75" s="106">
        <v>11577.599999999999</v>
      </c>
      <c r="P75" s="106">
        <v>15</v>
      </c>
      <c r="Q75" s="106">
        <v>9647.9999999999982</v>
      </c>
      <c r="R75" s="106">
        <v>21</v>
      </c>
      <c r="S75" s="106">
        <v>13507.199999999999</v>
      </c>
      <c r="T75" s="106">
        <v>7</v>
      </c>
      <c r="U75" s="106">
        <v>4502.3999999999996</v>
      </c>
      <c r="V75" s="106">
        <v>6.8144592122374306</v>
      </c>
      <c r="W75" s="106">
        <v>4383.0601653111153</v>
      </c>
      <c r="X75" s="106">
        <v>7</v>
      </c>
      <c r="Y75" s="106">
        <v>4502.3999999999996</v>
      </c>
      <c r="Z75" s="106">
        <v>7.7952773446201826</v>
      </c>
      <c r="AA75" s="106">
        <v>5013.922388059701</v>
      </c>
      <c r="AB75" s="106">
        <v>8.6828579336868472</v>
      </c>
      <c r="AC75" s="106">
        <v>5584.8142229473797</v>
      </c>
      <c r="AD75" s="106">
        <v>10</v>
      </c>
      <c r="AE75" s="106">
        <v>6431.9999999999991</v>
      </c>
      <c r="AF75" s="106">
        <v>6</v>
      </c>
      <c r="AG75" s="106">
        <v>3859.2</v>
      </c>
      <c r="AH75" s="106">
        <v>10.836028928336621</v>
      </c>
      <c r="AI75" s="106">
        <v>6969.7338067061137</v>
      </c>
      <c r="AJ75" s="106">
        <v>5.297660414106435</v>
      </c>
      <c r="AK75" s="106">
        <v>3407.4551783532588</v>
      </c>
      <c r="AL75" s="106">
        <v>5.3631344921444519</v>
      </c>
      <c r="AM75" s="106">
        <v>3449.5681053473113</v>
      </c>
      <c r="AN75" s="106">
        <v>5.3824899081687754</v>
      </c>
      <c r="AO75" s="106">
        <v>3462.017508934156</v>
      </c>
      <c r="AP75" s="106">
        <v>4</v>
      </c>
      <c r="AQ75" s="106">
        <v>2572.7999999999997</v>
      </c>
      <c r="AR75" s="106">
        <v>40</v>
      </c>
      <c r="AS75" s="106">
        <v>25727.999999999996</v>
      </c>
      <c r="AT75" s="106">
        <v>28.359091182238828</v>
      </c>
      <c r="AU75" s="106">
        <v>18240.567448416012</v>
      </c>
      <c r="AV75" s="106">
        <v>31.869572394318645</v>
      </c>
      <c r="AW75" s="106">
        <v>20498.50896402575</v>
      </c>
      <c r="AX75" s="106">
        <v>36</v>
      </c>
      <c r="AY75" s="106">
        <v>23155.199999999997</v>
      </c>
      <c r="AZ75" s="106">
        <v>52</v>
      </c>
      <c r="BA75" s="106">
        <v>33446.399999999994</v>
      </c>
      <c r="BB75" s="106">
        <v>67</v>
      </c>
      <c r="BC75" s="106">
        <v>43094.399999999994</v>
      </c>
      <c r="BD75" s="106">
        <v>65</v>
      </c>
      <c r="BE75" s="106">
        <v>41807.999999999993</v>
      </c>
      <c r="BF75" s="106">
        <v>58</v>
      </c>
      <c r="BG75" s="106">
        <v>37305.599999999999</v>
      </c>
      <c r="BH75" s="106">
        <v>4</v>
      </c>
      <c r="BI75" s="106">
        <v>2572.7999999999997</v>
      </c>
      <c r="BJ75" s="106">
        <v>4</v>
      </c>
      <c r="BK75" s="106">
        <v>2572.7999999999997</v>
      </c>
      <c r="BL75" s="106">
        <v>4</v>
      </c>
      <c r="BM75" s="106">
        <v>2572.7999999999997</v>
      </c>
      <c r="BN75" s="106">
        <v>5</v>
      </c>
      <c r="BO75" s="106">
        <v>3215.9999999999995</v>
      </c>
      <c r="BP75" s="106">
        <v>4</v>
      </c>
      <c r="BQ75" s="106">
        <v>2572.7999999999997</v>
      </c>
      <c r="BR75" s="106">
        <v>3</v>
      </c>
      <c r="BS75" s="106">
        <v>1929.6</v>
      </c>
      <c r="BT75" s="106">
        <v>5.4490317445355618</v>
      </c>
      <c r="BU75" s="106">
        <v>3504.817218085273</v>
      </c>
      <c r="BV75" s="106">
        <v>4</v>
      </c>
      <c r="BW75" s="106">
        <v>2572.7999999999997</v>
      </c>
      <c r="BX75" s="106">
        <v>6.5933458135189609</v>
      </c>
      <c r="BY75" s="106">
        <v>4240.8400272553954</v>
      </c>
      <c r="BZ75" s="106">
        <v>4.5274652945189446</v>
      </c>
      <c r="CA75" s="106">
        <v>2912.0656774345848</v>
      </c>
      <c r="CB75" s="106">
        <v>3</v>
      </c>
      <c r="CC75" s="106">
        <v>1929.6</v>
      </c>
      <c r="CD75" s="106">
        <v>5</v>
      </c>
      <c r="CE75" s="106">
        <v>3215.9999999999995</v>
      </c>
      <c r="CF75" s="106">
        <v>17</v>
      </c>
      <c r="CG75" s="106">
        <v>10934.4</v>
      </c>
      <c r="CH75" s="106">
        <v>27</v>
      </c>
      <c r="CI75" s="106">
        <v>17366.399999999998</v>
      </c>
      <c r="CJ75" s="106">
        <v>32</v>
      </c>
      <c r="CK75" s="106">
        <v>20582.399999999998</v>
      </c>
      <c r="CL75" s="106">
        <v>16</v>
      </c>
      <c r="CM75" s="106">
        <v>10291.199999999999</v>
      </c>
      <c r="CN75" s="106">
        <v>4</v>
      </c>
      <c r="CO75" s="106">
        <v>2572.7999999999997</v>
      </c>
      <c r="CP75" s="106">
        <v>5</v>
      </c>
      <c r="CQ75" s="106">
        <v>3215.9999999999995</v>
      </c>
      <c r="CR75" s="106">
        <v>4</v>
      </c>
      <c r="CS75" s="106">
        <v>2572.7999999999997</v>
      </c>
      <c r="CT75" s="106">
        <v>4</v>
      </c>
      <c r="CU75" s="106">
        <v>2572.7999999999997</v>
      </c>
    </row>
    <row r="76" spans="2:99" x14ac:dyDescent="0.2">
      <c r="C76" s="105" t="s">
        <v>242</v>
      </c>
      <c r="D76" s="106">
        <v>20</v>
      </c>
      <c r="E76" s="106">
        <v>15576</v>
      </c>
      <c r="F76" s="106">
        <v>18</v>
      </c>
      <c r="G76" s="106">
        <v>14018.4</v>
      </c>
      <c r="H76" s="106">
        <v>13.563423517169616</v>
      </c>
      <c r="I76" s="106">
        <v>10563.194235171697</v>
      </c>
      <c r="J76" s="106">
        <v>19.752294089836226</v>
      </c>
      <c r="K76" s="106">
        <v>15383.086637164452</v>
      </c>
      <c r="L76" s="106">
        <v>20</v>
      </c>
      <c r="M76" s="106">
        <v>15576</v>
      </c>
      <c r="N76" s="106">
        <v>16</v>
      </c>
      <c r="O76" s="106">
        <v>12460.8</v>
      </c>
      <c r="P76" s="106">
        <v>18</v>
      </c>
      <c r="Q76" s="106">
        <v>14018.4</v>
      </c>
      <c r="R76" s="106">
        <v>23</v>
      </c>
      <c r="S76" s="106">
        <v>17912.399999999998</v>
      </c>
      <c r="T76" s="106">
        <v>7</v>
      </c>
      <c r="U76" s="106">
        <v>5451.5999999999995</v>
      </c>
      <c r="V76" s="106">
        <v>6.8144592122374306</v>
      </c>
      <c r="W76" s="106">
        <v>5307.1008344905104</v>
      </c>
      <c r="X76" s="106">
        <v>6</v>
      </c>
      <c r="Y76" s="106">
        <v>4672.7999999999993</v>
      </c>
      <c r="Z76" s="106">
        <v>8.7195366451325462</v>
      </c>
      <c r="AA76" s="106">
        <v>6790.7751392292266</v>
      </c>
      <c r="AB76" s="106">
        <v>8.6828579336868472</v>
      </c>
      <c r="AC76" s="106">
        <v>6762.2097587553162</v>
      </c>
      <c r="AD76" s="106">
        <v>11</v>
      </c>
      <c r="AE76" s="106">
        <v>8566.7999999999993</v>
      </c>
      <c r="AF76" s="106">
        <v>6</v>
      </c>
      <c r="AG76" s="106">
        <v>4672.7999999999993</v>
      </c>
      <c r="AH76" s="106">
        <v>9.6884944115713338</v>
      </c>
      <c r="AI76" s="106">
        <v>7545.3994477317547</v>
      </c>
      <c r="AJ76" s="106">
        <v>6.297660414106435</v>
      </c>
      <c r="AK76" s="106">
        <v>4904.6179305060914</v>
      </c>
      <c r="AL76" s="106">
        <v>5.3631344921444519</v>
      </c>
      <c r="AM76" s="106">
        <v>4176.8091424820987</v>
      </c>
      <c r="AN76" s="106">
        <v>5.441334509425511</v>
      </c>
      <c r="AO76" s="106">
        <v>4237.7113159405881</v>
      </c>
      <c r="AP76" s="106">
        <v>4</v>
      </c>
      <c r="AQ76" s="106">
        <v>3115.2</v>
      </c>
      <c r="AR76" s="106">
        <v>42</v>
      </c>
      <c r="AS76" s="106">
        <v>32709.599999999999</v>
      </c>
      <c r="AT76" s="106">
        <v>26.187520914439641</v>
      </c>
      <c r="AU76" s="106">
        <v>20394.841288165593</v>
      </c>
      <c r="AV76" s="106">
        <v>29.676168353527061</v>
      </c>
      <c r="AW76" s="106">
        <v>23111.799913726874</v>
      </c>
      <c r="AX76" s="106">
        <v>34</v>
      </c>
      <c r="AY76" s="106">
        <v>26479.199999999997</v>
      </c>
      <c r="AZ76" s="106">
        <v>48</v>
      </c>
      <c r="BA76" s="106">
        <v>37382.399999999994</v>
      </c>
      <c r="BB76" s="106">
        <v>59</v>
      </c>
      <c r="BC76" s="106">
        <v>45949.2</v>
      </c>
      <c r="BD76" s="106">
        <v>58</v>
      </c>
      <c r="BE76" s="106">
        <v>45170.399999999994</v>
      </c>
      <c r="BF76" s="106">
        <v>62</v>
      </c>
      <c r="BG76" s="106">
        <v>48285.599999999999</v>
      </c>
      <c r="BH76" s="106">
        <v>4</v>
      </c>
      <c r="BI76" s="106">
        <v>3115.2</v>
      </c>
      <c r="BJ76" s="106">
        <v>4</v>
      </c>
      <c r="BK76" s="106">
        <v>3115.2</v>
      </c>
      <c r="BL76" s="106">
        <v>3</v>
      </c>
      <c r="BM76" s="106">
        <v>2336.3999999999996</v>
      </c>
      <c r="BN76" s="106">
        <v>4</v>
      </c>
      <c r="BO76" s="106">
        <v>3115.2</v>
      </c>
      <c r="BP76" s="106">
        <v>3</v>
      </c>
      <c r="BQ76" s="106">
        <v>2336.3999999999996</v>
      </c>
      <c r="BR76" s="106">
        <v>3</v>
      </c>
      <c r="BS76" s="106">
        <v>2336.3999999999996</v>
      </c>
      <c r="BT76" s="106">
        <v>5.3991393284760552</v>
      </c>
      <c r="BU76" s="106">
        <v>4204.8497090171513</v>
      </c>
      <c r="BV76" s="106">
        <v>3</v>
      </c>
      <c r="BW76" s="106">
        <v>2336.3999999999996</v>
      </c>
      <c r="BX76" s="106">
        <v>6.5650912509704398</v>
      </c>
      <c r="BY76" s="106">
        <v>5112.8930662557786</v>
      </c>
      <c r="BZ76" s="106">
        <v>4.5274652945189446</v>
      </c>
      <c r="CA76" s="106">
        <v>3525.9899713713539</v>
      </c>
      <c r="CB76" s="106">
        <v>4</v>
      </c>
      <c r="CC76" s="106">
        <v>3115.2</v>
      </c>
      <c r="CD76" s="106">
        <v>5</v>
      </c>
      <c r="CE76" s="106">
        <v>3894</v>
      </c>
      <c r="CF76" s="106">
        <v>19</v>
      </c>
      <c r="CG76" s="106">
        <v>14797.199999999999</v>
      </c>
      <c r="CH76" s="106">
        <v>24</v>
      </c>
      <c r="CI76" s="106">
        <v>18691.199999999997</v>
      </c>
      <c r="CJ76" s="106">
        <v>32</v>
      </c>
      <c r="CK76" s="106">
        <v>24921.599999999999</v>
      </c>
      <c r="CL76" s="106">
        <v>16</v>
      </c>
      <c r="CM76" s="106">
        <v>12460.8</v>
      </c>
      <c r="CN76" s="106">
        <v>4</v>
      </c>
      <c r="CO76" s="106">
        <v>3115.2</v>
      </c>
      <c r="CP76" s="106">
        <v>4</v>
      </c>
      <c r="CQ76" s="106">
        <v>3115.2</v>
      </c>
      <c r="CR76" s="106">
        <v>4</v>
      </c>
      <c r="CS76" s="106">
        <v>3115.2</v>
      </c>
      <c r="CT76" s="106">
        <v>4</v>
      </c>
      <c r="CU76" s="106">
        <v>3115.2</v>
      </c>
    </row>
    <row r="77" spans="2:99" x14ac:dyDescent="0.2">
      <c r="C77" s="105" t="s">
        <v>243</v>
      </c>
      <c r="D77" s="106">
        <v>19</v>
      </c>
      <c r="E77" s="106">
        <v>5289.5999999999995</v>
      </c>
      <c r="F77" s="106">
        <v>19</v>
      </c>
      <c r="G77" s="106">
        <v>5289.5999999999995</v>
      </c>
      <c r="H77" s="106">
        <v>15.596566077003121</v>
      </c>
      <c r="I77" s="106">
        <v>4342.0839958376682</v>
      </c>
      <c r="J77" s="106">
        <v>20.710499973734215</v>
      </c>
      <c r="K77" s="106">
        <v>5765.8031926876047</v>
      </c>
      <c r="L77" s="106">
        <v>23</v>
      </c>
      <c r="M77" s="106">
        <v>6403.2</v>
      </c>
      <c r="N77" s="106">
        <v>17</v>
      </c>
      <c r="O77" s="106">
        <v>4732.7999999999993</v>
      </c>
      <c r="P77" s="106">
        <v>18</v>
      </c>
      <c r="Q77" s="106">
        <v>5011.2</v>
      </c>
      <c r="R77" s="106">
        <v>24</v>
      </c>
      <c r="S77" s="106">
        <v>6681.5999999999995</v>
      </c>
      <c r="T77" s="106">
        <v>7</v>
      </c>
      <c r="U77" s="106">
        <v>1948.7999999999997</v>
      </c>
      <c r="V77" s="106">
        <v>5.8144592122374306</v>
      </c>
      <c r="W77" s="106">
        <v>1618.7454446869006</v>
      </c>
      <c r="X77" s="106">
        <v>7</v>
      </c>
      <c r="Y77" s="106">
        <v>1948.7999999999997</v>
      </c>
      <c r="Z77" s="106">
        <v>7.7195366451325462</v>
      </c>
      <c r="AA77" s="106">
        <v>2149.1190020049007</v>
      </c>
      <c r="AB77" s="106">
        <v>9.6828579336868472</v>
      </c>
      <c r="AC77" s="106">
        <v>2695.7076487384179</v>
      </c>
      <c r="AD77" s="106">
        <v>11</v>
      </c>
      <c r="AE77" s="106">
        <v>3062.3999999999996</v>
      </c>
      <c r="AF77" s="106">
        <v>6</v>
      </c>
      <c r="AG77" s="106">
        <v>1670.3999999999999</v>
      </c>
      <c r="AH77" s="106">
        <v>11.836028928336621</v>
      </c>
      <c r="AI77" s="106">
        <v>3295.1504536489151</v>
      </c>
      <c r="AJ77" s="106">
        <v>6.3307337934515937</v>
      </c>
      <c r="AK77" s="106">
        <v>1762.4762880969236</v>
      </c>
      <c r="AL77" s="106">
        <v>5.3631344921444519</v>
      </c>
      <c r="AM77" s="106">
        <v>1493.0966426130153</v>
      </c>
      <c r="AN77" s="106">
        <v>5.4119122087971432</v>
      </c>
      <c r="AO77" s="106">
        <v>1506.6763589291245</v>
      </c>
      <c r="AP77" s="106">
        <v>4</v>
      </c>
      <c r="AQ77" s="106">
        <v>1113.5999999999999</v>
      </c>
      <c r="AR77" s="106">
        <v>47</v>
      </c>
      <c r="AS77" s="106">
        <v>13084.8</v>
      </c>
      <c r="AT77" s="106">
        <v>27.401983749188627</v>
      </c>
      <c r="AU77" s="106">
        <v>7628.7122757741136</v>
      </c>
      <c r="AV77" s="106">
        <v>29.998508421513034</v>
      </c>
      <c r="AW77" s="106">
        <v>8351.5847445492273</v>
      </c>
      <c r="AX77" s="106">
        <v>37</v>
      </c>
      <c r="AY77" s="106">
        <v>10300.799999999999</v>
      </c>
      <c r="AZ77" s="106">
        <v>55</v>
      </c>
      <c r="BA77" s="106">
        <v>15311.999999999998</v>
      </c>
      <c r="BB77" s="106">
        <v>61</v>
      </c>
      <c r="BC77" s="106">
        <v>16982.399999999998</v>
      </c>
      <c r="BD77" s="106">
        <v>69</v>
      </c>
      <c r="BE77" s="106">
        <v>19209.599999999999</v>
      </c>
      <c r="BF77" s="106">
        <v>74</v>
      </c>
      <c r="BG77" s="106">
        <v>20601.599999999999</v>
      </c>
      <c r="BH77" s="106">
        <v>4</v>
      </c>
      <c r="BI77" s="106">
        <v>1113.5999999999999</v>
      </c>
      <c r="BJ77" s="106">
        <v>4</v>
      </c>
      <c r="BK77" s="106">
        <v>1113.5999999999999</v>
      </c>
      <c r="BL77" s="106">
        <v>4</v>
      </c>
      <c r="BM77" s="106">
        <v>1113.5999999999999</v>
      </c>
      <c r="BN77" s="106">
        <v>5</v>
      </c>
      <c r="BO77" s="106">
        <v>1392</v>
      </c>
      <c r="BP77" s="106">
        <v>3</v>
      </c>
      <c r="BQ77" s="106">
        <v>835.19999999999993</v>
      </c>
      <c r="BR77" s="106">
        <v>3</v>
      </c>
      <c r="BS77" s="106">
        <v>835.19999999999993</v>
      </c>
      <c r="BT77" s="106">
        <v>4.4490317445355618</v>
      </c>
      <c r="BU77" s="106">
        <v>1238.6104376787002</v>
      </c>
      <c r="BV77" s="106">
        <v>4</v>
      </c>
      <c r="BW77" s="106">
        <v>1113.5999999999999</v>
      </c>
      <c r="BX77" s="106">
        <v>6.6781095011645277</v>
      </c>
      <c r="BY77" s="106">
        <v>1859.1856851242044</v>
      </c>
      <c r="BZ77" s="106">
        <v>3.5010920297929977</v>
      </c>
      <c r="CA77" s="106">
        <v>974.70402109437043</v>
      </c>
      <c r="CB77" s="106">
        <v>4</v>
      </c>
      <c r="CC77" s="106">
        <v>1113.5999999999999</v>
      </c>
      <c r="CD77" s="106">
        <v>5</v>
      </c>
      <c r="CE77" s="106">
        <v>1392</v>
      </c>
      <c r="CF77" s="106">
        <v>21</v>
      </c>
      <c r="CG77" s="106">
        <v>5846.4</v>
      </c>
      <c r="CH77" s="106">
        <v>28</v>
      </c>
      <c r="CI77" s="106">
        <v>7795.1999999999989</v>
      </c>
      <c r="CJ77" s="106">
        <v>37</v>
      </c>
      <c r="CK77" s="106">
        <v>10300.799999999999</v>
      </c>
      <c r="CL77" s="106">
        <v>21</v>
      </c>
      <c r="CM77" s="106">
        <v>5846.4</v>
      </c>
      <c r="CN77" s="106">
        <v>4</v>
      </c>
      <c r="CO77" s="106">
        <v>1113.5999999999999</v>
      </c>
      <c r="CP77" s="106">
        <v>4</v>
      </c>
      <c r="CQ77" s="106">
        <v>1113.5999999999999</v>
      </c>
      <c r="CR77" s="106">
        <v>4</v>
      </c>
      <c r="CS77" s="106">
        <v>1113.5999999999999</v>
      </c>
      <c r="CT77" s="106">
        <v>4</v>
      </c>
      <c r="CU77" s="106">
        <v>1113.5999999999999</v>
      </c>
    </row>
    <row r="78" spans="2:99" x14ac:dyDescent="0.2">
      <c r="C78" s="105" t="s">
        <v>244</v>
      </c>
      <c r="D78" s="106">
        <v>19</v>
      </c>
      <c r="E78" s="106">
        <v>10488</v>
      </c>
      <c r="F78" s="106">
        <v>19</v>
      </c>
      <c r="G78" s="106">
        <v>10488</v>
      </c>
      <c r="H78" s="106">
        <v>13.530280957336108</v>
      </c>
      <c r="I78" s="106">
        <v>7468.7150884495322</v>
      </c>
      <c r="J78" s="106">
        <v>21.752294089836226</v>
      </c>
      <c r="K78" s="106">
        <v>12007.266337589597</v>
      </c>
      <c r="L78" s="106">
        <v>19</v>
      </c>
      <c r="M78" s="106">
        <v>10488</v>
      </c>
      <c r="N78" s="106">
        <v>17</v>
      </c>
      <c r="O78" s="106">
        <v>9384</v>
      </c>
      <c r="P78" s="106">
        <v>16</v>
      </c>
      <c r="Q78" s="106">
        <v>8832</v>
      </c>
      <c r="R78" s="106">
        <v>22</v>
      </c>
      <c r="S78" s="106">
        <v>12144</v>
      </c>
      <c r="T78" s="106">
        <v>6</v>
      </c>
      <c r="U78" s="106">
        <v>3312</v>
      </c>
      <c r="V78" s="106">
        <v>6.8144592122374306</v>
      </c>
      <c r="W78" s="106">
        <v>3761.5814851550617</v>
      </c>
      <c r="X78" s="106">
        <v>6</v>
      </c>
      <c r="Y78" s="106">
        <v>3312</v>
      </c>
      <c r="Z78" s="106">
        <v>8.7952773446201817</v>
      </c>
      <c r="AA78" s="106">
        <v>4854.9930942303399</v>
      </c>
      <c r="AB78" s="106">
        <v>8.7316335003787664</v>
      </c>
      <c r="AC78" s="106">
        <v>4819.8616922090787</v>
      </c>
      <c r="AD78" s="106">
        <v>11</v>
      </c>
      <c r="AE78" s="106">
        <v>6072</v>
      </c>
      <c r="AF78" s="106">
        <v>5</v>
      </c>
      <c r="AG78" s="106">
        <v>2760</v>
      </c>
      <c r="AH78" s="106">
        <v>10.786850756081526</v>
      </c>
      <c r="AI78" s="106">
        <v>5954.3416173570022</v>
      </c>
      <c r="AJ78" s="106">
        <v>6.297660414106435</v>
      </c>
      <c r="AK78" s="106">
        <v>3476.3085485867523</v>
      </c>
      <c r="AL78" s="106">
        <v>5.3268210429300069</v>
      </c>
      <c r="AM78" s="106">
        <v>2940.4052156973639</v>
      </c>
      <c r="AN78" s="106">
        <v>5.441334509425511</v>
      </c>
      <c r="AO78" s="106">
        <v>3003.6166492028819</v>
      </c>
      <c r="AP78" s="106">
        <v>4</v>
      </c>
      <c r="AQ78" s="106">
        <v>2208</v>
      </c>
      <c r="AR78" s="106">
        <v>42</v>
      </c>
      <c r="AS78" s="106">
        <v>23184</v>
      </c>
      <c r="AT78" s="106">
        <v>28.573554016987813</v>
      </c>
      <c r="AU78" s="106">
        <v>15772.601817377274</v>
      </c>
      <c r="AV78" s="106">
        <v>33.676168353527061</v>
      </c>
      <c r="AW78" s="106">
        <v>18589.244931146939</v>
      </c>
      <c r="AX78" s="106">
        <v>42</v>
      </c>
      <c r="AY78" s="106">
        <v>23184</v>
      </c>
      <c r="AZ78" s="106">
        <v>47</v>
      </c>
      <c r="BA78" s="106">
        <v>25944</v>
      </c>
      <c r="BB78" s="106">
        <v>58</v>
      </c>
      <c r="BC78" s="106">
        <v>32016</v>
      </c>
      <c r="BD78" s="106">
        <v>69</v>
      </c>
      <c r="BE78" s="106">
        <v>38088</v>
      </c>
      <c r="BF78" s="106">
        <v>69</v>
      </c>
      <c r="BG78" s="106">
        <v>38088</v>
      </c>
      <c r="BH78" s="106">
        <v>4</v>
      </c>
      <c r="BI78" s="106">
        <v>2208</v>
      </c>
      <c r="BJ78" s="106">
        <v>4</v>
      </c>
      <c r="BK78" s="106">
        <v>2208</v>
      </c>
      <c r="BL78" s="106">
        <v>4</v>
      </c>
      <c r="BM78" s="106">
        <v>2208</v>
      </c>
      <c r="BN78" s="106">
        <v>5</v>
      </c>
      <c r="BO78" s="106">
        <v>2760</v>
      </c>
      <c r="BP78" s="106">
        <v>4</v>
      </c>
      <c r="BQ78" s="106">
        <v>2208</v>
      </c>
      <c r="BR78" s="106">
        <v>3</v>
      </c>
      <c r="BS78" s="106">
        <v>1656</v>
      </c>
      <c r="BT78" s="106">
        <v>5.4490317445355618</v>
      </c>
      <c r="BU78" s="106">
        <v>3007.8655229836299</v>
      </c>
      <c r="BV78" s="106">
        <v>3.4067562547631174</v>
      </c>
      <c r="BW78" s="106">
        <v>1880.5294526292407</v>
      </c>
      <c r="BX78" s="106">
        <v>6.5650912509704398</v>
      </c>
      <c r="BY78" s="106">
        <v>3623.9303705356829</v>
      </c>
      <c r="BZ78" s="106">
        <v>4.5010920297929973</v>
      </c>
      <c r="CA78" s="106">
        <v>2484.6028004457344</v>
      </c>
      <c r="CB78" s="106">
        <v>4</v>
      </c>
      <c r="CC78" s="106">
        <v>2208</v>
      </c>
      <c r="CD78" s="106">
        <v>5</v>
      </c>
      <c r="CE78" s="106">
        <v>2760</v>
      </c>
      <c r="CF78" s="106">
        <v>19</v>
      </c>
      <c r="CG78" s="106">
        <v>10488</v>
      </c>
      <c r="CH78" s="106">
        <v>25</v>
      </c>
      <c r="CI78" s="106">
        <v>13800</v>
      </c>
      <c r="CJ78" s="106">
        <v>36</v>
      </c>
      <c r="CK78" s="106">
        <v>19872</v>
      </c>
      <c r="CL78" s="106">
        <v>19</v>
      </c>
      <c r="CM78" s="106">
        <v>10488</v>
      </c>
      <c r="CN78" s="106">
        <v>4</v>
      </c>
      <c r="CO78" s="106">
        <v>2208</v>
      </c>
      <c r="CP78" s="106">
        <v>4</v>
      </c>
      <c r="CQ78" s="106">
        <v>2208</v>
      </c>
      <c r="CR78" s="106">
        <v>4</v>
      </c>
      <c r="CS78" s="106">
        <v>2208</v>
      </c>
      <c r="CT78" s="106">
        <v>5</v>
      </c>
      <c r="CU78" s="106">
        <v>2760</v>
      </c>
    </row>
    <row r="79" spans="2:99" x14ac:dyDescent="0.2">
      <c r="C79" s="105" t="s">
        <v>245</v>
      </c>
      <c r="D79" s="106">
        <v>17</v>
      </c>
      <c r="E79" s="106">
        <v>12872.4</v>
      </c>
      <c r="F79" s="106">
        <v>15</v>
      </c>
      <c r="G79" s="106">
        <v>11357.999999999998</v>
      </c>
      <c r="H79" s="106">
        <v>13.563423517169616</v>
      </c>
      <c r="I79" s="106">
        <v>10270.224287200832</v>
      </c>
      <c r="J79" s="106">
        <v>18.668705857632204</v>
      </c>
      <c r="K79" s="106">
        <v>14135.944075399104</v>
      </c>
      <c r="L79" s="106">
        <v>21</v>
      </c>
      <c r="M79" s="106">
        <v>15901.199999999999</v>
      </c>
      <c r="N79" s="106">
        <v>17</v>
      </c>
      <c r="O79" s="106">
        <v>12872.4</v>
      </c>
      <c r="P79" s="106">
        <v>16</v>
      </c>
      <c r="Q79" s="106">
        <v>12115.199999999999</v>
      </c>
      <c r="R79" s="106">
        <v>20</v>
      </c>
      <c r="S79" s="106">
        <v>15143.999999999998</v>
      </c>
      <c r="T79" s="106">
        <v>7</v>
      </c>
      <c r="U79" s="106">
        <v>5300.4</v>
      </c>
      <c r="V79" s="106">
        <v>5.8144592122374306</v>
      </c>
      <c r="W79" s="106">
        <v>4402.7085155061823</v>
      </c>
      <c r="X79" s="106">
        <v>7</v>
      </c>
      <c r="Y79" s="106">
        <v>5300.4</v>
      </c>
      <c r="Z79" s="106">
        <v>7.7574069948763649</v>
      </c>
      <c r="AA79" s="106">
        <v>5873.9085765203827</v>
      </c>
      <c r="AB79" s="106">
        <v>8.6828579336868472</v>
      </c>
      <c r="AC79" s="106">
        <v>6574.6600273876802</v>
      </c>
      <c r="AD79" s="106">
        <v>11</v>
      </c>
      <c r="AE79" s="106">
        <v>8329.1999999999989</v>
      </c>
      <c r="AF79" s="106">
        <v>5</v>
      </c>
      <c r="AG79" s="106">
        <v>3785.9999999999995</v>
      </c>
      <c r="AH79" s="106">
        <v>9.7868507560815257</v>
      </c>
      <c r="AI79" s="106">
        <v>7410.6033925049305</v>
      </c>
      <c r="AJ79" s="106">
        <v>6.3307337934515937</v>
      </c>
      <c r="AK79" s="106">
        <v>4793.6316284015465</v>
      </c>
      <c r="AL79" s="106">
        <v>4.3631344921444519</v>
      </c>
      <c r="AM79" s="106">
        <v>3303.7654374517788</v>
      </c>
      <c r="AN79" s="106">
        <v>5.441334509425511</v>
      </c>
      <c r="AO79" s="106">
        <v>4120.1784905369968</v>
      </c>
      <c r="AP79" s="106">
        <v>4</v>
      </c>
      <c r="AQ79" s="106">
        <v>3028.7999999999997</v>
      </c>
      <c r="AR79" s="106">
        <v>42</v>
      </c>
      <c r="AS79" s="106">
        <v>31802.399999999998</v>
      </c>
      <c r="AT79" s="106">
        <v>24.444876316138423</v>
      </c>
      <c r="AU79" s="106">
        <v>18509.660346580011</v>
      </c>
      <c r="AV79" s="106">
        <v>28.740636367124253</v>
      </c>
      <c r="AW79" s="106">
        <v>21762.409857186482</v>
      </c>
      <c r="AX79" s="106">
        <v>36</v>
      </c>
      <c r="AY79" s="106">
        <v>27259.199999999997</v>
      </c>
      <c r="AZ79" s="106">
        <v>50</v>
      </c>
      <c r="BA79" s="106">
        <v>37860</v>
      </c>
      <c r="BB79" s="106">
        <v>61</v>
      </c>
      <c r="BC79" s="106">
        <v>46189.2</v>
      </c>
      <c r="BD79" s="106">
        <v>60</v>
      </c>
      <c r="BE79" s="106">
        <v>45431.999999999993</v>
      </c>
      <c r="BF79" s="106">
        <v>56</v>
      </c>
      <c r="BG79" s="106">
        <v>42403.199999999997</v>
      </c>
      <c r="BH79" s="106">
        <v>4</v>
      </c>
      <c r="BI79" s="106">
        <v>3028.7999999999997</v>
      </c>
      <c r="BJ79" s="106">
        <v>4</v>
      </c>
      <c r="BK79" s="106">
        <v>3028.7999999999997</v>
      </c>
      <c r="BL79" s="106">
        <v>3</v>
      </c>
      <c r="BM79" s="106">
        <v>2271.6</v>
      </c>
      <c r="BN79" s="106">
        <v>4</v>
      </c>
      <c r="BO79" s="106">
        <v>3028.7999999999997</v>
      </c>
      <c r="BP79" s="106">
        <v>4</v>
      </c>
      <c r="BQ79" s="106">
        <v>3028.7999999999997</v>
      </c>
      <c r="BR79" s="106">
        <v>3</v>
      </c>
      <c r="BS79" s="106">
        <v>2271.6</v>
      </c>
      <c r="BT79" s="106">
        <v>5</v>
      </c>
      <c r="BU79" s="106">
        <v>3785.9999999999995</v>
      </c>
      <c r="BV79" s="106">
        <v>3.4067562547631174</v>
      </c>
      <c r="BW79" s="106">
        <v>2579.5958361066323</v>
      </c>
      <c r="BX79" s="106">
        <v>6.5933458135189609</v>
      </c>
      <c r="BY79" s="106">
        <v>4992.4814499965569</v>
      </c>
      <c r="BZ79" s="106">
        <v>4.5010920297929973</v>
      </c>
      <c r="CA79" s="106">
        <v>3408.2268849592574</v>
      </c>
      <c r="CB79" s="106">
        <v>3</v>
      </c>
      <c r="CC79" s="106">
        <v>2271.6</v>
      </c>
      <c r="CD79" s="106">
        <v>5</v>
      </c>
      <c r="CE79" s="106">
        <v>3785.9999999999995</v>
      </c>
      <c r="CF79" s="106">
        <v>17</v>
      </c>
      <c r="CG79" s="106">
        <v>12872.4</v>
      </c>
      <c r="CH79" s="106">
        <v>27</v>
      </c>
      <c r="CI79" s="106">
        <v>20444.399999999998</v>
      </c>
      <c r="CJ79" s="106">
        <v>31</v>
      </c>
      <c r="CK79" s="106">
        <v>23473.199999999997</v>
      </c>
      <c r="CL79" s="106">
        <v>18</v>
      </c>
      <c r="CM79" s="106">
        <v>13629.599999999999</v>
      </c>
      <c r="CN79" s="106">
        <v>4</v>
      </c>
      <c r="CO79" s="106">
        <v>3028.7999999999997</v>
      </c>
      <c r="CP79" s="106">
        <v>5</v>
      </c>
      <c r="CQ79" s="106">
        <v>3785.9999999999995</v>
      </c>
      <c r="CR79" s="106">
        <v>4</v>
      </c>
      <c r="CS79" s="106">
        <v>3028.7999999999997</v>
      </c>
      <c r="CT79" s="106">
        <v>4</v>
      </c>
      <c r="CU79" s="106">
        <v>3028.7999999999997</v>
      </c>
    </row>
    <row r="80" spans="2:99" x14ac:dyDescent="0.2">
      <c r="C80" s="105" t="s">
        <v>246</v>
      </c>
      <c r="D80" s="106">
        <v>20</v>
      </c>
      <c r="E80" s="106">
        <v>16103.999999999998</v>
      </c>
      <c r="F80" s="106">
        <v>16</v>
      </c>
      <c r="G80" s="106">
        <v>12883.199999999999</v>
      </c>
      <c r="H80" s="106">
        <v>14.530280957336108</v>
      </c>
      <c r="I80" s="106">
        <v>11699.782226847034</v>
      </c>
      <c r="J80" s="106">
        <v>19.710499973734215</v>
      </c>
      <c r="K80" s="106">
        <v>15870.894578850788</v>
      </c>
      <c r="L80" s="106">
        <v>20</v>
      </c>
      <c r="M80" s="106">
        <v>16103.999999999998</v>
      </c>
      <c r="N80" s="106">
        <v>18</v>
      </c>
      <c r="O80" s="106">
        <v>14493.599999999999</v>
      </c>
      <c r="P80" s="106">
        <v>17</v>
      </c>
      <c r="Q80" s="106">
        <v>13688.4</v>
      </c>
      <c r="R80" s="106">
        <v>22</v>
      </c>
      <c r="S80" s="106">
        <v>17714.399999999998</v>
      </c>
      <c r="T80" s="106">
        <v>7</v>
      </c>
      <c r="U80" s="106">
        <v>5636.4</v>
      </c>
      <c r="V80" s="106">
        <v>6.7692114782242401</v>
      </c>
      <c r="W80" s="106">
        <v>5450.5690822661572</v>
      </c>
      <c r="X80" s="106">
        <v>6</v>
      </c>
      <c r="Y80" s="106">
        <v>4831.2</v>
      </c>
      <c r="Z80" s="106">
        <v>7.7952773446201826</v>
      </c>
      <c r="AA80" s="106">
        <v>6276.7573178881703</v>
      </c>
      <c r="AB80" s="106">
        <v>8.7316335003787664</v>
      </c>
      <c r="AC80" s="106">
        <v>7030.7112945049821</v>
      </c>
      <c r="AD80" s="106">
        <v>10</v>
      </c>
      <c r="AE80" s="106">
        <v>8051.9999999999991</v>
      </c>
      <c r="AF80" s="106">
        <v>6</v>
      </c>
      <c r="AG80" s="106">
        <v>4831.2</v>
      </c>
      <c r="AH80" s="106">
        <v>9.7868507560815257</v>
      </c>
      <c r="AI80" s="106">
        <v>7880.372228796844</v>
      </c>
      <c r="AJ80" s="106">
        <v>6.3307337934515937</v>
      </c>
      <c r="AK80" s="106">
        <v>5097.5068504872224</v>
      </c>
      <c r="AL80" s="106">
        <v>5.3631344921444519</v>
      </c>
      <c r="AM80" s="106">
        <v>4318.3958930747121</v>
      </c>
      <c r="AN80" s="106">
        <v>4.3824899081687754</v>
      </c>
      <c r="AO80" s="106">
        <v>3528.7808740574978</v>
      </c>
      <c r="AP80" s="106">
        <v>4</v>
      </c>
      <c r="AQ80" s="106">
        <v>3220.7999999999997</v>
      </c>
      <c r="AR80" s="106">
        <v>39</v>
      </c>
      <c r="AS80" s="106">
        <v>31402.799999999996</v>
      </c>
      <c r="AT80" s="106">
        <v>27.359091182238828</v>
      </c>
      <c r="AU80" s="106">
        <v>22029.540219938703</v>
      </c>
      <c r="AV80" s="106">
        <v>30.611700339929865</v>
      </c>
      <c r="AW80" s="106">
        <v>24648.541113711526</v>
      </c>
      <c r="AX80" s="106">
        <v>36</v>
      </c>
      <c r="AY80" s="106">
        <v>28987.199999999997</v>
      </c>
      <c r="AZ80" s="106">
        <v>42</v>
      </c>
      <c r="BA80" s="106">
        <v>33818.399999999994</v>
      </c>
      <c r="BB80" s="106">
        <v>61</v>
      </c>
      <c r="BC80" s="106">
        <v>49117.2</v>
      </c>
      <c r="BD80" s="106">
        <v>57</v>
      </c>
      <c r="BE80" s="106">
        <v>45896.399999999994</v>
      </c>
      <c r="BF80" s="106">
        <v>56</v>
      </c>
      <c r="BG80" s="106">
        <v>45091.199999999997</v>
      </c>
      <c r="BH80" s="106">
        <v>4</v>
      </c>
      <c r="BI80" s="106">
        <v>3220.7999999999997</v>
      </c>
      <c r="BJ80" s="106">
        <v>4</v>
      </c>
      <c r="BK80" s="106">
        <v>3220.7999999999997</v>
      </c>
      <c r="BL80" s="106">
        <v>4</v>
      </c>
      <c r="BM80" s="106">
        <v>3220.7999999999997</v>
      </c>
      <c r="BN80" s="106">
        <v>4</v>
      </c>
      <c r="BO80" s="106">
        <v>3220.7999999999997</v>
      </c>
      <c r="BP80" s="106">
        <v>3</v>
      </c>
      <c r="BQ80" s="106">
        <v>2415.6</v>
      </c>
      <c r="BR80" s="106">
        <v>3</v>
      </c>
      <c r="BS80" s="106">
        <v>2415.6</v>
      </c>
      <c r="BT80" s="106">
        <v>4.4490317445355618</v>
      </c>
      <c r="BU80" s="106">
        <v>3582.3603607000341</v>
      </c>
      <c r="BV80" s="106">
        <v>4.3728599001995248</v>
      </c>
      <c r="BW80" s="106">
        <v>3521.0267916406569</v>
      </c>
      <c r="BX80" s="106">
        <v>5.6216003760674838</v>
      </c>
      <c r="BY80" s="106">
        <v>4526.5126228095378</v>
      </c>
      <c r="BZ80" s="106">
        <v>3.5274652945189446</v>
      </c>
      <c r="CA80" s="106">
        <v>2840.3150551466538</v>
      </c>
      <c r="CB80" s="106">
        <v>4</v>
      </c>
      <c r="CC80" s="106">
        <v>3220.7999999999997</v>
      </c>
      <c r="CD80" s="106">
        <v>5</v>
      </c>
      <c r="CE80" s="106">
        <v>4025.9999999999995</v>
      </c>
      <c r="CF80" s="106">
        <v>17</v>
      </c>
      <c r="CG80" s="106">
        <v>13688.4</v>
      </c>
      <c r="CH80" s="106">
        <v>25</v>
      </c>
      <c r="CI80" s="106">
        <v>20130</v>
      </c>
      <c r="CJ80" s="106">
        <v>29</v>
      </c>
      <c r="CK80" s="106">
        <v>23350.799999999999</v>
      </c>
      <c r="CL80" s="106">
        <v>16</v>
      </c>
      <c r="CM80" s="106">
        <v>12883.199999999999</v>
      </c>
      <c r="CN80" s="106">
        <v>4</v>
      </c>
      <c r="CO80" s="106">
        <v>3220.7999999999997</v>
      </c>
      <c r="CP80" s="106">
        <v>5</v>
      </c>
      <c r="CQ80" s="106">
        <v>4025.9999999999995</v>
      </c>
      <c r="CR80" s="106">
        <v>4</v>
      </c>
      <c r="CS80" s="106">
        <v>3220.7999999999997</v>
      </c>
      <c r="CT80" s="106">
        <v>4</v>
      </c>
      <c r="CU80" s="106">
        <v>3220.7999999999997</v>
      </c>
    </row>
    <row r="81" spans="2:99" x14ac:dyDescent="0.2">
      <c r="C81" s="105" t="s">
        <v>247</v>
      </c>
      <c r="D81" s="106">
        <v>18</v>
      </c>
      <c r="E81" s="106">
        <v>13564.800000000001</v>
      </c>
      <c r="F81" s="106">
        <v>18</v>
      </c>
      <c r="G81" s="106">
        <v>13564.800000000001</v>
      </c>
      <c r="H81" s="106">
        <v>14.596566077003121</v>
      </c>
      <c r="I81" s="106">
        <v>10999.972195629553</v>
      </c>
      <c r="J81" s="106">
        <v>18.710499973734215</v>
      </c>
      <c r="K81" s="106">
        <v>14100.232780206105</v>
      </c>
      <c r="L81" s="106">
        <v>22</v>
      </c>
      <c r="M81" s="106">
        <v>16579.2</v>
      </c>
      <c r="N81" s="106">
        <v>17</v>
      </c>
      <c r="O81" s="106">
        <v>12811.2</v>
      </c>
      <c r="P81" s="106">
        <v>17</v>
      </c>
      <c r="Q81" s="106">
        <v>12811.2</v>
      </c>
      <c r="R81" s="106">
        <v>22</v>
      </c>
      <c r="S81" s="106">
        <v>16579.2</v>
      </c>
      <c r="T81" s="106">
        <v>6</v>
      </c>
      <c r="U81" s="106">
        <v>4521.6000000000004</v>
      </c>
      <c r="V81" s="106">
        <v>6.8597069462506219</v>
      </c>
      <c r="W81" s="106">
        <v>5169.475154694469</v>
      </c>
      <c r="X81" s="106">
        <v>7</v>
      </c>
      <c r="Y81" s="106">
        <v>5275.2</v>
      </c>
      <c r="Z81" s="106">
        <v>7.7574069948763649</v>
      </c>
      <c r="AA81" s="106">
        <v>5845.9819113388285</v>
      </c>
      <c r="AB81" s="106">
        <v>8.7316335003787664</v>
      </c>
      <c r="AC81" s="106">
        <v>6580.159005885439</v>
      </c>
      <c r="AD81" s="106">
        <v>10</v>
      </c>
      <c r="AE81" s="106">
        <v>7536</v>
      </c>
      <c r="AF81" s="106">
        <v>6</v>
      </c>
      <c r="AG81" s="106">
        <v>4521.6000000000004</v>
      </c>
      <c r="AH81" s="106">
        <v>10.786850756081526</v>
      </c>
      <c r="AI81" s="106">
        <v>8128.9707297830382</v>
      </c>
      <c r="AJ81" s="106">
        <v>5.297660414106435</v>
      </c>
      <c r="AK81" s="106">
        <v>3992.3168880706094</v>
      </c>
      <c r="AL81" s="106">
        <v>5.2905075937155619</v>
      </c>
      <c r="AM81" s="106">
        <v>3986.9265226240477</v>
      </c>
      <c r="AN81" s="106">
        <v>4.4119122087971432</v>
      </c>
      <c r="AO81" s="106">
        <v>3324.8170405495271</v>
      </c>
      <c r="AP81" s="106">
        <v>4</v>
      </c>
      <c r="AQ81" s="106">
        <v>3014.4</v>
      </c>
      <c r="AR81" s="106">
        <v>40</v>
      </c>
      <c r="AS81" s="106">
        <v>30144</v>
      </c>
      <c r="AT81" s="106">
        <v>26.401983749188627</v>
      </c>
      <c r="AU81" s="106">
        <v>19896.534953388549</v>
      </c>
      <c r="AV81" s="106">
        <v>27.697657691392791</v>
      </c>
      <c r="AW81" s="106">
        <v>20872.95483623361</v>
      </c>
      <c r="AX81" s="106">
        <v>36</v>
      </c>
      <c r="AY81" s="106">
        <v>27129.600000000002</v>
      </c>
      <c r="AZ81" s="106">
        <v>49</v>
      </c>
      <c r="BA81" s="106">
        <v>36926.400000000001</v>
      </c>
      <c r="BB81" s="106">
        <v>58</v>
      </c>
      <c r="BC81" s="106">
        <v>43708.800000000003</v>
      </c>
      <c r="BD81" s="106">
        <v>65</v>
      </c>
      <c r="BE81" s="106">
        <v>48984</v>
      </c>
      <c r="BF81" s="106">
        <v>65</v>
      </c>
      <c r="BG81" s="106">
        <v>48984</v>
      </c>
      <c r="BH81" s="106">
        <v>4</v>
      </c>
      <c r="BI81" s="106">
        <v>3014.4</v>
      </c>
      <c r="BJ81" s="106">
        <v>4</v>
      </c>
      <c r="BK81" s="106">
        <v>3014.4</v>
      </c>
      <c r="BL81" s="106">
        <v>4</v>
      </c>
      <c r="BM81" s="106">
        <v>3014.4</v>
      </c>
      <c r="BN81" s="106">
        <v>4</v>
      </c>
      <c r="BO81" s="106">
        <v>3014.4</v>
      </c>
      <c r="BP81" s="106">
        <v>4</v>
      </c>
      <c r="BQ81" s="106">
        <v>3014.4</v>
      </c>
      <c r="BR81" s="106">
        <v>3</v>
      </c>
      <c r="BS81" s="106">
        <v>2260.8000000000002</v>
      </c>
      <c r="BT81" s="106">
        <v>5.3991393284760552</v>
      </c>
      <c r="BU81" s="106">
        <v>4068.7913979395553</v>
      </c>
      <c r="BV81" s="106">
        <v>3.4067562547631174</v>
      </c>
      <c r="BW81" s="106">
        <v>2567.3315135894854</v>
      </c>
      <c r="BX81" s="106">
        <v>6.5933458135189609</v>
      </c>
      <c r="BY81" s="106">
        <v>4968.7454050678889</v>
      </c>
      <c r="BZ81" s="106">
        <v>3.5274652945189446</v>
      </c>
      <c r="CA81" s="106">
        <v>2658.2978459494766</v>
      </c>
      <c r="CB81" s="106">
        <v>4</v>
      </c>
      <c r="CC81" s="106">
        <v>3014.4</v>
      </c>
      <c r="CD81" s="106">
        <v>5</v>
      </c>
      <c r="CE81" s="106">
        <v>3768</v>
      </c>
      <c r="CF81" s="106">
        <v>18</v>
      </c>
      <c r="CG81" s="106">
        <v>13564.800000000001</v>
      </c>
      <c r="CH81" s="106">
        <v>28</v>
      </c>
      <c r="CI81" s="106">
        <v>21100.799999999999</v>
      </c>
      <c r="CJ81" s="106">
        <v>35</v>
      </c>
      <c r="CK81" s="106">
        <v>26376</v>
      </c>
      <c r="CL81" s="106">
        <v>18</v>
      </c>
      <c r="CM81" s="106">
        <v>13564.800000000001</v>
      </c>
      <c r="CN81" s="106">
        <v>4</v>
      </c>
      <c r="CO81" s="106">
        <v>3014.4</v>
      </c>
      <c r="CP81" s="106">
        <v>4</v>
      </c>
      <c r="CQ81" s="106">
        <v>3014.4</v>
      </c>
      <c r="CR81" s="106">
        <v>4</v>
      </c>
      <c r="CS81" s="106">
        <v>3014.4</v>
      </c>
      <c r="CT81" s="106">
        <v>4</v>
      </c>
      <c r="CU81" s="106">
        <v>3014.4</v>
      </c>
    </row>
    <row r="82" spans="2:99" x14ac:dyDescent="0.2">
      <c r="C82" s="105" t="s">
        <v>248</v>
      </c>
      <c r="D82" s="106">
        <v>19</v>
      </c>
      <c r="E82" s="106">
        <v>9667.1999999999989</v>
      </c>
      <c r="F82" s="106">
        <v>17</v>
      </c>
      <c r="G82" s="106">
        <v>8649.5999999999985</v>
      </c>
      <c r="H82" s="106">
        <v>13.530280957336108</v>
      </c>
      <c r="I82" s="106">
        <v>6884.2069510926103</v>
      </c>
      <c r="J82" s="106">
        <v>17.668705857632204</v>
      </c>
      <c r="K82" s="106">
        <v>8989.8375403632635</v>
      </c>
      <c r="L82" s="106">
        <v>22</v>
      </c>
      <c r="M82" s="106">
        <v>11193.599999999999</v>
      </c>
      <c r="N82" s="106">
        <v>17</v>
      </c>
      <c r="O82" s="106">
        <v>8649.5999999999985</v>
      </c>
      <c r="P82" s="106">
        <v>19</v>
      </c>
      <c r="Q82" s="106">
        <v>9667.1999999999989</v>
      </c>
      <c r="R82" s="106">
        <v>21</v>
      </c>
      <c r="S82" s="106">
        <v>10684.799999999997</v>
      </c>
      <c r="T82" s="106">
        <v>7</v>
      </c>
      <c r="U82" s="106">
        <v>3561.5999999999995</v>
      </c>
      <c r="V82" s="106">
        <v>6.7692114782242401</v>
      </c>
      <c r="W82" s="106">
        <v>3444.1748001204928</v>
      </c>
      <c r="X82" s="106">
        <v>7</v>
      </c>
      <c r="Y82" s="106">
        <v>3561.5999999999995</v>
      </c>
      <c r="Z82" s="106">
        <v>7.7195366451325462</v>
      </c>
      <c r="AA82" s="106">
        <v>3927.7002450434388</v>
      </c>
      <c r="AB82" s="106">
        <v>8.7316335003787664</v>
      </c>
      <c r="AC82" s="106">
        <v>4442.6551249927152</v>
      </c>
      <c r="AD82" s="106">
        <v>11</v>
      </c>
      <c r="AE82" s="106">
        <v>5596.7999999999993</v>
      </c>
      <c r="AF82" s="106">
        <v>5</v>
      </c>
      <c r="AG82" s="106">
        <v>2543.9999999999995</v>
      </c>
      <c r="AH82" s="106">
        <v>10.786850756081526</v>
      </c>
      <c r="AI82" s="106">
        <v>5488.3496646942795</v>
      </c>
      <c r="AJ82" s="106">
        <v>6.3307337934515937</v>
      </c>
      <c r="AK82" s="106">
        <v>3221.0773541081703</v>
      </c>
      <c r="AL82" s="106">
        <v>5.3268210429300069</v>
      </c>
      <c r="AM82" s="106">
        <v>2710.286546642787</v>
      </c>
      <c r="AN82" s="106">
        <v>5.441334509425511</v>
      </c>
      <c r="AO82" s="106">
        <v>2768.5509983956995</v>
      </c>
      <c r="AP82" s="106">
        <v>4</v>
      </c>
      <c r="AQ82" s="106">
        <v>2035.1999999999996</v>
      </c>
      <c r="AR82" s="106">
        <v>40</v>
      </c>
      <c r="AS82" s="106">
        <v>20351.999999999996</v>
      </c>
      <c r="AT82" s="106">
        <v>28.444876316138423</v>
      </c>
      <c r="AU82" s="106">
        <v>14472.753069651226</v>
      </c>
      <c r="AV82" s="106">
        <v>30.633189677795599</v>
      </c>
      <c r="AW82" s="106">
        <v>15586.166908062398</v>
      </c>
      <c r="AX82" s="106">
        <v>37</v>
      </c>
      <c r="AY82" s="106">
        <v>18825.599999999995</v>
      </c>
      <c r="AZ82" s="106">
        <v>54</v>
      </c>
      <c r="BA82" s="106">
        <v>27475.199999999993</v>
      </c>
      <c r="BB82" s="106">
        <v>60</v>
      </c>
      <c r="BC82" s="106">
        <v>30527.999999999993</v>
      </c>
      <c r="BD82" s="106">
        <v>66</v>
      </c>
      <c r="BE82" s="106">
        <v>33580.799999999996</v>
      </c>
      <c r="BF82" s="106">
        <v>64</v>
      </c>
      <c r="BG82" s="106">
        <v>32563.199999999993</v>
      </c>
      <c r="BH82" s="106">
        <v>4</v>
      </c>
      <c r="BI82" s="106">
        <v>2035.1999999999996</v>
      </c>
      <c r="BJ82" s="106">
        <v>4</v>
      </c>
      <c r="BK82" s="106">
        <v>2035.1999999999996</v>
      </c>
      <c r="BL82" s="106">
        <v>4</v>
      </c>
      <c r="BM82" s="106">
        <v>2035.1999999999996</v>
      </c>
      <c r="BN82" s="106">
        <v>4</v>
      </c>
      <c r="BO82" s="106">
        <v>2035.1999999999996</v>
      </c>
      <c r="BP82" s="106">
        <v>4</v>
      </c>
      <c r="BQ82" s="106">
        <v>2035.1999999999996</v>
      </c>
      <c r="BR82" s="106">
        <v>3</v>
      </c>
      <c r="BS82" s="106">
        <v>1526.3999999999996</v>
      </c>
      <c r="BT82" s="106">
        <v>4.3991393284760552</v>
      </c>
      <c r="BU82" s="106">
        <v>2238.2820903286165</v>
      </c>
      <c r="BV82" s="106">
        <v>3.4067562547631174</v>
      </c>
      <c r="BW82" s="106">
        <v>1733.3575824234738</v>
      </c>
      <c r="BX82" s="106">
        <v>6.5933458135189609</v>
      </c>
      <c r="BY82" s="106">
        <v>3354.6943499184467</v>
      </c>
      <c r="BZ82" s="106">
        <v>4.4747187650670499</v>
      </c>
      <c r="CA82" s="106">
        <v>2276.7369076661143</v>
      </c>
      <c r="CB82" s="106">
        <v>3</v>
      </c>
      <c r="CC82" s="106">
        <v>1526.3999999999996</v>
      </c>
      <c r="CD82" s="106">
        <v>5</v>
      </c>
      <c r="CE82" s="106">
        <v>2543.9999999999995</v>
      </c>
      <c r="CF82" s="106">
        <v>18</v>
      </c>
      <c r="CG82" s="106">
        <v>9158.3999999999978</v>
      </c>
      <c r="CH82" s="106">
        <v>26</v>
      </c>
      <c r="CI82" s="106">
        <v>13228.799999999997</v>
      </c>
      <c r="CJ82" s="106">
        <v>34</v>
      </c>
      <c r="CK82" s="106">
        <v>17299.199999999997</v>
      </c>
      <c r="CL82" s="106">
        <v>18</v>
      </c>
      <c r="CM82" s="106">
        <v>9158.3999999999978</v>
      </c>
      <c r="CN82" s="106">
        <v>4</v>
      </c>
      <c r="CO82" s="106">
        <v>2035.1999999999996</v>
      </c>
      <c r="CP82" s="106">
        <v>5</v>
      </c>
      <c r="CQ82" s="106">
        <v>2543.9999999999995</v>
      </c>
      <c r="CR82" s="106">
        <v>4</v>
      </c>
      <c r="CS82" s="106">
        <v>2035.1999999999996</v>
      </c>
      <c r="CT82" s="106">
        <v>4</v>
      </c>
      <c r="CU82" s="106">
        <v>2035.1999999999996</v>
      </c>
    </row>
    <row r="83" spans="2:99" x14ac:dyDescent="0.2">
      <c r="C83" s="105" t="s">
        <v>249</v>
      </c>
      <c r="D83" s="106">
        <v>19</v>
      </c>
      <c r="E83" s="106">
        <v>16347.6</v>
      </c>
      <c r="F83" s="106">
        <v>17</v>
      </c>
      <c r="G83" s="106">
        <v>14626.8</v>
      </c>
      <c r="H83" s="106">
        <v>13.530280957336108</v>
      </c>
      <c r="I83" s="106">
        <v>11641.453735691988</v>
      </c>
      <c r="J83" s="106">
        <v>18.62691174153019</v>
      </c>
      <c r="K83" s="106">
        <v>16026.594862412576</v>
      </c>
      <c r="L83" s="106">
        <v>19</v>
      </c>
      <c r="M83" s="106">
        <v>16347.6</v>
      </c>
      <c r="N83" s="106">
        <v>15</v>
      </c>
      <c r="O83" s="106">
        <v>12906</v>
      </c>
      <c r="P83" s="106">
        <v>16</v>
      </c>
      <c r="Q83" s="106">
        <v>13766.4</v>
      </c>
      <c r="R83" s="106">
        <v>21</v>
      </c>
      <c r="S83" s="106">
        <v>18068.399999999998</v>
      </c>
      <c r="T83" s="106">
        <v>7</v>
      </c>
      <c r="U83" s="106">
        <v>6022.8</v>
      </c>
      <c r="V83" s="106">
        <v>5.8597069462506219</v>
      </c>
      <c r="W83" s="106">
        <v>5041.6918565540345</v>
      </c>
      <c r="X83" s="106">
        <v>7</v>
      </c>
      <c r="Y83" s="106">
        <v>6022.8</v>
      </c>
      <c r="Z83" s="106">
        <v>7.7574069948763649</v>
      </c>
      <c r="AA83" s="106">
        <v>6674.4729783916246</v>
      </c>
      <c r="AB83" s="106">
        <v>8.7804090670706838</v>
      </c>
      <c r="AC83" s="106">
        <v>7554.6639613076159</v>
      </c>
      <c r="AD83" s="106">
        <v>10</v>
      </c>
      <c r="AE83" s="106">
        <v>8604</v>
      </c>
      <c r="AF83" s="106">
        <v>5</v>
      </c>
      <c r="AG83" s="106">
        <v>4302</v>
      </c>
      <c r="AH83" s="106">
        <v>9.7376725838264306</v>
      </c>
      <c r="AI83" s="106">
        <v>8378.293491124261</v>
      </c>
      <c r="AJ83" s="106">
        <v>5.297660414106435</v>
      </c>
      <c r="AK83" s="106">
        <v>4558.1070202971769</v>
      </c>
      <c r="AL83" s="106">
        <v>5.3268210429300069</v>
      </c>
      <c r="AM83" s="106">
        <v>4583.1968253369778</v>
      </c>
      <c r="AN83" s="106">
        <v>5.441334509425511</v>
      </c>
      <c r="AO83" s="106">
        <v>4681.72421190971</v>
      </c>
      <c r="AP83" s="106">
        <v>4</v>
      </c>
      <c r="AQ83" s="106">
        <v>3441.6</v>
      </c>
      <c r="AR83" s="106">
        <v>40</v>
      </c>
      <c r="AS83" s="106">
        <v>34416</v>
      </c>
      <c r="AT83" s="106">
        <v>23.359091182238828</v>
      </c>
      <c r="AU83" s="106">
        <v>20098.162053198288</v>
      </c>
      <c r="AV83" s="106">
        <v>30.525742988466938</v>
      </c>
      <c r="AW83" s="106">
        <v>26264.349267276953</v>
      </c>
      <c r="AX83" s="106">
        <v>36</v>
      </c>
      <c r="AY83" s="106">
        <v>30974.399999999998</v>
      </c>
      <c r="AZ83" s="106">
        <v>48</v>
      </c>
      <c r="BA83" s="106">
        <v>41299.199999999997</v>
      </c>
      <c r="BB83" s="106">
        <v>61</v>
      </c>
      <c r="BC83" s="106">
        <v>52484.4</v>
      </c>
      <c r="BD83" s="106">
        <v>63</v>
      </c>
      <c r="BE83" s="106">
        <v>54205.2</v>
      </c>
      <c r="BF83" s="106">
        <v>64</v>
      </c>
      <c r="BG83" s="106">
        <v>55065.599999999999</v>
      </c>
      <c r="BH83" s="106">
        <v>4</v>
      </c>
      <c r="BI83" s="106">
        <v>3441.6</v>
      </c>
      <c r="BJ83" s="106">
        <v>4</v>
      </c>
      <c r="BK83" s="106">
        <v>3441.6</v>
      </c>
      <c r="BL83" s="106">
        <v>4</v>
      </c>
      <c r="BM83" s="106">
        <v>3441.6</v>
      </c>
      <c r="BN83" s="106">
        <v>4</v>
      </c>
      <c r="BO83" s="106">
        <v>3441.6</v>
      </c>
      <c r="BP83" s="106">
        <v>4</v>
      </c>
      <c r="BQ83" s="106">
        <v>3441.6</v>
      </c>
      <c r="BR83" s="106">
        <v>3</v>
      </c>
      <c r="BS83" s="106">
        <v>2581.1999999999998</v>
      </c>
      <c r="BT83" s="106">
        <v>4</v>
      </c>
      <c r="BU83" s="106">
        <v>3441.6</v>
      </c>
      <c r="BV83" s="106">
        <v>3.3728599001995243</v>
      </c>
      <c r="BW83" s="106">
        <v>2902.0086581316705</v>
      </c>
      <c r="BX83" s="106">
        <v>6.5933458135189609</v>
      </c>
      <c r="BY83" s="106">
        <v>5672.9147379517135</v>
      </c>
      <c r="BZ83" s="106">
        <v>3.4747187650670504</v>
      </c>
      <c r="CA83" s="106">
        <v>2989.6480254636899</v>
      </c>
      <c r="CB83" s="106">
        <v>4</v>
      </c>
      <c r="CC83" s="106">
        <v>3441.6</v>
      </c>
      <c r="CD83" s="106">
        <v>5</v>
      </c>
      <c r="CE83" s="106">
        <v>4302</v>
      </c>
      <c r="CF83" s="106">
        <v>19</v>
      </c>
      <c r="CG83" s="106">
        <v>16347.6</v>
      </c>
      <c r="CH83" s="106">
        <v>25</v>
      </c>
      <c r="CI83" s="106">
        <v>21510</v>
      </c>
      <c r="CJ83" s="106">
        <v>31</v>
      </c>
      <c r="CK83" s="106">
        <v>26672.399999999998</v>
      </c>
      <c r="CL83" s="106">
        <v>17</v>
      </c>
      <c r="CM83" s="106">
        <v>14626.8</v>
      </c>
      <c r="CN83" s="106">
        <v>4</v>
      </c>
      <c r="CO83" s="106">
        <v>3441.6</v>
      </c>
      <c r="CP83" s="106">
        <v>4</v>
      </c>
      <c r="CQ83" s="106">
        <v>3441.6</v>
      </c>
      <c r="CR83" s="106">
        <v>4</v>
      </c>
      <c r="CS83" s="106">
        <v>3441.6</v>
      </c>
      <c r="CT83" s="106">
        <v>5</v>
      </c>
      <c r="CU83" s="106">
        <v>4302</v>
      </c>
    </row>
    <row r="84" spans="2:99" x14ac:dyDescent="0.2">
      <c r="C84" s="105" t="s">
        <v>250</v>
      </c>
      <c r="D84" s="106">
        <v>18</v>
      </c>
      <c r="E84" s="106">
        <v>14061.599999999999</v>
      </c>
      <c r="F84" s="106">
        <v>17</v>
      </c>
      <c r="G84" s="106">
        <v>13280.4</v>
      </c>
      <c r="H84" s="106">
        <v>14.563423517169616</v>
      </c>
      <c r="I84" s="106">
        <v>11376.946451612903</v>
      </c>
      <c r="J84" s="106">
        <v>17.710499973734215</v>
      </c>
      <c r="K84" s="106">
        <v>13835.442579481169</v>
      </c>
      <c r="L84" s="106">
        <v>20</v>
      </c>
      <c r="M84" s="106">
        <v>15623.999999999998</v>
      </c>
      <c r="N84" s="106">
        <v>17</v>
      </c>
      <c r="O84" s="106">
        <v>13280.4</v>
      </c>
      <c r="P84" s="106">
        <v>16</v>
      </c>
      <c r="Q84" s="106">
        <v>12499.199999999999</v>
      </c>
      <c r="R84" s="106">
        <v>22</v>
      </c>
      <c r="S84" s="106">
        <v>17186.399999999998</v>
      </c>
      <c r="T84" s="106">
        <v>7</v>
      </c>
      <c r="U84" s="106">
        <v>5468.4</v>
      </c>
      <c r="V84" s="106">
        <v>5.7692114782242401</v>
      </c>
      <c r="W84" s="106">
        <v>4506.9080067887762</v>
      </c>
      <c r="X84" s="106">
        <v>7</v>
      </c>
      <c r="Y84" s="106">
        <v>5468.4</v>
      </c>
      <c r="Z84" s="106">
        <v>7.6816662953887285</v>
      </c>
      <c r="AA84" s="106">
        <v>6000.9177099576746</v>
      </c>
      <c r="AB84" s="106">
        <v>7.6828579336868481</v>
      </c>
      <c r="AC84" s="106">
        <v>6001.8486177961649</v>
      </c>
      <c r="AD84" s="106">
        <v>10</v>
      </c>
      <c r="AE84" s="106">
        <v>7811.9999999999991</v>
      </c>
      <c r="AF84" s="106">
        <v>6</v>
      </c>
      <c r="AG84" s="106">
        <v>4687.2</v>
      </c>
      <c r="AH84" s="106">
        <v>9.7376725838264306</v>
      </c>
      <c r="AI84" s="106">
        <v>7607.0698224852067</v>
      </c>
      <c r="AJ84" s="106">
        <v>6.297660414106435</v>
      </c>
      <c r="AK84" s="106">
        <v>4919.7323154999467</v>
      </c>
      <c r="AL84" s="106">
        <v>5.3268210429300069</v>
      </c>
      <c r="AM84" s="106">
        <v>4161.3125987369212</v>
      </c>
      <c r="AN84" s="106">
        <v>4.4119122087971432</v>
      </c>
      <c r="AO84" s="106">
        <v>3446.585817512328</v>
      </c>
      <c r="AP84" s="106">
        <v>4</v>
      </c>
      <c r="AQ84" s="106">
        <v>3124.7999999999997</v>
      </c>
      <c r="AR84" s="106">
        <v>43</v>
      </c>
      <c r="AS84" s="106">
        <v>33591.599999999999</v>
      </c>
      <c r="AT84" s="106">
        <v>24.230413481389441</v>
      </c>
      <c r="AU84" s="106">
        <v>18928.799011661431</v>
      </c>
      <c r="AV84" s="106">
        <v>31.676168353527061</v>
      </c>
      <c r="AW84" s="106">
        <v>24745.422717775338</v>
      </c>
      <c r="AX84" s="106">
        <v>38</v>
      </c>
      <c r="AY84" s="106">
        <v>29685.599999999999</v>
      </c>
      <c r="AZ84" s="106">
        <v>48</v>
      </c>
      <c r="BA84" s="106">
        <v>37497.599999999999</v>
      </c>
      <c r="BB84" s="106">
        <v>62</v>
      </c>
      <c r="BC84" s="106">
        <v>48434.399999999994</v>
      </c>
      <c r="BD84" s="106">
        <v>62</v>
      </c>
      <c r="BE84" s="106">
        <v>48434.399999999994</v>
      </c>
      <c r="BF84" s="106">
        <v>55</v>
      </c>
      <c r="BG84" s="106">
        <v>42965.999999999993</v>
      </c>
      <c r="BH84" s="106">
        <v>4</v>
      </c>
      <c r="BI84" s="106">
        <v>3124.7999999999997</v>
      </c>
      <c r="BJ84" s="106">
        <v>4</v>
      </c>
      <c r="BK84" s="106">
        <v>3124.7999999999997</v>
      </c>
      <c r="BL84" s="106">
        <v>4</v>
      </c>
      <c r="BM84" s="106">
        <v>3124.7999999999997</v>
      </c>
      <c r="BN84" s="106">
        <v>4</v>
      </c>
      <c r="BO84" s="106">
        <v>3124.7999999999997</v>
      </c>
      <c r="BP84" s="106">
        <v>3</v>
      </c>
      <c r="BQ84" s="106">
        <v>2343.6</v>
      </c>
      <c r="BR84" s="106">
        <v>3</v>
      </c>
      <c r="BS84" s="106">
        <v>2343.6</v>
      </c>
      <c r="BT84" s="106">
        <v>4</v>
      </c>
      <c r="BU84" s="106">
        <v>3124.7999999999997</v>
      </c>
      <c r="BV84" s="106">
        <v>4.3728599001995248</v>
      </c>
      <c r="BW84" s="106">
        <v>3416.0781540358685</v>
      </c>
      <c r="BX84" s="106">
        <v>6.5650912509704398</v>
      </c>
      <c r="BY84" s="106">
        <v>5128.6492852581068</v>
      </c>
      <c r="BZ84" s="106">
        <v>4.5274652945189446</v>
      </c>
      <c r="CA84" s="106">
        <v>3536.8558880781993</v>
      </c>
      <c r="CB84" s="106">
        <v>3</v>
      </c>
      <c r="CC84" s="106">
        <v>2343.6</v>
      </c>
      <c r="CD84" s="106">
        <v>5</v>
      </c>
      <c r="CE84" s="106">
        <v>3905.9999999999995</v>
      </c>
      <c r="CF84" s="106">
        <v>19</v>
      </c>
      <c r="CG84" s="106">
        <v>14842.8</v>
      </c>
      <c r="CH84" s="106">
        <v>24</v>
      </c>
      <c r="CI84" s="106">
        <v>18748.8</v>
      </c>
      <c r="CJ84" s="106">
        <v>33</v>
      </c>
      <c r="CK84" s="106">
        <v>25779.599999999999</v>
      </c>
      <c r="CL84" s="106">
        <v>17</v>
      </c>
      <c r="CM84" s="106">
        <v>13280.4</v>
      </c>
      <c r="CN84" s="106">
        <v>4</v>
      </c>
      <c r="CO84" s="106">
        <v>3124.7999999999997</v>
      </c>
      <c r="CP84" s="106">
        <v>5</v>
      </c>
      <c r="CQ84" s="106">
        <v>3905.9999999999995</v>
      </c>
      <c r="CR84" s="106">
        <v>4</v>
      </c>
      <c r="CS84" s="106">
        <v>3124.7999999999997</v>
      </c>
      <c r="CT84" s="106">
        <v>4</v>
      </c>
      <c r="CU84" s="106">
        <v>3124.7999999999997</v>
      </c>
    </row>
    <row r="85" spans="2:99" x14ac:dyDescent="0.2">
      <c r="C85" s="105" t="s">
        <v>251</v>
      </c>
      <c r="D85" s="106">
        <v>20</v>
      </c>
      <c r="E85" s="106">
        <v>3000</v>
      </c>
      <c r="F85" s="106">
        <v>18</v>
      </c>
      <c r="G85" s="106">
        <v>2700</v>
      </c>
      <c r="H85" s="106">
        <v>14.596566077003121</v>
      </c>
      <c r="I85" s="106">
        <v>2189.484911550468</v>
      </c>
      <c r="J85" s="106">
        <v>19.752294089836226</v>
      </c>
      <c r="K85" s="106">
        <v>2962.8441134754339</v>
      </c>
      <c r="L85" s="106">
        <v>23</v>
      </c>
      <c r="M85" s="106">
        <v>3450</v>
      </c>
      <c r="N85" s="106">
        <v>18</v>
      </c>
      <c r="O85" s="106">
        <v>2700</v>
      </c>
      <c r="P85" s="106">
        <v>18</v>
      </c>
      <c r="Q85" s="106">
        <v>2700</v>
      </c>
      <c r="R85" s="106">
        <v>24</v>
      </c>
      <c r="S85" s="106">
        <v>3600</v>
      </c>
      <c r="T85" s="106">
        <v>8</v>
      </c>
      <c r="U85" s="106">
        <v>1200</v>
      </c>
      <c r="V85" s="106">
        <v>6.8597069462506219</v>
      </c>
      <c r="W85" s="106">
        <v>1028.9560419375932</v>
      </c>
      <c r="X85" s="106">
        <v>6</v>
      </c>
      <c r="Y85" s="106">
        <v>900</v>
      </c>
      <c r="Z85" s="106">
        <v>7.8331476943640013</v>
      </c>
      <c r="AA85" s="106">
        <v>1174.9721541546003</v>
      </c>
      <c r="AB85" s="106">
        <v>8.7804090670706838</v>
      </c>
      <c r="AC85" s="106">
        <v>1317.0613600606025</v>
      </c>
      <c r="AD85" s="106">
        <v>10</v>
      </c>
      <c r="AE85" s="106">
        <v>1500</v>
      </c>
      <c r="AF85" s="106">
        <v>6</v>
      </c>
      <c r="AG85" s="106">
        <v>900</v>
      </c>
      <c r="AH85" s="106">
        <v>10.836028928336621</v>
      </c>
      <c r="AI85" s="106">
        <v>1625.4043392504932</v>
      </c>
      <c r="AJ85" s="106">
        <v>6.3307337934515937</v>
      </c>
      <c r="AK85" s="106">
        <v>949.61006901773908</v>
      </c>
      <c r="AL85" s="106">
        <v>5.3268210429300069</v>
      </c>
      <c r="AM85" s="106">
        <v>799.02315643950101</v>
      </c>
      <c r="AN85" s="106">
        <v>6.4119122087971432</v>
      </c>
      <c r="AO85" s="106">
        <v>961.78683131957143</v>
      </c>
      <c r="AP85" s="106">
        <v>4</v>
      </c>
      <c r="AQ85" s="106">
        <v>600</v>
      </c>
      <c r="AR85" s="106">
        <v>46</v>
      </c>
      <c r="AS85" s="106">
        <v>6900</v>
      </c>
      <c r="AT85" s="106">
        <v>30.487768883088222</v>
      </c>
      <c r="AU85" s="106">
        <v>4573.1653324632334</v>
      </c>
      <c r="AV85" s="106">
        <v>34.934040407915838</v>
      </c>
      <c r="AW85" s="106">
        <v>5240.1060611873754</v>
      </c>
      <c r="AX85" s="106">
        <v>39</v>
      </c>
      <c r="AY85" s="106">
        <v>5850</v>
      </c>
      <c r="AZ85" s="106">
        <v>53</v>
      </c>
      <c r="BA85" s="106">
        <v>7950</v>
      </c>
      <c r="BB85" s="106">
        <v>75</v>
      </c>
      <c r="BC85" s="106">
        <v>11250</v>
      </c>
      <c r="BD85" s="106">
        <v>73</v>
      </c>
      <c r="BE85" s="106">
        <v>10950</v>
      </c>
      <c r="BF85" s="106">
        <v>67</v>
      </c>
      <c r="BG85" s="106">
        <v>10050</v>
      </c>
      <c r="BH85" s="106">
        <v>4</v>
      </c>
      <c r="BI85" s="106">
        <v>600</v>
      </c>
      <c r="BJ85" s="106">
        <v>4</v>
      </c>
      <c r="BK85" s="106">
        <v>600</v>
      </c>
      <c r="BL85" s="106">
        <v>4</v>
      </c>
      <c r="BM85" s="106">
        <v>600</v>
      </c>
      <c r="BN85" s="106">
        <v>4</v>
      </c>
      <c r="BO85" s="106">
        <v>600</v>
      </c>
      <c r="BP85" s="106">
        <v>4</v>
      </c>
      <c r="BQ85" s="106">
        <v>600</v>
      </c>
      <c r="BR85" s="106">
        <v>3</v>
      </c>
      <c r="BS85" s="106">
        <v>450</v>
      </c>
      <c r="BT85" s="106">
        <v>5.4490317445355618</v>
      </c>
      <c r="BU85" s="106">
        <v>817.35476168033426</v>
      </c>
      <c r="BV85" s="106">
        <v>4</v>
      </c>
      <c r="BW85" s="106">
        <v>600</v>
      </c>
      <c r="BX85" s="106">
        <v>7.5933458135189609</v>
      </c>
      <c r="BY85" s="106">
        <v>1139.0018720278442</v>
      </c>
      <c r="BZ85" s="106">
        <v>3.4747187650670504</v>
      </c>
      <c r="CA85" s="106">
        <v>521.20781476005754</v>
      </c>
      <c r="CB85" s="106">
        <v>4</v>
      </c>
      <c r="CC85" s="106">
        <v>600</v>
      </c>
      <c r="CD85" s="106">
        <v>6</v>
      </c>
      <c r="CE85" s="106">
        <v>900</v>
      </c>
      <c r="CF85" s="106">
        <v>19</v>
      </c>
      <c r="CG85" s="106">
        <v>2850</v>
      </c>
      <c r="CH85" s="106">
        <v>26</v>
      </c>
      <c r="CI85" s="106">
        <v>3900</v>
      </c>
      <c r="CJ85" s="106">
        <v>36</v>
      </c>
      <c r="CK85" s="106">
        <v>5400</v>
      </c>
      <c r="CL85" s="106">
        <v>20</v>
      </c>
      <c r="CM85" s="106">
        <v>3000</v>
      </c>
      <c r="CN85" s="106">
        <v>4</v>
      </c>
      <c r="CO85" s="106">
        <v>600</v>
      </c>
      <c r="CP85" s="106">
        <v>5</v>
      </c>
      <c r="CQ85" s="106">
        <v>750</v>
      </c>
      <c r="CR85" s="106">
        <v>4</v>
      </c>
      <c r="CS85" s="106">
        <v>600</v>
      </c>
      <c r="CT85" s="106">
        <v>5</v>
      </c>
      <c r="CU85" s="106">
        <v>750</v>
      </c>
    </row>
    <row r="86" spans="2:99" x14ac:dyDescent="0.2">
      <c r="C86" s="105" t="s">
        <v>252</v>
      </c>
      <c r="D86" s="106">
        <v>21</v>
      </c>
      <c r="E86" s="106">
        <v>11340</v>
      </c>
      <c r="F86" s="106">
        <v>16</v>
      </c>
      <c r="G86" s="106">
        <v>8640</v>
      </c>
      <c r="H86" s="106">
        <v>13.530280957336108</v>
      </c>
      <c r="I86" s="106">
        <v>7306.3517169614988</v>
      </c>
      <c r="J86" s="106">
        <v>21.710499973734215</v>
      </c>
      <c r="K86" s="106">
        <v>11723.669985816476</v>
      </c>
      <c r="L86" s="106">
        <v>20</v>
      </c>
      <c r="M86" s="106">
        <v>10800</v>
      </c>
      <c r="N86" s="106">
        <v>16</v>
      </c>
      <c r="O86" s="106">
        <v>8640</v>
      </c>
      <c r="P86" s="106">
        <v>16</v>
      </c>
      <c r="Q86" s="106">
        <v>8640</v>
      </c>
      <c r="R86" s="106">
        <v>21</v>
      </c>
      <c r="S86" s="106">
        <v>11340</v>
      </c>
      <c r="T86" s="106">
        <v>7</v>
      </c>
      <c r="U86" s="106">
        <v>3780</v>
      </c>
      <c r="V86" s="106">
        <v>6.9049546802638124</v>
      </c>
      <c r="W86" s="106">
        <v>3728.6755273424587</v>
      </c>
      <c r="X86" s="106">
        <v>7</v>
      </c>
      <c r="Y86" s="106">
        <v>3780</v>
      </c>
      <c r="Z86" s="106">
        <v>7.7952773446201826</v>
      </c>
      <c r="AA86" s="106">
        <v>4209.4497660948982</v>
      </c>
      <c r="AB86" s="106">
        <v>8.7804090670706838</v>
      </c>
      <c r="AC86" s="106">
        <v>4741.4208962181692</v>
      </c>
      <c r="AD86" s="106">
        <v>11</v>
      </c>
      <c r="AE86" s="106">
        <v>5940</v>
      </c>
      <c r="AF86" s="106">
        <v>6</v>
      </c>
      <c r="AG86" s="106">
        <v>3240</v>
      </c>
      <c r="AH86" s="106">
        <v>9.7376725838264306</v>
      </c>
      <c r="AI86" s="106">
        <v>5258.3431952662722</v>
      </c>
      <c r="AJ86" s="106">
        <v>6.2645870347612753</v>
      </c>
      <c r="AK86" s="106">
        <v>3382.8769987710889</v>
      </c>
      <c r="AL86" s="106">
        <v>5.3268210429300069</v>
      </c>
      <c r="AM86" s="106">
        <v>2876.4833631822039</v>
      </c>
      <c r="AN86" s="106">
        <v>5.4119122087971432</v>
      </c>
      <c r="AO86" s="106">
        <v>2922.4325927504574</v>
      </c>
      <c r="AP86" s="106">
        <v>4</v>
      </c>
      <c r="AQ86" s="106">
        <v>2160</v>
      </c>
      <c r="AR86" s="106">
        <v>43</v>
      </c>
      <c r="AS86" s="106">
        <v>23220</v>
      </c>
      <c r="AT86" s="106">
        <v>28.530661450038018</v>
      </c>
      <c r="AU86" s="106">
        <v>15406.55718302053</v>
      </c>
      <c r="AV86" s="106">
        <v>28.697657691392791</v>
      </c>
      <c r="AW86" s="106">
        <v>15496.735153352107</v>
      </c>
      <c r="AX86" s="106">
        <v>36</v>
      </c>
      <c r="AY86" s="106">
        <v>19440</v>
      </c>
      <c r="AZ86" s="106">
        <v>49</v>
      </c>
      <c r="BA86" s="106">
        <v>26460</v>
      </c>
      <c r="BB86" s="106">
        <v>66</v>
      </c>
      <c r="BC86" s="106">
        <v>35640</v>
      </c>
      <c r="BD86" s="106">
        <v>66</v>
      </c>
      <c r="BE86" s="106">
        <v>35640</v>
      </c>
      <c r="BF86" s="106">
        <v>58</v>
      </c>
      <c r="BG86" s="106">
        <v>31320</v>
      </c>
      <c r="BH86" s="106">
        <v>4</v>
      </c>
      <c r="BI86" s="106">
        <v>2160</v>
      </c>
      <c r="BJ86" s="106">
        <v>4</v>
      </c>
      <c r="BK86" s="106">
        <v>2160</v>
      </c>
      <c r="BL86" s="106">
        <v>4</v>
      </c>
      <c r="BM86" s="106">
        <v>2160</v>
      </c>
      <c r="BN86" s="106">
        <v>5</v>
      </c>
      <c r="BO86" s="106">
        <v>2700</v>
      </c>
      <c r="BP86" s="106">
        <v>3</v>
      </c>
      <c r="BQ86" s="106">
        <v>1620</v>
      </c>
      <c r="BR86" s="106">
        <v>3</v>
      </c>
      <c r="BS86" s="106">
        <v>1620</v>
      </c>
      <c r="BT86" s="106">
        <v>4.4490317445355618</v>
      </c>
      <c r="BU86" s="106">
        <v>2402.4771420492034</v>
      </c>
      <c r="BV86" s="106">
        <v>4.4067562547631178</v>
      </c>
      <c r="BW86" s="106">
        <v>2379.6483775720835</v>
      </c>
      <c r="BX86" s="106">
        <v>6.6216003760674838</v>
      </c>
      <c r="BY86" s="106">
        <v>3575.664203076441</v>
      </c>
      <c r="BZ86" s="106">
        <v>4.4747187650670499</v>
      </c>
      <c r="CA86" s="106">
        <v>2416.3481331362068</v>
      </c>
      <c r="CB86" s="106">
        <v>4</v>
      </c>
      <c r="CC86" s="106">
        <v>2160</v>
      </c>
      <c r="CD86" s="106">
        <v>5</v>
      </c>
      <c r="CE86" s="106">
        <v>2700</v>
      </c>
      <c r="CF86" s="106">
        <v>20</v>
      </c>
      <c r="CG86" s="106">
        <v>10800</v>
      </c>
      <c r="CH86" s="106">
        <v>26</v>
      </c>
      <c r="CI86" s="106">
        <v>14040</v>
      </c>
      <c r="CJ86" s="106">
        <v>31</v>
      </c>
      <c r="CK86" s="106">
        <v>16740</v>
      </c>
      <c r="CL86" s="106">
        <v>19</v>
      </c>
      <c r="CM86" s="106">
        <v>10260</v>
      </c>
      <c r="CN86" s="106">
        <v>4</v>
      </c>
      <c r="CO86" s="106">
        <v>2160</v>
      </c>
      <c r="CP86" s="106">
        <v>5</v>
      </c>
      <c r="CQ86" s="106">
        <v>2700</v>
      </c>
      <c r="CR86" s="106">
        <v>4</v>
      </c>
      <c r="CS86" s="106">
        <v>2160</v>
      </c>
      <c r="CT86" s="106">
        <v>4</v>
      </c>
      <c r="CU86" s="106">
        <v>2160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9774</v>
      </c>
      <c r="F87" s="106">
        <v>5</v>
      </c>
      <c r="G87" s="106">
        <v>9774</v>
      </c>
      <c r="H87" s="106">
        <v>5.3645681581685745</v>
      </c>
      <c r="I87" s="106">
        <v>10486.657835587928</v>
      </c>
      <c r="J87" s="106">
        <v>6.4597352771221397</v>
      </c>
      <c r="K87" s="106">
        <v>12627.490519718358</v>
      </c>
      <c r="L87" s="106">
        <v>7.8094949100006517</v>
      </c>
      <c r="M87" s="106">
        <v>15266.000650069274</v>
      </c>
      <c r="N87" s="106">
        <v>9</v>
      </c>
      <c r="O87" s="106">
        <v>17593.2</v>
      </c>
      <c r="P87" s="106">
        <v>9</v>
      </c>
      <c r="Q87" s="106">
        <v>17593.2</v>
      </c>
      <c r="R87" s="106">
        <v>9</v>
      </c>
      <c r="S87" s="106">
        <v>17593.2</v>
      </c>
      <c r="T87" s="106">
        <v>8</v>
      </c>
      <c r="U87" s="106">
        <v>15638.4</v>
      </c>
      <c r="V87" s="106">
        <v>6</v>
      </c>
      <c r="W87" s="106">
        <v>11728.8</v>
      </c>
      <c r="X87" s="106">
        <v>6</v>
      </c>
      <c r="Y87" s="106">
        <v>11728.8</v>
      </c>
      <c r="Z87" s="106">
        <v>6</v>
      </c>
      <c r="AA87" s="106">
        <v>11728.8</v>
      </c>
      <c r="AB87" s="106">
        <v>18</v>
      </c>
      <c r="AC87" s="106">
        <v>35186.400000000001</v>
      </c>
      <c r="AD87" s="106">
        <v>21</v>
      </c>
      <c r="AE87" s="106">
        <v>41050.799999999996</v>
      </c>
      <c r="AF87" s="106">
        <v>13</v>
      </c>
      <c r="AG87" s="106">
        <v>25412.399999999998</v>
      </c>
      <c r="AH87" s="106">
        <v>21.836028928336621</v>
      </c>
      <c r="AI87" s="106">
        <v>42685.069349112426</v>
      </c>
      <c r="AJ87" s="106">
        <v>2</v>
      </c>
      <c r="AK87" s="106">
        <v>3909.6</v>
      </c>
      <c r="AL87" s="106">
        <v>2</v>
      </c>
      <c r="AM87" s="106">
        <v>3909.6</v>
      </c>
      <c r="AN87" s="106">
        <v>3</v>
      </c>
      <c r="AO87" s="106">
        <v>5864.4</v>
      </c>
      <c r="AP87" s="106">
        <v>3</v>
      </c>
      <c r="AQ87" s="106">
        <v>5864.4</v>
      </c>
      <c r="AR87" s="106">
        <v>44</v>
      </c>
      <c r="AS87" s="106">
        <v>86011.199999999997</v>
      </c>
      <c r="AT87" s="106">
        <v>34.428925669497971</v>
      </c>
      <c r="AU87" s="106">
        <v>67301.663898734638</v>
      </c>
      <c r="AV87" s="106">
        <v>44.193404040791584</v>
      </c>
      <c r="AW87" s="106">
        <v>86389.266218939389</v>
      </c>
      <c r="AX87" s="106">
        <v>41</v>
      </c>
      <c r="AY87" s="106">
        <v>80146.8</v>
      </c>
      <c r="AZ87" s="106">
        <v>32</v>
      </c>
      <c r="BA87" s="106">
        <v>62553.599999999999</v>
      </c>
      <c r="BB87" s="106">
        <v>22</v>
      </c>
      <c r="BC87" s="106">
        <v>43005.599999999999</v>
      </c>
      <c r="BD87" s="106">
        <v>38</v>
      </c>
      <c r="BE87" s="106">
        <v>74282.399999999994</v>
      </c>
      <c r="BF87" s="106">
        <v>36</v>
      </c>
      <c r="BG87" s="106">
        <v>70372.800000000003</v>
      </c>
      <c r="BH87" s="106">
        <v>5</v>
      </c>
      <c r="BI87" s="106">
        <v>9774</v>
      </c>
      <c r="BJ87" s="106">
        <v>6.7537086241305602</v>
      </c>
      <c r="BK87" s="106">
        <v>13202.149618450419</v>
      </c>
      <c r="BL87" s="106">
        <v>3</v>
      </c>
      <c r="BM87" s="106">
        <v>5864.4</v>
      </c>
      <c r="BN87" s="106">
        <v>3.8515998992189471</v>
      </c>
      <c r="BO87" s="106">
        <v>7529.1074829931977</v>
      </c>
      <c r="BP87" s="106">
        <v>14.687750386859218</v>
      </c>
      <c r="BQ87" s="106">
        <v>28711.614456232397</v>
      </c>
      <c r="BR87" s="106">
        <v>9</v>
      </c>
      <c r="BS87" s="106">
        <v>17593.2</v>
      </c>
      <c r="BT87" s="106">
        <v>11</v>
      </c>
      <c r="BU87" s="106">
        <v>21502.799999999999</v>
      </c>
      <c r="BV87" s="106">
        <v>17.457543246234504</v>
      </c>
      <c r="BW87" s="106">
        <v>34126.005537739205</v>
      </c>
      <c r="BX87" s="106">
        <v>8.4238184382278298</v>
      </c>
      <c r="BY87" s="106">
        <v>16466.880283047762</v>
      </c>
      <c r="BZ87" s="106">
        <v>9.3164791767113666</v>
      </c>
      <c r="CA87" s="106">
        <v>18211.853494635379</v>
      </c>
      <c r="CB87" s="106">
        <v>8</v>
      </c>
      <c r="CC87" s="106">
        <v>15638.4</v>
      </c>
      <c r="CD87" s="106">
        <v>8</v>
      </c>
      <c r="CE87" s="106">
        <v>15638.4</v>
      </c>
      <c r="CF87" s="106">
        <v>10</v>
      </c>
      <c r="CG87" s="106">
        <v>19548</v>
      </c>
      <c r="CH87" s="106">
        <v>8</v>
      </c>
      <c r="CI87" s="106">
        <v>15638.4</v>
      </c>
      <c r="CJ87" s="106">
        <v>8</v>
      </c>
      <c r="CK87" s="106">
        <v>15638.4</v>
      </c>
      <c r="CL87" s="106">
        <v>7</v>
      </c>
      <c r="CM87" s="106">
        <v>13683.6</v>
      </c>
      <c r="CN87" s="106">
        <v>20</v>
      </c>
      <c r="CO87" s="106">
        <v>39096</v>
      </c>
      <c r="CP87" s="106">
        <v>28</v>
      </c>
      <c r="CQ87" s="106">
        <v>54734.400000000001</v>
      </c>
      <c r="CR87" s="106">
        <v>21</v>
      </c>
      <c r="CS87" s="106">
        <v>41050.799999999996</v>
      </c>
      <c r="CT87" s="106">
        <v>29</v>
      </c>
      <c r="CU87" s="106">
        <v>56689.2</v>
      </c>
    </row>
    <row r="88" spans="2:99" x14ac:dyDescent="0.2">
      <c r="C88" s="105" t="s">
        <v>254</v>
      </c>
      <c r="D88" s="106">
        <v>5</v>
      </c>
      <c r="E88" s="106">
        <v>9462</v>
      </c>
      <c r="F88" s="106">
        <v>5</v>
      </c>
      <c r="G88" s="106">
        <v>9462</v>
      </c>
      <c r="H88" s="106">
        <v>6.331425598335068</v>
      </c>
      <c r="I88" s="106">
        <v>11981.589802289282</v>
      </c>
      <c r="J88" s="106">
        <v>6.4597352771221397</v>
      </c>
      <c r="K88" s="106">
        <v>12224.403038425937</v>
      </c>
      <c r="L88" s="106">
        <v>7</v>
      </c>
      <c r="M88" s="106">
        <v>13246.8</v>
      </c>
      <c r="N88" s="106">
        <v>10</v>
      </c>
      <c r="O88" s="106">
        <v>18924</v>
      </c>
      <c r="P88" s="106">
        <v>9</v>
      </c>
      <c r="Q88" s="106">
        <v>17031.599999999999</v>
      </c>
      <c r="R88" s="106">
        <v>9</v>
      </c>
      <c r="S88" s="106">
        <v>17031.599999999999</v>
      </c>
      <c r="T88" s="106">
        <v>9</v>
      </c>
      <c r="U88" s="106">
        <v>17031.599999999999</v>
      </c>
      <c r="V88" s="106">
        <v>5</v>
      </c>
      <c r="W88" s="106">
        <v>9462</v>
      </c>
      <c r="X88" s="106">
        <v>6</v>
      </c>
      <c r="Y88" s="106">
        <v>11354.4</v>
      </c>
      <c r="Z88" s="106">
        <v>6</v>
      </c>
      <c r="AA88" s="106">
        <v>11354.4</v>
      </c>
      <c r="AB88" s="106">
        <v>19</v>
      </c>
      <c r="AC88" s="106">
        <v>35955.599999999999</v>
      </c>
      <c r="AD88" s="106">
        <v>21</v>
      </c>
      <c r="AE88" s="106">
        <v>39740.399999999994</v>
      </c>
      <c r="AF88" s="106">
        <v>12</v>
      </c>
      <c r="AG88" s="106">
        <v>22708.799999999999</v>
      </c>
      <c r="AH88" s="106">
        <v>21.737672583826431</v>
      </c>
      <c r="AI88" s="106">
        <v>41136.371597633137</v>
      </c>
      <c r="AJ88" s="106">
        <v>3</v>
      </c>
      <c r="AK88" s="106">
        <v>5677.2</v>
      </c>
      <c r="AL88" s="106">
        <v>2</v>
      </c>
      <c r="AM88" s="106">
        <v>3784.7999999999997</v>
      </c>
      <c r="AN88" s="106">
        <v>3</v>
      </c>
      <c r="AO88" s="106">
        <v>5677.2</v>
      </c>
      <c r="AP88" s="106">
        <v>3</v>
      </c>
      <c r="AQ88" s="106">
        <v>5677.2</v>
      </c>
      <c r="AR88" s="106">
        <v>42</v>
      </c>
      <c r="AS88" s="106">
        <v>79480.799999999988</v>
      </c>
      <c r="AT88" s="106">
        <v>33.386033102548176</v>
      </c>
      <c r="AU88" s="106">
        <v>63179.729043262159</v>
      </c>
      <c r="AV88" s="106">
        <v>41.193404040791584</v>
      </c>
      <c r="AW88" s="106">
        <v>77954.39780679399</v>
      </c>
      <c r="AX88" s="106">
        <v>46</v>
      </c>
      <c r="AY88" s="106">
        <v>87050.4</v>
      </c>
      <c r="AZ88" s="106">
        <v>33</v>
      </c>
      <c r="BA88" s="106">
        <v>62449.2</v>
      </c>
      <c r="BB88" s="106">
        <v>19</v>
      </c>
      <c r="BC88" s="106">
        <v>35955.599999999999</v>
      </c>
      <c r="BD88" s="106">
        <v>44</v>
      </c>
      <c r="BE88" s="106">
        <v>83265.599999999991</v>
      </c>
      <c r="BF88" s="106">
        <v>35</v>
      </c>
      <c r="BG88" s="106">
        <v>66234</v>
      </c>
      <c r="BH88" s="106">
        <v>5</v>
      </c>
      <c r="BI88" s="106">
        <v>9462</v>
      </c>
      <c r="BJ88" s="106">
        <v>5.7537086241305602</v>
      </c>
      <c r="BK88" s="106">
        <v>10888.318200304671</v>
      </c>
      <c r="BL88" s="106">
        <v>3</v>
      </c>
      <c r="BM88" s="106">
        <v>5677.2</v>
      </c>
      <c r="BN88" s="106">
        <v>3.9498614260519025</v>
      </c>
      <c r="BO88" s="106">
        <v>7474.7177626606199</v>
      </c>
      <c r="BP88" s="106">
        <v>14</v>
      </c>
      <c r="BQ88" s="106">
        <v>26493.599999999999</v>
      </c>
      <c r="BR88" s="106">
        <v>10</v>
      </c>
      <c r="BS88" s="106">
        <v>18924</v>
      </c>
      <c r="BT88" s="106">
        <v>11</v>
      </c>
      <c r="BU88" s="106">
        <v>20816.399999999998</v>
      </c>
      <c r="BV88" s="106">
        <v>19.52533595536169</v>
      </c>
      <c r="BW88" s="106">
        <v>36949.745761926461</v>
      </c>
      <c r="BX88" s="106">
        <v>7.3673093131307859</v>
      </c>
      <c r="BY88" s="106">
        <v>13941.896144168699</v>
      </c>
      <c r="BZ88" s="106">
        <v>9.3955989708892087</v>
      </c>
      <c r="CA88" s="106">
        <v>17780.231492510738</v>
      </c>
      <c r="CB88" s="106">
        <v>7</v>
      </c>
      <c r="CC88" s="106">
        <v>13246.8</v>
      </c>
      <c r="CD88" s="106">
        <v>9</v>
      </c>
      <c r="CE88" s="106">
        <v>17031.599999999999</v>
      </c>
      <c r="CF88" s="106">
        <v>9</v>
      </c>
      <c r="CG88" s="106">
        <v>17031.599999999999</v>
      </c>
      <c r="CH88" s="106">
        <v>8</v>
      </c>
      <c r="CI88" s="106">
        <v>15139.199999999999</v>
      </c>
      <c r="CJ88" s="106">
        <v>8</v>
      </c>
      <c r="CK88" s="106">
        <v>15139.199999999999</v>
      </c>
      <c r="CL88" s="106">
        <v>7</v>
      </c>
      <c r="CM88" s="106">
        <v>13246.8</v>
      </c>
      <c r="CN88" s="106">
        <v>23</v>
      </c>
      <c r="CO88" s="106">
        <v>43525.2</v>
      </c>
      <c r="CP88" s="106">
        <v>26</v>
      </c>
      <c r="CQ88" s="106">
        <v>49202.399999999994</v>
      </c>
      <c r="CR88" s="106">
        <v>19</v>
      </c>
      <c r="CS88" s="106">
        <v>35955.599999999999</v>
      </c>
      <c r="CT88" s="106">
        <v>31</v>
      </c>
      <c r="CU88" s="106">
        <v>58664.399999999994</v>
      </c>
    </row>
    <row r="89" spans="2:99" x14ac:dyDescent="0.2">
      <c r="C89" s="105" t="s">
        <v>255</v>
      </c>
      <c r="D89" s="106">
        <v>5</v>
      </c>
      <c r="E89" s="106">
        <v>11988</v>
      </c>
      <c r="F89" s="106">
        <v>4</v>
      </c>
      <c r="G89" s="106">
        <v>9590.4</v>
      </c>
      <c r="H89" s="106">
        <v>5.331425598335068</v>
      </c>
      <c r="I89" s="106">
        <v>12782.626014568159</v>
      </c>
      <c r="J89" s="106">
        <v>5.4597352771221397</v>
      </c>
      <c r="K89" s="106">
        <v>13090.261300428041</v>
      </c>
      <c r="L89" s="106">
        <v>7.8432238645840124</v>
      </c>
      <c r="M89" s="106">
        <v>18804.913537726628</v>
      </c>
      <c r="N89" s="106">
        <v>9</v>
      </c>
      <c r="O89" s="106">
        <v>21578.399999999998</v>
      </c>
      <c r="P89" s="106">
        <v>7</v>
      </c>
      <c r="Q89" s="106">
        <v>16783.2</v>
      </c>
      <c r="R89" s="106">
        <v>9</v>
      </c>
      <c r="S89" s="106">
        <v>21578.399999999998</v>
      </c>
      <c r="T89" s="106">
        <v>8</v>
      </c>
      <c r="U89" s="106">
        <v>19180.8</v>
      </c>
      <c r="V89" s="106">
        <v>5</v>
      </c>
      <c r="W89" s="106">
        <v>11988</v>
      </c>
      <c r="X89" s="106">
        <v>5</v>
      </c>
      <c r="Y89" s="106">
        <v>11988</v>
      </c>
      <c r="Z89" s="106">
        <v>5</v>
      </c>
      <c r="AA89" s="106">
        <v>11988</v>
      </c>
      <c r="AB89" s="106">
        <v>19</v>
      </c>
      <c r="AC89" s="106">
        <v>45554.400000000001</v>
      </c>
      <c r="AD89" s="106">
        <v>22</v>
      </c>
      <c r="AE89" s="106">
        <v>52747.199999999997</v>
      </c>
      <c r="AF89" s="106">
        <v>12</v>
      </c>
      <c r="AG89" s="106">
        <v>28771.199999999997</v>
      </c>
      <c r="AH89" s="106">
        <v>21.737672583826431</v>
      </c>
      <c r="AI89" s="106">
        <v>52118.243786982246</v>
      </c>
      <c r="AJ89" s="106">
        <v>3</v>
      </c>
      <c r="AK89" s="106">
        <v>7192.7999999999993</v>
      </c>
      <c r="AL89" s="106">
        <v>2</v>
      </c>
      <c r="AM89" s="106">
        <v>4795.2</v>
      </c>
      <c r="AN89" s="106">
        <v>3</v>
      </c>
      <c r="AO89" s="106">
        <v>7192.7999999999993</v>
      </c>
      <c r="AP89" s="106">
        <v>3</v>
      </c>
      <c r="AQ89" s="106">
        <v>7192.7999999999993</v>
      </c>
      <c r="AR89" s="106">
        <v>37</v>
      </c>
      <c r="AS89" s="106">
        <v>88711.2</v>
      </c>
      <c r="AT89" s="106">
        <v>29.386033102548172</v>
      </c>
      <c r="AU89" s="106">
        <v>70455.952966669502</v>
      </c>
      <c r="AV89" s="106">
        <v>39.171914702925854</v>
      </c>
      <c r="AW89" s="106">
        <v>93918.58269173502</v>
      </c>
      <c r="AX89" s="106">
        <v>43</v>
      </c>
      <c r="AY89" s="106">
        <v>103096.8</v>
      </c>
      <c r="AZ89" s="106">
        <v>32</v>
      </c>
      <c r="BA89" s="106">
        <v>76723.199999999997</v>
      </c>
      <c r="BB89" s="106">
        <v>18</v>
      </c>
      <c r="BC89" s="106">
        <v>43156.799999999996</v>
      </c>
      <c r="BD89" s="106">
        <v>35</v>
      </c>
      <c r="BE89" s="106">
        <v>83916</v>
      </c>
      <c r="BF89" s="106">
        <v>30</v>
      </c>
      <c r="BG89" s="106">
        <v>71928</v>
      </c>
      <c r="BH89" s="106">
        <v>4</v>
      </c>
      <c r="BI89" s="106">
        <v>9590.4</v>
      </c>
      <c r="BJ89" s="106">
        <v>5.8008154131387206</v>
      </c>
      <c r="BK89" s="106">
        <v>13908.035034541395</v>
      </c>
      <c r="BL89" s="106">
        <v>3</v>
      </c>
      <c r="BM89" s="106">
        <v>7192.7999999999993</v>
      </c>
      <c r="BN89" s="106">
        <v>3.9498614260519025</v>
      </c>
      <c r="BO89" s="106">
        <v>9470.1877551020407</v>
      </c>
      <c r="BP89" s="106">
        <v>14.638110669598653</v>
      </c>
      <c r="BQ89" s="106">
        <v>35096.334141429732</v>
      </c>
      <c r="BR89" s="106">
        <v>9</v>
      </c>
      <c r="BS89" s="106">
        <v>21578.399999999998</v>
      </c>
      <c r="BT89" s="106">
        <v>10</v>
      </c>
      <c r="BU89" s="106">
        <v>23976</v>
      </c>
      <c r="BV89" s="106">
        <v>19.491439600798099</v>
      </c>
      <c r="BW89" s="106">
        <v>46732.67558687352</v>
      </c>
      <c r="BX89" s="106">
        <v>7.4238184382278298</v>
      </c>
      <c r="BY89" s="106">
        <v>17799.347087495044</v>
      </c>
      <c r="BZ89" s="106">
        <v>8.3692257061632613</v>
      </c>
      <c r="CA89" s="106">
        <v>20066.055553097034</v>
      </c>
      <c r="CB89" s="106">
        <v>7</v>
      </c>
      <c r="CC89" s="106">
        <v>16783.2</v>
      </c>
      <c r="CD89" s="106">
        <v>8</v>
      </c>
      <c r="CE89" s="106">
        <v>19180.8</v>
      </c>
      <c r="CF89" s="106">
        <v>10</v>
      </c>
      <c r="CG89" s="106">
        <v>23976</v>
      </c>
      <c r="CH89" s="106">
        <v>8</v>
      </c>
      <c r="CI89" s="106">
        <v>19180.8</v>
      </c>
      <c r="CJ89" s="106">
        <v>7</v>
      </c>
      <c r="CK89" s="106">
        <v>16783.2</v>
      </c>
      <c r="CL89" s="106">
        <v>7</v>
      </c>
      <c r="CM89" s="106">
        <v>16783.2</v>
      </c>
      <c r="CN89" s="106">
        <v>21</v>
      </c>
      <c r="CO89" s="106">
        <v>50349.599999999999</v>
      </c>
      <c r="CP89" s="106">
        <v>23</v>
      </c>
      <c r="CQ89" s="106">
        <v>55144.799999999996</v>
      </c>
      <c r="CR89" s="106">
        <v>20</v>
      </c>
      <c r="CS89" s="106">
        <v>47952</v>
      </c>
      <c r="CT89" s="106">
        <v>28</v>
      </c>
      <c r="CU89" s="106">
        <v>67132.800000000003</v>
      </c>
    </row>
    <row r="90" spans="2:99" x14ac:dyDescent="0.2">
      <c r="C90" s="105" t="s">
        <v>256</v>
      </c>
      <c r="D90" s="106">
        <v>5</v>
      </c>
      <c r="E90" s="106">
        <v>10986</v>
      </c>
      <c r="F90" s="106">
        <v>5</v>
      </c>
      <c r="G90" s="106">
        <v>10986</v>
      </c>
      <c r="H90" s="106">
        <v>6.331425598335068</v>
      </c>
      <c r="I90" s="106">
        <v>13911.40832466181</v>
      </c>
      <c r="J90" s="106">
        <v>6.4179411610201269</v>
      </c>
      <c r="K90" s="106">
        <v>14101.500318993421</v>
      </c>
      <c r="L90" s="106">
        <v>7.742037000833931</v>
      </c>
      <c r="M90" s="106">
        <v>17010.80369823231</v>
      </c>
      <c r="N90" s="106">
        <v>8</v>
      </c>
      <c r="O90" s="106">
        <v>17577.599999999999</v>
      </c>
      <c r="P90" s="106">
        <v>8</v>
      </c>
      <c r="Q90" s="106">
        <v>17577.599999999999</v>
      </c>
      <c r="R90" s="106">
        <v>8</v>
      </c>
      <c r="S90" s="106">
        <v>17577.599999999999</v>
      </c>
      <c r="T90" s="106">
        <v>8</v>
      </c>
      <c r="U90" s="106">
        <v>17577.599999999999</v>
      </c>
      <c r="V90" s="106">
        <v>5</v>
      </c>
      <c r="W90" s="106">
        <v>10986</v>
      </c>
      <c r="X90" s="106">
        <v>5</v>
      </c>
      <c r="Y90" s="106">
        <v>10986</v>
      </c>
      <c r="Z90" s="106">
        <v>6</v>
      </c>
      <c r="AA90" s="106">
        <v>13183.199999999999</v>
      </c>
      <c r="AB90" s="106">
        <v>19</v>
      </c>
      <c r="AC90" s="106">
        <v>41746.799999999996</v>
      </c>
      <c r="AD90" s="106">
        <v>21</v>
      </c>
      <c r="AE90" s="106">
        <v>46141.2</v>
      </c>
      <c r="AF90" s="106">
        <v>11</v>
      </c>
      <c r="AG90" s="106">
        <v>24169.199999999997</v>
      </c>
      <c r="AH90" s="106">
        <v>18.688494411571334</v>
      </c>
      <c r="AI90" s="106">
        <v>41062.359921104529</v>
      </c>
      <c r="AJ90" s="106">
        <v>2</v>
      </c>
      <c r="AK90" s="106">
        <v>4394.3999999999996</v>
      </c>
      <c r="AL90" s="106">
        <v>2</v>
      </c>
      <c r="AM90" s="106">
        <v>4394.3999999999996</v>
      </c>
      <c r="AN90" s="106">
        <v>3</v>
      </c>
      <c r="AO90" s="106">
        <v>6591.5999999999995</v>
      </c>
      <c r="AP90" s="106">
        <v>3</v>
      </c>
      <c r="AQ90" s="106">
        <v>6591.5999999999995</v>
      </c>
      <c r="AR90" s="106">
        <v>43</v>
      </c>
      <c r="AS90" s="106">
        <v>94479.599999999991</v>
      </c>
      <c r="AT90" s="106">
        <v>30.386033102548172</v>
      </c>
      <c r="AU90" s="106">
        <v>66764.191932918839</v>
      </c>
      <c r="AV90" s="106">
        <v>41.214893378657315</v>
      </c>
      <c r="AW90" s="106">
        <v>90557.36373158585</v>
      </c>
      <c r="AX90" s="106">
        <v>42</v>
      </c>
      <c r="AY90" s="106">
        <v>92282.4</v>
      </c>
      <c r="AZ90" s="106">
        <v>34</v>
      </c>
      <c r="BA90" s="106">
        <v>74704.799999999988</v>
      </c>
      <c r="BB90" s="106">
        <v>22</v>
      </c>
      <c r="BC90" s="106">
        <v>48338.399999999994</v>
      </c>
      <c r="BD90" s="106">
        <v>38</v>
      </c>
      <c r="BE90" s="106">
        <v>83493.599999999991</v>
      </c>
      <c r="BF90" s="106">
        <v>32</v>
      </c>
      <c r="BG90" s="106">
        <v>70310.399999999994</v>
      </c>
      <c r="BH90" s="106">
        <v>4</v>
      </c>
      <c r="BI90" s="106">
        <v>8788.7999999999993</v>
      </c>
      <c r="BJ90" s="106">
        <v>5.7066018351224006</v>
      </c>
      <c r="BK90" s="106">
        <v>12538.545552130938</v>
      </c>
      <c r="BL90" s="106">
        <v>3</v>
      </c>
      <c r="BM90" s="106">
        <v>6591.5999999999995</v>
      </c>
      <c r="BN90" s="106">
        <v>3.8515998992189471</v>
      </c>
      <c r="BO90" s="106">
        <v>8462.7352985638699</v>
      </c>
      <c r="BP90" s="106">
        <v>16.638110669598653</v>
      </c>
      <c r="BQ90" s="106">
        <v>36557.256763242156</v>
      </c>
      <c r="BR90" s="106">
        <v>10</v>
      </c>
      <c r="BS90" s="106">
        <v>21972</v>
      </c>
      <c r="BT90" s="106">
        <v>10</v>
      </c>
      <c r="BU90" s="106">
        <v>21972</v>
      </c>
      <c r="BV90" s="106">
        <v>18.627025019052471</v>
      </c>
      <c r="BW90" s="106">
        <v>40927.299371862086</v>
      </c>
      <c r="BX90" s="106">
        <v>8.3673093131307859</v>
      </c>
      <c r="BY90" s="106">
        <v>18384.652022810962</v>
      </c>
      <c r="BZ90" s="106">
        <v>8.3692257061632613</v>
      </c>
      <c r="CA90" s="106">
        <v>18388.862721581918</v>
      </c>
      <c r="CB90" s="106">
        <v>7</v>
      </c>
      <c r="CC90" s="106">
        <v>15380.399999999998</v>
      </c>
      <c r="CD90" s="106">
        <v>8</v>
      </c>
      <c r="CE90" s="106">
        <v>17577.599999999999</v>
      </c>
      <c r="CF90" s="106">
        <v>10</v>
      </c>
      <c r="CG90" s="106">
        <v>21972</v>
      </c>
      <c r="CH90" s="106">
        <v>8</v>
      </c>
      <c r="CI90" s="106">
        <v>17577.599999999999</v>
      </c>
      <c r="CJ90" s="106">
        <v>8</v>
      </c>
      <c r="CK90" s="106">
        <v>17577.599999999999</v>
      </c>
      <c r="CL90" s="106">
        <v>6</v>
      </c>
      <c r="CM90" s="106">
        <v>13183.199999999999</v>
      </c>
      <c r="CN90" s="106">
        <v>19</v>
      </c>
      <c r="CO90" s="106">
        <v>41746.799999999996</v>
      </c>
      <c r="CP90" s="106">
        <v>24</v>
      </c>
      <c r="CQ90" s="106">
        <v>52732.799999999996</v>
      </c>
      <c r="CR90" s="106">
        <v>19</v>
      </c>
      <c r="CS90" s="106">
        <v>41746.799999999996</v>
      </c>
      <c r="CT90" s="106">
        <v>28</v>
      </c>
      <c r="CU90" s="106">
        <v>61521.599999999991</v>
      </c>
    </row>
    <row r="91" spans="2:99" x14ac:dyDescent="0.2">
      <c r="C91" s="105" t="s">
        <v>257</v>
      </c>
      <c r="D91" s="106">
        <v>5</v>
      </c>
      <c r="E91" s="106">
        <v>11483.999999999998</v>
      </c>
      <c r="F91" s="106">
        <v>4</v>
      </c>
      <c r="G91" s="106">
        <v>9187.1999999999989</v>
      </c>
      <c r="H91" s="106">
        <v>5.3645681581685745</v>
      </c>
      <c r="I91" s="106">
        <v>12321.340145681581</v>
      </c>
      <c r="J91" s="106">
        <v>6.4597352771221397</v>
      </c>
      <c r="K91" s="106">
        <v>14836.719984494128</v>
      </c>
      <c r="L91" s="106">
        <v>8.7757659554172918</v>
      </c>
      <c r="M91" s="106">
        <v>20156.179246402433</v>
      </c>
      <c r="N91" s="106">
        <v>8</v>
      </c>
      <c r="O91" s="106">
        <v>18374.399999999998</v>
      </c>
      <c r="P91" s="106">
        <v>8</v>
      </c>
      <c r="Q91" s="106">
        <v>18374.399999999998</v>
      </c>
      <c r="R91" s="106">
        <v>9</v>
      </c>
      <c r="S91" s="106">
        <v>20671.199999999997</v>
      </c>
      <c r="T91" s="106">
        <v>8</v>
      </c>
      <c r="U91" s="106">
        <v>18374.399999999998</v>
      </c>
      <c r="V91" s="106">
        <v>5</v>
      </c>
      <c r="W91" s="106">
        <v>11483.999999999998</v>
      </c>
      <c r="X91" s="106">
        <v>5</v>
      </c>
      <c r="Y91" s="106">
        <v>11483.999999999998</v>
      </c>
      <c r="Z91" s="106">
        <v>6</v>
      </c>
      <c r="AA91" s="106">
        <v>13780.8</v>
      </c>
      <c r="AB91" s="106">
        <v>18</v>
      </c>
      <c r="AC91" s="106">
        <v>41342.399999999994</v>
      </c>
      <c r="AD91" s="106">
        <v>22</v>
      </c>
      <c r="AE91" s="106">
        <v>50529.599999999991</v>
      </c>
      <c r="AF91" s="106">
        <v>12</v>
      </c>
      <c r="AG91" s="106">
        <v>27561.599999999999</v>
      </c>
      <c r="AH91" s="106">
        <v>19.737672583826431</v>
      </c>
      <c r="AI91" s="106">
        <v>45333.48639053254</v>
      </c>
      <c r="AJ91" s="106">
        <v>2</v>
      </c>
      <c r="AK91" s="106">
        <v>4593.5999999999995</v>
      </c>
      <c r="AL91" s="106">
        <v>2</v>
      </c>
      <c r="AM91" s="106">
        <v>4593.5999999999995</v>
      </c>
      <c r="AN91" s="106">
        <v>3</v>
      </c>
      <c r="AO91" s="106">
        <v>6890.4</v>
      </c>
      <c r="AP91" s="106">
        <v>3</v>
      </c>
      <c r="AQ91" s="106">
        <v>6890.4</v>
      </c>
      <c r="AR91" s="106">
        <v>35</v>
      </c>
      <c r="AS91" s="106">
        <v>80387.999999999985</v>
      </c>
      <c r="AT91" s="106">
        <v>31.428925669497968</v>
      </c>
      <c r="AU91" s="106">
        <v>72185.95647770293</v>
      </c>
      <c r="AV91" s="106">
        <v>36.171914702925854</v>
      </c>
      <c r="AW91" s="106">
        <v>83079.653689680097</v>
      </c>
      <c r="AX91" s="106">
        <v>40</v>
      </c>
      <c r="AY91" s="106">
        <v>91871.999999999985</v>
      </c>
      <c r="AZ91" s="106">
        <v>31</v>
      </c>
      <c r="BA91" s="106">
        <v>71200.799999999988</v>
      </c>
      <c r="BB91" s="106">
        <v>19</v>
      </c>
      <c r="BC91" s="106">
        <v>43639.199999999997</v>
      </c>
      <c r="BD91" s="106">
        <v>35</v>
      </c>
      <c r="BE91" s="106">
        <v>80387.999999999985</v>
      </c>
      <c r="BF91" s="106">
        <v>31</v>
      </c>
      <c r="BG91" s="106">
        <v>71200.799999999988</v>
      </c>
      <c r="BH91" s="106">
        <v>5</v>
      </c>
      <c r="BI91" s="106">
        <v>11483.999999999998</v>
      </c>
      <c r="BJ91" s="106">
        <v>5.8008154131387206</v>
      </c>
      <c r="BK91" s="106">
        <v>13323.312840897011</v>
      </c>
      <c r="BL91" s="106">
        <v>3</v>
      </c>
      <c r="BM91" s="106">
        <v>6890.4</v>
      </c>
      <c r="BN91" s="106">
        <v>3.8843537414965987</v>
      </c>
      <c r="BO91" s="106">
        <v>8921.5836734693876</v>
      </c>
      <c r="BP91" s="106">
        <v>13.638110669598653</v>
      </c>
      <c r="BQ91" s="106">
        <v>31324.012585934182</v>
      </c>
      <c r="BR91" s="106">
        <v>9</v>
      </c>
      <c r="BS91" s="106">
        <v>20671.199999999997</v>
      </c>
      <c r="BT91" s="106">
        <v>10</v>
      </c>
      <c r="BU91" s="106">
        <v>22967.999999999996</v>
      </c>
      <c r="BV91" s="106">
        <v>16.491439600798099</v>
      </c>
      <c r="BW91" s="106">
        <v>37877.53847511307</v>
      </c>
      <c r="BX91" s="106">
        <v>7.4238184382278298</v>
      </c>
      <c r="BY91" s="106">
        <v>17051.026188921678</v>
      </c>
      <c r="BZ91" s="106">
        <v>8.342852441437314</v>
      </c>
      <c r="CA91" s="106">
        <v>19161.863487493221</v>
      </c>
      <c r="CB91" s="106">
        <v>7</v>
      </c>
      <c r="CC91" s="106">
        <v>16077.599999999999</v>
      </c>
      <c r="CD91" s="106">
        <v>8</v>
      </c>
      <c r="CE91" s="106">
        <v>18374.399999999998</v>
      </c>
      <c r="CF91" s="106">
        <v>10</v>
      </c>
      <c r="CG91" s="106">
        <v>22967.999999999996</v>
      </c>
      <c r="CH91" s="106">
        <v>7</v>
      </c>
      <c r="CI91" s="106">
        <v>16077.599999999999</v>
      </c>
      <c r="CJ91" s="106">
        <v>8</v>
      </c>
      <c r="CK91" s="106">
        <v>18374.399999999998</v>
      </c>
      <c r="CL91" s="106">
        <v>6</v>
      </c>
      <c r="CM91" s="106">
        <v>13780.8</v>
      </c>
      <c r="CN91" s="106">
        <v>23</v>
      </c>
      <c r="CO91" s="106">
        <v>52826.399999999994</v>
      </c>
      <c r="CP91" s="106">
        <v>27</v>
      </c>
      <c r="CQ91" s="106">
        <v>62013.599999999991</v>
      </c>
      <c r="CR91" s="106">
        <v>17</v>
      </c>
      <c r="CS91" s="106">
        <v>39045.599999999999</v>
      </c>
      <c r="CT91" s="106">
        <v>28</v>
      </c>
      <c r="CU91" s="106">
        <v>64310.399999999994</v>
      </c>
    </row>
    <row r="92" spans="2:99" x14ac:dyDescent="0.2">
      <c r="C92" s="105" t="s">
        <v>258</v>
      </c>
      <c r="D92" s="106">
        <v>5</v>
      </c>
      <c r="E92" s="106">
        <v>7104</v>
      </c>
      <c r="F92" s="106">
        <v>5</v>
      </c>
      <c r="G92" s="106">
        <v>7104</v>
      </c>
      <c r="H92" s="106">
        <v>5.3645681581685745</v>
      </c>
      <c r="I92" s="106">
        <v>7621.97843912591</v>
      </c>
      <c r="J92" s="106">
        <v>6.5015293932241525</v>
      </c>
      <c r="K92" s="106">
        <v>9237.3729618928755</v>
      </c>
      <c r="L92" s="106">
        <v>8</v>
      </c>
      <c r="M92" s="106">
        <v>11366.4</v>
      </c>
      <c r="N92" s="106">
        <v>8</v>
      </c>
      <c r="O92" s="106">
        <v>11366.4</v>
      </c>
      <c r="P92" s="106">
        <v>8</v>
      </c>
      <c r="Q92" s="106">
        <v>11366.4</v>
      </c>
      <c r="R92" s="106">
        <v>9</v>
      </c>
      <c r="S92" s="106">
        <v>12787.199999999999</v>
      </c>
      <c r="T92" s="106">
        <v>9</v>
      </c>
      <c r="U92" s="106">
        <v>12787.199999999999</v>
      </c>
      <c r="V92" s="106">
        <v>5</v>
      </c>
      <c r="W92" s="106">
        <v>7104</v>
      </c>
      <c r="X92" s="106">
        <v>5</v>
      </c>
      <c r="Y92" s="106">
        <v>7104</v>
      </c>
      <c r="Z92" s="106">
        <v>7</v>
      </c>
      <c r="AA92" s="106">
        <v>9945.6</v>
      </c>
      <c r="AB92" s="106">
        <v>20</v>
      </c>
      <c r="AC92" s="106">
        <v>28416</v>
      </c>
      <c r="AD92" s="106">
        <v>25</v>
      </c>
      <c r="AE92" s="106">
        <v>35520</v>
      </c>
      <c r="AF92" s="106">
        <v>14</v>
      </c>
      <c r="AG92" s="106">
        <v>19891.2</v>
      </c>
      <c r="AH92" s="106">
        <v>21.786850756081524</v>
      </c>
      <c r="AI92" s="106">
        <v>30954.757554240627</v>
      </c>
      <c r="AJ92" s="106">
        <v>2</v>
      </c>
      <c r="AK92" s="106">
        <v>2841.6</v>
      </c>
      <c r="AL92" s="106">
        <v>2</v>
      </c>
      <c r="AM92" s="106">
        <v>2841.6</v>
      </c>
      <c r="AN92" s="106">
        <v>4</v>
      </c>
      <c r="AO92" s="106">
        <v>5683.2</v>
      </c>
      <c r="AP92" s="106">
        <v>3</v>
      </c>
      <c r="AQ92" s="106">
        <v>4262.3999999999996</v>
      </c>
      <c r="AR92" s="106">
        <v>41</v>
      </c>
      <c r="AS92" s="106">
        <v>58252.799999999996</v>
      </c>
      <c r="AT92" s="106">
        <v>36.428925669497971</v>
      </c>
      <c r="AU92" s="106">
        <v>51758.217591222718</v>
      </c>
      <c r="AV92" s="106">
        <v>46.193404040791584</v>
      </c>
      <c r="AW92" s="106">
        <v>65631.588461156687</v>
      </c>
      <c r="AX92" s="106">
        <v>46</v>
      </c>
      <c r="AY92" s="106">
        <v>65356.799999999996</v>
      </c>
      <c r="AZ92" s="106">
        <v>34</v>
      </c>
      <c r="BA92" s="106">
        <v>48307.199999999997</v>
      </c>
      <c r="BB92" s="106">
        <v>21</v>
      </c>
      <c r="BC92" s="106">
        <v>29836.799999999999</v>
      </c>
      <c r="BD92" s="106">
        <v>46</v>
      </c>
      <c r="BE92" s="106">
        <v>65356.799999999996</v>
      </c>
      <c r="BF92" s="106">
        <v>37</v>
      </c>
      <c r="BG92" s="106">
        <v>52569.599999999999</v>
      </c>
      <c r="BH92" s="106">
        <v>5</v>
      </c>
      <c r="BI92" s="106">
        <v>7104</v>
      </c>
      <c r="BJ92" s="106">
        <v>5.8950289911550406</v>
      </c>
      <c r="BK92" s="106">
        <v>8375.657190633081</v>
      </c>
      <c r="BL92" s="106">
        <v>3</v>
      </c>
      <c r="BM92" s="106">
        <v>4262.3999999999996</v>
      </c>
      <c r="BN92" s="106">
        <v>3.9171075837742504</v>
      </c>
      <c r="BO92" s="106">
        <v>5565.4264550264552</v>
      </c>
      <c r="BP92" s="106">
        <v>15.935948973162045</v>
      </c>
      <c r="BQ92" s="106">
        <v>22641.796301068633</v>
      </c>
      <c r="BR92" s="106">
        <v>11</v>
      </c>
      <c r="BS92" s="106">
        <v>15628.8</v>
      </c>
      <c r="BT92" s="106">
        <v>10</v>
      </c>
      <c r="BU92" s="106">
        <v>14208</v>
      </c>
      <c r="BV92" s="106">
        <v>18.796506791870435</v>
      </c>
      <c r="BW92" s="106">
        <v>26706.076849889512</v>
      </c>
      <c r="BX92" s="106">
        <v>8.4520730007763518</v>
      </c>
      <c r="BY92" s="106">
        <v>12008.70531950304</v>
      </c>
      <c r="BZ92" s="106">
        <v>9.3955989708892087</v>
      </c>
      <c r="CA92" s="106">
        <v>13349.267017839387</v>
      </c>
      <c r="CB92" s="106">
        <v>8</v>
      </c>
      <c r="CC92" s="106">
        <v>11366.4</v>
      </c>
      <c r="CD92" s="106">
        <v>8</v>
      </c>
      <c r="CE92" s="106">
        <v>11366.4</v>
      </c>
      <c r="CF92" s="106">
        <v>10</v>
      </c>
      <c r="CG92" s="106">
        <v>14208</v>
      </c>
      <c r="CH92" s="106">
        <v>8</v>
      </c>
      <c r="CI92" s="106">
        <v>11366.4</v>
      </c>
      <c r="CJ92" s="106">
        <v>7</v>
      </c>
      <c r="CK92" s="106">
        <v>9945.6</v>
      </c>
      <c r="CL92" s="106">
        <v>7</v>
      </c>
      <c r="CM92" s="106">
        <v>9945.6</v>
      </c>
      <c r="CN92" s="106">
        <v>24</v>
      </c>
      <c r="CO92" s="106">
        <v>34099.199999999997</v>
      </c>
      <c r="CP92" s="106">
        <v>30</v>
      </c>
      <c r="CQ92" s="106">
        <v>42624</v>
      </c>
      <c r="CR92" s="106">
        <v>23</v>
      </c>
      <c r="CS92" s="106">
        <v>32678.399999999998</v>
      </c>
      <c r="CT92" s="106">
        <v>30</v>
      </c>
      <c r="CU92" s="106">
        <v>42624</v>
      </c>
    </row>
    <row r="93" spans="2:99" x14ac:dyDescent="0.2">
      <c r="C93" s="105" t="s">
        <v>259</v>
      </c>
      <c r="D93" s="106">
        <v>5</v>
      </c>
      <c r="E93" s="106">
        <v>8862</v>
      </c>
      <c r="F93" s="106">
        <v>5</v>
      </c>
      <c r="G93" s="106">
        <v>8862</v>
      </c>
      <c r="H93" s="106">
        <v>6.331425598335068</v>
      </c>
      <c r="I93" s="106">
        <v>11221.818730489074</v>
      </c>
      <c r="J93" s="106">
        <v>5.4597352771221397</v>
      </c>
      <c r="K93" s="106">
        <v>9676.8348051712801</v>
      </c>
      <c r="L93" s="106">
        <v>8.7757659554172918</v>
      </c>
      <c r="M93" s="106">
        <v>15554.167579381607</v>
      </c>
      <c r="N93" s="106">
        <v>8</v>
      </c>
      <c r="O93" s="106">
        <v>14179.199999999999</v>
      </c>
      <c r="P93" s="106">
        <v>8</v>
      </c>
      <c r="Q93" s="106">
        <v>14179.199999999999</v>
      </c>
      <c r="R93" s="106">
        <v>10</v>
      </c>
      <c r="S93" s="106">
        <v>17724</v>
      </c>
      <c r="T93" s="106">
        <v>9</v>
      </c>
      <c r="U93" s="106">
        <v>15951.599999999999</v>
      </c>
      <c r="V93" s="106">
        <v>6</v>
      </c>
      <c r="W93" s="106">
        <v>10634.4</v>
      </c>
      <c r="X93" s="106">
        <v>6</v>
      </c>
      <c r="Y93" s="106">
        <v>10634.4</v>
      </c>
      <c r="Z93" s="106">
        <v>6</v>
      </c>
      <c r="AA93" s="106">
        <v>10634.4</v>
      </c>
      <c r="AB93" s="106">
        <v>18</v>
      </c>
      <c r="AC93" s="106">
        <v>31903.199999999997</v>
      </c>
      <c r="AD93" s="106">
        <v>23</v>
      </c>
      <c r="AE93" s="106">
        <v>40765.199999999997</v>
      </c>
      <c r="AF93" s="106">
        <v>13</v>
      </c>
      <c r="AG93" s="106">
        <v>23041.199999999997</v>
      </c>
      <c r="AH93" s="106">
        <v>22.836028928336621</v>
      </c>
      <c r="AI93" s="106">
        <v>40474.577672583822</v>
      </c>
      <c r="AJ93" s="106">
        <v>2</v>
      </c>
      <c r="AK93" s="106">
        <v>3544.7999999999997</v>
      </c>
      <c r="AL93" s="106">
        <v>2</v>
      </c>
      <c r="AM93" s="106">
        <v>3544.7999999999997</v>
      </c>
      <c r="AN93" s="106">
        <v>3</v>
      </c>
      <c r="AO93" s="106">
        <v>5317.2</v>
      </c>
      <c r="AP93" s="106">
        <v>3</v>
      </c>
      <c r="AQ93" s="106">
        <v>5317.2</v>
      </c>
      <c r="AR93" s="106">
        <v>40</v>
      </c>
      <c r="AS93" s="106">
        <v>70896</v>
      </c>
      <c r="AT93" s="106">
        <v>33.428925669497971</v>
      </c>
      <c r="AU93" s="106">
        <v>59249.427856618197</v>
      </c>
      <c r="AV93" s="106">
        <v>45.214893378657315</v>
      </c>
      <c r="AW93" s="106">
        <v>80138.877024332221</v>
      </c>
      <c r="AX93" s="106">
        <v>41</v>
      </c>
      <c r="AY93" s="106">
        <v>72668.399999999994</v>
      </c>
      <c r="AZ93" s="106">
        <v>33</v>
      </c>
      <c r="BA93" s="106">
        <v>58489.2</v>
      </c>
      <c r="BB93" s="106">
        <v>21</v>
      </c>
      <c r="BC93" s="106">
        <v>37220.399999999994</v>
      </c>
      <c r="BD93" s="106">
        <v>40</v>
      </c>
      <c r="BE93" s="106">
        <v>70896</v>
      </c>
      <c r="BF93" s="106">
        <v>35</v>
      </c>
      <c r="BG93" s="106">
        <v>62033.999999999993</v>
      </c>
      <c r="BH93" s="106">
        <v>5</v>
      </c>
      <c r="BI93" s="106">
        <v>8862</v>
      </c>
      <c r="BJ93" s="106">
        <v>5.8008154131387206</v>
      </c>
      <c r="BK93" s="106">
        <v>10281.365238247068</v>
      </c>
      <c r="BL93" s="106">
        <v>3</v>
      </c>
      <c r="BM93" s="106">
        <v>5317.2</v>
      </c>
      <c r="BN93" s="106">
        <v>3.8843537414965987</v>
      </c>
      <c r="BO93" s="106">
        <v>6884.6285714285714</v>
      </c>
      <c r="BP93" s="106">
        <v>15</v>
      </c>
      <c r="BQ93" s="106">
        <v>26585.999999999996</v>
      </c>
      <c r="BR93" s="106">
        <v>11</v>
      </c>
      <c r="BS93" s="106">
        <v>19496.399999999998</v>
      </c>
      <c r="BT93" s="106">
        <v>9</v>
      </c>
      <c r="BU93" s="106">
        <v>15951.599999999999</v>
      </c>
      <c r="BV93" s="106">
        <v>18.491439600798099</v>
      </c>
      <c r="BW93" s="106">
        <v>32774.227548454546</v>
      </c>
      <c r="BX93" s="106">
        <v>8.4238184382278298</v>
      </c>
      <c r="BY93" s="106">
        <v>14930.375799915004</v>
      </c>
      <c r="BZ93" s="106">
        <v>9.3692257061632613</v>
      </c>
      <c r="CA93" s="106">
        <v>16606.015641603764</v>
      </c>
      <c r="CB93" s="106">
        <v>8</v>
      </c>
      <c r="CC93" s="106">
        <v>14179.199999999999</v>
      </c>
      <c r="CD93" s="106">
        <v>9</v>
      </c>
      <c r="CE93" s="106">
        <v>15951.599999999999</v>
      </c>
      <c r="CF93" s="106">
        <v>10</v>
      </c>
      <c r="CG93" s="106">
        <v>17724</v>
      </c>
      <c r="CH93" s="106">
        <v>7</v>
      </c>
      <c r="CI93" s="106">
        <v>12406.8</v>
      </c>
      <c r="CJ93" s="106">
        <v>8</v>
      </c>
      <c r="CK93" s="106">
        <v>14179.199999999999</v>
      </c>
      <c r="CL93" s="106">
        <v>6</v>
      </c>
      <c r="CM93" s="106">
        <v>10634.4</v>
      </c>
      <c r="CN93" s="106">
        <v>20</v>
      </c>
      <c r="CO93" s="106">
        <v>35448</v>
      </c>
      <c r="CP93" s="106">
        <v>30</v>
      </c>
      <c r="CQ93" s="106">
        <v>53171.999999999993</v>
      </c>
      <c r="CR93" s="106">
        <v>19</v>
      </c>
      <c r="CS93" s="106">
        <v>33675.599999999999</v>
      </c>
      <c r="CT93" s="106">
        <v>28</v>
      </c>
      <c r="CU93" s="106">
        <v>49627.199999999997</v>
      </c>
    </row>
    <row r="94" spans="2:99" x14ac:dyDescent="0.2">
      <c r="C94" s="105" t="s">
        <v>260</v>
      </c>
      <c r="D94" s="106">
        <v>5</v>
      </c>
      <c r="E94" s="106">
        <v>11976</v>
      </c>
      <c r="F94" s="106">
        <v>5</v>
      </c>
      <c r="G94" s="106">
        <v>11976</v>
      </c>
      <c r="H94" s="106">
        <v>5.331425598335068</v>
      </c>
      <c r="I94" s="106">
        <v>12769.830593132154</v>
      </c>
      <c r="J94" s="106">
        <v>5.4597352771221397</v>
      </c>
      <c r="K94" s="106">
        <v>13077.157935762947</v>
      </c>
      <c r="L94" s="106">
        <v>7.8094949100006517</v>
      </c>
      <c r="M94" s="106">
        <v>18705.302208433561</v>
      </c>
      <c r="N94" s="106">
        <v>9</v>
      </c>
      <c r="O94" s="106">
        <v>21556.799999999999</v>
      </c>
      <c r="P94" s="106">
        <v>8</v>
      </c>
      <c r="Q94" s="106">
        <v>19161.599999999999</v>
      </c>
      <c r="R94" s="106">
        <v>9</v>
      </c>
      <c r="S94" s="106">
        <v>21556.799999999999</v>
      </c>
      <c r="T94" s="106">
        <v>8</v>
      </c>
      <c r="U94" s="106">
        <v>19161.599999999999</v>
      </c>
      <c r="V94" s="106">
        <v>5</v>
      </c>
      <c r="W94" s="106">
        <v>11976</v>
      </c>
      <c r="X94" s="106">
        <v>5</v>
      </c>
      <c r="Y94" s="106">
        <v>11976</v>
      </c>
      <c r="Z94" s="106">
        <v>5</v>
      </c>
      <c r="AA94" s="106">
        <v>11976</v>
      </c>
      <c r="AB94" s="106">
        <v>19</v>
      </c>
      <c r="AC94" s="106">
        <v>45508.799999999996</v>
      </c>
      <c r="AD94" s="106">
        <v>19</v>
      </c>
      <c r="AE94" s="106">
        <v>45508.799999999996</v>
      </c>
      <c r="AF94" s="106">
        <v>11</v>
      </c>
      <c r="AG94" s="106">
        <v>26347.199999999997</v>
      </c>
      <c r="AH94" s="106">
        <v>20.688494411571334</v>
      </c>
      <c r="AI94" s="106">
        <v>49553.081814595658</v>
      </c>
      <c r="AJ94" s="106">
        <v>2</v>
      </c>
      <c r="AK94" s="106">
        <v>4790.3999999999996</v>
      </c>
      <c r="AL94" s="106">
        <v>2</v>
      </c>
      <c r="AM94" s="106">
        <v>4790.3999999999996</v>
      </c>
      <c r="AN94" s="106">
        <v>3</v>
      </c>
      <c r="AO94" s="106">
        <v>7185.5999999999995</v>
      </c>
      <c r="AP94" s="106">
        <v>3</v>
      </c>
      <c r="AQ94" s="106">
        <v>7185.5999999999995</v>
      </c>
      <c r="AR94" s="106">
        <v>38</v>
      </c>
      <c r="AS94" s="106">
        <v>91017.599999999991</v>
      </c>
      <c r="AT94" s="106">
        <v>33.343140535598373</v>
      </c>
      <c r="AU94" s="106">
        <v>79863.490210865217</v>
      </c>
      <c r="AV94" s="106">
        <v>38.171914702925854</v>
      </c>
      <c r="AW94" s="106">
        <v>91429.370096447994</v>
      </c>
      <c r="AX94" s="106">
        <v>38</v>
      </c>
      <c r="AY94" s="106">
        <v>91017.599999999991</v>
      </c>
      <c r="AZ94" s="106">
        <v>30</v>
      </c>
      <c r="BA94" s="106">
        <v>71856</v>
      </c>
      <c r="BB94" s="106">
        <v>18</v>
      </c>
      <c r="BC94" s="106">
        <v>43113.599999999999</v>
      </c>
      <c r="BD94" s="106">
        <v>39</v>
      </c>
      <c r="BE94" s="106">
        <v>93412.799999999988</v>
      </c>
      <c r="BF94" s="106">
        <v>35</v>
      </c>
      <c r="BG94" s="106">
        <v>83832</v>
      </c>
      <c r="BH94" s="106">
        <v>5</v>
      </c>
      <c r="BI94" s="106">
        <v>11976</v>
      </c>
      <c r="BJ94" s="106">
        <v>5.8008154131387206</v>
      </c>
      <c r="BK94" s="106">
        <v>13894.113077549862</v>
      </c>
      <c r="BL94" s="106">
        <v>3</v>
      </c>
      <c r="BM94" s="106">
        <v>7185.5999999999995</v>
      </c>
      <c r="BN94" s="106">
        <v>3.818846056941295</v>
      </c>
      <c r="BO94" s="106">
        <v>9146.9000755857887</v>
      </c>
      <c r="BP94" s="106">
        <v>14.588470952338087</v>
      </c>
      <c r="BQ94" s="106">
        <v>34942.305625040186</v>
      </c>
      <c r="BR94" s="106">
        <v>9</v>
      </c>
      <c r="BS94" s="106">
        <v>21556.799999999999</v>
      </c>
      <c r="BT94" s="106">
        <v>10</v>
      </c>
      <c r="BU94" s="106">
        <v>23952</v>
      </c>
      <c r="BV94" s="106">
        <v>17.627025019052471</v>
      </c>
      <c r="BW94" s="106">
        <v>42220.250325634479</v>
      </c>
      <c r="BX94" s="106">
        <v>7.3673093131307859</v>
      </c>
      <c r="BY94" s="106">
        <v>17646.179266810857</v>
      </c>
      <c r="BZ94" s="106">
        <v>8.342852441437314</v>
      </c>
      <c r="CA94" s="106">
        <v>19982.800167730653</v>
      </c>
      <c r="CB94" s="106">
        <v>7</v>
      </c>
      <c r="CC94" s="106">
        <v>16766.399999999998</v>
      </c>
      <c r="CD94" s="106">
        <v>8</v>
      </c>
      <c r="CE94" s="106">
        <v>19161.599999999999</v>
      </c>
      <c r="CF94" s="106">
        <v>10</v>
      </c>
      <c r="CG94" s="106">
        <v>23952</v>
      </c>
      <c r="CH94" s="106">
        <v>7</v>
      </c>
      <c r="CI94" s="106">
        <v>16766.399999999998</v>
      </c>
      <c r="CJ94" s="106">
        <v>7</v>
      </c>
      <c r="CK94" s="106">
        <v>16766.399999999998</v>
      </c>
      <c r="CL94" s="106">
        <v>6</v>
      </c>
      <c r="CM94" s="106">
        <v>14371.199999999999</v>
      </c>
      <c r="CN94" s="106">
        <v>20</v>
      </c>
      <c r="CO94" s="106">
        <v>47904</v>
      </c>
      <c r="CP94" s="106">
        <v>24</v>
      </c>
      <c r="CQ94" s="106">
        <v>57484.799999999996</v>
      </c>
      <c r="CR94" s="106">
        <v>20</v>
      </c>
      <c r="CS94" s="106">
        <v>47904</v>
      </c>
      <c r="CT94" s="106">
        <v>24</v>
      </c>
      <c r="CU94" s="106">
        <v>57484.799999999996</v>
      </c>
    </row>
    <row r="95" spans="2:99" x14ac:dyDescent="0.2">
      <c r="B95" s="105" t="s">
        <v>132</v>
      </c>
      <c r="C95" s="105" t="s">
        <v>261</v>
      </c>
      <c r="D95" s="106">
        <v>4</v>
      </c>
      <c r="E95" s="106">
        <v>6931.2</v>
      </c>
      <c r="F95" s="106">
        <v>4</v>
      </c>
      <c r="G95" s="106">
        <v>6931.2</v>
      </c>
      <c r="H95" s="106">
        <v>5</v>
      </c>
      <c r="I95" s="106">
        <v>8664</v>
      </c>
      <c r="J95" s="106">
        <v>7.0030587864483049</v>
      </c>
      <c r="K95" s="106">
        <v>12134.900265157623</v>
      </c>
      <c r="L95" s="106">
        <v>4.9781396829174538</v>
      </c>
      <c r="M95" s="106">
        <v>8626.1204425593642</v>
      </c>
      <c r="N95" s="106">
        <v>3</v>
      </c>
      <c r="O95" s="106">
        <v>5198.3999999999996</v>
      </c>
      <c r="P95" s="106">
        <v>3</v>
      </c>
      <c r="Q95" s="106">
        <v>5198.3999999999996</v>
      </c>
      <c r="R95" s="106">
        <v>4.3918538973127665</v>
      </c>
      <c r="S95" s="106">
        <v>7610.2044332635614</v>
      </c>
      <c r="T95" s="106">
        <v>7</v>
      </c>
      <c r="U95" s="106">
        <v>12129.6</v>
      </c>
      <c r="V95" s="106">
        <v>7</v>
      </c>
      <c r="W95" s="106">
        <v>12129.6</v>
      </c>
      <c r="X95" s="106">
        <v>8</v>
      </c>
      <c r="Y95" s="106">
        <v>13862.4</v>
      </c>
      <c r="Z95" s="106">
        <v>12</v>
      </c>
      <c r="AA95" s="106">
        <v>20793.599999999999</v>
      </c>
      <c r="AB95" s="106">
        <v>7.3414289668434236</v>
      </c>
      <c r="AC95" s="106">
        <v>12721.228113746283</v>
      </c>
      <c r="AD95" s="106">
        <v>6</v>
      </c>
      <c r="AE95" s="106">
        <v>10396.799999999999</v>
      </c>
      <c r="AF95" s="106">
        <v>4</v>
      </c>
      <c r="AG95" s="106">
        <v>6931.2</v>
      </c>
      <c r="AH95" s="106">
        <v>7.4426035502958579</v>
      </c>
      <c r="AI95" s="106">
        <v>12896.543431952663</v>
      </c>
      <c r="AJ95" s="106">
        <v>43.661467586903186</v>
      </c>
      <c r="AK95" s="106">
        <v>75656.591034585843</v>
      </c>
      <c r="AL95" s="106">
        <v>45</v>
      </c>
      <c r="AM95" s="106">
        <v>77976</v>
      </c>
      <c r="AN95" s="106">
        <v>30</v>
      </c>
      <c r="AO95" s="106">
        <v>51984</v>
      </c>
      <c r="AP95" s="106">
        <v>28</v>
      </c>
      <c r="AQ95" s="106">
        <v>48518.400000000001</v>
      </c>
      <c r="AR95" s="106">
        <v>3</v>
      </c>
      <c r="AS95" s="106">
        <v>5198.3999999999996</v>
      </c>
      <c r="AT95" s="106">
        <v>2</v>
      </c>
      <c r="AU95" s="106">
        <v>3465.6</v>
      </c>
      <c r="AV95" s="106">
        <v>2.6446801359719463</v>
      </c>
      <c r="AW95" s="106">
        <v>4582.7017396121882</v>
      </c>
      <c r="AX95" s="106">
        <v>4</v>
      </c>
      <c r="AY95" s="106">
        <v>6931.2</v>
      </c>
      <c r="AZ95" s="106">
        <v>9</v>
      </c>
      <c r="BA95" s="106">
        <v>15595.199999999999</v>
      </c>
      <c r="BB95" s="106">
        <v>8</v>
      </c>
      <c r="BC95" s="106">
        <v>13862.4</v>
      </c>
      <c r="BD95" s="106">
        <v>7</v>
      </c>
      <c r="BE95" s="106">
        <v>12129.6</v>
      </c>
      <c r="BF95" s="106">
        <v>7.636939956640588</v>
      </c>
      <c r="BG95" s="106">
        <v>13233.28955686681</v>
      </c>
      <c r="BH95" s="106">
        <v>13</v>
      </c>
      <c r="BI95" s="106">
        <v>22526.399999999998</v>
      </c>
      <c r="BJ95" s="106">
        <v>10</v>
      </c>
      <c r="BK95" s="106">
        <v>17328</v>
      </c>
      <c r="BL95" s="106">
        <v>13</v>
      </c>
      <c r="BM95" s="106">
        <v>22526.399999999998</v>
      </c>
      <c r="BN95" s="106">
        <v>13.687830687830688</v>
      </c>
      <c r="BO95" s="106">
        <v>23718.273015873016</v>
      </c>
      <c r="BP95" s="106">
        <v>4</v>
      </c>
      <c r="BQ95" s="106">
        <v>6931.2</v>
      </c>
      <c r="BR95" s="106">
        <v>5</v>
      </c>
      <c r="BS95" s="106">
        <v>8664</v>
      </c>
      <c r="BT95" s="106">
        <v>5</v>
      </c>
      <c r="BU95" s="106">
        <v>8664</v>
      </c>
      <c r="BV95" s="106">
        <v>6</v>
      </c>
      <c r="BW95" s="106">
        <v>10396.799999999999</v>
      </c>
      <c r="BX95" s="106">
        <v>8</v>
      </c>
      <c r="BY95" s="106">
        <v>13862.4</v>
      </c>
      <c r="BZ95" s="106">
        <v>14</v>
      </c>
      <c r="CA95" s="106">
        <v>24259.200000000001</v>
      </c>
      <c r="CB95" s="106">
        <v>12</v>
      </c>
      <c r="CC95" s="106">
        <v>20793.599999999999</v>
      </c>
      <c r="CD95" s="106">
        <v>10</v>
      </c>
      <c r="CE95" s="106">
        <v>17328</v>
      </c>
      <c r="CF95" s="106">
        <v>2</v>
      </c>
      <c r="CG95" s="106">
        <v>3465.6</v>
      </c>
      <c r="CH95" s="106">
        <v>4</v>
      </c>
      <c r="CI95" s="106">
        <v>6931.2</v>
      </c>
      <c r="CJ95" s="106">
        <v>4</v>
      </c>
      <c r="CK95" s="106">
        <v>6931.2</v>
      </c>
      <c r="CL95" s="106">
        <v>4.4431901927437645</v>
      </c>
      <c r="CM95" s="106">
        <v>7699.159965986395</v>
      </c>
      <c r="CN95" s="106">
        <v>5</v>
      </c>
      <c r="CO95" s="106">
        <v>8664</v>
      </c>
      <c r="CP95" s="106">
        <v>3</v>
      </c>
      <c r="CQ95" s="106">
        <v>5198.3999999999996</v>
      </c>
      <c r="CR95" s="106">
        <v>3</v>
      </c>
      <c r="CS95" s="106">
        <v>5198.3999999999996</v>
      </c>
      <c r="CT95" s="106">
        <v>3</v>
      </c>
      <c r="CU95" s="106">
        <v>5198.3999999999996</v>
      </c>
    </row>
    <row r="96" spans="2:99" x14ac:dyDescent="0.2">
      <c r="C96" s="105" t="s">
        <v>262</v>
      </c>
      <c r="D96" s="106">
        <v>5</v>
      </c>
      <c r="E96" s="106">
        <v>4116</v>
      </c>
      <c r="F96" s="106">
        <v>5</v>
      </c>
      <c r="G96" s="106">
        <v>4116</v>
      </c>
      <c r="H96" s="106">
        <v>5</v>
      </c>
      <c r="I96" s="106">
        <v>4116</v>
      </c>
      <c r="J96" s="106">
        <v>8.2956175991623926</v>
      </c>
      <c r="K96" s="106">
        <v>6828.9524076304806</v>
      </c>
      <c r="L96" s="106">
        <v>5.281700274167699</v>
      </c>
      <c r="M96" s="106">
        <v>4347.8956656948494</v>
      </c>
      <c r="N96" s="106">
        <v>3</v>
      </c>
      <c r="O96" s="106">
        <v>2469.6</v>
      </c>
      <c r="P96" s="106">
        <v>3</v>
      </c>
      <c r="Q96" s="106">
        <v>2469.6</v>
      </c>
      <c r="R96" s="106">
        <v>4.3918538973127665</v>
      </c>
      <c r="S96" s="106">
        <v>3615.3741282678693</v>
      </c>
      <c r="T96" s="106">
        <v>7</v>
      </c>
      <c r="U96" s="106">
        <v>5762.4</v>
      </c>
      <c r="V96" s="106">
        <v>7</v>
      </c>
      <c r="W96" s="106">
        <v>5762.4</v>
      </c>
      <c r="X96" s="106">
        <v>9</v>
      </c>
      <c r="Y96" s="106">
        <v>7408.7999999999993</v>
      </c>
      <c r="Z96" s="106">
        <v>13</v>
      </c>
      <c r="AA96" s="106">
        <v>10701.599999999999</v>
      </c>
      <c r="AB96" s="106">
        <v>7.3902045335353419</v>
      </c>
      <c r="AC96" s="106">
        <v>6083.6163720062932</v>
      </c>
      <c r="AD96" s="106">
        <v>7</v>
      </c>
      <c r="AE96" s="106">
        <v>5762.4</v>
      </c>
      <c r="AF96" s="106">
        <v>4</v>
      </c>
      <c r="AG96" s="106">
        <v>3292.7999999999997</v>
      </c>
      <c r="AH96" s="106">
        <v>7.4917817225509538</v>
      </c>
      <c r="AI96" s="106">
        <v>6167.2347140039446</v>
      </c>
      <c r="AJ96" s="106">
        <v>46.793761104283824</v>
      </c>
      <c r="AK96" s="106">
        <v>38520.624141046443</v>
      </c>
      <c r="AL96" s="106">
        <v>44</v>
      </c>
      <c r="AM96" s="106">
        <v>36220.799999999996</v>
      </c>
      <c r="AN96" s="106">
        <v>40</v>
      </c>
      <c r="AO96" s="106">
        <v>32928</v>
      </c>
      <c r="AP96" s="106">
        <v>34</v>
      </c>
      <c r="AQ96" s="106">
        <v>27988.799999999999</v>
      </c>
      <c r="AR96" s="106">
        <v>3</v>
      </c>
      <c r="AS96" s="106">
        <v>2469.6</v>
      </c>
      <c r="AT96" s="106">
        <v>2</v>
      </c>
      <c r="AU96" s="106">
        <v>1646.3999999999999</v>
      </c>
      <c r="AV96" s="106">
        <v>3.7521268253006039</v>
      </c>
      <c r="AW96" s="106">
        <v>3088.7508025874567</v>
      </c>
      <c r="AX96" s="106">
        <v>4</v>
      </c>
      <c r="AY96" s="106">
        <v>3292.7999999999997</v>
      </c>
      <c r="AZ96" s="106">
        <v>11</v>
      </c>
      <c r="BA96" s="106">
        <v>9055.1999999999989</v>
      </c>
      <c r="BB96" s="106">
        <v>7</v>
      </c>
      <c r="BC96" s="106">
        <v>5762.4</v>
      </c>
      <c r="BD96" s="106">
        <v>8</v>
      </c>
      <c r="BE96" s="106">
        <v>6585.5999999999995</v>
      </c>
      <c r="BF96" s="106">
        <v>8.6369399566405889</v>
      </c>
      <c r="BG96" s="106">
        <v>7109.9289723065322</v>
      </c>
      <c r="BH96" s="106">
        <v>14</v>
      </c>
      <c r="BI96" s="106">
        <v>11524.8</v>
      </c>
      <c r="BJ96" s="106">
        <v>11.036349358179521</v>
      </c>
      <c r="BK96" s="106">
        <v>9085.1227916533808</v>
      </c>
      <c r="BL96" s="106">
        <v>16</v>
      </c>
      <c r="BM96" s="106">
        <v>13171.199999999999</v>
      </c>
      <c r="BN96" s="106">
        <v>13.786092214663643</v>
      </c>
      <c r="BO96" s="106">
        <v>11348.71111111111</v>
      </c>
      <c r="BP96" s="106">
        <v>5</v>
      </c>
      <c r="BQ96" s="106">
        <v>4116</v>
      </c>
      <c r="BR96" s="106">
        <v>6</v>
      </c>
      <c r="BS96" s="106">
        <v>4939.2</v>
      </c>
      <c r="BT96" s="106">
        <v>6</v>
      </c>
      <c r="BU96" s="106">
        <v>4939.2</v>
      </c>
      <c r="BV96" s="106">
        <v>6</v>
      </c>
      <c r="BW96" s="106">
        <v>4939.2</v>
      </c>
      <c r="BX96" s="106">
        <v>9</v>
      </c>
      <c r="BY96" s="106">
        <v>7408.7999999999993</v>
      </c>
      <c r="BZ96" s="106">
        <v>17</v>
      </c>
      <c r="CA96" s="106">
        <v>13994.4</v>
      </c>
      <c r="CB96" s="106">
        <v>14</v>
      </c>
      <c r="CC96" s="106">
        <v>11524.8</v>
      </c>
      <c r="CD96" s="106">
        <v>11</v>
      </c>
      <c r="CE96" s="106">
        <v>9055.1999999999989</v>
      </c>
      <c r="CF96" s="106">
        <v>3</v>
      </c>
      <c r="CG96" s="106">
        <v>2469.6</v>
      </c>
      <c r="CH96" s="106">
        <v>5</v>
      </c>
      <c r="CI96" s="106">
        <v>4116</v>
      </c>
      <c r="CJ96" s="106">
        <v>4</v>
      </c>
      <c r="CK96" s="106">
        <v>3292.7999999999997</v>
      </c>
      <c r="CL96" s="106">
        <v>4.4431901927437645</v>
      </c>
      <c r="CM96" s="106">
        <v>3657.6341666666667</v>
      </c>
      <c r="CN96" s="106">
        <v>5</v>
      </c>
      <c r="CO96" s="106">
        <v>4116</v>
      </c>
      <c r="CP96" s="106">
        <v>3</v>
      </c>
      <c r="CQ96" s="106">
        <v>2469.6</v>
      </c>
      <c r="CR96" s="106">
        <v>4</v>
      </c>
      <c r="CS96" s="106">
        <v>3292.7999999999997</v>
      </c>
      <c r="CT96" s="106">
        <v>3</v>
      </c>
      <c r="CU96" s="106">
        <v>2469.6</v>
      </c>
    </row>
    <row r="97" spans="2:99" x14ac:dyDescent="0.2">
      <c r="C97" s="105" t="s">
        <v>263</v>
      </c>
      <c r="D97" s="106">
        <v>5</v>
      </c>
      <c r="E97" s="106">
        <v>9144</v>
      </c>
      <c r="F97" s="106">
        <v>4</v>
      </c>
      <c r="G97" s="106">
        <v>7315.2</v>
      </c>
      <c r="H97" s="106">
        <v>5</v>
      </c>
      <c r="I97" s="106">
        <v>9144</v>
      </c>
      <c r="J97" s="106">
        <v>7.0866470186523296</v>
      </c>
      <c r="K97" s="106">
        <v>12960.06006771138</v>
      </c>
      <c r="L97" s="106">
        <v>5.1467844558342568</v>
      </c>
      <c r="M97" s="106">
        <v>9412.4394128296881</v>
      </c>
      <c r="N97" s="106">
        <v>3</v>
      </c>
      <c r="O97" s="106">
        <v>5486.4</v>
      </c>
      <c r="P97" s="106">
        <v>3</v>
      </c>
      <c r="Q97" s="106">
        <v>5486.4</v>
      </c>
      <c r="R97" s="106">
        <v>4.3918538973127665</v>
      </c>
      <c r="S97" s="106">
        <v>8031.822407405587</v>
      </c>
      <c r="T97" s="106">
        <v>6</v>
      </c>
      <c r="U97" s="106">
        <v>10972.8</v>
      </c>
      <c r="V97" s="106">
        <v>6</v>
      </c>
      <c r="W97" s="106">
        <v>10972.8</v>
      </c>
      <c r="X97" s="106">
        <v>8</v>
      </c>
      <c r="Y97" s="106">
        <v>14630.4</v>
      </c>
      <c r="Z97" s="106">
        <v>11</v>
      </c>
      <c r="AA97" s="106">
        <v>20116.8</v>
      </c>
      <c r="AB97" s="106">
        <v>6.3414289668434236</v>
      </c>
      <c r="AC97" s="106">
        <v>11597.205294563253</v>
      </c>
      <c r="AD97" s="106">
        <v>6</v>
      </c>
      <c r="AE97" s="106">
        <v>10972.8</v>
      </c>
      <c r="AF97" s="106">
        <v>4</v>
      </c>
      <c r="AG97" s="106">
        <v>7315.2</v>
      </c>
      <c r="AH97" s="106">
        <v>7.4917817225509538</v>
      </c>
      <c r="AI97" s="106">
        <v>13700.970414201183</v>
      </c>
      <c r="AJ97" s="106">
        <v>43.628394207558031</v>
      </c>
      <c r="AK97" s="106">
        <v>79787.607326782119</v>
      </c>
      <c r="AL97" s="106">
        <v>42</v>
      </c>
      <c r="AM97" s="106">
        <v>76809.599999999991</v>
      </c>
      <c r="AN97" s="106">
        <v>32</v>
      </c>
      <c r="AO97" s="106">
        <v>58521.599999999999</v>
      </c>
      <c r="AP97" s="106">
        <v>30</v>
      </c>
      <c r="AQ97" s="106">
        <v>54864</v>
      </c>
      <c r="AR97" s="106">
        <v>2</v>
      </c>
      <c r="AS97" s="106">
        <v>3657.6</v>
      </c>
      <c r="AT97" s="106">
        <v>2</v>
      </c>
      <c r="AU97" s="106">
        <v>3657.6</v>
      </c>
      <c r="AV97" s="106">
        <v>3</v>
      </c>
      <c r="AW97" s="106">
        <v>5486.4</v>
      </c>
      <c r="AX97" s="106">
        <v>4</v>
      </c>
      <c r="AY97" s="106">
        <v>7315.2</v>
      </c>
      <c r="AZ97" s="106">
        <v>9</v>
      </c>
      <c r="BA97" s="106">
        <v>16459.2</v>
      </c>
      <c r="BB97" s="106">
        <v>8</v>
      </c>
      <c r="BC97" s="106">
        <v>14630.4</v>
      </c>
      <c r="BD97" s="106">
        <v>7</v>
      </c>
      <c r="BE97" s="106">
        <v>12801.6</v>
      </c>
      <c r="BF97" s="106">
        <v>8.6369399566405889</v>
      </c>
      <c r="BG97" s="106">
        <v>15795.235792704309</v>
      </c>
      <c r="BH97" s="106">
        <v>14</v>
      </c>
      <c r="BI97" s="106">
        <v>25603.200000000001</v>
      </c>
      <c r="BJ97" s="106">
        <v>9.9892425691713598</v>
      </c>
      <c r="BK97" s="106">
        <v>18268.326810500581</v>
      </c>
      <c r="BL97" s="106">
        <v>13</v>
      </c>
      <c r="BM97" s="106">
        <v>23774.399999999998</v>
      </c>
      <c r="BN97" s="106">
        <v>11.622323003275385</v>
      </c>
      <c r="BO97" s="106">
        <v>21254.904308390025</v>
      </c>
      <c r="BP97" s="106">
        <v>4</v>
      </c>
      <c r="BQ97" s="106">
        <v>7315.2</v>
      </c>
      <c r="BR97" s="106">
        <v>5</v>
      </c>
      <c r="BS97" s="106">
        <v>9144</v>
      </c>
      <c r="BT97" s="106">
        <v>6</v>
      </c>
      <c r="BU97" s="106">
        <v>10972.8</v>
      </c>
      <c r="BV97" s="106">
        <v>5</v>
      </c>
      <c r="BW97" s="106">
        <v>9144</v>
      </c>
      <c r="BX97" s="106">
        <v>8</v>
      </c>
      <c r="BY97" s="106">
        <v>14630.4</v>
      </c>
      <c r="BZ97" s="106">
        <v>14</v>
      </c>
      <c r="CA97" s="106">
        <v>25603.200000000001</v>
      </c>
      <c r="CB97" s="106">
        <v>12</v>
      </c>
      <c r="CC97" s="106">
        <v>21945.599999999999</v>
      </c>
      <c r="CD97" s="106">
        <v>10</v>
      </c>
      <c r="CE97" s="106">
        <v>18288</v>
      </c>
      <c r="CF97" s="106">
        <v>2</v>
      </c>
      <c r="CG97" s="106">
        <v>3657.6</v>
      </c>
      <c r="CH97" s="106">
        <v>4</v>
      </c>
      <c r="CI97" s="106">
        <v>7315.2</v>
      </c>
      <c r="CJ97" s="106">
        <v>4</v>
      </c>
      <c r="CK97" s="106">
        <v>7315.2</v>
      </c>
      <c r="CL97" s="106">
        <v>4.4431901927437645</v>
      </c>
      <c r="CM97" s="106">
        <v>8125.7062244897961</v>
      </c>
      <c r="CN97" s="106">
        <v>4</v>
      </c>
      <c r="CO97" s="106">
        <v>7315.2</v>
      </c>
      <c r="CP97" s="106">
        <v>3</v>
      </c>
      <c r="CQ97" s="106">
        <v>5486.4</v>
      </c>
      <c r="CR97" s="106">
        <v>3</v>
      </c>
      <c r="CS97" s="106">
        <v>5486.4</v>
      </c>
      <c r="CT97" s="106">
        <v>2</v>
      </c>
      <c r="CU97" s="106">
        <v>3657.6</v>
      </c>
    </row>
    <row r="98" spans="2:99" x14ac:dyDescent="0.2">
      <c r="C98" s="105" t="s">
        <v>264</v>
      </c>
      <c r="D98" s="106">
        <v>5</v>
      </c>
      <c r="E98" s="106">
        <v>6318</v>
      </c>
      <c r="F98" s="106">
        <v>4</v>
      </c>
      <c r="G98" s="106">
        <v>5054.3999999999996</v>
      </c>
      <c r="H98" s="106">
        <v>5</v>
      </c>
      <c r="I98" s="106">
        <v>6318</v>
      </c>
      <c r="J98" s="106">
        <v>6</v>
      </c>
      <c r="K98" s="106">
        <v>7581.5999999999995</v>
      </c>
      <c r="L98" s="106">
        <v>4.0118686375008146</v>
      </c>
      <c r="M98" s="106">
        <v>5069.3972103460292</v>
      </c>
      <c r="N98" s="106">
        <v>3</v>
      </c>
      <c r="O98" s="106">
        <v>3790.7999999999997</v>
      </c>
      <c r="P98" s="106">
        <v>3</v>
      </c>
      <c r="Q98" s="106">
        <v>3790.7999999999997</v>
      </c>
      <c r="R98" s="106">
        <v>4.4415629650739366</v>
      </c>
      <c r="S98" s="106">
        <v>5612.3589626674257</v>
      </c>
      <c r="T98" s="106">
        <v>7</v>
      </c>
      <c r="U98" s="106">
        <v>8845.1999999999989</v>
      </c>
      <c r="V98" s="106">
        <v>8</v>
      </c>
      <c r="W98" s="106">
        <v>10108.799999999999</v>
      </c>
      <c r="X98" s="106">
        <v>8</v>
      </c>
      <c r="Y98" s="106">
        <v>10108.799999999999</v>
      </c>
      <c r="Z98" s="106">
        <v>13</v>
      </c>
      <c r="AA98" s="106">
        <v>16426.8</v>
      </c>
      <c r="AB98" s="106">
        <v>8.4389801002272602</v>
      </c>
      <c r="AC98" s="106">
        <v>10663.495254647165</v>
      </c>
      <c r="AD98" s="106">
        <v>6</v>
      </c>
      <c r="AE98" s="106">
        <v>7581.5999999999995</v>
      </c>
      <c r="AF98" s="106">
        <v>4</v>
      </c>
      <c r="AG98" s="106">
        <v>5054.3999999999996</v>
      </c>
      <c r="AH98" s="106">
        <v>7.4426035502958579</v>
      </c>
      <c r="AI98" s="106">
        <v>9404.4738461538454</v>
      </c>
      <c r="AJ98" s="106">
        <v>41.727614345593508</v>
      </c>
      <c r="AK98" s="106">
        <v>52727.01348709195</v>
      </c>
      <c r="AL98" s="106">
        <v>41</v>
      </c>
      <c r="AM98" s="106">
        <v>51807.6</v>
      </c>
      <c r="AN98" s="106">
        <v>38</v>
      </c>
      <c r="AO98" s="106">
        <v>48016.799999999996</v>
      </c>
      <c r="AP98" s="106">
        <v>34</v>
      </c>
      <c r="AQ98" s="106">
        <v>42962.399999999994</v>
      </c>
      <c r="AR98" s="106">
        <v>3</v>
      </c>
      <c r="AS98" s="106">
        <v>3790.7999999999997</v>
      </c>
      <c r="AT98" s="106">
        <v>2</v>
      </c>
      <c r="AU98" s="106">
        <v>2527.1999999999998</v>
      </c>
      <c r="AV98" s="106">
        <v>2.6231907981062146</v>
      </c>
      <c r="AW98" s="106">
        <v>3314.6638924870126</v>
      </c>
      <c r="AX98" s="106">
        <v>4</v>
      </c>
      <c r="AY98" s="106">
        <v>5054.3999999999996</v>
      </c>
      <c r="AZ98" s="106">
        <v>9</v>
      </c>
      <c r="BA98" s="106">
        <v>11372.4</v>
      </c>
      <c r="BB98" s="106">
        <v>8</v>
      </c>
      <c r="BC98" s="106">
        <v>10108.799999999999</v>
      </c>
      <c r="BD98" s="106">
        <v>8</v>
      </c>
      <c r="BE98" s="106">
        <v>10108.799999999999</v>
      </c>
      <c r="BF98" s="106">
        <v>7.5879445753605435</v>
      </c>
      <c r="BG98" s="106">
        <v>9588.1267654255826</v>
      </c>
      <c r="BH98" s="106">
        <v>15</v>
      </c>
      <c r="BI98" s="106">
        <v>18954</v>
      </c>
      <c r="BJ98" s="106">
        <v>11.083456147187681</v>
      </c>
      <c r="BK98" s="106">
        <v>14005.055187586353</v>
      </c>
      <c r="BL98" s="106">
        <v>14</v>
      </c>
      <c r="BM98" s="106">
        <v>17690.399999999998</v>
      </c>
      <c r="BN98" s="106">
        <v>12.687830687830688</v>
      </c>
      <c r="BO98" s="106">
        <v>16032.342857142856</v>
      </c>
      <c r="BP98" s="106">
        <v>4</v>
      </c>
      <c r="BQ98" s="106">
        <v>5054.3999999999996</v>
      </c>
      <c r="BR98" s="106">
        <v>5</v>
      </c>
      <c r="BS98" s="106">
        <v>6318</v>
      </c>
      <c r="BT98" s="106">
        <v>6</v>
      </c>
      <c r="BU98" s="106">
        <v>7581.5999999999995</v>
      </c>
      <c r="BV98" s="106">
        <v>5</v>
      </c>
      <c r="BW98" s="106">
        <v>6318</v>
      </c>
      <c r="BX98" s="106">
        <v>8</v>
      </c>
      <c r="BY98" s="106">
        <v>10108.799999999999</v>
      </c>
      <c r="BZ98" s="106">
        <v>14</v>
      </c>
      <c r="CA98" s="106">
        <v>17690.399999999998</v>
      </c>
      <c r="CB98" s="106">
        <v>14</v>
      </c>
      <c r="CC98" s="106">
        <v>17690.399999999998</v>
      </c>
      <c r="CD98" s="106">
        <v>9</v>
      </c>
      <c r="CE98" s="106">
        <v>11372.4</v>
      </c>
      <c r="CF98" s="106">
        <v>2</v>
      </c>
      <c r="CG98" s="106">
        <v>2527.1999999999998</v>
      </c>
      <c r="CH98" s="106">
        <v>5</v>
      </c>
      <c r="CI98" s="106">
        <v>6318</v>
      </c>
      <c r="CJ98" s="106">
        <v>4</v>
      </c>
      <c r="CK98" s="106">
        <v>5054.3999999999996</v>
      </c>
      <c r="CL98" s="106">
        <v>4.4924335474930714</v>
      </c>
      <c r="CM98" s="106">
        <v>5676.6390306122448</v>
      </c>
      <c r="CN98" s="106">
        <v>5</v>
      </c>
      <c r="CO98" s="106">
        <v>6318</v>
      </c>
      <c r="CP98" s="106">
        <v>3</v>
      </c>
      <c r="CQ98" s="106">
        <v>3790.7999999999997</v>
      </c>
      <c r="CR98" s="106">
        <v>3</v>
      </c>
      <c r="CS98" s="106">
        <v>3790.7999999999997</v>
      </c>
      <c r="CT98" s="106">
        <v>3</v>
      </c>
      <c r="CU98" s="106">
        <v>3790.7999999999997</v>
      </c>
    </row>
    <row r="99" spans="2:99" x14ac:dyDescent="0.2">
      <c r="C99" s="105" t="s">
        <v>265</v>
      </c>
      <c r="D99" s="106">
        <v>3</v>
      </c>
      <c r="E99" s="106">
        <v>16444.8</v>
      </c>
      <c r="F99" s="106">
        <v>3</v>
      </c>
      <c r="G99" s="106">
        <v>16444.8</v>
      </c>
      <c r="H99" s="106">
        <v>3</v>
      </c>
      <c r="I99" s="106">
        <v>16444.8</v>
      </c>
      <c r="J99" s="106">
        <v>4.794088205938241</v>
      </c>
      <c r="K99" s="106">
        <v>26279.273909671061</v>
      </c>
      <c r="L99" s="106">
        <v>3.7083080462505702</v>
      </c>
      <c r="M99" s="106">
        <v>20327.461386327122</v>
      </c>
      <c r="N99" s="106">
        <v>2</v>
      </c>
      <c r="O99" s="106">
        <v>10963.199999999999</v>
      </c>
      <c r="P99" s="106">
        <v>2</v>
      </c>
      <c r="Q99" s="106">
        <v>10963.199999999999</v>
      </c>
      <c r="R99" s="106">
        <v>2.9941813552234047</v>
      </c>
      <c r="S99" s="106">
        <v>16412.904516792612</v>
      </c>
      <c r="T99" s="106">
        <v>4</v>
      </c>
      <c r="U99" s="106">
        <v>21926.399999999998</v>
      </c>
      <c r="V99" s="106">
        <v>5</v>
      </c>
      <c r="W99" s="106">
        <v>27407.999999999996</v>
      </c>
      <c r="X99" s="106">
        <v>5</v>
      </c>
      <c r="Y99" s="106">
        <v>27407.999999999996</v>
      </c>
      <c r="Z99" s="106">
        <v>8</v>
      </c>
      <c r="AA99" s="106">
        <v>43852.799999999996</v>
      </c>
      <c r="AB99" s="106">
        <v>5.2926534001515062</v>
      </c>
      <c r="AC99" s="106">
        <v>29012.208878270492</v>
      </c>
      <c r="AD99" s="106">
        <v>4</v>
      </c>
      <c r="AE99" s="106">
        <v>21926.399999999998</v>
      </c>
      <c r="AF99" s="106">
        <v>3</v>
      </c>
      <c r="AG99" s="106">
        <v>16444.8</v>
      </c>
      <c r="AH99" s="106">
        <v>5.3442472057856669</v>
      </c>
      <c r="AI99" s="106">
        <v>29295.025483234709</v>
      </c>
      <c r="AJ99" s="106">
        <v>23.429953931487074</v>
      </c>
      <c r="AK99" s="106">
        <v>128433.63547083952</v>
      </c>
      <c r="AL99" s="106">
        <v>25</v>
      </c>
      <c r="AM99" s="106">
        <v>137040</v>
      </c>
      <c r="AN99" s="106">
        <v>17</v>
      </c>
      <c r="AO99" s="106">
        <v>93187.199999999997</v>
      </c>
      <c r="AP99" s="106">
        <v>15</v>
      </c>
      <c r="AQ99" s="106">
        <v>82223.999999999985</v>
      </c>
      <c r="AR99" s="106">
        <v>2</v>
      </c>
      <c r="AS99" s="106">
        <v>10963.199999999999</v>
      </c>
      <c r="AT99" s="106">
        <v>2</v>
      </c>
      <c r="AU99" s="106">
        <v>10963.199999999999</v>
      </c>
      <c r="AV99" s="106">
        <v>2.429786757314631</v>
      </c>
      <c r="AW99" s="106">
        <v>13319.119088895881</v>
      </c>
      <c r="AX99" s="106">
        <v>3</v>
      </c>
      <c r="AY99" s="106">
        <v>16444.8</v>
      </c>
      <c r="AZ99" s="106">
        <v>6</v>
      </c>
      <c r="BA99" s="106">
        <v>32889.599999999999</v>
      </c>
      <c r="BB99" s="106">
        <v>5</v>
      </c>
      <c r="BC99" s="106">
        <v>27407.999999999996</v>
      </c>
      <c r="BD99" s="106">
        <v>5</v>
      </c>
      <c r="BE99" s="106">
        <v>27407.999999999996</v>
      </c>
      <c r="BF99" s="106">
        <v>5.4899538128004526</v>
      </c>
      <c r="BG99" s="106">
        <v>30093.730820246958</v>
      </c>
      <c r="BH99" s="106">
        <v>9</v>
      </c>
      <c r="BI99" s="106">
        <v>49334.399999999994</v>
      </c>
      <c r="BJ99" s="106">
        <v>7.7537086241305602</v>
      </c>
      <c r="BK99" s="106">
        <v>42502.729194034073</v>
      </c>
      <c r="BL99" s="106">
        <v>9</v>
      </c>
      <c r="BM99" s="106">
        <v>49334.399999999994</v>
      </c>
      <c r="BN99" s="106">
        <v>8.4913076341647766</v>
      </c>
      <c r="BO99" s="106">
        <v>46545.951927437636</v>
      </c>
      <c r="BP99" s="106">
        <v>3</v>
      </c>
      <c r="BQ99" s="106">
        <v>16444.8</v>
      </c>
      <c r="BR99" s="106">
        <v>4</v>
      </c>
      <c r="BS99" s="106">
        <v>21926.399999999998</v>
      </c>
      <c r="BT99" s="106">
        <v>4</v>
      </c>
      <c r="BU99" s="106">
        <v>21926.399999999998</v>
      </c>
      <c r="BV99" s="106">
        <v>4</v>
      </c>
      <c r="BW99" s="106">
        <v>21926.399999999998</v>
      </c>
      <c r="BX99" s="106">
        <v>6</v>
      </c>
      <c r="BY99" s="106">
        <v>32889.599999999999</v>
      </c>
      <c r="BZ99" s="106">
        <v>9</v>
      </c>
      <c r="CA99" s="106">
        <v>49334.399999999994</v>
      </c>
      <c r="CB99" s="106">
        <v>9</v>
      </c>
      <c r="CC99" s="106">
        <v>49334.399999999994</v>
      </c>
      <c r="CD99" s="106">
        <v>7</v>
      </c>
      <c r="CE99" s="106">
        <v>38371.199999999997</v>
      </c>
      <c r="CF99" s="106">
        <v>2</v>
      </c>
      <c r="CG99" s="106">
        <v>10963.199999999999</v>
      </c>
      <c r="CH99" s="106">
        <v>3</v>
      </c>
      <c r="CI99" s="106">
        <v>16444.8</v>
      </c>
      <c r="CJ99" s="106">
        <v>3</v>
      </c>
      <c r="CK99" s="106">
        <v>16444.8</v>
      </c>
      <c r="CL99" s="106">
        <v>3.3939468379944571</v>
      </c>
      <c r="CM99" s="106">
        <v>18604.258987150413</v>
      </c>
      <c r="CN99" s="106">
        <v>4</v>
      </c>
      <c r="CO99" s="106">
        <v>21926.399999999998</v>
      </c>
      <c r="CP99" s="106">
        <v>2</v>
      </c>
      <c r="CQ99" s="106">
        <v>10963.199999999999</v>
      </c>
      <c r="CR99" s="106">
        <v>2</v>
      </c>
      <c r="CS99" s="106">
        <v>10963.199999999999</v>
      </c>
      <c r="CT99" s="106">
        <v>2</v>
      </c>
      <c r="CU99" s="106">
        <v>10963.199999999999</v>
      </c>
    </row>
    <row r="100" spans="2:99" x14ac:dyDescent="0.2">
      <c r="C100" s="105" t="s">
        <v>266</v>
      </c>
      <c r="D100" s="106">
        <v>5</v>
      </c>
      <c r="E100" s="106">
        <v>8111.9999999999991</v>
      </c>
      <c r="F100" s="106">
        <v>4</v>
      </c>
      <c r="G100" s="106">
        <v>6489.5999999999995</v>
      </c>
      <c r="H100" s="106">
        <v>4</v>
      </c>
      <c r="I100" s="106">
        <v>6489.5999999999995</v>
      </c>
      <c r="J100" s="106">
        <v>6</v>
      </c>
      <c r="K100" s="106">
        <v>9734.4</v>
      </c>
      <c r="L100" s="106">
        <v>5.1467844558342568</v>
      </c>
      <c r="M100" s="106">
        <v>8350.143101145497</v>
      </c>
      <c r="N100" s="106">
        <v>3</v>
      </c>
      <c r="O100" s="106">
        <v>4867.2</v>
      </c>
      <c r="P100" s="106">
        <v>3</v>
      </c>
      <c r="Q100" s="106">
        <v>4867.2</v>
      </c>
      <c r="R100" s="106">
        <v>4.2427266940292556</v>
      </c>
      <c r="S100" s="106">
        <v>6883.3997883930633</v>
      </c>
      <c r="T100" s="106">
        <v>7</v>
      </c>
      <c r="U100" s="106">
        <v>11356.8</v>
      </c>
      <c r="V100" s="106">
        <v>7</v>
      </c>
      <c r="W100" s="106">
        <v>11356.8</v>
      </c>
      <c r="X100" s="106">
        <v>8</v>
      </c>
      <c r="Y100" s="106">
        <v>12979.199999999999</v>
      </c>
      <c r="Z100" s="106">
        <v>11</v>
      </c>
      <c r="AA100" s="106">
        <v>17846.399999999998</v>
      </c>
      <c r="AB100" s="106">
        <v>6.3902045335353419</v>
      </c>
      <c r="AC100" s="106">
        <v>10367.467835207737</v>
      </c>
      <c r="AD100" s="106">
        <v>6</v>
      </c>
      <c r="AE100" s="106">
        <v>9734.4</v>
      </c>
      <c r="AF100" s="106">
        <v>4</v>
      </c>
      <c r="AG100" s="106">
        <v>6489.5999999999995</v>
      </c>
      <c r="AH100" s="106">
        <v>7.4426035502958579</v>
      </c>
      <c r="AI100" s="106">
        <v>12074.88</v>
      </c>
      <c r="AJ100" s="106">
        <v>43.628394207558031</v>
      </c>
      <c r="AK100" s="106">
        <v>70782.706762342146</v>
      </c>
      <c r="AL100" s="106">
        <v>42</v>
      </c>
      <c r="AM100" s="106">
        <v>68140.799999999988</v>
      </c>
      <c r="AN100" s="106">
        <v>31</v>
      </c>
      <c r="AO100" s="106">
        <v>50294.399999999994</v>
      </c>
      <c r="AP100" s="106">
        <v>32</v>
      </c>
      <c r="AQ100" s="106">
        <v>51916.799999999996</v>
      </c>
      <c r="AR100" s="106">
        <v>3</v>
      </c>
      <c r="AS100" s="106">
        <v>4867.2</v>
      </c>
      <c r="AT100" s="106">
        <v>2</v>
      </c>
      <c r="AU100" s="106">
        <v>3244.7999999999997</v>
      </c>
      <c r="AV100" s="106">
        <v>2.6017014602404833</v>
      </c>
      <c r="AW100" s="106">
        <v>4221.0004490941601</v>
      </c>
      <c r="AX100" s="106">
        <v>4</v>
      </c>
      <c r="AY100" s="106">
        <v>6489.5999999999995</v>
      </c>
      <c r="AZ100" s="106">
        <v>9</v>
      </c>
      <c r="BA100" s="106">
        <v>14601.599999999999</v>
      </c>
      <c r="BB100" s="106">
        <v>8</v>
      </c>
      <c r="BC100" s="106">
        <v>12979.199999999999</v>
      </c>
      <c r="BD100" s="106">
        <v>8</v>
      </c>
      <c r="BE100" s="106">
        <v>12979.199999999999</v>
      </c>
      <c r="BF100" s="106">
        <v>8.5879445753605435</v>
      </c>
      <c r="BG100" s="106">
        <v>13933.081279064945</v>
      </c>
      <c r="BH100" s="106">
        <v>13</v>
      </c>
      <c r="BI100" s="106">
        <v>21091.199999999997</v>
      </c>
      <c r="BJ100" s="106">
        <v>10</v>
      </c>
      <c r="BK100" s="106">
        <v>16223.999999999998</v>
      </c>
      <c r="BL100" s="106">
        <v>15</v>
      </c>
      <c r="BM100" s="106">
        <v>24335.999999999996</v>
      </c>
      <c r="BN100" s="106">
        <v>11.622323003275385</v>
      </c>
      <c r="BO100" s="106">
        <v>18856.056840513982</v>
      </c>
      <c r="BP100" s="106">
        <v>4</v>
      </c>
      <c r="BQ100" s="106">
        <v>6489.5999999999995</v>
      </c>
      <c r="BR100" s="106">
        <v>5</v>
      </c>
      <c r="BS100" s="106">
        <v>8111.9999999999991</v>
      </c>
      <c r="BT100" s="106">
        <v>6</v>
      </c>
      <c r="BU100" s="106">
        <v>9734.4</v>
      </c>
      <c r="BV100" s="106">
        <v>6</v>
      </c>
      <c r="BW100" s="106">
        <v>9734.4</v>
      </c>
      <c r="BX100" s="106">
        <v>8</v>
      </c>
      <c r="BY100" s="106">
        <v>12979.199999999999</v>
      </c>
      <c r="BZ100" s="106">
        <v>15</v>
      </c>
      <c r="CA100" s="106">
        <v>24335.999999999996</v>
      </c>
      <c r="CB100" s="106">
        <v>13</v>
      </c>
      <c r="CC100" s="106">
        <v>21091.199999999997</v>
      </c>
      <c r="CD100" s="106">
        <v>10</v>
      </c>
      <c r="CE100" s="106">
        <v>16223.999999999998</v>
      </c>
      <c r="CF100" s="106">
        <v>2</v>
      </c>
      <c r="CG100" s="106">
        <v>3244.7999999999997</v>
      </c>
      <c r="CH100" s="106">
        <v>4</v>
      </c>
      <c r="CI100" s="106">
        <v>6489.5999999999995</v>
      </c>
      <c r="CJ100" s="106">
        <v>4</v>
      </c>
      <c r="CK100" s="106">
        <v>6489.5999999999995</v>
      </c>
      <c r="CL100" s="106">
        <v>4.3939468379944575</v>
      </c>
      <c r="CM100" s="106">
        <v>7128.7393499622076</v>
      </c>
      <c r="CN100" s="106">
        <v>5</v>
      </c>
      <c r="CO100" s="106">
        <v>8111.9999999999991</v>
      </c>
      <c r="CP100" s="106">
        <v>3</v>
      </c>
      <c r="CQ100" s="106">
        <v>4867.2</v>
      </c>
      <c r="CR100" s="106">
        <v>3</v>
      </c>
      <c r="CS100" s="106">
        <v>4867.2</v>
      </c>
      <c r="CT100" s="106">
        <v>2</v>
      </c>
      <c r="CU100" s="106">
        <v>3244.7999999999997</v>
      </c>
    </row>
    <row r="101" spans="2:99" x14ac:dyDescent="0.2">
      <c r="C101" s="105" t="s">
        <v>267</v>
      </c>
      <c r="D101" s="106">
        <v>5</v>
      </c>
      <c r="E101" s="106">
        <v>5951.9999999999991</v>
      </c>
      <c r="F101" s="106">
        <v>4</v>
      </c>
      <c r="G101" s="106">
        <v>4761.5999999999995</v>
      </c>
      <c r="H101" s="106">
        <v>4</v>
      </c>
      <c r="I101" s="106">
        <v>4761.5999999999995</v>
      </c>
      <c r="J101" s="106">
        <v>7.2120293669583679</v>
      </c>
      <c r="K101" s="106">
        <v>8585.1997584272394</v>
      </c>
      <c r="L101" s="106">
        <v>4.2479713195843383</v>
      </c>
      <c r="M101" s="106">
        <v>5056.7850588331958</v>
      </c>
      <c r="N101" s="106">
        <v>3</v>
      </c>
      <c r="O101" s="106">
        <v>3571.2</v>
      </c>
      <c r="P101" s="106">
        <v>3</v>
      </c>
      <c r="Q101" s="106">
        <v>3571.2</v>
      </c>
      <c r="R101" s="106">
        <v>4.3421448295515965</v>
      </c>
      <c r="S101" s="106">
        <v>5168.8892050982195</v>
      </c>
      <c r="T101" s="106">
        <v>6</v>
      </c>
      <c r="U101" s="106">
        <v>7142.4</v>
      </c>
      <c r="V101" s="106">
        <v>7</v>
      </c>
      <c r="W101" s="106">
        <v>8332.7999999999993</v>
      </c>
      <c r="X101" s="106">
        <v>8</v>
      </c>
      <c r="Y101" s="106">
        <v>9523.1999999999989</v>
      </c>
      <c r="Z101" s="106">
        <v>13</v>
      </c>
      <c r="AA101" s="106">
        <v>15475.199999999999</v>
      </c>
      <c r="AB101" s="106">
        <v>7.4389801002272593</v>
      </c>
      <c r="AC101" s="106">
        <v>8855.3619113105287</v>
      </c>
      <c r="AD101" s="106">
        <v>6</v>
      </c>
      <c r="AE101" s="106">
        <v>7142.4</v>
      </c>
      <c r="AF101" s="106">
        <v>5</v>
      </c>
      <c r="AG101" s="106">
        <v>5951.9999999999991</v>
      </c>
      <c r="AH101" s="106">
        <v>8.4426035502958587</v>
      </c>
      <c r="AI101" s="106">
        <v>10050.07526627219</v>
      </c>
      <c r="AJ101" s="106">
        <v>46.793761104283824</v>
      </c>
      <c r="AK101" s="106">
        <v>55703.29321853946</v>
      </c>
      <c r="AL101" s="106">
        <v>45</v>
      </c>
      <c r="AM101" s="106">
        <v>53567.999999999993</v>
      </c>
      <c r="AN101" s="106">
        <v>34</v>
      </c>
      <c r="AO101" s="106">
        <v>40473.599999999999</v>
      </c>
      <c r="AP101" s="106">
        <v>31</v>
      </c>
      <c r="AQ101" s="106">
        <v>36902.399999999994</v>
      </c>
      <c r="AR101" s="106">
        <v>3</v>
      </c>
      <c r="AS101" s="106">
        <v>3571.2</v>
      </c>
      <c r="AT101" s="106">
        <v>2</v>
      </c>
      <c r="AU101" s="106">
        <v>2380.7999999999997</v>
      </c>
      <c r="AV101" s="106">
        <v>3.7521268253006039</v>
      </c>
      <c r="AW101" s="106">
        <v>4466.5317728378386</v>
      </c>
      <c r="AX101" s="106">
        <v>4</v>
      </c>
      <c r="AY101" s="106">
        <v>4761.5999999999995</v>
      </c>
      <c r="AZ101" s="106">
        <v>10</v>
      </c>
      <c r="BA101" s="106">
        <v>11903.999999999998</v>
      </c>
      <c r="BB101" s="106">
        <v>8</v>
      </c>
      <c r="BC101" s="106">
        <v>9523.1999999999989</v>
      </c>
      <c r="BD101" s="106">
        <v>8</v>
      </c>
      <c r="BE101" s="106">
        <v>9523.1999999999989</v>
      </c>
      <c r="BF101" s="106">
        <v>8.5879445753605435</v>
      </c>
      <c r="BG101" s="106">
        <v>10223.08922250919</v>
      </c>
      <c r="BH101" s="106">
        <v>14</v>
      </c>
      <c r="BI101" s="106">
        <v>16665.599999999999</v>
      </c>
      <c r="BJ101" s="106">
        <v>10</v>
      </c>
      <c r="BK101" s="106">
        <v>11903.999999999998</v>
      </c>
      <c r="BL101" s="106">
        <v>14</v>
      </c>
      <c r="BM101" s="106">
        <v>16665.599999999999</v>
      </c>
      <c r="BN101" s="106">
        <v>14.72058453010834</v>
      </c>
      <c r="BO101" s="106">
        <v>17523.383824640965</v>
      </c>
      <c r="BP101" s="106">
        <v>4</v>
      </c>
      <c r="BQ101" s="106">
        <v>4761.5999999999995</v>
      </c>
      <c r="BR101" s="106">
        <v>5</v>
      </c>
      <c r="BS101" s="106">
        <v>5951.9999999999991</v>
      </c>
      <c r="BT101" s="106">
        <v>5</v>
      </c>
      <c r="BU101" s="106">
        <v>5951.9999999999991</v>
      </c>
      <c r="BV101" s="106">
        <v>5</v>
      </c>
      <c r="BW101" s="106">
        <v>5951.9999999999991</v>
      </c>
      <c r="BX101" s="106">
        <v>9</v>
      </c>
      <c r="BY101" s="106">
        <v>10713.599999999999</v>
      </c>
      <c r="BZ101" s="106">
        <v>15</v>
      </c>
      <c r="CA101" s="106">
        <v>17855.999999999996</v>
      </c>
      <c r="CB101" s="106">
        <v>12</v>
      </c>
      <c r="CC101" s="106">
        <v>14284.8</v>
      </c>
      <c r="CD101" s="106">
        <v>10</v>
      </c>
      <c r="CE101" s="106">
        <v>11903.999999999998</v>
      </c>
      <c r="CF101" s="106">
        <v>2</v>
      </c>
      <c r="CG101" s="106">
        <v>2380.7999999999997</v>
      </c>
      <c r="CH101" s="106">
        <v>4</v>
      </c>
      <c r="CI101" s="106">
        <v>4761.5999999999995</v>
      </c>
      <c r="CJ101" s="106">
        <v>4</v>
      </c>
      <c r="CK101" s="106">
        <v>4761.5999999999995</v>
      </c>
      <c r="CL101" s="106">
        <v>4.4431901927437645</v>
      </c>
      <c r="CM101" s="106">
        <v>5289.1736054421763</v>
      </c>
      <c r="CN101" s="106">
        <v>5</v>
      </c>
      <c r="CO101" s="106">
        <v>5951.9999999999991</v>
      </c>
      <c r="CP101" s="106">
        <v>3</v>
      </c>
      <c r="CQ101" s="106">
        <v>3571.2</v>
      </c>
      <c r="CR101" s="106">
        <v>3</v>
      </c>
      <c r="CS101" s="106">
        <v>3571.2</v>
      </c>
      <c r="CT101" s="106">
        <v>3</v>
      </c>
      <c r="CU101" s="106">
        <v>3571.2</v>
      </c>
    </row>
    <row r="102" spans="2:99" x14ac:dyDescent="0.2">
      <c r="C102" s="105" t="s">
        <v>268</v>
      </c>
      <c r="D102" s="106">
        <v>4</v>
      </c>
      <c r="E102" s="106">
        <v>7756.7999999999993</v>
      </c>
      <c r="F102" s="106">
        <v>5</v>
      </c>
      <c r="G102" s="106">
        <v>9696</v>
      </c>
      <c r="H102" s="106">
        <v>4</v>
      </c>
      <c r="I102" s="106">
        <v>7756.7999999999993</v>
      </c>
      <c r="J102" s="106">
        <v>6</v>
      </c>
      <c r="K102" s="106">
        <v>11635.199999999999</v>
      </c>
      <c r="L102" s="106">
        <v>3.9444107283340935</v>
      </c>
      <c r="M102" s="106">
        <v>7649.0012843854729</v>
      </c>
      <c r="N102" s="106">
        <v>3</v>
      </c>
      <c r="O102" s="106">
        <v>5817.5999999999995</v>
      </c>
      <c r="P102" s="106">
        <v>2</v>
      </c>
      <c r="Q102" s="106">
        <v>3878.3999999999996</v>
      </c>
      <c r="R102" s="106">
        <v>4.2427266940292556</v>
      </c>
      <c r="S102" s="106">
        <v>8227.495605061531</v>
      </c>
      <c r="T102" s="106">
        <v>6</v>
      </c>
      <c r="U102" s="106">
        <v>11635.199999999999</v>
      </c>
      <c r="V102" s="106">
        <v>7</v>
      </c>
      <c r="W102" s="106">
        <v>13574.399999999998</v>
      </c>
      <c r="X102" s="106">
        <v>8</v>
      </c>
      <c r="Y102" s="106">
        <v>15513.599999999999</v>
      </c>
      <c r="Z102" s="106">
        <v>12</v>
      </c>
      <c r="AA102" s="106">
        <v>23270.399999999998</v>
      </c>
      <c r="AB102" s="106">
        <v>7.4389801002272593</v>
      </c>
      <c r="AC102" s="106">
        <v>14425.6702103607</v>
      </c>
      <c r="AD102" s="106">
        <v>6</v>
      </c>
      <c r="AE102" s="106">
        <v>11635.199999999999</v>
      </c>
      <c r="AF102" s="106">
        <v>4</v>
      </c>
      <c r="AG102" s="106">
        <v>7756.7999999999993</v>
      </c>
      <c r="AH102" s="106">
        <v>7.4426035502958579</v>
      </c>
      <c r="AI102" s="106">
        <v>14432.696804733727</v>
      </c>
      <c r="AJ102" s="106">
        <v>39.661467586903186</v>
      </c>
      <c r="AK102" s="106">
        <v>76911.517944522653</v>
      </c>
      <c r="AL102" s="106">
        <v>37</v>
      </c>
      <c r="AM102" s="106">
        <v>71750.399999999994</v>
      </c>
      <c r="AN102" s="106">
        <v>31</v>
      </c>
      <c r="AO102" s="106">
        <v>60115.199999999997</v>
      </c>
      <c r="AP102" s="106">
        <v>28</v>
      </c>
      <c r="AQ102" s="106">
        <v>54297.599999999991</v>
      </c>
      <c r="AR102" s="106">
        <v>3</v>
      </c>
      <c r="AS102" s="106">
        <v>5817.5999999999995</v>
      </c>
      <c r="AT102" s="106">
        <v>2</v>
      </c>
      <c r="AU102" s="106">
        <v>3878.3999999999996</v>
      </c>
      <c r="AV102" s="106">
        <v>3.6446801359719463</v>
      </c>
      <c r="AW102" s="106">
        <v>7067.7637196767973</v>
      </c>
      <c r="AX102" s="106">
        <v>3</v>
      </c>
      <c r="AY102" s="106">
        <v>5817.5999999999995</v>
      </c>
      <c r="AZ102" s="106">
        <v>9</v>
      </c>
      <c r="BA102" s="106">
        <v>17452.8</v>
      </c>
      <c r="BB102" s="106">
        <v>7</v>
      </c>
      <c r="BC102" s="106">
        <v>13574.399999999998</v>
      </c>
      <c r="BD102" s="106">
        <v>7</v>
      </c>
      <c r="BE102" s="106">
        <v>13574.399999999998</v>
      </c>
      <c r="BF102" s="106">
        <v>7.5879445753605435</v>
      </c>
      <c r="BG102" s="106">
        <v>14714.542120539165</v>
      </c>
      <c r="BH102" s="106">
        <v>13</v>
      </c>
      <c r="BI102" s="106">
        <v>25209.599999999999</v>
      </c>
      <c r="BJ102" s="106">
        <v>9</v>
      </c>
      <c r="BK102" s="106">
        <v>17452.8</v>
      </c>
      <c r="BL102" s="106">
        <v>14</v>
      </c>
      <c r="BM102" s="106">
        <v>27148.799999999996</v>
      </c>
      <c r="BN102" s="106">
        <v>12.655076845553037</v>
      </c>
      <c r="BO102" s="106">
        <v>24540.725018896446</v>
      </c>
      <c r="BP102" s="106">
        <v>4</v>
      </c>
      <c r="BQ102" s="106">
        <v>7756.7999999999993</v>
      </c>
      <c r="BR102" s="106">
        <v>5</v>
      </c>
      <c r="BS102" s="106">
        <v>9696</v>
      </c>
      <c r="BT102" s="106">
        <v>6</v>
      </c>
      <c r="BU102" s="106">
        <v>11635.199999999999</v>
      </c>
      <c r="BV102" s="106">
        <v>6</v>
      </c>
      <c r="BW102" s="106">
        <v>11635.199999999999</v>
      </c>
      <c r="BX102" s="106">
        <v>8</v>
      </c>
      <c r="BY102" s="106">
        <v>15513.599999999999</v>
      </c>
      <c r="BZ102" s="106">
        <v>15</v>
      </c>
      <c r="CA102" s="106">
        <v>29087.999999999996</v>
      </c>
      <c r="CB102" s="106">
        <v>12</v>
      </c>
      <c r="CC102" s="106">
        <v>23270.399999999998</v>
      </c>
      <c r="CD102" s="106">
        <v>9</v>
      </c>
      <c r="CE102" s="106">
        <v>17452.8</v>
      </c>
      <c r="CF102" s="106">
        <v>3</v>
      </c>
      <c r="CG102" s="106">
        <v>5817.5999999999995</v>
      </c>
      <c r="CH102" s="106">
        <v>4</v>
      </c>
      <c r="CI102" s="106">
        <v>7756.7999999999993</v>
      </c>
      <c r="CJ102" s="106">
        <v>3</v>
      </c>
      <c r="CK102" s="106">
        <v>5817.5999999999995</v>
      </c>
      <c r="CL102" s="106">
        <v>4.4431901927437645</v>
      </c>
      <c r="CM102" s="106">
        <v>8616.2344217687078</v>
      </c>
      <c r="CN102" s="106">
        <v>5</v>
      </c>
      <c r="CO102" s="106">
        <v>9696</v>
      </c>
      <c r="CP102" s="106">
        <v>3</v>
      </c>
      <c r="CQ102" s="106">
        <v>5817.5999999999995</v>
      </c>
      <c r="CR102" s="106">
        <v>3</v>
      </c>
      <c r="CS102" s="106">
        <v>5817.5999999999995</v>
      </c>
      <c r="CT102" s="106">
        <v>2</v>
      </c>
      <c r="CU102" s="106">
        <v>3878.3999999999996</v>
      </c>
    </row>
    <row r="103" spans="2:99" x14ac:dyDescent="0.2">
      <c r="C103" s="105" t="s">
        <v>269</v>
      </c>
      <c r="D103" s="106">
        <v>4</v>
      </c>
      <c r="E103" s="106">
        <v>8112</v>
      </c>
      <c r="F103" s="106">
        <v>4</v>
      </c>
      <c r="G103" s="106">
        <v>8112</v>
      </c>
      <c r="H103" s="106">
        <v>5</v>
      </c>
      <c r="I103" s="106">
        <v>10140</v>
      </c>
      <c r="J103" s="106">
        <v>7.0866470186523296</v>
      </c>
      <c r="K103" s="106">
        <v>14371.720153826924</v>
      </c>
      <c r="L103" s="106">
        <v>4.0118686375008146</v>
      </c>
      <c r="M103" s="106">
        <v>8136.069596851652</v>
      </c>
      <c r="N103" s="106">
        <v>3</v>
      </c>
      <c r="O103" s="106">
        <v>6084</v>
      </c>
      <c r="P103" s="106">
        <v>2</v>
      </c>
      <c r="Q103" s="106">
        <v>4056</v>
      </c>
      <c r="R103" s="106">
        <v>4.4415629650739366</v>
      </c>
      <c r="S103" s="106">
        <v>9007.4896931699441</v>
      </c>
      <c r="T103" s="106">
        <v>6</v>
      </c>
      <c r="U103" s="106">
        <v>12168</v>
      </c>
      <c r="V103" s="106">
        <v>6</v>
      </c>
      <c r="W103" s="106">
        <v>12168</v>
      </c>
      <c r="X103" s="106">
        <v>6</v>
      </c>
      <c r="Y103" s="106">
        <v>12168</v>
      </c>
      <c r="Z103" s="106">
        <v>10</v>
      </c>
      <c r="AA103" s="106">
        <v>20280</v>
      </c>
      <c r="AB103" s="106">
        <v>6.3902045335353419</v>
      </c>
      <c r="AC103" s="106">
        <v>12959.334794009674</v>
      </c>
      <c r="AD103" s="106">
        <v>5</v>
      </c>
      <c r="AE103" s="106">
        <v>10140</v>
      </c>
      <c r="AF103" s="106">
        <v>4</v>
      </c>
      <c r="AG103" s="106">
        <v>8112</v>
      </c>
      <c r="AH103" s="106">
        <v>7.4917817225509538</v>
      </c>
      <c r="AI103" s="106">
        <v>15193.333333333334</v>
      </c>
      <c r="AJ103" s="106">
        <v>37.694540966248347</v>
      </c>
      <c r="AK103" s="106">
        <v>76444.529079551648</v>
      </c>
      <c r="AL103" s="106">
        <v>40</v>
      </c>
      <c r="AM103" s="106">
        <v>81120</v>
      </c>
      <c r="AN103" s="106">
        <v>29</v>
      </c>
      <c r="AO103" s="106">
        <v>58812</v>
      </c>
      <c r="AP103" s="106">
        <v>27</v>
      </c>
      <c r="AQ103" s="106">
        <v>54756</v>
      </c>
      <c r="AR103" s="106">
        <v>2</v>
      </c>
      <c r="AS103" s="106">
        <v>4056</v>
      </c>
      <c r="AT103" s="106">
        <v>2</v>
      </c>
      <c r="AU103" s="106">
        <v>4056</v>
      </c>
      <c r="AV103" s="106">
        <v>3.5802121223747516</v>
      </c>
      <c r="AW103" s="106">
        <v>7260.6701841759959</v>
      </c>
      <c r="AX103" s="106">
        <v>4</v>
      </c>
      <c r="AY103" s="106">
        <v>8112</v>
      </c>
      <c r="AZ103" s="106">
        <v>9</v>
      </c>
      <c r="BA103" s="106">
        <v>18252</v>
      </c>
      <c r="BB103" s="106">
        <v>7</v>
      </c>
      <c r="BC103" s="106">
        <v>14196</v>
      </c>
      <c r="BD103" s="106">
        <v>7</v>
      </c>
      <c r="BE103" s="106">
        <v>14196</v>
      </c>
      <c r="BF103" s="106">
        <v>8.5879445753605435</v>
      </c>
      <c r="BG103" s="106">
        <v>17416.351598831181</v>
      </c>
      <c r="BH103" s="106">
        <v>13</v>
      </c>
      <c r="BI103" s="106">
        <v>26364</v>
      </c>
      <c r="BJ103" s="106">
        <v>10</v>
      </c>
      <c r="BK103" s="106">
        <v>20280</v>
      </c>
      <c r="BL103" s="106">
        <v>12</v>
      </c>
      <c r="BM103" s="106">
        <v>24336</v>
      </c>
      <c r="BN103" s="106">
        <v>12.622323003275385</v>
      </c>
      <c r="BO103" s="106">
        <v>25598.07105064248</v>
      </c>
      <c r="BP103" s="106">
        <v>4</v>
      </c>
      <c r="BQ103" s="106">
        <v>8112</v>
      </c>
      <c r="BR103" s="106">
        <v>4</v>
      </c>
      <c r="BS103" s="106">
        <v>8112</v>
      </c>
      <c r="BT103" s="106">
        <v>6</v>
      </c>
      <c r="BU103" s="106">
        <v>12168</v>
      </c>
      <c r="BV103" s="106">
        <v>5</v>
      </c>
      <c r="BW103" s="106">
        <v>10140</v>
      </c>
      <c r="BX103" s="106">
        <v>8</v>
      </c>
      <c r="BY103" s="106">
        <v>16224</v>
      </c>
      <c r="BZ103" s="106">
        <v>15</v>
      </c>
      <c r="CA103" s="106">
        <v>30420</v>
      </c>
      <c r="CB103" s="106">
        <v>13</v>
      </c>
      <c r="CC103" s="106">
        <v>26364</v>
      </c>
      <c r="CD103" s="106">
        <v>8</v>
      </c>
      <c r="CE103" s="106">
        <v>16224</v>
      </c>
      <c r="CF103" s="106">
        <v>2</v>
      </c>
      <c r="CG103" s="106">
        <v>4056</v>
      </c>
      <c r="CH103" s="106">
        <v>4</v>
      </c>
      <c r="CI103" s="106">
        <v>8112</v>
      </c>
      <c r="CJ103" s="106">
        <v>4</v>
      </c>
      <c r="CK103" s="106">
        <v>8112</v>
      </c>
      <c r="CL103" s="106">
        <v>4.3939468379944575</v>
      </c>
      <c r="CM103" s="106">
        <v>8910.9241874527597</v>
      </c>
      <c r="CN103" s="106">
        <v>5</v>
      </c>
      <c r="CO103" s="106">
        <v>10140</v>
      </c>
      <c r="CP103" s="106">
        <v>3</v>
      </c>
      <c r="CQ103" s="106">
        <v>6084</v>
      </c>
      <c r="CR103" s="106">
        <v>3</v>
      </c>
      <c r="CS103" s="106">
        <v>6084</v>
      </c>
      <c r="CT103" s="106">
        <v>3</v>
      </c>
      <c r="CU103" s="106">
        <v>6084</v>
      </c>
    </row>
    <row r="104" spans="2:99" x14ac:dyDescent="0.2">
      <c r="C104" s="105" t="s">
        <v>270</v>
      </c>
      <c r="D104" s="106">
        <v>4</v>
      </c>
      <c r="E104" s="106">
        <v>8289.6</v>
      </c>
      <c r="F104" s="106">
        <v>4</v>
      </c>
      <c r="G104" s="106">
        <v>8289.6</v>
      </c>
      <c r="H104" s="106">
        <v>4</v>
      </c>
      <c r="I104" s="106">
        <v>8289.6</v>
      </c>
      <c r="J104" s="106">
        <v>6</v>
      </c>
      <c r="K104" s="106">
        <v>12434.400000000001</v>
      </c>
      <c r="L104" s="106">
        <v>4.0455975920841754</v>
      </c>
      <c r="M104" s="106">
        <v>8384.0964498352459</v>
      </c>
      <c r="N104" s="106">
        <v>3</v>
      </c>
      <c r="O104" s="106">
        <v>6217.2000000000007</v>
      </c>
      <c r="P104" s="106">
        <v>3</v>
      </c>
      <c r="Q104" s="106">
        <v>6217.2000000000007</v>
      </c>
      <c r="R104" s="106">
        <v>4.2924357617904265</v>
      </c>
      <c r="S104" s="106">
        <v>8895.6438727344812</v>
      </c>
      <c r="T104" s="106">
        <v>6</v>
      </c>
      <c r="U104" s="106">
        <v>12434.400000000001</v>
      </c>
      <c r="V104" s="106">
        <v>7</v>
      </c>
      <c r="W104" s="106">
        <v>14506.800000000001</v>
      </c>
      <c r="X104" s="106">
        <v>7</v>
      </c>
      <c r="Y104" s="106">
        <v>14506.800000000001</v>
      </c>
      <c r="Z104" s="106">
        <v>10</v>
      </c>
      <c r="AA104" s="106">
        <v>20724</v>
      </c>
      <c r="AB104" s="106">
        <v>7.3902045335353419</v>
      </c>
      <c r="AC104" s="106">
        <v>15315.459875298644</v>
      </c>
      <c r="AD104" s="106">
        <v>6</v>
      </c>
      <c r="AE104" s="106">
        <v>12434.400000000001</v>
      </c>
      <c r="AF104" s="106">
        <v>4</v>
      </c>
      <c r="AG104" s="106">
        <v>8289.6</v>
      </c>
      <c r="AH104" s="106">
        <v>8.3934253780407619</v>
      </c>
      <c r="AI104" s="106">
        <v>17394.534753451677</v>
      </c>
      <c r="AJ104" s="106">
        <v>40.628394207558031</v>
      </c>
      <c r="AK104" s="106">
        <v>84198.284155743269</v>
      </c>
      <c r="AL104" s="106">
        <v>35</v>
      </c>
      <c r="AM104" s="106">
        <v>72534</v>
      </c>
      <c r="AN104" s="106">
        <v>28</v>
      </c>
      <c r="AO104" s="106">
        <v>58027.200000000004</v>
      </c>
      <c r="AP104" s="106">
        <v>28</v>
      </c>
      <c r="AQ104" s="106">
        <v>58027.200000000004</v>
      </c>
      <c r="AR104" s="106">
        <v>2</v>
      </c>
      <c r="AS104" s="106">
        <v>4144.8</v>
      </c>
      <c r="AT104" s="106">
        <v>2</v>
      </c>
      <c r="AU104" s="106">
        <v>4144.8</v>
      </c>
      <c r="AV104" s="106">
        <v>2.6231907981062146</v>
      </c>
      <c r="AW104" s="106">
        <v>5436.3006099953191</v>
      </c>
      <c r="AX104" s="106">
        <v>3</v>
      </c>
      <c r="AY104" s="106">
        <v>6217.2000000000007</v>
      </c>
      <c r="AZ104" s="106">
        <v>9</v>
      </c>
      <c r="BA104" s="106">
        <v>18651.600000000002</v>
      </c>
      <c r="BB104" s="106">
        <v>7</v>
      </c>
      <c r="BC104" s="106">
        <v>14506.800000000001</v>
      </c>
      <c r="BD104" s="106">
        <v>7</v>
      </c>
      <c r="BE104" s="106">
        <v>14506.800000000001</v>
      </c>
      <c r="BF104" s="106">
        <v>8.6369399566405889</v>
      </c>
      <c r="BG104" s="106">
        <v>17899.194366141957</v>
      </c>
      <c r="BH104" s="106">
        <v>13</v>
      </c>
      <c r="BI104" s="106">
        <v>26941.200000000001</v>
      </c>
      <c r="BJ104" s="106">
        <v>9</v>
      </c>
      <c r="BK104" s="106">
        <v>18651.600000000002</v>
      </c>
      <c r="BL104" s="106">
        <v>12</v>
      </c>
      <c r="BM104" s="106">
        <v>24868.800000000003</v>
      </c>
      <c r="BN104" s="106">
        <v>11.687830687830688</v>
      </c>
      <c r="BO104" s="106">
        <v>24221.860317460319</v>
      </c>
      <c r="BP104" s="106">
        <v>4</v>
      </c>
      <c r="BQ104" s="106">
        <v>8289.6</v>
      </c>
      <c r="BR104" s="106">
        <v>5</v>
      </c>
      <c r="BS104" s="106">
        <v>10362</v>
      </c>
      <c r="BT104" s="106">
        <v>6</v>
      </c>
      <c r="BU104" s="106">
        <v>12434.400000000001</v>
      </c>
      <c r="BV104" s="106">
        <v>6</v>
      </c>
      <c r="BW104" s="106">
        <v>12434.400000000001</v>
      </c>
      <c r="BX104" s="106">
        <v>8</v>
      </c>
      <c r="BY104" s="106">
        <v>16579.2</v>
      </c>
      <c r="BZ104" s="106">
        <v>15</v>
      </c>
      <c r="CA104" s="106">
        <v>31086</v>
      </c>
      <c r="CB104" s="106">
        <v>11</v>
      </c>
      <c r="CC104" s="106">
        <v>22796.400000000001</v>
      </c>
      <c r="CD104" s="106">
        <v>8</v>
      </c>
      <c r="CE104" s="106">
        <v>16579.2</v>
      </c>
      <c r="CF104" s="106">
        <v>2</v>
      </c>
      <c r="CG104" s="106">
        <v>4144.8</v>
      </c>
      <c r="CH104" s="106">
        <v>4</v>
      </c>
      <c r="CI104" s="106">
        <v>8289.6</v>
      </c>
      <c r="CJ104" s="106">
        <v>4</v>
      </c>
      <c r="CK104" s="106">
        <v>8289.6</v>
      </c>
      <c r="CL104" s="106">
        <v>4.4431901927437645</v>
      </c>
      <c r="CM104" s="106">
        <v>9208.0673554421774</v>
      </c>
      <c r="CN104" s="106">
        <v>4</v>
      </c>
      <c r="CO104" s="106">
        <v>8289.6</v>
      </c>
      <c r="CP104" s="106">
        <v>3</v>
      </c>
      <c r="CQ104" s="106">
        <v>6217.2000000000007</v>
      </c>
      <c r="CR104" s="106">
        <v>3</v>
      </c>
      <c r="CS104" s="106">
        <v>6217.2000000000007</v>
      </c>
      <c r="CT104" s="106">
        <v>3</v>
      </c>
      <c r="CU104" s="106">
        <v>6217.2000000000007</v>
      </c>
    </row>
    <row r="105" spans="2:99" x14ac:dyDescent="0.2">
      <c r="C105" s="105" t="s">
        <v>271</v>
      </c>
      <c r="D105" s="106">
        <v>4</v>
      </c>
      <c r="E105" s="106">
        <v>7992</v>
      </c>
      <c r="F105" s="106">
        <v>4</v>
      </c>
      <c r="G105" s="106">
        <v>7992</v>
      </c>
      <c r="H105" s="106">
        <v>5</v>
      </c>
      <c r="I105" s="106">
        <v>9990</v>
      </c>
      <c r="J105" s="106">
        <v>6.0448529025503177</v>
      </c>
      <c r="K105" s="106">
        <v>12077.616099295536</v>
      </c>
      <c r="L105" s="106">
        <v>5.113055501250896</v>
      </c>
      <c r="M105" s="106">
        <v>10215.88489149929</v>
      </c>
      <c r="N105" s="106">
        <v>3</v>
      </c>
      <c r="O105" s="106">
        <v>5994</v>
      </c>
      <c r="P105" s="106">
        <v>3</v>
      </c>
      <c r="Q105" s="106">
        <v>5994</v>
      </c>
      <c r="R105" s="106">
        <v>4.4415629650739366</v>
      </c>
      <c r="S105" s="106">
        <v>8874.2428042177253</v>
      </c>
      <c r="T105" s="106">
        <v>6</v>
      </c>
      <c r="U105" s="106">
        <v>11988</v>
      </c>
      <c r="V105" s="106">
        <v>7</v>
      </c>
      <c r="W105" s="106">
        <v>13986</v>
      </c>
      <c r="X105" s="106">
        <v>7</v>
      </c>
      <c r="Y105" s="106">
        <v>13986</v>
      </c>
      <c r="Z105" s="106">
        <v>12</v>
      </c>
      <c r="AA105" s="106">
        <v>23976</v>
      </c>
      <c r="AB105" s="106">
        <v>6.3414289668434236</v>
      </c>
      <c r="AC105" s="106">
        <v>12670.175075753161</v>
      </c>
      <c r="AD105" s="106">
        <v>6</v>
      </c>
      <c r="AE105" s="106">
        <v>11988</v>
      </c>
      <c r="AF105" s="106">
        <v>4</v>
      </c>
      <c r="AG105" s="106">
        <v>7992</v>
      </c>
      <c r="AH105" s="106">
        <v>7.4426035502958579</v>
      </c>
      <c r="AI105" s="106">
        <v>14870.321893491124</v>
      </c>
      <c r="AJ105" s="106">
        <v>42.661467586903186</v>
      </c>
      <c r="AK105" s="106">
        <v>85237.612238632559</v>
      </c>
      <c r="AL105" s="106">
        <v>38</v>
      </c>
      <c r="AM105" s="106">
        <v>75924</v>
      </c>
      <c r="AN105" s="106">
        <v>30</v>
      </c>
      <c r="AO105" s="106">
        <v>59940</v>
      </c>
      <c r="AP105" s="106">
        <v>30</v>
      </c>
      <c r="AQ105" s="106">
        <v>59940</v>
      </c>
      <c r="AR105" s="106">
        <v>3</v>
      </c>
      <c r="AS105" s="106">
        <v>5994</v>
      </c>
      <c r="AT105" s="106">
        <v>2</v>
      </c>
      <c r="AU105" s="106">
        <v>3996</v>
      </c>
      <c r="AV105" s="106">
        <v>2.6661694738376776</v>
      </c>
      <c r="AW105" s="106">
        <v>5327.00660872768</v>
      </c>
      <c r="AX105" s="106">
        <v>4</v>
      </c>
      <c r="AY105" s="106">
        <v>7992</v>
      </c>
      <c r="AZ105" s="106">
        <v>9</v>
      </c>
      <c r="BA105" s="106">
        <v>17982</v>
      </c>
      <c r="BB105" s="106">
        <v>7</v>
      </c>
      <c r="BC105" s="106">
        <v>13986</v>
      </c>
      <c r="BD105" s="106">
        <v>7</v>
      </c>
      <c r="BE105" s="106">
        <v>13986</v>
      </c>
      <c r="BF105" s="106">
        <v>7.5879445753605435</v>
      </c>
      <c r="BG105" s="106">
        <v>15160.713261570365</v>
      </c>
      <c r="BH105" s="106">
        <v>12</v>
      </c>
      <c r="BI105" s="106">
        <v>23976</v>
      </c>
      <c r="BJ105" s="106">
        <v>9</v>
      </c>
      <c r="BK105" s="106">
        <v>17982</v>
      </c>
      <c r="BL105" s="106">
        <v>12</v>
      </c>
      <c r="BM105" s="106">
        <v>23976</v>
      </c>
      <c r="BN105" s="106">
        <v>12.622323003275385</v>
      </c>
      <c r="BO105" s="106">
        <v>25219.40136054422</v>
      </c>
      <c r="BP105" s="106">
        <v>4</v>
      </c>
      <c r="BQ105" s="106">
        <v>7992</v>
      </c>
      <c r="BR105" s="106">
        <v>5</v>
      </c>
      <c r="BS105" s="106">
        <v>9990</v>
      </c>
      <c r="BT105" s="106">
        <v>5</v>
      </c>
      <c r="BU105" s="106">
        <v>9990</v>
      </c>
      <c r="BV105" s="106">
        <v>5</v>
      </c>
      <c r="BW105" s="106">
        <v>9990</v>
      </c>
      <c r="BX105" s="106">
        <v>8</v>
      </c>
      <c r="BY105" s="106">
        <v>15984</v>
      </c>
      <c r="BZ105" s="106">
        <v>13</v>
      </c>
      <c r="CA105" s="106">
        <v>25974</v>
      </c>
      <c r="CB105" s="106">
        <v>14</v>
      </c>
      <c r="CC105" s="106">
        <v>27972</v>
      </c>
      <c r="CD105" s="106">
        <v>9</v>
      </c>
      <c r="CE105" s="106">
        <v>17982</v>
      </c>
      <c r="CF105" s="106">
        <v>3</v>
      </c>
      <c r="CG105" s="106">
        <v>5994</v>
      </c>
      <c r="CH105" s="106">
        <v>4</v>
      </c>
      <c r="CI105" s="106">
        <v>7992</v>
      </c>
      <c r="CJ105" s="106">
        <v>4</v>
      </c>
      <c r="CK105" s="106">
        <v>7992</v>
      </c>
      <c r="CL105" s="106">
        <v>4.4431901927437645</v>
      </c>
      <c r="CM105" s="106">
        <v>8877.4940051020421</v>
      </c>
      <c r="CN105" s="106">
        <v>5</v>
      </c>
      <c r="CO105" s="106">
        <v>9990</v>
      </c>
      <c r="CP105" s="106">
        <v>3</v>
      </c>
      <c r="CQ105" s="106">
        <v>5994</v>
      </c>
      <c r="CR105" s="106">
        <v>3</v>
      </c>
      <c r="CS105" s="106">
        <v>5994</v>
      </c>
      <c r="CT105" s="106">
        <v>3</v>
      </c>
      <c r="CU105" s="106">
        <v>5994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159</v>
      </c>
      <c r="E109" s="106">
        <f>SUM(L$6:L$19)+SUM(N$6:N$19)+SUM(P$6:P$19)+SUM(R$6:R$19)</f>
        <v>158</v>
      </c>
      <c r="F109" s="106">
        <f>SUM(T$6:T$19)+SUM(V$6:V$19)+SUM(X$6:X$19)+SUM(Z$6:Z$19)</f>
        <v>301</v>
      </c>
      <c r="G109" s="106">
        <f>SUM(AB$6:AB$19)+SUM(AD$6:AD$19)+SUM(AF$6:AF$19)+SUM(AH$6:AH$19)</f>
        <v>1252</v>
      </c>
      <c r="H109" s="106">
        <f>SUM(AJ$6:AJ$19)+SUM(AL$6:AL$19)+SUM(AN$6:AN$19)+SUM(AP$6:AP$19)</f>
        <v>221</v>
      </c>
      <c r="I109" s="106">
        <f>SUM(AR$6:AR$19)+SUM(AT$6:AT$19)+SUM(AV$6:AV$19)+SUM(AX$6:AX$19)</f>
        <v>805</v>
      </c>
      <c r="J109" s="106">
        <f>SUM(AZ$6:AZ$19)+SUM(BB$6:BB$19)+SUM(BD$6:BD$19)+SUM(BF$6:BF$19)</f>
        <v>230</v>
      </c>
      <c r="K109" s="106">
        <f>SUM(BH$6:BH$19)+SUM(BJ$6:BJ$19)+SUM(BL$6:BL$19)+SUM(BN$6:BN$19)</f>
        <v>408</v>
      </c>
      <c r="L109" s="106">
        <f>SUM(BP$6:BP$19)+SUM(BR$6:BR$19)+SUM(BT$6:BT$19)+SUM(BV$6:BV$19)</f>
        <v>1902</v>
      </c>
      <c r="M109" s="106">
        <f>SUM(BX$6:BX$19)+SUM(BZ$6:BZ$19)+SUM(CB$6:CB$19)+SUM(CD$6:CD$19)</f>
        <v>230</v>
      </c>
      <c r="N109" s="106">
        <f>SUM(CF$6:CF$19)+SUM(CH$6:CH$19)+SUM(CJ$6:CJ$19)+SUM(CL$6:CL$19)</f>
        <v>1680</v>
      </c>
      <c r="O109" s="106">
        <f>SUM(CN$6:CN$19)+SUM(CP$6:CP$19)+SUM(CR$6:CR$19)+SUM(CT$6:CT$19)</f>
        <v>512</v>
      </c>
    </row>
    <row r="110" spans="2:99" x14ac:dyDescent="0.2">
      <c r="C110" s="105" t="s">
        <v>127</v>
      </c>
      <c r="D110" s="106">
        <f>SUM(D$20:D$36)+SUM(F$20:F$36)+SUM(H$20:H$36)+SUM(J$20:J$36)</f>
        <v>229</v>
      </c>
      <c r="E110" s="106">
        <f>SUM(L$20:L$36)+SUM(N$20:N$36)+SUM(P$20:P$36)+SUM(R$20:R$36)</f>
        <v>1229</v>
      </c>
      <c r="F110" s="106">
        <f>SUM(T$20:T$36)+SUM(V$20:V$36)+SUM(X$20:X$36)+SUM(Z$20:Z$36)</f>
        <v>214</v>
      </c>
      <c r="G110" s="106">
        <f>SUM(AB$20:AB$36)+SUM(AD$20:AD$36)+SUM(AF$20:AF$36)+SUM(AH$20:AH$36)</f>
        <v>209</v>
      </c>
      <c r="H110" s="106">
        <f>SUM(AJ$20:AJ$36)+SUM(AL$20:AL$36)+SUM(AN$20:AN$36)+SUM(AP$20:AP$36)</f>
        <v>669</v>
      </c>
      <c r="I110" s="106">
        <f>SUM(AR$20:AR$36)+SUM(AT$20:AT$36)+SUM(AV$20:AV$36)+SUM(AX$20:AX$36)</f>
        <v>2051</v>
      </c>
      <c r="J110" s="106">
        <f>SUM(AZ$20:AZ$36)+SUM(BB$20:BB$36)+SUM(BD$20:BD$36)+SUM(BF$20:BF$36)</f>
        <v>209</v>
      </c>
      <c r="K110" s="106">
        <f>SUM(BH$20:BH$36)+SUM(BJ$20:BJ$36)+SUM(BL$20:BL$36)+SUM(BN$20:BN$36)</f>
        <v>903</v>
      </c>
      <c r="L110" s="106">
        <f>SUM(BP$20:BP$36)+SUM(BR$20:BR$36)+SUM(BT$20:BT$36)+SUM(BV$20:BV$36)</f>
        <v>210</v>
      </c>
      <c r="M110" s="106">
        <f>SUM(BX$20:BX$36)+SUM(BZ$20:BZ$36)+SUM(CB$20:CB$36)+SUM(CD$20:CD$36)</f>
        <v>1306</v>
      </c>
      <c r="N110" s="106">
        <f>SUM(CF$20:CF$36)+SUM(CH$20:CH$36)+SUM(CJ$20:CJ$36)+SUM(CL$20:CL$36)</f>
        <v>1674</v>
      </c>
      <c r="O110" s="106">
        <f>SUM(CN$20:CN$36)+SUM(CP$20:CP$36)+SUM(CR$20:CR$36)+SUM(CT$20:CT$36)</f>
        <v>1468</v>
      </c>
    </row>
    <row r="111" spans="2:99" x14ac:dyDescent="0.2">
      <c r="C111" s="105" t="s">
        <v>128</v>
      </c>
      <c r="D111" s="106">
        <f>SUM(D$37:D$48)+SUM(F$37:F$48)+SUM(H$37:H$48)+SUM(J$37:J$48)</f>
        <v>576</v>
      </c>
      <c r="E111" s="106">
        <f>SUM(L$37:L$48)+SUM(N$37:N$48)+SUM(P$37:P$48)+SUM(R$37:R$48)</f>
        <v>3809</v>
      </c>
      <c r="F111" s="106">
        <f>SUM(T$37:T$48)+SUM(V$37:V$48)+SUM(X$37:X$48)+SUM(Z$37:Z$48)</f>
        <v>199</v>
      </c>
      <c r="G111" s="106">
        <f>SUM(AB$37:AB$48)+SUM(AD$37:AD$48)+SUM(AF$37:AF$48)+SUM(AH$37:AH$48)</f>
        <v>3217</v>
      </c>
      <c r="H111" s="106">
        <f>SUM(AJ$37:AJ$48)+SUM(AL$37:AL$48)+SUM(AN$37:AN$48)+SUM(AP$37:AP$48)</f>
        <v>2342</v>
      </c>
      <c r="I111" s="106">
        <f>SUM(AR$37:AR$48)+SUM(AT$37:AT$48)+SUM(AV$37:AV$48)+SUM(AX$37:AX$48)</f>
        <v>966</v>
      </c>
      <c r="J111" s="106">
        <f>SUM(AZ$37:AZ$48)+SUM(BB$37:BB$48)+SUM(BD$37:BD$48)+SUM(BF$37:BF$48)</f>
        <v>286</v>
      </c>
      <c r="K111" s="106">
        <f>SUM(BH$37:BH$48)+SUM(BJ$37:BJ$48)+SUM(BL$37:BL$48)+SUM(BN$37:BN$48)</f>
        <v>2460</v>
      </c>
      <c r="L111" s="106">
        <f>SUM(BP$37:BP$48)+SUM(BR$37:BR$48)+SUM(BT$37:BT$48)+SUM(BV$37:BV$48)</f>
        <v>1523</v>
      </c>
      <c r="M111" s="106">
        <f>SUM(BX$37:BX$48)+SUM(BZ$37:BZ$48)+SUM(CB$37:CB$48)+SUM(CD$37:CD$48)</f>
        <v>460</v>
      </c>
      <c r="N111" s="106">
        <f>SUM(CF$37:CF$48)+SUM(CH$37:CH$48)+SUM(CJ$37:CJ$48)+SUM(CL$37:CL$48)</f>
        <v>260</v>
      </c>
      <c r="O111" s="106">
        <f>SUM(CN$37:CN$48)+SUM(CP$37:CP$48)+SUM(CR$37:CR$48)+SUM(CT$37:CT$48)</f>
        <v>323</v>
      </c>
    </row>
    <row r="112" spans="2:99" x14ac:dyDescent="0.2">
      <c r="C112" s="105" t="s">
        <v>129</v>
      </c>
      <c r="D112" s="106">
        <f>SUM(D$49:D$70)+SUM(F$49:F$70)+SUM(H$49:H$70)+SUM(J$49:J$70)</f>
        <v>494</v>
      </c>
      <c r="E112" s="106">
        <f>SUM(L$49:L$70)+SUM(N$49:N$70)+SUM(P$49:P$70)+SUM(R$49:R$70)</f>
        <v>2582.0118686375008</v>
      </c>
      <c r="F112" s="106">
        <f>SUM(T$49:T$70)+SUM(V$49:V$70)+SUM(X$49:X$70)+SUM(Z$49:Z$70)</f>
        <v>381.86646819239797</v>
      </c>
      <c r="G112" s="106">
        <f>SUM(AB$49:AB$70)+SUM(AD$49:AD$70)+SUM(AF$49:AF$70)+SUM(AH$49:AH$70)</f>
        <v>634.12183803391417</v>
      </c>
      <c r="H112" s="106">
        <f>SUM(AJ$49:AJ$70)+SUM(AL$49:AL$70)+SUM(AN$49:AN$70)+SUM(AP$49:AP$70)</f>
        <v>526.69061340583721</v>
      </c>
      <c r="I112" s="106">
        <f>SUM(AR$49:AR$70)+SUM(AT$49:AT$70)+SUM(AV$49:AV$70)+SUM(AX$49:AX$70)</f>
        <v>378.62319079810618</v>
      </c>
      <c r="J112" s="106">
        <f>SUM(AZ$49:AZ$70)+SUM(BB$49:BB$70)+SUM(BD$49:BD$70)+SUM(BF$49:BF$70)</f>
        <v>584</v>
      </c>
      <c r="K112" s="106">
        <f>SUM(BH$49:BH$70)+SUM(BJ$49:BJ$70)+SUM(BL$49:BL$70)+SUM(BN$49:BN$70)</f>
        <v>350.753338372386</v>
      </c>
      <c r="L112" s="106">
        <f>SUM(BP$49:BP$70)+SUM(BR$49:BR$70)+SUM(BT$49:BT$70)+SUM(BV$49:BV$70)</f>
        <v>283.07939242593972</v>
      </c>
      <c r="M112" s="106">
        <f>SUM(BX$49:BX$70)+SUM(BZ$49:BZ$70)+SUM(CB$49:CB$70)+SUM(CD$49:CD$70)</f>
        <v>4641</v>
      </c>
      <c r="N112" s="106">
        <f>SUM(CF$49:CF$70)+SUM(CH$49:CH$70)+SUM(CJ$49:CJ$70)+SUM(CL$49:CL$70)</f>
        <v>1734.6098978017133</v>
      </c>
      <c r="O112" s="106">
        <f>SUM(CN$49:CN$70)+SUM(CP$49:CP$70)+SUM(CR$49:CR$70)+SUM(CT$49:CT$70)</f>
        <v>291</v>
      </c>
    </row>
    <row r="113" spans="2:15" x14ac:dyDescent="0.2">
      <c r="C113" s="105" t="s">
        <v>130</v>
      </c>
      <c r="D113" s="106">
        <f>SUM(D$71:D$86)+SUM(F$71:F$86)+SUM(H$71:H$86)+SUM(J$71:J$86)</f>
        <v>1127.3669364071648</v>
      </c>
      <c r="E113" s="106">
        <f>SUM(L$71:L$86)+SUM(N$71:N$86)+SUM(P$71:P$86)+SUM(R$71:R$86)</f>
        <v>1235</v>
      </c>
      <c r="F113" s="106">
        <f>SUM(T$71:T$86)+SUM(V$71:V$86)+SUM(X$71:X$86)+SUM(Z$71:Z$86)</f>
        <v>451.51184118592624</v>
      </c>
      <c r="G113" s="106">
        <f>SUM(AB$71:AB$86)+SUM(AD$71:AD$86)+SUM(AF$71:AF$86)+SUM(AH$71:AH$86)</f>
        <v>568.16626056375003</v>
      </c>
      <c r="H113" s="106">
        <f>SUM(AJ$71:AJ$86)+SUM(AL$71:AL$86)+SUM(AN$71:AN$86)+SUM(AP$71:AP$86)</f>
        <v>330.20822680781038</v>
      </c>
      <c r="I113" s="106">
        <f>SUM(AR$71:AR$86)+SUM(AT$71:AT$86)+SUM(AV$71:AV$86)+SUM(AX$71:AX$86)</f>
        <v>2212.2908874353157</v>
      </c>
      <c r="J113" s="106">
        <f>SUM(AZ$71:AZ$86)+SUM(BB$71:BB$86)+SUM(BD$71:BD$86)+SUM(BF$71:BF$86)</f>
        <v>3875</v>
      </c>
      <c r="K113" s="106">
        <f>SUM(BH$71:BH$86)+SUM(BJ$71:BJ$86)+SUM(BL$71:BL$86)+SUM(BN$71:BN$86)</f>
        <v>260</v>
      </c>
      <c r="L113" s="106">
        <f>SUM(BP$71:BP$86)+SUM(BR$71:BR$86)+SUM(BT$71:BT$86)+SUM(BV$71:BV$86)</f>
        <v>246.14706782784202</v>
      </c>
      <c r="M113" s="106">
        <f>SUM(BX$71:BX$86)+SUM(BZ$71:BZ$86)+SUM(CB$71:CB$86)+SUM(CD$71:CD$86)</f>
        <v>309.69938094171812</v>
      </c>
      <c r="N113" s="106">
        <f>SUM(CF$71:CF$86)+SUM(CH$71:CH$86)+SUM(CJ$71:CJ$86)+SUM(CL$71:CL$86)</f>
        <v>1543</v>
      </c>
      <c r="O113" s="106">
        <f>SUM(CN$71:CN$86)+SUM(CP$71:CP$86)+SUM(CR$71:CR$86)+SUM(CT$71:CT$86)</f>
        <v>271</v>
      </c>
    </row>
    <row r="114" spans="2:15" x14ac:dyDescent="0.2">
      <c r="C114" s="105" t="s">
        <v>131</v>
      </c>
      <c r="D114" s="106">
        <f>SUM(D$87:D$94)+SUM(F$87:F$94)+SUM(H$87:H$94)+SUM(J$87:J$94)</f>
        <v>172.4287146831582</v>
      </c>
      <c r="E114" s="106">
        <f>SUM(L$87:L$94)+SUM(N$87:N$94)+SUM(P$87:P$94)+SUM(R$87:R$94)</f>
        <v>269.75578259625382</v>
      </c>
      <c r="F114" s="106">
        <f>SUM(T$87:T$94)+SUM(V$87:V$94)+SUM(X$87:X$94)+SUM(Z$87:Z$94)</f>
        <v>199</v>
      </c>
      <c r="G114" s="106">
        <f>SUM(AB$87:AB$94)+SUM(AD$87:AD$94)+SUM(AF$87:AF$94)+SUM(AH$87:AH$94)</f>
        <v>591.04891518737668</v>
      </c>
      <c r="H114" s="106">
        <f>SUM(AJ$87:AJ$94)+SUM(AL$87:AL$94)+SUM(AN$87:AN$94)+SUM(AP$87:AP$94)</f>
        <v>83</v>
      </c>
      <c r="I114" s="106">
        <f>SUM(AR$87:AR$94)+SUM(AT$87:AT$94)+SUM(AV$87:AV$94)+SUM(AX$87:AX$94)</f>
        <v>1250.7426855097019</v>
      </c>
      <c r="J114" s="106">
        <f>SUM(AZ$87:AZ$94)+SUM(BB$87:BB$94)+SUM(BD$87:BD$94)+SUM(BF$87:BF$94)</f>
        <v>1005</v>
      </c>
      <c r="K114" s="106">
        <f>SUM(BH$87:BH$94)+SUM(BJ$87:BJ$94)+SUM(BL$87:BL$94)+SUM(BN$87:BN$94)</f>
        <v>140.41989350134389</v>
      </c>
      <c r="L114" s="106">
        <f>SUM(BP$87:BP$94)+SUM(BR$87:BR$94)+SUM(BT$87:BT$94)+SUM(BV$87:BV$94)</f>
        <v>424.63425715512113</v>
      </c>
      <c r="M114" s="106">
        <f>SUM(BX$87:BX$94)+SUM(BZ$87:BZ$94)+SUM(CB$87:CB$94)+SUM(CD$87:CD$94)</f>
        <v>259.15033381293421</v>
      </c>
      <c r="N114" s="106">
        <f>SUM(CF$87:CF$94)+SUM(CH$87:CH$94)+SUM(CJ$87:CJ$94)+SUM(CL$87:CL$94)</f>
        <v>253</v>
      </c>
      <c r="O114" s="106">
        <f>SUM(CN$87:CN$94)+SUM(CP$87:CP$94)+SUM(CR$87:CR$94)+SUM(CT$87:CT$94)</f>
        <v>766</v>
      </c>
    </row>
    <row r="115" spans="2:15" x14ac:dyDescent="0.2">
      <c r="C115" s="105" t="s">
        <v>132</v>
      </c>
      <c r="D115" s="106">
        <f>SUM(D$95:D$105)+SUM(F$95:F$105)+SUM(H$95:H$105)+SUM(J$95:J$105)</f>
        <v>213.52294089836226</v>
      </c>
      <c r="E115" s="106">
        <f>SUM(L$95:L$105)+SUM(N$95:N$105)+SUM(P$95:P$105)+SUM(R$95:R$105)</f>
        <v>158.2509552530434</v>
      </c>
      <c r="F115" s="106">
        <f>SUM(T$95:T$105)+SUM(V$95:V$105)+SUM(X$95:X$105)+SUM(Z$95:Z$105)</f>
        <v>349</v>
      </c>
      <c r="G115" s="106">
        <f>SUM(AB$95:AB$105)+SUM(AD$95:AD$105)+SUM(AF$95:AF$105)+SUM(AH$95:AH$105)</f>
        <v>266.06333778875933</v>
      </c>
      <c r="H115" s="106">
        <f>SUM(AJ$95:AJ$105)+SUM(AL$95:AL$105)+SUM(AN$95:AN$105)+SUM(AP$95:AP$105)</f>
        <v>1541.3092168352803</v>
      </c>
      <c r="I115" s="106">
        <f>SUM(AR$95:AR$105)+SUM(AT$95:AT$105)+SUM(AV$95:AV$105)+SUM(AX$95:AX$105)</f>
        <v>125.31786533252507</v>
      </c>
      <c r="J115" s="106">
        <f>SUM(AZ$95:AZ$105)+SUM(BB$95:BB$105)+SUM(BD$95:BD$105)+SUM(BF$95:BF$105)</f>
        <v>345.56538109152609</v>
      </c>
      <c r="K115" s="106">
        <f>SUM(BH$95:BH$105)+SUM(BJ$95:BJ$105)+SUM(BL$95:BL$105)+SUM(BN$95:BN$105)</f>
        <v>530.06860199975256</v>
      </c>
      <c r="L115" s="106">
        <f>SUM(BP$95:BP$105)+SUM(BR$95:BR$105)+SUM(BT$95:BT$105)+SUM(BV$95:BV$105)</f>
        <v>218</v>
      </c>
      <c r="M115" s="106">
        <f>SUM(BX$95:BX$105)+SUM(BZ$95:BZ$105)+SUM(CB$95:CB$105)+SUM(CD$95:CD$105)</f>
        <v>481</v>
      </c>
      <c r="N115" s="106">
        <f>SUM(CF$95:CF$105)+SUM(CH$95:CH$105)+SUM(CJ$95:CJ$105)+SUM(CL$95:CL$105)</f>
        <v>159.77660541068281</v>
      </c>
      <c r="O115" s="106">
        <f>SUM(CN$95:CN$105)+SUM(CP$95:CP$105)+SUM(CR$95:CR$105)+SUM(CT$95:CT$105)</f>
        <v>146</v>
      </c>
    </row>
    <row r="116" spans="2:15" x14ac:dyDescent="0.2">
      <c r="C116" s="105" t="s">
        <v>278</v>
      </c>
      <c r="D116" s="106">
        <f t="shared" ref="D116:O116" si="0">SUM(D$109:D$115)</f>
        <v>2971.3185919886855</v>
      </c>
      <c r="E116" s="106">
        <f t="shared" si="0"/>
        <v>9441.0186064867976</v>
      </c>
      <c r="F116" s="106">
        <f t="shared" si="0"/>
        <v>2095.378309378324</v>
      </c>
      <c r="G116" s="106">
        <f t="shared" si="0"/>
        <v>6737.4003515738004</v>
      </c>
      <c r="H116" s="106">
        <f t="shared" si="0"/>
        <v>5713.2080570489279</v>
      </c>
      <c r="I116" s="106">
        <f t="shared" si="0"/>
        <v>7788.9746290756484</v>
      </c>
      <c r="J116" s="106">
        <f t="shared" si="0"/>
        <v>6534.5653810915264</v>
      </c>
      <c r="K116" s="106">
        <f t="shared" si="0"/>
        <v>5052.2418338734824</v>
      </c>
      <c r="L116" s="106">
        <f t="shared" si="0"/>
        <v>4806.8607174089029</v>
      </c>
      <c r="M116" s="106">
        <f t="shared" si="0"/>
        <v>7686.8497147546523</v>
      </c>
      <c r="N116" s="106">
        <f t="shared" si="0"/>
        <v>7304.3865032123958</v>
      </c>
      <c r="O116" s="106">
        <f t="shared" si="0"/>
        <v>3777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1073577.3804428463</v>
      </c>
      <c r="E120" s="106">
        <f>E109*pricing!E33*2000</f>
        <v>1082421.5641950218</v>
      </c>
      <c r="F120" s="106">
        <f>F109*pricing!F33*2000</f>
        <v>1567253.8325205413</v>
      </c>
      <c r="G120" s="106">
        <f>G109*pricing!G33*2000</f>
        <v>3592769.6738857809</v>
      </c>
      <c r="H120" s="106">
        <f>H109*pricing!H33*2000</f>
        <v>1426553.0554330349</v>
      </c>
      <c r="I120" s="106">
        <f>I109*pricing!I33*2000</f>
        <v>3288258.5253090747</v>
      </c>
      <c r="J120" s="106">
        <f>J109*pricing!J33*2000</f>
        <v>1335641.5813266232</v>
      </c>
      <c r="K120" s="106">
        <f>K109*pricing!K33*2000</f>
        <v>2097384.1630751803</v>
      </c>
      <c r="L120" s="106">
        <f>L109*pricing!L33*2000</f>
        <v>5206531.5730872257</v>
      </c>
      <c r="M120" s="106">
        <f>M109*pricing!M33*2000</f>
        <v>1498608.5937978905</v>
      </c>
      <c r="N120" s="106">
        <f>N109*pricing!N33*2000</f>
        <v>4853596.6274571773</v>
      </c>
      <c r="O120" s="106">
        <f>O109*pricing!O33*2000</f>
        <v>2438500.2171075027</v>
      </c>
    </row>
    <row r="121" spans="2:15" x14ac:dyDescent="0.2">
      <c r="C121" s="105" t="s">
        <v>127</v>
      </c>
      <c r="D121" s="106">
        <f>D110*pricing!D34*2000</f>
        <v>1428380.8276307294</v>
      </c>
      <c r="E121" s="106">
        <f>E110*pricing!E34*2000</f>
        <v>3801157.930679135</v>
      </c>
      <c r="F121" s="106">
        <f>F110*pricing!F34*2000</f>
        <v>1288938.6967169503</v>
      </c>
      <c r="G121" s="106">
        <f>G110*pricing!G34*2000</f>
        <v>1316209.9347492352</v>
      </c>
      <c r="H121" s="106">
        <f>H110*pricing!H34*2000</f>
        <v>2585496.3266578354</v>
      </c>
      <c r="I121" s="106">
        <f>I110*pricing!I34*2000</f>
        <v>5444529.1788976779</v>
      </c>
      <c r="J121" s="106">
        <f>J110*pricing!J34*2000</f>
        <v>1378369.3716666733</v>
      </c>
      <c r="K121" s="106">
        <f>K110*pricing!K34*2000</f>
        <v>3387212.2042035316</v>
      </c>
      <c r="L121" s="106">
        <f>L110*pricing!L34*2000</f>
        <v>1401849.8661522691</v>
      </c>
      <c r="M121" s="106">
        <f>M110*pricing!M34*2000</f>
        <v>4042734.7622784679</v>
      </c>
      <c r="N121" s="106">
        <f>N110*pricing!N34*2000</f>
        <v>4813784.6461677607</v>
      </c>
      <c r="O121" s="106">
        <f>O110*pricing!O34*2000</f>
        <v>4481472.6108383695</v>
      </c>
    </row>
    <row r="122" spans="2:15" x14ac:dyDescent="0.2">
      <c r="C122" s="105" t="s">
        <v>128</v>
      </c>
      <c r="D122" s="106">
        <f>D111*pricing!D35*2000</f>
        <v>2630943.0306255752</v>
      </c>
      <c r="E122" s="106">
        <f>E111*pricing!E35*2000</f>
        <v>8266429.2728821561</v>
      </c>
      <c r="F122" s="106">
        <f>F111*pricing!F35*2000</f>
        <v>1311604.8868582938</v>
      </c>
      <c r="G122" s="106">
        <f>G111*pricing!G35*2000</f>
        <v>7147273.8682414927</v>
      </c>
      <c r="H122" s="106">
        <f>H111*pricing!H35*2000</f>
        <v>5626922.1160493921</v>
      </c>
      <c r="I122" s="106">
        <f>I111*pricing!I35*2000</f>
        <v>3419324.7330786958</v>
      </c>
      <c r="J122" s="106">
        <f>J111*pricing!J35*2000</f>
        <v>1741796.1796686209</v>
      </c>
      <c r="K122" s="106">
        <f>K111*pricing!K35*2000</f>
        <v>6069923.4372323742</v>
      </c>
      <c r="L122" s="106">
        <f>L111*pricing!L35*2000</f>
        <v>4766753.3653531754</v>
      </c>
      <c r="M122" s="106">
        <f>M111*pricing!M35*2000</f>
        <v>2370671.617108081</v>
      </c>
      <c r="N122" s="106">
        <f>N111*pricing!N35*2000</f>
        <v>1689619.5439024742</v>
      </c>
      <c r="O122" s="106">
        <f>O111*pricing!O35*2000</f>
        <v>1944289.0386536487</v>
      </c>
    </row>
    <row r="123" spans="2:15" x14ac:dyDescent="0.2">
      <c r="C123" s="105" t="s">
        <v>129</v>
      </c>
      <c r="D123" s="106">
        <f>D112*pricing!D36*2000</f>
        <v>2593841.4797925926</v>
      </c>
      <c r="E123" s="106">
        <f>E112*pricing!E36*2000</f>
        <v>6956619.0362032615</v>
      </c>
      <c r="F123" s="106">
        <f>F112*pricing!F36*2000</f>
        <v>2389579.2345082774</v>
      </c>
      <c r="G123" s="106">
        <f>G112*pricing!G36*2000</f>
        <v>2967721.7242981847</v>
      </c>
      <c r="H123" s="106">
        <f>H112*pricing!H36*2000</f>
        <v>2595029.9487473192</v>
      </c>
      <c r="I123" s="106">
        <f>I112*pricing!I36*2000</f>
        <v>2308825.7850779216</v>
      </c>
      <c r="J123" s="106">
        <f>J112*pricing!J36*2000</f>
        <v>2852635.248812614</v>
      </c>
      <c r="K123" s="106">
        <f>K112*pricing!K36*2000</f>
        <v>2060367.8122301793</v>
      </c>
      <c r="L123" s="106">
        <f>L112*pricing!L36*2000</f>
        <v>1899133.8757749519</v>
      </c>
      <c r="M123" s="106">
        <f>M112*pricing!M36*2000</f>
        <v>9407524.1527405716</v>
      </c>
      <c r="N123" s="106">
        <f>N112*pricing!N36*2000</f>
        <v>5263355.1173706567</v>
      </c>
      <c r="O123" s="106">
        <f>O112*pricing!O36*2000</f>
        <v>1923442.5078960056</v>
      </c>
    </row>
    <row r="124" spans="2:15" x14ac:dyDescent="0.2">
      <c r="C124" s="105" t="s">
        <v>130</v>
      </c>
      <c r="D124" s="106">
        <f>D113*pricing!D37*2000</f>
        <v>3712629.1431128327</v>
      </c>
      <c r="E124" s="106">
        <f>E113*pricing!E37*2000</f>
        <v>3980557.5459616543</v>
      </c>
      <c r="F124" s="106">
        <f>F113*pricing!F37*2000</f>
        <v>2229919.5822979189</v>
      </c>
      <c r="G124" s="106">
        <f>G113*pricing!G37*2000</f>
        <v>2413938.2073513549</v>
      </c>
      <c r="H124" s="106">
        <f>H113*pricing!H37*2000</f>
        <v>1819116.7865619094</v>
      </c>
      <c r="I124" s="106">
        <f>I113*pricing!I37*2000</f>
        <v>5424658.8068644004</v>
      </c>
      <c r="J124" s="106">
        <f>J113*pricing!J37*2000</f>
        <v>7981587.1968834279</v>
      </c>
      <c r="K124" s="106">
        <f>K113*pricing!K37*2000</f>
        <v>1390839.6265520896</v>
      </c>
      <c r="L124" s="106">
        <f>L113*pricing!L37*2000</f>
        <v>1409443.8752209428</v>
      </c>
      <c r="M124" s="106">
        <f>M113*pricing!M37*2000</f>
        <v>1707009.3194240567</v>
      </c>
      <c r="N124" s="106">
        <f>N113*pricing!N37*2000</f>
        <v>4402695.2506807195</v>
      </c>
      <c r="O124" s="106">
        <f>O113*pricing!O37*2000</f>
        <v>1668225.0581042753</v>
      </c>
    </row>
    <row r="125" spans="2:15" x14ac:dyDescent="0.2">
      <c r="C125" s="105" t="s">
        <v>131</v>
      </c>
      <c r="D125" s="106">
        <f>D114*pricing!D38*2000</f>
        <v>887134.21160373488</v>
      </c>
      <c r="E125" s="106">
        <f>E114*pricing!E38*2000</f>
        <v>1196027.272665086</v>
      </c>
      <c r="F125" s="106">
        <f>F114*pricing!F38*2000</f>
        <v>892329.37231559597</v>
      </c>
      <c r="G125" s="106">
        <f>G114*pricing!G38*2000</f>
        <v>1854268.6652640591</v>
      </c>
      <c r="H125" s="106">
        <f>H114*pricing!H38*2000</f>
        <v>562737.89864928345</v>
      </c>
      <c r="I125" s="106">
        <f>I114*pricing!I38*2000</f>
        <v>2979455.3532033367</v>
      </c>
      <c r="J125" s="106">
        <f>J114*pricing!J38*2000</f>
        <v>2488041.9178582933</v>
      </c>
      <c r="K125" s="106">
        <f>K114*pricing!K38*2000</f>
        <v>833998.88112070726</v>
      </c>
      <c r="L125" s="106">
        <f>L114*pricing!L38*2000</f>
        <v>1483278.5413046333</v>
      </c>
      <c r="M125" s="106">
        <f>M114*pricing!M38*2000</f>
        <v>1170634.6549842295</v>
      </c>
      <c r="N125" s="106">
        <f>N114*pricing!N38*2000</f>
        <v>1110765.9558709199</v>
      </c>
      <c r="O125" s="106">
        <f>O114*pricing!O38*2000</f>
        <v>2210354.9426899315</v>
      </c>
    </row>
    <row r="126" spans="2:15" x14ac:dyDescent="0.2">
      <c r="C126" s="105" t="s">
        <v>132</v>
      </c>
      <c r="D126" s="106">
        <f>D115*pricing!D39*2000</f>
        <v>1222747.0876276183</v>
      </c>
      <c r="E126" s="106">
        <f>E115*pricing!E39*2000</f>
        <v>1104444.7876273494</v>
      </c>
      <c r="F126" s="106">
        <f>F115*pricing!F39*2000</f>
        <v>1551699.1665386742</v>
      </c>
      <c r="G126" s="106">
        <f>G115*pricing!G39*2000</f>
        <v>1436024.2261988458</v>
      </c>
      <c r="H126" s="106">
        <f>H115*pricing!H39*2000</f>
        <v>3901732.0188687053</v>
      </c>
      <c r="I126" s="106">
        <f>I115*pricing!I39*2000</f>
        <v>871249.54139670939</v>
      </c>
      <c r="J126" s="106">
        <f>J115*pricing!J39*2000</f>
        <v>1616086.6318572331</v>
      </c>
      <c r="K126" s="106">
        <f>K115*pricing!K39*2000</f>
        <v>2273971.4152851668</v>
      </c>
      <c r="L126" s="106">
        <f>L115*pricing!L39*2000</f>
        <v>1325247.2985194782</v>
      </c>
      <c r="M126" s="106">
        <f>M115*pricing!M39*2000</f>
        <v>1929805.9648225743</v>
      </c>
      <c r="N126" s="106">
        <f>N115*pricing!N39*2000</f>
        <v>1113774.9402240298</v>
      </c>
      <c r="O126" s="106">
        <f>O115*pricing!O39*2000</f>
        <v>961418.70448340767</v>
      </c>
    </row>
    <row r="127" spans="2:15" x14ac:dyDescent="0.2">
      <c r="C127" s="105" t="s">
        <v>278</v>
      </c>
      <c r="D127" s="106">
        <f>SUM(D$120:D$126)</f>
        <v>13549253.160835929</v>
      </c>
      <c r="E127" s="106">
        <f t="shared" ref="E127:O127" si="1">SUM(E$120:E$126)</f>
        <v>26387657.410213668</v>
      </c>
      <c r="F127" s="106">
        <f t="shared" si="1"/>
        <v>11231324.771756252</v>
      </c>
      <c r="G127" s="106">
        <f t="shared" si="1"/>
        <v>20728206.299988952</v>
      </c>
      <c r="H127" s="106">
        <f t="shared" si="1"/>
        <v>18517588.150967479</v>
      </c>
      <c r="I127" s="106">
        <f t="shared" si="1"/>
        <v>23736301.92382782</v>
      </c>
      <c r="J127" s="106">
        <f t="shared" si="1"/>
        <v>19394158.128073484</v>
      </c>
      <c r="K127" s="106">
        <f t="shared" si="1"/>
        <v>18113697.53969923</v>
      </c>
      <c r="L127" s="106">
        <f t="shared" si="1"/>
        <v>17492238.395412676</v>
      </c>
      <c r="M127" s="106">
        <f t="shared" si="1"/>
        <v>22126989.065155871</v>
      </c>
      <c r="N127" s="106">
        <f t="shared" si="1"/>
        <v>23247592.081673734</v>
      </c>
      <c r="O127" s="106">
        <f t="shared" si="1"/>
        <v>15627703.079773141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80306.399999999994</v>
      </c>
      <c r="E131" s="112">
        <f>SUM(M$6:M$19)+SUM(O$6:O$19)+SUM(Q$6:Q$19)+SUM(S$6:S$19)</f>
        <v>79453.199999999983</v>
      </c>
      <c r="F131" s="112">
        <f>SUM(U$6:U$19)+SUM(W$6:W$19)+SUM(Y$6:Y$19)+SUM(AA$6:AA$19)</f>
        <v>151474.79999999999</v>
      </c>
      <c r="G131" s="112">
        <f>SUM(AC$6:AC$19)+SUM(AE$6:AE$19)+SUM(AG$6:AG$19)+SUM(AI$6:AI$19)</f>
        <v>629039.99999999988</v>
      </c>
      <c r="H131" s="112">
        <f>SUM(AK$6:AK$19)+SUM(AM$6:AM$19)+SUM(AO$6:AO$19)+SUM(AQ$6:AQ$19)</f>
        <v>110912.39999999998</v>
      </c>
      <c r="I131" s="112">
        <f>SUM(AS$6:AS$19)+SUM(AU$6:AU$19)+SUM(AW$6:AW$19)+SUM(AY$6:AY$19)</f>
        <v>406430.4</v>
      </c>
      <c r="J131" s="112">
        <f>SUM(BA$6:BA$19)+SUM(BC$6:BC$19)+SUM(BE$6:BE$19)+SUM(BG$6:BG$19)</f>
        <v>115600.8</v>
      </c>
      <c r="K131" s="112">
        <f>SUM(BI$6:BI$19)+SUM(BK$6:BK$19)+SUM(BM$6:BM$19)+SUM(BO$6:BO$19)</f>
        <v>206407.19999999995</v>
      </c>
      <c r="L131" s="112">
        <f>SUM(BQ$6:BQ$19)+SUM(BS$6:BS$19)+SUM(BU$6:BU$19)+SUM(BW$6:BW$19)</f>
        <v>955129.2</v>
      </c>
      <c r="M131" s="112">
        <f>SUM(BY$6:BY$19)+SUM(CA$6:CA$19)+SUM(CC$6:CC$19)+SUM(CE$6:CE$19)</f>
        <v>115948.79999999999</v>
      </c>
      <c r="N131" s="112">
        <f>SUM(CG$6:CG$19)+SUM(CI$6:CI$19)+SUM(CK$6:CK$19)+SUM(CM$6:CM$19)</f>
        <v>842637.59999999986</v>
      </c>
      <c r="O131" s="112">
        <f>SUM(CO$6:CO$19)+SUM(CQ$6:CQ$19)+SUM(CS$6:CS$19)+SUM(CU$6:CU$19)</f>
        <v>257085.6</v>
      </c>
    </row>
    <row r="132" spans="2:15" x14ac:dyDescent="0.2">
      <c r="C132" s="111" t="s">
        <v>127</v>
      </c>
      <c r="D132" s="112">
        <f>SUM(E$20:E$36)+SUM(G$20:G$36)+SUM(I$20:I$36)+SUM(K$20:K$36)</f>
        <v>97632</v>
      </c>
      <c r="E132" s="112">
        <f>SUM(M$20:M$36)+SUM(O$20:O$36)+SUM(Q$20:Q$36)+SUM(S$20:S$36)</f>
        <v>522792</v>
      </c>
      <c r="F132" s="112">
        <f>SUM(U$20:U$36)+SUM(W$20:W$36)+SUM(Y$20:Y$36)+SUM(AA$20:AA$36)</f>
        <v>91282.799999999988</v>
      </c>
      <c r="G132" s="112">
        <f>SUM(AC$20:AC$36)+SUM(AE$20:AE$36)+SUM(AG$20:AG$36)+SUM(AI$20:AI$36)</f>
        <v>89712</v>
      </c>
      <c r="H132" s="112">
        <f>SUM(AK$20:AK$36)+SUM(AM$20:AM$36)+SUM(AO$20:AO$36)+SUM(AQ$20:AQ$36)</f>
        <v>283946.40000000002</v>
      </c>
      <c r="I132" s="112">
        <f>SUM(AS$20:AS$36)+SUM(AU$20:AU$36)+SUM(AW$20:AW$36)+SUM(AY$20:AY$36)</f>
        <v>862076.4</v>
      </c>
      <c r="J132" s="112">
        <f>SUM(BA$20:BA$36)+SUM(BC$20:BC$36)+SUM(BE$20:BE$36)+SUM(BG$20:BG$36)</f>
        <v>88714.800000000017</v>
      </c>
      <c r="K132" s="112">
        <f>SUM(BI$20:BI$36)+SUM(BK$20:BK$36)+SUM(BM$20:BM$36)+SUM(BO$20:BO$36)</f>
        <v>383236.8</v>
      </c>
      <c r="L132" s="112">
        <f>SUM(BQ$20:BQ$36)+SUM(BS$20:BS$36)+SUM(BU$20:BU$36)+SUM(BW$20:BW$36)</f>
        <v>89720.400000000009</v>
      </c>
      <c r="M132" s="112">
        <f>SUM(BY$20:BY$36)+SUM(CA$20:CA$36)+SUM(CC$20:CC$36)+SUM(CE$20:CE$36)</f>
        <v>553155.59999999986</v>
      </c>
      <c r="N132" s="112">
        <f>SUM(CG$20:CG$36)+SUM(CI$20:CI$36)+SUM(CK$20:CK$36)+SUM(CM$20:CM$36)</f>
        <v>710461.2</v>
      </c>
      <c r="O132" s="112">
        <f>SUM(CO$20:CO$36)+SUM(CQ$20:CQ$36)+SUM(CS$20:CS$36)+SUM(CU$20:CU$36)</f>
        <v>621144</v>
      </c>
    </row>
    <row r="133" spans="2:15" x14ac:dyDescent="0.2">
      <c r="C133" s="111" t="s">
        <v>128</v>
      </c>
      <c r="D133" s="112">
        <f>SUM(E$37:E$48)+SUM(G$37:G$48)+SUM(I$37:I$48)+SUM(K$37:K$48)</f>
        <v>603010.80000000005</v>
      </c>
      <c r="E133" s="112">
        <f>SUM(M$37:M$48)+SUM(O$37:O$48)+SUM(Q$37:Q$48)+SUM(S$37:S$48)</f>
        <v>3960480</v>
      </c>
      <c r="F133" s="112">
        <f>SUM(U$37:U$48)+SUM(W$37:W$48)+SUM(Y$37:Y$48)+SUM(AA$37:AA$48)</f>
        <v>209059.20000000001</v>
      </c>
      <c r="G133" s="112">
        <f>SUM(AC$37:AC$48)+SUM(AE$37:AE$48)+SUM(AG$37:AG$48)+SUM(AI$37:AI$48)</f>
        <v>3351465.6</v>
      </c>
      <c r="H133" s="112">
        <f>SUM(AK$37:AK$48)+SUM(AM$37:AM$48)+SUM(AO$37:AO$48)+SUM(AQ$37:AQ$48)</f>
        <v>2436526.8000000003</v>
      </c>
      <c r="I133" s="112">
        <f>SUM(AS$37:AS$48)+SUM(AU$37:AU$48)+SUM(AW$37:AW$48)+SUM(AY$37:AY$48)</f>
        <v>1007601.6000000001</v>
      </c>
      <c r="J133" s="112">
        <f>SUM(BA$37:BA$48)+SUM(BC$37:BC$48)+SUM(BE$37:BE$48)+SUM(BG$37:BG$48)</f>
        <v>301543.19999999995</v>
      </c>
      <c r="K133" s="112">
        <f>SUM(BI$37:BI$48)+SUM(BK$37:BK$48)+SUM(BM$37:BM$48)+SUM(BO$37:BO$48)</f>
        <v>2558605.1999999997</v>
      </c>
      <c r="L133" s="112">
        <f>SUM(BQ$37:BQ$48)+SUM(BS$37:BS$48)+SUM(BU$37:BU$48)+SUM(BW$37:BW$48)</f>
        <v>1586500.8</v>
      </c>
      <c r="M133" s="112">
        <f>SUM(BY$37:BY$48)+SUM(CA$37:CA$48)+SUM(CC$37:CC$48)+SUM(CE$37:CE$48)</f>
        <v>481780.79999999993</v>
      </c>
      <c r="N133" s="112">
        <f>SUM(CG$37:CG$48)+SUM(CI$37:CI$48)+SUM(CK$37:CK$48)+SUM(CM$37:CM$48)</f>
        <v>272958</v>
      </c>
      <c r="O133" s="112">
        <f>SUM(CO$37:CO$48)+SUM(CQ$37:CQ$48)+SUM(CS$37:CS$48)+SUM(CU$37:CU$48)</f>
        <v>338385.6</v>
      </c>
    </row>
    <row r="134" spans="2:15" x14ac:dyDescent="0.2">
      <c r="C134" s="111" t="s">
        <v>129</v>
      </c>
      <c r="D134" s="112">
        <f>SUM(E$49:E$70)+SUM(G$49:G$70)+SUM(I$49:I$70)+SUM(K$49:K$70)</f>
        <v>419436</v>
      </c>
      <c r="E134" s="112">
        <f>SUM(M$49:M$70)+SUM(O$49:O$70)+SUM(Q$49:Q$70)+SUM(S$49:S$70)</f>
        <v>2144704.2172788549</v>
      </c>
      <c r="F134" s="112">
        <f>SUM(U$49:U$70)+SUM(W$49:W$70)+SUM(Y$49:Y$70)+SUM(AA$49:AA$70)</f>
        <v>323114.67000508128</v>
      </c>
      <c r="G134" s="112">
        <f>SUM(AC$49:AC$70)+SUM(AE$49:AE$70)+SUM(AG$49:AG$70)+SUM(AI$49:AI$70)</f>
        <v>537743.17197220435</v>
      </c>
      <c r="H134" s="112">
        <f>SUM(AK$49:AK$70)+SUM(AM$49:AM$70)+SUM(AO$49:AO$70)+SUM(AQ$49:AQ$70)</f>
        <v>448412.80197622813</v>
      </c>
      <c r="I134" s="112">
        <f>SUM(AS$49:AS$70)+SUM(AU$49:AU$70)+SUM(AW$49:AW$70)+SUM(AY$49:AY$70)</f>
        <v>322031.22020753071</v>
      </c>
      <c r="J134" s="112">
        <f>SUM(BA$49:BA$70)+SUM(BC$49:BC$70)+SUM(BE$49:BE$70)+SUM(BG$49:BG$70)</f>
        <v>495178.79999999987</v>
      </c>
      <c r="K134" s="112">
        <f>SUM(BI$49:BI$70)+SUM(BK$49:BK$70)+SUM(BM$49:BM$70)+SUM(BO$49:BO$70)</f>
        <v>297769.78896447469</v>
      </c>
      <c r="L134" s="112">
        <f>SUM(BQ$49:BQ$70)+SUM(BS$49:BS$70)+SUM(BU$49:BU$70)+SUM(BW$49:BW$70)</f>
        <v>242271.1270193579</v>
      </c>
      <c r="M134" s="112">
        <f>SUM(BY$49:BY$70)+SUM(CA$49:CA$70)+SUM(CC$49:CC$70)+SUM(CE$49:CE$70)</f>
        <v>3835528.7999999993</v>
      </c>
      <c r="N134" s="112">
        <f>SUM(CG$49:CG$70)+SUM(CI$49:CI$70)+SUM(CK$49:CK$70)+SUM(CM$49:CM$70)</f>
        <v>1460649.4409400984</v>
      </c>
      <c r="O134" s="112">
        <f>SUM(CO$49:CO$70)+SUM(CQ$49:CQ$70)+SUM(CS$49:CS$70)+SUM(CU$49:CU$70)</f>
        <v>247083.60000000003</v>
      </c>
    </row>
    <row r="135" spans="2:15" x14ac:dyDescent="0.2">
      <c r="C135" s="111" t="s">
        <v>130</v>
      </c>
      <c r="D135" s="112">
        <f>SUM(E$71:E$86)+SUM(G$71:G$86)+SUM(I$71:I$86)+SUM(K$71:K$86)</f>
        <v>626239.0870116367</v>
      </c>
      <c r="E135" s="112">
        <f>SUM(M$71:M$86)+SUM(O$71:O$86)+SUM(Q$71:Q$86)+SUM(S$71:S$86)</f>
        <v>683504.39999999991</v>
      </c>
      <c r="F135" s="112">
        <f>SUM(U$71:U$86)+SUM(W$71:W$86)+SUM(Y$71:Y$86)+SUM(AA$71:AA$86)</f>
        <v>252824.14705385966</v>
      </c>
      <c r="G135" s="112">
        <f>SUM(AC$71:AC$86)+SUM(AE$71:AE$86)+SUM(AG$71:AG$86)+SUM(AI$71:AI$86)</f>
        <v>315877.89841734106</v>
      </c>
      <c r="H135" s="112">
        <f>SUM(AK$71:AK$86)+SUM(AM$71:AM$86)+SUM(AO$71:AO$86)+SUM(AQ$71:AQ$86)</f>
        <v>184054.58691687946</v>
      </c>
      <c r="I135" s="112">
        <f>SUM(AS$71:AS$86)+SUM(AU$71:AU$86)+SUM(AW$71:AW$86)+SUM(AY$71:AY$86)</f>
        <v>1221311.9628959089</v>
      </c>
      <c r="J135" s="112">
        <f>SUM(BA$71:BA$86)+SUM(BC$71:BC$86)+SUM(BE$71:BE$86)+SUM(BG$71:BG$86)</f>
        <v>2131047.5999999996</v>
      </c>
      <c r="K135" s="112">
        <f>SUM(BI$71:BI$86)+SUM(BK$71:BK$86)+SUM(BM$71:BM$86)+SUM(BO$71:BO$86)</f>
        <v>145104</v>
      </c>
      <c r="L135" s="112">
        <f>SUM(BQ$71:BQ$86)+SUM(BS$71:BS$86)+SUM(BU$71:BU$86)+SUM(BW$71:BW$86)</f>
        <v>137194.98731034933</v>
      </c>
      <c r="M135" s="112">
        <f>SUM(BY$71:BY$86)+SUM(CA$71:CA$86)+SUM(CC$71:CC$86)+SUM(CE$71:CE$86)</f>
        <v>173466.11032668388</v>
      </c>
      <c r="N135" s="112">
        <f>SUM(CG$71:CG$86)+SUM(CI$71:CI$86)+SUM(CK$71:CK$86)+SUM(CM$71:CM$86)</f>
        <v>853808.39999999991</v>
      </c>
      <c r="O135" s="112">
        <f>SUM(CO$71:CO$86)+SUM(CQ$71:CQ$86)+SUM(CS$71:CS$86)+SUM(CU$71:CU$86)</f>
        <v>152061.6</v>
      </c>
    </row>
    <row r="136" spans="2:15" x14ac:dyDescent="0.2">
      <c r="C136" s="111" t="s">
        <v>131</v>
      </c>
      <c r="D136" s="112">
        <f>SUM(E$87:E$94)+SUM(G$87:G$94)+SUM(I$87:I$94)+SUM(K$87:K$94)</f>
        <v>350546.59075042291</v>
      </c>
      <c r="E136" s="112">
        <f>SUM(M$87:M$94)+SUM(O$87:O$94)+SUM(Q$87:Q$94)+SUM(S$87:S$94)</f>
        <v>549847.76692024572</v>
      </c>
      <c r="F136" s="112">
        <f>SUM(U$87:U$94)+SUM(W$87:W$94)+SUM(Y$87:Y$94)+SUM(AA$87:AA$94)</f>
        <v>402913.19999999995</v>
      </c>
      <c r="G136" s="112">
        <f>SUM(AC$87:AC$94)+SUM(AE$87:AE$94)+SUM(AG$87:AG$94)+SUM(AI$87:AI$94)</f>
        <v>1198837.5480867848</v>
      </c>
      <c r="H136" s="112">
        <f>SUM(AK$87:AK$94)+SUM(AM$87:AM$94)+SUM(AO$87:AO$94)+SUM(AQ$87:AQ$94)</f>
        <v>168982.8</v>
      </c>
      <c r="I136" s="112">
        <f>SUM(AS$87:AS$94)+SUM(AU$87:AU$94)+SUM(AW$87:AW$94)+SUM(AY$87:AY$94)</f>
        <v>2532586.1296986658</v>
      </c>
      <c r="J136" s="112">
        <f>SUM(BA$87:BA$94)+SUM(BC$87:BC$94)+SUM(BE$87:BE$94)+SUM(BG$87:BG$94)</f>
        <v>2034043.1999999997</v>
      </c>
      <c r="K136" s="112">
        <f>SUM(BI$87:BI$94)+SUM(BK$87:BK$94)+SUM(BM$87:BM$94)+SUM(BO$87:BO$94)</f>
        <v>285889.58382758434</v>
      </c>
      <c r="L136" s="112">
        <f>SUM(BQ$87:BQ$94)+SUM(BS$87:BS$94)+SUM(BU$87:BU$94)+SUM(BW$87:BW$94)</f>
        <v>863434.33933044015</v>
      </c>
      <c r="M136" s="112">
        <f>SUM(BY$87:BY$94)+SUM(CA$87:CA$94)+SUM(CC$87:CC$94)+SUM(CE$87:CE$94)</f>
        <v>525496.81168916507</v>
      </c>
      <c r="N136" s="112">
        <f>SUM(CG$87:CG$94)+SUM(CI$87:CI$94)+SUM(CK$87:CK$94)+SUM(CM$87:CM$94)</f>
        <v>515565.6</v>
      </c>
      <c r="O136" s="112">
        <f>SUM(CO$87:CO$94)+SUM(CQ$87:CQ$94)+SUM(CS$87:CS$94)+SUM(CU$87:CU$94)</f>
        <v>1550167.1999999997</v>
      </c>
    </row>
    <row r="137" spans="2:15" x14ac:dyDescent="0.2">
      <c r="C137" s="111" t="s">
        <v>132</v>
      </c>
      <c r="D137" s="112">
        <f>SUM(E$95:E$105)+SUM(G$95:G$105)+SUM(I$95:I$105)+SUM(K$95:K$105)</f>
        <v>401108.52266172029</v>
      </c>
      <c r="E137" s="112">
        <f>SUM(M$95:M$105)+SUM(O$95:O$105)+SUM(Q$95:Q$105)+SUM(S$95:S$105)</f>
        <v>300867.1199173794</v>
      </c>
      <c r="F137" s="112">
        <f>SUM(U$95:U$105)+SUM(W$95:W$105)+SUM(Y$95:Y$105)+SUM(AA$95:AA$105)</f>
        <v>652226.39999999991</v>
      </c>
      <c r="G137" s="112">
        <f>SUM(AC$95:AC$105)+SUM(AE$95:AE$105)+SUM(AG$95:AG$105)+SUM(AI$95:AI$105)</f>
        <v>503496.11355600227</v>
      </c>
      <c r="H137" s="112">
        <f>SUM(AK$95:AK$105)+SUM(AM$95:AM$105)+SUM(AO$95:AO$105)+SUM(AQ$95:AQ$105)</f>
        <v>2811992.2148596775</v>
      </c>
      <c r="I137" s="112">
        <f>SUM(AS$95:AS$105)+SUM(AU$95:AU$105)+SUM(AW$95:AW$105)+SUM(AY$95:AY$105)</f>
        <v>240490.50886809031</v>
      </c>
      <c r="J137" s="112">
        <f>SUM(BA$95:BA$105)+SUM(BC$95:BC$105)+SUM(BE$95:BE$105)+SUM(BG$95:BG$105)</f>
        <v>647719.68375620688</v>
      </c>
      <c r="K137" s="112">
        <f>SUM(BI$95:BI$105)+SUM(BK$95:BK$105)+SUM(BM$95:BM$105)+SUM(BO$95:BO$105)</f>
        <v>994561.71561642759</v>
      </c>
      <c r="L137" s="112">
        <f>SUM(BQ$95:BQ$105)+SUM(BS$95:BS$105)+SUM(BU$95:BU$105)+SUM(BW$95:BW$105)</f>
        <v>415087.20000000007</v>
      </c>
      <c r="M137" s="112">
        <f>SUM(BY$95:BY$105)+SUM(CA$95:CA$105)+SUM(CC$95:CC$105)+SUM(CE$95:CE$105)</f>
        <v>904383.59999999986</v>
      </c>
      <c r="N137" s="112">
        <f>SUM(CG$95:CG$105)+SUM(CI$95:CI$105)+SUM(CK$95:CK$105)+SUM(CM$95:CM$105)</f>
        <v>305542.83130007557</v>
      </c>
      <c r="O137" s="112">
        <f>SUM(CO$95:CO$105)+SUM(CQ$95:CQ$105)+SUM(CS$95:CS$105)+SUM(CU$95:CU$105)</f>
        <v>277330.8</v>
      </c>
    </row>
    <row r="138" spans="2:15" x14ac:dyDescent="0.2">
      <c r="C138" s="111" t="s">
        <v>278</v>
      </c>
      <c r="D138" s="106">
        <f t="shared" ref="D138:O138" si="2">SUM(D$131:D$137)</f>
        <v>2578279.4004237801</v>
      </c>
      <c r="E138" s="106">
        <f t="shared" si="2"/>
        <v>8241648.7041164804</v>
      </c>
      <c r="F138" s="106">
        <f t="shared" si="2"/>
        <v>2082895.2170589408</v>
      </c>
      <c r="G138" s="106">
        <f t="shared" si="2"/>
        <v>6626172.3320323331</v>
      </c>
      <c r="H138" s="106">
        <f t="shared" si="2"/>
        <v>6444828.0037527848</v>
      </c>
      <c r="I138" s="106">
        <f t="shared" si="2"/>
        <v>6592528.2216701955</v>
      </c>
      <c r="J138" s="106">
        <f t="shared" si="2"/>
        <v>5813848.0837562056</v>
      </c>
      <c r="K138" s="106">
        <f t="shared" si="2"/>
        <v>4871574.2884084862</v>
      </c>
      <c r="L138" s="106">
        <f t="shared" si="2"/>
        <v>4289338.0536601478</v>
      </c>
      <c r="M138" s="106">
        <f t="shared" si="2"/>
        <v>6589760.5220158482</v>
      </c>
      <c r="N138" s="106">
        <f t="shared" si="2"/>
        <v>4961623.0722401729</v>
      </c>
      <c r="O138" s="106">
        <f t="shared" si="2"/>
        <v>3443258.3999999994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2016-10-10T15:13:54Z</dcterms:modified>
</cp:coreProperties>
</file>