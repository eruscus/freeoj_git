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19" r:id="rId6"/>
    <sheet name="grove" sheetId="18" r:id="rId7"/>
    <sheet name="P01" sheetId="17" r:id="rId8"/>
    <sheet name="P07" sheetId="16" r:id="rId9"/>
    <sheet name="S15" sheetId="15" r:id="rId10"/>
    <sheet name="S61" sheetId="14" r:id="rId11"/>
    <sheet name="ORA" sheetId="13" r:id="rId12"/>
    <sheet name="POJ" sheetId="12" r:id="rId13"/>
    <sheet name="ROJ" sheetId="11" r:id="rId14"/>
    <sheet name="FCOJ" sheetId="10" r:id="rId15"/>
    <sheet name="market" sheetId="9" r:id="rId16"/>
  </sheets>
  <definedNames>
    <definedName name="AddColumn1">shipping_manufacturing!$H$4:$H$12</definedName>
    <definedName name="AddColumn2">shipping_manufacturing!$G$16:$G$20</definedName>
    <definedName name="AddColumn3">shipping_manufacturing!$H$24:$H$30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19" l="1"/>
  <c r="S15" i="19"/>
  <c r="S14" i="19"/>
  <c r="H40" i="19"/>
  <c r="H39" i="19"/>
  <c r="S39" i="19" s="1"/>
  <c r="H38" i="19"/>
  <c r="H35" i="19"/>
  <c r="S42" i="19" s="1"/>
  <c r="H34" i="19"/>
  <c r="H33" i="19"/>
  <c r="S36" i="19" s="1"/>
  <c r="H30" i="19"/>
  <c r="H29" i="19"/>
  <c r="H28" i="19"/>
  <c r="S40" i="19" s="1"/>
  <c r="H27" i="19"/>
  <c r="S37" i="19" s="1"/>
  <c r="H24" i="19"/>
  <c r="H23" i="19"/>
  <c r="H15" i="19"/>
  <c r="H14" i="19"/>
  <c r="H13" i="19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T25" i="19"/>
  <c r="T19" i="19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 s="1"/>
  <c r="AY181" i="14"/>
  <c r="AY179" i="14"/>
  <c r="AY177" i="14"/>
  <c r="AY175" i="14"/>
  <c r="AY14" i="14"/>
  <c r="AX259" i="14" s="1"/>
  <c r="AX181" i="14"/>
  <c r="AX260" i="14" s="1"/>
  <c r="AX179" i="14"/>
  <c r="AX177" i="14"/>
  <c r="AX175" i="14"/>
  <c r="AW259" i="14"/>
  <c r="AX14" i="14"/>
  <c r="AW181" i="14"/>
  <c r="AW179" i="14"/>
  <c r="AW260" i="14" s="1"/>
  <c r="AW177" i="14"/>
  <c r="AW175" i="14"/>
  <c r="AW14" i="14"/>
  <c r="AV259" i="14" s="1"/>
  <c r="AV181" i="14"/>
  <c r="AV179" i="14"/>
  <c r="AV177" i="14"/>
  <c r="AV175" i="14"/>
  <c r="AV260" i="14" s="1"/>
  <c r="AV14" i="14"/>
  <c r="AU259" i="14" s="1"/>
  <c r="AU181" i="14"/>
  <c r="AU179" i="14"/>
  <c r="AU177" i="14"/>
  <c r="AU175" i="14"/>
  <c r="AU14" i="14"/>
  <c r="AT259" i="14" s="1"/>
  <c r="AT181" i="14"/>
  <c r="AT260" i="14" s="1"/>
  <c r="AT179" i="14"/>
  <c r="AT177" i="14"/>
  <c r="AT175" i="14"/>
  <c r="AS259" i="14"/>
  <c r="AT14" i="14"/>
  <c r="AS181" i="14"/>
  <c r="AS179" i="14"/>
  <c r="AS260" i="14" s="1"/>
  <c r="AS177" i="14"/>
  <c r="AS175" i="14"/>
  <c r="AR259" i="14"/>
  <c r="AS14" i="14"/>
  <c r="AR181" i="14"/>
  <c r="AR179" i="14"/>
  <c r="AR177" i="14"/>
  <c r="AR175" i="14"/>
  <c r="AR14" i="14"/>
  <c r="AQ259" i="14" s="1"/>
  <c r="AQ181" i="14"/>
  <c r="AQ179" i="14"/>
  <c r="AQ177" i="14"/>
  <c r="AQ175" i="14"/>
  <c r="AQ14" i="14"/>
  <c r="AP259" i="14" s="1"/>
  <c r="AP181" i="14"/>
  <c r="AP260" i="14" s="1"/>
  <c r="AP179" i="14"/>
  <c r="AP177" i="14"/>
  <c r="AP175" i="14"/>
  <c r="AO259" i="14"/>
  <c r="AP14" i="14"/>
  <c r="AO181" i="14"/>
  <c r="AO179" i="14"/>
  <c r="AO260" i="14" s="1"/>
  <c r="AO177" i="14"/>
  <c r="AO175" i="14"/>
  <c r="AO14" i="14"/>
  <c r="AN259" i="14" s="1"/>
  <c r="AN181" i="14"/>
  <c r="AN179" i="14"/>
  <c r="AN177" i="14"/>
  <c r="AN175" i="14"/>
  <c r="AN260" i="14" s="1"/>
  <c r="AN14" i="14"/>
  <c r="AM259" i="14" s="1"/>
  <c r="AM181" i="14"/>
  <c r="AM179" i="14"/>
  <c r="AM177" i="14"/>
  <c r="AM175" i="14"/>
  <c r="AM14" i="14"/>
  <c r="AL259" i="14" s="1"/>
  <c r="AL181" i="14"/>
  <c r="AL260" i="14" s="1"/>
  <c r="AL179" i="14"/>
  <c r="AL177" i="14"/>
  <c r="AL175" i="14"/>
  <c r="AK259" i="14"/>
  <c r="AL14" i="14"/>
  <c r="AK181" i="14"/>
  <c r="AK179" i="14"/>
  <c r="AK260" i="14" s="1"/>
  <c r="AK177" i="14"/>
  <c r="AK175" i="14"/>
  <c r="AJ259" i="14"/>
  <c r="AK14" i="14"/>
  <c r="AJ181" i="14"/>
  <c r="AJ179" i="14"/>
  <c r="AJ177" i="14"/>
  <c r="AJ175" i="14"/>
  <c r="AJ14" i="14"/>
  <c r="AI259" i="14" s="1"/>
  <c r="AI181" i="14"/>
  <c r="AI179" i="14"/>
  <c r="AI177" i="14"/>
  <c r="AI175" i="14"/>
  <c r="AI14" i="14"/>
  <c r="AH259" i="14" s="1"/>
  <c r="AH181" i="14"/>
  <c r="AH260" i="14" s="1"/>
  <c r="AH179" i="14"/>
  <c r="AH177" i="14"/>
  <c r="AH175" i="14"/>
  <c r="AG259" i="14"/>
  <c r="AH14" i="14"/>
  <c r="AG181" i="14"/>
  <c r="AG179" i="14"/>
  <c r="AG260" i="14" s="1"/>
  <c r="AG177" i="14"/>
  <c r="AG175" i="14"/>
  <c r="AG14" i="14"/>
  <c r="AF259" i="14" s="1"/>
  <c r="AF181" i="14"/>
  <c r="AF179" i="14"/>
  <c r="AF177" i="14"/>
  <c r="AF175" i="14"/>
  <c r="AF260" i="14" s="1"/>
  <c r="AF14" i="14"/>
  <c r="AE259" i="14" s="1"/>
  <c r="AE181" i="14"/>
  <c r="AE179" i="14"/>
  <c r="AE177" i="14"/>
  <c r="AE175" i="14"/>
  <c r="AE14" i="14"/>
  <c r="AD259" i="14" s="1"/>
  <c r="AD181" i="14"/>
  <c r="AD260" i="14" s="1"/>
  <c r="AD179" i="14"/>
  <c r="AD177" i="14"/>
  <c r="AD175" i="14"/>
  <c r="AC259" i="14"/>
  <c r="AD14" i="14"/>
  <c r="AC181" i="14"/>
  <c r="AC179" i="14"/>
  <c r="AC260" i="14" s="1"/>
  <c r="AC177" i="14"/>
  <c r="AC175" i="14"/>
  <c r="AB259" i="14"/>
  <c r="AC14" i="14"/>
  <c r="AB181" i="14"/>
  <c r="AB179" i="14"/>
  <c r="AB177" i="14"/>
  <c r="AB175" i="14"/>
  <c r="AB14" i="14"/>
  <c r="AA259" i="14" s="1"/>
  <c r="AA181" i="14"/>
  <c r="AA179" i="14"/>
  <c r="AA177" i="14"/>
  <c r="AA175" i="14"/>
  <c r="AA14" i="14"/>
  <c r="Z259" i="14" s="1"/>
  <c r="Z181" i="14"/>
  <c r="Z260" i="14" s="1"/>
  <c r="Z179" i="14"/>
  <c r="Z177" i="14"/>
  <c r="Z175" i="14"/>
  <c r="Y259" i="14"/>
  <c r="Z14" i="14"/>
  <c r="Y181" i="14"/>
  <c r="Y179" i="14"/>
  <c r="Y260" i="14" s="1"/>
  <c r="Y177" i="14"/>
  <c r="Y175" i="14"/>
  <c r="Y14" i="14"/>
  <c r="X259" i="14" s="1"/>
  <c r="X181" i="14"/>
  <c r="X179" i="14"/>
  <c r="X177" i="14"/>
  <c r="X175" i="14"/>
  <c r="X260" i="14" s="1"/>
  <c r="X14" i="14"/>
  <c r="W259" i="14" s="1"/>
  <c r="W181" i="14"/>
  <c r="W179" i="14"/>
  <c r="W177" i="14"/>
  <c r="W175" i="14"/>
  <c r="W14" i="14"/>
  <c r="V259" i="14" s="1"/>
  <c r="V181" i="14"/>
  <c r="V260" i="14" s="1"/>
  <c r="V179" i="14"/>
  <c r="V177" i="14"/>
  <c r="V175" i="14"/>
  <c r="U259" i="14"/>
  <c r="V14" i="14"/>
  <c r="U181" i="14"/>
  <c r="U179" i="14"/>
  <c r="U260" i="14" s="1"/>
  <c r="U177" i="14"/>
  <c r="U175" i="14"/>
  <c r="T259" i="14"/>
  <c r="U14" i="14"/>
  <c r="T181" i="14"/>
  <c r="T179" i="14"/>
  <c r="T177" i="14"/>
  <c r="T175" i="14"/>
  <c r="T14" i="14"/>
  <c r="S259" i="14" s="1"/>
  <c r="S181" i="14"/>
  <c r="S179" i="14"/>
  <c r="S177" i="14"/>
  <c r="S175" i="14"/>
  <c r="S14" i="14"/>
  <c r="R259" i="14" s="1"/>
  <c r="R181" i="14"/>
  <c r="R260" i="14" s="1"/>
  <c r="R179" i="14"/>
  <c r="R177" i="14"/>
  <c r="R175" i="14"/>
  <c r="Q259" i="14"/>
  <c r="R14" i="14"/>
  <c r="Q181" i="14"/>
  <c r="Q179" i="14"/>
  <c r="Q260" i="14" s="1"/>
  <c r="Q177" i="14"/>
  <c r="Q175" i="14"/>
  <c r="Q14" i="14"/>
  <c r="P259" i="14" s="1"/>
  <c r="P181" i="14"/>
  <c r="P179" i="14"/>
  <c r="P177" i="14"/>
  <c r="P175" i="14"/>
  <c r="P260" i="14" s="1"/>
  <c r="P14" i="14"/>
  <c r="O259" i="14" s="1"/>
  <c r="O181" i="14"/>
  <c r="O179" i="14"/>
  <c r="O177" i="14"/>
  <c r="O175" i="14"/>
  <c r="O14" i="14"/>
  <c r="N259" i="14" s="1"/>
  <c r="N181" i="14"/>
  <c r="N260" i="14" s="1"/>
  <c r="N179" i="14"/>
  <c r="N177" i="14"/>
  <c r="N175" i="14"/>
  <c r="M259" i="14"/>
  <c r="N14" i="14"/>
  <c r="M181" i="14"/>
  <c r="M179" i="14"/>
  <c r="M260" i="14" s="1"/>
  <c r="M177" i="14"/>
  <c r="M175" i="14"/>
  <c r="L259" i="14"/>
  <c r="M14" i="14"/>
  <c r="L181" i="14"/>
  <c r="L179" i="14"/>
  <c r="L177" i="14"/>
  <c r="L175" i="14"/>
  <c r="L14" i="14"/>
  <c r="K259" i="14" s="1"/>
  <c r="K181" i="14"/>
  <c r="K179" i="14"/>
  <c r="K177" i="14"/>
  <c r="K175" i="14"/>
  <c r="K14" i="14"/>
  <c r="J259" i="14" s="1"/>
  <c r="J181" i="14"/>
  <c r="J260" i="14" s="1"/>
  <c r="J179" i="14"/>
  <c r="J177" i="14"/>
  <c r="J175" i="14"/>
  <c r="I259" i="14"/>
  <c r="J14" i="14"/>
  <c r="I181" i="14"/>
  <c r="I179" i="14"/>
  <c r="I260" i="14" s="1"/>
  <c r="I177" i="14"/>
  <c r="I175" i="14"/>
  <c r="I14" i="14"/>
  <c r="H259" i="14" s="1"/>
  <c r="H181" i="14"/>
  <c r="H179" i="14"/>
  <c r="H177" i="14"/>
  <c r="H175" i="14"/>
  <c r="H260" i="14" s="1"/>
  <c r="H14" i="14"/>
  <c r="G259" i="14" s="1"/>
  <c r="G181" i="14"/>
  <c r="G179" i="14"/>
  <c r="G177" i="14"/>
  <c r="G175" i="14"/>
  <c r="G14" i="14"/>
  <c r="F259" i="14" s="1"/>
  <c r="F181" i="14"/>
  <c r="F260" i="14" s="1"/>
  <c r="F179" i="14"/>
  <c r="F177" i="14"/>
  <c r="F175" i="14"/>
  <c r="E259" i="14"/>
  <c r="F14" i="14"/>
  <c r="E181" i="14"/>
  <c r="E179" i="14"/>
  <c r="E260" i="14" s="1"/>
  <c r="E177" i="14"/>
  <c r="E175" i="14"/>
  <c r="D259" i="14"/>
  <c r="E14" i="14"/>
  <c r="D181" i="14"/>
  <c r="D179" i="14"/>
  <c r="D177" i="14"/>
  <c r="D175" i="14"/>
  <c r="AZ14" i="15"/>
  <c r="AY259" i="15" s="1"/>
  <c r="AY181" i="15"/>
  <c r="AY179" i="15"/>
  <c r="AY177" i="15"/>
  <c r="AY175" i="15"/>
  <c r="AY14" i="15"/>
  <c r="AX259" i="15" s="1"/>
  <c r="AX181" i="15"/>
  <c r="AX260" i="15" s="1"/>
  <c r="AX179" i="15"/>
  <c r="AX177" i="15"/>
  <c r="AX175" i="15"/>
  <c r="AW259" i="15"/>
  <c r="AX14" i="15"/>
  <c r="AW181" i="15"/>
  <c r="AW179" i="15"/>
  <c r="AW260" i="15" s="1"/>
  <c r="AW177" i="15"/>
  <c r="AW175" i="15"/>
  <c r="AW14" i="15"/>
  <c r="AV259" i="15" s="1"/>
  <c r="AV181" i="15"/>
  <c r="AV179" i="15"/>
  <c r="AV177" i="15"/>
  <c r="AV175" i="15"/>
  <c r="AV260" i="15" s="1"/>
  <c r="AV14" i="15"/>
  <c r="AU259" i="15" s="1"/>
  <c r="AU181" i="15"/>
  <c r="AU179" i="15"/>
  <c r="AU177" i="15"/>
  <c r="AU175" i="15"/>
  <c r="AU14" i="15"/>
  <c r="AT259" i="15" s="1"/>
  <c r="AT181" i="15"/>
  <c r="AT260" i="15" s="1"/>
  <c r="AT179" i="15"/>
  <c r="AT177" i="15"/>
  <c r="AT175" i="15"/>
  <c r="AS259" i="15"/>
  <c r="AT14" i="15"/>
  <c r="AS181" i="15"/>
  <c r="AS179" i="15"/>
  <c r="AS260" i="15" s="1"/>
  <c r="AS177" i="15"/>
  <c r="AS175" i="15"/>
  <c r="AR259" i="15"/>
  <c r="AS14" i="15"/>
  <c r="AR181" i="15"/>
  <c r="AR179" i="15"/>
  <c r="AR177" i="15"/>
  <c r="AR175" i="15"/>
  <c r="AR14" i="15"/>
  <c r="AQ259" i="15" s="1"/>
  <c r="AQ181" i="15"/>
  <c r="AQ179" i="15"/>
  <c r="AQ177" i="15"/>
  <c r="AQ175" i="15"/>
  <c r="AQ14" i="15"/>
  <c r="AP259" i="15" s="1"/>
  <c r="AP181" i="15"/>
  <c r="AP260" i="15" s="1"/>
  <c r="AP179" i="15"/>
  <c r="AP177" i="15"/>
  <c r="AP175" i="15"/>
  <c r="AO259" i="15"/>
  <c r="AP14" i="15"/>
  <c r="AO181" i="15"/>
  <c r="AO179" i="15"/>
  <c r="AO260" i="15" s="1"/>
  <c r="AO177" i="15"/>
  <c r="AO175" i="15"/>
  <c r="AO14" i="15"/>
  <c r="AN259" i="15" s="1"/>
  <c r="AN181" i="15"/>
  <c r="AN179" i="15"/>
  <c r="AN177" i="15"/>
  <c r="AN175" i="15"/>
  <c r="AN260" i="15" s="1"/>
  <c r="AN14" i="15"/>
  <c r="AM259" i="15" s="1"/>
  <c r="AM181" i="15"/>
  <c r="AM179" i="15"/>
  <c r="AM177" i="15"/>
  <c r="AM175" i="15"/>
  <c r="AM14" i="15"/>
  <c r="AL259" i="15" s="1"/>
  <c r="AL181" i="15"/>
  <c r="AL260" i="15" s="1"/>
  <c r="AL179" i="15"/>
  <c r="AL177" i="15"/>
  <c r="AL175" i="15"/>
  <c r="AK259" i="15"/>
  <c r="AL14" i="15"/>
  <c r="AK181" i="15"/>
  <c r="AK179" i="15"/>
  <c r="AK260" i="15" s="1"/>
  <c r="AK177" i="15"/>
  <c r="AK175" i="15"/>
  <c r="AJ259" i="15"/>
  <c r="AK14" i="15"/>
  <c r="AJ181" i="15"/>
  <c r="AJ179" i="15"/>
  <c r="AJ177" i="15"/>
  <c r="AJ175" i="15"/>
  <c r="AJ14" i="15"/>
  <c r="AI259" i="15" s="1"/>
  <c r="AI181" i="15"/>
  <c r="AI179" i="15"/>
  <c r="AI177" i="15"/>
  <c r="AI175" i="15"/>
  <c r="AI14" i="15"/>
  <c r="AH259" i="15" s="1"/>
  <c r="AH181" i="15"/>
  <c r="AH260" i="15" s="1"/>
  <c r="AH179" i="15"/>
  <c r="AH177" i="15"/>
  <c r="AH175" i="15"/>
  <c r="AG259" i="15"/>
  <c r="AH14" i="15"/>
  <c r="AG181" i="15"/>
  <c r="AG179" i="15"/>
  <c r="AG260" i="15" s="1"/>
  <c r="AG177" i="15"/>
  <c r="AG175" i="15"/>
  <c r="AG14" i="15"/>
  <c r="AF259" i="15" s="1"/>
  <c r="AF181" i="15"/>
  <c r="AF179" i="15"/>
  <c r="AF177" i="15"/>
  <c r="AF175" i="15"/>
  <c r="AF260" i="15" s="1"/>
  <c r="AF14" i="15"/>
  <c r="AE259" i="15" s="1"/>
  <c r="AE181" i="15"/>
  <c r="AE179" i="15"/>
  <c r="AE177" i="15"/>
  <c r="AE175" i="15"/>
  <c r="AE14" i="15"/>
  <c r="AD259" i="15" s="1"/>
  <c r="AD181" i="15"/>
  <c r="AD260" i="15" s="1"/>
  <c r="AD179" i="15"/>
  <c r="AD177" i="15"/>
  <c r="AD175" i="15"/>
  <c r="AC259" i="15"/>
  <c r="AD14" i="15"/>
  <c r="AC181" i="15"/>
  <c r="AC179" i="15"/>
  <c r="AC260" i="15" s="1"/>
  <c r="AC177" i="15"/>
  <c r="AC175" i="15"/>
  <c r="AB259" i="15"/>
  <c r="AC14" i="15"/>
  <c r="AB181" i="15"/>
  <c r="AB179" i="15"/>
  <c r="AB177" i="15"/>
  <c r="AB175" i="15"/>
  <c r="AB14" i="15"/>
  <c r="AA259" i="15" s="1"/>
  <c r="AA181" i="15"/>
  <c r="AA179" i="15"/>
  <c r="AA177" i="15"/>
  <c r="AA175" i="15"/>
  <c r="AA14" i="15"/>
  <c r="Z259" i="15" s="1"/>
  <c r="Z181" i="15"/>
  <c r="Z260" i="15" s="1"/>
  <c r="Z179" i="15"/>
  <c r="Z177" i="15"/>
  <c r="Z175" i="15"/>
  <c r="Y259" i="15"/>
  <c r="Z14" i="15"/>
  <c r="Y181" i="15"/>
  <c r="Y179" i="15"/>
  <c r="Y260" i="15" s="1"/>
  <c r="Y177" i="15"/>
  <c r="Y175" i="15"/>
  <c r="Y14" i="15"/>
  <c r="X259" i="15" s="1"/>
  <c r="X181" i="15"/>
  <c r="X179" i="15"/>
  <c r="X177" i="15"/>
  <c r="X175" i="15"/>
  <c r="X260" i="15" s="1"/>
  <c r="X14" i="15"/>
  <c r="W259" i="15" s="1"/>
  <c r="W181" i="15"/>
  <c r="W179" i="15"/>
  <c r="W177" i="15"/>
  <c r="W175" i="15"/>
  <c r="W14" i="15"/>
  <c r="V259" i="15" s="1"/>
  <c r="V181" i="15"/>
  <c r="V260" i="15" s="1"/>
  <c r="V179" i="15"/>
  <c r="V177" i="15"/>
  <c r="V175" i="15"/>
  <c r="U259" i="15"/>
  <c r="V14" i="15"/>
  <c r="U181" i="15"/>
  <c r="U179" i="15"/>
  <c r="U260" i="15" s="1"/>
  <c r="U177" i="15"/>
  <c r="U175" i="15"/>
  <c r="T259" i="15"/>
  <c r="U14" i="15"/>
  <c r="T181" i="15"/>
  <c r="T179" i="15"/>
  <c r="T177" i="15"/>
  <c r="T175" i="15"/>
  <c r="T14" i="15"/>
  <c r="S259" i="15" s="1"/>
  <c r="S181" i="15"/>
  <c r="S179" i="15"/>
  <c r="S177" i="15"/>
  <c r="S175" i="15"/>
  <c r="S14" i="15"/>
  <c r="R259" i="15" s="1"/>
  <c r="R181" i="15"/>
  <c r="R260" i="15" s="1"/>
  <c r="R179" i="15"/>
  <c r="R177" i="15"/>
  <c r="R175" i="15"/>
  <c r="Q259" i="15"/>
  <c r="R14" i="15"/>
  <c r="Q181" i="15"/>
  <c r="Q179" i="15"/>
  <c r="Q260" i="15" s="1"/>
  <c r="Q177" i="15"/>
  <c r="Q175" i="15"/>
  <c r="Q14" i="15"/>
  <c r="P259" i="15" s="1"/>
  <c r="P181" i="15"/>
  <c r="P179" i="15"/>
  <c r="P177" i="15"/>
  <c r="P175" i="15"/>
  <c r="P260" i="15" s="1"/>
  <c r="P14" i="15"/>
  <c r="O259" i="15" s="1"/>
  <c r="O181" i="15"/>
  <c r="O179" i="15"/>
  <c r="O177" i="15"/>
  <c r="O175" i="15"/>
  <c r="O14" i="15"/>
  <c r="N259" i="15" s="1"/>
  <c r="N181" i="15"/>
  <c r="N260" i="15" s="1"/>
  <c r="N179" i="15"/>
  <c r="N177" i="15"/>
  <c r="N175" i="15"/>
  <c r="M259" i="15"/>
  <c r="N14" i="15"/>
  <c r="M181" i="15"/>
  <c r="M179" i="15"/>
  <c r="M260" i="15" s="1"/>
  <c r="M177" i="15"/>
  <c r="M175" i="15"/>
  <c r="L259" i="15"/>
  <c r="M14" i="15"/>
  <c r="L181" i="15"/>
  <c r="L179" i="15"/>
  <c r="L177" i="15"/>
  <c r="L175" i="15"/>
  <c r="L14" i="15"/>
  <c r="K259" i="15" s="1"/>
  <c r="K181" i="15"/>
  <c r="K179" i="15"/>
  <c r="K177" i="15"/>
  <c r="K175" i="15"/>
  <c r="K14" i="15"/>
  <c r="J259" i="15" s="1"/>
  <c r="J181" i="15"/>
  <c r="J260" i="15" s="1"/>
  <c r="J179" i="15"/>
  <c r="J177" i="15"/>
  <c r="J175" i="15"/>
  <c r="I259" i="15"/>
  <c r="J14" i="15"/>
  <c r="I181" i="15"/>
  <c r="I179" i="15"/>
  <c r="I260" i="15" s="1"/>
  <c r="I177" i="15"/>
  <c r="I175" i="15"/>
  <c r="I14" i="15"/>
  <c r="H259" i="15" s="1"/>
  <c r="H181" i="15"/>
  <c r="H179" i="15"/>
  <c r="H177" i="15"/>
  <c r="H175" i="15"/>
  <c r="H260" i="15" s="1"/>
  <c r="H14" i="15"/>
  <c r="G259" i="15" s="1"/>
  <c r="G181" i="15"/>
  <c r="G179" i="15"/>
  <c r="G177" i="15"/>
  <c r="G175" i="15"/>
  <c r="G14" i="15"/>
  <c r="F259" i="15" s="1"/>
  <c r="F181" i="15"/>
  <c r="F260" i="15" s="1"/>
  <c r="F179" i="15"/>
  <c r="F177" i="15"/>
  <c r="F175" i="15"/>
  <c r="E259" i="15"/>
  <c r="F14" i="15"/>
  <c r="E181" i="15"/>
  <c r="E179" i="15"/>
  <c r="E260" i="15" s="1"/>
  <c r="E177" i="15"/>
  <c r="E175" i="15"/>
  <c r="D259" i="15"/>
  <c r="AZ259" i="15" s="1"/>
  <c r="E14" i="15"/>
  <c r="D181" i="15"/>
  <c r="D179" i="15"/>
  <c r="D177" i="15"/>
  <c r="D175" i="15"/>
  <c r="AY21" i="16"/>
  <c r="AY22" i="16"/>
  <c r="AY29" i="16"/>
  <c r="AX21" i="16"/>
  <c r="AX22" i="16"/>
  <c r="AX23" i="16"/>
  <c r="AX29" i="16"/>
  <c r="AX33" i="16"/>
  <c r="AX39" i="16"/>
  <c r="AX44" i="16"/>
  <c r="AX50" i="16" s="1"/>
  <c r="AW14" i="16"/>
  <c r="AX15" i="16" s="1"/>
  <c r="AY16" i="16" s="1"/>
  <c r="AW15" i="16"/>
  <c r="AX16" i="16" s="1"/>
  <c r="AY17" i="16" s="1"/>
  <c r="AW16" i="16"/>
  <c r="AX17" i="16" s="1"/>
  <c r="AW10" i="16"/>
  <c r="AW13" i="16" s="1"/>
  <c r="AX14" i="16" s="1"/>
  <c r="AW17" i="16"/>
  <c r="AW29" i="16"/>
  <c r="AV14" i="16"/>
  <c r="AV15" i="16"/>
  <c r="AV16" i="16"/>
  <c r="AV17" i="16"/>
  <c r="AV29" i="16"/>
  <c r="AU14" i="16"/>
  <c r="AU15" i="16"/>
  <c r="AU16" i="16"/>
  <c r="AU10" i="16"/>
  <c r="AU13" i="16" s="1"/>
  <c r="AU17" i="16"/>
  <c r="AU29" i="16"/>
  <c r="AT16" i="16"/>
  <c r="AT21" i="16"/>
  <c r="AT23" i="16" s="1"/>
  <c r="AT22" i="16"/>
  <c r="AT29" i="16"/>
  <c r="AT33" i="16"/>
  <c r="AT44" i="16"/>
  <c r="AS14" i="16"/>
  <c r="AS15" i="16"/>
  <c r="AS16" i="16"/>
  <c r="AT17" i="16" s="1"/>
  <c r="AS17" i="16"/>
  <c r="AS29" i="16"/>
  <c r="AR14" i="16"/>
  <c r="AR15" i="16"/>
  <c r="AR16" i="16"/>
  <c r="AR17" i="16"/>
  <c r="AR29" i="16"/>
  <c r="AQ14" i="16"/>
  <c r="AQ15" i="16"/>
  <c r="AQ16" i="16"/>
  <c r="AQ17" i="16"/>
  <c r="AQ29" i="16"/>
  <c r="AP14" i="16"/>
  <c r="AP15" i="16"/>
  <c r="AP16" i="16"/>
  <c r="AP10" i="16"/>
  <c r="AP13" i="16" s="1"/>
  <c r="AP17" i="16"/>
  <c r="AP29" i="16"/>
  <c r="AO14" i="16"/>
  <c r="AO15" i="16"/>
  <c r="AO16" i="16"/>
  <c r="AO17" i="16"/>
  <c r="AO29" i="16"/>
  <c r="AN14" i="16"/>
  <c r="AN15" i="16"/>
  <c r="AN16" i="16"/>
  <c r="AN10" i="16"/>
  <c r="AN13" i="16" s="1"/>
  <c r="AN17" i="16"/>
  <c r="AN29" i="16"/>
  <c r="AM14" i="16"/>
  <c r="AM10" i="16" s="1"/>
  <c r="AM13" i="16" s="1"/>
  <c r="AM15" i="16"/>
  <c r="AM16" i="16"/>
  <c r="AM17" i="16"/>
  <c r="AM29" i="16"/>
  <c r="AL14" i="16"/>
  <c r="AL15" i="16"/>
  <c r="AL10" i="16" s="1"/>
  <c r="AL13" i="16" s="1"/>
  <c r="AL16" i="16"/>
  <c r="AL17" i="16"/>
  <c r="AL29" i="16"/>
  <c r="AK14" i="16"/>
  <c r="AK10" i="16" s="1"/>
  <c r="AK15" i="16"/>
  <c r="AK16" i="16"/>
  <c r="AK13" i="16"/>
  <c r="AK17" i="16"/>
  <c r="AK29" i="16"/>
  <c r="AJ14" i="16"/>
  <c r="AJ10" i="16" s="1"/>
  <c r="AJ13" i="16" s="1"/>
  <c r="AJ15" i="16"/>
  <c r="AJ16" i="16"/>
  <c r="AJ17" i="16"/>
  <c r="AJ29" i="16"/>
  <c r="AI14" i="16"/>
  <c r="AI10" i="16" s="1"/>
  <c r="AI13" i="16" s="1"/>
  <c r="AI15" i="16"/>
  <c r="AI16" i="16"/>
  <c r="AI17" i="16"/>
  <c r="AI29" i="16"/>
  <c r="AH14" i="16"/>
  <c r="AH15" i="16"/>
  <c r="AH16" i="16"/>
  <c r="AH10" i="16" s="1"/>
  <c r="AH13" i="16" s="1"/>
  <c r="AH17" i="16"/>
  <c r="AH29" i="16"/>
  <c r="AG14" i="16"/>
  <c r="AG10" i="16" s="1"/>
  <c r="AG15" i="16"/>
  <c r="AG16" i="16"/>
  <c r="AG13" i="16"/>
  <c r="AG17" i="16"/>
  <c r="AG29" i="16"/>
  <c r="AF14" i="16"/>
  <c r="AF10" i="16" s="1"/>
  <c r="AF13" i="16" s="1"/>
  <c r="AF15" i="16"/>
  <c r="AF16" i="16"/>
  <c r="AF17" i="16"/>
  <c r="AF29" i="16"/>
  <c r="AE14" i="16"/>
  <c r="AE10" i="16" s="1"/>
  <c r="AE13" i="16" s="1"/>
  <c r="AE15" i="16"/>
  <c r="AE16" i="16"/>
  <c r="AE17" i="16"/>
  <c r="AE29" i="16"/>
  <c r="AD14" i="16"/>
  <c r="AD15" i="16"/>
  <c r="AD16" i="16"/>
  <c r="AD10" i="16" s="1"/>
  <c r="AD13" i="16" s="1"/>
  <c r="AD17" i="16"/>
  <c r="AD29" i="16"/>
  <c r="AC14" i="16"/>
  <c r="AC10" i="16" s="1"/>
  <c r="AC15" i="16"/>
  <c r="AC16" i="16"/>
  <c r="AC13" i="16"/>
  <c r="AC17" i="16"/>
  <c r="AC29" i="16"/>
  <c r="AB14" i="16"/>
  <c r="AB10" i="16" s="1"/>
  <c r="AB13" i="16" s="1"/>
  <c r="AB15" i="16"/>
  <c r="AB16" i="16"/>
  <c r="AB17" i="16"/>
  <c r="AB29" i="16"/>
  <c r="AA14" i="16"/>
  <c r="AA15" i="16"/>
  <c r="AA16" i="16"/>
  <c r="AA17" i="16"/>
  <c r="AA29" i="16"/>
  <c r="Z14" i="16"/>
  <c r="Z15" i="16"/>
  <c r="Z16" i="16"/>
  <c r="Z10" i="16" s="1"/>
  <c r="Z13" i="16" s="1"/>
  <c r="Z17" i="16"/>
  <c r="Z29" i="16"/>
  <c r="Y14" i="16"/>
  <c r="Y10" i="16" s="1"/>
  <c r="Y15" i="16"/>
  <c r="Y16" i="16"/>
  <c r="Y13" i="16"/>
  <c r="Y17" i="16"/>
  <c r="Y29" i="16"/>
  <c r="X15" i="16"/>
  <c r="X21" i="16"/>
  <c r="X22" i="16"/>
  <c r="X23" i="16"/>
  <c r="X24" i="16"/>
  <c r="X29" i="16"/>
  <c r="X33" i="16"/>
  <c r="X34" i="16"/>
  <c r="X40" i="16"/>
  <c r="X44" i="16"/>
  <c r="X45" i="16"/>
  <c r="X51" i="16" s="1"/>
  <c r="X46" i="16"/>
  <c r="X50" i="16"/>
  <c r="W14" i="16"/>
  <c r="W10" i="16" s="1"/>
  <c r="W13" i="16" s="1"/>
  <c r="X14" i="16" s="1"/>
  <c r="X10" i="16" s="1"/>
  <c r="X13" i="16" s="1"/>
  <c r="W15" i="16"/>
  <c r="X16" i="16" s="1"/>
  <c r="W16" i="16"/>
  <c r="X17" i="16" s="1"/>
  <c r="W17" i="16"/>
  <c r="W21" i="16"/>
  <c r="W29" i="16"/>
  <c r="V14" i="16"/>
  <c r="V15" i="16"/>
  <c r="V16" i="16"/>
  <c r="V10" i="16" s="1"/>
  <c r="V13" i="16" s="1"/>
  <c r="V17" i="16"/>
  <c r="V29" i="16"/>
  <c r="U14" i="16"/>
  <c r="U10" i="16" s="1"/>
  <c r="U15" i="16"/>
  <c r="U16" i="16"/>
  <c r="U13" i="16"/>
  <c r="U17" i="16"/>
  <c r="U29" i="16"/>
  <c r="T14" i="16"/>
  <c r="T10" i="16" s="1"/>
  <c r="T13" i="16" s="1"/>
  <c r="T15" i="16"/>
  <c r="T16" i="16"/>
  <c r="T17" i="16"/>
  <c r="T29" i="16"/>
  <c r="S14" i="16"/>
  <c r="S15" i="16"/>
  <c r="S16" i="16"/>
  <c r="S17" i="16"/>
  <c r="S29" i="16"/>
  <c r="R14" i="16"/>
  <c r="R15" i="16"/>
  <c r="R16" i="16"/>
  <c r="R10" i="16" s="1"/>
  <c r="R13" i="16" s="1"/>
  <c r="R17" i="16"/>
  <c r="R29" i="16"/>
  <c r="Q14" i="16"/>
  <c r="Q15" i="16"/>
  <c r="Q16" i="16"/>
  <c r="Q10" i="16"/>
  <c r="Q13" i="16" s="1"/>
  <c r="R21" i="16" s="1"/>
  <c r="Q17" i="16"/>
  <c r="Q29" i="16"/>
  <c r="P14" i="16"/>
  <c r="P15" i="16"/>
  <c r="P16" i="16"/>
  <c r="P17" i="16"/>
  <c r="P29" i="16"/>
  <c r="O14" i="16"/>
  <c r="O15" i="16"/>
  <c r="O16" i="16"/>
  <c r="O17" i="16"/>
  <c r="O29" i="16"/>
  <c r="N14" i="16"/>
  <c r="N15" i="16"/>
  <c r="N16" i="16"/>
  <c r="N10" i="16" s="1"/>
  <c r="N13" i="16" s="1"/>
  <c r="N17" i="16"/>
  <c r="N29" i="16"/>
  <c r="M14" i="16"/>
  <c r="M15" i="16"/>
  <c r="M10" i="16" s="1"/>
  <c r="M13" i="16" s="1"/>
  <c r="M16" i="16"/>
  <c r="M17" i="16"/>
  <c r="M29" i="16"/>
  <c r="L14" i="16"/>
  <c r="L10" i="16" s="1"/>
  <c r="L13" i="16" s="1"/>
  <c r="L15" i="16"/>
  <c r="L16" i="16"/>
  <c r="L17" i="16"/>
  <c r="L29" i="16"/>
  <c r="K14" i="16"/>
  <c r="K15" i="16"/>
  <c r="K10" i="16" s="1"/>
  <c r="K13" i="16" s="1"/>
  <c r="K16" i="16"/>
  <c r="K17" i="16"/>
  <c r="K29" i="16"/>
  <c r="J14" i="16"/>
  <c r="J15" i="16"/>
  <c r="J16" i="16"/>
  <c r="J10" i="16"/>
  <c r="J13" i="16" s="1"/>
  <c r="J17" i="16"/>
  <c r="J29" i="16"/>
  <c r="I14" i="16"/>
  <c r="I15" i="16"/>
  <c r="I16" i="16"/>
  <c r="I10" i="16"/>
  <c r="I13" i="16" s="1"/>
  <c r="I17" i="16"/>
  <c r="I29" i="16"/>
  <c r="H14" i="16"/>
  <c r="H15" i="16"/>
  <c r="H16" i="16"/>
  <c r="H17" i="16"/>
  <c r="H29" i="16"/>
  <c r="G14" i="16"/>
  <c r="G15" i="16"/>
  <c r="G16" i="16"/>
  <c r="G10" i="16" s="1"/>
  <c r="G13" i="16" s="1"/>
  <c r="G17" i="16"/>
  <c r="G29" i="16"/>
  <c r="F14" i="16"/>
  <c r="F10" i="16" s="1"/>
  <c r="F13" i="16" s="1"/>
  <c r="F15" i="16"/>
  <c r="F16" i="16"/>
  <c r="F17" i="16"/>
  <c r="F29" i="16"/>
  <c r="E14" i="16"/>
  <c r="E15" i="16"/>
  <c r="E10" i="16" s="1"/>
  <c r="E13" i="16" s="1"/>
  <c r="E16" i="16"/>
  <c r="E17" i="16"/>
  <c r="E29" i="16"/>
  <c r="D14" i="16"/>
  <c r="D10" i="16" s="1"/>
  <c r="D15" i="16"/>
  <c r="D16" i="16"/>
  <c r="D17" i="16"/>
  <c r="AZ17" i="16" s="1"/>
  <c r="D27" i="16"/>
  <c r="D29" i="16"/>
  <c r="D33" i="16"/>
  <c r="AY14" i="17"/>
  <c r="AY15" i="17"/>
  <c r="AY10" i="17" s="1"/>
  <c r="AY13" i="17" s="1"/>
  <c r="AY16" i="17"/>
  <c r="AY17" i="17"/>
  <c r="AY29" i="17"/>
  <c r="AX14" i="17"/>
  <c r="AX15" i="17"/>
  <c r="AX16" i="17"/>
  <c r="AX10" i="17"/>
  <c r="AX13" i="17" s="1"/>
  <c r="AX17" i="17"/>
  <c r="AX29" i="17"/>
  <c r="AW17" i="17"/>
  <c r="AW21" i="17"/>
  <c r="AW22" i="17"/>
  <c r="AW34" i="17" s="1"/>
  <c r="AW23" i="17"/>
  <c r="AW24" i="17"/>
  <c r="AW29" i="17"/>
  <c r="AW33" i="17"/>
  <c r="AW39" i="17" s="1"/>
  <c r="AW35" i="17"/>
  <c r="AW40" i="17"/>
  <c r="AW44" i="17"/>
  <c r="AW45" i="17"/>
  <c r="AW50" i="17"/>
  <c r="AV14" i="17"/>
  <c r="AV15" i="17"/>
  <c r="AW16" i="17" s="1"/>
  <c r="AV16" i="17"/>
  <c r="AV17" i="17"/>
  <c r="AV29" i="17"/>
  <c r="AU14" i="17"/>
  <c r="AU15" i="17"/>
  <c r="AU16" i="17"/>
  <c r="AU17" i="17"/>
  <c r="AU29" i="17"/>
  <c r="AT14" i="17"/>
  <c r="AT10" i="17" s="1"/>
  <c r="AT13" i="17" s="1"/>
  <c r="AT15" i="17"/>
  <c r="AT16" i="17"/>
  <c r="AT17" i="17"/>
  <c r="AT29" i="17"/>
  <c r="AS14" i="17"/>
  <c r="AS10" i="17" s="1"/>
  <c r="AS13" i="17" s="1"/>
  <c r="AS15" i="17"/>
  <c r="AS16" i="17"/>
  <c r="AS17" i="17"/>
  <c r="AS29" i="17"/>
  <c r="AR14" i="17"/>
  <c r="AR15" i="17"/>
  <c r="AR16" i="17"/>
  <c r="AR17" i="17"/>
  <c r="AR29" i="17"/>
  <c r="AQ14" i="17"/>
  <c r="AQ15" i="17"/>
  <c r="AQ16" i="17"/>
  <c r="AQ10" i="17"/>
  <c r="AQ13" i="17" s="1"/>
  <c r="AQ17" i="17"/>
  <c r="AQ29" i="17"/>
  <c r="AP14" i="17"/>
  <c r="AP15" i="17"/>
  <c r="AP16" i="17"/>
  <c r="AP10" i="17" s="1"/>
  <c r="AP13" i="17" s="1"/>
  <c r="AP17" i="17"/>
  <c r="AP29" i="17"/>
  <c r="AO14" i="17"/>
  <c r="AO15" i="17"/>
  <c r="AO16" i="17"/>
  <c r="AO10" i="17"/>
  <c r="AO13" i="17" s="1"/>
  <c r="AO17" i="17"/>
  <c r="AO29" i="17"/>
  <c r="AN14" i="17"/>
  <c r="AN15" i="17"/>
  <c r="AN16" i="17"/>
  <c r="AN17" i="17"/>
  <c r="AN29" i="17"/>
  <c r="AM14" i="17"/>
  <c r="AM15" i="17"/>
  <c r="AM16" i="17"/>
  <c r="AM17" i="17"/>
  <c r="AM29" i="17"/>
  <c r="AL14" i="17"/>
  <c r="AL15" i="17"/>
  <c r="AL16" i="17"/>
  <c r="AL10" i="17"/>
  <c r="AL13" i="17" s="1"/>
  <c r="AL17" i="17"/>
  <c r="AL29" i="17"/>
  <c r="AK14" i="17"/>
  <c r="AK15" i="17"/>
  <c r="AK16" i="17"/>
  <c r="AK17" i="17"/>
  <c r="AK29" i="17"/>
  <c r="AJ14" i="17"/>
  <c r="AJ15" i="17"/>
  <c r="AJ16" i="17"/>
  <c r="AJ17" i="17"/>
  <c r="AJ29" i="17"/>
  <c r="AI14" i="17"/>
  <c r="AI15" i="17"/>
  <c r="AI16" i="17"/>
  <c r="AI10" i="17"/>
  <c r="AI13" i="17" s="1"/>
  <c r="AI17" i="17"/>
  <c r="AI29" i="17"/>
  <c r="AH14" i="17"/>
  <c r="AH15" i="17"/>
  <c r="AH16" i="17"/>
  <c r="AH10" i="17" s="1"/>
  <c r="AH13" i="17" s="1"/>
  <c r="AH17" i="17"/>
  <c r="AH29" i="17"/>
  <c r="AG14" i="17"/>
  <c r="AG15" i="17"/>
  <c r="AG16" i="17"/>
  <c r="AG10" i="17"/>
  <c r="AG13" i="17" s="1"/>
  <c r="AG17" i="17"/>
  <c r="AG29" i="17"/>
  <c r="AF14" i="17"/>
  <c r="AF15" i="17"/>
  <c r="AF16" i="17"/>
  <c r="AF17" i="17"/>
  <c r="AF29" i="17"/>
  <c r="AE14" i="17"/>
  <c r="AE15" i="17"/>
  <c r="AE16" i="17"/>
  <c r="AE17" i="17"/>
  <c r="AE29" i="17"/>
  <c r="AD14" i="17"/>
  <c r="AD10" i="17" s="1"/>
  <c r="AD13" i="17" s="1"/>
  <c r="AD15" i="17"/>
  <c r="AD16" i="17"/>
  <c r="AD17" i="17"/>
  <c r="AD29" i="17"/>
  <c r="AC14" i="17"/>
  <c r="AC10" i="17" s="1"/>
  <c r="AC13" i="17" s="1"/>
  <c r="AC15" i="17"/>
  <c r="AC16" i="17"/>
  <c r="AC17" i="17"/>
  <c r="AC29" i="17"/>
  <c r="AB14" i="17"/>
  <c r="AB15" i="17"/>
  <c r="AB16" i="17"/>
  <c r="AB17" i="17"/>
  <c r="AB29" i="17"/>
  <c r="AA14" i="17"/>
  <c r="AA15" i="17"/>
  <c r="AA16" i="17"/>
  <c r="AA10" i="17"/>
  <c r="AA13" i="17" s="1"/>
  <c r="AA17" i="17"/>
  <c r="AA29" i="17"/>
  <c r="Z14" i="17"/>
  <c r="Z15" i="17"/>
  <c r="Z16" i="17"/>
  <c r="Z10" i="17" s="1"/>
  <c r="Z13" i="17" s="1"/>
  <c r="Z17" i="17"/>
  <c r="Z29" i="17"/>
  <c r="Y14" i="17"/>
  <c r="Y15" i="17"/>
  <c r="Y16" i="17"/>
  <c r="Y10" i="17"/>
  <c r="Y13" i="17" s="1"/>
  <c r="Y17" i="17"/>
  <c r="Y29" i="17"/>
  <c r="X14" i="17"/>
  <c r="X15" i="17"/>
  <c r="X16" i="17"/>
  <c r="X17" i="17"/>
  <c r="X29" i="17"/>
  <c r="W14" i="17"/>
  <c r="W15" i="17"/>
  <c r="W16" i="17"/>
  <c r="W10" i="17"/>
  <c r="W13" i="17" s="1"/>
  <c r="W17" i="17"/>
  <c r="W29" i="17"/>
  <c r="V14" i="17"/>
  <c r="V10" i="17" s="1"/>
  <c r="V13" i="17" s="1"/>
  <c r="V15" i="17"/>
  <c r="V16" i="17"/>
  <c r="V17" i="17"/>
  <c r="V29" i="17"/>
  <c r="U14" i="17"/>
  <c r="U15" i="17"/>
  <c r="U16" i="17"/>
  <c r="U17" i="17"/>
  <c r="U29" i="17"/>
  <c r="T14" i="17"/>
  <c r="T15" i="17"/>
  <c r="T16" i="17"/>
  <c r="T17" i="17"/>
  <c r="T29" i="17"/>
  <c r="S14" i="17"/>
  <c r="S15" i="17"/>
  <c r="S16" i="17"/>
  <c r="S10" i="17"/>
  <c r="S13" i="17" s="1"/>
  <c r="S17" i="17"/>
  <c r="S29" i="17"/>
  <c r="R14" i="17"/>
  <c r="R15" i="17"/>
  <c r="R16" i="17"/>
  <c r="R10" i="17"/>
  <c r="R13" i="17" s="1"/>
  <c r="R17" i="17"/>
  <c r="R29" i="17"/>
  <c r="Q14" i="17"/>
  <c r="Q10" i="17" s="1"/>
  <c r="Q13" i="17" s="1"/>
  <c r="Q15" i="17"/>
  <c r="Q16" i="17"/>
  <c r="Q17" i="17"/>
  <c r="Q29" i="17"/>
  <c r="P14" i="17"/>
  <c r="P15" i="17"/>
  <c r="P16" i="17"/>
  <c r="P17" i="17"/>
  <c r="P29" i="17"/>
  <c r="O14" i="17"/>
  <c r="O15" i="17"/>
  <c r="O10" i="17" s="1"/>
  <c r="O13" i="17" s="1"/>
  <c r="O16" i="17"/>
  <c r="O17" i="17"/>
  <c r="O29" i="17"/>
  <c r="N14" i="17"/>
  <c r="N15" i="17"/>
  <c r="N16" i="17"/>
  <c r="N10" i="17"/>
  <c r="N13" i="17" s="1"/>
  <c r="N17" i="17"/>
  <c r="N29" i="17"/>
  <c r="M14" i="17"/>
  <c r="M15" i="17"/>
  <c r="M16" i="17"/>
  <c r="M17" i="17"/>
  <c r="M29" i="17"/>
  <c r="L14" i="17"/>
  <c r="L10" i="17" s="1"/>
  <c r="L13" i="17" s="1"/>
  <c r="L15" i="17"/>
  <c r="L16" i="17"/>
  <c r="L17" i="17"/>
  <c r="L29" i="17"/>
  <c r="K14" i="17"/>
  <c r="K15" i="17"/>
  <c r="K10" i="17" s="1"/>
  <c r="K13" i="17" s="1"/>
  <c r="K16" i="17"/>
  <c r="K17" i="17"/>
  <c r="K29" i="17"/>
  <c r="J14" i="17"/>
  <c r="J15" i="17"/>
  <c r="J16" i="17"/>
  <c r="J17" i="17"/>
  <c r="J29" i="17"/>
  <c r="I14" i="17"/>
  <c r="I15" i="17"/>
  <c r="I16" i="17"/>
  <c r="I10" i="17"/>
  <c r="I13" i="17" s="1"/>
  <c r="I17" i="17"/>
  <c r="I29" i="17"/>
  <c r="H14" i="17"/>
  <c r="H10" i="17" s="1"/>
  <c r="H13" i="17" s="1"/>
  <c r="H15" i="17"/>
  <c r="H16" i="17"/>
  <c r="H17" i="17"/>
  <c r="H29" i="17"/>
  <c r="G14" i="17"/>
  <c r="G10" i="17" s="1"/>
  <c r="G13" i="17" s="1"/>
  <c r="G15" i="17"/>
  <c r="G16" i="17"/>
  <c r="G17" i="17"/>
  <c r="G29" i="17"/>
  <c r="F14" i="17"/>
  <c r="F10" i="17" s="1"/>
  <c r="F13" i="17" s="1"/>
  <c r="F15" i="17"/>
  <c r="F16" i="17"/>
  <c r="F17" i="17"/>
  <c r="F29" i="17"/>
  <c r="E14" i="17"/>
  <c r="E15" i="17"/>
  <c r="E16" i="17"/>
  <c r="E10" i="17"/>
  <c r="E13" i="17" s="1"/>
  <c r="E17" i="17"/>
  <c r="E29" i="17"/>
  <c r="D14" i="17"/>
  <c r="D10" i="17" s="1"/>
  <c r="D15" i="17"/>
  <c r="D16" i="17"/>
  <c r="D17" i="17"/>
  <c r="D27" i="17"/>
  <c r="D29" i="17"/>
  <c r="E27" i="17" s="1"/>
  <c r="D30" i="17"/>
  <c r="B21" i="16"/>
  <c r="D21" i="16" s="1"/>
  <c r="D44" i="16" s="1"/>
  <c r="B21" i="17"/>
  <c r="B22" i="17" s="1"/>
  <c r="D22" i="17" s="1"/>
  <c r="D127" i="18"/>
  <c r="E127" i="18"/>
  <c r="F127" i="18"/>
  <c r="G127" i="18"/>
  <c r="H127" i="18"/>
  <c r="I127" i="18"/>
  <c r="J127" i="18"/>
  <c r="K127" i="18"/>
  <c r="L127" i="18"/>
  <c r="M127" i="18"/>
  <c r="N127" i="18"/>
  <c r="O127" i="18"/>
  <c r="P127" i="18"/>
  <c r="Q127" i="18"/>
  <c r="R127" i="18"/>
  <c r="S127" i="18"/>
  <c r="T127" i="18"/>
  <c r="U127" i="18"/>
  <c r="V127" i="18"/>
  <c r="W127" i="18"/>
  <c r="X127" i="18"/>
  <c r="Y127" i="18"/>
  <c r="Z127" i="18"/>
  <c r="AA127" i="18"/>
  <c r="AB127" i="18"/>
  <c r="AC127" i="18"/>
  <c r="AD127" i="18"/>
  <c r="AE127" i="18"/>
  <c r="AF127" i="18"/>
  <c r="AG127" i="18"/>
  <c r="AH127" i="18"/>
  <c r="AI127" i="18"/>
  <c r="AJ127" i="18"/>
  <c r="AK127" i="18"/>
  <c r="AL127" i="18"/>
  <c r="AM127" i="18"/>
  <c r="AN127" i="18"/>
  <c r="AO127" i="18"/>
  <c r="AP127" i="18"/>
  <c r="AQ127" i="18"/>
  <c r="AR127" i="18"/>
  <c r="AS127" i="18"/>
  <c r="AT127" i="18"/>
  <c r="AU127" i="18"/>
  <c r="AV127" i="18"/>
  <c r="AW127" i="18"/>
  <c r="AX127" i="18"/>
  <c r="C127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C122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C117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C112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C107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C102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C19" i="18"/>
  <c r="C28" i="18" s="1"/>
  <c r="D19" i="18"/>
  <c r="D28" i="18" s="1"/>
  <c r="E19" i="18"/>
  <c r="E28" i="18" s="1"/>
  <c r="F19" i="18"/>
  <c r="F28" i="18" s="1"/>
  <c r="G19" i="18"/>
  <c r="G28" i="18" s="1"/>
  <c r="H19" i="18"/>
  <c r="H28" i="18" s="1"/>
  <c r="I19" i="18"/>
  <c r="I28" i="18" s="1"/>
  <c r="J19" i="18"/>
  <c r="J28" i="18" s="1"/>
  <c r="K19" i="18"/>
  <c r="K28" i="18" s="1"/>
  <c r="L19" i="18"/>
  <c r="L28" i="18" s="1"/>
  <c r="M19" i="18"/>
  <c r="M28" i="18" s="1"/>
  <c r="N19" i="18"/>
  <c r="N28" i="18" s="1"/>
  <c r="C20" i="18"/>
  <c r="C29" i="18" s="1"/>
  <c r="D20" i="18"/>
  <c r="D29" i="18" s="1"/>
  <c r="E20" i="18"/>
  <c r="E29" i="18" s="1"/>
  <c r="F20" i="18"/>
  <c r="F29" i="18" s="1"/>
  <c r="G20" i="18"/>
  <c r="G29" i="18" s="1"/>
  <c r="H20" i="18"/>
  <c r="H29" i="18" s="1"/>
  <c r="I20" i="18"/>
  <c r="I29" i="18" s="1"/>
  <c r="J20" i="18"/>
  <c r="J29" i="18" s="1"/>
  <c r="K20" i="18"/>
  <c r="K29" i="18" s="1"/>
  <c r="L20" i="18"/>
  <c r="L29" i="18" s="1"/>
  <c r="M20" i="18"/>
  <c r="M29" i="18" s="1"/>
  <c r="N20" i="18"/>
  <c r="N29" i="18" s="1"/>
  <c r="C21" i="18"/>
  <c r="C30" i="18" s="1"/>
  <c r="D21" i="18"/>
  <c r="D30" i="18" s="1"/>
  <c r="E21" i="18"/>
  <c r="E30" i="18" s="1"/>
  <c r="F21" i="18"/>
  <c r="F30" i="18" s="1"/>
  <c r="G21" i="18"/>
  <c r="G30" i="18" s="1"/>
  <c r="H21" i="18"/>
  <c r="H30" i="18" s="1"/>
  <c r="I21" i="18"/>
  <c r="I30" i="18" s="1"/>
  <c r="J21" i="18"/>
  <c r="J30" i="18" s="1"/>
  <c r="K21" i="18"/>
  <c r="K30" i="18" s="1"/>
  <c r="L21" i="18"/>
  <c r="L30" i="18" s="1"/>
  <c r="M21" i="18"/>
  <c r="M30" i="18" s="1"/>
  <c r="N21" i="18"/>
  <c r="N30" i="18" s="1"/>
  <c r="C22" i="18"/>
  <c r="C31" i="18" s="1"/>
  <c r="D22" i="18"/>
  <c r="D31" i="18" s="1"/>
  <c r="E22" i="18"/>
  <c r="E31" i="18" s="1"/>
  <c r="F22" i="18"/>
  <c r="F31" i="18" s="1"/>
  <c r="G22" i="18"/>
  <c r="G31" i="18" s="1"/>
  <c r="H22" i="18"/>
  <c r="H31" i="18" s="1"/>
  <c r="I22" i="18"/>
  <c r="I31" i="18" s="1"/>
  <c r="J22" i="18"/>
  <c r="J31" i="18" s="1"/>
  <c r="K22" i="18"/>
  <c r="K31" i="18" s="1"/>
  <c r="L22" i="18"/>
  <c r="L31" i="18" s="1"/>
  <c r="M22" i="18"/>
  <c r="M31" i="18" s="1"/>
  <c r="N22" i="18"/>
  <c r="N31" i="18" s="1"/>
  <c r="C23" i="18"/>
  <c r="C32" i="18" s="1"/>
  <c r="D23" i="18"/>
  <c r="D32" i="18" s="1"/>
  <c r="E23" i="18"/>
  <c r="E32" i="18" s="1"/>
  <c r="F23" i="18"/>
  <c r="F32" i="18" s="1"/>
  <c r="G23" i="18"/>
  <c r="G32" i="18" s="1"/>
  <c r="H23" i="18"/>
  <c r="H32" i="18" s="1"/>
  <c r="I23" i="18"/>
  <c r="I32" i="18" s="1"/>
  <c r="J23" i="18"/>
  <c r="J32" i="18" s="1"/>
  <c r="K23" i="18"/>
  <c r="K32" i="18" s="1"/>
  <c r="L23" i="18"/>
  <c r="L32" i="18" s="1"/>
  <c r="M23" i="18"/>
  <c r="M32" i="18" s="1"/>
  <c r="N23" i="18"/>
  <c r="N32" i="18" s="1"/>
  <c r="C24" i="18"/>
  <c r="C33" i="18" s="1"/>
  <c r="D24" i="18"/>
  <c r="D33" i="18" s="1"/>
  <c r="E24" i="18"/>
  <c r="E33" i="18" s="1"/>
  <c r="F24" i="18"/>
  <c r="F33" i="18" s="1"/>
  <c r="G24" i="18"/>
  <c r="G33" i="18" s="1"/>
  <c r="H24" i="18"/>
  <c r="H33" i="18" s="1"/>
  <c r="I24" i="18"/>
  <c r="I33" i="18" s="1"/>
  <c r="J24" i="18"/>
  <c r="J33" i="18" s="1"/>
  <c r="K24" i="18"/>
  <c r="K33" i="18" s="1"/>
  <c r="L24" i="18"/>
  <c r="L33" i="18" s="1"/>
  <c r="M24" i="18"/>
  <c r="M33" i="18" s="1"/>
  <c r="N24" i="18"/>
  <c r="N33" i="18" s="1"/>
  <c r="I21" i="17" l="1"/>
  <c r="I22" i="17"/>
  <c r="AD21" i="17"/>
  <c r="AD22" i="17"/>
  <c r="E30" i="17"/>
  <c r="F27" i="17"/>
  <c r="F22" i="17"/>
  <c r="F21" i="17"/>
  <c r="G21" i="17"/>
  <c r="G22" i="17"/>
  <c r="W21" i="17"/>
  <c r="W22" i="17"/>
  <c r="AA21" i="17"/>
  <c r="AA22" i="17"/>
  <c r="AU22" i="17"/>
  <c r="AU21" i="17"/>
  <c r="Y21" i="16"/>
  <c r="H21" i="17"/>
  <c r="H22" i="17"/>
  <c r="J22" i="17"/>
  <c r="J21" i="17"/>
  <c r="H21" i="16"/>
  <c r="D50" i="16"/>
  <c r="Z21" i="17"/>
  <c r="Z22" i="17"/>
  <c r="G21" i="16"/>
  <c r="D24" i="17"/>
  <c r="D34" i="17"/>
  <c r="D40" i="17" s="1"/>
  <c r="D45" i="17"/>
  <c r="D51" i="17" s="1"/>
  <c r="D13" i="17"/>
  <c r="L22" i="17"/>
  <c r="L21" i="17"/>
  <c r="R21" i="17"/>
  <c r="R22" i="17"/>
  <c r="R23" i="16"/>
  <c r="R33" i="16"/>
  <c r="R44" i="16"/>
  <c r="P22" i="17"/>
  <c r="P21" i="17"/>
  <c r="M21" i="16"/>
  <c r="M21" i="17"/>
  <c r="M22" i="17"/>
  <c r="O21" i="17"/>
  <c r="O22" i="17"/>
  <c r="AE22" i="17"/>
  <c r="AE21" i="17"/>
  <c r="AM22" i="17"/>
  <c r="AM21" i="17"/>
  <c r="AT21" i="17"/>
  <c r="AT22" i="17"/>
  <c r="J21" i="16"/>
  <c r="AZ259" i="14"/>
  <c r="T22" i="17"/>
  <c r="T21" i="17"/>
  <c r="AH22" i="17"/>
  <c r="D39" i="16"/>
  <c r="W23" i="16"/>
  <c r="W44" i="16"/>
  <c r="W33" i="16"/>
  <c r="AT50" i="16"/>
  <c r="S22" i="17"/>
  <c r="AB22" i="17"/>
  <c r="AB21" i="17"/>
  <c r="AM10" i="17"/>
  <c r="AM13" i="17" s="1"/>
  <c r="AN10" i="17"/>
  <c r="AN13" i="17" s="1"/>
  <c r="F21" i="16"/>
  <c r="L21" i="16"/>
  <c r="B22" i="16"/>
  <c r="D21" i="17"/>
  <c r="J10" i="17"/>
  <c r="J13" i="17" s="1"/>
  <c r="S21" i="17"/>
  <c r="AH21" i="17"/>
  <c r="AK10" i="17"/>
  <c r="AK13" i="17" s="1"/>
  <c r="AP22" i="17"/>
  <c r="AQ21" i="17"/>
  <c r="AQ22" i="17"/>
  <c r="AY22" i="17"/>
  <c r="E27" i="16"/>
  <c r="D30" i="16"/>
  <c r="K21" i="16"/>
  <c r="O21" i="16"/>
  <c r="S21" i="16"/>
  <c r="Z22" i="16"/>
  <c r="AC21" i="16"/>
  <c r="AG21" i="16"/>
  <c r="AH22" i="16"/>
  <c r="AK21" i="16"/>
  <c r="AM21" i="16"/>
  <c r="AX24" i="16"/>
  <c r="AX34" i="16"/>
  <c r="AX45" i="16"/>
  <c r="AI21" i="17"/>
  <c r="AI22" i="17"/>
  <c r="AP21" i="17"/>
  <c r="AY21" i="17"/>
  <c r="AQ21" i="16"/>
  <c r="D23" i="16"/>
  <c r="P10" i="17"/>
  <c r="P13" i="17" s="1"/>
  <c r="U10" i="17"/>
  <c r="U13" i="17" s="1"/>
  <c r="X22" i="17"/>
  <c r="AR22" i="17"/>
  <c r="AR21" i="17"/>
  <c r="AW51" i="17"/>
  <c r="AW46" i="17"/>
  <c r="D13" i="16"/>
  <c r="V21" i="16"/>
  <c r="AI22" i="16"/>
  <c r="AT39" i="16"/>
  <c r="AZ17" i="17"/>
  <c r="M10" i="17"/>
  <c r="M13" i="17" s="1"/>
  <c r="T10" i="17"/>
  <c r="T13" i="17" s="1"/>
  <c r="X21" i="17"/>
  <c r="X10" i="17"/>
  <c r="X13" i="17" s="1"/>
  <c r="AE10" i="17"/>
  <c r="AE13" i="17" s="1"/>
  <c r="AF10" i="17"/>
  <c r="AF13" i="17" s="1"/>
  <c r="AJ22" i="17"/>
  <c r="AJ21" i="17"/>
  <c r="AU10" i="17"/>
  <c r="AU13" i="17" s="1"/>
  <c r="AV10" i="17"/>
  <c r="AV13" i="17" s="1"/>
  <c r="AW14" i="17" s="1"/>
  <c r="AW10" i="17" s="1"/>
  <c r="AW13" i="17" s="1"/>
  <c r="AW15" i="17"/>
  <c r="N21" i="16"/>
  <c r="N22" i="16"/>
  <c r="X35" i="16"/>
  <c r="X39" i="16"/>
  <c r="AA21" i="16"/>
  <c r="AE21" i="16"/>
  <c r="AF21" i="16"/>
  <c r="AI21" i="16"/>
  <c r="AJ21" i="16"/>
  <c r="H10" i="16"/>
  <c r="H13" i="16" s="1"/>
  <c r="P10" i="16"/>
  <c r="P13" i="16" s="1"/>
  <c r="U21" i="16"/>
  <c r="AN21" i="16"/>
  <c r="AB10" i="17"/>
  <c r="AB13" i="17" s="1"/>
  <c r="AJ10" i="17"/>
  <c r="AJ13" i="17" s="1"/>
  <c r="AR10" i="17"/>
  <c r="AR13" i="17" s="1"/>
  <c r="Z21" i="16"/>
  <c r="AD21" i="16"/>
  <c r="AH21" i="16"/>
  <c r="AL21" i="16"/>
  <c r="AT15" i="16"/>
  <c r="AS10" i="16"/>
  <c r="AS13" i="16" s="1"/>
  <c r="AT14" i="16" s="1"/>
  <c r="AT24" i="16"/>
  <c r="AT34" i="16"/>
  <c r="AT40" i="16" s="1"/>
  <c r="AT45" i="16"/>
  <c r="AT51" i="16" s="1"/>
  <c r="AY15" i="16"/>
  <c r="AX10" i="16"/>
  <c r="AX13" i="16" s="1"/>
  <c r="AY14" i="16" s="1"/>
  <c r="AY24" i="16"/>
  <c r="AY34" i="16"/>
  <c r="AY40" i="16" s="1"/>
  <c r="L260" i="15"/>
  <c r="AB260" i="15"/>
  <c r="AR260" i="15"/>
  <c r="L260" i="14"/>
  <c r="AB260" i="14"/>
  <c r="AR260" i="14"/>
  <c r="O10" i="16"/>
  <c r="O13" i="16" s="1"/>
  <c r="S10" i="16"/>
  <c r="S13" i="16" s="1"/>
  <c r="AA10" i="16"/>
  <c r="AA13" i="16" s="1"/>
  <c r="AO21" i="16"/>
  <c r="AO10" i="16"/>
  <c r="AO13" i="16" s="1"/>
  <c r="AR10" i="16"/>
  <c r="AR13" i="16" s="1"/>
  <c r="AV21" i="16"/>
  <c r="AY45" i="16"/>
  <c r="AY51" i="16" s="1"/>
  <c r="D260" i="15"/>
  <c r="BA14" i="15"/>
  <c r="T260" i="15"/>
  <c r="AJ260" i="15"/>
  <c r="D260" i="14"/>
  <c r="BA14" i="14"/>
  <c r="T260" i="14"/>
  <c r="AJ260" i="14"/>
  <c r="H8" i="19"/>
  <c r="S9" i="19"/>
  <c r="AY23" i="16"/>
  <c r="AY33" i="16"/>
  <c r="AY44" i="16"/>
  <c r="AQ10" i="16"/>
  <c r="AQ13" i="16" s="1"/>
  <c r="T43" i="19"/>
  <c r="AV10" i="16"/>
  <c r="AV13" i="16" s="1"/>
  <c r="G260" i="15"/>
  <c r="K260" i="15"/>
  <c r="O260" i="15"/>
  <c r="S260" i="15"/>
  <c r="W260" i="15"/>
  <c r="AA260" i="15"/>
  <c r="AE260" i="15"/>
  <c r="AI260" i="15"/>
  <c r="AM260" i="15"/>
  <c r="AQ260" i="15"/>
  <c r="AU260" i="15"/>
  <c r="AY260" i="15"/>
  <c r="G260" i="14"/>
  <c r="K260" i="14"/>
  <c r="O260" i="14"/>
  <c r="S260" i="14"/>
  <c r="W260" i="14"/>
  <c r="AA260" i="14"/>
  <c r="AE260" i="14"/>
  <c r="AI260" i="14"/>
  <c r="AM260" i="14"/>
  <c r="AQ260" i="14"/>
  <c r="AU260" i="14"/>
  <c r="AY260" i="14"/>
  <c r="S31" i="19"/>
  <c r="T32" i="19" s="1"/>
  <c r="S7" i="19"/>
  <c r="H7" i="19"/>
  <c r="S8" i="19"/>
  <c r="H9" i="19"/>
  <c r="S10" i="19"/>
  <c r="H10" i="19"/>
  <c r="Z23" i="16" l="1"/>
  <c r="Z33" i="16"/>
  <c r="Z44" i="16"/>
  <c r="U33" i="16"/>
  <c r="U44" i="16"/>
  <c r="U23" i="16"/>
  <c r="AE23" i="16"/>
  <c r="AE44" i="16"/>
  <c r="AE33" i="16"/>
  <c r="AF22" i="17"/>
  <c r="AF21" i="17"/>
  <c r="AI45" i="16"/>
  <c r="AI51" i="16" s="1"/>
  <c r="AI24" i="16"/>
  <c r="AI34" i="16"/>
  <c r="AI40" i="16" s="1"/>
  <c r="AR45" i="17"/>
  <c r="AR51" i="17" s="1"/>
  <c r="AR34" i="17"/>
  <c r="AR40" i="17" s="1"/>
  <c r="AR24" i="17"/>
  <c r="AY23" i="17"/>
  <c r="AY33" i="17"/>
  <c r="AY44" i="17"/>
  <c r="AM23" i="16"/>
  <c r="AM33" i="16"/>
  <c r="AM44" i="16"/>
  <c r="AH24" i="16"/>
  <c r="AH34" i="16"/>
  <c r="AH40" i="16" s="1"/>
  <c r="AH45" i="16"/>
  <c r="AH51" i="16" s="1"/>
  <c r="K23" i="16"/>
  <c r="K33" i="16"/>
  <c r="K44" i="16"/>
  <c r="AH33" i="17"/>
  <c r="AH44" i="17"/>
  <c r="AH23" i="17"/>
  <c r="D22" i="16"/>
  <c r="R22" i="16"/>
  <c r="AK22" i="16"/>
  <c r="AG22" i="16"/>
  <c r="AC22" i="16"/>
  <c r="L22" i="16"/>
  <c r="AT33" i="17"/>
  <c r="AT23" i="17"/>
  <c r="AT44" i="17"/>
  <c r="M44" i="17"/>
  <c r="M23" i="17"/>
  <c r="M33" i="17"/>
  <c r="R24" i="17"/>
  <c r="R34" i="17"/>
  <c r="R40" i="17" s="1"/>
  <c r="R45" i="17"/>
  <c r="R51" i="17" s="1"/>
  <c r="E21" i="17"/>
  <c r="E22" i="17"/>
  <c r="H33" i="16"/>
  <c r="H44" i="16"/>
  <c r="H23" i="16"/>
  <c r="AD24" i="17"/>
  <c r="AD34" i="17"/>
  <c r="AD40" i="17" s="1"/>
  <c r="AD45" i="17"/>
  <c r="AD51" i="17" s="1"/>
  <c r="AV44" i="16"/>
  <c r="AV23" i="16"/>
  <c r="AV33" i="16"/>
  <c r="S22" i="16"/>
  <c r="AN22" i="16"/>
  <c r="AI23" i="16"/>
  <c r="AI44" i="16"/>
  <c r="AI33" i="16"/>
  <c r="N23" i="16"/>
  <c r="N33" i="16"/>
  <c r="N44" i="16"/>
  <c r="AJ23" i="17"/>
  <c r="AJ33" i="17"/>
  <c r="AJ44" i="17"/>
  <c r="AX46" i="16"/>
  <c r="AX51" i="16"/>
  <c r="AG33" i="16"/>
  <c r="AG44" i="16"/>
  <c r="AG23" i="16"/>
  <c r="S23" i="17"/>
  <c r="S33" i="17"/>
  <c r="S44" i="17"/>
  <c r="F22" i="16"/>
  <c r="AT46" i="16"/>
  <c r="AH24" i="17"/>
  <c r="AH34" i="17"/>
  <c r="AH40" i="17" s="1"/>
  <c r="AH45" i="17"/>
  <c r="AH51" i="17" s="1"/>
  <c r="AM23" i="17"/>
  <c r="AM33" i="17"/>
  <c r="AM44" i="17"/>
  <c r="O24" i="17"/>
  <c r="O45" i="17"/>
  <c r="O51" i="17" s="1"/>
  <c r="O34" i="17"/>
  <c r="O40" i="17" s="1"/>
  <c r="R50" i="16"/>
  <c r="R33" i="17"/>
  <c r="R23" i="17"/>
  <c r="R44" i="17"/>
  <c r="AZ10" i="17"/>
  <c r="Z33" i="17"/>
  <c r="Z23" i="17"/>
  <c r="Z44" i="17"/>
  <c r="H22" i="16"/>
  <c r="H33" i="17"/>
  <c r="H23" i="17"/>
  <c r="H44" i="17"/>
  <c r="AU24" i="17"/>
  <c r="AU34" i="17"/>
  <c r="AU40" i="17" s="1"/>
  <c r="AU45" i="17"/>
  <c r="AU51" i="17" s="1"/>
  <c r="W23" i="17"/>
  <c r="W33" i="17"/>
  <c r="W44" i="17"/>
  <c r="AD33" i="17"/>
  <c r="AD23" i="17"/>
  <c r="AD44" i="17"/>
  <c r="T11" i="19"/>
  <c r="T45" i="19" s="1"/>
  <c r="AR21" i="16"/>
  <c r="AR22" i="16"/>
  <c r="AV22" i="16"/>
  <c r="AB21" i="16"/>
  <c r="AB22" i="16"/>
  <c r="AY10" i="16"/>
  <c r="AY13" i="16" s="1"/>
  <c r="AH23" i="16"/>
  <c r="AH33" i="16"/>
  <c r="AH44" i="16"/>
  <c r="AS21" i="17"/>
  <c r="AS22" i="17"/>
  <c r="AN44" i="16"/>
  <c r="AN33" i="16"/>
  <c r="AN23" i="16"/>
  <c r="I21" i="16"/>
  <c r="I22" i="16"/>
  <c r="AF22" i="16"/>
  <c r="AJ45" i="17"/>
  <c r="AJ51" i="17" s="1"/>
  <c r="AJ34" i="17"/>
  <c r="AJ40" i="17" s="1"/>
  <c r="AJ24" i="17"/>
  <c r="X33" i="17"/>
  <c r="X44" i="17"/>
  <c r="X23" i="17"/>
  <c r="AT35" i="16"/>
  <c r="V22" i="16"/>
  <c r="V21" i="17"/>
  <c r="V22" i="17"/>
  <c r="AQ23" i="16"/>
  <c r="AQ33" i="16"/>
  <c r="AQ44" i="16"/>
  <c r="AI34" i="17"/>
  <c r="AI40" i="17" s="1"/>
  <c r="AI24" i="17"/>
  <c r="AI45" i="17"/>
  <c r="AI51" i="17" s="1"/>
  <c r="AX40" i="16"/>
  <c r="AX35" i="16"/>
  <c r="AL22" i="16"/>
  <c r="AD22" i="16"/>
  <c r="O23" i="16"/>
  <c r="O33" i="16"/>
  <c r="O44" i="16"/>
  <c r="F27" i="16"/>
  <c r="E30" i="16"/>
  <c r="AP24" i="17"/>
  <c r="AP34" i="17"/>
  <c r="AP40" i="17" s="1"/>
  <c r="AP45" i="17"/>
  <c r="AP51" i="17" s="1"/>
  <c r="K22" i="17"/>
  <c r="K21" i="17"/>
  <c r="W22" i="16"/>
  <c r="F33" i="16"/>
  <c r="F44" i="16"/>
  <c r="F23" i="16"/>
  <c r="AB45" i="17"/>
  <c r="AB51" i="17" s="1"/>
  <c r="AB34" i="17"/>
  <c r="AB40" i="17" s="1"/>
  <c r="AB24" i="17"/>
  <c r="W39" i="16"/>
  <c r="T33" i="17"/>
  <c r="T23" i="17"/>
  <c r="T44" i="17"/>
  <c r="J33" i="16"/>
  <c r="J23" i="16"/>
  <c r="J44" i="16"/>
  <c r="AM24" i="17"/>
  <c r="AM34" i="17"/>
  <c r="AM40" i="17" s="1"/>
  <c r="AM45" i="17"/>
  <c r="AM51" i="17" s="1"/>
  <c r="O23" i="17"/>
  <c r="O44" i="17"/>
  <c r="O33" i="17"/>
  <c r="M44" i="16"/>
  <c r="M23" i="16"/>
  <c r="M33" i="16"/>
  <c r="R39" i="16"/>
  <c r="L33" i="17"/>
  <c r="L23" i="17"/>
  <c r="L44" i="17"/>
  <c r="G22" i="16"/>
  <c r="J33" i="17"/>
  <c r="J44" i="17"/>
  <c r="J23" i="17"/>
  <c r="Y22" i="16"/>
  <c r="AA24" i="17"/>
  <c r="AA45" i="17"/>
  <c r="AA51" i="17" s="1"/>
  <c r="AA34" i="17"/>
  <c r="AA40" i="17" s="1"/>
  <c r="G34" i="17"/>
  <c r="G40" i="17" s="1"/>
  <c r="G24" i="17"/>
  <c r="G45" i="17"/>
  <c r="G51" i="17" s="1"/>
  <c r="G27" i="17"/>
  <c r="F30" i="17"/>
  <c r="I34" i="17"/>
  <c r="I40" i="17" s="1"/>
  <c r="I24" i="17"/>
  <c r="I45" i="17"/>
  <c r="I51" i="17" s="1"/>
  <c r="AW21" i="16"/>
  <c r="AW22" i="16"/>
  <c r="AY39" i="16"/>
  <c r="AY35" i="16"/>
  <c r="AP21" i="16"/>
  <c r="AP22" i="16"/>
  <c r="P21" i="16"/>
  <c r="P22" i="16"/>
  <c r="AC21" i="17"/>
  <c r="AC22" i="17"/>
  <c r="AJ44" i="16"/>
  <c r="AJ23" i="16"/>
  <c r="AJ33" i="16"/>
  <c r="N24" i="16"/>
  <c r="N34" i="16"/>
  <c r="N40" i="16" s="1"/>
  <c r="N45" i="16"/>
  <c r="N51" i="16" s="1"/>
  <c r="AV22" i="17"/>
  <c r="AV21" i="17"/>
  <c r="N21" i="17"/>
  <c r="N22" i="17"/>
  <c r="E21" i="16"/>
  <c r="E22" i="16"/>
  <c r="Z24" i="16"/>
  <c r="Z34" i="16"/>
  <c r="Z40" i="16" s="1"/>
  <c r="Z45" i="16"/>
  <c r="Z51" i="16" s="1"/>
  <c r="AQ24" i="17"/>
  <c r="AQ45" i="17"/>
  <c r="AQ51" i="17" s="1"/>
  <c r="AQ34" i="17"/>
  <c r="AQ40" i="17" s="1"/>
  <c r="AN22" i="17"/>
  <c r="AN21" i="17"/>
  <c r="AE24" i="17"/>
  <c r="AE34" i="17"/>
  <c r="AE40" i="17" s="1"/>
  <c r="AE45" i="17"/>
  <c r="AE51" i="17" s="1"/>
  <c r="P45" i="17"/>
  <c r="P51" i="17" s="1"/>
  <c r="P24" i="17"/>
  <c r="P34" i="17"/>
  <c r="P40" i="17" s="1"/>
  <c r="Z24" i="17"/>
  <c r="Z34" i="17"/>
  <c r="Z40" i="17" s="1"/>
  <c r="Z45" i="17"/>
  <c r="Z51" i="17" s="1"/>
  <c r="H24" i="17"/>
  <c r="H34" i="17"/>
  <c r="H40" i="17" s="1"/>
  <c r="H45" i="17"/>
  <c r="H51" i="17" s="1"/>
  <c r="AU23" i="17"/>
  <c r="AU44" i="17"/>
  <c r="AU33" i="17"/>
  <c r="W45" i="17"/>
  <c r="W51" i="17" s="1"/>
  <c r="W34" i="17"/>
  <c r="W40" i="17" s="1"/>
  <c r="W24" i="17"/>
  <c r="F33" i="17"/>
  <c r="F44" i="17"/>
  <c r="F23" i="17"/>
  <c r="AO33" i="16"/>
  <c r="AO44" i="16"/>
  <c r="AO23" i="16"/>
  <c r="AO22" i="16"/>
  <c r="AL23" i="16"/>
  <c r="AL33" i="16"/>
  <c r="AL44" i="16"/>
  <c r="Q21" i="16"/>
  <c r="Q22" i="16"/>
  <c r="AA23" i="16"/>
  <c r="AA44" i="16"/>
  <c r="AA33" i="16"/>
  <c r="Y21" i="17"/>
  <c r="Y22" i="17"/>
  <c r="AA22" i="16"/>
  <c r="X45" i="17"/>
  <c r="X51" i="17" s="1"/>
  <c r="X24" i="17"/>
  <c r="X34" i="17"/>
  <c r="X40" i="17" s="1"/>
  <c r="AP33" i="17"/>
  <c r="AP44" i="17"/>
  <c r="AP23" i="17"/>
  <c r="AM22" i="16"/>
  <c r="S23" i="16"/>
  <c r="S44" i="16"/>
  <c r="S33" i="16"/>
  <c r="AQ23" i="17"/>
  <c r="AQ33" i="17"/>
  <c r="AQ44" i="17"/>
  <c r="AE22" i="16"/>
  <c r="AB33" i="17"/>
  <c r="AB44" i="17"/>
  <c r="AB23" i="17"/>
  <c r="K22" i="16"/>
  <c r="J22" i="16"/>
  <c r="M22" i="16"/>
  <c r="F45" i="17"/>
  <c r="F51" i="17" s="1"/>
  <c r="F24" i="17"/>
  <c r="F34" i="17"/>
  <c r="F40" i="17" s="1"/>
  <c r="AY46" i="16"/>
  <c r="AY50" i="16"/>
  <c r="AZ260" i="14"/>
  <c r="AZ260" i="15"/>
  <c r="AS21" i="16"/>
  <c r="AS22" i="16"/>
  <c r="T21" i="16"/>
  <c r="T22" i="16"/>
  <c r="AT10" i="16"/>
  <c r="AT13" i="16" s="1"/>
  <c r="AD23" i="16"/>
  <c r="AD33" i="16"/>
  <c r="AD44" i="16"/>
  <c r="AK21" i="17"/>
  <c r="AK22" i="17"/>
  <c r="U22" i="16"/>
  <c r="AJ22" i="16"/>
  <c r="AF44" i="16"/>
  <c r="AF23" i="16"/>
  <c r="AF33" i="16"/>
  <c r="AX22" i="17"/>
  <c r="AX21" i="17"/>
  <c r="AG21" i="17"/>
  <c r="AG22" i="17"/>
  <c r="U21" i="17"/>
  <c r="U22" i="17"/>
  <c r="V23" i="16"/>
  <c r="V33" i="16"/>
  <c r="V44" i="16"/>
  <c r="AR33" i="17"/>
  <c r="AR44" i="17"/>
  <c r="AR23" i="17"/>
  <c r="Q21" i="17"/>
  <c r="Q22" i="17"/>
  <c r="AQ22" i="16"/>
  <c r="AI23" i="17"/>
  <c r="AI33" i="17"/>
  <c r="AI44" i="17"/>
  <c r="AK33" i="16"/>
  <c r="AK44" i="16"/>
  <c r="AK23" i="16"/>
  <c r="AC33" i="16"/>
  <c r="AC44" i="16"/>
  <c r="AC23" i="16"/>
  <c r="O22" i="16"/>
  <c r="AY24" i="17"/>
  <c r="AY34" i="17"/>
  <c r="AY40" i="17" s="1"/>
  <c r="AY45" i="17"/>
  <c r="AY51" i="17" s="1"/>
  <c r="AL21" i="17"/>
  <c r="AL22" i="17"/>
  <c r="D33" i="17"/>
  <c r="D44" i="17"/>
  <c r="D23" i="17"/>
  <c r="L23" i="16"/>
  <c r="L44" i="16"/>
  <c r="L33" i="16"/>
  <c r="AO21" i="17"/>
  <c r="AO22" i="17"/>
  <c r="S45" i="17"/>
  <c r="S51" i="17" s="1"/>
  <c r="S24" i="17"/>
  <c r="S34" i="17"/>
  <c r="S40" i="17" s="1"/>
  <c r="W50" i="16"/>
  <c r="T45" i="17"/>
  <c r="T51" i="17" s="1"/>
  <c r="T34" i="17"/>
  <c r="T40" i="17" s="1"/>
  <c r="T24" i="17"/>
  <c r="AT24" i="17"/>
  <c r="AT34" i="17"/>
  <c r="AT40" i="17" s="1"/>
  <c r="AT45" i="17"/>
  <c r="AT51" i="17" s="1"/>
  <c r="AE23" i="17"/>
  <c r="AE44" i="17"/>
  <c r="AE33" i="17"/>
  <c r="M34" i="17"/>
  <c r="M40" i="17" s="1"/>
  <c r="M45" i="17"/>
  <c r="M51" i="17" s="1"/>
  <c r="M24" i="17"/>
  <c r="P33" i="17"/>
  <c r="P44" i="17"/>
  <c r="P23" i="17"/>
  <c r="L45" i="17"/>
  <c r="L51" i="17" s="1"/>
  <c r="L24" i="17"/>
  <c r="L34" i="17"/>
  <c r="L40" i="17" s="1"/>
  <c r="G23" i="16"/>
  <c r="G44" i="16"/>
  <c r="G33" i="16"/>
  <c r="J45" i="17"/>
  <c r="J51" i="17" s="1"/>
  <c r="J24" i="17"/>
  <c r="J34" i="17"/>
  <c r="J40" i="17" s="1"/>
  <c r="Y33" i="16"/>
  <c r="Y44" i="16"/>
  <c r="Y23" i="16"/>
  <c r="AA23" i="17"/>
  <c r="AA33" i="17"/>
  <c r="AA44" i="17"/>
  <c r="G44" i="17"/>
  <c r="G33" i="17"/>
  <c r="G23" i="17"/>
  <c r="I23" i="17"/>
  <c r="I33" i="17"/>
  <c r="I44" i="17"/>
  <c r="Y39" i="16" l="1"/>
  <c r="AE39" i="17"/>
  <c r="AE35" i="17"/>
  <c r="D50" i="17"/>
  <c r="D46" i="17"/>
  <c r="O45" i="16"/>
  <c r="O51" i="16" s="1"/>
  <c r="O24" i="16"/>
  <c r="O34" i="16"/>
  <c r="O40" i="16" s="1"/>
  <c r="Q44" i="17"/>
  <c r="Q23" i="17"/>
  <c r="Q33" i="17"/>
  <c r="U44" i="17"/>
  <c r="U23" i="17"/>
  <c r="U33" i="17"/>
  <c r="AJ34" i="16"/>
  <c r="AJ40" i="16" s="1"/>
  <c r="AJ45" i="16"/>
  <c r="AJ51" i="16" s="1"/>
  <c r="AJ24" i="16"/>
  <c r="AD50" i="16"/>
  <c r="T34" i="16"/>
  <c r="T40" i="16" s="1"/>
  <c r="T45" i="16"/>
  <c r="T51" i="16" s="1"/>
  <c r="T24" i="16"/>
  <c r="AB35" i="17"/>
  <c r="AB39" i="17"/>
  <c r="AO50" i="16"/>
  <c r="AO46" i="16"/>
  <c r="AU39" i="17"/>
  <c r="AU35" i="17"/>
  <c r="N33" i="17"/>
  <c r="N44" i="17"/>
  <c r="N23" i="17"/>
  <c r="P44" i="16"/>
  <c r="P23" i="16"/>
  <c r="P33" i="16"/>
  <c r="M39" i="16"/>
  <c r="O50" i="16"/>
  <c r="I34" i="16"/>
  <c r="I40" i="16" s="1"/>
  <c r="I24" i="16"/>
  <c r="I45" i="16"/>
  <c r="I51" i="16" s="1"/>
  <c r="AN50" i="16"/>
  <c r="AH39" i="16"/>
  <c r="AH35" i="16"/>
  <c r="AB44" i="16"/>
  <c r="AB23" i="16"/>
  <c r="AB33" i="16"/>
  <c r="W46" i="17"/>
  <c r="W50" i="17"/>
  <c r="H35" i="17"/>
  <c r="H39" i="17"/>
  <c r="AN34" i="16"/>
  <c r="AN40" i="16" s="1"/>
  <c r="AN24" i="16"/>
  <c r="AN45" i="16"/>
  <c r="AN51" i="16" s="1"/>
  <c r="E23" i="17"/>
  <c r="E33" i="17"/>
  <c r="E44" i="17"/>
  <c r="M39" i="17"/>
  <c r="M35" i="17"/>
  <c r="K39" i="16"/>
  <c r="K35" i="16"/>
  <c r="AE46" i="16"/>
  <c r="AE50" i="16"/>
  <c r="I46" i="17"/>
  <c r="I50" i="17"/>
  <c r="G50" i="16"/>
  <c r="AK50" i="16"/>
  <c r="AK46" i="16"/>
  <c r="AG34" i="17"/>
  <c r="AG40" i="17" s="1"/>
  <c r="AG24" i="17"/>
  <c r="AG45" i="17"/>
  <c r="AG51" i="17" s="1"/>
  <c r="U24" i="16"/>
  <c r="U34" i="16"/>
  <c r="U40" i="16" s="1"/>
  <c r="U45" i="16"/>
  <c r="U51" i="16" s="1"/>
  <c r="AD39" i="16"/>
  <c r="AD35" i="16"/>
  <c r="T44" i="16"/>
  <c r="T23" i="16"/>
  <c r="T33" i="16"/>
  <c r="AE45" i="16"/>
  <c r="AE51" i="16" s="1"/>
  <c r="AE24" i="16"/>
  <c r="AE34" i="16"/>
  <c r="AE40" i="16" s="1"/>
  <c r="Y44" i="17"/>
  <c r="Y23" i="17"/>
  <c r="Y33" i="17"/>
  <c r="AO39" i="16"/>
  <c r="AU46" i="17"/>
  <c r="AU50" i="17"/>
  <c r="AN45" i="17"/>
  <c r="AN51" i="17" s="1"/>
  <c r="AN24" i="17"/>
  <c r="AN34" i="17"/>
  <c r="AN40" i="17" s="1"/>
  <c r="E34" i="16"/>
  <c r="E40" i="16" s="1"/>
  <c r="E45" i="16"/>
  <c r="E51" i="16" s="1"/>
  <c r="E24" i="16"/>
  <c r="AP34" i="16"/>
  <c r="AP40" i="16" s="1"/>
  <c r="AP45" i="16"/>
  <c r="AP51" i="16" s="1"/>
  <c r="AP24" i="16"/>
  <c r="L35" i="17"/>
  <c r="L39" i="17"/>
  <c r="J50" i="16"/>
  <c r="V24" i="17"/>
  <c r="V45" i="17"/>
  <c r="V51" i="17" s="1"/>
  <c r="V34" i="17"/>
  <c r="V40" i="17" s="1"/>
  <c r="AS34" i="17"/>
  <c r="AS40" i="17" s="1"/>
  <c r="AS45" i="17"/>
  <c r="AS51" i="17" s="1"/>
  <c r="AS24" i="17"/>
  <c r="AD50" i="17"/>
  <c r="AD46" i="17"/>
  <c r="W39" i="17"/>
  <c r="W35" i="17"/>
  <c r="H45" i="16"/>
  <c r="H51" i="16" s="1"/>
  <c r="H24" i="16"/>
  <c r="H34" i="16"/>
  <c r="H40" i="16" s="1"/>
  <c r="F24" i="16"/>
  <c r="F45" i="16"/>
  <c r="F51" i="16" s="1"/>
  <c r="F34" i="16"/>
  <c r="F40" i="16" s="1"/>
  <c r="AI35" i="16"/>
  <c r="AI39" i="16"/>
  <c r="AK24" i="16"/>
  <c r="AK34" i="16"/>
  <c r="AK40" i="16" s="1"/>
  <c r="AK45" i="16"/>
  <c r="AK51" i="16" s="1"/>
  <c r="AH50" i="17"/>
  <c r="AH46" i="17"/>
  <c r="AM50" i="16"/>
  <c r="AY39" i="17"/>
  <c r="AY35" i="17"/>
  <c r="AF23" i="17"/>
  <c r="AF33" i="17"/>
  <c r="AF44" i="17"/>
  <c r="Z46" i="16"/>
  <c r="Z50" i="16"/>
  <c r="I39" i="17"/>
  <c r="I35" i="17"/>
  <c r="G46" i="17"/>
  <c r="G50" i="17"/>
  <c r="AO34" i="17"/>
  <c r="AO40" i="17" s="1"/>
  <c r="AO24" i="17"/>
  <c r="AO45" i="17"/>
  <c r="AO51" i="17" s="1"/>
  <c r="AZ21" i="17"/>
  <c r="AC50" i="16"/>
  <c r="AK39" i="16"/>
  <c r="AK35" i="16"/>
  <c r="AQ45" i="16"/>
  <c r="AQ51" i="16" s="1"/>
  <c r="AQ34" i="16"/>
  <c r="AQ40" i="16" s="1"/>
  <c r="AQ24" i="16"/>
  <c r="AR46" i="17"/>
  <c r="AR50" i="17"/>
  <c r="AG44" i="17"/>
  <c r="AG33" i="17"/>
  <c r="AG23" i="17"/>
  <c r="AK34" i="17"/>
  <c r="AK40" i="17" s="1"/>
  <c r="AK45" i="17"/>
  <c r="AK51" i="17" s="1"/>
  <c r="AK24" i="17"/>
  <c r="AS24" i="16"/>
  <c r="AS45" i="16"/>
  <c r="AS51" i="16" s="1"/>
  <c r="AS34" i="16"/>
  <c r="AS40" i="16" s="1"/>
  <c r="AQ46" i="17"/>
  <c r="AQ50" i="17"/>
  <c r="S50" i="16"/>
  <c r="AP50" i="17"/>
  <c r="AP46" i="17"/>
  <c r="AA39" i="16"/>
  <c r="Q33" i="16"/>
  <c r="Q44" i="16"/>
  <c r="Q23" i="16"/>
  <c r="AO24" i="16"/>
  <c r="AO34" i="16"/>
  <c r="AO40" i="16" s="1"/>
  <c r="AO45" i="16"/>
  <c r="AO51" i="16" s="1"/>
  <c r="E44" i="16"/>
  <c r="E23" i="16"/>
  <c r="E33" i="16"/>
  <c r="AV45" i="17"/>
  <c r="AV51" i="17" s="1"/>
  <c r="AV24" i="17"/>
  <c r="AV34" i="17"/>
  <c r="AV40" i="17" s="1"/>
  <c r="AJ39" i="16"/>
  <c r="AC44" i="17"/>
  <c r="AC23" i="17"/>
  <c r="AC33" i="17"/>
  <c r="AP23" i="16"/>
  <c r="AP33" i="16"/>
  <c r="AP44" i="16"/>
  <c r="AW44" i="16"/>
  <c r="AW33" i="16"/>
  <c r="AW23" i="16"/>
  <c r="Y24" i="16"/>
  <c r="Y34" i="16"/>
  <c r="Y40" i="16" s="1"/>
  <c r="Y45" i="16"/>
  <c r="Y51" i="16" s="1"/>
  <c r="G45" i="16"/>
  <c r="G51" i="16" s="1"/>
  <c r="G34" i="16"/>
  <c r="G40" i="16" s="1"/>
  <c r="G24" i="16"/>
  <c r="M46" i="16"/>
  <c r="M50" i="16"/>
  <c r="T35" i="17"/>
  <c r="T39" i="17"/>
  <c r="F50" i="16"/>
  <c r="F46" i="16"/>
  <c r="K24" i="17"/>
  <c r="K45" i="17"/>
  <c r="K51" i="17" s="1"/>
  <c r="K34" i="17"/>
  <c r="K40" i="17" s="1"/>
  <c r="AQ46" i="16"/>
  <c r="AQ50" i="16"/>
  <c r="V33" i="17"/>
  <c r="V23" i="17"/>
  <c r="V44" i="17"/>
  <c r="X46" i="17"/>
  <c r="X50" i="17"/>
  <c r="AS44" i="17"/>
  <c r="AS23" i="17"/>
  <c r="AS33" i="17"/>
  <c r="AR34" i="16"/>
  <c r="AR40" i="16" s="1"/>
  <c r="AR45" i="16"/>
  <c r="AR51" i="16" s="1"/>
  <c r="AR24" i="16"/>
  <c r="H50" i="17"/>
  <c r="H46" i="17"/>
  <c r="Z50" i="17"/>
  <c r="Z46" i="17"/>
  <c r="R50" i="17"/>
  <c r="R46" i="17"/>
  <c r="AM46" i="17"/>
  <c r="AM50" i="17"/>
  <c r="S46" i="17"/>
  <c r="S50" i="17"/>
  <c r="N50" i="16"/>
  <c r="N46" i="16"/>
  <c r="AI46" i="16"/>
  <c r="AI50" i="16"/>
  <c r="AV35" i="16"/>
  <c r="AV39" i="16"/>
  <c r="H35" i="16"/>
  <c r="H39" i="16"/>
  <c r="M46" i="17"/>
  <c r="M50" i="17"/>
  <c r="L45" i="16"/>
  <c r="L51" i="16" s="1"/>
  <c r="L34" i="16"/>
  <c r="L40" i="16" s="1"/>
  <c r="L24" i="16"/>
  <c r="R24" i="16"/>
  <c r="R34" i="16"/>
  <c r="R45" i="16"/>
  <c r="AH35" i="17"/>
  <c r="AH39" i="17"/>
  <c r="AM39" i="16"/>
  <c r="AF45" i="17"/>
  <c r="AF51" i="17" s="1"/>
  <c r="AF24" i="17"/>
  <c r="AF34" i="17"/>
  <c r="AF40" i="17" s="1"/>
  <c r="Z39" i="16"/>
  <c r="Z35" i="16"/>
  <c r="AA39" i="17"/>
  <c r="AA35" i="17"/>
  <c r="G39" i="16"/>
  <c r="G35" i="16"/>
  <c r="P35" i="17"/>
  <c r="P39" i="17"/>
  <c r="L35" i="16"/>
  <c r="L39" i="16"/>
  <c r="AL33" i="17"/>
  <c r="AL23" i="17"/>
  <c r="AL44" i="17"/>
  <c r="AI39" i="17"/>
  <c r="AI35" i="17"/>
  <c r="V50" i="16"/>
  <c r="AX24" i="17"/>
  <c r="AX34" i="17"/>
  <c r="AX40" i="17" s="1"/>
  <c r="AX45" i="17"/>
  <c r="AX51" i="17" s="1"/>
  <c r="J24" i="16"/>
  <c r="J34" i="16"/>
  <c r="J40" i="16" s="1"/>
  <c r="J45" i="16"/>
  <c r="J51" i="16" s="1"/>
  <c r="AM45" i="16"/>
  <c r="AM51" i="16" s="1"/>
  <c r="AM24" i="16"/>
  <c r="AM34" i="16"/>
  <c r="AM40" i="16" s="1"/>
  <c r="Y34" i="17"/>
  <c r="Y40" i="17" s="1"/>
  <c r="Y24" i="17"/>
  <c r="Y45" i="17"/>
  <c r="Y51" i="17" s="1"/>
  <c r="AL39" i="16"/>
  <c r="AL35" i="16"/>
  <c r="F35" i="17"/>
  <c r="F39" i="17"/>
  <c r="AN23" i="17"/>
  <c r="AN33" i="17"/>
  <c r="AN44" i="17"/>
  <c r="AJ50" i="16"/>
  <c r="AJ46" i="16"/>
  <c r="J46" i="17"/>
  <c r="J50" i="17"/>
  <c r="O46" i="17"/>
  <c r="O50" i="17"/>
  <c r="T50" i="17"/>
  <c r="T46" i="17"/>
  <c r="W45" i="16"/>
  <c r="W24" i="16"/>
  <c r="W34" i="16"/>
  <c r="AL24" i="16"/>
  <c r="AL34" i="16"/>
  <c r="AL40" i="16" s="1"/>
  <c r="AL45" i="16"/>
  <c r="AL51" i="16" s="1"/>
  <c r="Z39" i="17"/>
  <c r="Z35" i="17"/>
  <c r="R39" i="17"/>
  <c r="R35" i="17"/>
  <c r="AG39" i="16"/>
  <c r="AJ35" i="17"/>
  <c r="AJ39" i="17"/>
  <c r="AV50" i="16"/>
  <c r="AG24" i="16"/>
  <c r="AG34" i="16"/>
  <c r="AG40" i="16" s="1"/>
  <c r="AG45" i="16"/>
  <c r="AG51" i="16" s="1"/>
  <c r="AY46" i="17"/>
  <c r="AY50" i="17"/>
  <c r="U39" i="16"/>
  <c r="U35" i="16"/>
  <c r="G35" i="17"/>
  <c r="G39" i="17"/>
  <c r="AE46" i="17"/>
  <c r="AE50" i="17"/>
  <c r="L50" i="16"/>
  <c r="L46" i="16"/>
  <c r="D35" i="17"/>
  <c r="D39" i="17"/>
  <c r="V39" i="16"/>
  <c r="AF39" i="16"/>
  <c r="K24" i="16"/>
  <c r="K34" i="16"/>
  <c r="K40" i="16" s="1"/>
  <c r="K45" i="16"/>
  <c r="K51" i="16" s="1"/>
  <c r="S35" i="16"/>
  <c r="S39" i="16"/>
  <c r="Q24" i="16"/>
  <c r="Q34" i="16"/>
  <c r="Q40" i="16" s="1"/>
  <c r="Q45" i="16"/>
  <c r="Q51" i="16" s="1"/>
  <c r="AV23" i="17"/>
  <c r="AV33" i="17"/>
  <c r="AV44" i="17"/>
  <c r="AC34" i="17"/>
  <c r="AC40" i="17" s="1"/>
  <c r="AC45" i="17"/>
  <c r="AC51" i="17" s="1"/>
  <c r="AC24" i="17"/>
  <c r="AW34" i="16"/>
  <c r="AW40" i="16" s="1"/>
  <c r="AW45" i="16"/>
  <c r="AW51" i="16" s="1"/>
  <c r="AW24" i="16"/>
  <c r="J35" i="17"/>
  <c r="J39" i="17"/>
  <c r="K23" i="17"/>
  <c r="AZ23" i="17" s="1"/>
  <c r="K33" i="17"/>
  <c r="K44" i="17"/>
  <c r="O35" i="16"/>
  <c r="O39" i="16"/>
  <c r="I44" i="16"/>
  <c r="I23" i="16"/>
  <c r="I33" i="16"/>
  <c r="AV45" i="16"/>
  <c r="AV51" i="16" s="1"/>
  <c r="AV34" i="16"/>
  <c r="AV40" i="16" s="1"/>
  <c r="AV24" i="16"/>
  <c r="S45" i="16"/>
  <c r="S51" i="16" s="1"/>
  <c r="S24" i="16"/>
  <c r="S34" i="16"/>
  <c r="S40" i="16" s="1"/>
  <c r="H50" i="16"/>
  <c r="AT35" i="17"/>
  <c r="AT39" i="17"/>
  <c r="AA46" i="17"/>
  <c r="AA50" i="17"/>
  <c r="Y50" i="16"/>
  <c r="P46" i="17"/>
  <c r="P50" i="17"/>
  <c r="AO44" i="17"/>
  <c r="AO23" i="17"/>
  <c r="AO33" i="17"/>
  <c r="AL24" i="17"/>
  <c r="AL45" i="17"/>
  <c r="AL51" i="17" s="1"/>
  <c r="AL34" i="17"/>
  <c r="AL40" i="17" s="1"/>
  <c r="AC39" i="16"/>
  <c r="AC35" i="16"/>
  <c r="AI46" i="17"/>
  <c r="AI50" i="17"/>
  <c r="Q34" i="17"/>
  <c r="Q40" i="17" s="1"/>
  <c r="Q45" i="17"/>
  <c r="Q51" i="17" s="1"/>
  <c r="Q24" i="17"/>
  <c r="AR35" i="17"/>
  <c r="AR39" i="17"/>
  <c r="U34" i="17"/>
  <c r="U40" i="17" s="1"/>
  <c r="U45" i="17"/>
  <c r="U51" i="17" s="1"/>
  <c r="U24" i="17"/>
  <c r="AX33" i="17"/>
  <c r="AX23" i="17"/>
  <c r="AX44" i="17"/>
  <c r="AF50" i="16"/>
  <c r="AK44" i="17"/>
  <c r="AK23" i="17"/>
  <c r="AK33" i="17"/>
  <c r="AU21" i="16"/>
  <c r="AU22" i="16"/>
  <c r="AS33" i="16"/>
  <c r="AS23" i="16"/>
  <c r="AS44" i="16"/>
  <c r="M34" i="16"/>
  <c r="M40" i="16" s="1"/>
  <c r="M45" i="16"/>
  <c r="M51" i="16" s="1"/>
  <c r="M24" i="16"/>
  <c r="AB46" i="17"/>
  <c r="AB50" i="17"/>
  <c r="AQ39" i="17"/>
  <c r="AQ35" i="17"/>
  <c r="AP35" i="17"/>
  <c r="AP39" i="17"/>
  <c r="AA45" i="16"/>
  <c r="AA51" i="16" s="1"/>
  <c r="AA24" i="16"/>
  <c r="AA34" i="16"/>
  <c r="AA40" i="16" s="1"/>
  <c r="AA46" i="16"/>
  <c r="AA50" i="16"/>
  <c r="AL50" i="16"/>
  <c r="F50" i="17"/>
  <c r="F46" i="17"/>
  <c r="N24" i="17"/>
  <c r="N45" i="17"/>
  <c r="N51" i="17" s="1"/>
  <c r="N34" i="17"/>
  <c r="N40" i="17" s="1"/>
  <c r="P34" i="16"/>
  <c r="P40" i="16" s="1"/>
  <c r="P45" i="16"/>
  <c r="P51" i="16" s="1"/>
  <c r="P24" i="16"/>
  <c r="G30" i="17"/>
  <c r="H27" i="17"/>
  <c r="L50" i="17"/>
  <c r="L46" i="17"/>
  <c r="O39" i="17"/>
  <c r="O35" i="17"/>
  <c r="J39" i="16"/>
  <c r="AZ10" i="16"/>
  <c r="F39" i="16"/>
  <c r="F35" i="16"/>
  <c r="G27" i="16"/>
  <c r="F30" i="16"/>
  <c r="AD24" i="16"/>
  <c r="AD34" i="16"/>
  <c r="AD40" i="16" s="1"/>
  <c r="AD45" i="16"/>
  <c r="AD51" i="16" s="1"/>
  <c r="AQ35" i="16"/>
  <c r="AQ39" i="16"/>
  <c r="V24" i="16"/>
  <c r="V34" i="16"/>
  <c r="V40" i="16" s="1"/>
  <c r="V45" i="16"/>
  <c r="V51" i="16" s="1"/>
  <c r="X35" i="17"/>
  <c r="X39" i="17"/>
  <c r="AF34" i="16"/>
  <c r="AF40" i="16" s="1"/>
  <c r="AF45" i="16"/>
  <c r="AF51" i="16" s="1"/>
  <c r="AF24" i="16"/>
  <c r="AN35" i="16"/>
  <c r="AN39" i="16"/>
  <c r="AH46" i="16"/>
  <c r="AH50" i="16"/>
  <c r="AB34" i="16"/>
  <c r="AB40" i="16" s="1"/>
  <c r="AB45" i="16"/>
  <c r="AB51" i="16" s="1"/>
  <c r="AB24" i="16"/>
  <c r="AR44" i="16"/>
  <c r="AR23" i="16"/>
  <c r="AR33" i="16"/>
  <c r="AD35" i="17"/>
  <c r="AD39" i="17"/>
  <c r="AM39" i="17"/>
  <c r="AM35" i="17"/>
  <c r="S39" i="17"/>
  <c r="S35" i="17"/>
  <c r="AG50" i="16"/>
  <c r="AJ46" i="17"/>
  <c r="AJ50" i="17"/>
  <c r="N39" i="16"/>
  <c r="N35" i="16"/>
  <c r="E34" i="17"/>
  <c r="E40" i="17" s="1"/>
  <c r="E24" i="17"/>
  <c r="E45" i="17"/>
  <c r="E51" i="17" s="1"/>
  <c r="AZ22" i="17"/>
  <c r="AT50" i="17"/>
  <c r="AT46" i="17"/>
  <c r="AC24" i="16"/>
  <c r="AC34" i="16"/>
  <c r="AC40" i="16" s="1"/>
  <c r="AC45" i="16"/>
  <c r="AC51" i="16" s="1"/>
  <c r="D45" i="16"/>
  <c r="D24" i="16"/>
  <c r="D34" i="16"/>
  <c r="K50" i="16"/>
  <c r="AE35" i="16"/>
  <c r="AE39" i="16"/>
  <c r="U50" i="16"/>
  <c r="U46" i="16"/>
  <c r="AK46" i="17" l="1"/>
  <c r="AK50" i="17"/>
  <c r="AO46" i="17"/>
  <c r="AO50" i="17"/>
  <c r="W40" i="16"/>
  <c r="W35" i="16"/>
  <c r="V50" i="17"/>
  <c r="V46" i="17"/>
  <c r="AP46" i="16"/>
  <c r="AP50" i="16"/>
  <c r="E35" i="16"/>
  <c r="E39" i="16"/>
  <c r="Q35" i="16"/>
  <c r="Q39" i="16"/>
  <c r="Y39" i="17"/>
  <c r="Y35" i="17"/>
  <c r="T46" i="16"/>
  <c r="T50" i="16"/>
  <c r="G46" i="16"/>
  <c r="M35" i="16"/>
  <c r="Q39" i="17"/>
  <c r="Q35" i="17"/>
  <c r="AG46" i="16"/>
  <c r="AS50" i="16"/>
  <c r="AS46" i="16"/>
  <c r="AF46" i="16"/>
  <c r="I39" i="16"/>
  <c r="I35" i="16"/>
  <c r="AF35" i="16"/>
  <c r="AZ23" i="16"/>
  <c r="AF46" i="17"/>
  <c r="AF50" i="17"/>
  <c r="AB50" i="16"/>
  <c r="AB46" i="16"/>
  <c r="AN46" i="16"/>
  <c r="P35" i="16"/>
  <c r="P39" i="16"/>
  <c r="N50" i="17"/>
  <c r="N46" i="17"/>
  <c r="AD46" i="16"/>
  <c r="U39" i="17"/>
  <c r="U35" i="17"/>
  <c r="D51" i="16"/>
  <c r="D46" i="16"/>
  <c r="J35" i="16"/>
  <c r="AL46" i="16"/>
  <c r="AK35" i="17"/>
  <c r="AK39" i="17"/>
  <c r="AO35" i="17"/>
  <c r="AO39" i="17"/>
  <c r="H46" i="16"/>
  <c r="K50" i="17"/>
  <c r="K46" i="17"/>
  <c r="AV35" i="17"/>
  <c r="AV39" i="17"/>
  <c r="V35" i="16"/>
  <c r="W51" i="16"/>
  <c r="W46" i="16"/>
  <c r="AL50" i="17"/>
  <c r="AL46" i="17"/>
  <c r="R51" i="16"/>
  <c r="R46" i="16"/>
  <c r="V39" i="17"/>
  <c r="V35" i="17"/>
  <c r="AW35" i="16"/>
  <c r="AW39" i="16"/>
  <c r="E46" i="16"/>
  <c r="E50" i="16"/>
  <c r="AA35" i="16"/>
  <c r="S46" i="16"/>
  <c r="AF35" i="17"/>
  <c r="AF39" i="17"/>
  <c r="AO35" i="16"/>
  <c r="Y50" i="17"/>
  <c r="Y46" i="17"/>
  <c r="T35" i="16"/>
  <c r="T39" i="16"/>
  <c r="E39" i="17"/>
  <c r="E35" i="17"/>
  <c r="O46" i="16"/>
  <c r="N39" i="17"/>
  <c r="N35" i="17"/>
  <c r="Q50" i="17"/>
  <c r="Q46" i="17"/>
  <c r="Y35" i="16"/>
  <c r="D40" i="16"/>
  <c r="D35" i="16"/>
  <c r="AU45" i="16"/>
  <c r="AU51" i="16" s="1"/>
  <c r="AU24" i="16"/>
  <c r="AU34" i="16"/>
  <c r="AU40" i="16" s="1"/>
  <c r="AV46" i="16"/>
  <c r="AN35" i="17"/>
  <c r="AN39" i="17"/>
  <c r="AL35" i="17"/>
  <c r="AL39" i="17"/>
  <c r="AG35" i="17"/>
  <c r="AG39" i="17"/>
  <c r="AZ24" i="16"/>
  <c r="AR39" i="16"/>
  <c r="AR35" i="16"/>
  <c r="G30" i="16"/>
  <c r="H27" i="16"/>
  <c r="AU23" i="16"/>
  <c r="AU33" i="16"/>
  <c r="AU44" i="16"/>
  <c r="AX35" i="17"/>
  <c r="AX39" i="17"/>
  <c r="AV46" i="17"/>
  <c r="AV50" i="17"/>
  <c r="AS46" i="17"/>
  <c r="AS50" i="17"/>
  <c r="AP39" i="16"/>
  <c r="AP35" i="16"/>
  <c r="AC46" i="17"/>
  <c r="AC50" i="17"/>
  <c r="AG46" i="17"/>
  <c r="AG50" i="17"/>
  <c r="AC46" i="16"/>
  <c r="E46" i="17"/>
  <c r="E50" i="17"/>
  <c r="K46" i="16"/>
  <c r="AZ22" i="16"/>
  <c r="AZ24" i="17"/>
  <c r="AR50" i="16"/>
  <c r="AR46" i="16"/>
  <c r="I27" i="17"/>
  <c r="H30" i="17"/>
  <c r="AS35" i="16"/>
  <c r="AS39" i="16"/>
  <c r="AX50" i="17"/>
  <c r="AX46" i="17"/>
  <c r="Y46" i="16"/>
  <c r="I50" i="16"/>
  <c r="I46" i="16"/>
  <c r="K39" i="17"/>
  <c r="K35" i="17"/>
  <c r="AG35" i="16"/>
  <c r="AN50" i="17"/>
  <c r="AN46" i="17"/>
  <c r="V46" i="16"/>
  <c r="AM35" i="16"/>
  <c r="R40" i="16"/>
  <c r="R35" i="16"/>
  <c r="AS35" i="17"/>
  <c r="AS39" i="17"/>
  <c r="AW46" i="16"/>
  <c r="AW50" i="16"/>
  <c r="AC35" i="17"/>
  <c r="AC39" i="17"/>
  <c r="AJ35" i="16"/>
  <c r="AZ21" i="16"/>
  <c r="Q50" i="16"/>
  <c r="Q46" i="16"/>
  <c r="AM46" i="16"/>
  <c r="J46" i="16"/>
  <c r="AB35" i="16"/>
  <c r="AB39" i="16"/>
  <c r="P50" i="16"/>
  <c r="P46" i="16"/>
  <c r="U46" i="17"/>
  <c r="U50" i="17"/>
  <c r="I27" i="16" l="1"/>
  <c r="H30" i="16"/>
  <c r="AU39" i="16"/>
  <c r="AU35" i="16"/>
  <c r="I30" i="17"/>
  <c r="J27" i="17"/>
  <c r="AU46" i="16"/>
  <c r="AU50" i="16"/>
  <c r="J30" i="17" l="1"/>
  <c r="K27" i="17"/>
  <c r="J27" i="16"/>
  <c r="I30" i="16"/>
  <c r="K30" i="17" l="1"/>
  <c r="L27" i="17"/>
  <c r="J30" i="16"/>
  <c r="K27" i="16"/>
  <c r="K30" i="16" l="1"/>
  <c r="L27" i="16"/>
  <c r="M27" i="17"/>
  <c r="L30" i="17"/>
  <c r="M27" i="16" l="1"/>
  <c r="L30" i="16"/>
  <c r="N27" i="17"/>
  <c r="M30" i="17"/>
  <c r="O27" i="17" l="1"/>
  <c r="N30" i="17"/>
  <c r="N27" i="16"/>
  <c r="M30" i="16"/>
  <c r="N30" i="16" l="1"/>
  <c r="O27" i="16"/>
  <c r="O30" i="17"/>
  <c r="P27" i="17"/>
  <c r="Q27" i="17" l="1"/>
  <c r="P30" i="17"/>
  <c r="P27" i="16"/>
  <c r="O30" i="16"/>
  <c r="Q27" i="16" l="1"/>
  <c r="P30" i="16"/>
  <c r="Q30" i="17"/>
  <c r="R27" i="17"/>
  <c r="R30" i="17" l="1"/>
  <c r="S27" i="17"/>
  <c r="R27" i="16"/>
  <c r="Q30" i="16"/>
  <c r="S30" i="17" l="1"/>
  <c r="T27" i="17"/>
  <c r="R30" i="16"/>
  <c r="S27" i="16"/>
  <c r="T27" i="16" l="1"/>
  <c r="S30" i="16"/>
  <c r="U27" i="17"/>
  <c r="T30" i="17"/>
  <c r="V27" i="17" l="1"/>
  <c r="U30" i="17"/>
  <c r="U27" i="16"/>
  <c r="T30" i="16"/>
  <c r="V27" i="16" l="1"/>
  <c r="U30" i="16"/>
  <c r="W27" i="17"/>
  <c r="V30" i="17"/>
  <c r="W30" i="17" l="1"/>
  <c r="X27" i="17"/>
  <c r="V30" i="16"/>
  <c r="W27" i="16"/>
  <c r="X27" i="16" l="1"/>
  <c r="W30" i="16"/>
  <c r="Y27" i="17"/>
  <c r="X30" i="17"/>
  <c r="Z27" i="17" l="1"/>
  <c r="Y30" i="17"/>
  <c r="Y27" i="16"/>
  <c r="X30" i="16"/>
  <c r="Z27" i="16" l="1"/>
  <c r="Y30" i="16"/>
  <c r="AA27" i="17"/>
  <c r="Z30" i="17"/>
  <c r="AA30" i="17" l="1"/>
  <c r="AB27" i="17"/>
  <c r="Z30" i="16"/>
  <c r="AA27" i="16"/>
  <c r="AB27" i="16" l="1"/>
  <c r="AA30" i="16"/>
  <c r="AC27" i="17"/>
  <c r="AB30" i="17"/>
  <c r="AD27" i="17" l="1"/>
  <c r="AC30" i="17"/>
  <c r="AC27" i="16"/>
  <c r="AB30" i="16"/>
  <c r="AD27" i="16" l="1"/>
  <c r="AC30" i="16"/>
  <c r="AE27" i="17"/>
  <c r="AD30" i="17"/>
  <c r="AE30" i="17" l="1"/>
  <c r="AF27" i="17"/>
  <c r="AD30" i="16"/>
  <c r="AE27" i="16"/>
  <c r="AF27" i="16" l="1"/>
  <c r="AE30" i="16"/>
  <c r="AG27" i="17"/>
  <c r="AF30" i="17"/>
  <c r="AG30" i="17" l="1"/>
  <c r="AH27" i="17"/>
  <c r="AG27" i="16"/>
  <c r="AF30" i="16"/>
  <c r="AH30" i="17" l="1"/>
  <c r="AI27" i="17"/>
  <c r="AH27" i="16"/>
  <c r="AG30" i="16"/>
  <c r="AH30" i="16" l="1"/>
  <c r="AI27" i="16"/>
  <c r="AI30" i="17"/>
  <c r="AJ27" i="17"/>
  <c r="AK27" i="17" l="1"/>
  <c r="AJ30" i="17"/>
  <c r="AJ27" i="16"/>
  <c r="AI30" i="16"/>
  <c r="AK27" i="16" l="1"/>
  <c r="AJ30" i="16"/>
  <c r="AL27" i="17"/>
  <c r="AK30" i="17"/>
  <c r="AM27" i="17" l="1"/>
  <c r="AL30" i="17"/>
  <c r="AL27" i="16"/>
  <c r="AK30" i="16"/>
  <c r="AL30" i="16" l="1"/>
  <c r="AM27" i="16"/>
  <c r="AM30" i="17"/>
  <c r="AN27" i="17"/>
  <c r="AO27" i="17" l="1"/>
  <c r="AN30" i="17"/>
  <c r="AN27" i="16"/>
  <c r="AM30" i="16"/>
  <c r="AO27" i="16" l="1"/>
  <c r="AN30" i="16"/>
  <c r="AP27" i="17"/>
  <c r="AO30" i="17"/>
  <c r="AP30" i="17" l="1"/>
  <c r="AQ27" i="17"/>
  <c r="AO30" i="16"/>
  <c r="AP27" i="16"/>
  <c r="AP30" i="16" l="1"/>
  <c r="AQ27" i="16"/>
  <c r="AQ30" i="17"/>
  <c r="AR27" i="17"/>
  <c r="AS27" i="17" l="1"/>
  <c r="AR30" i="17"/>
  <c r="AR27" i="16"/>
  <c r="AQ30" i="16"/>
  <c r="AS27" i="16" l="1"/>
  <c r="AR30" i="16"/>
  <c r="AT27" i="17"/>
  <c r="AS30" i="17"/>
  <c r="AU27" i="17" l="1"/>
  <c r="AT30" i="17"/>
  <c r="AT27" i="16"/>
  <c r="AS30" i="16"/>
  <c r="AT30" i="16" l="1"/>
  <c r="AU27" i="16"/>
  <c r="AU30" i="17"/>
  <c r="AV27" i="17"/>
  <c r="AW27" i="17" l="1"/>
  <c r="AV30" i="17"/>
  <c r="AU30" i="16"/>
  <c r="AV27" i="16"/>
  <c r="AW27" i="16" l="1"/>
  <c r="AV30" i="16"/>
  <c r="AX27" i="17"/>
  <c r="AW30" i="17"/>
  <c r="AY27" i="17" l="1"/>
  <c r="AY30" i="17" s="1"/>
  <c r="AZ30" i="17" s="1"/>
  <c r="AX30" i="17"/>
  <c r="AX27" i="16"/>
  <c r="AW30" i="16"/>
  <c r="AY27" i="16" l="1"/>
  <c r="AY30" i="16" s="1"/>
  <c r="AZ30" i="16" s="1"/>
  <c r="AX30" i="16"/>
  <c r="G29" i="7" l="1"/>
  <c r="F29" i="7"/>
  <c r="E29" i="7"/>
  <c r="D29" i="7"/>
  <c r="C29" i="7"/>
  <c r="F19" i="7"/>
  <c r="D19" i="7"/>
  <c r="G11" i="7"/>
  <c r="G10" i="7"/>
  <c r="G9" i="7"/>
  <c r="G8" i="7"/>
  <c r="G7" i="7"/>
  <c r="G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<sst xmlns="http://schemas.openxmlformats.org/spreadsheetml/2006/main" count="2408" uniqueCount="416">
  <si>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</si>
  <si>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</si>
  <si>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</si>
  <si>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</si>
  <si>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</si>
  <si>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</si>
  <si>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</si>
  <si>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</si>
  <si>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</si>
  <si>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</si>
  <si>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</si>
  <si>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</si>
  <si>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</si>
  <si>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</si>
  <si>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</si>
  <si>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</si>
  <si>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</si>
  <si>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</si>
  <si>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</si>
  <si>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</si>
  <si>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</si>
  <si>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</si>
  <si>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</si>
  <si>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</si>
  <si>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</si>
  <si>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</si>
  <si>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</si>
  <si>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</si>
  <si>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</si>
  <si>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</si>
  <si>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</si>
  <si>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</si>
  <si>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</si>
  <si>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</si>
  <si>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</si>
  <si>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</si>
  <si>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</si>
  <si>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</si>
  <si>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</si>
  <si>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</si>
  <si>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</si>
  <si>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</si>
  <si>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</si>
  <si>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</si>
  <si>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</si>
  <si>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</si>
  <si>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</si>
  <si>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</si>
  <si>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</si>
  <si>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</si>
  <si>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</si>
  <si>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</si>
  <si>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</si>
  <si>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</si>
  <si>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</si>
  <si>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</si>
  <si>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</si>
  <si>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</si>
  <si>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</si>
  <si>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</si>
  <si>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</si>
  <si>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</si>
  <si>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</si>
  <si>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</si>
  <si>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</si>
  <si>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</si>
  <si>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</si>
  <si>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</si>
  <si>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</si>
  <si>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</si>
  <si>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</si>
  <si>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</si>
  <si>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</si>
  <si>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</si>
  <si>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</si>
  <si>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</si>
  <si>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</si>
  <si>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</si>
  <si>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</si>
  <si>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</si>
  <si>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</si>
  <si>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</si>
  <si>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</si>
  <si>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</si>
  <si>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</si>
  <si>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</si>
  <si>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</si>
  <si>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</si>
  <si>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</si>
  <si>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</si>
  <si>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</si>
  <si>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</si>
  <si>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</si>
  <si>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</si>
  <si>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</si>
  <si>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</si>
  <si>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</si>
  <si>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</si>
  <si>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</si>
  <si>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</si>
  <si>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</si>
  <si>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</si>
  <si>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</si>
  <si>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</si>
  <si>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</si>
  <si>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</si>
  <si>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</si>
  <si>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</si>
  <si>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</si>
  <si>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</si>
  <si>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</si>
  <si>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</si>
  <si>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</si>
  <si>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</si>
  <si>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</si>
  <si>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</si>
  <si>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</si>
  <si>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</si>
  <si>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</si>
  <si>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</si>
  <si>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</si>
  <si>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</si>
  <si>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</si>
  <si>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</si>
  <si>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</si>
  <si>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</si>
  <si>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</si>
  <si>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</si>
  <si>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</si>
  <si>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</si>
  <si>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</si>
  <si>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</si>
  <si>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</si>
  <si>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</si>
  <si>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</si>
  <si>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</si>
  <si>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</si>
  <si>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</si>
  <si>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</si>
  <si>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</si>
  <si>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</si>
  <si>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</si>
  <si>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</si>
  <si>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</si>
  <si>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</si>
  <si>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</si>
  <si>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</si>
  <si>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</si>
  <si>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</si>
  <si>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</si>
  <si>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</si>
  <si>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</si>
  <si>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</si>
  <si>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</si>
  <si>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</si>
  <si>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</si>
  <si>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</si>
  <si>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</si>
  <si>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</si>
  <si>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</si>
  <si>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</si>
  <si>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</si>
  <si>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</si>
  <si>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</si>
  <si>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</si>
  <si>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</si>
  <si>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</si>
  <si>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sold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</si>
  <si>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</si>
  <si>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</si>
  <si>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</si>
  <si>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</si>
  <si>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</si>
  <si>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</si>
  <si>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</si>
  <si>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</si>
  <si>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</si>
  <si>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</si>
  <si>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</si>
  <si>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</si>
  <si>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</si>
  <si>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</si>
  <si>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</si>
  <si>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</si>
  <si>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</si>
  <si>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</si>
  <si>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</si>
  <si>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</si>
  <si>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</si>
  <si>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</si>
  <si>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</si>
  <si>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</si>
  <si>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</si>
  <si>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</si>
  <si>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</si>
  <si>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</si>
  <si>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</si>
  <si>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</si>
  <si>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</si>
  <si>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</si>
  <si>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</si>
  <si>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</si>
  <si>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</si>
  <si>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</si>
  <si>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</si>
  <si>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</si>
  <si>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</si>
  <si>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</si>
  <si>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</si>
  <si>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</si>
  <si>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</si>
  <si>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</si>
  <si>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</si>
  <si>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</si>
  <si>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</si>
  <si>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</si>
  <si>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</si>
  <si>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</si>
  <si>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</si>
  <si>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</si>
  <si>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</si>
  <si>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</si>
  <si>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</si>
  <si>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</si>
  <si>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</si>
  <si>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</si>
  <si>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</si>
  <si>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</si>
  <si>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</si>
  <si>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</si>
  <si>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</si>
  <si>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</si>
  <si>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</si>
  <si>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</si>
  <si>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</si>
  <si>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</si>
  <si>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</si>
  <si>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</si>
  <si>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</si>
  <si>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</si>
  <si>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</si>
  <si>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</si>
  <si>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</si>
  <si>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</si>
  <si>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</si>
  <si>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</si>
  <si>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</si>
  <si>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</si>
  <si>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</si>
  <si>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</si>
  <si>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</si>
  <si>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</si>
  <si>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</si>
  <si>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</si>
  <si>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</si>
  <si>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</si>
  <si>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</si>
  <si>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</si>
  <si>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</si>
  <si>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</si>
  <si>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</si>
  <si>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</si>
  <si>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</si>
  <si>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</si>
  <si>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</si>
  <si>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</si>
  <si>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</si>
  <si>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</si>
  <si>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</si>
  <si>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</si>
  <si>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</si>
  <si>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</si>
  <si>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</si>
  <si>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</si>
  <si>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</si>
  <si>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</si>
  <si>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</si>
  <si>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</si>
  <si>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</si>
  <si>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</si>
  <si>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</si>
  <si>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</si>
  <si>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</si>
  <si>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</si>
  <si>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</si>
  <si>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</si>
  <si>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</si>
  <si>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</si>
  <si>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</si>
  <si>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</si>
  <si>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</si>
  <si>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</si>
  <si>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</si>
  <si>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</si>
  <si>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</si>
  <si>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</si>
  <si>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</si>
  <si>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</si>
  <si>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</si>
  <si>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</si>
  <si>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</si>
  <si>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</si>
  <si>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</si>
  <si>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</si>
  <si>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</si>
  <si>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</si>
  <si>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</si>
  <si>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</si>
  <si>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</si>
  <si>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</si>
  <si>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</si>
  <si>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</si>
  <si>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</si>
  <si>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</si>
  <si>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</si>
  <si>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</si>
  <si>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</si>
  <si>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</si>
  <si>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</si>
  <si>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</si>
  <si>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</si>
  <si>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</si>
  <si>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</si>
  <si>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</si>
  <si>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</si>
  <si>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</si>
  <si>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</si>
  <si>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</si>
  <si>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</si>
  <si>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</si>
  <si>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</si>
  <si>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</si>
  <si>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</si>
  <si>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</si>
  <si>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</si>
  <si>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</si>
  <si>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</si>
  <si>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</si>
  <si>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</si>
  <si>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</si>
  <si>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Normalized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</si>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</sst>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1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2013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2</v>
      </c>
      <c r="C8" t="s">
        <v>338</v>
      </c>
      <c r="D8">
        <v>2</v>
      </c>
      <c r="E8" t="s">
        <v>339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12</v>
      </c>
      <c r="E11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L17" sqref="L17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5">
        <v>-1</v>
      </c>
      <c r="D6" s="15">
        <v>1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 x14ac:dyDescent="0.2">
      <c r="B7" s="14" t="s">
        <v>7</v>
      </c>
      <c r="C7" s="85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5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5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5">
        <v>0</v>
      </c>
      <c r="D10" s="15">
        <v>0</v>
      </c>
      <c r="E10" s="15" t="s">
        <v>167</v>
      </c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5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5">
        <v>-13</v>
      </c>
      <c r="D12" s="15">
        <v>3787</v>
      </c>
      <c r="E12" s="15" t="s">
        <v>166</v>
      </c>
      <c r="F12" s="15" t="s">
        <v>6</v>
      </c>
      <c r="G12" s="15">
        <f t="shared" si="0"/>
        <v>3774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2008</v>
      </c>
      <c r="E28" s="49"/>
      <c r="F28" s="45">
        <f>basic_info!$D$5-4</f>
        <v>2009</v>
      </c>
      <c r="G28" s="49"/>
      <c r="H28" s="45">
        <f>basic_info!$D$5-3</f>
        <v>2010</v>
      </c>
      <c r="I28" s="49"/>
      <c r="J28" s="45">
        <f>basic_info!$D$5-2</f>
        <v>2011</v>
      </c>
      <c r="K28" s="49"/>
      <c r="L28" s="45">
        <f>basic_info!$D$5-1</f>
        <v>2012</v>
      </c>
      <c r="N28" s="45">
        <f>basic_info!$D$5</f>
        <v>2013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2013</v>
      </c>
      <c r="D30" s="44">
        <v>0.77419792761206629</v>
      </c>
      <c r="E30" s="35">
        <v>400000</v>
      </c>
      <c r="F30" s="47">
        <v>0.75988620984963406</v>
      </c>
      <c r="G30" s="46">
        <v>400000</v>
      </c>
      <c r="H30" s="47">
        <v>0.70400269357188838</v>
      </c>
      <c r="I30" s="46"/>
      <c r="J30" s="47">
        <v>0.75933230319260714</v>
      </c>
      <c r="K30" s="46"/>
      <c r="L30" s="47">
        <v>0.79110236905498132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2014</v>
      </c>
      <c r="D31" s="76"/>
      <c r="E31" s="75"/>
      <c r="F31" s="69">
        <v>0.72473765751123431</v>
      </c>
      <c r="G31" s="79">
        <v>400000</v>
      </c>
      <c r="H31" s="61">
        <v>0.71441382370859263</v>
      </c>
      <c r="I31" s="62">
        <v>400000</v>
      </c>
      <c r="J31" s="61">
        <v>0.69091416758853352</v>
      </c>
      <c r="K31" s="62"/>
      <c r="L31" s="61">
        <v>0.75192074042674273</v>
      </c>
      <c r="M31" s="62"/>
      <c r="N31" s="63">
        <v>0.91028405278760516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2015</v>
      </c>
      <c r="D32" s="76"/>
      <c r="E32" s="75"/>
      <c r="F32" s="75"/>
      <c r="G32" s="75"/>
      <c r="H32" s="69">
        <v>0.67398288510441784</v>
      </c>
      <c r="I32" s="79">
        <v>400000</v>
      </c>
      <c r="J32" s="61">
        <v>0.7025784495475329</v>
      </c>
      <c r="K32" s="62">
        <v>400000</v>
      </c>
      <c r="L32" s="61">
        <v>0.75974471053693216</v>
      </c>
      <c r="M32" s="62"/>
      <c r="N32" s="63">
        <v>0.84022986680849976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2016</v>
      </c>
      <c r="D33" s="76"/>
      <c r="E33" s="75"/>
      <c r="F33" s="75"/>
      <c r="G33" s="75"/>
      <c r="H33" s="75"/>
      <c r="I33" s="75"/>
      <c r="J33" s="69">
        <v>0.71552384896278387</v>
      </c>
      <c r="K33" s="79">
        <v>400000</v>
      </c>
      <c r="L33" s="61">
        <v>0.73352858177408109</v>
      </c>
      <c r="M33" s="62">
        <v>400000</v>
      </c>
      <c r="N33" s="63">
        <v>0.80596927418180841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2017</v>
      </c>
      <c r="D34" s="76"/>
      <c r="E34" s="75"/>
      <c r="F34" s="75"/>
      <c r="G34" s="75"/>
      <c r="H34" s="75"/>
      <c r="I34" s="75"/>
      <c r="J34" s="75"/>
      <c r="K34" s="75"/>
      <c r="L34" s="69">
        <v>0.68859153167605403</v>
      </c>
      <c r="M34" s="79">
        <v>400000</v>
      </c>
      <c r="N34" s="63">
        <v>0.76378054147734653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2018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0.71205421746969233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2013</v>
      </c>
      <c r="D36" s="44">
        <v>0.87400841210782521</v>
      </c>
      <c r="E36" s="35">
        <v>300000</v>
      </c>
      <c r="F36" s="73">
        <v>0.98773074448833686</v>
      </c>
      <c r="G36" s="74">
        <v>300000</v>
      </c>
      <c r="H36" s="73">
        <v>1.0158087168858814</v>
      </c>
      <c r="I36" s="74">
        <v>300000</v>
      </c>
      <c r="J36" s="73">
        <v>1.1144936542893142</v>
      </c>
      <c r="K36" s="74">
        <v>300000</v>
      </c>
      <c r="L36" s="66">
        <v>1.1730117703794187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2014</v>
      </c>
      <c r="D37" s="76"/>
      <c r="E37" s="75"/>
      <c r="F37" s="69">
        <v>0.97905324764549728</v>
      </c>
      <c r="G37" s="79">
        <v>300000</v>
      </c>
      <c r="H37" s="61">
        <v>1.004390797006619</v>
      </c>
      <c r="I37" s="62">
        <v>300000</v>
      </c>
      <c r="J37" s="61">
        <v>1.1358391365953338</v>
      </c>
      <c r="K37" s="62">
        <v>300000</v>
      </c>
      <c r="L37" s="61">
        <v>1.114568040022595</v>
      </c>
      <c r="M37" s="62">
        <v>300000</v>
      </c>
      <c r="N37" s="61">
        <v>1.101552478630456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2015</v>
      </c>
      <c r="D38" s="76"/>
      <c r="E38" s="75"/>
      <c r="F38" s="75"/>
      <c r="G38" s="75"/>
      <c r="H38" s="69">
        <v>0.92318454591929922</v>
      </c>
      <c r="I38" s="79">
        <v>300000</v>
      </c>
      <c r="J38" s="61">
        <v>1.0932932166591005</v>
      </c>
      <c r="K38" s="62">
        <v>300000</v>
      </c>
      <c r="L38" s="61">
        <v>1.0797159727823964</v>
      </c>
      <c r="M38" s="62">
        <v>300000</v>
      </c>
      <c r="N38" s="61">
        <v>1.0226750667195514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2016</v>
      </c>
      <c r="D39" s="76"/>
      <c r="E39" s="75"/>
      <c r="F39" s="75"/>
      <c r="G39" s="75"/>
      <c r="H39" s="75"/>
      <c r="I39" s="75"/>
      <c r="J39" s="69">
        <v>1.023757758513093</v>
      </c>
      <c r="K39" s="79">
        <v>300000</v>
      </c>
      <c r="L39" s="61">
        <v>1.057380701748182</v>
      </c>
      <c r="M39" s="62">
        <v>300000</v>
      </c>
      <c r="N39" s="61">
        <v>1.0326319130993309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2017</v>
      </c>
      <c r="D40" s="76"/>
      <c r="E40" s="75"/>
      <c r="F40" s="75"/>
      <c r="G40" s="75"/>
      <c r="H40" s="75"/>
      <c r="I40" s="75"/>
      <c r="J40" s="75"/>
      <c r="K40" s="75"/>
      <c r="L40" s="69">
        <v>0.96417330466210838</v>
      </c>
      <c r="M40" s="79">
        <v>300000</v>
      </c>
      <c r="N40" s="61">
        <v>1.0068793309599473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2018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0.98247019918262957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6" x14ac:dyDescent="0.2">
      <c r="B2" s="28" t="s">
        <v>114</v>
      </c>
    </row>
    <row r="3" spans="2:16" x14ac:dyDescent="0.2">
      <c r="B3" s="30" t="s">
        <v>144</v>
      </c>
    </row>
    <row r="4" spans="2:16" x14ac:dyDescent="0.2">
      <c r="B4" s="48"/>
      <c r="C4" s="48"/>
      <c r="D4" s="48"/>
      <c r="E4" s="48"/>
      <c r="F4" s="48"/>
      <c r="G4" s="48"/>
      <c r="H4" s="49"/>
      <c r="I4" s="49"/>
      <c r="J4" s="49"/>
      <c r="K4" s="49"/>
      <c r="L4" s="49"/>
      <c r="M4" s="49"/>
    </row>
    <row r="5" spans="2:16" x14ac:dyDescent="0.2">
      <c r="B5" s="45" t="s">
        <v>115</v>
      </c>
      <c r="C5" s="45" t="s">
        <v>5</v>
      </c>
      <c r="D5" s="45" t="s">
        <v>12</v>
      </c>
      <c r="E5" s="45" t="s">
        <v>22</v>
      </c>
      <c r="F5" s="45" t="s">
        <v>59</v>
      </c>
      <c r="G5" s="45" t="s">
        <v>150</v>
      </c>
      <c r="H5" s="50"/>
      <c r="I5" s="50"/>
      <c r="J5" s="50"/>
      <c r="K5" s="50"/>
      <c r="L5" s="50"/>
      <c r="M5" s="50"/>
      <c r="N5" s="50"/>
      <c r="O5" s="50"/>
      <c r="P5" s="50"/>
    </row>
    <row r="6" spans="2:16" x14ac:dyDescent="0.2">
      <c r="B6" s="45" t="s">
        <v>163</v>
      </c>
      <c r="C6" s="93">
        <v>6.083281169442694</v>
      </c>
      <c r="D6" s="93">
        <v>21.322558656143194</v>
      </c>
      <c r="E6" s="93">
        <v>43.576000000000001</v>
      </c>
      <c r="F6" s="93">
        <v>29.018160174414106</v>
      </c>
      <c r="G6" s="97">
        <f>SUM($C$6:$F$6)</f>
        <v>100</v>
      </c>
      <c r="H6" s="49"/>
      <c r="I6" s="49"/>
      <c r="J6" s="49"/>
      <c r="K6" s="49"/>
      <c r="L6" s="49"/>
      <c r="M6" s="49"/>
      <c r="N6" s="50"/>
      <c r="O6" s="50"/>
      <c r="P6" s="50"/>
    </row>
    <row r="7" spans="2:16" x14ac:dyDescent="0.2">
      <c r="B7" s="45" t="s">
        <v>105</v>
      </c>
      <c r="C7" s="93">
        <v>0</v>
      </c>
      <c r="D7" s="93">
        <v>0</v>
      </c>
      <c r="E7" s="93">
        <v>7.4281668951134723</v>
      </c>
      <c r="F7" s="93">
        <v>92.571833104886522</v>
      </c>
      <c r="G7" s="97">
        <f>SUM($C$7:$F$7)</f>
        <v>100</v>
      </c>
      <c r="H7" s="55" t="s">
        <v>340</v>
      </c>
      <c r="I7" s="49"/>
      <c r="J7" s="49"/>
      <c r="K7" s="49"/>
      <c r="L7" s="49"/>
      <c r="M7" s="49"/>
      <c r="N7" s="50"/>
      <c r="O7" s="50"/>
      <c r="P7" s="50"/>
    </row>
    <row r="8" spans="2:16" x14ac:dyDescent="0.2">
      <c r="B8" s="45" t="s">
        <v>106</v>
      </c>
      <c r="C8" s="93">
        <v>0</v>
      </c>
      <c r="D8" s="93">
        <v>0</v>
      </c>
      <c r="E8" s="93">
        <v>47.321645007317855</v>
      </c>
      <c r="F8" s="93">
        <v>52.678354992682131</v>
      </c>
      <c r="G8" s="97">
        <f>SUM($C$8:$F$8)</f>
        <v>99.999999999999986</v>
      </c>
      <c r="H8" s="55" t="s">
        <v>340</v>
      </c>
      <c r="I8" s="49"/>
      <c r="J8" s="49"/>
      <c r="K8" s="49"/>
      <c r="L8" s="49"/>
      <c r="M8" s="49"/>
      <c r="N8" s="50"/>
      <c r="O8" s="50"/>
      <c r="P8" s="50"/>
    </row>
    <row r="9" spans="2:16" x14ac:dyDescent="0.2">
      <c r="B9" s="45" t="s">
        <v>107</v>
      </c>
      <c r="C9" s="93">
        <v>100</v>
      </c>
      <c r="D9" s="93"/>
      <c r="E9" s="93"/>
      <c r="F9" s="93"/>
      <c r="G9" s="97">
        <f>SUM($C$9:$F$9)</f>
        <v>100</v>
      </c>
      <c r="H9" s="49"/>
      <c r="I9" s="49"/>
      <c r="J9" s="49"/>
      <c r="K9" s="49"/>
      <c r="L9" s="49"/>
      <c r="M9" s="49"/>
      <c r="N9" s="50"/>
      <c r="O9" s="50"/>
      <c r="P9" s="50"/>
    </row>
    <row r="10" spans="2:16" x14ac:dyDescent="0.2">
      <c r="B10" s="45" t="s">
        <v>108</v>
      </c>
      <c r="C10" s="93">
        <v>100</v>
      </c>
      <c r="D10" s="93"/>
      <c r="E10" s="93"/>
      <c r="F10" s="93"/>
      <c r="G10" s="97">
        <f>SUM($C$10:$F$10)</f>
        <v>100</v>
      </c>
      <c r="H10" s="49"/>
      <c r="I10" s="49"/>
      <c r="J10" s="49"/>
      <c r="K10" s="49"/>
      <c r="L10" s="49"/>
      <c r="M10" s="49"/>
      <c r="N10" s="50"/>
      <c r="O10" s="50"/>
      <c r="P10" s="50"/>
    </row>
    <row r="11" spans="2:16" x14ac:dyDescent="0.2">
      <c r="B11" s="45" t="s">
        <v>109</v>
      </c>
      <c r="C11" s="94">
        <v>100</v>
      </c>
      <c r="D11" s="94"/>
      <c r="E11" s="94"/>
      <c r="F11" s="94"/>
      <c r="G11" s="96">
        <f>SUM($C$11:$F$11)</f>
        <v>100</v>
      </c>
      <c r="H11" s="49"/>
      <c r="I11" s="49"/>
      <c r="J11" s="49"/>
      <c r="K11" s="49"/>
      <c r="L11" s="49"/>
      <c r="M11" s="49"/>
      <c r="N11" s="50"/>
      <c r="O11" s="50"/>
      <c r="P11" s="50"/>
    </row>
    <row r="12" spans="2:16" x14ac:dyDescent="0.2">
      <c r="B12" s="51"/>
      <c r="C12" s="51"/>
      <c r="D12" s="51"/>
      <c r="E12" s="51"/>
      <c r="F12" s="51"/>
      <c r="G12" s="51"/>
      <c r="H12" s="49"/>
      <c r="I12" s="49"/>
      <c r="J12" s="49"/>
      <c r="K12" s="49"/>
      <c r="L12" s="49"/>
      <c r="M12" s="49"/>
      <c r="N12" s="50"/>
      <c r="O12" s="50"/>
      <c r="P12" s="50"/>
    </row>
    <row r="13" spans="2:16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6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6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6" x14ac:dyDescent="0.2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 x14ac:dyDescent="0.2">
      <c r="B17" s="45" t="s">
        <v>118</v>
      </c>
      <c r="C17" s="45" t="s">
        <v>5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33">
        <f>100-$E$19</f>
        <v>0</v>
      </c>
      <c r="M19" s="50"/>
      <c r="N19" s="50"/>
      <c r="O19" s="50"/>
    </row>
    <row r="20" spans="2:16" x14ac:dyDescent="0.2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 x14ac:dyDescent="0.2">
      <c r="I21" s="50"/>
      <c r="J21" s="50"/>
      <c r="K21" s="50"/>
    </row>
    <row r="22" spans="2:16" x14ac:dyDescent="0.2">
      <c r="B22" s="52" t="s">
        <v>114</v>
      </c>
      <c r="I22" s="50"/>
      <c r="J22" s="50"/>
      <c r="K22" s="50"/>
    </row>
    <row r="23" spans="2:16" x14ac:dyDescent="0.2">
      <c r="B23" s="55" t="s">
        <v>145</v>
      </c>
      <c r="I23" s="50"/>
      <c r="J23" s="50"/>
      <c r="K23" s="50"/>
    </row>
    <row r="24" spans="2:16" x14ac:dyDescent="0.2">
      <c r="B24" s="31"/>
      <c r="C24" s="31"/>
      <c r="D24" s="31"/>
      <c r="E24" s="31"/>
      <c r="F24" s="31"/>
      <c r="G24" s="31"/>
      <c r="N24" s="50"/>
      <c r="O24" s="50"/>
      <c r="P24" s="50"/>
    </row>
    <row r="25" spans="2:16" x14ac:dyDescent="0.2">
      <c r="B25" s="45" t="s">
        <v>121</v>
      </c>
      <c r="C25" s="45" t="s">
        <v>122</v>
      </c>
      <c r="D25" s="45" t="s">
        <v>5</v>
      </c>
      <c r="E25" s="45"/>
      <c r="F25" s="45" t="s">
        <v>12</v>
      </c>
      <c r="G25" s="45"/>
      <c r="N25" s="50"/>
      <c r="O25" s="50"/>
      <c r="P25" s="50"/>
    </row>
    <row r="26" spans="2:16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5">
        <v>100</v>
      </c>
      <c r="N27" s="50"/>
      <c r="O27" s="50"/>
      <c r="P27" s="50"/>
    </row>
    <row r="28" spans="2:16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5"/>
      <c r="N28" s="50"/>
      <c r="O28" s="50"/>
      <c r="P28" s="50"/>
    </row>
    <row r="29" spans="2:16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6">
        <f>SUM($G$27:$G$28)</f>
        <v>100</v>
      </c>
      <c r="N29" s="50"/>
      <c r="O29" s="50"/>
      <c r="P29" s="50"/>
    </row>
    <row r="30" spans="2:16" x14ac:dyDescent="0.2">
      <c r="B30" s="54"/>
      <c r="C30" s="54"/>
      <c r="D30" s="54"/>
      <c r="E30" s="54"/>
      <c r="F30" s="54"/>
      <c r="G30" s="54"/>
      <c r="N30" s="50"/>
      <c r="O30" s="50"/>
      <c r="P30" s="50"/>
    </row>
    <row r="31" spans="2:16" x14ac:dyDescent="0.2">
      <c r="I31" s="50"/>
      <c r="J31" s="50"/>
      <c r="K31" s="50"/>
    </row>
    <row r="32" spans="2:16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F11 C19 E19 C27:G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415</v>
      </c>
      <c r="D3" s="187"/>
      <c r="E3" s="187"/>
      <c r="F3" s="187"/>
      <c r="G3" s="187"/>
    </row>
    <row r="5" spans="1:20" ht="15.75" x14ac:dyDescent="0.25">
      <c r="A5" s="188" t="s">
        <v>354</v>
      </c>
      <c r="B5" s="189"/>
      <c r="G5" s="190"/>
      <c r="L5" s="188" t="s">
        <v>355</v>
      </c>
      <c r="M5" s="189"/>
      <c r="R5" s="190"/>
    </row>
    <row r="6" spans="1:20" x14ac:dyDescent="0.2">
      <c r="A6" s="191" t="s">
        <v>356</v>
      </c>
      <c r="B6" s="189"/>
      <c r="G6" s="192"/>
      <c r="H6" s="116"/>
      <c r="L6" s="191" t="s">
        <v>357</v>
      </c>
      <c r="M6" s="189"/>
      <c r="S6" s="131"/>
    </row>
    <row r="7" spans="1:20" x14ac:dyDescent="0.2">
      <c r="A7" s="189"/>
      <c r="B7" s="189" t="s">
        <v>358</v>
      </c>
      <c r="G7" s="192"/>
      <c r="H7" s="193">
        <f>SUM(ORA!$D$116:$O$116)</f>
        <v>21293</v>
      </c>
      <c r="L7" s="189"/>
      <c r="M7" s="189" t="s">
        <v>358</v>
      </c>
      <c r="S7" s="194">
        <f>SUM(ORA!$D$127:$O$127)</f>
        <v>77800109.250740692</v>
      </c>
    </row>
    <row r="8" spans="1:20" x14ac:dyDescent="0.2">
      <c r="A8" s="189"/>
      <c r="B8" s="189" t="s">
        <v>359</v>
      </c>
      <c r="G8" s="192"/>
      <c r="H8" s="195">
        <f>SUM(POJ!$D$116:$O$116)</f>
        <v>78</v>
      </c>
      <c r="L8" s="189"/>
      <c r="M8" s="189" t="s">
        <v>359</v>
      </c>
      <c r="S8" s="196">
        <f>SUM(POJ!$D$127:$O$127)</f>
        <v>299204.68240700307</v>
      </c>
    </row>
    <row r="9" spans="1:20" x14ac:dyDescent="0.2">
      <c r="A9" s="189"/>
      <c r="B9" s="189" t="s">
        <v>360</v>
      </c>
      <c r="G9" s="192"/>
      <c r="H9" s="195">
        <f>SUM(ROJ!$D$116:$O$116)</f>
        <v>33522.505780968379</v>
      </c>
      <c r="L9" s="189"/>
      <c r="M9" s="189" t="s">
        <v>360</v>
      </c>
      <c r="S9" s="196">
        <f>SUM(ROJ!$D$127:$O$127)</f>
        <v>120954734.33579017</v>
      </c>
    </row>
    <row r="10" spans="1:20" x14ac:dyDescent="0.2">
      <c r="A10" s="189"/>
      <c r="B10" s="189" t="s">
        <v>361</v>
      </c>
      <c r="G10" s="192"/>
      <c r="H10" s="197">
        <f>SUM(FCOJ!$D$116:$O$116)</f>
        <v>70484.505780968379</v>
      </c>
      <c r="L10" s="189"/>
      <c r="M10" s="189" t="s">
        <v>361</v>
      </c>
      <c r="S10" s="198">
        <f>SUM(FCOJ!$D$127:$O$127)</f>
        <v>231378816.90397444</v>
      </c>
    </row>
    <row r="11" spans="1:20" x14ac:dyDescent="0.2">
      <c r="A11" s="189"/>
      <c r="B11" s="189"/>
      <c r="G11" s="192"/>
      <c r="M11" s="189" t="s">
        <v>362</v>
      </c>
      <c r="T11" s="199">
        <f>SUM($S$7:$S$10)</f>
        <v>430432865.17291236</v>
      </c>
    </row>
    <row r="12" spans="1:20" x14ac:dyDescent="0.2">
      <c r="A12" s="191" t="s">
        <v>363</v>
      </c>
      <c r="B12" s="189"/>
      <c r="G12" s="192"/>
    </row>
    <row r="13" spans="1:20" x14ac:dyDescent="0.2">
      <c r="A13" s="189"/>
      <c r="B13" s="189" t="s">
        <v>364</v>
      </c>
      <c r="G13" s="192"/>
      <c r="H13" s="200">
        <f>SUM(grove!$C$48:$AX$53)</f>
        <v>292599.7233450879</v>
      </c>
      <c r="L13" s="191" t="s">
        <v>365</v>
      </c>
      <c r="M13" s="189"/>
    </row>
    <row r="14" spans="1:20" x14ac:dyDescent="0.2">
      <c r="A14" s="189"/>
      <c r="B14" s="189" t="s">
        <v>366</v>
      </c>
      <c r="G14" s="192"/>
      <c r="H14" s="193">
        <f>raw_materials!$P$30</f>
        <v>800000</v>
      </c>
      <c r="L14" s="189"/>
      <c r="M14" s="189" t="s">
        <v>367</v>
      </c>
      <c r="S14" s="194">
        <f>SUM(grove!$C$58:$AX$63)</f>
        <v>422988087.52053452</v>
      </c>
    </row>
    <row r="15" spans="1:20" x14ac:dyDescent="0.2">
      <c r="A15" s="189"/>
      <c r="B15" s="189" t="s">
        <v>368</v>
      </c>
      <c r="G15" s="192"/>
      <c r="H15" s="197">
        <f>raw_materials!$P$36</f>
        <v>1800000</v>
      </c>
      <c r="L15" s="189"/>
      <c r="M15" s="189" t="s">
        <v>369</v>
      </c>
      <c r="S15" s="196">
        <f>(raw_materials!D30*raw_materials!E30+raw_materials!F30*raw_materials!G30+raw_materials!H30*raw_materials!I30+raw_materials!J30*raw_materials!K30+raw_materials!L30*raw_materials!M30)*2000</f>
        <v>1227267309.9693604</v>
      </c>
    </row>
    <row r="16" spans="1:20" x14ac:dyDescent="0.2">
      <c r="A16" s="189"/>
      <c r="B16" s="189" t="s">
        <v>370</v>
      </c>
      <c r="G16" s="192"/>
      <c r="H16" s="201">
        <v>156924.84400955559</v>
      </c>
      <c r="L16" s="189"/>
      <c r="M16" s="189" t="s">
        <v>371</v>
      </c>
      <c r="S16" s="196">
        <f>(raw_materials!D36*raw_materials!E36+raw_materials!F36*raw_materials!G36+raw_materials!H36*raw_materials!I36+raw_materials!J36*raw_materials!K36+raw_materials!L36*raw_materials!M36)*2000</f>
        <v>3802839041.1181173</v>
      </c>
    </row>
    <row r="17" spans="1:21" x14ac:dyDescent="0.2">
      <c r="A17" s="189"/>
      <c r="B17" s="189" t="s">
        <v>372</v>
      </c>
      <c r="G17" s="192"/>
      <c r="H17" s="202">
        <v>0</v>
      </c>
      <c r="L17" s="189"/>
      <c r="M17" s="189" t="s">
        <v>373</v>
      </c>
      <c r="S17" s="196">
        <v>333111094.36408448</v>
      </c>
    </row>
    <row r="18" spans="1:21" x14ac:dyDescent="0.2">
      <c r="A18" s="189"/>
      <c r="B18" s="189" t="s">
        <v>374</v>
      </c>
      <c r="G18" s="192"/>
      <c r="H18" s="203">
        <v>1218135.5869262253</v>
      </c>
      <c r="L18" s="189"/>
      <c r="M18" s="189" t="s">
        <v>375</v>
      </c>
      <c r="S18" s="198">
        <v>466036852.91986352</v>
      </c>
    </row>
    <row r="19" spans="1:21" x14ac:dyDescent="0.2">
      <c r="A19" s="189"/>
      <c r="B19" s="189" t="s">
        <v>376</v>
      </c>
      <c r="G19" s="192"/>
      <c r="H19" s="202">
        <v>2770691.7821243629</v>
      </c>
      <c r="L19" s="189"/>
      <c r="M19" s="189" t="s">
        <v>377</v>
      </c>
      <c r="S19" s="204" t="s">
        <v>378</v>
      </c>
      <c r="T19" s="205">
        <f>SUM($S$14:$S$18)</f>
        <v>6252242385.8919601</v>
      </c>
      <c r="U19" s="106" t="s">
        <v>379</v>
      </c>
    </row>
    <row r="20" spans="1:21" x14ac:dyDescent="0.2">
      <c r="A20" s="189"/>
      <c r="B20" s="189" t="s">
        <v>380</v>
      </c>
      <c r="G20" s="192"/>
      <c r="H20" s="197">
        <v>0</v>
      </c>
      <c r="L20" s="189"/>
      <c r="M20" s="189"/>
    </row>
    <row r="21" spans="1:21" x14ac:dyDescent="0.2">
      <c r="A21" s="189"/>
      <c r="B21" s="189"/>
      <c r="G21" s="192"/>
      <c r="L21" s="191" t="s">
        <v>381</v>
      </c>
      <c r="M21" s="189"/>
      <c r="S21" s="131"/>
    </row>
    <row r="22" spans="1:21" x14ac:dyDescent="0.2">
      <c r="A22" s="191" t="s">
        <v>382</v>
      </c>
      <c r="B22" s="189"/>
      <c r="G22" s="192"/>
      <c r="L22" s="189"/>
      <c r="M22" s="189" t="s">
        <v>383</v>
      </c>
      <c r="S22" s="196">
        <v>313849688.01911145</v>
      </c>
    </row>
    <row r="23" spans="1:21" x14ac:dyDescent="0.2">
      <c r="A23" s="189"/>
      <c r="B23" s="189" t="s">
        <v>384</v>
      </c>
      <c r="G23" s="192"/>
      <c r="H23" s="193">
        <f>SUM(raw_materials!$O$31:$O$35)</f>
        <v>800000</v>
      </c>
      <c r="L23" s="189"/>
      <c r="M23" s="189" t="s">
        <v>385</v>
      </c>
      <c r="S23" s="196">
        <v>0</v>
      </c>
    </row>
    <row r="24" spans="1:21" x14ac:dyDescent="0.2">
      <c r="A24" s="189"/>
      <c r="B24" s="189" t="s">
        <v>386</v>
      </c>
      <c r="G24" s="192"/>
      <c r="H24" s="197">
        <f>SUM(raw_materials!$O$37:$O$41)</f>
        <v>1800000</v>
      </c>
      <c r="L24" s="189"/>
      <c r="M24" s="189" t="s">
        <v>387</v>
      </c>
      <c r="S24" s="198">
        <v>791788131.50204659</v>
      </c>
    </row>
    <row r="25" spans="1:21" x14ac:dyDescent="0.2">
      <c r="A25" s="189"/>
      <c r="B25" s="189"/>
      <c r="G25" s="192"/>
      <c r="L25" s="189"/>
      <c r="M25" s="189" t="s">
        <v>388</v>
      </c>
      <c r="S25" s="204" t="s">
        <v>378</v>
      </c>
      <c r="T25" s="205">
        <f>SUM($S$22:$S$24)</f>
        <v>1105637819.521158</v>
      </c>
      <c r="U25" s="106" t="s">
        <v>379</v>
      </c>
    </row>
    <row r="26" spans="1:21" x14ac:dyDescent="0.2">
      <c r="A26" s="191" t="s">
        <v>389</v>
      </c>
      <c r="B26" s="189"/>
      <c r="G26" s="192"/>
      <c r="L26" s="189"/>
      <c r="M26" s="189"/>
    </row>
    <row r="27" spans="1:21" x14ac:dyDescent="0.2">
      <c r="A27" s="189"/>
      <c r="B27" s="189" t="s">
        <v>390</v>
      </c>
      <c r="G27" s="192"/>
      <c r="H27" s="193">
        <f>SUMIF(facilities!$C$6:$C$15,"&gt;0",facilities!$C$6:$C$15)</f>
        <v>0</v>
      </c>
      <c r="L27" s="191" t="s">
        <v>391</v>
      </c>
      <c r="M27" s="189"/>
    </row>
    <row r="28" spans="1:21" x14ac:dyDescent="0.2">
      <c r="A28" s="189"/>
      <c r="B28" s="189" t="s">
        <v>392</v>
      </c>
      <c r="G28" s="192"/>
      <c r="H28" s="195">
        <f>SUMIF(facilities!$C$36:$C$106,"&gt;0",facilities!$C$36:$C$106)</f>
        <v>0</v>
      </c>
      <c r="L28" s="189"/>
      <c r="M28" s="189" t="s">
        <v>393</v>
      </c>
      <c r="S28" s="194">
        <v>0</v>
      </c>
    </row>
    <row r="29" spans="1:21" x14ac:dyDescent="0.2">
      <c r="A29" s="189"/>
      <c r="B29" s="189" t="s">
        <v>394</v>
      </c>
      <c r="G29" s="192"/>
      <c r="H29" s="195">
        <f>SUMIF(facilities!$C$6:$C$15,"&lt;0",facilities!$C$6:$C$15)</f>
        <v>-14</v>
      </c>
      <c r="L29" s="189"/>
      <c r="M29" s="189" t="s">
        <v>395</v>
      </c>
      <c r="S29" s="196">
        <v>50521690.560074568</v>
      </c>
    </row>
    <row r="30" spans="1:21" x14ac:dyDescent="0.2">
      <c r="A30" s="189"/>
      <c r="B30" s="189" t="s">
        <v>396</v>
      </c>
      <c r="G30" s="192"/>
      <c r="H30" s="197">
        <f>SUMIF(facilities!$C$36:$C$106,"&lt;0",facilities!$C$36:$C$106)</f>
        <v>0</v>
      </c>
      <c r="L30" s="189"/>
      <c r="M30" s="189" t="s">
        <v>397</v>
      </c>
      <c r="S30" s="196">
        <v>210269184.09071022</v>
      </c>
    </row>
    <row r="31" spans="1:21" x14ac:dyDescent="0.2">
      <c r="L31" s="189"/>
      <c r="M31" s="189" t="s">
        <v>398</v>
      </c>
      <c r="S31" s="198">
        <f>SUM(ORA!D138:O138)+SUM(POJ!D138:O138)+SUM(ROJ!D138:O138)+SUM(FCOJ!D138:O138)</f>
        <v>136532883.39237642</v>
      </c>
    </row>
    <row r="32" spans="1:21" x14ac:dyDescent="0.2">
      <c r="A32" s="191" t="s">
        <v>399</v>
      </c>
      <c r="B32" s="189"/>
      <c r="G32" s="192"/>
      <c r="L32" s="189"/>
      <c r="M32" s="189" t="s">
        <v>400</v>
      </c>
      <c r="S32" s="119" t="s">
        <v>378</v>
      </c>
      <c r="T32" s="205">
        <f>SUM($S$28:$S$31)</f>
        <v>397323758.04316121</v>
      </c>
      <c r="U32" s="106" t="s">
        <v>379</v>
      </c>
    </row>
    <row r="33" spans="1:21" x14ac:dyDescent="0.2">
      <c r="A33" s="189"/>
      <c r="B33" s="189" t="s">
        <v>401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402</v>
      </c>
      <c r="G34" s="192"/>
      <c r="H34" s="195">
        <f>COUNTIF(facilities!$H$36:$H$106,"=new")</f>
        <v>0</v>
      </c>
      <c r="L34" s="191" t="s">
        <v>403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404</v>
      </c>
      <c r="S35" s="194">
        <v>25470000</v>
      </c>
    </row>
    <row r="36" spans="1:21" x14ac:dyDescent="0.2">
      <c r="L36" s="189"/>
      <c r="M36" s="189" t="s">
        <v>405</v>
      </c>
      <c r="S36" s="196">
        <f>H33*12000000-H38*70/100*12000000</f>
        <v>-8400000</v>
      </c>
    </row>
    <row r="37" spans="1:21" x14ac:dyDescent="0.2">
      <c r="A37" s="191" t="s">
        <v>406</v>
      </c>
      <c r="L37" s="189"/>
      <c r="M37" s="189" t="s">
        <v>407</v>
      </c>
      <c r="S37" s="196">
        <f>H27*8000+H29*70/100*8000</f>
        <v>-78400</v>
      </c>
    </row>
    <row r="38" spans="1:21" x14ac:dyDescent="0.2">
      <c r="B38" s="189" t="s">
        <v>401</v>
      </c>
      <c r="H38" s="193">
        <f>COUNTIF(facilities!$H$6:$H$15,"=sold")</f>
        <v>1</v>
      </c>
      <c r="L38" s="189"/>
      <c r="M38" s="189" t="s">
        <v>408</v>
      </c>
      <c r="S38" s="196">
        <v>80650000</v>
      </c>
    </row>
    <row r="39" spans="1:21" x14ac:dyDescent="0.2">
      <c r="B39" s="189" t="s">
        <v>402</v>
      </c>
      <c r="H39" s="195">
        <f>COUNTIF(facilities!$H$36:$H$106,"=sold")</f>
        <v>0</v>
      </c>
      <c r="L39" s="189"/>
      <c r="M39" s="189" t="s">
        <v>409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410</v>
      </c>
      <c r="S40" s="196">
        <f>H28*6000+H30*80/100*6000</f>
        <v>0</v>
      </c>
    </row>
    <row r="41" spans="1:21" x14ac:dyDescent="0.2">
      <c r="L41" s="189"/>
      <c r="M41" s="189" t="s">
        <v>411</v>
      </c>
      <c r="S41" s="196">
        <v>0</v>
      </c>
    </row>
    <row r="42" spans="1:21" x14ac:dyDescent="0.2">
      <c r="L42" s="189"/>
      <c r="M42" s="189" t="s">
        <v>412</v>
      </c>
      <c r="S42" s="198">
        <f>H35*100000-H40*60/100*100000</f>
        <v>0</v>
      </c>
    </row>
    <row r="43" spans="1:21" x14ac:dyDescent="0.2">
      <c r="L43" s="189"/>
      <c r="M43" s="189" t="s">
        <v>413</v>
      </c>
      <c r="S43" s="183" t="s">
        <v>378</v>
      </c>
      <c r="T43" s="205">
        <f>SUM($S$35:$S$42)</f>
        <v>97641600</v>
      </c>
      <c r="U43" s="106" t="s">
        <v>379</v>
      </c>
    </row>
    <row r="44" spans="1:21" x14ac:dyDescent="0.2">
      <c r="L44" s="189"/>
      <c r="S44" s="116"/>
    </row>
    <row r="45" spans="1:21" ht="14.25" thickBot="1" x14ac:dyDescent="0.3">
      <c r="L45" s="206" t="s">
        <v>414</v>
      </c>
      <c r="M45" s="189"/>
      <c r="T45" s="207">
        <f>$T$11-$T$19-$T$25-$T$32-$T$43</f>
        <v>-7422412698.2833672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27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314</v>
      </c>
    </row>
    <row r="3" spans="2:14" x14ac:dyDescent="0.2">
      <c r="B3" s="109" t="s">
        <v>315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1.1195748617173364</v>
      </c>
      <c r="D5" s="106">
        <v>0.90024541248164214</v>
      </c>
      <c r="E5" s="106">
        <v>0.69813299428458475</v>
      </c>
      <c r="F5" s="106">
        <v>0.6253782613600154</v>
      </c>
      <c r="G5" s="106">
        <v>0.69759437310677141</v>
      </c>
      <c r="H5" s="106">
        <v>0.61664309030023434</v>
      </c>
      <c r="I5" s="106">
        <v>0.62443770234647944</v>
      </c>
      <c r="J5" s="106">
        <v>0.62318299085167816</v>
      </c>
      <c r="K5" s="106">
        <v>0.7321211948014158</v>
      </c>
      <c r="L5" s="106">
        <v>0.65559599805212576</v>
      </c>
      <c r="M5" s="106">
        <v>0.55380323605880588</v>
      </c>
      <c r="N5" s="106">
        <v>0.67341850635268585</v>
      </c>
    </row>
    <row r="6" spans="2:14" x14ac:dyDescent="0.2">
      <c r="B6" s="177" t="s">
        <v>105</v>
      </c>
      <c r="C6" s="106">
        <v>0.73752257826603262</v>
      </c>
      <c r="D6" s="106">
        <v>0.71312058937024458</v>
      </c>
      <c r="E6" s="106">
        <v>0.66078251429724966</v>
      </c>
      <c r="F6" s="106">
        <v>0.63194302949023096</v>
      </c>
      <c r="G6" s="106">
        <v>0.71122868389840321</v>
      </c>
      <c r="H6" s="106">
        <v>0.69195607729643471</v>
      </c>
      <c r="I6" s="106">
        <v>0.6698783603275108</v>
      </c>
      <c r="J6" s="106">
        <v>0.67334919003437688</v>
      </c>
      <c r="K6" s="106">
        <v>0.62713788024342931</v>
      </c>
      <c r="L6" s="106">
        <v>0.90136155668155149</v>
      </c>
      <c r="M6" s="106">
        <v>0.66694425811452884</v>
      </c>
      <c r="N6" s="106">
        <v>0.64812762094393206</v>
      </c>
    </row>
    <row r="7" spans="2:14" x14ac:dyDescent="0.2">
      <c r="B7" s="177" t="s">
        <v>106</v>
      </c>
      <c r="C7" s="106">
        <v>0.80108814878855172</v>
      </c>
      <c r="D7" s="106">
        <v>0.7924361343242966</v>
      </c>
      <c r="E7" s="106">
        <v>0.74505128484809469</v>
      </c>
      <c r="F7" s="106">
        <v>0.77966697646471261</v>
      </c>
      <c r="G7" s="106">
        <v>0.73434227084000581</v>
      </c>
      <c r="H7" s="106">
        <v>0.71068640154307772</v>
      </c>
      <c r="I7" s="106">
        <v>0.77071294155304382</v>
      </c>
      <c r="J7" s="106">
        <v>0.75030545313852204</v>
      </c>
      <c r="K7" s="106">
        <v>0.72081491362380778</v>
      </c>
      <c r="L7" s="106">
        <v>0.77125090197464685</v>
      </c>
      <c r="M7" s="106">
        <v>0.76545813722079137</v>
      </c>
      <c r="N7" s="106">
        <v>0.74810905907218017</v>
      </c>
    </row>
    <row r="8" spans="2:14" x14ac:dyDescent="0.2">
      <c r="B8" s="177" t="s">
        <v>107</v>
      </c>
      <c r="C8" s="106">
        <v>0.69215710163734456</v>
      </c>
      <c r="D8" s="106">
        <v>0.6984192925620486</v>
      </c>
      <c r="E8" s="106">
        <v>0.71664491511436179</v>
      </c>
      <c r="F8" s="106">
        <v>0.69612490477240574</v>
      </c>
      <c r="G8" s="106">
        <v>0.69637123933703537</v>
      </c>
      <c r="H8" s="106">
        <v>0.83474270729125544</v>
      </c>
      <c r="I8" s="106">
        <v>0.7054505673935777</v>
      </c>
      <c r="J8" s="106">
        <v>0.77138631688317905</v>
      </c>
      <c r="K8" s="106">
        <v>0.68403464245734136</v>
      </c>
      <c r="L8" s="106">
        <v>0.65314619373285454</v>
      </c>
      <c r="M8" s="106">
        <v>1.0375093948806502</v>
      </c>
      <c r="N8" s="106">
        <v>0.73001518190685921</v>
      </c>
    </row>
    <row r="9" spans="2:14" x14ac:dyDescent="0.2">
      <c r="B9" s="177" t="s">
        <v>108</v>
      </c>
      <c r="C9" s="106">
        <v>2.021124062538147</v>
      </c>
      <c r="D9" s="106">
        <v>2.0210351026058198</v>
      </c>
      <c r="E9" s="106">
        <v>2.0629218554496767</v>
      </c>
      <c r="F9" s="106">
        <v>2.0311519777774811</v>
      </c>
      <c r="G9" s="106">
        <v>2.0885404682159425</v>
      </c>
      <c r="H9" s="106">
        <v>2.0988884246349335</v>
      </c>
      <c r="I9" s="106">
        <v>2.0140542721748353</v>
      </c>
      <c r="J9" s="106">
        <v>2.0486775791645049</v>
      </c>
      <c r="K9" s="106">
        <v>2.0481951093673705</v>
      </c>
      <c r="L9" s="106">
        <v>2.1082301652431488</v>
      </c>
      <c r="M9" s="106">
        <v>2.0461120581626893</v>
      </c>
      <c r="N9" s="106">
        <v>2.097255197763443</v>
      </c>
    </row>
    <row r="10" spans="2:14" x14ac:dyDescent="0.2">
      <c r="B10" s="177" t="s">
        <v>109</v>
      </c>
      <c r="C10" s="106">
        <v>0.68320932388305666</v>
      </c>
      <c r="D10" s="106">
        <v>0.61594631075859074</v>
      </c>
      <c r="E10" s="106">
        <v>0.64968725442886355</v>
      </c>
      <c r="F10" s="106">
        <v>0.67135871052742002</v>
      </c>
      <c r="G10" s="106">
        <v>0.68141148090362547</v>
      </c>
      <c r="H10" s="106">
        <v>0.69480175375938413</v>
      </c>
      <c r="I10" s="106">
        <v>0.61773518323898313</v>
      </c>
      <c r="J10" s="106">
        <v>0.67837215065956114</v>
      </c>
      <c r="K10" s="106">
        <v>0.65189948081970217</v>
      </c>
      <c r="L10" s="106">
        <v>0.63375279307365417</v>
      </c>
      <c r="M10" s="106">
        <v>0.67463694810867314</v>
      </c>
      <c r="N10" s="106">
        <v>0.61140220761299136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316</v>
      </c>
      <c r="C12" s="107"/>
      <c r="D12" s="107"/>
      <c r="E12" s="107"/>
      <c r="F12" s="107"/>
      <c r="G12" s="107"/>
    </row>
    <row r="13" spans="2:14" x14ac:dyDescent="0.2">
      <c r="B13" s="177" t="s">
        <v>317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318</v>
      </c>
      <c r="C14" s="107">
        <v>0.36786274389733636</v>
      </c>
      <c r="D14" s="107">
        <v>0.36922820390590155</v>
      </c>
      <c r="E14" s="107">
        <v>0.37058982175950167</v>
      </c>
      <c r="F14" s="107">
        <v>0.37194376611429353</v>
      </c>
      <c r="G14" s="107">
        <v>0.3732862272182576</v>
      </c>
      <c r="H14" s="106">
        <v>0.37461342763114397</v>
      </c>
      <c r="I14" s="106">
        <v>0.37592163285349883</v>
      </c>
      <c r="J14" s="106">
        <v>0.3772071618348638</v>
      </c>
      <c r="K14" s="106">
        <v>0.37846639733157933</v>
      </c>
      <c r="L14" s="106">
        <v>0.37969579608504683</v>
      </c>
      <c r="M14" s="106">
        <v>0.38089189879181196</v>
      </c>
      <c r="N14" s="106">
        <v>0.38205133983741152</v>
      </c>
    </row>
    <row r="15" spans="2:14" x14ac:dyDescent="0.2">
      <c r="B15" s="176" t="s">
        <v>319</v>
      </c>
      <c r="C15" s="106">
        <v>1.1693814261380255</v>
      </c>
      <c r="D15" s="106">
        <v>1.1724818518861759</v>
      </c>
      <c r="E15" s="106">
        <v>1.1755735536027858</v>
      </c>
      <c r="F15" s="106">
        <v>1.1786478318041449</v>
      </c>
      <c r="G15" s="106">
        <v>1.1816960360331317</v>
      </c>
      <c r="H15" s="106">
        <v>1.1847095892000183</v>
      </c>
      <c r="I15" s="106">
        <v>1.1876800117168347</v>
      </c>
      <c r="J15" s="106">
        <v>1.190598945357378</v>
      </c>
      <c r="K15" s="106">
        <v>1.1934581767757364</v>
      </c>
      <c r="L15" s="106">
        <v>1.1962496606171418</v>
      </c>
      <c r="M15" s="106">
        <v>1.1989655421561285</v>
      </c>
      <c r="N15" s="106">
        <v>1.2015981793982962</v>
      </c>
    </row>
    <row r="16" spans="2:14" x14ac:dyDescent="0.2">
      <c r="B16" s="107"/>
    </row>
    <row r="17" spans="2:14" x14ac:dyDescent="0.2">
      <c r="B17" s="109" t="s">
        <v>320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1.1195748617173364</v>
      </c>
      <c r="D19" s="106">
        <f t="shared" ref="D19:N20" si="0">D5</f>
        <v>0.90024541248164214</v>
      </c>
      <c r="E19" s="106">
        <f t="shared" si="0"/>
        <v>0.69813299428458475</v>
      </c>
      <c r="F19" s="106">
        <f t="shared" si="0"/>
        <v>0.6253782613600154</v>
      </c>
      <c r="G19" s="106">
        <f t="shared" si="0"/>
        <v>0.69759437310677141</v>
      </c>
      <c r="H19" s="106">
        <f t="shared" si="0"/>
        <v>0.61664309030023434</v>
      </c>
      <c r="I19" s="106">
        <f t="shared" si="0"/>
        <v>0.62443770234647944</v>
      </c>
      <c r="J19" s="106">
        <f t="shared" si="0"/>
        <v>0.62318299085167816</v>
      </c>
      <c r="K19" s="106">
        <f t="shared" si="0"/>
        <v>0.7321211948014158</v>
      </c>
      <c r="L19" s="106">
        <f t="shared" si="0"/>
        <v>0.65559599805212576</v>
      </c>
      <c r="M19" s="106">
        <f t="shared" si="0"/>
        <v>0.55380323605880588</v>
      </c>
      <c r="N19" s="106">
        <f t="shared" si="0"/>
        <v>0.67341850635268585</v>
      </c>
    </row>
    <row r="20" spans="2:14" x14ac:dyDescent="0.2">
      <c r="B20" s="179" t="s">
        <v>105</v>
      </c>
      <c r="C20" s="106">
        <f>C6</f>
        <v>0.73752257826603262</v>
      </c>
      <c r="D20" s="106">
        <f t="shared" si="0"/>
        <v>0.71312058937024458</v>
      </c>
      <c r="E20" s="106">
        <f t="shared" si="0"/>
        <v>0.66078251429724966</v>
      </c>
      <c r="F20" s="106">
        <f t="shared" si="0"/>
        <v>0.63194302949023096</v>
      </c>
      <c r="G20" s="106">
        <f t="shared" si="0"/>
        <v>0.71122868389840321</v>
      </c>
      <c r="H20" s="106">
        <f t="shared" si="0"/>
        <v>0.69195607729643471</v>
      </c>
      <c r="I20" s="106">
        <f t="shared" si="0"/>
        <v>0.6698783603275108</v>
      </c>
      <c r="J20" s="106">
        <f t="shared" si="0"/>
        <v>0.67334919003437688</v>
      </c>
      <c r="K20" s="106">
        <f t="shared" si="0"/>
        <v>0.62713788024342931</v>
      </c>
      <c r="L20" s="106">
        <f t="shared" si="0"/>
        <v>0.90136155668155149</v>
      </c>
      <c r="M20" s="106">
        <f t="shared" si="0"/>
        <v>0.66694425811452884</v>
      </c>
      <c r="N20" s="106">
        <f t="shared" si="0"/>
        <v>0.64812762094393206</v>
      </c>
    </row>
    <row r="21" spans="2:14" x14ac:dyDescent="0.2">
      <c r="B21" s="179" t="s">
        <v>106</v>
      </c>
      <c r="C21" s="106">
        <f t="shared" ref="C21:N22" si="1">C7</f>
        <v>0.80108814878855172</v>
      </c>
      <c r="D21" s="106">
        <f t="shared" si="1"/>
        <v>0.7924361343242966</v>
      </c>
      <c r="E21" s="106">
        <f t="shared" si="1"/>
        <v>0.74505128484809469</v>
      </c>
      <c r="F21" s="106">
        <f t="shared" si="1"/>
        <v>0.77966697646471261</v>
      </c>
      <c r="G21" s="106">
        <f t="shared" si="1"/>
        <v>0.73434227084000581</v>
      </c>
      <c r="H21" s="106">
        <f t="shared" si="1"/>
        <v>0.71068640154307772</v>
      </c>
      <c r="I21" s="106">
        <f t="shared" si="1"/>
        <v>0.77071294155304382</v>
      </c>
      <c r="J21" s="106">
        <f t="shared" si="1"/>
        <v>0.75030545313852204</v>
      </c>
      <c r="K21" s="106">
        <f t="shared" si="1"/>
        <v>0.72081491362380778</v>
      </c>
      <c r="L21" s="106">
        <f t="shared" si="1"/>
        <v>0.77125090197464685</v>
      </c>
      <c r="M21" s="106">
        <f t="shared" si="1"/>
        <v>0.76545813722079137</v>
      </c>
      <c r="N21" s="106">
        <f t="shared" si="1"/>
        <v>0.74810905907218017</v>
      </c>
    </row>
    <row r="22" spans="2:14" x14ac:dyDescent="0.2">
      <c r="B22" s="179" t="s">
        <v>107</v>
      </c>
      <c r="C22" s="106">
        <f t="shared" si="1"/>
        <v>0.69215710163734456</v>
      </c>
      <c r="D22" s="106">
        <f t="shared" si="1"/>
        <v>0.6984192925620486</v>
      </c>
      <c r="E22" s="106">
        <f t="shared" si="1"/>
        <v>0.71664491511436179</v>
      </c>
      <c r="F22" s="106">
        <f t="shared" si="1"/>
        <v>0.69612490477240574</v>
      </c>
      <c r="G22" s="106">
        <f t="shared" si="1"/>
        <v>0.69637123933703537</v>
      </c>
      <c r="H22" s="106">
        <f t="shared" si="1"/>
        <v>0.83474270729125544</v>
      </c>
      <c r="I22" s="106">
        <f t="shared" si="1"/>
        <v>0.7054505673935777</v>
      </c>
      <c r="J22" s="106">
        <f t="shared" si="1"/>
        <v>0.77138631688317905</v>
      </c>
      <c r="K22" s="106">
        <f t="shared" si="1"/>
        <v>0.68403464245734136</v>
      </c>
      <c r="L22" s="106">
        <f t="shared" si="1"/>
        <v>0.65314619373285454</v>
      </c>
      <c r="M22" s="106">
        <f t="shared" si="1"/>
        <v>1.0375093948806502</v>
      </c>
      <c r="N22" s="106">
        <f t="shared" si="1"/>
        <v>0.73001518190685921</v>
      </c>
    </row>
    <row r="23" spans="2:14" x14ac:dyDescent="0.2">
      <c r="B23" s="179" t="s">
        <v>108</v>
      </c>
      <c r="C23" s="106">
        <f>C9*C14</f>
        <v>0.74349624340221443</v>
      </c>
      <c r="D23" s="106">
        <f t="shared" ref="D23:N24" si="2">D9*D14</f>
        <v>0.74622316096592634</v>
      </c>
      <c r="E23" s="106">
        <f t="shared" si="2"/>
        <v>0.76449784271487609</v>
      </c>
      <c r="F23" s="106">
        <f t="shared" si="2"/>
        <v>0.75547431616505212</v>
      </c>
      <c r="G23" s="106">
        <f t="shared" si="2"/>
        <v>0.77962339177298245</v>
      </c>
      <c r="H23" s="106">
        <f t="shared" si="2"/>
        <v>0.7862717869678244</v>
      </c>
      <c r="I23" s="106">
        <f t="shared" si="2"/>
        <v>0.75712657065152922</v>
      </c>
      <c r="J23" s="106">
        <f t="shared" si="2"/>
        <v>0.77277585515136238</v>
      </c>
      <c r="K23" s="106">
        <f t="shared" si="2"/>
        <v>0.77517302407442878</v>
      </c>
      <c r="L23" s="106">
        <f t="shared" si="2"/>
        <v>0.8004861309225072</v>
      </c>
      <c r="M23" s="106">
        <f t="shared" si="2"/>
        <v>0.77934750697440913</v>
      </c>
      <c r="N23" s="106">
        <f t="shared" si="2"/>
        <v>0.80125915828649885</v>
      </c>
    </row>
    <row r="24" spans="2:14" x14ac:dyDescent="0.2">
      <c r="B24" s="179" t="s">
        <v>109</v>
      </c>
      <c r="C24" s="106">
        <f>C10*C15</f>
        <v>0.79893229351316497</v>
      </c>
      <c r="D24" s="106">
        <f t="shared" si="2"/>
        <v>0.72218587110069044</v>
      </c>
      <c r="E24" s="106">
        <f t="shared" si="2"/>
        <v>0.76375515441937636</v>
      </c>
      <c r="F24" s="106">
        <f t="shared" si="2"/>
        <v>0.7912954885259702</v>
      </c>
      <c r="G24" s="106">
        <f t="shared" si="2"/>
        <v>0.80522124589128019</v>
      </c>
      <c r="H24" s="106">
        <f t="shared" si="2"/>
        <v>0.82313830027173229</v>
      </c>
      <c r="I24" s="106">
        <f t="shared" si="2"/>
        <v>0.73367172966717653</v>
      </c>
      <c r="J24" s="106">
        <f t="shared" si="2"/>
        <v>0.80766916713508985</v>
      </c>
      <c r="K24" s="106">
        <f t="shared" si="2"/>
        <v>0.77801476582013085</v>
      </c>
      <c r="L24" s="106">
        <f t="shared" si="2"/>
        <v>0.75812656362952446</v>
      </c>
      <c r="M24" s="106">
        <f t="shared" si="2"/>
        <v>0.80886645424767123</v>
      </c>
      <c r="N24" s="106">
        <f t="shared" si="2"/>
        <v>0.73465977954786954</v>
      </c>
    </row>
    <row r="25" spans="2:14" x14ac:dyDescent="0.2">
      <c r="B25" s="178"/>
    </row>
    <row r="26" spans="2:14" x14ac:dyDescent="0.2">
      <c r="B26" s="110" t="s">
        <v>321</v>
      </c>
    </row>
    <row r="27" spans="2:14" x14ac:dyDescent="0.2">
      <c r="B27" s="105" t="s">
        <v>322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323</v>
      </c>
    </row>
    <row r="36" spans="2:50" x14ac:dyDescent="0.2">
      <c r="B36" s="176" t="s">
        <v>275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324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9023.8314618400818</v>
      </c>
      <c r="D38" s="106">
        <v>10428.307442850562</v>
      </c>
      <c r="E38" s="106">
        <v>9065.1147169126434</v>
      </c>
      <c r="F38" s="106">
        <v>10087.858074818208</v>
      </c>
      <c r="G38" s="106">
        <v>17692.179235395437</v>
      </c>
      <c r="H38" s="106">
        <v>10131.765933739784</v>
      </c>
      <c r="I38" s="106">
        <v>17768.978908664292</v>
      </c>
      <c r="J38" s="106">
        <v>17807.338642222287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18485.895757262515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10748.485876291024</v>
      </c>
      <c r="AL38" s="106">
        <v>26921.341209603564</v>
      </c>
      <c r="AM38" s="106">
        <v>26971.178763785614</v>
      </c>
      <c r="AN38" s="106">
        <v>27020.719306543244</v>
      </c>
      <c r="AO38" s="106">
        <v>27069.954839740756</v>
      </c>
      <c r="AP38" s="106">
        <v>18983.2141906877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10546.123036103019</v>
      </c>
      <c r="E39" s="106">
        <v>6039.5361390750204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10730.368248264709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10935.381700887314</v>
      </c>
      <c r="V39" s="106">
        <v>10957.902773918835</v>
      </c>
      <c r="W39" s="106">
        <v>10980.358829709205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15876.468185043188</v>
      </c>
      <c r="AD39" s="106">
        <v>11135.427873913615</v>
      </c>
      <c r="AE39" s="106">
        <v>11157.234351741996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1624.1972903844453</v>
      </c>
      <c r="AP39" s="106">
        <v>1627.1326449160888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3607.3094999232972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5443.150431906035</v>
      </c>
      <c r="AS40" s="106">
        <v>5452.7377389875128</v>
      </c>
      <c r="AT40" s="106">
        <v>5462.2562017647024</v>
      </c>
      <c r="AU40" s="106">
        <v>5471.7042848759638</v>
      </c>
      <c r="AV40" s="106">
        <v>3836.7563252524028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1257.4567138452264</v>
      </c>
      <c r="Y41" s="106">
        <v>1260.0070184616422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320.01577827515831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2282.0682474629784</v>
      </c>
      <c r="AR41" s="106">
        <v>3265.8902591436208</v>
      </c>
      <c r="AS41" s="106">
        <v>327.16426433925079</v>
      </c>
      <c r="AT41" s="106">
        <v>327.73537210588216</v>
      </c>
      <c r="AU41" s="106">
        <v>328.30225709255785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325</v>
      </c>
    </row>
    <row r="46" spans="2:50" x14ac:dyDescent="0.2">
      <c r="B46" s="105" t="s">
        <v>275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326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3203.3999387586405</v>
      </c>
      <c r="R49" s="106">
        <v>3203.3999387586405</v>
      </c>
      <c r="S49" s="106">
        <v>3203.3999387586405</v>
      </c>
      <c r="T49" s="106">
        <v>3203.3999387586405</v>
      </c>
      <c r="U49" s="106">
        <v>3203.3999387586405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3203.3999387586405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1624.1972903844453</v>
      </c>
      <c r="AP49" s="106">
        <v>1627.1326449160888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2958.1665880602222</v>
      </c>
      <c r="F50" s="106">
        <v>2958.1665880602222</v>
      </c>
      <c r="G50" s="106">
        <v>2958.1665880602222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2958.1665880602222</v>
      </c>
      <c r="AC50" s="106">
        <v>2958.1665880602222</v>
      </c>
      <c r="AD50" s="106">
        <v>2958.1665880602222</v>
      </c>
      <c r="AE50" s="106">
        <v>2958.1665880602222</v>
      </c>
      <c r="AF50" s="106">
        <v>2958.1665880602222</v>
      </c>
      <c r="AG50" s="106">
        <v>2958.1665880602222</v>
      </c>
      <c r="AH50" s="106">
        <v>2958.1665880602222</v>
      </c>
      <c r="AI50" s="106">
        <v>2958.1665880602222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2958.1665880602222</v>
      </c>
      <c r="AQ50" s="106">
        <v>2958.1665880602222</v>
      </c>
      <c r="AR50" s="106">
        <v>2958.1665880602222</v>
      </c>
      <c r="AS50" s="106">
        <v>2958.1665880602222</v>
      </c>
      <c r="AT50" s="106">
        <v>2958.1665880602222</v>
      </c>
      <c r="AU50" s="106">
        <v>2958.1665880602222</v>
      </c>
      <c r="AV50" s="106">
        <v>2958.1665880602222</v>
      </c>
      <c r="AW50" s="106">
        <v>2958.1665880602222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327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275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326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4725159.5641010469</v>
      </c>
      <c r="D59" s="106">
        <v>4725159.5641010469</v>
      </c>
      <c r="E59" s="106">
        <v>4725159.5641010469</v>
      </c>
      <c r="F59" s="106">
        <v>4725159.5641010469</v>
      </c>
      <c r="G59" s="106">
        <v>4568820.9046323346</v>
      </c>
      <c r="H59" s="106">
        <v>4568820.9046323346</v>
      </c>
      <c r="I59" s="106">
        <v>4568820.9046323346</v>
      </c>
      <c r="J59" s="106">
        <v>4568820.9046323346</v>
      </c>
      <c r="K59" s="106">
        <v>4233501.3316651806</v>
      </c>
      <c r="L59" s="106">
        <v>4233501.3316651806</v>
      </c>
      <c r="M59" s="106">
        <v>4233501.3316651806</v>
      </c>
      <c r="N59" s="106">
        <v>4233501.3316651806</v>
      </c>
      <c r="O59" s="106">
        <v>4048732.5239359112</v>
      </c>
      <c r="P59" s="106">
        <v>4048732.5239359112</v>
      </c>
      <c r="Q59" s="106">
        <v>4048732.5239359112</v>
      </c>
      <c r="R59" s="106">
        <v>4048732.5239359112</v>
      </c>
      <c r="S59" s="106">
        <v>4556699.8448870666</v>
      </c>
      <c r="T59" s="106">
        <v>4556699.8448870666</v>
      </c>
      <c r="U59" s="106">
        <v>4556699.8448870666</v>
      </c>
      <c r="V59" s="106">
        <v>4556699.8448870666</v>
      </c>
      <c r="W59" s="106">
        <v>4433224.1112701362</v>
      </c>
      <c r="X59" s="106">
        <v>4433224.1112701362</v>
      </c>
      <c r="Y59" s="106">
        <v>4433224.1112701362</v>
      </c>
      <c r="Z59" s="106">
        <v>4433224.1112701362</v>
      </c>
      <c r="AA59" s="106">
        <v>4291776.5968977725</v>
      </c>
      <c r="AB59" s="106">
        <v>4291776.5968977725</v>
      </c>
      <c r="AC59" s="106">
        <v>4291776.5968977725</v>
      </c>
      <c r="AD59" s="106">
        <v>4291776.5968977725</v>
      </c>
      <c r="AE59" s="106">
        <v>4314013.5082386062</v>
      </c>
      <c r="AF59" s="106">
        <v>4314013.5082386062</v>
      </c>
      <c r="AG59" s="106">
        <v>4314013.5082386062</v>
      </c>
      <c r="AH59" s="106">
        <v>4314013.5082386062</v>
      </c>
      <c r="AI59" s="106">
        <v>4017946.8943300503</v>
      </c>
      <c r="AJ59" s="106">
        <v>4017946.8943300503</v>
      </c>
      <c r="AK59" s="106">
        <v>4017946.8943300503</v>
      </c>
      <c r="AL59" s="106">
        <v>4017946.8943300503</v>
      </c>
      <c r="AM59" s="106">
        <v>5774843.1109461496</v>
      </c>
      <c r="AN59" s="106">
        <v>5774843.1109461496</v>
      </c>
      <c r="AO59" s="106">
        <v>2927977.9960377631</v>
      </c>
      <c r="AP59" s="106">
        <v>2933269.6274978719</v>
      </c>
      <c r="AQ59" s="106">
        <v>4272978.3911990169</v>
      </c>
      <c r="AR59" s="106">
        <v>4272978.3911990169</v>
      </c>
      <c r="AS59" s="106">
        <v>4272978.3911990169</v>
      </c>
      <c r="AT59" s="106">
        <v>4272978.3911990169</v>
      </c>
      <c r="AU59" s="106">
        <v>4152423.9624791509</v>
      </c>
      <c r="AV59" s="106">
        <v>4152423.9624791509</v>
      </c>
      <c r="AW59" s="106">
        <v>4152423.9624791509</v>
      </c>
      <c r="AX59" s="106">
        <v>4152423.9624791509</v>
      </c>
    </row>
    <row r="60" spans="2:51" x14ac:dyDescent="0.2">
      <c r="B60" s="111" t="s">
        <v>106</v>
      </c>
      <c r="C60" s="106">
        <v>4739504.3916746192</v>
      </c>
      <c r="D60" s="106">
        <v>4739504.3916746192</v>
      </c>
      <c r="E60" s="106">
        <v>4739504.3916746192</v>
      </c>
      <c r="F60" s="106">
        <v>4739504.3916746192</v>
      </c>
      <c r="G60" s="106">
        <v>4688316.1914594732</v>
      </c>
      <c r="H60" s="106">
        <v>4688316.1914594732</v>
      </c>
      <c r="I60" s="106">
        <v>4688316.1914594732</v>
      </c>
      <c r="J60" s="106">
        <v>4688316.1914594732</v>
      </c>
      <c r="K60" s="106">
        <v>4407971.6344579458</v>
      </c>
      <c r="L60" s="106">
        <v>4407971.6344579458</v>
      </c>
      <c r="M60" s="106">
        <v>4407971.6344579458</v>
      </c>
      <c r="N60" s="106">
        <v>4407971.6344579458</v>
      </c>
      <c r="O60" s="106">
        <v>4612769.5991836973</v>
      </c>
      <c r="P60" s="106">
        <v>4612769.5991836973</v>
      </c>
      <c r="Q60" s="106">
        <v>4612769.5991836973</v>
      </c>
      <c r="R60" s="106">
        <v>4612769.5991836973</v>
      </c>
      <c r="S60" s="106">
        <v>4344613.5395983513</v>
      </c>
      <c r="T60" s="106">
        <v>4344613.5395983513</v>
      </c>
      <c r="U60" s="106">
        <v>4344613.5395983513</v>
      </c>
      <c r="V60" s="106">
        <v>4344613.5395983513</v>
      </c>
      <c r="W60" s="106">
        <v>4204657.5352669666</v>
      </c>
      <c r="X60" s="106">
        <v>4204657.5352669666</v>
      </c>
      <c r="Y60" s="106">
        <v>4204657.5352669666</v>
      </c>
      <c r="Z60" s="106">
        <v>4204657.5352669666</v>
      </c>
      <c r="AA60" s="106">
        <v>4559794.5453756498</v>
      </c>
      <c r="AB60" s="106">
        <v>4559794.5453756498</v>
      </c>
      <c r="AC60" s="106">
        <v>4559794.5453756498</v>
      </c>
      <c r="AD60" s="106">
        <v>4559794.5453756498</v>
      </c>
      <c r="AE60" s="106">
        <v>4439057.0446275212</v>
      </c>
      <c r="AF60" s="106">
        <v>4439057.0446275212</v>
      </c>
      <c r="AG60" s="106">
        <v>4439057.0446275212</v>
      </c>
      <c r="AH60" s="106">
        <v>4439057.0446275212</v>
      </c>
      <c r="AI60" s="106">
        <v>4264581.1873149266</v>
      </c>
      <c r="AJ60" s="106">
        <v>4264581.1873149266</v>
      </c>
      <c r="AK60" s="106">
        <v>4264581.1873149266</v>
      </c>
      <c r="AL60" s="106">
        <v>4264581.1873149266</v>
      </c>
      <c r="AM60" s="106">
        <v>4562977.2984654205</v>
      </c>
      <c r="AN60" s="106">
        <v>4562977.2984654205</v>
      </c>
      <c r="AO60" s="106">
        <v>4562977.2984654205</v>
      </c>
      <c r="AP60" s="106">
        <v>4562977.2984654205</v>
      </c>
      <c r="AQ60" s="106">
        <v>4528705.372170723</v>
      </c>
      <c r="AR60" s="106">
        <v>4528705.372170723</v>
      </c>
      <c r="AS60" s="106">
        <v>4528705.372170723</v>
      </c>
      <c r="AT60" s="106">
        <v>4528705.372170723</v>
      </c>
      <c r="AU60" s="106">
        <v>4426062.4455449888</v>
      </c>
      <c r="AV60" s="106">
        <v>4426062.4455449888</v>
      </c>
      <c r="AW60" s="106">
        <v>4426062.4455449888</v>
      </c>
      <c r="AX60" s="106">
        <v>4426062.4455449888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328</v>
      </c>
    </row>
    <row r="66" spans="1:14" x14ac:dyDescent="0.2">
      <c r="B66" s="105" t="s">
        <v>329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330</v>
      </c>
      <c r="C67" s="106">
        <v>72000</v>
      </c>
      <c r="D67" s="106">
        <v>64000</v>
      </c>
      <c r="E67" s="106">
        <v>64000</v>
      </c>
      <c r="F67" s="106">
        <v>72000</v>
      </c>
      <c r="G67" s="106">
        <v>64000</v>
      </c>
      <c r="H67" s="106">
        <v>64000</v>
      </c>
      <c r="I67" s="106">
        <v>72000</v>
      </c>
      <c r="J67" s="106">
        <v>64000</v>
      </c>
      <c r="K67" s="106">
        <v>64000</v>
      </c>
      <c r="L67" s="106">
        <v>72000</v>
      </c>
      <c r="M67" s="106">
        <v>64000</v>
      </c>
      <c r="N67" s="106">
        <v>64000</v>
      </c>
    </row>
    <row r="68" spans="1:14" x14ac:dyDescent="0.2">
      <c r="B68" s="105" t="s">
        <v>331</v>
      </c>
      <c r="C68" s="106">
        <v>162000</v>
      </c>
      <c r="D68" s="106">
        <v>144000</v>
      </c>
      <c r="E68" s="106">
        <v>144000</v>
      </c>
      <c r="F68" s="106">
        <v>162000</v>
      </c>
      <c r="G68" s="106">
        <v>144000</v>
      </c>
      <c r="H68" s="106">
        <v>144000</v>
      </c>
      <c r="I68" s="106">
        <v>162000</v>
      </c>
      <c r="J68" s="106">
        <v>144000</v>
      </c>
      <c r="K68" s="106">
        <v>144000</v>
      </c>
      <c r="L68" s="106">
        <v>162000</v>
      </c>
      <c r="M68" s="106">
        <v>144000</v>
      </c>
      <c r="N68" s="106">
        <v>144000</v>
      </c>
    </row>
    <row r="70" spans="1:14" x14ac:dyDescent="0.2">
      <c r="B70" s="110" t="s">
        <v>332</v>
      </c>
    </row>
    <row r="71" spans="1:14" x14ac:dyDescent="0.2">
      <c r="A71" s="111" t="s">
        <v>121</v>
      </c>
      <c r="B71" s="111" t="s">
        <v>333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5437989.0936661046</v>
      </c>
      <c r="D72" s="106">
        <v>36505327.669121616</v>
      </c>
    </row>
    <row r="73" spans="1:14" x14ac:dyDescent="0.2">
      <c r="B73" s="111" t="s">
        <v>93</v>
      </c>
      <c r="C73" s="106">
        <v>4833768.0832587592</v>
      </c>
      <c r="D73" s="106">
        <v>32449180.150330324</v>
      </c>
    </row>
    <row r="74" spans="1:14" x14ac:dyDescent="0.2">
      <c r="B74" s="111" t="s">
        <v>94</v>
      </c>
      <c r="C74" s="106">
        <v>4833768.0832587592</v>
      </c>
      <c r="D74" s="106">
        <v>32449180.150330324</v>
      </c>
    </row>
    <row r="75" spans="1:14" x14ac:dyDescent="0.2">
      <c r="B75" s="111" t="s">
        <v>95</v>
      </c>
      <c r="C75" s="106">
        <v>5437989.0936661046</v>
      </c>
      <c r="D75" s="106">
        <v>36505327.669121616</v>
      </c>
    </row>
    <row r="76" spans="1:14" x14ac:dyDescent="0.2">
      <c r="B76" s="111" t="s">
        <v>96</v>
      </c>
      <c r="C76" s="106">
        <v>4833768.0832587592</v>
      </c>
      <c r="D76" s="106">
        <v>32449180.150330324</v>
      </c>
    </row>
    <row r="77" spans="1:14" x14ac:dyDescent="0.2">
      <c r="B77" s="111" t="s">
        <v>97</v>
      </c>
      <c r="C77" s="106">
        <v>4833768.0832587592</v>
      </c>
      <c r="D77" s="106">
        <v>32449180.150330324</v>
      </c>
    </row>
    <row r="78" spans="1:14" x14ac:dyDescent="0.2">
      <c r="B78" s="111" t="s">
        <v>98</v>
      </c>
      <c r="C78" s="106">
        <v>5437989.0936661046</v>
      </c>
      <c r="D78" s="106">
        <v>36505327.669121616</v>
      </c>
    </row>
    <row r="79" spans="1:14" x14ac:dyDescent="0.2">
      <c r="B79" s="111" t="s">
        <v>99</v>
      </c>
      <c r="C79" s="106">
        <v>4833768.0832587592</v>
      </c>
      <c r="D79" s="106">
        <v>32449180.150330324</v>
      </c>
    </row>
    <row r="80" spans="1:14" x14ac:dyDescent="0.2">
      <c r="B80" s="111" t="s">
        <v>100</v>
      </c>
      <c r="C80" s="106">
        <v>4833768.0832587592</v>
      </c>
      <c r="D80" s="106">
        <v>32449180.150330324</v>
      </c>
    </row>
    <row r="81" spans="2:50" x14ac:dyDescent="0.2">
      <c r="B81" s="111" t="s">
        <v>101</v>
      </c>
      <c r="C81" s="106">
        <v>5437989.0936661046</v>
      </c>
      <c r="D81" s="106">
        <v>36505327.669121616</v>
      </c>
    </row>
    <row r="82" spans="2:50" x14ac:dyDescent="0.2">
      <c r="B82" s="111" t="s">
        <v>102</v>
      </c>
      <c r="C82" s="106">
        <v>4833768.0832587592</v>
      </c>
      <c r="D82" s="106">
        <v>32449180.150330324</v>
      </c>
    </row>
    <row r="83" spans="2:50" x14ac:dyDescent="0.2">
      <c r="B83" s="111" t="s">
        <v>103</v>
      </c>
      <c r="C83" s="106">
        <v>4833768.0832587592</v>
      </c>
      <c r="D83" s="106">
        <v>32449180.150330324</v>
      </c>
    </row>
    <row r="85" spans="2:50" x14ac:dyDescent="0.2">
      <c r="B85" s="109" t="s">
        <v>334</v>
      </c>
    </row>
    <row r="86" spans="2:50" x14ac:dyDescent="0.2">
      <c r="B86" s="105" t="s">
        <v>275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335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18000</v>
      </c>
      <c r="D88" s="106">
        <f>D48+$C$67/4</f>
        <v>18000</v>
      </c>
      <c r="E88" s="106">
        <f>E48+$C$67/4</f>
        <v>18000</v>
      </c>
      <c r="F88" s="106">
        <f>F48+$C$67/4</f>
        <v>18000</v>
      </c>
      <c r="G88" s="106">
        <f>G48+$D$67/4</f>
        <v>16000</v>
      </c>
      <c r="H88" s="106">
        <f>H48+$D$67/4</f>
        <v>16000</v>
      </c>
      <c r="I88" s="106">
        <f>I48+$D$67/4</f>
        <v>16000</v>
      </c>
      <c r="J88" s="106">
        <f>J48+$D$67/4</f>
        <v>16000</v>
      </c>
      <c r="K88" s="106">
        <f>K48+$E$67/4</f>
        <v>16000</v>
      </c>
      <c r="L88" s="106">
        <f>L48+$E$67/4</f>
        <v>16000</v>
      </c>
      <c r="M88" s="106">
        <f>M48+$E$67/4</f>
        <v>16000</v>
      </c>
      <c r="N88" s="106">
        <f>N48+$E$67/4</f>
        <v>16000</v>
      </c>
      <c r="O88" s="106">
        <f>O48+$F$67/4</f>
        <v>18000</v>
      </c>
      <c r="P88" s="106">
        <f>P48+$F$67/4</f>
        <v>18000</v>
      </c>
      <c r="Q88" s="106">
        <f>Q48+$F$67/4</f>
        <v>18000</v>
      </c>
      <c r="R88" s="106">
        <f>R48+$F$67/4</f>
        <v>18000</v>
      </c>
      <c r="S88" s="106">
        <f>S48+$G$67/4</f>
        <v>16000</v>
      </c>
      <c r="T88" s="106">
        <f>T48+$G$67/4</f>
        <v>16000</v>
      </c>
      <c r="U88" s="106">
        <f>U48+$G$67/4</f>
        <v>16000</v>
      </c>
      <c r="V88" s="106">
        <f>V48+$G$67/4</f>
        <v>16000</v>
      </c>
      <c r="W88" s="106">
        <f>W48+$H$67/4</f>
        <v>16000</v>
      </c>
      <c r="X88" s="106">
        <f>X48+$H$67/4</f>
        <v>16000</v>
      </c>
      <c r="Y88" s="106">
        <f>Y48+$H$67/4</f>
        <v>16000</v>
      </c>
      <c r="Z88" s="106">
        <f>Z48+$H$67/4</f>
        <v>16000</v>
      </c>
      <c r="AA88" s="106">
        <f>AA48+$I$67/4</f>
        <v>18000</v>
      </c>
      <c r="AB88" s="106">
        <f>AB48+$I$67/4</f>
        <v>18000</v>
      </c>
      <c r="AC88" s="106">
        <f>AC48+$I$67/4</f>
        <v>18000</v>
      </c>
      <c r="AD88" s="106">
        <f>AD48+$I$67/4</f>
        <v>18000</v>
      </c>
      <c r="AE88" s="106">
        <f>AE48+$J$67/4</f>
        <v>16000</v>
      </c>
      <c r="AF88" s="106">
        <f>AF48+$J$67/4</f>
        <v>16000</v>
      </c>
      <c r="AG88" s="106">
        <f>AG48+$J$67/4</f>
        <v>16000</v>
      </c>
      <c r="AH88" s="106">
        <f>AH48+$J$67/4</f>
        <v>16000</v>
      </c>
      <c r="AI88" s="106">
        <f>AI48+$K$67/4</f>
        <v>16000</v>
      </c>
      <c r="AJ88" s="106">
        <f>AJ48+$K$67/4</f>
        <v>16000</v>
      </c>
      <c r="AK88" s="106">
        <f>AK48+$K$67/4</f>
        <v>16000</v>
      </c>
      <c r="AL88" s="106">
        <f>AL48+$K$67/4</f>
        <v>16000</v>
      </c>
      <c r="AM88" s="106">
        <f>AM48+$L$67/4</f>
        <v>18000</v>
      </c>
      <c r="AN88" s="106">
        <f>AN48+$L$67/4</f>
        <v>18000</v>
      </c>
      <c r="AO88" s="106">
        <f>AO48+$L$67/4</f>
        <v>18000</v>
      </c>
      <c r="AP88" s="106">
        <f>AP48+$L$67/4</f>
        <v>18000</v>
      </c>
      <c r="AQ88" s="106">
        <f>AQ48+$M$67/4</f>
        <v>16000</v>
      </c>
      <c r="AR88" s="106">
        <f>AR48+$M$67/4</f>
        <v>16000</v>
      </c>
      <c r="AS88" s="106">
        <f>AS48+$M$67/4</f>
        <v>16000</v>
      </c>
      <c r="AT88" s="106">
        <f>AT48+$M$67/4</f>
        <v>16000</v>
      </c>
      <c r="AU88" s="106">
        <f>AU48+$N$67/4</f>
        <v>16000</v>
      </c>
      <c r="AV88" s="106">
        <f>AV48+$N$67/4</f>
        <v>16000</v>
      </c>
      <c r="AW88" s="106">
        <f>AW48+$N$67/4</f>
        <v>16000</v>
      </c>
      <c r="AX88" s="106">
        <f>AX48+$N$67/4</f>
        <v>16000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3203.3999387586405</v>
      </c>
      <c r="T89" s="106">
        <f t="shared" si="3"/>
        <v>3203.3999387586405</v>
      </c>
      <c r="U89" s="106">
        <f t="shared" si="3"/>
        <v>3203.3999387586405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3203.3999387586405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1624.1972903844453</v>
      </c>
      <c r="AP89" s="106">
        <f t="shared" si="3"/>
        <v>1627.1326449160888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2958.1665880602222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2958.1665880602222</v>
      </c>
      <c r="AD90" s="106">
        <f t="shared" si="3"/>
        <v>2958.1665880602222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2958.1665880602222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2958.1665880602222</v>
      </c>
      <c r="AQ90" s="106">
        <f t="shared" si="3"/>
        <v>2958.1665880602222</v>
      </c>
      <c r="AR90" s="106">
        <f t="shared" si="3"/>
        <v>2958.1665880602222</v>
      </c>
      <c r="AS90" s="106">
        <f t="shared" si="3"/>
        <v>2958.1665880602222</v>
      </c>
      <c r="AT90" s="106">
        <f t="shared" si="3"/>
        <v>2958.1665880602222</v>
      </c>
      <c r="AU90" s="106">
        <f t="shared" si="3"/>
        <v>2958.1665880602222</v>
      </c>
      <c r="AV90" s="106">
        <f t="shared" si="3"/>
        <v>2958.1665880602222</v>
      </c>
      <c r="AW90" s="106">
        <f t="shared" si="3"/>
        <v>2958.1665880602222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336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337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109367.66217670853</v>
      </c>
      <c r="D98" s="106">
        <v>109367.66217670853</v>
      </c>
      <c r="E98" s="106">
        <v>109367.66217670853</v>
      </c>
      <c r="F98" s="106">
        <v>109367.66217670853</v>
      </c>
      <c r="G98" s="106">
        <v>97215.699712629794</v>
      </c>
      <c r="H98" s="106">
        <v>97215.699712629794</v>
      </c>
      <c r="I98" s="106">
        <v>97215.699712629794</v>
      </c>
      <c r="J98" s="106">
        <v>97215.699712629794</v>
      </c>
      <c r="K98" s="106">
        <v>97215.699712629794</v>
      </c>
      <c r="L98" s="106">
        <v>97215.699712629794</v>
      </c>
      <c r="M98" s="106">
        <v>97215.699712629794</v>
      </c>
      <c r="N98" s="106">
        <v>97215.699712629794</v>
      </c>
      <c r="O98" s="106">
        <v>109367.66217670853</v>
      </c>
      <c r="P98" s="106">
        <v>109367.66217670853</v>
      </c>
      <c r="Q98" s="106">
        <v>109367.66217670853</v>
      </c>
      <c r="R98" s="106">
        <v>109367.66217670853</v>
      </c>
      <c r="S98" s="106">
        <v>97215.699712629794</v>
      </c>
      <c r="T98" s="106">
        <v>97215.699712629794</v>
      </c>
      <c r="U98" s="106">
        <v>97215.699712629794</v>
      </c>
      <c r="V98" s="106">
        <v>97215.699712629794</v>
      </c>
      <c r="W98" s="106">
        <v>97215.699712629794</v>
      </c>
      <c r="X98" s="106">
        <v>97215.699712629794</v>
      </c>
      <c r="Y98" s="106">
        <v>97215.699712629794</v>
      </c>
      <c r="Z98" s="106">
        <v>97215.699712629794</v>
      </c>
      <c r="AA98" s="106">
        <v>109367.66217670853</v>
      </c>
      <c r="AB98" s="106">
        <v>109367.66217670853</v>
      </c>
      <c r="AC98" s="106">
        <v>109367.66217670853</v>
      </c>
      <c r="AD98" s="106">
        <v>109367.66217670853</v>
      </c>
      <c r="AE98" s="106">
        <v>97215.699712629794</v>
      </c>
      <c r="AF98" s="106">
        <v>97215.699712629794</v>
      </c>
      <c r="AG98" s="106">
        <v>97215.699712629794</v>
      </c>
      <c r="AH98" s="106">
        <v>97215.699712629794</v>
      </c>
      <c r="AI98" s="106">
        <v>97215.699712629794</v>
      </c>
      <c r="AJ98" s="106">
        <v>97215.699712629794</v>
      </c>
      <c r="AK98" s="106">
        <v>97215.699712629794</v>
      </c>
      <c r="AL98" s="106">
        <v>97215.699712629794</v>
      </c>
      <c r="AM98" s="106">
        <v>109367.66217670853</v>
      </c>
      <c r="AN98" s="106">
        <v>109367.66217670853</v>
      </c>
      <c r="AO98" s="106">
        <v>109367.66217670853</v>
      </c>
      <c r="AP98" s="106">
        <v>109367.66217670853</v>
      </c>
      <c r="AQ98" s="106">
        <v>97215.699712629794</v>
      </c>
      <c r="AR98" s="106">
        <v>97215.699712629794</v>
      </c>
      <c r="AS98" s="106">
        <v>97215.699712629794</v>
      </c>
      <c r="AT98" s="106">
        <v>97215.699712629794</v>
      </c>
      <c r="AU98" s="106">
        <v>97215.699712629794</v>
      </c>
      <c r="AV98" s="106">
        <v>97215.699712629794</v>
      </c>
      <c r="AW98" s="106">
        <v>97215.699712629794</v>
      </c>
      <c r="AX98" s="106">
        <v>97215.699712629794</v>
      </c>
    </row>
    <row r="99" spans="1:50" x14ac:dyDescent="0.2">
      <c r="B99" s="111" t="s">
        <v>12</v>
      </c>
      <c r="C99" s="106">
        <v>980317.42775137722</v>
      </c>
      <c r="D99" s="106">
        <v>980317.42775137722</v>
      </c>
      <c r="E99" s="106">
        <v>980317.42775137722</v>
      </c>
      <c r="F99" s="106">
        <v>980317.42775137722</v>
      </c>
      <c r="G99" s="106">
        <v>871393.26911233517</v>
      </c>
      <c r="H99" s="106">
        <v>871393.26911233517</v>
      </c>
      <c r="I99" s="106">
        <v>871393.26911233517</v>
      </c>
      <c r="J99" s="106">
        <v>871393.26911233517</v>
      </c>
      <c r="K99" s="106">
        <v>871393.26911233517</v>
      </c>
      <c r="L99" s="106">
        <v>871393.26911233517</v>
      </c>
      <c r="M99" s="106">
        <v>871393.26911233517</v>
      </c>
      <c r="N99" s="106">
        <v>871393.26911233517</v>
      </c>
      <c r="O99" s="106">
        <v>980317.42775137722</v>
      </c>
      <c r="P99" s="106">
        <v>980317.42775137722</v>
      </c>
      <c r="Q99" s="106">
        <v>980317.42775137722</v>
      </c>
      <c r="R99" s="106">
        <v>980317.42775137722</v>
      </c>
      <c r="S99" s="106">
        <v>871393.26911233517</v>
      </c>
      <c r="T99" s="106">
        <v>871393.26911233517</v>
      </c>
      <c r="U99" s="106">
        <v>871393.26911233517</v>
      </c>
      <c r="V99" s="106">
        <v>871393.26911233517</v>
      </c>
      <c r="W99" s="106">
        <v>871393.26911233517</v>
      </c>
      <c r="X99" s="106">
        <v>871393.26911233517</v>
      </c>
      <c r="Y99" s="106">
        <v>871393.26911233517</v>
      </c>
      <c r="Z99" s="106">
        <v>871393.26911233517</v>
      </c>
      <c r="AA99" s="106">
        <v>980317.42775137722</v>
      </c>
      <c r="AB99" s="106">
        <v>980317.42775137722</v>
      </c>
      <c r="AC99" s="106">
        <v>980317.42775137722</v>
      </c>
      <c r="AD99" s="106">
        <v>980317.42775137722</v>
      </c>
      <c r="AE99" s="106">
        <v>871393.26911233517</v>
      </c>
      <c r="AF99" s="106">
        <v>871393.26911233517</v>
      </c>
      <c r="AG99" s="106">
        <v>871393.26911233517</v>
      </c>
      <c r="AH99" s="106">
        <v>871393.26911233517</v>
      </c>
      <c r="AI99" s="106">
        <v>871393.26911233517</v>
      </c>
      <c r="AJ99" s="106">
        <v>871393.26911233517</v>
      </c>
      <c r="AK99" s="106">
        <v>871393.26911233517</v>
      </c>
      <c r="AL99" s="106">
        <v>871393.26911233517</v>
      </c>
      <c r="AM99" s="106">
        <v>980317.42775137722</v>
      </c>
      <c r="AN99" s="106">
        <v>980317.42775137722</v>
      </c>
      <c r="AO99" s="106">
        <v>980317.42775137722</v>
      </c>
      <c r="AP99" s="106">
        <v>980317.42775137722</v>
      </c>
      <c r="AQ99" s="106">
        <v>871393.26911233517</v>
      </c>
      <c r="AR99" s="106">
        <v>871393.26911233517</v>
      </c>
      <c r="AS99" s="106">
        <v>871393.26911233517</v>
      </c>
      <c r="AT99" s="106">
        <v>871393.26911233517</v>
      </c>
      <c r="AU99" s="106">
        <v>871393.26911233517</v>
      </c>
      <c r="AV99" s="106">
        <v>871393.26911233517</v>
      </c>
      <c r="AW99" s="106">
        <v>871393.26911233517</v>
      </c>
      <c r="AX99" s="106">
        <v>871393.26911233517</v>
      </c>
    </row>
    <row r="100" spans="1:50" x14ac:dyDescent="0.2">
      <c r="B100" s="111" t="s">
        <v>22</v>
      </c>
      <c r="C100" s="106">
        <v>2534920.5024000001</v>
      </c>
      <c r="D100" s="106">
        <v>2534920.5024000001</v>
      </c>
      <c r="E100" s="106">
        <v>2534920.5024000001</v>
      </c>
      <c r="F100" s="106">
        <v>2534920.5024000001</v>
      </c>
      <c r="G100" s="106">
        <v>2253262.6687999996</v>
      </c>
      <c r="H100" s="106">
        <v>2253262.6687999996</v>
      </c>
      <c r="I100" s="106">
        <v>2253262.6687999996</v>
      </c>
      <c r="J100" s="106">
        <v>2253262.6687999996</v>
      </c>
      <c r="K100" s="106">
        <v>2253262.6687999996</v>
      </c>
      <c r="L100" s="106">
        <v>2253262.6687999996</v>
      </c>
      <c r="M100" s="106">
        <v>2253262.6687999996</v>
      </c>
      <c r="N100" s="106">
        <v>2253262.6687999996</v>
      </c>
      <c r="O100" s="106">
        <v>2534920.5024000001</v>
      </c>
      <c r="P100" s="106">
        <v>2534920.5024000001</v>
      </c>
      <c r="Q100" s="106">
        <v>2534920.5024000001</v>
      </c>
      <c r="R100" s="106">
        <v>2534920.5024000001</v>
      </c>
      <c r="S100" s="106">
        <v>2253262.6687999996</v>
      </c>
      <c r="T100" s="106">
        <v>2253262.6687999996</v>
      </c>
      <c r="U100" s="106">
        <v>2253262.6687999996</v>
      </c>
      <c r="V100" s="106">
        <v>2253262.6687999996</v>
      </c>
      <c r="W100" s="106">
        <v>2253262.6687999996</v>
      </c>
      <c r="X100" s="106">
        <v>2253262.6687999996</v>
      </c>
      <c r="Y100" s="106">
        <v>2253262.6687999996</v>
      </c>
      <c r="Z100" s="106">
        <v>2253262.6687999996</v>
      </c>
      <c r="AA100" s="106">
        <v>2534920.5024000001</v>
      </c>
      <c r="AB100" s="106">
        <v>2534920.5024000001</v>
      </c>
      <c r="AC100" s="106">
        <v>2534920.5024000001</v>
      </c>
      <c r="AD100" s="106">
        <v>2534920.5024000001</v>
      </c>
      <c r="AE100" s="106">
        <v>2253262.6687999996</v>
      </c>
      <c r="AF100" s="106">
        <v>2253262.6687999996</v>
      </c>
      <c r="AG100" s="106">
        <v>2253262.6687999996</v>
      </c>
      <c r="AH100" s="106">
        <v>2253262.6687999996</v>
      </c>
      <c r="AI100" s="106">
        <v>2253262.6687999996</v>
      </c>
      <c r="AJ100" s="106">
        <v>2253262.6687999996</v>
      </c>
      <c r="AK100" s="106">
        <v>2253262.6687999996</v>
      </c>
      <c r="AL100" s="106">
        <v>2253262.6687999996</v>
      </c>
      <c r="AM100" s="106">
        <v>2534920.5024000001</v>
      </c>
      <c r="AN100" s="106">
        <v>2534920.5024000001</v>
      </c>
      <c r="AO100" s="106">
        <v>2534920.5024000001</v>
      </c>
      <c r="AP100" s="106">
        <v>2534920.5024000001</v>
      </c>
      <c r="AQ100" s="106">
        <v>2253262.6687999996</v>
      </c>
      <c r="AR100" s="106">
        <v>2253262.6687999996</v>
      </c>
      <c r="AS100" s="106">
        <v>2253262.6687999996</v>
      </c>
      <c r="AT100" s="106">
        <v>2253262.6687999996</v>
      </c>
      <c r="AU100" s="106">
        <v>2253262.6687999996</v>
      </c>
      <c r="AV100" s="106">
        <v>2253262.6687999996</v>
      </c>
      <c r="AW100" s="106">
        <v>2253262.6687999996</v>
      </c>
      <c r="AX100" s="106">
        <v>2253262.6687999996</v>
      </c>
    </row>
    <row r="101" spans="1:50" x14ac:dyDescent="0.2">
      <c r="B101" s="111" t="s">
        <v>59</v>
      </c>
      <c r="C101" s="106">
        <v>1313443.180342471</v>
      </c>
      <c r="D101" s="106">
        <v>1313443.180342471</v>
      </c>
      <c r="E101" s="106">
        <v>1313443.180342471</v>
      </c>
      <c r="F101" s="106">
        <v>1313443.180342471</v>
      </c>
      <c r="G101" s="106">
        <v>1167505.0491933075</v>
      </c>
      <c r="H101" s="106">
        <v>1167505.0491933075</v>
      </c>
      <c r="I101" s="106">
        <v>1167505.0491933075</v>
      </c>
      <c r="J101" s="106">
        <v>1167505.0491933075</v>
      </c>
      <c r="K101" s="106">
        <v>1167505.0491933075</v>
      </c>
      <c r="L101" s="106">
        <v>1167505.0491933075</v>
      </c>
      <c r="M101" s="106">
        <v>1167505.0491933075</v>
      </c>
      <c r="N101" s="106">
        <v>1167505.0491933075</v>
      </c>
      <c r="O101" s="106">
        <v>1313443.180342471</v>
      </c>
      <c r="P101" s="106">
        <v>1313443.180342471</v>
      </c>
      <c r="Q101" s="106">
        <v>1313443.180342471</v>
      </c>
      <c r="R101" s="106">
        <v>1313443.180342471</v>
      </c>
      <c r="S101" s="106">
        <v>1167505.0491933075</v>
      </c>
      <c r="T101" s="106">
        <v>1167505.0491933075</v>
      </c>
      <c r="U101" s="106">
        <v>1167505.0491933075</v>
      </c>
      <c r="V101" s="106">
        <v>1167505.0491933075</v>
      </c>
      <c r="W101" s="106">
        <v>1167505.0491933075</v>
      </c>
      <c r="X101" s="106">
        <v>1167505.0491933075</v>
      </c>
      <c r="Y101" s="106">
        <v>1167505.0491933075</v>
      </c>
      <c r="Z101" s="106">
        <v>1167505.0491933075</v>
      </c>
      <c r="AA101" s="106">
        <v>1313443.180342471</v>
      </c>
      <c r="AB101" s="106">
        <v>1313443.180342471</v>
      </c>
      <c r="AC101" s="106">
        <v>1313443.180342471</v>
      </c>
      <c r="AD101" s="106">
        <v>1313443.180342471</v>
      </c>
      <c r="AE101" s="106">
        <v>1167505.0491933075</v>
      </c>
      <c r="AF101" s="106">
        <v>1167505.0491933075</v>
      </c>
      <c r="AG101" s="106">
        <v>1167505.0491933075</v>
      </c>
      <c r="AH101" s="106">
        <v>1167505.0491933075</v>
      </c>
      <c r="AI101" s="106">
        <v>1167505.0491933075</v>
      </c>
      <c r="AJ101" s="106">
        <v>1167505.0491933075</v>
      </c>
      <c r="AK101" s="106">
        <v>1167505.0491933075</v>
      </c>
      <c r="AL101" s="106">
        <v>1167505.0491933075</v>
      </c>
      <c r="AM101" s="106">
        <v>1313443.180342471</v>
      </c>
      <c r="AN101" s="106">
        <v>1313443.180342471</v>
      </c>
      <c r="AO101" s="106">
        <v>1313443.180342471</v>
      </c>
      <c r="AP101" s="106">
        <v>1313443.180342471</v>
      </c>
      <c r="AQ101" s="106">
        <v>1167505.0491933075</v>
      </c>
      <c r="AR101" s="106">
        <v>1167505.0491933075</v>
      </c>
      <c r="AS101" s="106">
        <v>1167505.0491933075</v>
      </c>
      <c r="AT101" s="106">
        <v>1167505.0491933075</v>
      </c>
      <c r="AU101" s="106">
        <v>1167505.0491933075</v>
      </c>
      <c r="AV101" s="106">
        <v>1167505.0491933075</v>
      </c>
      <c r="AW101" s="106">
        <v>1167505.0491933075</v>
      </c>
      <c r="AX101" s="106">
        <v>1167505.0491933075</v>
      </c>
    </row>
    <row r="102" spans="1:50" x14ac:dyDescent="0.2">
      <c r="B102" s="106" t="s">
        <v>279</v>
      </c>
      <c r="C102" s="111">
        <f>SUM(C$98:C$101)</f>
        <v>4938048.7726705568</v>
      </c>
      <c r="D102" s="111">
        <f t="shared" ref="D102:AX102" si="5">SUM(D$98:D$101)</f>
        <v>4938048.7726705568</v>
      </c>
      <c r="E102" s="111">
        <f t="shared" si="5"/>
        <v>4938048.7726705568</v>
      </c>
      <c r="F102" s="111">
        <f t="shared" si="5"/>
        <v>4938048.7726705568</v>
      </c>
      <c r="G102" s="111">
        <f t="shared" si="5"/>
        <v>4389376.6868182719</v>
      </c>
      <c r="H102" s="111">
        <f t="shared" si="5"/>
        <v>4389376.6868182719</v>
      </c>
      <c r="I102" s="111">
        <f t="shared" si="5"/>
        <v>4389376.6868182719</v>
      </c>
      <c r="J102" s="111">
        <f t="shared" si="5"/>
        <v>4389376.6868182719</v>
      </c>
      <c r="K102" s="111">
        <f t="shared" si="5"/>
        <v>4389376.6868182719</v>
      </c>
      <c r="L102" s="111">
        <f t="shared" si="5"/>
        <v>4389376.6868182719</v>
      </c>
      <c r="M102" s="111">
        <f t="shared" si="5"/>
        <v>4389376.6868182719</v>
      </c>
      <c r="N102" s="111">
        <f t="shared" si="5"/>
        <v>4389376.6868182719</v>
      </c>
      <c r="O102" s="111">
        <f t="shared" si="5"/>
        <v>4938048.7726705568</v>
      </c>
      <c r="P102" s="111">
        <f t="shared" si="5"/>
        <v>4938048.7726705568</v>
      </c>
      <c r="Q102" s="111">
        <f t="shared" si="5"/>
        <v>4938048.7726705568</v>
      </c>
      <c r="R102" s="111">
        <f t="shared" si="5"/>
        <v>4938048.7726705568</v>
      </c>
      <c r="S102" s="111">
        <f t="shared" si="5"/>
        <v>4389376.6868182719</v>
      </c>
      <c r="T102" s="111">
        <f t="shared" si="5"/>
        <v>4389376.6868182719</v>
      </c>
      <c r="U102" s="111">
        <f t="shared" si="5"/>
        <v>4389376.6868182719</v>
      </c>
      <c r="V102" s="111">
        <f t="shared" si="5"/>
        <v>4389376.6868182719</v>
      </c>
      <c r="W102" s="111">
        <f t="shared" si="5"/>
        <v>4389376.6868182719</v>
      </c>
      <c r="X102" s="111">
        <f t="shared" si="5"/>
        <v>4389376.6868182719</v>
      </c>
      <c r="Y102" s="111">
        <f t="shared" si="5"/>
        <v>4389376.6868182719</v>
      </c>
      <c r="Z102" s="111">
        <f t="shared" si="5"/>
        <v>4389376.6868182719</v>
      </c>
      <c r="AA102" s="111">
        <f t="shared" si="5"/>
        <v>4938048.7726705568</v>
      </c>
      <c r="AB102" s="111">
        <f t="shared" si="5"/>
        <v>4938048.7726705568</v>
      </c>
      <c r="AC102" s="111">
        <f t="shared" si="5"/>
        <v>4938048.7726705568</v>
      </c>
      <c r="AD102" s="111">
        <f t="shared" si="5"/>
        <v>4938048.7726705568</v>
      </c>
      <c r="AE102" s="111">
        <f t="shared" si="5"/>
        <v>4389376.6868182719</v>
      </c>
      <c r="AF102" s="111">
        <f t="shared" si="5"/>
        <v>4389376.6868182719</v>
      </c>
      <c r="AG102" s="111">
        <f t="shared" si="5"/>
        <v>4389376.6868182719</v>
      </c>
      <c r="AH102" s="111">
        <f t="shared" si="5"/>
        <v>4389376.6868182719</v>
      </c>
      <c r="AI102" s="111">
        <f t="shared" si="5"/>
        <v>4389376.6868182719</v>
      </c>
      <c r="AJ102" s="111">
        <f t="shared" si="5"/>
        <v>4389376.6868182719</v>
      </c>
      <c r="AK102" s="111">
        <f t="shared" si="5"/>
        <v>4389376.6868182719</v>
      </c>
      <c r="AL102" s="111">
        <f t="shared" si="5"/>
        <v>4389376.6868182719</v>
      </c>
      <c r="AM102" s="111">
        <f t="shared" si="5"/>
        <v>4938048.7726705568</v>
      </c>
      <c r="AN102" s="111">
        <f t="shared" si="5"/>
        <v>4938048.7726705568</v>
      </c>
      <c r="AO102" s="111">
        <f t="shared" si="5"/>
        <v>4938048.7726705568</v>
      </c>
      <c r="AP102" s="111">
        <f t="shared" si="5"/>
        <v>4938048.7726705568</v>
      </c>
      <c r="AQ102" s="111">
        <f t="shared" si="5"/>
        <v>4389376.6868182719</v>
      </c>
      <c r="AR102" s="111">
        <f t="shared" si="5"/>
        <v>4389376.6868182719</v>
      </c>
      <c r="AS102" s="111">
        <f t="shared" si="5"/>
        <v>4389376.6868182719</v>
      </c>
      <c r="AT102" s="111">
        <f t="shared" si="5"/>
        <v>4389376.6868182719</v>
      </c>
      <c r="AU102" s="111">
        <f t="shared" si="5"/>
        <v>4389376.6868182719</v>
      </c>
      <c r="AV102" s="111">
        <f t="shared" si="5"/>
        <v>4389376.6868182719</v>
      </c>
      <c r="AW102" s="111">
        <f t="shared" si="5"/>
        <v>4389376.6868182719</v>
      </c>
      <c r="AX102" s="111">
        <f t="shared" si="5"/>
        <v>4389376.6868182719</v>
      </c>
    </row>
    <row r="103" spans="1:50" x14ac:dyDescent="0.2">
      <c r="A103" s="111" t="s">
        <v>105</v>
      </c>
      <c r="B103" s="111" t="s">
        <v>5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</row>
    <row r="104" spans="1:50" x14ac:dyDescent="0.2">
      <c r="B104" s="111" t="s">
        <v>12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22</v>
      </c>
      <c r="C105" s="106">
        <v>81194.627631842683</v>
      </c>
      <c r="D105" s="106">
        <v>81194.627631842683</v>
      </c>
      <c r="E105" s="106">
        <v>81194.627631842683</v>
      </c>
      <c r="F105" s="106">
        <v>81194.627631842683</v>
      </c>
      <c r="G105" s="106">
        <v>81194.627631842683</v>
      </c>
      <c r="H105" s="106">
        <v>81194.627631842683</v>
      </c>
      <c r="I105" s="106">
        <v>81194.627631842683</v>
      </c>
      <c r="J105" s="106">
        <v>81194.627631842683</v>
      </c>
      <c r="K105" s="106">
        <v>81194.627631842683</v>
      </c>
      <c r="L105" s="106">
        <v>81194.627631842683</v>
      </c>
      <c r="M105" s="106">
        <v>81194.627631842683</v>
      </c>
      <c r="N105" s="106">
        <v>81194.627631842683</v>
      </c>
      <c r="O105" s="106">
        <v>81194.627631842683</v>
      </c>
      <c r="P105" s="106">
        <v>81194.627631842683</v>
      </c>
      <c r="Q105" s="106">
        <v>81194.627631842683</v>
      </c>
      <c r="R105" s="106">
        <v>81194.627631842683</v>
      </c>
      <c r="S105" s="106">
        <v>81194.627631842683</v>
      </c>
      <c r="T105" s="106">
        <v>81194.627631842683</v>
      </c>
      <c r="U105" s="106">
        <v>81194.627631842683</v>
      </c>
      <c r="V105" s="106">
        <v>81194.627631842683</v>
      </c>
      <c r="W105" s="106">
        <v>81194.627631842683</v>
      </c>
      <c r="X105" s="106">
        <v>81194.627631842683</v>
      </c>
      <c r="Y105" s="106">
        <v>81194.627631842683</v>
      </c>
      <c r="Z105" s="106">
        <v>81194.627631842683</v>
      </c>
      <c r="AA105" s="106">
        <v>81194.627631842683</v>
      </c>
      <c r="AB105" s="106">
        <v>81194.627631842683</v>
      </c>
      <c r="AC105" s="106">
        <v>81194.627631842683</v>
      </c>
      <c r="AD105" s="106">
        <v>81194.627631842683</v>
      </c>
      <c r="AE105" s="106">
        <v>81194.627631842683</v>
      </c>
      <c r="AF105" s="106">
        <v>81194.627631842683</v>
      </c>
      <c r="AG105" s="106">
        <v>81194.627631842683</v>
      </c>
      <c r="AH105" s="106">
        <v>81194.627631842683</v>
      </c>
      <c r="AI105" s="106">
        <v>81194.627631842683</v>
      </c>
      <c r="AJ105" s="106">
        <v>81194.627631842683</v>
      </c>
      <c r="AK105" s="106">
        <v>81194.627631842683</v>
      </c>
      <c r="AL105" s="106">
        <v>81194.627631842683</v>
      </c>
      <c r="AM105" s="106">
        <v>81194.627631842683</v>
      </c>
      <c r="AN105" s="106">
        <v>81194.627631842683</v>
      </c>
      <c r="AO105" s="106">
        <v>41167.539712358426</v>
      </c>
      <c r="AP105" s="106">
        <v>41241.94035627447</v>
      </c>
      <c r="AQ105" s="106">
        <v>81194.627631842683</v>
      </c>
      <c r="AR105" s="106">
        <v>81194.627631842683</v>
      </c>
      <c r="AS105" s="106">
        <v>81194.627631842683</v>
      </c>
      <c r="AT105" s="106">
        <v>81194.627631842683</v>
      </c>
      <c r="AU105" s="106">
        <v>81194.627631842683</v>
      </c>
      <c r="AV105" s="106">
        <v>81194.627631842683</v>
      </c>
      <c r="AW105" s="106">
        <v>81194.627631842683</v>
      </c>
      <c r="AX105" s="106">
        <v>81194.627631842683</v>
      </c>
    </row>
    <row r="106" spans="1:50" x14ac:dyDescent="0.2">
      <c r="B106" s="111" t="s">
        <v>59</v>
      </c>
      <c r="C106" s="106">
        <v>1741903.0068269416</v>
      </c>
      <c r="D106" s="106">
        <v>1741903.0068269416</v>
      </c>
      <c r="E106" s="106">
        <v>1741903.0068269416</v>
      </c>
      <c r="F106" s="106">
        <v>1741903.0068269416</v>
      </c>
      <c r="G106" s="106">
        <v>1741903.0068269416</v>
      </c>
      <c r="H106" s="106">
        <v>1741903.0068269416</v>
      </c>
      <c r="I106" s="106">
        <v>1741903.0068269416</v>
      </c>
      <c r="J106" s="106">
        <v>1741903.0068269416</v>
      </c>
      <c r="K106" s="106">
        <v>1741903.0068269416</v>
      </c>
      <c r="L106" s="106">
        <v>1741903.0068269416</v>
      </c>
      <c r="M106" s="106">
        <v>1741903.0068269416</v>
      </c>
      <c r="N106" s="106">
        <v>1741903.0068269416</v>
      </c>
      <c r="O106" s="106">
        <v>1741903.0068269416</v>
      </c>
      <c r="P106" s="106">
        <v>1741903.0068269416</v>
      </c>
      <c r="Q106" s="106">
        <v>1741903.0068269416</v>
      </c>
      <c r="R106" s="106">
        <v>1741903.0068269416</v>
      </c>
      <c r="S106" s="106">
        <v>1741903.0068269416</v>
      </c>
      <c r="T106" s="106">
        <v>1741903.0068269416</v>
      </c>
      <c r="U106" s="106">
        <v>1741903.0068269416</v>
      </c>
      <c r="V106" s="106">
        <v>1741903.0068269416</v>
      </c>
      <c r="W106" s="106">
        <v>1741903.0068269416</v>
      </c>
      <c r="X106" s="106">
        <v>1741903.0068269416</v>
      </c>
      <c r="Y106" s="106">
        <v>1741903.0068269416</v>
      </c>
      <c r="Z106" s="106">
        <v>1741903.0068269416</v>
      </c>
      <c r="AA106" s="106">
        <v>1741903.0068269416</v>
      </c>
      <c r="AB106" s="106">
        <v>1741903.0068269416</v>
      </c>
      <c r="AC106" s="106">
        <v>1741903.0068269416</v>
      </c>
      <c r="AD106" s="106">
        <v>1741903.0068269416</v>
      </c>
      <c r="AE106" s="106">
        <v>1741903.0068269416</v>
      </c>
      <c r="AF106" s="106">
        <v>1741903.0068269416</v>
      </c>
      <c r="AG106" s="106">
        <v>1741903.0068269416</v>
      </c>
      <c r="AH106" s="106">
        <v>1741903.0068269416</v>
      </c>
      <c r="AI106" s="106">
        <v>1741903.0068269416</v>
      </c>
      <c r="AJ106" s="106">
        <v>1741903.0068269416</v>
      </c>
      <c r="AK106" s="106">
        <v>1741903.0068269416</v>
      </c>
      <c r="AL106" s="106">
        <v>1741903.0068269416</v>
      </c>
      <c r="AM106" s="106">
        <v>1741903.0068269416</v>
      </c>
      <c r="AN106" s="106">
        <v>1741903.0068269416</v>
      </c>
      <c r="AO106" s="106">
        <v>883184.80298691196</v>
      </c>
      <c r="AP106" s="106">
        <v>884780.95176087832</v>
      </c>
      <c r="AQ106" s="106">
        <v>1741903.0068269416</v>
      </c>
      <c r="AR106" s="106">
        <v>1741903.0068269416</v>
      </c>
      <c r="AS106" s="106">
        <v>1741903.0068269416</v>
      </c>
      <c r="AT106" s="106">
        <v>1741903.0068269416</v>
      </c>
      <c r="AU106" s="106">
        <v>1741903.0068269416</v>
      </c>
      <c r="AV106" s="106">
        <v>1741903.0068269416</v>
      </c>
      <c r="AW106" s="106">
        <v>1741903.0068269416</v>
      </c>
      <c r="AX106" s="106">
        <v>1741903.0068269416</v>
      </c>
    </row>
    <row r="107" spans="1:50" x14ac:dyDescent="0.2">
      <c r="B107" s="107" t="s">
        <v>279</v>
      </c>
      <c r="C107" s="111">
        <f>SUM(C$103:C$106)</f>
        <v>1823097.6344587842</v>
      </c>
      <c r="D107" s="111">
        <f t="shared" ref="D107:AX107" si="6">SUM(D$103:D$106)</f>
        <v>1823097.6344587842</v>
      </c>
      <c r="E107" s="111">
        <f t="shared" si="6"/>
        <v>1823097.6344587842</v>
      </c>
      <c r="F107" s="111">
        <f t="shared" si="6"/>
        <v>1823097.6344587842</v>
      </c>
      <c r="G107" s="111">
        <f t="shared" si="6"/>
        <v>1823097.6344587842</v>
      </c>
      <c r="H107" s="111">
        <f t="shared" si="6"/>
        <v>1823097.6344587842</v>
      </c>
      <c r="I107" s="111">
        <f t="shared" si="6"/>
        <v>1823097.6344587842</v>
      </c>
      <c r="J107" s="111">
        <f t="shared" si="6"/>
        <v>1823097.6344587842</v>
      </c>
      <c r="K107" s="111">
        <f t="shared" si="6"/>
        <v>1823097.6344587842</v>
      </c>
      <c r="L107" s="111">
        <f t="shared" si="6"/>
        <v>1823097.6344587842</v>
      </c>
      <c r="M107" s="111">
        <f t="shared" si="6"/>
        <v>1823097.6344587842</v>
      </c>
      <c r="N107" s="111">
        <f t="shared" si="6"/>
        <v>1823097.6344587842</v>
      </c>
      <c r="O107" s="111">
        <f t="shared" si="6"/>
        <v>1823097.6344587842</v>
      </c>
      <c r="P107" s="111">
        <f t="shared" si="6"/>
        <v>1823097.6344587842</v>
      </c>
      <c r="Q107" s="111">
        <f t="shared" si="6"/>
        <v>1823097.6344587842</v>
      </c>
      <c r="R107" s="111">
        <f t="shared" si="6"/>
        <v>1823097.6344587842</v>
      </c>
      <c r="S107" s="111">
        <f t="shared" si="6"/>
        <v>1823097.6344587842</v>
      </c>
      <c r="T107" s="111">
        <f t="shared" si="6"/>
        <v>1823097.6344587842</v>
      </c>
      <c r="U107" s="111">
        <f t="shared" si="6"/>
        <v>1823097.6344587842</v>
      </c>
      <c r="V107" s="111">
        <f t="shared" si="6"/>
        <v>1823097.6344587842</v>
      </c>
      <c r="W107" s="111">
        <f t="shared" si="6"/>
        <v>1823097.6344587842</v>
      </c>
      <c r="X107" s="111">
        <f t="shared" si="6"/>
        <v>1823097.6344587842</v>
      </c>
      <c r="Y107" s="111">
        <f t="shared" si="6"/>
        <v>1823097.6344587842</v>
      </c>
      <c r="Z107" s="111">
        <f t="shared" si="6"/>
        <v>1823097.6344587842</v>
      </c>
      <c r="AA107" s="111">
        <f t="shared" si="6"/>
        <v>1823097.6344587842</v>
      </c>
      <c r="AB107" s="111">
        <f t="shared" si="6"/>
        <v>1823097.6344587842</v>
      </c>
      <c r="AC107" s="111">
        <f t="shared" si="6"/>
        <v>1823097.6344587842</v>
      </c>
      <c r="AD107" s="111">
        <f t="shared" si="6"/>
        <v>1823097.6344587842</v>
      </c>
      <c r="AE107" s="111">
        <f t="shared" si="6"/>
        <v>1823097.6344587842</v>
      </c>
      <c r="AF107" s="111">
        <f t="shared" si="6"/>
        <v>1823097.6344587842</v>
      </c>
      <c r="AG107" s="111">
        <f t="shared" si="6"/>
        <v>1823097.6344587842</v>
      </c>
      <c r="AH107" s="111">
        <f t="shared" si="6"/>
        <v>1823097.6344587842</v>
      </c>
      <c r="AI107" s="111">
        <f t="shared" si="6"/>
        <v>1823097.6344587842</v>
      </c>
      <c r="AJ107" s="111">
        <f t="shared" si="6"/>
        <v>1823097.6344587842</v>
      </c>
      <c r="AK107" s="111">
        <f t="shared" si="6"/>
        <v>1823097.6344587842</v>
      </c>
      <c r="AL107" s="111">
        <f t="shared" si="6"/>
        <v>1823097.6344587842</v>
      </c>
      <c r="AM107" s="111">
        <f t="shared" si="6"/>
        <v>1823097.6344587842</v>
      </c>
      <c r="AN107" s="111">
        <f t="shared" si="6"/>
        <v>1823097.6344587842</v>
      </c>
      <c r="AO107" s="111">
        <f t="shared" si="6"/>
        <v>924352.34269927035</v>
      </c>
      <c r="AP107" s="111">
        <f t="shared" si="6"/>
        <v>926022.89211715281</v>
      </c>
      <c r="AQ107" s="111">
        <f t="shared" si="6"/>
        <v>1823097.6344587842</v>
      </c>
      <c r="AR107" s="111">
        <f t="shared" si="6"/>
        <v>1823097.6344587842</v>
      </c>
      <c r="AS107" s="111">
        <f t="shared" si="6"/>
        <v>1823097.6344587842</v>
      </c>
      <c r="AT107" s="111">
        <f t="shared" si="6"/>
        <v>1823097.6344587842</v>
      </c>
      <c r="AU107" s="111">
        <f t="shared" si="6"/>
        <v>1823097.6344587842</v>
      </c>
      <c r="AV107" s="111">
        <f t="shared" si="6"/>
        <v>1823097.6344587842</v>
      </c>
      <c r="AW107" s="111">
        <f t="shared" si="6"/>
        <v>1823097.6344587842</v>
      </c>
      <c r="AX107" s="111">
        <f t="shared" si="6"/>
        <v>1823097.6344587842</v>
      </c>
    </row>
    <row r="108" spans="1:50" x14ac:dyDescent="0.2">
      <c r="A108" s="111" t="s">
        <v>106</v>
      </c>
      <c r="B108" s="111" t="s">
        <v>5</v>
      </c>
      <c r="C108" s="106">
        <v>0</v>
      </c>
      <c r="D108" s="106">
        <v>0</v>
      </c>
      <c r="E108" s="106">
        <v>0</v>
      </c>
      <c r="F108" s="106">
        <v>0</v>
      </c>
      <c r="G108" s="106">
        <v>0</v>
      </c>
      <c r="H108" s="106">
        <v>0</v>
      </c>
      <c r="I108" s="106">
        <v>0</v>
      </c>
      <c r="J108" s="106">
        <v>0</v>
      </c>
      <c r="K108" s="106">
        <v>0</v>
      </c>
      <c r="L108" s="106">
        <v>0</v>
      </c>
      <c r="M108" s="106">
        <v>0</v>
      </c>
      <c r="N108" s="106">
        <v>0</v>
      </c>
      <c r="O108" s="106">
        <v>0</v>
      </c>
      <c r="P108" s="106">
        <v>0</v>
      </c>
      <c r="Q108" s="106">
        <v>0</v>
      </c>
      <c r="R108" s="106">
        <v>0</v>
      </c>
      <c r="S108" s="106">
        <v>0</v>
      </c>
      <c r="T108" s="106">
        <v>0</v>
      </c>
      <c r="U108" s="106">
        <v>0</v>
      </c>
      <c r="V108" s="106">
        <v>0</v>
      </c>
      <c r="W108" s="106">
        <v>0</v>
      </c>
      <c r="X108" s="106">
        <v>0</v>
      </c>
      <c r="Y108" s="106">
        <v>0</v>
      </c>
      <c r="Z108" s="106">
        <v>0</v>
      </c>
      <c r="AA108" s="106">
        <v>0</v>
      </c>
      <c r="AB108" s="106">
        <v>0</v>
      </c>
      <c r="AC108" s="106">
        <v>0</v>
      </c>
      <c r="AD108" s="106">
        <v>0</v>
      </c>
      <c r="AE108" s="106">
        <v>0</v>
      </c>
      <c r="AF108" s="106">
        <v>0</v>
      </c>
      <c r="AG108" s="106">
        <v>0</v>
      </c>
      <c r="AH108" s="106">
        <v>0</v>
      </c>
      <c r="AI108" s="106">
        <v>0</v>
      </c>
      <c r="AJ108" s="106">
        <v>0</v>
      </c>
      <c r="AK108" s="106">
        <v>0</v>
      </c>
      <c r="AL108" s="106">
        <v>0</v>
      </c>
      <c r="AM108" s="106">
        <v>0</v>
      </c>
      <c r="AN108" s="106">
        <v>0</v>
      </c>
      <c r="AO108" s="106">
        <v>0</v>
      </c>
      <c r="AP108" s="106">
        <v>0</v>
      </c>
      <c r="AQ108" s="106">
        <v>0</v>
      </c>
      <c r="AR108" s="106">
        <v>0</v>
      </c>
      <c r="AS108" s="106">
        <v>0</v>
      </c>
      <c r="AT108" s="106">
        <v>0</v>
      </c>
      <c r="AU108" s="106">
        <v>0</v>
      </c>
      <c r="AV108" s="106">
        <v>0</v>
      </c>
      <c r="AW108" s="106">
        <v>0</v>
      </c>
      <c r="AX108" s="106">
        <v>0</v>
      </c>
    </row>
    <row r="109" spans="1:50" x14ac:dyDescent="0.2">
      <c r="B109" s="111" t="s">
        <v>12</v>
      </c>
      <c r="C109" s="106">
        <v>0</v>
      </c>
      <c r="D109" s="106">
        <v>0</v>
      </c>
      <c r="E109" s="106">
        <v>0</v>
      </c>
      <c r="F109" s="106">
        <v>0</v>
      </c>
      <c r="G109" s="106">
        <v>0</v>
      </c>
      <c r="H109" s="106">
        <v>0</v>
      </c>
      <c r="I109" s="106">
        <v>0</v>
      </c>
      <c r="J109" s="106">
        <v>0</v>
      </c>
      <c r="K109" s="106">
        <v>0</v>
      </c>
      <c r="L109" s="106">
        <v>0</v>
      </c>
      <c r="M109" s="106">
        <v>0</v>
      </c>
      <c r="N109" s="106">
        <v>0</v>
      </c>
      <c r="O109" s="106">
        <v>0</v>
      </c>
      <c r="P109" s="106">
        <v>0</v>
      </c>
      <c r="Q109" s="106">
        <v>0</v>
      </c>
      <c r="R109" s="106">
        <v>0</v>
      </c>
      <c r="S109" s="106">
        <v>0</v>
      </c>
      <c r="T109" s="106">
        <v>0</v>
      </c>
      <c r="U109" s="106">
        <v>0</v>
      </c>
      <c r="V109" s="106">
        <v>0</v>
      </c>
      <c r="W109" s="106">
        <v>0</v>
      </c>
      <c r="X109" s="106">
        <v>0</v>
      </c>
      <c r="Y109" s="106">
        <v>0</v>
      </c>
      <c r="Z109" s="106">
        <v>0</v>
      </c>
      <c r="AA109" s="106">
        <v>0</v>
      </c>
      <c r="AB109" s="106">
        <v>0</v>
      </c>
      <c r="AC109" s="106">
        <v>0</v>
      </c>
      <c r="AD109" s="106">
        <v>0</v>
      </c>
      <c r="AE109" s="106">
        <v>0</v>
      </c>
      <c r="AF109" s="106">
        <v>0</v>
      </c>
      <c r="AG109" s="106">
        <v>0</v>
      </c>
      <c r="AH109" s="106">
        <v>0</v>
      </c>
      <c r="AI109" s="106">
        <v>0</v>
      </c>
      <c r="AJ109" s="106">
        <v>0</v>
      </c>
      <c r="AK109" s="106">
        <v>0</v>
      </c>
      <c r="AL109" s="106">
        <v>0</v>
      </c>
      <c r="AM109" s="106">
        <v>0</v>
      </c>
      <c r="AN109" s="106">
        <v>0</v>
      </c>
      <c r="AO109" s="106">
        <v>0</v>
      </c>
      <c r="AP109" s="106">
        <v>0</v>
      </c>
      <c r="AQ109" s="106">
        <v>0</v>
      </c>
      <c r="AR109" s="106">
        <v>0</v>
      </c>
      <c r="AS109" s="106">
        <v>0</v>
      </c>
      <c r="AT109" s="106">
        <v>0</v>
      </c>
      <c r="AU109" s="106">
        <v>0</v>
      </c>
      <c r="AV109" s="106">
        <v>0</v>
      </c>
      <c r="AW109" s="106">
        <v>0</v>
      </c>
      <c r="AX109" s="106">
        <v>0</v>
      </c>
    </row>
    <row r="110" spans="1:50" x14ac:dyDescent="0.2">
      <c r="B110" s="111" t="s">
        <v>22</v>
      </c>
      <c r="C110" s="106">
        <v>29564.897293049082</v>
      </c>
      <c r="D110" s="106">
        <v>29564.897293049082</v>
      </c>
      <c r="E110" s="106">
        <v>29564.897293049082</v>
      </c>
      <c r="F110" s="106">
        <v>29564.897293049082</v>
      </c>
      <c r="G110" s="106">
        <v>29564.897293049082</v>
      </c>
      <c r="H110" s="106">
        <v>29564.897293049082</v>
      </c>
      <c r="I110" s="106">
        <v>29564.897293049082</v>
      </c>
      <c r="J110" s="106">
        <v>29564.897293049082</v>
      </c>
      <c r="K110" s="106">
        <v>29564.897293049082</v>
      </c>
      <c r="L110" s="106">
        <v>29564.897293049082</v>
      </c>
      <c r="M110" s="106">
        <v>29564.897293049082</v>
      </c>
      <c r="N110" s="106">
        <v>29564.897293049082</v>
      </c>
      <c r="O110" s="106">
        <v>29564.897293049082</v>
      </c>
      <c r="P110" s="106">
        <v>29564.897293049082</v>
      </c>
      <c r="Q110" s="106">
        <v>29564.897293049082</v>
      </c>
      <c r="R110" s="106">
        <v>29564.897293049082</v>
      </c>
      <c r="S110" s="106">
        <v>29564.897293049082</v>
      </c>
      <c r="T110" s="106">
        <v>29564.897293049082</v>
      </c>
      <c r="U110" s="106">
        <v>29564.897293049082</v>
      </c>
      <c r="V110" s="106">
        <v>29564.897293049082</v>
      </c>
      <c r="W110" s="106">
        <v>29564.897293049082</v>
      </c>
      <c r="X110" s="106">
        <v>29564.897293049082</v>
      </c>
      <c r="Y110" s="106">
        <v>29564.897293049082</v>
      </c>
      <c r="Z110" s="106">
        <v>29564.897293049082</v>
      </c>
      <c r="AA110" s="106">
        <v>29564.897293049082</v>
      </c>
      <c r="AB110" s="106">
        <v>29564.897293049082</v>
      </c>
      <c r="AC110" s="106">
        <v>29564.897293049082</v>
      </c>
      <c r="AD110" s="106">
        <v>29564.897293049082</v>
      </c>
      <c r="AE110" s="106">
        <v>29564.897293049082</v>
      </c>
      <c r="AF110" s="106">
        <v>29564.897293049082</v>
      </c>
      <c r="AG110" s="106">
        <v>29564.897293049082</v>
      </c>
      <c r="AH110" s="106">
        <v>29564.897293049082</v>
      </c>
      <c r="AI110" s="106">
        <v>29564.897293049082</v>
      </c>
      <c r="AJ110" s="106">
        <v>29564.897293049082</v>
      </c>
      <c r="AK110" s="106">
        <v>29564.897293049082</v>
      </c>
      <c r="AL110" s="106">
        <v>29564.897293049082</v>
      </c>
      <c r="AM110" s="106">
        <v>29564.897293049082</v>
      </c>
      <c r="AN110" s="106">
        <v>29564.897293049082</v>
      </c>
      <c r="AO110" s="106">
        <v>29564.897293049082</v>
      </c>
      <c r="AP110" s="106">
        <v>29564.897293049082</v>
      </c>
      <c r="AQ110" s="106">
        <v>29564.897293049082</v>
      </c>
      <c r="AR110" s="106">
        <v>29564.897293049082</v>
      </c>
      <c r="AS110" s="106">
        <v>29564.897293049082</v>
      </c>
      <c r="AT110" s="106">
        <v>29564.897293049082</v>
      </c>
      <c r="AU110" s="106">
        <v>29564.897293049082</v>
      </c>
      <c r="AV110" s="106">
        <v>29564.897293049082</v>
      </c>
      <c r="AW110" s="106">
        <v>29564.897293049082</v>
      </c>
      <c r="AX110" s="106">
        <v>29564.897293049082</v>
      </c>
    </row>
    <row r="111" spans="1:50" x14ac:dyDescent="0.2">
      <c r="B111" s="111" t="s">
        <v>59</v>
      </c>
      <c r="C111" s="106">
        <v>552297.46944132389</v>
      </c>
      <c r="D111" s="106">
        <v>552297.46944132389</v>
      </c>
      <c r="E111" s="106">
        <v>552297.46944132389</v>
      </c>
      <c r="F111" s="106">
        <v>552297.46944132389</v>
      </c>
      <c r="G111" s="106">
        <v>552297.46944132389</v>
      </c>
      <c r="H111" s="106">
        <v>552297.46944132389</v>
      </c>
      <c r="I111" s="106">
        <v>552297.46944132389</v>
      </c>
      <c r="J111" s="106">
        <v>552297.46944132389</v>
      </c>
      <c r="K111" s="106">
        <v>552297.46944132389</v>
      </c>
      <c r="L111" s="106">
        <v>552297.46944132389</v>
      </c>
      <c r="M111" s="106">
        <v>552297.46944132389</v>
      </c>
      <c r="N111" s="106">
        <v>552297.46944132389</v>
      </c>
      <c r="O111" s="106">
        <v>552297.46944132389</v>
      </c>
      <c r="P111" s="106">
        <v>552297.46944132389</v>
      </c>
      <c r="Q111" s="106">
        <v>552297.46944132389</v>
      </c>
      <c r="R111" s="106">
        <v>552297.46944132389</v>
      </c>
      <c r="S111" s="106">
        <v>552297.46944132389</v>
      </c>
      <c r="T111" s="106">
        <v>552297.46944132389</v>
      </c>
      <c r="U111" s="106">
        <v>552297.46944132389</v>
      </c>
      <c r="V111" s="106">
        <v>552297.46944132389</v>
      </c>
      <c r="W111" s="106">
        <v>552297.46944132389</v>
      </c>
      <c r="X111" s="106">
        <v>552297.46944132389</v>
      </c>
      <c r="Y111" s="106">
        <v>552297.46944132389</v>
      </c>
      <c r="Z111" s="106">
        <v>552297.46944132389</v>
      </c>
      <c r="AA111" s="106">
        <v>552297.46944132389</v>
      </c>
      <c r="AB111" s="106">
        <v>552297.46944132389</v>
      </c>
      <c r="AC111" s="106">
        <v>552297.46944132389</v>
      </c>
      <c r="AD111" s="106">
        <v>552297.46944132389</v>
      </c>
      <c r="AE111" s="106">
        <v>552297.46944132389</v>
      </c>
      <c r="AF111" s="106">
        <v>552297.46944132389</v>
      </c>
      <c r="AG111" s="106">
        <v>552297.46944132389</v>
      </c>
      <c r="AH111" s="106">
        <v>552297.46944132389</v>
      </c>
      <c r="AI111" s="106">
        <v>552297.46944132389</v>
      </c>
      <c r="AJ111" s="106">
        <v>552297.46944132389</v>
      </c>
      <c r="AK111" s="106">
        <v>552297.46944132389</v>
      </c>
      <c r="AL111" s="106">
        <v>552297.46944132389</v>
      </c>
      <c r="AM111" s="106">
        <v>552297.46944132389</v>
      </c>
      <c r="AN111" s="106">
        <v>552297.46944132389</v>
      </c>
      <c r="AO111" s="106">
        <v>552297.46944132389</v>
      </c>
      <c r="AP111" s="106">
        <v>552297.46944132389</v>
      </c>
      <c r="AQ111" s="106">
        <v>552297.46944132389</v>
      </c>
      <c r="AR111" s="106">
        <v>552297.46944132389</v>
      </c>
      <c r="AS111" s="106">
        <v>552297.46944132389</v>
      </c>
      <c r="AT111" s="106">
        <v>552297.46944132389</v>
      </c>
      <c r="AU111" s="106">
        <v>552297.46944132389</v>
      </c>
      <c r="AV111" s="106">
        <v>552297.46944132389</v>
      </c>
      <c r="AW111" s="106">
        <v>552297.46944132389</v>
      </c>
      <c r="AX111" s="106">
        <v>552297.46944132389</v>
      </c>
    </row>
    <row r="112" spans="1:50" x14ac:dyDescent="0.2">
      <c r="B112" s="107" t="s">
        <v>279</v>
      </c>
      <c r="C112" s="111">
        <f>SUM(C$108:C$111)</f>
        <v>581862.36673437292</v>
      </c>
      <c r="D112" s="111">
        <f t="shared" ref="D112:AX112" si="7">SUM(D$108:D$111)</f>
        <v>581862.36673437292</v>
      </c>
      <c r="E112" s="111">
        <f t="shared" si="7"/>
        <v>581862.36673437292</v>
      </c>
      <c r="F112" s="111">
        <f t="shared" si="7"/>
        <v>581862.36673437292</v>
      </c>
      <c r="G112" s="111">
        <f t="shared" si="7"/>
        <v>581862.36673437292</v>
      </c>
      <c r="H112" s="111">
        <f t="shared" si="7"/>
        <v>581862.36673437292</v>
      </c>
      <c r="I112" s="111">
        <f t="shared" si="7"/>
        <v>581862.36673437292</v>
      </c>
      <c r="J112" s="111">
        <f t="shared" si="7"/>
        <v>581862.36673437292</v>
      </c>
      <c r="K112" s="111">
        <f t="shared" si="7"/>
        <v>581862.36673437292</v>
      </c>
      <c r="L112" s="111">
        <f t="shared" si="7"/>
        <v>581862.36673437292</v>
      </c>
      <c r="M112" s="111">
        <f t="shared" si="7"/>
        <v>581862.36673437292</v>
      </c>
      <c r="N112" s="111">
        <f t="shared" si="7"/>
        <v>581862.36673437292</v>
      </c>
      <c r="O112" s="111">
        <f t="shared" si="7"/>
        <v>581862.36673437292</v>
      </c>
      <c r="P112" s="111">
        <f t="shared" si="7"/>
        <v>581862.36673437292</v>
      </c>
      <c r="Q112" s="111">
        <f t="shared" si="7"/>
        <v>581862.36673437292</v>
      </c>
      <c r="R112" s="111">
        <f t="shared" si="7"/>
        <v>581862.36673437292</v>
      </c>
      <c r="S112" s="111">
        <f t="shared" si="7"/>
        <v>581862.36673437292</v>
      </c>
      <c r="T112" s="111">
        <f t="shared" si="7"/>
        <v>581862.36673437292</v>
      </c>
      <c r="U112" s="111">
        <f t="shared" si="7"/>
        <v>581862.36673437292</v>
      </c>
      <c r="V112" s="111">
        <f t="shared" si="7"/>
        <v>581862.36673437292</v>
      </c>
      <c r="W112" s="111">
        <f t="shared" si="7"/>
        <v>581862.36673437292</v>
      </c>
      <c r="X112" s="111">
        <f t="shared" si="7"/>
        <v>581862.36673437292</v>
      </c>
      <c r="Y112" s="111">
        <f t="shared" si="7"/>
        <v>581862.36673437292</v>
      </c>
      <c r="Z112" s="111">
        <f t="shared" si="7"/>
        <v>581862.36673437292</v>
      </c>
      <c r="AA112" s="111">
        <f t="shared" si="7"/>
        <v>581862.36673437292</v>
      </c>
      <c r="AB112" s="111">
        <f t="shared" si="7"/>
        <v>581862.36673437292</v>
      </c>
      <c r="AC112" s="111">
        <f t="shared" si="7"/>
        <v>581862.36673437292</v>
      </c>
      <c r="AD112" s="111">
        <f t="shared" si="7"/>
        <v>581862.36673437292</v>
      </c>
      <c r="AE112" s="111">
        <f t="shared" si="7"/>
        <v>581862.36673437292</v>
      </c>
      <c r="AF112" s="111">
        <f t="shared" si="7"/>
        <v>581862.36673437292</v>
      </c>
      <c r="AG112" s="111">
        <f t="shared" si="7"/>
        <v>581862.36673437292</v>
      </c>
      <c r="AH112" s="111">
        <f t="shared" si="7"/>
        <v>581862.36673437292</v>
      </c>
      <c r="AI112" s="111">
        <f t="shared" si="7"/>
        <v>581862.36673437292</v>
      </c>
      <c r="AJ112" s="111">
        <f t="shared" si="7"/>
        <v>581862.36673437292</v>
      </c>
      <c r="AK112" s="111">
        <f t="shared" si="7"/>
        <v>581862.36673437292</v>
      </c>
      <c r="AL112" s="111">
        <f t="shared" si="7"/>
        <v>581862.36673437292</v>
      </c>
      <c r="AM112" s="111">
        <f t="shared" si="7"/>
        <v>581862.36673437292</v>
      </c>
      <c r="AN112" s="111">
        <f t="shared" si="7"/>
        <v>581862.36673437292</v>
      </c>
      <c r="AO112" s="111">
        <f t="shared" si="7"/>
        <v>581862.36673437292</v>
      </c>
      <c r="AP112" s="111">
        <f t="shared" si="7"/>
        <v>581862.36673437292</v>
      </c>
      <c r="AQ112" s="111">
        <f t="shared" si="7"/>
        <v>581862.36673437292</v>
      </c>
      <c r="AR112" s="111">
        <f t="shared" si="7"/>
        <v>581862.36673437292</v>
      </c>
      <c r="AS112" s="111">
        <f t="shared" si="7"/>
        <v>581862.36673437292</v>
      </c>
      <c r="AT112" s="111">
        <f t="shared" si="7"/>
        <v>581862.36673437292</v>
      </c>
      <c r="AU112" s="111">
        <f t="shared" si="7"/>
        <v>581862.36673437292</v>
      </c>
      <c r="AV112" s="111">
        <f t="shared" si="7"/>
        <v>581862.36673437292</v>
      </c>
      <c r="AW112" s="111">
        <f t="shared" si="7"/>
        <v>581862.36673437292</v>
      </c>
      <c r="AX112" s="111">
        <f t="shared" si="7"/>
        <v>581862.36673437292</v>
      </c>
    </row>
    <row r="113" spans="1:50" x14ac:dyDescent="0.2">
      <c r="A113" s="111" t="s">
        <v>107</v>
      </c>
      <c r="B113" s="111" t="s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</row>
    <row r="114" spans="1:50" x14ac:dyDescent="0.2">
      <c r="B114" s="111" t="s">
        <v>12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</row>
    <row r="115" spans="1:50" x14ac:dyDescent="0.2">
      <c r="B115" s="111" t="s">
        <v>22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</row>
    <row r="116" spans="1:50" x14ac:dyDescent="0.2">
      <c r="B116" s="111" t="s">
        <v>59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06" t="s">
        <v>279</v>
      </c>
      <c r="C117" s="111">
        <f>SUM(C$113:C$116)</f>
        <v>0</v>
      </c>
      <c r="D117" s="111">
        <f t="shared" ref="D117:AX117" si="8">SUM(D$113:D$116)</f>
        <v>0</v>
      </c>
      <c r="E117" s="111">
        <f t="shared" si="8"/>
        <v>0</v>
      </c>
      <c r="F117" s="111">
        <f t="shared" si="8"/>
        <v>0</v>
      </c>
      <c r="G117" s="111">
        <f t="shared" si="8"/>
        <v>0</v>
      </c>
      <c r="H117" s="111">
        <f t="shared" si="8"/>
        <v>0</v>
      </c>
      <c r="I117" s="111">
        <f t="shared" si="8"/>
        <v>0</v>
      </c>
      <c r="J117" s="111">
        <f t="shared" si="8"/>
        <v>0</v>
      </c>
      <c r="K117" s="111">
        <f t="shared" si="8"/>
        <v>0</v>
      </c>
      <c r="L117" s="111">
        <f t="shared" si="8"/>
        <v>0</v>
      </c>
      <c r="M117" s="111">
        <f t="shared" si="8"/>
        <v>0</v>
      </c>
      <c r="N117" s="111">
        <f t="shared" si="8"/>
        <v>0</v>
      </c>
      <c r="O117" s="111">
        <f t="shared" si="8"/>
        <v>0</v>
      </c>
      <c r="P117" s="111">
        <f t="shared" si="8"/>
        <v>0</v>
      </c>
      <c r="Q117" s="111">
        <f t="shared" si="8"/>
        <v>0</v>
      </c>
      <c r="R117" s="111">
        <f t="shared" si="8"/>
        <v>0</v>
      </c>
      <c r="S117" s="111">
        <f t="shared" si="8"/>
        <v>0</v>
      </c>
      <c r="T117" s="111">
        <f t="shared" si="8"/>
        <v>0</v>
      </c>
      <c r="U117" s="111">
        <f t="shared" si="8"/>
        <v>0</v>
      </c>
      <c r="V117" s="111">
        <f t="shared" si="8"/>
        <v>0</v>
      </c>
      <c r="W117" s="111">
        <f t="shared" si="8"/>
        <v>0</v>
      </c>
      <c r="X117" s="111">
        <f t="shared" si="8"/>
        <v>0</v>
      </c>
      <c r="Y117" s="111">
        <f t="shared" si="8"/>
        <v>0</v>
      </c>
      <c r="Z117" s="111">
        <f t="shared" si="8"/>
        <v>0</v>
      </c>
      <c r="AA117" s="111">
        <f t="shared" si="8"/>
        <v>0</v>
      </c>
      <c r="AB117" s="111">
        <f t="shared" si="8"/>
        <v>0</v>
      </c>
      <c r="AC117" s="111">
        <f t="shared" si="8"/>
        <v>0</v>
      </c>
      <c r="AD117" s="111">
        <f t="shared" si="8"/>
        <v>0</v>
      </c>
      <c r="AE117" s="111">
        <f t="shared" si="8"/>
        <v>0</v>
      </c>
      <c r="AF117" s="111">
        <f t="shared" si="8"/>
        <v>0</v>
      </c>
      <c r="AG117" s="111">
        <f t="shared" si="8"/>
        <v>0</v>
      </c>
      <c r="AH117" s="111">
        <f t="shared" si="8"/>
        <v>0</v>
      </c>
      <c r="AI117" s="111">
        <f t="shared" si="8"/>
        <v>0</v>
      </c>
      <c r="AJ117" s="111">
        <f t="shared" si="8"/>
        <v>0</v>
      </c>
      <c r="AK117" s="111">
        <f t="shared" si="8"/>
        <v>0</v>
      </c>
      <c r="AL117" s="111">
        <f t="shared" si="8"/>
        <v>0</v>
      </c>
      <c r="AM117" s="111">
        <f t="shared" si="8"/>
        <v>0</v>
      </c>
      <c r="AN117" s="111">
        <f t="shared" si="8"/>
        <v>0</v>
      </c>
      <c r="AO117" s="111">
        <f t="shared" si="8"/>
        <v>0</v>
      </c>
      <c r="AP117" s="111">
        <f t="shared" si="8"/>
        <v>0</v>
      </c>
      <c r="AQ117" s="111">
        <f t="shared" si="8"/>
        <v>0</v>
      </c>
      <c r="AR117" s="111">
        <f t="shared" si="8"/>
        <v>0</v>
      </c>
      <c r="AS117" s="111">
        <f t="shared" si="8"/>
        <v>0</v>
      </c>
      <c r="AT117" s="111">
        <f t="shared" si="8"/>
        <v>0</v>
      </c>
      <c r="AU117" s="111">
        <f t="shared" si="8"/>
        <v>0</v>
      </c>
      <c r="AV117" s="111">
        <f t="shared" si="8"/>
        <v>0</v>
      </c>
      <c r="AW117" s="111">
        <f t="shared" si="8"/>
        <v>0</v>
      </c>
      <c r="AX117" s="111">
        <f t="shared" si="8"/>
        <v>0</v>
      </c>
    </row>
    <row r="118" spans="1:50" x14ac:dyDescent="0.2">
      <c r="A118" s="111" t="s">
        <v>108</v>
      </c>
      <c r="B118" s="111" t="s">
        <v>5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12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22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11" t="s">
        <v>59</v>
      </c>
      <c r="C121" s="106">
        <v>0</v>
      </c>
      <c r="D121" s="106">
        <v>0</v>
      </c>
      <c r="E121" s="106">
        <v>0</v>
      </c>
      <c r="F121" s="106">
        <v>0</v>
      </c>
      <c r="G121" s="106">
        <v>0</v>
      </c>
      <c r="H121" s="106">
        <v>0</v>
      </c>
      <c r="I121" s="106">
        <v>0</v>
      </c>
      <c r="J121" s="106">
        <v>0</v>
      </c>
      <c r="K121" s="106">
        <v>0</v>
      </c>
      <c r="L121" s="106">
        <v>0</v>
      </c>
      <c r="M121" s="106">
        <v>0</v>
      </c>
      <c r="N121" s="106">
        <v>0</v>
      </c>
      <c r="O121" s="106">
        <v>0</v>
      </c>
      <c r="P121" s="106">
        <v>0</v>
      </c>
      <c r="Q121" s="106">
        <v>0</v>
      </c>
      <c r="R121" s="106">
        <v>0</v>
      </c>
      <c r="S121" s="106">
        <v>0</v>
      </c>
      <c r="T121" s="106">
        <v>0</v>
      </c>
      <c r="U121" s="106">
        <v>0</v>
      </c>
      <c r="V121" s="106">
        <v>0</v>
      </c>
      <c r="W121" s="106">
        <v>0</v>
      </c>
      <c r="X121" s="106">
        <v>0</v>
      </c>
      <c r="Y121" s="106">
        <v>0</v>
      </c>
      <c r="Z121" s="106">
        <v>0</v>
      </c>
      <c r="AA121" s="106">
        <v>0</v>
      </c>
      <c r="AB121" s="106">
        <v>0</v>
      </c>
      <c r="AC121" s="106">
        <v>0</v>
      </c>
      <c r="AD121" s="106">
        <v>0</v>
      </c>
      <c r="AE121" s="106">
        <v>0</v>
      </c>
      <c r="AF121" s="106">
        <v>0</v>
      </c>
      <c r="AG121" s="106">
        <v>0</v>
      </c>
      <c r="AH121" s="106">
        <v>0</v>
      </c>
      <c r="AI121" s="106">
        <v>0</v>
      </c>
      <c r="AJ121" s="106">
        <v>0</v>
      </c>
      <c r="AK121" s="106">
        <v>0</v>
      </c>
      <c r="AL121" s="106">
        <v>0</v>
      </c>
      <c r="AM121" s="106">
        <v>0</v>
      </c>
      <c r="AN121" s="106">
        <v>0</v>
      </c>
      <c r="AO121" s="106">
        <v>0</v>
      </c>
      <c r="AP121" s="106">
        <v>0</v>
      </c>
      <c r="AQ121" s="106">
        <v>0</v>
      </c>
      <c r="AR121" s="106">
        <v>0</v>
      </c>
      <c r="AS121" s="106">
        <v>0</v>
      </c>
      <c r="AT121" s="106">
        <v>0</v>
      </c>
      <c r="AU121" s="106">
        <v>0</v>
      </c>
      <c r="AV121" s="106">
        <v>0</v>
      </c>
      <c r="AW121" s="106">
        <v>0</v>
      </c>
      <c r="AX121" s="106">
        <v>0</v>
      </c>
    </row>
    <row r="122" spans="1:50" x14ac:dyDescent="0.2">
      <c r="B122" s="106" t="s">
        <v>279</v>
      </c>
      <c r="C122" s="111">
        <f>SUM(C$118:C$121)</f>
        <v>0</v>
      </c>
      <c r="D122" s="111">
        <f t="shared" ref="D122:AX122" si="9">SUM(D$118:D$121)</f>
        <v>0</v>
      </c>
      <c r="E122" s="111">
        <f t="shared" si="9"/>
        <v>0</v>
      </c>
      <c r="F122" s="111">
        <f t="shared" si="9"/>
        <v>0</v>
      </c>
      <c r="G122" s="111">
        <f t="shared" si="9"/>
        <v>0</v>
      </c>
      <c r="H122" s="111">
        <f t="shared" si="9"/>
        <v>0</v>
      </c>
      <c r="I122" s="111">
        <f t="shared" si="9"/>
        <v>0</v>
      </c>
      <c r="J122" s="111">
        <f t="shared" si="9"/>
        <v>0</v>
      </c>
      <c r="K122" s="111">
        <f t="shared" si="9"/>
        <v>0</v>
      </c>
      <c r="L122" s="111">
        <f t="shared" si="9"/>
        <v>0</v>
      </c>
      <c r="M122" s="111">
        <f t="shared" si="9"/>
        <v>0</v>
      </c>
      <c r="N122" s="111">
        <f t="shared" si="9"/>
        <v>0</v>
      </c>
      <c r="O122" s="111">
        <f t="shared" si="9"/>
        <v>0</v>
      </c>
      <c r="P122" s="111">
        <f t="shared" si="9"/>
        <v>0</v>
      </c>
      <c r="Q122" s="111">
        <f t="shared" si="9"/>
        <v>0</v>
      </c>
      <c r="R122" s="111">
        <f t="shared" si="9"/>
        <v>0</v>
      </c>
      <c r="S122" s="111">
        <f t="shared" si="9"/>
        <v>0</v>
      </c>
      <c r="T122" s="111">
        <f t="shared" si="9"/>
        <v>0</v>
      </c>
      <c r="U122" s="111">
        <f t="shared" si="9"/>
        <v>0</v>
      </c>
      <c r="V122" s="111">
        <f t="shared" si="9"/>
        <v>0</v>
      </c>
      <c r="W122" s="111">
        <f t="shared" si="9"/>
        <v>0</v>
      </c>
      <c r="X122" s="111">
        <f t="shared" si="9"/>
        <v>0</v>
      </c>
      <c r="Y122" s="111">
        <f t="shared" si="9"/>
        <v>0</v>
      </c>
      <c r="Z122" s="111">
        <f t="shared" si="9"/>
        <v>0</v>
      </c>
      <c r="AA122" s="111">
        <f t="shared" si="9"/>
        <v>0</v>
      </c>
      <c r="AB122" s="111">
        <f t="shared" si="9"/>
        <v>0</v>
      </c>
      <c r="AC122" s="111">
        <f t="shared" si="9"/>
        <v>0</v>
      </c>
      <c r="AD122" s="111">
        <f t="shared" si="9"/>
        <v>0</v>
      </c>
      <c r="AE122" s="111">
        <f t="shared" si="9"/>
        <v>0</v>
      </c>
      <c r="AF122" s="111">
        <f t="shared" si="9"/>
        <v>0</v>
      </c>
      <c r="AG122" s="111">
        <f t="shared" si="9"/>
        <v>0</v>
      </c>
      <c r="AH122" s="111">
        <f t="shared" si="9"/>
        <v>0</v>
      </c>
      <c r="AI122" s="111">
        <f t="shared" si="9"/>
        <v>0</v>
      </c>
      <c r="AJ122" s="111">
        <f t="shared" si="9"/>
        <v>0</v>
      </c>
      <c r="AK122" s="111">
        <f t="shared" si="9"/>
        <v>0</v>
      </c>
      <c r="AL122" s="111">
        <f t="shared" si="9"/>
        <v>0</v>
      </c>
      <c r="AM122" s="111">
        <f t="shared" si="9"/>
        <v>0</v>
      </c>
      <c r="AN122" s="111">
        <f t="shared" si="9"/>
        <v>0</v>
      </c>
      <c r="AO122" s="111">
        <f t="shared" si="9"/>
        <v>0</v>
      </c>
      <c r="AP122" s="111">
        <f t="shared" si="9"/>
        <v>0</v>
      </c>
      <c r="AQ122" s="111">
        <f t="shared" si="9"/>
        <v>0</v>
      </c>
      <c r="AR122" s="111">
        <f t="shared" si="9"/>
        <v>0</v>
      </c>
      <c r="AS122" s="111">
        <f t="shared" si="9"/>
        <v>0</v>
      </c>
      <c r="AT122" s="111">
        <f t="shared" si="9"/>
        <v>0</v>
      </c>
      <c r="AU122" s="111">
        <f t="shared" si="9"/>
        <v>0</v>
      </c>
      <c r="AV122" s="111">
        <f t="shared" si="9"/>
        <v>0</v>
      </c>
      <c r="AW122" s="111">
        <f t="shared" si="9"/>
        <v>0</v>
      </c>
      <c r="AX122" s="111">
        <f t="shared" si="9"/>
        <v>0</v>
      </c>
    </row>
    <row r="123" spans="1:50" x14ac:dyDescent="0.2">
      <c r="A123" s="111" t="s">
        <v>109</v>
      </c>
      <c r="B123" s="111" t="s">
        <v>5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279</v>
      </c>
      <c r="C127" s="111">
        <f>SUM(C$123:C$126)</f>
        <v>0</v>
      </c>
      <c r="D127" s="111">
        <f t="shared" ref="D127:AX127" si="10">SUM(D$123:D$126)</f>
        <v>0</v>
      </c>
      <c r="E127" s="111">
        <f t="shared" si="10"/>
        <v>0</v>
      </c>
      <c r="F127" s="111">
        <f t="shared" si="10"/>
        <v>0</v>
      </c>
      <c r="G127" s="111">
        <f t="shared" si="10"/>
        <v>0</v>
      </c>
      <c r="H127" s="111">
        <f t="shared" si="10"/>
        <v>0</v>
      </c>
      <c r="I127" s="111">
        <f t="shared" si="10"/>
        <v>0</v>
      </c>
      <c r="J127" s="111">
        <f t="shared" si="10"/>
        <v>0</v>
      </c>
      <c r="K127" s="111">
        <f t="shared" si="10"/>
        <v>0</v>
      </c>
      <c r="L127" s="111">
        <f t="shared" si="10"/>
        <v>0</v>
      </c>
      <c r="M127" s="111">
        <f t="shared" si="10"/>
        <v>0</v>
      </c>
      <c r="N127" s="111">
        <f t="shared" si="10"/>
        <v>0</v>
      </c>
      <c r="O127" s="111">
        <f t="shared" si="10"/>
        <v>0</v>
      </c>
      <c r="P127" s="111">
        <f t="shared" si="10"/>
        <v>0</v>
      </c>
      <c r="Q127" s="111">
        <f t="shared" si="10"/>
        <v>0</v>
      </c>
      <c r="R127" s="111">
        <f t="shared" si="10"/>
        <v>0</v>
      </c>
      <c r="S127" s="111">
        <f t="shared" si="10"/>
        <v>0</v>
      </c>
      <c r="T127" s="111">
        <f t="shared" si="10"/>
        <v>0</v>
      </c>
      <c r="U127" s="111">
        <f t="shared" si="10"/>
        <v>0</v>
      </c>
      <c r="V127" s="111">
        <f t="shared" si="10"/>
        <v>0</v>
      </c>
      <c r="W127" s="111">
        <f t="shared" si="10"/>
        <v>0</v>
      </c>
      <c r="X127" s="111">
        <f t="shared" si="10"/>
        <v>0</v>
      </c>
      <c r="Y127" s="111">
        <f t="shared" si="10"/>
        <v>0</v>
      </c>
      <c r="Z127" s="111">
        <f t="shared" si="10"/>
        <v>0</v>
      </c>
      <c r="AA127" s="111">
        <f t="shared" si="10"/>
        <v>0</v>
      </c>
      <c r="AB127" s="111">
        <f t="shared" si="10"/>
        <v>0</v>
      </c>
      <c r="AC127" s="111">
        <f t="shared" si="10"/>
        <v>0</v>
      </c>
      <c r="AD127" s="111">
        <f t="shared" si="10"/>
        <v>0</v>
      </c>
      <c r="AE127" s="111">
        <f t="shared" si="10"/>
        <v>0</v>
      </c>
      <c r="AF127" s="111">
        <f t="shared" si="10"/>
        <v>0</v>
      </c>
      <c r="AG127" s="111">
        <f t="shared" si="10"/>
        <v>0</v>
      </c>
      <c r="AH127" s="111">
        <f t="shared" si="10"/>
        <v>0</v>
      </c>
      <c r="AI127" s="111">
        <f t="shared" si="10"/>
        <v>0</v>
      </c>
      <c r="AJ127" s="111">
        <f t="shared" si="10"/>
        <v>0</v>
      </c>
      <c r="AK127" s="111">
        <f t="shared" si="10"/>
        <v>0</v>
      </c>
      <c r="AL127" s="111">
        <f t="shared" si="10"/>
        <v>0</v>
      </c>
      <c r="AM127" s="111">
        <f t="shared" si="10"/>
        <v>0</v>
      </c>
      <c r="AN127" s="111">
        <f t="shared" si="10"/>
        <v>0</v>
      </c>
      <c r="AO127" s="111">
        <f t="shared" si="10"/>
        <v>0</v>
      </c>
      <c r="AP127" s="111">
        <f t="shared" si="10"/>
        <v>0</v>
      </c>
      <c r="AQ127" s="111">
        <f t="shared" si="10"/>
        <v>0</v>
      </c>
      <c r="AR127" s="111">
        <f t="shared" si="10"/>
        <v>0</v>
      </c>
      <c r="AS127" s="111">
        <f t="shared" si="10"/>
        <v>0</v>
      </c>
      <c r="AT127" s="111">
        <f t="shared" si="10"/>
        <v>0</v>
      </c>
      <c r="AU127" s="111">
        <f t="shared" si="10"/>
        <v>0</v>
      </c>
      <c r="AV127" s="111">
        <f t="shared" si="10"/>
        <v>0</v>
      </c>
      <c r="AW127" s="111">
        <f t="shared" si="10"/>
        <v>0</v>
      </c>
      <c r="AX127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304</v>
      </c>
      <c r="B2" s="113" t="s">
        <v>5</v>
      </c>
      <c r="E2" s="116"/>
    </row>
    <row r="3" spans="1:52" x14ac:dyDescent="0.2">
      <c r="A3" s="106" t="s">
        <v>287</v>
      </c>
      <c r="B3" s="113">
        <v>1</v>
      </c>
      <c r="E3" s="116"/>
    </row>
    <row r="4" spans="1:52" x14ac:dyDescent="0.2">
      <c r="A4" s="108"/>
      <c r="C4" s="117" t="s">
        <v>288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305</v>
      </c>
      <c r="B6" s="120"/>
      <c r="C6" s="119" t="s">
        <v>289</v>
      </c>
      <c r="D6" s="118" t="s">
        <v>290</v>
      </c>
      <c r="E6" s="118" t="s">
        <v>290</v>
      </c>
      <c r="F6" s="118" t="s">
        <v>290</v>
      </c>
      <c r="G6" s="118" t="s">
        <v>290</v>
      </c>
      <c r="H6" s="118" t="s">
        <v>290</v>
      </c>
      <c r="I6" s="118" t="s">
        <v>290</v>
      </c>
      <c r="J6" s="118" t="s">
        <v>290</v>
      </c>
      <c r="K6" s="118" t="s">
        <v>290</v>
      </c>
      <c r="L6" s="118" t="s">
        <v>290</v>
      </c>
      <c r="M6" s="118" t="s">
        <v>290</v>
      </c>
      <c r="N6" s="118" t="s">
        <v>290</v>
      </c>
      <c r="O6" s="118" t="s">
        <v>290</v>
      </c>
      <c r="P6" s="118" t="s">
        <v>290</v>
      </c>
      <c r="Q6" s="118" t="s">
        <v>290</v>
      </c>
      <c r="R6" s="118" t="s">
        <v>290</v>
      </c>
      <c r="S6" s="118" t="s">
        <v>290</v>
      </c>
      <c r="T6" s="118" t="s">
        <v>290</v>
      </c>
      <c r="U6" s="118" t="s">
        <v>290</v>
      </c>
      <c r="V6" s="118" t="s">
        <v>290</v>
      </c>
      <c r="W6" s="118" t="s">
        <v>290</v>
      </c>
      <c r="X6" s="118" t="s">
        <v>290</v>
      </c>
      <c r="Y6" s="118" t="s">
        <v>290</v>
      </c>
      <c r="Z6" s="118" t="s">
        <v>290</v>
      </c>
      <c r="AA6" s="118" t="s">
        <v>290</v>
      </c>
      <c r="AB6" s="118" t="s">
        <v>290</v>
      </c>
      <c r="AC6" s="118" t="s">
        <v>290</v>
      </c>
      <c r="AD6" s="118" t="s">
        <v>290</v>
      </c>
      <c r="AE6" s="118" t="s">
        <v>290</v>
      </c>
      <c r="AF6" s="118" t="s">
        <v>290</v>
      </c>
      <c r="AG6" s="118" t="s">
        <v>290</v>
      </c>
      <c r="AH6" s="118" t="s">
        <v>290</v>
      </c>
      <c r="AI6" s="118" t="s">
        <v>290</v>
      </c>
      <c r="AJ6" s="118" t="s">
        <v>290</v>
      </c>
      <c r="AK6" s="118" t="s">
        <v>290</v>
      </c>
      <c r="AL6" s="118" t="s">
        <v>290</v>
      </c>
      <c r="AM6" s="118" t="s">
        <v>290</v>
      </c>
      <c r="AN6" s="118" t="s">
        <v>290</v>
      </c>
      <c r="AO6" s="118" t="s">
        <v>290</v>
      </c>
      <c r="AP6" s="118" t="s">
        <v>290</v>
      </c>
      <c r="AQ6" s="118" t="s">
        <v>290</v>
      </c>
      <c r="AR6" s="118" t="s">
        <v>290</v>
      </c>
      <c r="AS6" s="118" t="s">
        <v>290</v>
      </c>
      <c r="AT6" s="118" t="s">
        <v>290</v>
      </c>
      <c r="AU6" s="118" t="s">
        <v>290</v>
      </c>
      <c r="AV6" s="118" t="s">
        <v>290</v>
      </c>
      <c r="AW6" s="118" t="s">
        <v>290</v>
      </c>
      <c r="AX6" s="118" t="s">
        <v>290</v>
      </c>
      <c r="AY6" s="117" t="s">
        <v>291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294</v>
      </c>
      <c r="D7" s="150">
        <v>1094.9906104996849</v>
      </c>
      <c r="E7" s="150">
        <v>1094.9906104996849</v>
      </c>
      <c r="F7" s="150">
        <v>1094.9906104996849</v>
      </c>
      <c r="G7" s="150">
        <v>1094.9906104996849</v>
      </c>
      <c r="H7" s="150">
        <v>973.32498711083099</v>
      </c>
      <c r="I7" s="150">
        <v>973.32498711083099</v>
      </c>
      <c r="J7" s="150">
        <v>973.32498711083099</v>
      </c>
      <c r="K7" s="150">
        <v>973.32498711083099</v>
      </c>
      <c r="L7" s="150">
        <v>973.32498711083099</v>
      </c>
      <c r="M7" s="150">
        <v>973.32498711083099</v>
      </c>
      <c r="N7" s="150">
        <v>973.32498711083099</v>
      </c>
      <c r="O7" s="150">
        <v>973.32498711083099</v>
      </c>
      <c r="P7" s="150">
        <v>1094.9906104996849</v>
      </c>
      <c r="Q7" s="150">
        <v>1094.9906104996849</v>
      </c>
      <c r="R7" s="150">
        <v>1094.9906104996849</v>
      </c>
      <c r="S7" s="150">
        <v>1094.9906104996849</v>
      </c>
      <c r="T7" s="150">
        <v>973.32498711083099</v>
      </c>
      <c r="U7" s="150">
        <v>973.32498711083099</v>
      </c>
      <c r="V7" s="150">
        <v>973.32498711083099</v>
      </c>
      <c r="W7" s="150">
        <v>973.32498711083099</v>
      </c>
      <c r="X7" s="150">
        <v>973.32498711083099</v>
      </c>
      <c r="Y7" s="150">
        <v>973.32498711083099</v>
      </c>
      <c r="Z7" s="150">
        <v>973.32498711083099</v>
      </c>
      <c r="AA7" s="150">
        <v>973.32498711083099</v>
      </c>
      <c r="AB7" s="150">
        <v>1094.9906104996849</v>
      </c>
      <c r="AC7" s="150">
        <v>1094.9906104996849</v>
      </c>
      <c r="AD7" s="150">
        <v>1094.9906104996849</v>
      </c>
      <c r="AE7" s="150">
        <v>1094.9906104996849</v>
      </c>
      <c r="AF7" s="150">
        <v>973.32498711083099</v>
      </c>
      <c r="AG7" s="150">
        <v>973.32498711083099</v>
      </c>
      <c r="AH7" s="150">
        <v>973.32498711083099</v>
      </c>
      <c r="AI7" s="150">
        <v>973.32498711083099</v>
      </c>
      <c r="AJ7" s="150">
        <v>973.32498711083099</v>
      </c>
      <c r="AK7" s="150">
        <v>973.32498711083099</v>
      </c>
      <c r="AL7" s="150">
        <v>973.32498711083099</v>
      </c>
      <c r="AM7" s="150">
        <v>973.32498711083099</v>
      </c>
      <c r="AN7" s="150">
        <v>1094.9906104996849</v>
      </c>
      <c r="AO7" s="150">
        <v>1094.9906104996849</v>
      </c>
      <c r="AP7" s="150">
        <v>1094.9906104996849</v>
      </c>
      <c r="AQ7" s="150">
        <v>1094.9906104996849</v>
      </c>
      <c r="AR7" s="150">
        <v>973.32498711083099</v>
      </c>
      <c r="AS7" s="150">
        <v>973.32498711083099</v>
      </c>
      <c r="AT7" s="150">
        <v>973.32498711083099</v>
      </c>
      <c r="AU7" s="150">
        <v>973.32498711083099</v>
      </c>
      <c r="AV7" s="150">
        <v>973.32498711083099</v>
      </c>
      <c r="AW7" s="150">
        <v>973.32498711083099</v>
      </c>
      <c r="AX7" s="150">
        <v>973.32498711083099</v>
      </c>
      <c r="AY7" s="150">
        <v>973.32498711083099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295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294</v>
      </c>
      <c r="D10" s="150">
        <f t="shared" ref="D10:AY10" si="0">MAX(SUM(D$14:D$16)+D$7-$B$3,0)</f>
        <v>1093.9906104996849</v>
      </c>
      <c r="E10" s="150">
        <f t="shared" si="0"/>
        <v>1093.9906104996849</v>
      </c>
      <c r="F10" s="150">
        <f t="shared" si="0"/>
        <v>1093.9906104996849</v>
      </c>
      <c r="G10" s="150">
        <f t="shared" si="0"/>
        <v>1093.9906104996849</v>
      </c>
      <c r="H10" s="150">
        <f t="shared" si="0"/>
        <v>972.32498711083099</v>
      </c>
      <c r="I10" s="150">
        <f t="shared" si="0"/>
        <v>972.32498711083099</v>
      </c>
      <c r="J10" s="150">
        <f t="shared" si="0"/>
        <v>972.32498711083099</v>
      </c>
      <c r="K10" s="150">
        <f t="shared" si="0"/>
        <v>972.32498711083099</v>
      </c>
      <c r="L10" s="150">
        <f t="shared" si="0"/>
        <v>972.32498711083099</v>
      </c>
      <c r="M10" s="150">
        <f t="shared" si="0"/>
        <v>972.32498711083099</v>
      </c>
      <c r="N10" s="150">
        <f t="shared" si="0"/>
        <v>972.32498711083099</v>
      </c>
      <c r="O10" s="150">
        <f t="shared" si="0"/>
        <v>972.32498711083099</v>
      </c>
      <c r="P10" s="150">
        <f t="shared" si="0"/>
        <v>1093.9906104996849</v>
      </c>
      <c r="Q10" s="150">
        <f t="shared" si="0"/>
        <v>1093.9906104996849</v>
      </c>
      <c r="R10" s="150">
        <f t="shared" si="0"/>
        <v>1093.9906104996849</v>
      </c>
      <c r="S10" s="150">
        <f t="shared" si="0"/>
        <v>1093.9906104996849</v>
      </c>
      <c r="T10" s="150">
        <f t="shared" si="0"/>
        <v>972.32498711083099</v>
      </c>
      <c r="U10" s="150">
        <f t="shared" si="0"/>
        <v>972.32498711083099</v>
      </c>
      <c r="V10" s="150">
        <f t="shared" si="0"/>
        <v>972.32498711083099</v>
      </c>
      <c r="W10" s="150">
        <f t="shared" si="0"/>
        <v>972.32498711083099</v>
      </c>
      <c r="X10" s="150">
        <f t="shared" si="0"/>
        <v>972.32498711083099</v>
      </c>
      <c r="Y10" s="150">
        <f t="shared" si="0"/>
        <v>972.32498711083099</v>
      </c>
      <c r="Z10" s="150">
        <f t="shared" si="0"/>
        <v>972.32498711083099</v>
      </c>
      <c r="AA10" s="150">
        <f t="shared" si="0"/>
        <v>972.32498711083099</v>
      </c>
      <c r="AB10" s="150">
        <f t="shared" si="0"/>
        <v>1093.9906104996849</v>
      </c>
      <c r="AC10" s="150">
        <f t="shared" si="0"/>
        <v>1093.9906104996849</v>
      </c>
      <c r="AD10" s="150">
        <f t="shared" si="0"/>
        <v>1093.9906104996849</v>
      </c>
      <c r="AE10" s="150">
        <f t="shared" si="0"/>
        <v>1093.9906104996849</v>
      </c>
      <c r="AF10" s="150">
        <f t="shared" si="0"/>
        <v>972.32498711083099</v>
      </c>
      <c r="AG10" s="150">
        <f t="shared" si="0"/>
        <v>972.32498711083099</v>
      </c>
      <c r="AH10" s="150">
        <f t="shared" si="0"/>
        <v>972.32498711083099</v>
      </c>
      <c r="AI10" s="150">
        <f t="shared" si="0"/>
        <v>972.32498711083099</v>
      </c>
      <c r="AJ10" s="150">
        <f t="shared" si="0"/>
        <v>972.32498711083099</v>
      </c>
      <c r="AK10" s="150">
        <f t="shared" si="0"/>
        <v>972.32498711083099</v>
      </c>
      <c r="AL10" s="150">
        <f t="shared" si="0"/>
        <v>972.32498711083099</v>
      </c>
      <c r="AM10" s="150">
        <f t="shared" si="0"/>
        <v>972.32498711083099</v>
      </c>
      <c r="AN10" s="150">
        <f t="shared" si="0"/>
        <v>1093.9906104996849</v>
      </c>
      <c r="AO10" s="150">
        <f t="shared" si="0"/>
        <v>1093.9906104996849</v>
      </c>
      <c r="AP10" s="150">
        <f t="shared" si="0"/>
        <v>1093.9906104996849</v>
      </c>
      <c r="AQ10" s="150">
        <f t="shared" si="0"/>
        <v>1093.9906104996849</v>
      </c>
      <c r="AR10" s="150">
        <f t="shared" si="0"/>
        <v>972.32498711083099</v>
      </c>
      <c r="AS10" s="150">
        <f t="shared" si="0"/>
        <v>972.32498711083099</v>
      </c>
      <c r="AT10" s="150">
        <f t="shared" si="0"/>
        <v>972.32498711083099</v>
      </c>
      <c r="AU10" s="150">
        <f t="shared" si="0"/>
        <v>972.32498711083099</v>
      </c>
      <c r="AV10" s="150">
        <f t="shared" si="0"/>
        <v>972.32498711083099</v>
      </c>
      <c r="AW10" s="150">
        <f t="shared" si="0"/>
        <v>973.32498711083099</v>
      </c>
      <c r="AX10" s="150">
        <f t="shared" si="0"/>
        <v>972.32498711083099</v>
      </c>
      <c r="AY10" s="150">
        <f t="shared" si="0"/>
        <v>972.32498711083099</v>
      </c>
      <c r="AZ10" s="157">
        <f>SUM($D10:$AY10)</f>
        <v>48619.249355541513</v>
      </c>
    </row>
    <row r="11" spans="1:52" x14ac:dyDescent="0.2">
      <c r="C11" s="116"/>
    </row>
    <row r="12" spans="1:52" x14ac:dyDescent="0.2">
      <c r="A12" s="158" t="s">
        <v>296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11</v>
      </c>
      <c r="D13" s="144">
        <f t="shared" ref="D13:AY13" si="1">D$7-D$10</f>
        <v>1</v>
      </c>
      <c r="E13" s="144">
        <f t="shared" si="1"/>
        <v>1</v>
      </c>
      <c r="F13" s="144">
        <f t="shared" si="1"/>
        <v>1</v>
      </c>
      <c r="G13" s="144">
        <f t="shared" si="1"/>
        <v>1</v>
      </c>
      <c r="H13" s="144">
        <f t="shared" si="1"/>
        <v>1</v>
      </c>
      <c r="I13" s="144">
        <f t="shared" si="1"/>
        <v>1</v>
      </c>
      <c r="J13" s="144">
        <f t="shared" si="1"/>
        <v>1</v>
      </c>
      <c r="K13" s="144">
        <f t="shared" si="1"/>
        <v>1</v>
      </c>
      <c r="L13" s="144">
        <f t="shared" si="1"/>
        <v>1</v>
      </c>
      <c r="M13" s="144">
        <f t="shared" si="1"/>
        <v>1</v>
      </c>
      <c r="N13" s="144">
        <f t="shared" si="1"/>
        <v>1</v>
      </c>
      <c r="O13" s="144">
        <f t="shared" si="1"/>
        <v>1</v>
      </c>
      <c r="P13" s="144">
        <f t="shared" si="1"/>
        <v>1</v>
      </c>
      <c r="Q13" s="144">
        <f t="shared" si="1"/>
        <v>1</v>
      </c>
      <c r="R13" s="144">
        <f t="shared" si="1"/>
        <v>1</v>
      </c>
      <c r="S13" s="144">
        <f t="shared" si="1"/>
        <v>1</v>
      </c>
      <c r="T13" s="144">
        <f t="shared" si="1"/>
        <v>1</v>
      </c>
      <c r="U13" s="144">
        <f t="shared" si="1"/>
        <v>1</v>
      </c>
      <c r="V13" s="144">
        <f t="shared" si="1"/>
        <v>1</v>
      </c>
      <c r="W13" s="144">
        <f t="shared" si="1"/>
        <v>1</v>
      </c>
      <c r="X13" s="144">
        <f t="shared" si="1"/>
        <v>1</v>
      </c>
      <c r="Y13" s="144">
        <f t="shared" si="1"/>
        <v>1</v>
      </c>
      <c r="Z13" s="144">
        <f t="shared" si="1"/>
        <v>1</v>
      </c>
      <c r="AA13" s="144">
        <f t="shared" si="1"/>
        <v>1</v>
      </c>
      <c r="AB13" s="144">
        <f t="shared" si="1"/>
        <v>1</v>
      </c>
      <c r="AC13" s="144">
        <f t="shared" si="1"/>
        <v>1</v>
      </c>
      <c r="AD13" s="144">
        <f t="shared" si="1"/>
        <v>1</v>
      </c>
      <c r="AE13" s="144">
        <f t="shared" si="1"/>
        <v>1</v>
      </c>
      <c r="AF13" s="144">
        <f t="shared" si="1"/>
        <v>1</v>
      </c>
      <c r="AG13" s="144">
        <f t="shared" si="1"/>
        <v>1</v>
      </c>
      <c r="AH13" s="144">
        <f t="shared" si="1"/>
        <v>1</v>
      </c>
      <c r="AI13" s="144">
        <f t="shared" si="1"/>
        <v>1</v>
      </c>
      <c r="AJ13" s="144">
        <f t="shared" si="1"/>
        <v>1</v>
      </c>
      <c r="AK13" s="144">
        <f t="shared" si="1"/>
        <v>1</v>
      </c>
      <c r="AL13" s="144">
        <f t="shared" si="1"/>
        <v>1</v>
      </c>
      <c r="AM13" s="144">
        <f t="shared" si="1"/>
        <v>1</v>
      </c>
      <c r="AN13" s="144">
        <f t="shared" si="1"/>
        <v>1</v>
      </c>
      <c r="AO13" s="144">
        <f t="shared" si="1"/>
        <v>1</v>
      </c>
      <c r="AP13" s="144">
        <f t="shared" si="1"/>
        <v>1</v>
      </c>
      <c r="AQ13" s="144">
        <f t="shared" si="1"/>
        <v>1</v>
      </c>
      <c r="AR13" s="144">
        <f t="shared" si="1"/>
        <v>1</v>
      </c>
      <c r="AS13" s="144">
        <f t="shared" si="1"/>
        <v>1</v>
      </c>
      <c r="AT13" s="144">
        <f t="shared" si="1"/>
        <v>1</v>
      </c>
      <c r="AU13" s="144">
        <f t="shared" si="1"/>
        <v>1</v>
      </c>
      <c r="AV13" s="144">
        <f t="shared" si="1"/>
        <v>1</v>
      </c>
      <c r="AW13" s="144">
        <f t="shared" si="1"/>
        <v>0</v>
      </c>
      <c r="AX13" s="144">
        <f t="shared" si="1"/>
        <v>1</v>
      </c>
      <c r="AY13" s="144">
        <f t="shared" si="1"/>
        <v>1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1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297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306</v>
      </c>
      <c r="B20" s="160" t="s">
        <v>307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 t="s">
        <v>341</v>
      </c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294</v>
      </c>
      <c r="D21" s="112">
        <f>IF(C$20="Yes",0,SUM(C$13:C$16)*$B$21)</f>
        <v>11</v>
      </c>
      <c r="E21" s="112">
        <f t="shared" ref="E21:AY21" si="3">IF(D$20="Yes",0,SUM(D$13:D$16)*$B$21)</f>
        <v>1</v>
      </c>
      <c r="F21" s="112">
        <f t="shared" si="3"/>
        <v>1</v>
      </c>
      <c r="G21" s="112">
        <f t="shared" si="3"/>
        <v>1</v>
      </c>
      <c r="H21" s="112">
        <f t="shared" si="3"/>
        <v>1</v>
      </c>
      <c r="I21" s="112">
        <f t="shared" si="3"/>
        <v>1</v>
      </c>
      <c r="J21" s="112">
        <f t="shared" si="3"/>
        <v>1</v>
      </c>
      <c r="K21" s="112">
        <f t="shared" si="3"/>
        <v>1</v>
      </c>
      <c r="L21" s="112">
        <f t="shared" si="3"/>
        <v>1</v>
      </c>
      <c r="M21" s="112">
        <f t="shared" si="3"/>
        <v>1</v>
      </c>
      <c r="N21" s="112">
        <f t="shared" si="3"/>
        <v>1</v>
      </c>
      <c r="O21" s="112">
        <f t="shared" si="3"/>
        <v>1</v>
      </c>
      <c r="P21" s="112">
        <f t="shared" si="3"/>
        <v>1</v>
      </c>
      <c r="Q21" s="112">
        <f t="shared" si="3"/>
        <v>1</v>
      </c>
      <c r="R21" s="112">
        <f t="shared" si="3"/>
        <v>1</v>
      </c>
      <c r="S21" s="112">
        <f t="shared" si="3"/>
        <v>1</v>
      </c>
      <c r="T21" s="112">
        <f t="shared" si="3"/>
        <v>1</v>
      </c>
      <c r="U21" s="112">
        <f t="shared" si="3"/>
        <v>1</v>
      </c>
      <c r="V21" s="112">
        <f t="shared" si="3"/>
        <v>1</v>
      </c>
      <c r="W21" s="112">
        <f t="shared" si="3"/>
        <v>1</v>
      </c>
      <c r="X21" s="112">
        <f t="shared" si="3"/>
        <v>1</v>
      </c>
      <c r="Y21" s="112">
        <f t="shared" si="3"/>
        <v>1</v>
      </c>
      <c r="Z21" s="112">
        <f t="shared" si="3"/>
        <v>1</v>
      </c>
      <c r="AA21" s="112">
        <f t="shared" si="3"/>
        <v>1</v>
      </c>
      <c r="AB21" s="112">
        <f t="shared" si="3"/>
        <v>1</v>
      </c>
      <c r="AC21" s="112">
        <f t="shared" si="3"/>
        <v>1</v>
      </c>
      <c r="AD21" s="112">
        <f t="shared" si="3"/>
        <v>1</v>
      </c>
      <c r="AE21" s="112">
        <f t="shared" si="3"/>
        <v>1</v>
      </c>
      <c r="AF21" s="112">
        <f t="shared" si="3"/>
        <v>1</v>
      </c>
      <c r="AG21" s="112">
        <f t="shared" si="3"/>
        <v>1</v>
      </c>
      <c r="AH21" s="112">
        <f t="shared" si="3"/>
        <v>1</v>
      </c>
      <c r="AI21" s="112">
        <f t="shared" si="3"/>
        <v>1</v>
      </c>
      <c r="AJ21" s="112">
        <f t="shared" si="3"/>
        <v>1</v>
      </c>
      <c r="AK21" s="112">
        <f t="shared" si="3"/>
        <v>1</v>
      </c>
      <c r="AL21" s="112">
        <f t="shared" si="3"/>
        <v>1</v>
      </c>
      <c r="AM21" s="112">
        <f t="shared" si="3"/>
        <v>1</v>
      </c>
      <c r="AN21" s="112">
        <f t="shared" si="3"/>
        <v>1</v>
      </c>
      <c r="AO21" s="112">
        <f t="shared" si="3"/>
        <v>1</v>
      </c>
      <c r="AP21" s="112">
        <f t="shared" si="3"/>
        <v>1</v>
      </c>
      <c r="AQ21" s="112">
        <f t="shared" si="3"/>
        <v>1</v>
      </c>
      <c r="AR21" s="112">
        <f t="shared" si="3"/>
        <v>1</v>
      </c>
      <c r="AS21" s="112">
        <f t="shared" si="3"/>
        <v>1</v>
      </c>
      <c r="AT21" s="112">
        <f t="shared" si="3"/>
        <v>1</v>
      </c>
      <c r="AU21" s="112">
        <f t="shared" si="3"/>
        <v>1</v>
      </c>
      <c r="AV21" s="112">
        <f t="shared" si="3"/>
        <v>1</v>
      </c>
      <c r="AW21" s="112">
        <f t="shared" si="3"/>
        <v>0</v>
      </c>
      <c r="AX21" s="112">
        <f t="shared" si="3"/>
        <v>1</v>
      </c>
      <c r="AY21" s="112">
        <f t="shared" si="3"/>
        <v>1</v>
      </c>
      <c r="AZ21" s="163">
        <f>SUM($D21:$AY21)</f>
        <v>57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294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308</v>
      </c>
      <c r="B23" s="130">
        <v>2000</v>
      </c>
      <c r="C23" s="106" t="s">
        <v>294</v>
      </c>
      <c r="D23" s="106">
        <f>D$21*$B$23</f>
        <v>22000</v>
      </c>
      <c r="E23" s="106">
        <f t="shared" ref="E23:AY23" si="6">E$21*$B$23</f>
        <v>2000</v>
      </c>
      <c r="F23" s="106">
        <f t="shared" si="6"/>
        <v>2000</v>
      </c>
      <c r="G23" s="106">
        <f t="shared" si="6"/>
        <v>2000</v>
      </c>
      <c r="H23" s="106">
        <f t="shared" si="6"/>
        <v>2000</v>
      </c>
      <c r="I23" s="106">
        <f t="shared" si="6"/>
        <v>2000</v>
      </c>
      <c r="J23" s="106">
        <f t="shared" si="6"/>
        <v>2000</v>
      </c>
      <c r="K23" s="106">
        <f t="shared" si="6"/>
        <v>2000</v>
      </c>
      <c r="L23" s="106">
        <f t="shared" si="6"/>
        <v>2000</v>
      </c>
      <c r="M23" s="106">
        <f t="shared" si="6"/>
        <v>2000</v>
      </c>
      <c r="N23" s="106">
        <f t="shared" si="6"/>
        <v>2000</v>
      </c>
      <c r="O23" s="106">
        <f t="shared" si="6"/>
        <v>2000</v>
      </c>
      <c r="P23" s="106">
        <f t="shared" si="6"/>
        <v>2000</v>
      </c>
      <c r="Q23" s="106">
        <f t="shared" si="6"/>
        <v>2000</v>
      </c>
      <c r="R23" s="106">
        <f t="shared" si="6"/>
        <v>2000</v>
      </c>
      <c r="S23" s="106">
        <f t="shared" si="6"/>
        <v>2000</v>
      </c>
      <c r="T23" s="106">
        <f t="shared" si="6"/>
        <v>2000</v>
      </c>
      <c r="U23" s="106">
        <f t="shared" si="6"/>
        <v>2000</v>
      </c>
      <c r="V23" s="106">
        <f t="shared" si="6"/>
        <v>2000</v>
      </c>
      <c r="W23" s="106">
        <f t="shared" si="6"/>
        <v>2000</v>
      </c>
      <c r="X23" s="106">
        <f t="shared" si="6"/>
        <v>2000</v>
      </c>
      <c r="Y23" s="106">
        <f t="shared" si="6"/>
        <v>2000</v>
      </c>
      <c r="Z23" s="106">
        <f t="shared" si="6"/>
        <v>2000</v>
      </c>
      <c r="AA23" s="106">
        <f t="shared" si="6"/>
        <v>2000</v>
      </c>
      <c r="AB23" s="106">
        <f t="shared" si="6"/>
        <v>2000</v>
      </c>
      <c r="AC23" s="106">
        <f t="shared" si="6"/>
        <v>2000</v>
      </c>
      <c r="AD23" s="106">
        <f t="shared" si="6"/>
        <v>2000</v>
      </c>
      <c r="AE23" s="106">
        <f t="shared" si="6"/>
        <v>2000</v>
      </c>
      <c r="AF23" s="106">
        <f t="shared" si="6"/>
        <v>2000</v>
      </c>
      <c r="AG23" s="106">
        <f t="shared" si="6"/>
        <v>2000</v>
      </c>
      <c r="AH23" s="106">
        <f t="shared" si="6"/>
        <v>2000</v>
      </c>
      <c r="AI23" s="106">
        <f t="shared" si="6"/>
        <v>2000</v>
      </c>
      <c r="AJ23" s="106">
        <f t="shared" si="6"/>
        <v>2000</v>
      </c>
      <c r="AK23" s="106">
        <f t="shared" si="6"/>
        <v>2000</v>
      </c>
      <c r="AL23" s="106">
        <f t="shared" si="6"/>
        <v>2000</v>
      </c>
      <c r="AM23" s="106">
        <f t="shared" si="6"/>
        <v>2000</v>
      </c>
      <c r="AN23" s="106">
        <f t="shared" si="6"/>
        <v>2000</v>
      </c>
      <c r="AO23" s="106">
        <f t="shared" si="6"/>
        <v>2000</v>
      </c>
      <c r="AP23" s="106">
        <f t="shared" si="6"/>
        <v>2000</v>
      </c>
      <c r="AQ23" s="106">
        <f t="shared" si="6"/>
        <v>2000</v>
      </c>
      <c r="AR23" s="106">
        <f t="shared" si="6"/>
        <v>2000</v>
      </c>
      <c r="AS23" s="106">
        <f t="shared" si="6"/>
        <v>2000</v>
      </c>
      <c r="AT23" s="106">
        <f t="shared" si="6"/>
        <v>2000</v>
      </c>
      <c r="AU23" s="106">
        <f t="shared" si="6"/>
        <v>2000</v>
      </c>
      <c r="AV23" s="106">
        <f t="shared" si="6"/>
        <v>2000</v>
      </c>
      <c r="AW23" s="106">
        <f t="shared" si="6"/>
        <v>0</v>
      </c>
      <c r="AX23" s="106">
        <f t="shared" si="6"/>
        <v>2000</v>
      </c>
      <c r="AY23" s="106">
        <f t="shared" si="6"/>
        <v>2000</v>
      </c>
      <c r="AZ23" s="145">
        <f t="shared" si="5"/>
        <v>114000</v>
      </c>
    </row>
    <row r="24" spans="1:52" s="116" customFormat="1" x14ac:dyDescent="0.2">
      <c r="A24" s="167" t="s">
        <v>309</v>
      </c>
      <c r="B24" s="168">
        <v>1000</v>
      </c>
      <c r="C24" s="162" t="s">
        <v>294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310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311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312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313</v>
      </c>
      <c r="B30" s="150">
        <v>10</v>
      </c>
      <c r="C30" s="123" t="s">
        <v>294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301</v>
      </c>
    </row>
    <row r="33" spans="1:52" x14ac:dyDescent="0.2">
      <c r="A33" s="141" t="s">
        <v>22</v>
      </c>
      <c r="B33" s="141" t="s">
        <v>343</v>
      </c>
      <c r="C33" s="130"/>
      <c r="D33" s="130">
        <f>D$21*shipping_manufacturing!$D$27/100</f>
        <v>11</v>
      </c>
      <c r="E33" s="130">
        <f>E$21*shipping_manufacturing!$D$27/100</f>
        <v>1</v>
      </c>
      <c r="F33" s="130">
        <f>F$21*shipping_manufacturing!$D$27/100</f>
        <v>1</v>
      </c>
      <c r="G33" s="130">
        <f>G$21*shipping_manufacturing!$D$27/100</f>
        <v>1</v>
      </c>
      <c r="H33" s="130">
        <f>H$21*shipping_manufacturing!$D$27/100</f>
        <v>1</v>
      </c>
      <c r="I33" s="130">
        <f>I$21*shipping_manufacturing!$D$27/100</f>
        <v>1</v>
      </c>
      <c r="J33" s="130">
        <f>J$21*shipping_manufacturing!$D$27/100</f>
        <v>1</v>
      </c>
      <c r="K33" s="130">
        <f>K$21*shipping_manufacturing!$D$27/100</f>
        <v>1</v>
      </c>
      <c r="L33" s="130">
        <f>L$21*shipping_manufacturing!$D$27/100</f>
        <v>1</v>
      </c>
      <c r="M33" s="130">
        <f>M$21*shipping_manufacturing!$D$27/100</f>
        <v>1</v>
      </c>
      <c r="N33" s="130">
        <f>N$21*shipping_manufacturing!$D$27/100</f>
        <v>1</v>
      </c>
      <c r="O33" s="130">
        <f>O$21*shipping_manufacturing!$D$27/100</f>
        <v>1</v>
      </c>
      <c r="P33" s="130">
        <f>P$21*shipping_manufacturing!$D$27/100</f>
        <v>1</v>
      </c>
      <c r="Q33" s="130">
        <f>Q$21*shipping_manufacturing!$D$27/100</f>
        <v>1</v>
      </c>
      <c r="R33" s="130">
        <f>R$21*shipping_manufacturing!$D$27/100</f>
        <v>1</v>
      </c>
      <c r="S33" s="130">
        <f>S$21*shipping_manufacturing!$D$27/100</f>
        <v>1</v>
      </c>
      <c r="T33" s="130">
        <f>T$21*shipping_manufacturing!$D$27/100</f>
        <v>1</v>
      </c>
      <c r="U33" s="130">
        <f>U$21*shipping_manufacturing!$D$27/100</f>
        <v>1</v>
      </c>
      <c r="V33" s="130">
        <f>V$21*shipping_manufacturing!$D$27/100</f>
        <v>1</v>
      </c>
      <c r="W33" s="130">
        <f>W$21*shipping_manufacturing!$D$27/100</f>
        <v>1</v>
      </c>
      <c r="X33" s="130">
        <f>X$21*shipping_manufacturing!$D$27/100</f>
        <v>1</v>
      </c>
      <c r="Y33" s="130">
        <f>Y$21*shipping_manufacturing!$D$27/100</f>
        <v>1</v>
      </c>
      <c r="Z33" s="130">
        <f>Z$21*shipping_manufacturing!$D$27/100</f>
        <v>1</v>
      </c>
      <c r="AA33" s="130">
        <f>AA$21*shipping_manufacturing!$D$27/100</f>
        <v>1</v>
      </c>
      <c r="AB33" s="130">
        <f>AB$21*shipping_manufacturing!$D$27/100</f>
        <v>1</v>
      </c>
      <c r="AC33" s="130">
        <f>AC$21*shipping_manufacturing!$D$27/100</f>
        <v>1</v>
      </c>
      <c r="AD33" s="130">
        <f>AD$21*shipping_manufacturing!$D$27/100</f>
        <v>1</v>
      </c>
      <c r="AE33" s="130">
        <f>AE$21*shipping_manufacturing!$D$27/100</f>
        <v>1</v>
      </c>
      <c r="AF33" s="130">
        <f>AF$21*shipping_manufacturing!$D$27/100</f>
        <v>1</v>
      </c>
      <c r="AG33" s="130">
        <f>AG$21*shipping_manufacturing!$D$27/100</f>
        <v>1</v>
      </c>
      <c r="AH33" s="130">
        <f>AH$21*shipping_manufacturing!$D$27/100</f>
        <v>1</v>
      </c>
      <c r="AI33" s="130">
        <f>AI$21*shipping_manufacturing!$D$27/100</f>
        <v>1</v>
      </c>
      <c r="AJ33" s="130">
        <f>AJ$21*shipping_manufacturing!$D$27/100</f>
        <v>1</v>
      </c>
      <c r="AK33" s="130">
        <f>AK$21*shipping_manufacturing!$D$27/100</f>
        <v>1</v>
      </c>
      <c r="AL33" s="130">
        <f>AL$21*shipping_manufacturing!$D$27/100</f>
        <v>1</v>
      </c>
      <c r="AM33" s="130">
        <f>AM$21*shipping_manufacturing!$D$27/100</f>
        <v>1</v>
      </c>
      <c r="AN33" s="130">
        <f>AN$21*shipping_manufacturing!$D$27/100</f>
        <v>1</v>
      </c>
      <c r="AO33" s="130">
        <f>AO$21*shipping_manufacturing!$D$27/100</f>
        <v>1</v>
      </c>
      <c r="AP33" s="130">
        <f>AP$21*shipping_manufacturing!$D$27/100</f>
        <v>1</v>
      </c>
      <c r="AQ33" s="130">
        <f>AQ$21*shipping_manufacturing!$D$27/100</f>
        <v>1</v>
      </c>
      <c r="AR33" s="130">
        <f>AR$21*shipping_manufacturing!$D$27/100</f>
        <v>1</v>
      </c>
      <c r="AS33" s="130">
        <f>AS$21*shipping_manufacturing!$D$27/100</f>
        <v>1</v>
      </c>
      <c r="AT33" s="130">
        <f>AT$21*shipping_manufacturing!$D$27/100</f>
        <v>1</v>
      </c>
      <c r="AU33" s="130">
        <f>AU$21*shipping_manufacturing!$D$27/100</f>
        <v>1</v>
      </c>
      <c r="AV33" s="130">
        <f>AV$21*shipping_manufacturing!$D$27/100</f>
        <v>1</v>
      </c>
      <c r="AW33" s="130">
        <f>AW$21*shipping_manufacturing!$D$27/100</f>
        <v>0</v>
      </c>
      <c r="AX33" s="130">
        <f>AX$21*shipping_manufacturing!$D$27/100</f>
        <v>1</v>
      </c>
      <c r="AY33" s="130">
        <f>AY$21*shipping_manufacturing!$D$27/100</f>
        <v>1</v>
      </c>
    </row>
    <row r="34" spans="1:52" x14ac:dyDescent="0.2">
      <c r="A34" s="119" t="s">
        <v>342</v>
      </c>
      <c r="B34" s="171" t="s">
        <v>344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345</v>
      </c>
      <c r="C35" s="116"/>
      <c r="D35" s="116">
        <f>SUM(D33:D34)</f>
        <v>11</v>
      </c>
      <c r="E35" s="116">
        <f t="shared" ref="E35:AY35" si="11">SUM(E33:E34)</f>
        <v>1</v>
      </c>
      <c r="F35" s="116">
        <f t="shared" si="11"/>
        <v>1</v>
      </c>
      <c r="G35" s="116">
        <f t="shared" si="11"/>
        <v>1</v>
      </c>
      <c r="H35" s="116">
        <f t="shared" si="11"/>
        <v>1</v>
      </c>
      <c r="I35" s="116">
        <f t="shared" si="11"/>
        <v>1</v>
      </c>
      <c r="J35" s="116">
        <f t="shared" si="11"/>
        <v>1</v>
      </c>
      <c r="K35" s="116">
        <f t="shared" si="11"/>
        <v>1</v>
      </c>
      <c r="L35" s="116">
        <f t="shared" si="11"/>
        <v>1</v>
      </c>
      <c r="M35" s="116">
        <f t="shared" si="11"/>
        <v>1</v>
      </c>
      <c r="N35" s="116">
        <f t="shared" si="11"/>
        <v>1</v>
      </c>
      <c r="O35" s="116">
        <f t="shared" si="11"/>
        <v>1</v>
      </c>
      <c r="P35" s="116">
        <f t="shared" si="11"/>
        <v>1</v>
      </c>
      <c r="Q35" s="116">
        <f t="shared" si="11"/>
        <v>1</v>
      </c>
      <c r="R35" s="116">
        <f t="shared" si="11"/>
        <v>1</v>
      </c>
      <c r="S35" s="116">
        <f t="shared" si="11"/>
        <v>1</v>
      </c>
      <c r="T35" s="116">
        <f t="shared" si="11"/>
        <v>1</v>
      </c>
      <c r="U35" s="116">
        <f t="shared" si="11"/>
        <v>1</v>
      </c>
      <c r="V35" s="116">
        <f t="shared" si="11"/>
        <v>1</v>
      </c>
      <c r="W35" s="116">
        <f t="shared" si="11"/>
        <v>1</v>
      </c>
      <c r="X35" s="116">
        <f t="shared" si="11"/>
        <v>1</v>
      </c>
      <c r="Y35" s="116">
        <f t="shared" si="11"/>
        <v>1</v>
      </c>
      <c r="Z35" s="116">
        <f t="shared" si="11"/>
        <v>1</v>
      </c>
      <c r="AA35" s="116">
        <f t="shared" si="11"/>
        <v>1</v>
      </c>
      <c r="AB35" s="116">
        <f t="shared" si="11"/>
        <v>1</v>
      </c>
      <c r="AC35" s="116">
        <f t="shared" si="11"/>
        <v>1</v>
      </c>
      <c r="AD35" s="116">
        <f t="shared" si="11"/>
        <v>1</v>
      </c>
      <c r="AE35" s="116">
        <f t="shared" si="11"/>
        <v>1</v>
      </c>
      <c r="AF35" s="116">
        <f t="shared" si="11"/>
        <v>1</v>
      </c>
      <c r="AG35" s="116">
        <f t="shared" si="11"/>
        <v>1</v>
      </c>
      <c r="AH35" s="116">
        <f t="shared" si="11"/>
        <v>1</v>
      </c>
      <c r="AI35" s="116">
        <f t="shared" si="11"/>
        <v>1</v>
      </c>
      <c r="AJ35" s="116">
        <f t="shared" si="11"/>
        <v>1</v>
      </c>
      <c r="AK35" s="116">
        <f t="shared" si="11"/>
        <v>1</v>
      </c>
      <c r="AL35" s="116">
        <f t="shared" si="11"/>
        <v>1</v>
      </c>
      <c r="AM35" s="116">
        <f t="shared" si="11"/>
        <v>1</v>
      </c>
      <c r="AN35" s="116">
        <f t="shared" si="11"/>
        <v>1</v>
      </c>
      <c r="AO35" s="116">
        <f t="shared" si="11"/>
        <v>1</v>
      </c>
      <c r="AP35" s="116">
        <f t="shared" si="11"/>
        <v>1</v>
      </c>
      <c r="AQ35" s="116">
        <f t="shared" si="11"/>
        <v>1</v>
      </c>
      <c r="AR35" s="116">
        <f t="shared" si="11"/>
        <v>1</v>
      </c>
      <c r="AS35" s="116">
        <f t="shared" si="11"/>
        <v>1</v>
      </c>
      <c r="AT35" s="116">
        <f t="shared" si="11"/>
        <v>1</v>
      </c>
      <c r="AU35" s="116">
        <f t="shared" si="11"/>
        <v>1</v>
      </c>
      <c r="AV35" s="116">
        <f t="shared" si="11"/>
        <v>1</v>
      </c>
      <c r="AW35" s="116">
        <f t="shared" si="11"/>
        <v>0</v>
      </c>
      <c r="AX35" s="116">
        <f t="shared" si="11"/>
        <v>1</v>
      </c>
      <c r="AY35" s="116">
        <f t="shared" si="11"/>
        <v>1</v>
      </c>
    </row>
    <row r="36" spans="1:52" x14ac:dyDescent="0.2">
      <c r="A36" s="116"/>
      <c r="B36" s="171" t="s">
        <v>346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347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348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349</v>
      </c>
      <c r="C39" s="116"/>
      <c r="D39" s="116">
        <f>D33-D36</f>
        <v>11</v>
      </c>
      <c r="E39" s="116">
        <f t="shared" ref="E39:AY39" si="12">E33-E36</f>
        <v>1</v>
      </c>
      <c r="F39" s="116">
        <f t="shared" si="12"/>
        <v>1</v>
      </c>
      <c r="G39" s="116">
        <f t="shared" si="12"/>
        <v>1</v>
      </c>
      <c r="H39" s="116">
        <f t="shared" si="12"/>
        <v>1</v>
      </c>
      <c r="I39" s="116">
        <f t="shared" si="12"/>
        <v>1</v>
      </c>
      <c r="J39" s="116">
        <f t="shared" si="12"/>
        <v>1</v>
      </c>
      <c r="K39" s="116">
        <f t="shared" si="12"/>
        <v>1</v>
      </c>
      <c r="L39" s="116">
        <f t="shared" si="12"/>
        <v>1</v>
      </c>
      <c r="M39" s="116">
        <f t="shared" si="12"/>
        <v>1</v>
      </c>
      <c r="N39" s="116">
        <f t="shared" si="12"/>
        <v>1</v>
      </c>
      <c r="O39" s="116">
        <f t="shared" si="12"/>
        <v>1</v>
      </c>
      <c r="P39" s="116">
        <f t="shared" si="12"/>
        <v>1</v>
      </c>
      <c r="Q39" s="116">
        <f t="shared" si="12"/>
        <v>1</v>
      </c>
      <c r="R39" s="116">
        <f t="shared" si="12"/>
        <v>1</v>
      </c>
      <c r="S39" s="116">
        <f t="shared" si="12"/>
        <v>1</v>
      </c>
      <c r="T39" s="116">
        <f t="shared" si="12"/>
        <v>1</v>
      </c>
      <c r="U39" s="116">
        <f t="shared" si="12"/>
        <v>1</v>
      </c>
      <c r="V39" s="116">
        <f t="shared" si="12"/>
        <v>1</v>
      </c>
      <c r="W39" s="116">
        <f t="shared" si="12"/>
        <v>1</v>
      </c>
      <c r="X39" s="116">
        <f t="shared" si="12"/>
        <v>1</v>
      </c>
      <c r="Y39" s="116">
        <f t="shared" si="12"/>
        <v>1</v>
      </c>
      <c r="Z39" s="116">
        <f t="shared" si="12"/>
        <v>1</v>
      </c>
      <c r="AA39" s="116">
        <f t="shared" si="12"/>
        <v>1</v>
      </c>
      <c r="AB39" s="116">
        <f t="shared" si="12"/>
        <v>1</v>
      </c>
      <c r="AC39" s="116">
        <f t="shared" si="12"/>
        <v>1</v>
      </c>
      <c r="AD39" s="116">
        <f t="shared" si="12"/>
        <v>1</v>
      </c>
      <c r="AE39" s="116">
        <f t="shared" si="12"/>
        <v>1</v>
      </c>
      <c r="AF39" s="116">
        <f t="shared" si="12"/>
        <v>1</v>
      </c>
      <c r="AG39" s="116">
        <f t="shared" si="12"/>
        <v>1</v>
      </c>
      <c r="AH39" s="116">
        <f t="shared" si="12"/>
        <v>1</v>
      </c>
      <c r="AI39" s="116">
        <f t="shared" si="12"/>
        <v>1</v>
      </c>
      <c r="AJ39" s="116">
        <f t="shared" si="12"/>
        <v>1</v>
      </c>
      <c r="AK39" s="116">
        <f t="shared" si="12"/>
        <v>1</v>
      </c>
      <c r="AL39" s="116">
        <f t="shared" si="12"/>
        <v>1</v>
      </c>
      <c r="AM39" s="116">
        <f t="shared" si="12"/>
        <v>1</v>
      </c>
      <c r="AN39" s="116">
        <f t="shared" si="12"/>
        <v>1</v>
      </c>
      <c r="AO39" s="116">
        <f t="shared" si="12"/>
        <v>1</v>
      </c>
      <c r="AP39" s="116">
        <f t="shared" si="12"/>
        <v>1</v>
      </c>
      <c r="AQ39" s="116">
        <f t="shared" si="12"/>
        <v>1</v>
      </c>
      <c r="AR39" s="116">
        <f t="shared" si="12"/>
        <v>1</v>
      </c>
      <c r="AS39" s="116">
        <f t="shared" si="12"/>
        <v>1</v>
      </c>
      <c r="AT39" s="116">
        <f t="shared" si="12"/>
        <v>1</v>
      </c>
      <c r="AU39" s="116">
        <f t="shared" si="12"/>
        <v>1</v>
      </c>
      <c r="AV39" s="116">
        <f t="shared" si="12"/>
        <v>1</v>
      </c>
      <c r="AW39" s="116">
        <f t="shared" si="12"/>
        <v>0</v>
      </c>
      <c r="AX39" s="116">
        <f t="shared" si="12"/>
        <v>1</v>
      </c>
      <c r="AY39" s="116">
        <f t="shared" si="12"/>
        <v>1</v>
      </c>
    </row>
    <row r="40" spans="1:52" x14ac:dyDescent="0.2">
      <c r="A40" s="116"/>
      <c r="B40" s="171" t="s">
        <v>350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351</v>
      </c>
      <c r="C41" s="116"/>
      <c r="D41" s="116">
        <v>1</v>
      </c>
      <c r="E41" s="116">
        <v>1</v>
      </c>
      <c r="F41" s="116">
        <v>1</v>
      </c>
      <c r="G41" s="116">
        <v>1</v>
      </c>
      <c r="H41" s="116">
        <v>3</v>
      </c>
      <c r="I41" s="116">
        <v>3</v>
      </c>
      <c r="J41" s="116">
        <v>1</v>
      </c>
      <c r="K41" s="116">
        <v>1</v>
      </c>
      <c r="L41" s="116">
        <v>1</v>
      </c>
      <c r="M41" s="116">
        <v>1</v>
      </c>
      <c r="N41" s="116">
        <v>1</v>
      </c>
      <c r="O41" s="116">
        <v>1</v>
      </c>
      <c r="P41" s="116">
        <v>1</v>
      </c>
      <c r="Q41" s="116">
        <v>1</v>
      </c>
      <c r="R41" s="116">
        <v>1</v>
      </c>
      <c r="S41" s="116">
        <v>1</v>
      </c>
      <c r="T41" s="116">
        <v>2</v>
      </c>
      <c r="U41" s="116">
        <v>1</v>
      </c>
      <c r="V41" s="116">
        <v>2</v>
      </c>
      <c r="W41" s="116">
        <v>2</v>
      </c>
      <c r="X41" s="116">
        <v>2</v>
      </c>
      <c r="Y41" s="116">
        <v>1</v>
      </c>
      <c r="Z41" s="116">
        <v>1</v>
      </c>
      <c r="AA41" s="116">
        <v>2</v>
      </c>
      <c r="AB41" s="116">
        <v>2</v>
      </c>
      <c r="AC41" s="116">
        <v>1</v>
      </c>
      <c r="AD41" s="116">
        <v>1</v>
      </c>
      <c r="AE41" s="116">
        <v>1</v>
      </c>
      <c r="AF41" s="116">
        <v>2</v>
      </c>
      <c r="AG41" s="116">
        <v>1</v>
      </c>
      <c r="AH41" s="116">
        <v>1</v>
      </c>
      <c r="AI41" s="116">
        <v>1</v>
      </c>
      <c r="AJ41" s="116">
        <v>2</v>
      </c>
      <c r="AK41" s="116">
        <v>1</v>
      </c>
      <c r="AL41" s="116">
        <v>3</v>
      </c>
      <c r="AM41" s="116">
        <v>2</v>
      </c>
      <c r="AN41" s="116">
        <v>3</v>
      </c>
      <c r="AO41" s="116">
        <v>1</v>
      </c>
      <c r="AP41" s="116">
        <v>2</v>
      </c>
      <c r="AQ41" s="116">
        <v>2</v>
      </c>
      <c r="AR41" s="116">
        <v>2</v>
      </c>
      <c r="AS41" s="116">
        <v>1</v>
      </c>
      <c r="AT41" s="116">
        <v>1</v>
      </c>
      <c r="AU41" s="116">
        <v>1</v>
      </c>
      <c r="AV41" s="116">
        <v>3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352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353</v>
      </c>
      <c r="C43" s="116"/>
      <c r="D43" s="116">
        <v>9545.25</v>
      </c>
      <c r="E43" s="116">
        <v>867.75</v>
      </c>
      <c r="F43" s="116">
        <v>867.75</v>
      </c>
      <c r="G43" s="116">
        <v>867.75</v>
      </c>
      <c r="H43" s="116">
        <v>867.75</v>
      </c>
      <c r="I43" s="116">
        <v>867.75</v>
      </c>
      <c r="J43" s="116">
        <v>867.75</v>
      </c>
      <c r="K43" s="116">
        <v>867.75</v>
      </c>
      <c r="L43" s="116">
        <v>867.75</v>
      </c>
      <c r="M43" s="116">
        <v>867.75</v>
      </c>
      <c r="N43" s="116">
        <v>867.75</v>
      </c>
      <c r="O43" s="116">
        <v>867.75</v>
      </c>
      <c r="P43" s="116">
        <v>867.75</v>
      </c>
      <c r="Q43" s="116">
        <v>867.75</v>
      </c>
      <c r="R43" s="116">
        <v>867.75</v>
      </c>
      <c r="S43" s="116">
        <v>867.75</v>
      </c>
      <c r="T43" s="116">
        <v>867.75</v>
      </c>
      <c r="U43" s="116">
        <v>867.75</v>
      </c>
      <c r="V43" s="116">
        <v>867.75</v>
      </c>
      <c r="W43" s="116">
        <v>867.75</v>
      </c>
      <c r="X43" s="116">
        <v>867.75</v>
      </c>
      <c r="Y43" s="116">
        <v>867.75</v>
      </c>
      <c r="Z43" s="116">
        <v>867.75</v>
      </c>
      <c r="AA43" s="116">
        <v>867.75</v>
      </c>
      <c r="AB43" s="116">
        <v>867.75</v>
      </c>
      <c r="AC43" s="116">
        <v>867.75</v>
      </c>
      <c r="AD43" s="116">
        <v>867.75</v>
      </c>
      <c r="AE43" s="116">
        <v>867.75</v>
      </c>
      <c r="AF43" s="116">
        <v>867.75</v>
      </c>
      <c r="AG43" s="116">
        <v>867.75</v>
      </c>
      <c r="AH43" s="116">
        <v>867.75</v>
      </c>
      <c r="AI43" s="116">
        <v>867.75</v>
      </c>
      <c r="AJ43" s="116">
        <v>867.75</v>
      </c>
      <c r="AK43" s="116">
        <v>867.75</v>
      </c>
      <c r="AL43" s="116">
        <v>867.75</v>
      </c>
      <c r="AM43" s="116">
        <v>867.75</v>
      </c>
      <c r="AN43" s="116">
        <v>867.75</v>
      </c>
      <c r="AO43" s="116">
        <v>867.75</v>
      </c>
      <c r="AP43" s="116">
        <v>867.75</v>
      </c>
      <c r="AQ43" s="116">
        <v>867.75</v>
      </c>
      <c r="AR43" s="116">
        <v>867.75</v>
      </c>
      <c r="AS43" s="116">
        <v>867.75</v>
      </c>
      <c r="AT43" s="116">
        <v>867.75</v>
      </c>
      <c r="AU43" s="116">
        <v>867.75</v>
      </c>
      <c r="AV43" s="116">
        <v>867.75</v>
      </c>
      <c r="AW43" s="116">
        <v>0</v>
      </c>
      <c r="AX43" s="116">
        <v>867.75</v>
      </c>
      <c r="AY43" s="116">
        <v>867.75</v>
      </c>
      <c r="AZ43" s="106">
        <f>SUM($D$43:$AY$43)</f>
        <v>49461.75</v>
      </c>
    </row>
    <row r="44" spans="1:52" x14ac:dyDescent="0.2">
      <c r="A44" s="141" t="s">
        <v>59</v>
      </c>
      <c r="B44" s="141" t="s">
        <v>343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342</v>
      </c>
      <c r="B45" s="171" t="s">
        <v>344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345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346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347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348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349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350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351</v>
      </c>
      <c r="C52" s="116"/>
      <c r="D52" s="116">
        <v>1</v>
      </c>
      <c r="E52" s="116">
        <v>2</v>
      </c>
      <c r="F52" s="116">
        <v>1</v>
      </c>
      <c r="G52" s="116">
        <v>1</v>
      </c>
      <c r="H52" s="116">
        <v>2</v>
      </c>
      <c r="I52" s="116">
        <v>1</v>
      </c>
      <c r="J52" s="116">
        <v>1</v>
      </c>
      <c r="K52" s="116">
        <v>2</v>
      </c>
      <c r="L52" s="116">
        <v>2</v>
      </c>
      <c r="M52" s="116">
        <v>1</v>
      </c>
      <c r="N52" s="116">
        <v>2</v>
      </c>
      <c r="O52" s="116">
        <v>1</v>
      </c>
      <c r="P52" s="116">
        <v>1</v>
      </c>
      <c r="Q52" s="116">
        <v>1</v>
      </c>
      <c r="R52" s="116">
        <v>1</v>
      </c>
      <c r="S52" s="116">
        <v>1</v>
      </c>
      <c r="T52" s="116">
        <v>1</v>
      </c>
      <c r="U52" s="116">
        <v>1</v>
      </c>
      <c r="V52" s="116">
        <v>1</v>
      </c>
      <c r="W52" s="116">
        <v>1</v>
      </c>
      <c r="X52" s="116">
        <v>2</v>
      </c>
      <c r="Y52" s="116">
        <v>1</v>
      </c>
      <c r="Z52" s="116">
        <v>3</v>
      </c>
      <c r="AA52" s="116">
        <v>1</v>
      </c>
      <c r="AB52" s="116">
        <v>1</v>
      </c>
      <c r="AC52" s="116">
        <v>2</v>
      </c>
      <c r="AD52" s="116">
        <v>1</v>
      </c>
      <c r="AE52" s="116">
        <v>2</v>
      </c>
      <c r="AF52" s="116">
        <v>1</v>
      </c>
      <c r="AG52" s="116">
        <v>1</v>
      </c>
      <c r="AH52" s="116">
        <v>1</v>
      </c>
      <c r="AI52" s="116">
        <v>2</v>
      </c>
      <c r="AJ52" s="116">
        <v>2</v>
      </c>
      <c r="AK52" s="116">
        <v>1</v>
      </c>
      <c r="AL52" s="116">
        <v>2</v>
      </c>
      <c r="AM52" s="116">
        <v>1</v>
      </c>
      <c r="AN52" s="116">
        <v>2</v>
      </c>
      <c r="AO52" s="116">
        <v>2</v>
      </c>
      <c r="AP52" s="116">
        <v>1</v>
      </c>
      <c r="AQ52" s="116">
        <v>2</v>
      </c>
      <c r="AR52" s="116">
        <v>2</v>
      </c>
      <c r="AS52" s="116">
        <v>2</v>
      </c>
      <c r="AT52" s="116">
        <v>1</v>
      </c>
      <c r="AU52" s="116">
        <v>2</v>
      </c>
      <c r="AV52" s="116">
        <v>1</v>
      </c>
      <c r="AW52" s="116">
        <v>1</v>
      </c>
      <c r="AX52" s="116">
        <v>1</v>
      </c>
      <c r="AY52" s="116">
        <v>3</v>
      </c>
    </row>
    <row r="53" spans="1:52" x14ac:dyDescent="0.2">
      <c r="A53" s="116"/>
      <c r="B53" s="184" t="s">
        <v>352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353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304</v>
      </c>
      <c r="B2" s="113" t="s">
        <v>12</v>
      </c>
      <c r="E2" s="116"/>
    </row>
    <row r="3" spans="1:52" x14ac:dyDescent="0.2">
      <c r="A3" s="106" t="s">
        <v>287</v>
      </c>
      <c r="B3" s="113">
        <v>3787</v>
      </c>
      <c r="E3" s="116"/>
    </row>
    <row r="4" spans="1:52" x14ac:dyDescent="0.2">
      <c r="A4" s="108"/>
      <c r="C4" s="117" t="s">
        <v>288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305</v>
      </c>
      <c r="B6" s="120"/>
      <c r="C6" s="119" t="s">
        <v>289</v>
      </c>
      <c r="D6" s="118" t="s">
        <v>290</v>
      </c>
      <c r="E6" s="118" t="s">
        <v>290</v>
      </c>
      <c r="F6" s="118" t="s">
        <v>290</v>
      </c>
      <c r="G6" s="118" t="s">
        <v>290</v>
      </c>
      <c r="H6" s="118" t="s">
        <v>290</v>
      </c>
      <c r="I6" s="118" t="s">
        <v>290</v>
      </c>
      <c r="J6" s="118" t="s">
        <v>290</v>
      </c>
      <c r="K6" s="118" t="s">
        <v>290</v>
      </c>
      <c r="L6" s="118" t="s">
        <v>290</v>
      </c>
      <c r="M6" s="118" t="s">
        <v>290</v>
      </c>
      <c r="N6" s="118" t="s">
        <v>290</v>
      </c>
      <c r="O6" s="118" t="s">
        <v>290</v>
      </c>
      <c r="P6" s="118" t="s">
        <v>290</v>
      </c>
      <c r="Q6" s="118" t="s">
        <v>290</v>
      </c>
      <c r="R6" s="118" t="s">
        <v>290</v>
      </c>
      <c r="S6" s="118" t="s">
        <v>290</v>
      </c>
      <c r="T6" s="118" t="s">
        <v>290</v>
      </c>
      <c r="U6" s="118" t="s">
        <v>290</v>
      </c>
      <c r="V6" s="118" t="s">
        <v>290</v>
      </c>
      <c r="W6" s="118" t="s">
        <v>290</v>
      </c>
      <c r="X6" s="118" t="s">
        <v>290</v>
      </c>
      <c r="Y6" s="118" t="s">
        <v>290</v>
      </c>
      <c r="Z6" s="118" t="s">
        <v>290</v>
      </c>
      <c r="AA6" s="118" t="s">
        <v>290</v>
      </c>
      <c r="AB6" s="118" t="s">
        <v>290</v>
      </c>
      <c r="AC6" s="118" t="s">
        <v>290</v>
      </c>
      <c r="AD6" s="118" t="s">
        <v>290</v>
      </c>
      <c r="AE6" s="118" t="s">
        <v>290</v>
      </c>
      <c r="AF6" s="118" t="s">
        <v>290</v>
      </c>
      <c r="AG6" s="118" t="s">
        <v>290</v>
      </c>
      <c r="AH6" s="118" t="s">
        <v>290</v>
      </c>
      <c r="AI6" s="118" t="s">
        <v>290</v>
      </c>
      <c r="AJ6" s="118" t="s">
        <v>290</v>
      </c>
      <c r="AK6" s="118" t="s">
        <v>290</v>
      </c>
      <c r="AL6" s="118" t="s">
        <v>290</v>
      </c>
      <c r="AM6" s="118" t="s">
        <v>290</v>
      </c>
      <c r="AN6" s="118" t="s">
        <v>290</v>
      </c>
      <c r="AO6" s="118" t="s">
        <v>290</v>
      </c>
      <c r="AP6" s="118" t="s">
        <v>290</v>
      </c>
      <c r="AQ6" s="118" t="s">
        <v>290</v>
      </c>
      <c r="AR6" s="118" t="s">
        <v>290</v>
      </c>
      <c r="AS6" s="118" t="s">
        <v>290</v>
      </c>
      <c r="AT6" s="118" t="s">
        <v>290</v>
      </c>
      <c r="AU6" s="118" t="s">
        <v>290</v>
      </c>
      <c r="AV6" s="118" t="s">
        <v>290</v>
      </c>
      <c r="AW6" s="118" t="s">
        <v>290</v>
      </c>
      <c r="AX6" s="118" t="s">
        <v>290</v>
      </c>
      <c r="AY6" s="117" t="s">
        <v>291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294</v>
      </c>
      <c r="D7" s="150">
        <v>3838.0605581057753</v>
      </c>
      <c r="E7" s="150">
        <v>3838.0605581057753</v>
      </c>
      <c r="F7" s="150">
        <v>3838.0605581057753</v>
      </c>
      <c r="G7" s="150">
        <v>3838.0605581057753</v>
      </c>
      <c r="H7" s="150">
        <v>3411.6093849829113</v>
      </c>
      <c r="I7" s="150">
        <v>3411.6093849829113</v>
      </c>
      <c r="J7" s="150">
        <v>3411.6093849829113</v>
      </c>
      <c r="K7" s="150">
        <v>3411.6093849829113</v>
      </c>
      <c r="L7" s="150">
        <v>3411.6093849829113</v>
      </c>
      <c r="M7" s="150">
        <v>3411.6093849829113</v>
      </c>
      <c r="N7" s="150">
        <v>3411.6093849829113</v>
      </c>
      <c r="O7" s="150">
        <v>3411.6093849829113</v>
      </c>
      <c r="P7" s="150">
        <v>3838.0605581057753</v>
      </c>
      <c r="Q7" s="150">
        <v>3838.0605581057753</v>
      </c>
      <c r="R7" s="150">
        <v>3838.0605581057753</v>
      </c>
      <c r="S7" s="150">
        <v>3838.0605581057753</v>
      </c>
      <c r="T7" s="150">
        <v>3411.6093849829113</v>
      </c>
      <c r="U7" s="150">
        <v>3411.6093849829113</v>
      </c>
      <c r="V7" s="150">
        <v>3411.6093849829113</v>
      </c>
      <c r="W7" s="150">
        <v>3411.6093849829113</v>
      </c>
      <c r="X7" s="150">
        <v>3411.6093849829113</v>
      </c>
      <c r="Y7" s="150">
        <v>3411.6093849829113</v>
      </c>
      <c r="Z7" s="150">
        <v>3411.6093849829113</v>
      </c>
      <c r="AA7" s="150">
        <v>3411.6093849829113</v>
      </c>
      <c r="AB7" s="150">
        <v>3838.0605581057753</v>
      </c>
      <c r="AC7" s="150">
        <v>3838.0605581057753</v>
      </c>
      <c r="AD7" s="150">
        <v>3838.0605581057753</v>
      </c>
      <c r="AE7" s="150">
        <v>3838.0605581057753</v>
      </c>
      <c r="AF7" s="150">
        <v>3411.6093849829113</v>
      </c>
      <c r="AG7" s="150">
        <v>3411.6093849829113</v>
      </c>
      <c r="AH7" s="150">
        <v>3411.6093849829113</v>
      </c>
      <c r="AI7" s="150">
        <v>3411.6093849829113</v>
      </c>
      <c r="AJ7" s="150">
        <v>3411.6093849829113</v>
      </c>
      <c r="AK7" s="150">
        <v>3411.6093849829113</v>
      </c>
      <c r="AL7" s="150">
        <v>3411.6093849829113</v>
      </c>
      <c r="AM7" s="150">
        <v>3411.6093849829113</v>
      </c>
      <c r="AN7" s="150">
        <v>3838.0605581057753</v>
      </c>
      <c r="AO7" s="150">
        <v>3838.0605581057753</v>
      </c>
      <c r="AP7" s="150">
        <v>3838.0605581057753</v>
      </c>
      <c r="AQ7" s="150">
        <v>3838.0605581057753</v>
      </c>
      <c r="AR7" s="150">
        <v>3411.6093849829113</v>
      </c>
      <c r="AS7" s="150">
        <v>3411.6093849829113</v>
      </c>
      <c r="AT7" s="150">
        <v>3411.6093849829113</v>
      </c>
      <c r="AU7" s="150">
        <v>3411.6093849829113</v>
      </c>
      <c r="AV7" s="150">
        <v>3411.6093849829113</v>
      </c>
      <c r="AW7" s="150">
        <v>3411.6093849829113</v>
      </c>
      <c r="AX7" s="150">
        <v>3411.6093849829113</v>
      </c>
      <c r="AY7" s="150">
        <v>3411.6093849829113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295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294</v>
      </c>
      <c r="D10" s="150">
        <f t="shared" ref="D10:AY10" si="0">MAX(SUM(D$14:D$16)+D$7-$B$3,0)</f>
        <v>51.060558105775272</v>
      </c>
      <c r="E10" s="150">
        <f t="shared" si="0"/>
        <v>51.060558105775272</v>
      </c>
      <c r="F10" s="150">
        <f t="shared" si="0"/>
        <v>51.060558105775272</v>
      </c>
      <c r="G10" s="150">
        <f t="shared" si="0"/>
        <v>51.060558105775272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51.060558105775272</v>
      </c>
      <c r="Q10" s="150">
        <f t="shared" si="0"/>
        <v>51.060558105775272</v>
      </c>
      <c r="R10" s="150">
        <f t="shared" si="0"/>
        <v>51.060558105775272</v>
      </c>
      <c r="S10" s="150">
        <f t="shared" si="0"/>
        <v>51.060558105775272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3036.2187699658225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51.060558105775272</v>
      </c>
      <c r="AC10" s="150">
        <f t="shared" si="0"/>
        <v>51.060558105775272</v>
      </c>
      <c r="AD10" s="150">
        <f t="shared" si="0"/>
        <v>51.060558105775272</v>
      </c>
      <c r="AE10" s="150">
        <f t="shared" si="0"/>
        <v>51.060558105775272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51.060558105775272</v>
      </c>
      <c r="AO10" s="150">
        <f t="shared" si="0"/>
        <v>51.060558105775272</v>
      </c>
      <c r="AP10" s="150">
        <f t="shared" si="0"/>
        <v>51.060558105775272</v>
      </c>
      <c r="AQ10" s="150">
        <f t="shared" si="0"/>
        <v>51.060558105775272</v>
      </c>
      <c r="AR10" s="150">
        <f t="shared" si="0"/>
        <v>0</v>
      </c>
      <c r="AS10" s="150">
        <f t="shared" si="0"/>
        <v>0</v>
      </c>
      <c r="AT10" s="150">
        <f t="shared" si="0"/>
        <v>3036.2187699658225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3036.2187699658225</v>
      </c>
      <c r="AY10" s="150">
        <f t="shared" si="0"/>
        <v>3411.6093849829113</v>
      </c>
      <c r="AZ10" s="157">
        <f>SUM($D10:$AY10)</f>
        <v>13337.234624572782</v>
      </c>
    </row>
    <row r="11" spans="1:52" x14ac:dyDescent="0.2">
      <c r="C11" s="116"/>
    </row>
    <row r="12" spans="1:52" x14ac:dyDescent="0.2">
      <c r="A12" s="158" t="s">
        <v>296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3411.6093849829113</v>
      </c>
      <c r="D13" s="144">
        <f t="shared" ref="D13:AY13" si="1">D$7-D$10</f>
        <v>3787</v>
      </c>
      <c r="E13" s="144">
        <f t="shared" si="1"/>
        <v>3787</v>
      </c>
      <c r="F13" s="144">
        <f t="shared" si="1"/>
        <v>3787</v>
      </c>
      <c r="G13" s="144">
        <f t="shared" si="1"/>
        <v>3787</v>
      </c>
      <c r="H13" s="144">
        <f t="shared" si="1"/>
        <v>3411.6093849829113</v>
      </c>
      <c r="I13" s="144">
        <f t="shared" si="1"/>
        <v>3411.6093849829113</v>
      </c>
      <c r="J13" s="144">
        <f t="shared" si="1"/>
        <v>3411.6093849829113</v>
      </c>
      <c r="K13" s="144">
        <f t="shared" si="1"/>
        <v>3411.6093849829113</v>
      </c>
      <c r="L13" s="144">
        <f t="shared" si="1"/>
        <v>3411.6093849829113</v>
      </c>
      <c r="M13" s="144">
        <f t="shared" si="1"/>
        <v>3411.6093849829113</v>
      </c>
      <c r="N13" s="144">
        <f t="shared" si="1"/>
        <v>3411.6093849829113</v>
      </c>
      <c r="O13" s="144">
        <f t="shared" si="1"/>
        <v>3411.6093849829113</v>
      </c>
      <c r="P13" s="144">
        <f t="shared" si="1"/>
        <v>3787</v>
      </c>
      <c r="Q13" s="144">
        <f t="shared" si="1"/>
        <v>3787</v>
      </c>
      <c r="R13" s="144">
        <f t="shared" si="1"/>
        <v>3787</v>
      </c>
      <c r="S13" s="144">
        <f t="shared" si="1"/>
        <v>3787</v>
      </c>
      <c r="T13" s="144">
        <f t="shared" si="1"/>
        <v>3411.6093849829113</v>
      </c>
      <c r="U13" s="144">
        <f t="shared" si="1"/>
        <v>3411.6093849829113</v>
      </c>
      <c r="V13" s="144">
        <f t="shared" si="1"/>
        <v>3411.6093849829113</v>
      </c>
      <c r="W13" s="144">
        <f t="shared" si="1"/>
        <v>3411.6093849829113</v>
      </c>
      <c r="X13" s="144">
        <f t="shared" si="1"/>
        <v>375.39061501708875</v>
      </c>
      <c r="Y13" s="144">
        <f t="shared" si="1"/>
        <v>3411.6093849829113</v>
      </c>
      <c r="Z13" s="144">
        <f t="shared" si="1"/>
        <v>3411.6093849829113</v>
      </c>
      <c r="AA13" s="144">
        <f t="shared" si="1"/>
        <v>3411.6093849829113</v>
      </c>
      <c r="AB13" s="144">
        <f t="shared" si="1"/>
        <v>3787</v>
      </c>
      <c r="AC13" s="144">
        <f t="shared" si="1"/>
        <v>3787</v>
      </c>
      <c r="AD13" s="144">
        <f t="shared" si="1"/>
        <v>3787</v>
      </c>
      <c r="AE13" s="144">
        <f t="shared" si="1"/>
        <v>3787</v>
      </c>
      <c r="AF13" s="144">
        <f t="shared" si="1"/>
        <v>3411.6093849829113</v>
      </c>
      <c r="AG13" s="144">
        <f t="shared" si="1"/>
        <v>3411.6093849829113</v>
      </c>
      <c r="AH13" s="144">
        <f t="shared" si="1"/>
        <v>3411.6093849829113</v>
      </c>
      <c r="AI13" s="144">
        <f t="shared" si="1"/>
        <v>3411.6093849829113</v>
      </c>
      <c r="AJ13" s="144">
        <f t="shared" si="1"/>
        <v>3411.6093849829113</v>
      </c>
      <c r="AK13" s="144">
        <f t="shared" si="1"/>
        <v>3411.6093849829113</v>
      </c>
      <c r="AL13" s="144">
        <f t="shared" si="1"/>
        <v>3411.6093849829113</v>
      </c>
      <c r="AM13" s="144">
        <f t="shared" si="1"/>
        <v>3411.6093849829113</v>
      </c>
      <c r="AN13" s="144">
        <f t="shared" si="1"/>
        <v>3787</v>
      </c>
      <c r="AO13" s="144">
        <f t="shared" si="1"/>
        <v>3787</v>
      </c>
      <c r="AP13" s="144">
        <f t="shared" si="1"/>
        <v>3787</v>
      </c>
      <c r="AQ13" s="144">
        <f t="shared" si="1"/>
        <v>3787</v>
      </c>
      <c r="AR13" s="144">
        <f t="shared" si="1"/>
        <v>3411.6093849829113</v>
      </c>
      <c r="AS13" s="144">
        <f t="shared" si="1"/>
        <v>3411.6093849829113</v>
      </c>
      <c r="AT13" s="144">
        <f t="shared" si="1"/>
        <v>375.39061501708875</v>
      </c>
      <c r="AU13" s="144">
        <f t="shared" si="1"/>
        <v>3411.6093849829113</v>
      </c>
      <c r="AV13" s="144">
        <f t="shared" si="1"/>
        <v>3411.6093849829113</v>
      </c>
      <c r="AW13" s="144">
        <f t="shared" si="1"/>
        <v>3411.6093849829113</v>
      </c>
      <c r="AX13" s="144">
        <f t="shared" si="1"/>
        <v>375.39061501708875</v>
      </c>
      <c r="AY13" s="144">
        <f t="shared" si="1"/>
        <v>0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3411.6093849829113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3411.6093849829113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3411.6093849829113</v>
      </c>
      <c r="AY14" s="112">
        <f t="shared" si="2"/>
        <v>375.39061501708875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3411.6093849829113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297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306</v>
      </c>
      <c r="B20" s="160" t="s">
        <v>307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 t="s">
        <v>341</v>
      </c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 t="s">
        <v>341</v>
      </c>
      <c r="AT20" s="123"/>
      <c r="AU20" s="123"/>
      <c r="AV20" s="123"/>
      <c r="AW20" s="123" t="s">
        <v>341</v>
      </c>
      <c r="AX20" s="123" t="s">
        <v>341</v>
      </c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294</v>
      </c>
      <c r="D21" s="112">
        <f>IF(C$20="Yes",0,SUM(C$13:C$16)*$B$21)</f>
        <v>3411.6093849829113</v>
      </c>
      <c r="E21" s="112">
        <f t="shared" ref="E21:AY21" si="3">IF(D$20="Yes",0,SUM(D$13:D$16)*$B$21)</f>
        <v>3787</v>
      </c>
      <c r="F21" s="112">
        <f t="shared" si="3"/>
        <v>3787</v>
      </c>
      <c r="G21" s="112">
        <f t="shared" si="3"/>
        <v>3787</v>
      </c>
      <c r="H21" s="112">
        <f t="shared" si="3"/>
        <v>3787</v>
      </c>
      <c r="I21" s="112">
        <f t="shared" si="3"/>
        <v>3411.6093849829113</v>
      </c>
      <c r="J21" s="112">
        <f t="shared" si="3"/>
        <v>3411.6093849829113</v>
      </c>
      <c r="K21" s="112">
        <f t="shared" si="3"/>
        <v>3411.6093849829113</v>
      </c>
      <c r="L21" s="112">
        <f t="shared" si="3"/>
        <v>3411.6093849829113</v>
      </c>
      <c r="M21" s="112">
        <f t="shared" si="3"/>
        <v>3411.6093849829113</v>
      </c>
      <c r="N21" s="112">
        <f t="shared" si="3"/>
        <v>3411.6093849829113</v>
      </c>
      <c r="O21" s="112">
        <f t="shared" si="3"/>
        <v>3411.6093849829113</v>
      </c>
      <c r="P21" s="112">
        <f t="shared" si="3"/>
        <v>3411.6093849829113</v>
      </c>
      <c r="Q21" s="112">
        <f t="shared" si="3"/>
        <v>3787</v>
      </c>
      <c r="R21" s="112">
        <f t="shared" si="3"/>
        <v>3787</v>
      </c>
      <c r="S21" s="112">
        <f t="shared" si="3"/>
        <v>3787</v>
      </c>
      <c r="T21" s="112">
        <f t="shared" si="3"/>
        <v>3787</v>
      </c>
      <c r="U21" s="112">
        <f t="shared" si="3"/>
        <v>3411.6093849829113</v>
      </c>
      <c r="V21" s="112">
        <f t="shared" si="3"/>
        <v>3411.6093849829113</v>
      </c>
      <c r="W21" s="112">
        <f t="shared" si="3"/>
        <v>3411.6093849829113</v>
      </c>
      <c r="X21" s="112">
        <f t="shared" si="3"/>
        <v>0</v>
      </c>
      <c r="Y21" s="112">
        <f t="shared" si="3"/>
        <v>3787</v>
      </c>
      <c r="Z21" s="112">
        <f t="shared" si="3"/>
        <v>3411.6093849829113</v>
      </c>
      <c r="AA21" s="112">
        <f t="shared" si="3"/>
        <v>3411.6093849829113</v>
      </c>
      <c r="AB21" s="112">
        <f t="shared" si="3"/>
        <v>3411.6093849829113</v>
      </c>
      <c r="AC21" s="112">
        <f t="shared" si="3"/>
        <v>3787</v>
      </c>
      <c r="AD21" s="112">
        <f t="shared" si="3"/>
        <v>3787</v>
      </c>
      <c r="AE21" s="112">
        <f t="shared" si="3"/>
        <v>3787</v>
      </c>
      <c r="AF21" s="112">
        <f t="shared" si="3"/>
        <v>3787</v>
      </c>
      <c r="AG21" s="112">
        <f t="shared" si="3"/>
        <v>3411.6093849829113</v>
      </c>
      <c r="AH21" s="112">
        <f t="shared" si="3"/>
        <v>3411.6093849829113</v>
      </c>
      <c r="AI21" s="112">
        <f t="shared" si="3"/>
        <v>3411.6093849829113</v>
      </c>
      <c r="AJ21" s="112">
        <f t="shared" si="3"/>
        <v>3411.6093849829113</v>
      </c>
      <c r="AK21" s="112">
        <f t="shared" si="3"/>
        <v>3411.6093849829113</v>
      </c>
      <c r="AL21" s="112">
        <f t="shared" si="3"/>
        <v>3411.6093849829113</v>
      </c>
      <c r="AM21" s="112">
        <f t="shared" si="3"/>
        <v>3411.6093849829113</v>
      </c>
      <c r="AN21" s="112">
        <f t="shared" si="3"/>
        <v>3411.6093849829113</v>
      </c>
      <c r="AO21" s="112">
        <f t="shared" si="3"/>
        <v>3787</v>
      </c>
      <c r="AP21" s="112">
        <f t="shared" si="3"/>
        <v>3787</v>
      </c>
      <c r="AQ21" s="112">
        <f t="shared" si="3"/>
        <v>3787</v>
      </c>
      <c r="AR21" s="112">
        <f t="shared" si="3"/>
        <v>3787</v>
      </c>
      <c r="AS21" s="112">
        <f t="shared" si="3"/>
        <v>3411.6093849829113</v>
      </c>
      <c r="AT21" s="112">
        <f t="shared" si="3"/>
        <v>0</v>
      </c>
      <c r="AU21" s="112">
        <f t="shared" si="3"/>
        <v>3787</v>
      </c>
      <c r="AV21" s="112">
        <f t="shared" si="3"/>
        <v>3411.6093849829113</v>
      </c>
      <c r="AW21" s="112">
        <f t="shared" si="3"/>
        <v>3411.6093849829113</v>
      </c>
      <c r="AX21" s="112">
        <f t="shared" si="3"/>
        <v>0</v>
      </c>
      <c r="AY21" s="112">
        <f t="shared" si="3"/>
        <v>0</v>
      </c>
      <c r="AZ21" s="163">
        <f>SUM($D21:$AY21)</f>
        <v>156867.84400955559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294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308</v>
      </c>
      <c r="B23" s="130">
        <v>2000</v>
      </c>
      <c r="C23" s="106" t="s">
        <v>294</v>
      </c>
      <c r="D23" s="106">
        <f>D$21*$B$23</f>
        <v>6823218.7699658228</v>
      </c>
      <c r="E23" s="106">
        <f t="shared" ref="E23:AY23" si="6">E$21*$B$23</f>
        <v>7574000</v>
      </c>
      <c r="F23" s="106">
        <f t="shared" si="6"/>
        <v>7574000</v>
      </c>
      <c r="G23" s="106">
        <f t="shared" si="6"/>
        <v>7574000</v>
      </c>
      <c r="H23" s="106">
        <f t="shared" si="6"/>
        <v>7574000</v>
      </c>
      <c r="I23" s="106">
        <f t="shared" si="6"/>
        <v>6823218.7699658228</v>
      </c>
      <c r="J23" s="106">
        <f t="shared" si="6"/>
        <v>6823218.7699658228</v>
      </c>
      <c r="K23" s="106">
        <f t="shared" si="6"/>
        <v>6823218.7699658228</v>
      </c>
      <c r="L23" s="106">
        <f t="shared" si="6"/>
        <v>6823218.7699658228</v>
      </c>
      <c r="M23" s="106">
        <f t="shared" si="6"/>
        <v>6823218.7699658228</v>
      </c>
      <c r="N23" s="106">
        <f t="shared" si="6"/>
        <v>6823218.7699658228</v>
      </c>
      <c r="O23" s="106">
        <f t="shared" si="6"/>
        <v>6823218.7699658228</v>
      </c>
      <c r="P23" s="106">
        <f t="shared" si="6"/>
        <v>6823218.7699658228</v>
      </c>
      <c r="Q23" s="106">
        <f t="shared" si="6"/>
        <v>7574000</v>
      </c>
      <c r="R23" s="106">
        <f t="shared" si="6"/>
        <v>7574000</v>
      </c>
      <c r="S23" s="106">
        <f t="shared" si="6"/>
        <v>7574000</v>
      </c>
      <c r="T23" s="106">
        <f t="shared" si="6"/>
        <v>7574000</v>
      </c>
      <c r="U23" s="106">
        <f t="shared" si="6"/>
        <v>6823218.7699658228</v>
      </c>
      <c r="V23" s="106">
        <f t="shared" si="6"/>
        <v>6823218.7699658228</v>
      </c>
      <c r="W23" s="106">
        <f t="shared" si="6"/>
        <v>6823218.7699658228</v>
      </c>
      <c r="X23" s="106">
        <f t="shared" si="6"/>
        <v>0</v>
      </c>
      <c r="Y23" s="106">
        <f t="shared" si="6"/>
        <v>7574000</v>
      </c>
      <c r="Z23" s="106">
        <f t="shared" si="6"/>
        <v>6823218.7699658228</v>
      </c>
      <c r="AA23" s="106">
        <f t="shared" si="6"/>
        <v>6823218.7699658228</v>
      </c>
      <c r="AB23" s="106">
        <f t="shared" si="6"/>
        <v>6823218.7699658228</v>
      </c>
      <c r="AC23" s="106">
        <f t="shared" si="6"/>
        <v>7574000</v>
      </c>
      <c r="AD23" s="106">
        <f t="shared" si="6"/>
        <v>7574000</v>
      </c>
      <c r="AE23" s="106">
        <f t="shared" si="6"/>
        <v>7574000</v>
      </c>
      <c r="AF23" s="106">
        <f t="shared" si="6"/>
        <v>7574000</v>
      </c>
      <c r="AG23" s="106">
        <f t="shared" si="6"/>
        <v>6823218.7699658228</v>
      </c>
      <c r="AH23" s="106">
        <f t="shared" si="6"/>
        <v>6823218.7699658228</v>
      </c>
      <c r="AI23" s="106">
        <f t="shared" si="6"/>
        <v>6823218.7699658228</v>
      </c>
      <c r="AJ23" s="106">
        <f t="shared" si="6"/>
        <v>6823218.7699658228</v>
      </c>
      <c r="AK23" s="106">
        <f t="shared" si="6"/>
        <v>6823218.7699658228</v>
      </c>
      <c r="AL23" s="106">
        <f t="shared" si="6"/>
        <v>6823218.7699658228</v>
      </c>
      <c r="AM23" s="106">
        <f t="shared" si="6"/>
        <v>6823218.7699658228</v>
      </c>
      <c r="AN23" s="106">
        <f t="shared" si="6"/>
        <v>6823218.7699658228</v>
      </c>
      <c r="AO23" s="106">
        <f t="shared" si="6"/>
        <v>7574000</v>
      </c>
      <c r="AP23" s="106">
        <f t="shared" si="6"/>
        <v>7574000</v>
      </c>
      <c r="AQ23" s="106">
        <f t="shared" si="6"/>
        <v>7574000</v>
      </c>
      <c r="AR23" s="106">
        <f t="shared" si="6"/>
        <v>7574000</v>
      </c>
      <c r="AS23" s="106">
        <f t="shared" si="6"/>
        <v>6823218.7699658228</v>
      </c>
      <c r="AT23" s="106">
        <f t="shared" si="6"/>
        <v>0</v>
      </c>
      <c r="AU23" s="106">
        <f t="shared" si="6"/>
        <v>7574000</v>
      </c>
      <c r="AV23" s="106">
        <f t="shared" si="6"/>
        <v>6823218.7699658228</v>
      </c>
      <c r="AW23" s="106">
        <f t="shared" si="6"/>
        <v>6823218.7699658228</v>
      </c>
      <c r="AX23" s="106">
        <f t="shared" si="6"/>
        <v>0</v>
      </c>
      <c r="AY23" s="106">
        <f t="shared" si="6"/>
        <v>0</v>
      </c>
      <c r="AZ23" s="145">
        <f t="shared" si="5"/>
        <v>313735688.01911145</v>
      </c>
    </row>
    <row r="24" spans="1:52" s="116" customFormat="1" x14ac:dyDescent="0.2">
      <c r="A24" s="167" t="s">
        <v>309</v>
      </c>
      <c r="B24" s="168">
        <v>1000</v>
      </c>
      <c r="C24" s="162" t="s">
        <v>294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310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311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312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313</v>
      </c>
      <c r="B30" s="150">
        <v>10</v>
      </c>
      <c r="C30" s="123" t="s">
        <v>294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301</v>
      </c>
    </row>
    <row r="33" spans="1:52" x14ac:dyDescent="0.2">
      <c r="A33" s="141" t="s">
        <v>22</v>
      </c>
      <c r="B33" s="141" t="s">
        <v>343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342</v>
      </c>
      <c r="B34" s="171" t="s">
        <v>344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1245</v>
      </c>
      <c r="B35" s="171" t="s">
        <v>345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346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347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348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349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350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351</v>
      </c>
      <c r="C41" s="116"/>
      <c r="D41" s="116">
        <v>2</v>
      </c>
      <c r="E41" s="116">
        <v>1</v>
      </c>
      <c r="F41" s="116">
        <v>1</v>
      </c>
      <c r="G41" s="116">
        <v>2</v>
      </c>
      <c r="H41" s="116">
        <v>2</v>
      </c>
      <c r="I41" s="116">
        <v>2</v>
      </c>
      <c r="J41" s="116">
        <v>2</v>
      </c>
      <c r="K41" s="116">
        <v>3</v>
      </c>
      <c r="L41" s="116">
        <v>1</v>
      </c>
      <c r="M41" s="116">
        <v>1</v>
      </c>
      <c r="N41" s="116">
        <v>1</v>
      </c>
      <c r="O41" s="116">
        <v>3</v>
      </c>
      <c r="P41" s="116">
        <v>2</v>
      </c>
      <c r="Q41" s="116">
        <v>1</v>
      </c>
      <c r="R41" s="116">
        <v>1</v>
      </c>
      <c r="S41" s="116">
        <v>3</v>
      </c>
      <c r="T41" s="116">
        <v>1</v>
      </c>
      <c r="U41" s="116">
        <v>1</v>
      </c>
      <c r="V41" s="116">
        <v>1</v>
      </c>
      <c r="W41" s="116">
        <v>3</v>
      </c>
      <c r="X41" s="116">
        <v>1</v>
      </c>
      <c r="Y41" s="116">
        <v>1</v>
      </c>
      <c r="Z41" s="116">
        <v>3</v>
      </c>
      <c r="AA41" s="116">
        <v>3</v>
      </c>
      <c r="AB41" s="116">
        <v>1</v>
      </c>
      <c r="AC41" s="116">
        <v>2</v>
      </c>
      <c r="AD41" s="116">
        <v>2</v>
      </c>
      <c r="AE41" s="116">
        <v>1</v>
      </c>
      <c r="AF41" s="116">
        <v>2</v>
      </c>
      <c r="AG41" s="116">
        <v>3</v>
      </c>
      <c r="AH41" s="116">
        <v>1</v>
      </c>
      <c r="AI41" s="116">
        <v>1</v>
      </c>
      <c r="AJ41" s="116">
        <v>1</v>
      </c>
      <c r="AK41" s="116">
        <v>2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2</v>
      </c>
      <c r="AR41" s="116">
        <v>1</v>
      </c>
      <c r="AS41" s="116">
        <v>1</v>
      </c>
      <c r="AT41" s="116">
        <v>2</v>
      </c>
      <c r="AU41" s="116">
        <v>2</v>
      </c>
      <c r="AV41" s="116">
        <v>1</v>
      </c>
      <c r="AW41" s="116">
        <v>2</v>
      </c>
      <c r="AX41" s="116">
        <v>1</v>
      </c>
      <c r="AY41" s="116">
        <v>2</v>
      </c>
    </row>
    <row r="42" spans="1:52" x14ac:dyDescent="0.2">
      <c r="A42" s="116"/>
      <c r="B42" s="184" t="s">
        <v>352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353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343</v>
      </c>
      <c r="C44" s="130"/>
      <c r="D44" s="130">
        <f>D$21*shipping_manufacturing!$F$28/100</f>
        <v>3411.6093849829113</v>
      </c>
      <c r="E44" s="130">
        <f>E$21*shipping_manufacturing!$F$28/100</f>
        <v>3787</v>
      </c>
      <c r="F44" s="130">
        <f>F$21*shipping_manufacturing!$F$28/100</f>
        <v>3787</v>
      </c>
      <c r="G44" s="130">
        <f>G$21*shipping_manufacturing!$F$28/100</f>
        <v>3787</v>
      </c>
      <c r="H44" s="130">
        <f>H$21*shipping_manufacturing!$F$28/100</f>
        <v>3787</v>
      </c>
      <c r="I44" s="130">
        <f>I$21*shipping_manufacturing!$F$28/100</f>
        <v>3411.6093849829113</v>
      </c>
      <c r="J44" s="130">
        <f>J$21*shipping_manufacturing!$F$28/100</f>
        <v>3411.6093849829113</v>
      </c>
      <c r="K44" s="130">
        <f>K$21*shipping_manufacturing!$F$28/100</f>
        <v>3411.6093849829113</v>
      </c>
      <c r="L44" s="130">
        <f>L$21*shipping_manufacturing!$F$28/100</f>
        <v>3411.6093849829113</v>
      </c>
      <c r="M44" s="130">
        <f>M$21*shipping_manufacturing!$F$28/100</f>
        <v>3411.6093849829113</v>
      </c>
      <c r="N44" s="130">
        <f>N$21*shipping_manufacturing!$F$28/100</f>
        <v>3411.6093849829113</v>
      </c>
      <c r="O44" s="130">
        <f>O$21*shipping_manufacturing!$F$28/100</f>
        <v>3411.6093849829113</v>
      </c>
      <c r="P44" s="130">
        <f>P$21*shipping_manufacturing!$F$28/100</f>
        <v>3411.6093849829113</v>
      </c>
      <c r="Q44" s="130">
        <f>Q$21*shipping_manufacturing!$F$28/100</f>
        <v>3787</v>
      </c>
      <c r="R44" s="130">
        <f>R$21*shipping_manufacturing!$F$28/100</f>
        <v>3787</v>
      </c>
      <c r="S44" s="130">
        <f>S$21*shipping_manufacturing!$F$28/100</f>
        <v>3787</v>
      </c>
      <c r="T44" s="130">
        <f>T$21*shipping_manufacturing!$F$28/100</f>
        <v>3787</v>
      </c>
      <c r="U44" s="130">
        <f>U$21*shipping_manufacturing!$F$28/100</f>
        <v>3411.6093849829113</v>
      </c>
      <c r="V44" s="130">
        <f>V$21*shipping_manufacturing!$F$28/100</f>
        <v>3411.6093849829113</v>
      </c>
      <c r="W44" s="130">
        <f>W$21*shipping_manufacturing!$F$28/100</f>
        <v>3411.6093849829113</v>
      </c>
      <c r="X44" s="130">
        <f>X$21*shipping_manufacturing!$F$28/100</f>
        <v>0</v>
      </c>
      <c r="Y44" s="130">
        <f>Y$21*shipping_manufacturing!$F$28/100</f>
        <v>3787</v>
      </c>
      <c r="Z44" s="130">
        <f>Z$21*shipping_manufacturing!$F$28/100</f>
        <v>3411.6093849829113</v>
      </c>
      <c r="AA44" s="130">
        <f>AA$21*shipping_manufacturing!$F$28/100</f>
        <v>3411.6093849829113</v>
      </c>
      <c r="AB44" s="130">
        <f>AB$21*shipping_manufacturing!$F$28/100</f>
        <v>3411.6093849829113</v>
      </c>
      <c r="AC44" s="130">
        <f>AC$21*shipping_manufacturing!$F$28/100</f>
        <v>3787</v>
      </c>
      <c r="AD44" s="130">
        <f>AD$21*shipping_manufacturing!$F$28/100</f>
        <v>3787</v>
      </c>
      <c r="AE44" s="130">
        <f>AE$21*shipping_manufacturing!$F$28/100</f>
        <v>3787</v>
      </c>
      <c r="AF44" s="130">
        <f>AF$21*shipping_manufacturing!$F$28/100</f>
        <v>3787</v>
      </c>
      <c r="AG44" s="130">
        <f>AG$21*shipping_manufacturing!$F$28/100</f>
        <v>3411.6093849829113</v>
      </c>
      <c r="AH44" s="130">
        <f>AH$21*shipping_manufacturing!$F$28/100</f>
        <v>3411.6093849829113</v>
      </c>
      <c r="AI44" s="130">
        <f>AI$21*shipping_manufacturing!$F$28/100</f>
        <v>3411.6093849829113</v>
      </c>
      <c r="AJ44" s="130">
        <f>AJ$21*shipping_manufacturing!$F$28/100</f>
        <v>3411.6093849829113</v>
      </c>
      <c r="AK44" s="130">
        <f>AK$21*shipping_manufacturing!$F$28/100</f>
        <v>3411.6093849829113</v>
      </c>
      <c r="AL44" s="130">
        <f>AL$21*shipping_manufacturing!$F$28/100</f>
        <v>3411.6093849829113</v>
      </c>
      <c r="AM44" s="130">
        <f>AM$21*shipping_manufacturing!$F$28/100</f>
        <v>3411.6093849829113</v>
      </c>
      <c r="AN44" s="130">
        <f>AN$21*shipping_manufacturing!$F$28/100</f>
        <v>3411.6093849829113</v>
      </c>
      <c r="AO44" s="130">
        <f>AO$21*shipping_manufacturing!$F$28/100</f>
        <v>3787</v>
      </c>
      <c r="AP44" s="130">
        <f>AP$21*shipping_manufacturing!$F$28/100</f>
        <v>3787</v>
      </c>
      <c r="AQ44" s="130">
        <f>AQ$21*shipping_manufacturing!$F$28/100</f>
        <v>3787</v>
      </c>
      <c r="AR44" s="130">
        <f>AR$21*shipping_manufacturing!$F$28/100</f>
        <v>3787</v>
      </c>
      <c r="AS44" s="130">
        <f>AS$21*shipping_manufacturing!$F$28/100</f>
        <v>3411.6093849829113</v>
      </c>
      <c r="AT44" s="130">
        <f>AT$21*shipping_manufacturing!$F$28/100</f>
        <v>0</v>
      </c>
      <c r="AU44" s="130">
        <f>AU$21*shipping_manufacturing!$F$28/100</f>
        <v>3787</v>
      </c>
      <c r="AV44" s="130">
        <f>AV$21*shipping_manufacturing!$F$28/100</f>
        <v>3411.6093849829113</v>
      </c>
      <c r="AW44" s="130">
        <f>AW$21*shipping_manufacturing!$F$28/100</f>
        <v>3411.6093849829113</v>
      </c>
      <c r="AX44" s="130">
        <f>AX$21*shipping_manufacturing!$F$28/100</f>
        <v>0</v>
      </c>
      <c r="AY44" s="130">
        <f>AY$21*shipping_manufacturing!$F$28/100</f>
        <v>0</v>
      </c>
    </row>
    <row r="45" spans="1:52" x14ac:dyDescent="0.2">
      <c r="A45" s="119" t="s">
        <v>342</v>
      </c>
      <c r="B45" s="171" t="s">
        <v>344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495</v>
      </c>
      <c r="B46" s="171" t="s">
        <v>345</v>
      </c>
      <c r="C46" s="116"/>
      <c r="D46" s="116">
        <f>SUM(D44:D45)</f>
        <v>3411.6093849829113</v>
      </c>
      <c r="E46" s="116">
        <f t="shared" ref="E46:AY46" si="14">SUM(E44:E45)</f>
        <v>3787</v>
      </c>
      <c r="F46" s="116">
        <f t="shared" si="14"/>
        <v>3787</v>
      </c>
      <c r="G46" s="116">
        <f t="shared" si="14"/>
        <v>3787</v>
      </c>
      <c r="H46" s="116">
        <f t="shared" si="14"/>
        <v>3787</v>
      </c>
      <c r="I46" s="116">
        <f t="shared" si="14"/>
        <v>3411.6093849829113</v>
      </c>
      <c r="J46" s="116">
        <f t="shared" si="14"/>
        <v>3411.6093849829113</v>
      </c>
      <c r="K46" s="116">
        <f t="shared" si="14"/>
        <v>3411.6093849829113</v>
      </c>
      <c r="L46" s="116">
        <f t="shared" si="14"/>
        <v>3411.6093849829113</v>
      </c>
      <c r="M46" s="116">
        <f t="shared" si="14"/>
        <v>3411.6093849829113</v>
      </c>
      <c r="N46" s="116">
        <f t="shared" si="14"/>
        <v>3411.6093849829113</v>
      </c>
      <c r="O46" s="116">
        <f t="shared" si="14"/>
        <v>3411.6093849829113</v>
      </c>
      <c r="P46" s="116">
        <f t="shared" si="14"/>
        <v>3411.6093849829113</v>
      </c>
      <c r="Q46" s="116">
        <f t="shared" si="14"/>
        <v>3787</v>
      </c>
      <c r="R46" s="116">
        <f t="shared" si="14"/>
        <v>3787</v>
      </c>
      <c r="S46" s="116">
        <f t="shared" si="14"/>
        <v>3787</v>
      </c>
      <c r="T46" s="116">
        <f t="shared" si="14"/>
        <v>3787</v>
      </c>
      <c r="U46" s="116">
        <f t="shared" si="14"/>
        <v>3411.6093849829113</v>
      </c>
      <c r="V46" s="116">
        <f t="shared" si="14"/>
        <v>3411.6093849829113</v>
      </c>
      <c r="W46" s="116">
        <f t="shared" si="14"/>
        <v>3411.6093849829113</v>
      </c>
      <c r="X46" s="116">
        <f t="shared" si="14"/>
        <v>0</v>
      </c>
      <c r="Y46" s="116">
        <f t="shared" si="14"/>
        <v>3787</v>
      </c>
      <c r="Z46" s="116">
        <f t="shared" si="14"/>
        <v>3411.6093849829113</v>
      </c>
      <c r="AA46" s="116">
        <f t="shared" si="14"/>
        <v>3411.6093849829113</v>
      </c>
      <c r="AB46" s="116">
        <f t="shared" si="14"/>
        <v>3411.6093849829113</v>
      </c>
      <c r="AC46" s="116">
        <f t="shared" si="14"/>
        <v>3787</v>
      </c>
      <c r="AD46" s="116">
        <f t="shared" si="14"/>
        <v>3787</v>
      </c>
      <c r="AE46" s="116">
        <f t="shared" si="14"/>
        <v>3787</v>
      </c>
      <c r="AF46" s="116">
        <f t="shared" si="14"/>
        <v>3787</v>
      </c>
      <c r="AG46" s="116">
        <f t="shared" si="14"/>
        <v>3411.6093849829113</v>
      </c>
      <c r="AH46" s="116">
        <f t="shared" si="14"/>
        <v>3411.6093849829113</v>
      </c>
      <c r="AI46" s="116">
        <f t="shared" si="14"/>
        <v>3411.6093849829113</v>
      </c>
      <c r="AJ46" s="116">
        <f t="shared" si="14"/>
        <v>3411.6093849829113</v>
      </c>
      <c r="AK46" s="116">
        <f t="shared" si="14"/>
        <v>3411.6093849829113</v>
      </c>
      <c r="AL46" s="116">
        <f t="shared" si="14"/>
        <v>3411.6093849829113</v>
      </c>
      <c r="AM46" s="116">
        <f t="shared" si="14"/>
        <v>3411.6093849829113</v>
      </c>
      <c r="AN46" s="116">
        <f t="shared" si="14"/>
        <v>3411.6093849829113</v>
      </c>
      <c r="AO46" s="116">
        <f t="shared" si="14"/>
        <v>3787</v>
      </c>
      <c r="AP46" s="116">
        <f t="shared" si="14"/>
        <v>3787</v>
      </c>
      <c r="AQ46" s="116">
        <f t="shared" si="14"/>
        <v>3787</v>
      </c>
      <c r="AR46" s="116">
        <f t="shared" si="14"/>
        <v>3787</v>
      </c>
      <c r="AS46" s="116">
        <f t="shared" si="14"/>
        <v>3411.6093849829113</v>
      </c>
      <c r="AT46" s="116">
        <f t="shared" si="14"/>
        <v>0</v>
      </c>
      <c r="AU46" s="116">
        <f t="shared" si="14"/>
        <v>3787</v>
      </c>
      <c r="AV46" s="116">
        <f t="shared" si="14"/>
        <v>3411.6093849829113</v>
      </c>
      <c r="AW46" s="116">
        <f t="shared" si="14"/>
        <v>3411.6093849829113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346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347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348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349</v>
      </c>
      <c r="C50" s="116"/>
      <c r="D50" s="116">
        <f>D44-D47</f>
        <v>3411.6093849829113</v>
      </c>
      <c r="E50" s="116">
        <f t="shared" ref="E50:AY50" si="15">E44-E47</f>
        <v>3787</v>
      </c>
      <c r="F50" s="116">
        <f t="shared" si="15"/>
        <v>3787</v>
      </c>
      <c r="G50" s="116">
        <f t="shared" si="15"/>
        <v>3787</v>
      </c>
      <c r="H50" s="116">
        <f t="shared" si="15"/>
        <v>3787</v>
      </c>
      <c r="I50" s="116">
        <f t="shared" si="15"/>
        <v>3411.6093849829113</v>
      </c>
      <c r="J50" s="116">
        <f t="shared" si="15"/>
        <v>3411.6093849829113</v>
      </c>
      <c r="K50" s="116">
        <f t="shared" si="15"/>
        <v>3411.6093849829113</v>
      </c>
      <c r="L50" s="116">
        <f t="shared" si="15"/>
        <v>3411.6093849829113</v>
      </c>
      <c r="M50" s="116">
        <f t="shared" si="15"/>
        <v>3411.6093849829113</v>
      </c>
      <c r="N50" s="116">
        <f t="shared" si="15"/>
        <v>3411.6093849829113</v>
      </c>
      <c r="O50" s="116">
        <f t="shared" si="15"/>
        <v>3411.6093849829113</v>
      </c>
      <c r="P50" s="116">
        <f t="shared" si="15"/>
        <v>3411.6093849829113</v>
      </c>
      <c r="Q50" s="116">
        <f t="shared" si="15"/>
        <v>3787</v>
      </c>
      <c r="R50" s="116">
        <f t="shared" si="15"/>
        <v>3787</v>
      </c>
      <c r="S50" s="116">
        <f t="shared" si="15"/>
        <v>3787</v>
      </c>
      <c r="T50" s="116">
        <f t="shared" si="15"/>
        <v>3787</v>
      </c>
      <c r="U50" s="116">
        <f t="shared" si="15"/>
        <v>3411.6093849829113</v>
      </c>
      <c r="V50" s="116">
        <f t="shared" si="15"/>
        <v>3411.6093849829113</v>
      </c>
      <c r="W50" s="116">
        <f t="shared" si="15"/>
        <v>3411.6093849829113</v>
      </c>
      <c r="X50" s="116">
        <f t="shared" si="15"/>
        <v>0</v>
      </c>
      <c r="Y50" s="116">
        <f t="shared" si="15"/>
        <v>3787</v>
      </c>
      <c r="Z50" s="116">
        <f t="shared" si="15"/>
        <v>3411.6093849829113</v>
      </c>
      <c r="AA50" s="116">
        <f t="shared" si="15"/>
        <v>3411.6093849829113</v>
      </c>
      <c r="AB50" s="116">
        <f t="shared" si="15"/>
        <v>3411.6093849829113</v>
      </c>
      <c r="AC50" s="116">
        <f t="shared" si="15"/>
        <v>3787</v>
      </c>
      <c r="AD50" s="116">
        <f t="shared" si="15"/>
        <v>3787</v>
      </c>
      <c r="AE50" s="116">
        <f t="shared" si="15"/>
        <v>3787</v>
      </c>
      <c r="AF50" s="116">
        <f t="shared" si="15"/>
        <v>3787</v>
      </c>
      <c r="AG50" s="116">
        <f t="shared" si="15"/>
        <v>3411.6093849829113</v>
      </c>
      <c r="AH50" s="116">
        <f t="shared" si="15"/>
        <v>3411.6093849829113</v>
      </c>
      <c r="AI50" s="116">
        <f t="shared" si="15"/>
        <v>3411.6093849829113</v>
      </c>
      <c r="AJ50" s="116">
        <f t="shared" si="15"/>
        <v>3411.6093849829113</v>
      </c>
      <c r="AK50" s="116">
        <f t="shared" si="15"/>
        <v>3411.6093849829113</v>
      </c>
      <c r="AL50" s="116">
        <f t="shared" si="15"/>
        <v>3411.6093849829113</v>
      </c>
      <c r="AM50" s="116">
        <f t="shared" si="15"/>
        <v>3411.6093849829113</v>
      </c>
      <c r="AN50" s="116">
        <f t="shared" si="15"/>
        <v>3411.6093849829113</v>
      </c>
      <c r="AO50" s="116">
        <f t="shared" si="15"/>
        <v>3787</v>
      </c>
      <c r="AP50" s="116">
        <f t="shared" si="15"/>
        <v>3787</v>
      </c>
      <c r="AQ50" s="116">
        <f t="shared" si="15"/>
        <v>3787</v>
      </c>
      <c r="AR50" s="116">
        <f t="shared" si="15"/>
        <v>3787</v>
      </c>
      <c r="AS50" s="116">
        <f t="shared" si="15"/>
        <v>3411.6093849829113</v>
      </c>
      <c r="AT50" s="116">
        <f t="shared" si="15"/>
        <v>0</v>
      </c>
      <c r="AU50" s="116">
        <f t="shared" si="15"/>
        <v>3787</v>
      </c>
      <c r="AV50" s="116">
        <f t="shared" si="15"/>
        <v>3411.6093849829113</v>
      </c>
      <c r="AW50" s="116">
        <f t="shared" si="15"/>
        <v>3411.6093849829113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350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351</v>
      </c>
      <c r="C52" s="116"/>
      <c r="D52" s="116">
        <v>1</v>
      </c>
      <c r="E52" s="116">
        <v>2</v>
      </c>
      <c r="F52" s="116">
        <v>1</v>
      </c>
      <c r="G52" s="116">
        <v>2</v>
      </c>
      <c r="H52" s="116">
        <v>1</v>
      </c>
      <c r="I52" s="116">
        <v>2</v>
      </c>
      <c r="J52" s="116">
        <v>2</v>
      </c>
      <c r="K52" s="116">
        <v>2</v>
      </c>
      <c r="L52" s="116">
        <v>2</v>
      </c>
      <c r="M52" s="116">
        <v>1</v>
      </c>
      <c r="N52" s="116">
        <v>1</v>
      </c>
      <c r="O52" s="116">
        <v>1</v>
      </c>
      <c r="P52" s="116">
        <v>2</v>
      </c>
      <c r="Q52" s="116">
        <v>2</v>
      </c>
      <c r="R52" s="116">
        <v>1</v>
      </c>
      <c r="S52" s="116">
        <v>3</v>
      </c>
      <c r="T52" s="116">
        <v>1</v>
      </c>
      <c r="U52" s="116">
        <v>2</v>
      </c>
      <c r="V52" s="116">
        <v>1</v>
      </c>
      <c r="W52" s="116">
        <v>2</v>
      </c>
      <c r="X52" s="116">
        <v>1</v>
      </c>
      <c r="Y52" s="116">
        <v>2</v>
      </c>
      <c r="Z52" s="116">
        <v>1</v>
      </c>
      <c r="AA52" s="116">
        <v>2</v>
      </c>
      <c r="AB52" s="116">
        <v>2</v>
      </c>
      <c r="AC52" s="116">
        <v>1</v>
      </c>
      <c r="AD52" s="116">
        <v>1</v>
      </c>
      <c r="AE52" s="116">
        <v>1</v>
      </c>
      <c r="AF52" s="116">
        <v>1</v>
      </c>
      <c r="AG52" s="116">
        <v>1</v>
      </c>
      <c r="AH52" s="116">
        <v>1</v>
      </c>
      <c r="AI52" s="116">
        <v>1</v>
      </c>
      <c r="AJ52" s="116">
        <v>1</v>
      </c>
      <c r="AK52" s="116">
        <v>1</v>
      </c>
      <c r="AL52" s="116">
        <v>1</v>
      </c>
      <c r="AM52" s="116">
        <v>2</v>
      </c>
      <c r="AN52" s="116">
        <v>3</v>
      </c>
      <c r="AO52" s="116">
        <v>1</v>
      </c>
      <c r="AP52" s="116">
        <v>1</v>
      </c>
      <c r="AQ52" s="116">
        <v>3</v>
      </c>
      <c r="AR52" s="116">
        <v>3</v>
      </c>
      <c r="AS52" s="116">
        <v>1</v>
      </c>
      <c r="AT52" s="116">
        <v>1</v>
      </c>
      <c r="AU52" s="116">
        <v>1</v>
      </c>
      <c r="AV52" s="116">
        <v>2</v>
      </c>
      <c r="AW52" s="116">
        <v>2</v>
      </c>
      <c r="AX52" s="116">
        <v>1</v>
      </c>
      <c r="AY52" s="116">
        <v>1</v>
      </c>
    </row>
    <row r="53" spans="1:52" x14ac:dyDescent="0.2">
      <c r="A53" s="116"/>
      <c r="B53" s="184" t="s">
        <v>352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353</v>
      </c>
      <c r="C54" s="131"/>
      <c r="D54" s="131">
        <v>1097685.3196182516</v>
      </c>
      <c r="E54" s="131">
        <v>1218467.25</v>
      </c>
      <c r="F54" s="131">
        <v>1218467.25</v>
      </c>
      <c r="G54" s="131">
        <v>1218467.25</v>
      </c>
      <c r="H54" s="131">
        <v>1218467.25</v>
      </c>
      <c r="I54" s="131">
        <v>1097685.3196182516</v>
      </c>
      <c r="J54" s="131">
        <v>1097685.3196182516</v>
      </c>
      <c r="K54" s="131">
        <v>1097685.3196182516</v>
      </c>
      <c r="L54" s="131">
        <v>1097685.3196182516</v>
      </c>
      <c r="M54" s="131">
        <v>1097685.3196182516</v>
      </c>
      <c r="N54" s="131">
        <v>1097685.3196182516</v>
      </c>
      <c r="O54" s="131">
        <v>1097685.3196182516</v>
      </c>
      <c r="P54" s="131">
        <v>1097685.3196182516</v>
      </c>
      <c r="Q54" s="131">
        <v>1218467.25</v>
      </c>
      <c r="R54" s="131">
        <v>1218467.25</v>
      </c>
      <c r="S54" s="131">
        <v>1218467.25</v>
      </c>
      <c r="T54" s="131">
        <v>1218467.25</v>
      </c>
      <c r="U54" s="131">
        <v>1097685.3196182516</v>
      </c>
      <c r="V54" s="131">
        <v>1097685.3196182516</v>
      </c>
      <c r="W54" s="131">
        <v>1097685.3196182516</v>
      </c>
      <c r="X54" s="131">
        <v>0</v>
      </c>
      <c r="Y54" s="131">
        <v>1218467.25</v>
      </c>
      <c r="Z54" s="131">
        <v>1097685.3196182516</v>
      </c>
      <c r="AA54" s="131">
        <v>1097685.3196182516</v>
      </c>
      <c r="AB54" s="131">
        <v>1097685.3196182516</v>
      </c>
      <c r="AC54" s="131">
        <v>1218467.25</v>
      </c>
      <c r="AD54" s="131">
        <v>1218467.25</v>
      </c>
      <c r="AE54" s="131">
        <v>1218467.25</v>
      </c>
      <c r="AF54" s="131">
        <v>1218467.25</v>
      </c>
      <c r="AG54" s="131">
        <v>1097685.3196182516</v>
      </c>
      <c r="AH54" s="131">
        <v>1097685.3196182516</v>
      </c>
      <c r="AI54" s="131">
        <v>1097685.3196182516</v>
      </c>
      <c r="AJ54" s="131">
        <v>1097685.3196182516</v>
      </c>
      <c r="AK54" s="131">
        <v>1097685.3196182516</v>
      </c>
      <c r="AL54" s="131">
        <v>1097685.3196182516</v>
      </c>
      <c r="AM54" s="131">
        <v>1097685.3196182516</v>
      </c>
      <c r="AN54" s="131">
        <v>1097685.3196182516</v>
      </c>
      <c r="AO54" s="131">
        <v>1218467.25</v>
      </c>
      <c r="AP54" s="131">
        <v>1218467.25</v>
      </c>
      <c r="AQ54" s="131">
        <v>1218467.25</v>
      </c>
      <c r="AR54" s="131">
        <v>1218467.25</v>
      </c>
      <c r="AS54" s="131">
        <v>1097685.3196182516</v>
      </c>
      <c r="AT54" s="131">
        <v>0</v>
      </c>
      <c r="AU54" s="131">
        <v>1218467.25</v>
      </c>
      <c r="AV54" s="131">
        <v>1097685.3196182516</v>
      </c>
      <c r="AW54" s="131">
        <v>1097685.3196182516</v>
      </c>
      <c r="AX54" s="131">
        <v>0</v>
      </c>
      <c r="AY54" s="131">
        <v>0</v>
      </c>
      <c r="AZ54" s="106">
        <f>SUM($D$54:$AY$54)</f>
        <v>50472228.810074568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285</v>
      </c>
    </row>
    <row r="2" spans="1:53" x14ac:dyDescent="0.2">
      <c r="A2" s="106" t="s">
        <v>286</v>
      </c>
      <c r="B2" s="113" t="s">
        <v>22</v>
      </c>
    </row>
    <row r="3" spans="1:53" x14ac:dyDescent="0.2">
      <c r="A3" s="106" t="s">
        <v>287</v>
      </c>
      <c r="B3" s="114">
        <v>50000</v>
      </c>
      <c r="C3" s="115"/>
    </row>
    <row r="4" spans="1:53" x14ac:dyDescent="0.2">
      <c r="B4" s="116"/>
      <c r="C4" s="116"/>
    </row>
    <row r="5" spans="1:53" x14ac:dyDescent="0.2">
      <c r="C5" s="117" t="s">
        <v>288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289</v>
      </c>
      <c r="D7" s="118" t="s">
        <v>290</v>
      </c>
      <c r="E7" s="118" t="s">
        <v>290</v>
      </c>
      <c r="F7" s="118" t="s">
        <v>290</v>
      </c>
      <c r="G7" s="118" t="s">
        <v>290</v>
      </c>
      <c r="H7" s="118" t="s">
        <v>290</v>
      </c>
      <c r="I7" s="118" t="s">
        <v>290</v>
      </c>
      <c r="J7" s="118" t="s">
        <v>290</v>
      </c>
      <c r="K7" s="118" t="s">
        <v>290</v>
      </c>
      <c r="L7" s="118" t="s">
        <v>290</v>
      </c>
      <c r="M7" s="118" t="s">
        <v>290</v>
      </c>
      <c r="N7" s="118" t="s">
        <v>290</v>
      </c>
      <c r="O7" s="118" t="s">
        <v>290</v>
      </c>
      <c r="P7" s="118" t="s">
        <v>290</v>
      </c>
      <c r="Q7" s="118" t="s">
        <v>290</v>
      </c>
      <c r="R7" s="118" t="s">
        <v>290</v>
      </c>
      <c r="S7" s="118" t="s">
        <v>290</v>
      </c>
      <c r="T7" s="118" t="s">
        <v>290</v>
      </c>
      <c r="U7" s="118" t="s">
        <v>290</v>
      </c>
      <c r="V7" s="118" t="s">
        <v>290</v>
      </c>
      <c r="W7" s="118" t="s">
        <v>290</v>
      </c>
      <c r="X7" s="118" t="s">
        <v>290</v>
      </c>
      <c r="Y7" s="118" t="s">
        <v>290</v>
      </c>
      <c r="Z7" s="118" t="s">
        <v>290</v>
      </c>
      <c r="AA7" s="118" t="s">
        <v>290</v>
      </c>
      <c r="AB7" s="118" t="s">
        <v>290</v>
      </c>
      <c r="AC7" s="118" t="s">
        <v>290</v>
      </c>
      <c r="AD7" s="118" t="s">
        <v>290</v>
      </c>
      <c r="AE7" s="118" t="s">
        <v>290</v>
      </c>
      <c r="AF7" s="118" t="s">
        <v>290</v>
      </c>
      <c r="AG7" s="118" t="s">
        <v>290</v>
      </c>
      <c r="AH7" s="118" t="s">
        <v>290</v>
      </c>
      <c r="AI7" s="118" t="s">
        <v>290</v>
      </c>
      <c r="AJ7" s="118" t="s">
        <v>290</v>
      </c>
      <c r="AK7" s="118" t="s">
        <v>290</v>
      </c>
      <c r="AL7" s="118" t="s">
        <v>290</v>
      </c>
      <c r="AM7" s="118" t="s">
        <v>290</v>
      </c>
      <c r="AN7" s="118" t="s">
        <v>290</v>
      </c>
      <c r="AO7" s="118" t="s">
        <v>290</v>
      </c>
      <c r="AP7" s="118" t="s">
        <v>290</v>
      </c>
      <c r="AQ7" s="118" t="s">
        <v>290</v>
      </c>
      <c r="AR7" s="118" t="s">
        <v>290</v>
      </c>
      <c r="AS7" s="118" t="s">
        <v>290</v>
      </c>
      <c r="AT7" s="118" t="s">
        <v>290</v>
      </c>
      <c r="AU7" s="118" t="s">
        <v>290</v>
      </c>
      <c r="AV7" s="118" t="s">
        <v>290</v>
      </c>
      <c r="AW7" s="118" t="s">
        <v>290</v>
      </c>
      <c r="AX7" s="118" t="s">
        <v>290</v>
      </c>
      <c r="AY7" s="117" t="s">
        <v>291</v>
      </c>
      <c r="AZ7" s="117" t="s">
        <v>292</v>
      </c>
    </row>
    <row r="8" spans="1:53" x14ac:dyDescent="0.2">
      <c r="A8" s="108" t="s">
        <v>293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294</v>
      </c>
      <c r="D9" s="123">
        <v>9481.4869852959</v>
      </c>
      <c r="E9" s="123">
        <v>9481.4869852959</v>
      </c>
      <c r="F9" s="123">
        <v>9481.4869852959</v>
      </c>
      <c r="G9" s="123">
        <v>9481.4869852959</v>
      </c>
      <c r="H9" s="123">
        <v>8609.9669852958996</v>
      </c>
      <c r="I9" s="123">
        <v>8609.9669852958996</v>
      </c>
      <c r="J9" s="123">
        <v>8609.9669852958996</v>
      </c>
      <c r="K9" s="123">
        <v>8609.9669852958996</v>
      </c>
      <c r="L9" s="123">
        <v>8609.9669852958996</v>
      </c>
      <c r="M9" s="123">
        <v>8609.9669852958996</v>
      </c>
      <c r="N9" s="123">
        <v>8609.9669852958996</v>
      </c>
      <c r="O9" s="123">
        <v>8609.9669852958996</v>
      </c>
      <c r="P9" s="123">
        <v>9481.4869852959</v>
      </c>
      <c r="Q9" s="123">
        <v>9481.4869852959</v>
      </c>
      <c r="R9" s="123">
        <v>9481.4869852959</v>
      </c>
      <c r="S9" s="123">
        <v>9481.4869852959</v>
      </c>
      <c r="T9" s="123">
        <v>8609.9669852958996</v>
      </c>
      <c r="U9" s="123">
        <v>8609.9669852958996</v>
      </c>
      <c r="V9" s="123">
        <v>8609.9669852958996</v>
      </c>
      <c r="W9" s="123">
        <v>8609.9669852958996</v>
      </c>
      <c r="X9" s="123">
        <v>8609.9669852958996</v>
      </c>
      <c r="Y9" s="123">
        <v>8609.9669852958996</v>
      </c>
      <c r="Z9" s="123">
        <v>8609.9669852958996</v>
      </c>
      <c r="AA9" s="123">
        <v>8609.9669852958996</v>
      </c>
      <c r="AB9" s="123">
        <v>9481.4869852959</v>
      </c>
      <c r="AC9" s="123">
        <v>9481.4869852959</v>
      </c>
      <c r="AD9" s="123">
        <v>9481.4869852959</v>
      </c>
      <c r="AE9" s="123">
        <v>9481.4869852959</v>
      </c>
      <c r="AF9" s="123">
        <v>8609.9669852958996</v>
      </c>
      <c r="AG9" s="123">
        <v>8609.9669852958996</v>
      </c>
      <c r="AH9" s="123">
        <v>8609.9669852958996</v>
      </c>
      <c r="AI9" s="123">
        <v>8609.9669852958996</v>
      </c>
      <c r="AJ9" s="123">
        <v>8609.9669852958996</v>
      </c>
      <c r="AK9" s="123">
        <v>8609.9669852958996</v>
      </c>
      <c r="AL9" s="123">
        <v>8609.9669852958996</v>
      </c>
      <c r="AM9" s="123">
        <v>8609.9669852958996</v>
      </c>
      <c r="AN9" s="123">
        <v>9481.4869852959</v>
      </c>
      <c r="AO9" s="123">
        <v>9481.4869852959</v>
      </c>
      <c r="AP9" s="123">
        <v>9364.1811769626129</v>
      </c>
      <c r="AQ9" s="123">
        <v>9364.3992199961849</v>
      </c>
      <c r="AR9" s="123">
        <v>8609.9669852958996</v>
      </c>
      <c r="AS9" s="123">
        <v>8609.9669852958996</v>
      </c>
      <c r="AT9" s="123">
        <v>8609.9669852958996</v>
      </c>
      <c r="AU9" s="123">
        <v>8609.9669852958996</v>
      </c>
      <c r="AV9" s="123">
        <v>8609.9669852958996</v>
      </c>
      <c r="AW9" s="123">
        <v>8609.9669852958996</v>
      </c>
      <c r="AX9" s="123">
        <v>8609.9669852958996</v>
      </c>
      <c r="AY9" s="123">
        <v>8609.9669852958996</v>
      </c>
    </row>
    <row r="10" spans="1:53" x14ac:dyDescent="0.2">
      <c r="A10" s="124" t="s">
        <v>133</v>
      </c>
      <c r="B10" s="125">
        <v>1</v>
      </c>
      <c r="C10" s="112" t="s">
        <v>294</v>
      </c>
      <c r="D10" s="106">
        <v>0</v>
      </c>
      <c r="E10" s="106">
        <v>11</v>
      </c>
      <c r="F10" s="106">
        <v>1</v>
      </c>
      <c r="G10" s="106">
        <v>1</v>
      </c>
      <c r="H10" s="106">
        <v>1</v>
      </c>
      <c r="I10" s="106">
        <v>0</v>
      </c>
      <c r="J10" s="106">
        <v>0</v>
      </c>
      <c r="K10" s="106">
        <v>1</v>
      </c>
      <c r="L10" s="106">
        <v>1</v>
      </c>
      <c r="M10" s="106">
        <v>1</v>
      </c>
      <c r="N10" s="106">
        <v>1</v>
      </c>
      <c r="O10" s="106">
        <v>1</v>
      </c>
      <c r="P10" s="106">
        <v>1</v>
      </c>
      <c r="Q10" s="106">
        <v>1</v>
      </c>
      <c r="R10" s="106">
        <v>1</v>
      </c>
      <c r="S10" s="106">
        <v>1</v>
      </c>
      <c r="T10" s="106">
        <v>1</v>
      </c>
      <c r="U10" s="106">
        <v>0</v>
      </c>
      <c r="V10" s="106">
        <v>1</v>
      </c>
      <c r="W10" s="106">
        <v>0</v>
      </c>
      <c r="X10" s="106">
        <v>0</v>
      </c>
      <c r="Y10" s="106">
        <v>0</v>
      </c>
      <c r="Z10" s="106">
        <v>1</v>
      </c>
      <c r="AA10" s="106">
        <v>1</v>
      </c>
      <c r="AB10" s="106">
        <v>0</v>
      </c>
      <c r="AC10" s="106">
        <v>0</v>
      </c>
      <c r="AD10" s="106">
        <v>1</v>
      </c>
      <c r="AE10" s="106">
        <v>1</v>
      </c>
      <c r="AF10" s="106">
        <v>1</v>
      </c>
      <c r="AG10" s="106">
        <v>0</v>
      </c>
      <c r="AH10" s="106">
        <v>1</v>
      </c>
      <c r="AI10" s="106">
        <v>1</v>
      </c>
      <c r="AJ10" s="106">
        <v>1</v>
      </c>
      <c r="AK10" s="106">
        <v>0</v>
      </c>
      <c r="AL10" s="106">
        <v>1</v>
      </c>
      <c r="AM10" s="106">
        <v>0</v>
      </c>
      <c r="AN10" s="106">
        <v>0</v>
      </c>
      <c r="AO10" s="106">
        <v>0</v>
      </c>
      <c r="AP10" s="106">
        <v>1</v>
      </c>
      <c r="AQ10" s="106">
        <v>0</v>
      </c>
      <c r="AR10" s="106">
        <v>0</v>
      </c>
      <c r="AS10" s="106">
        <v>0</v>
      </c>
      <c r="AT10" s="106">
        <v>1</v>
      </c>
      <c r="AU10" s="106">
        <v>1</v>
      </c>
      <c r="AV10" s="106">
        <v>1</v>
      </c>
      <c r="AW10" s="106">
        <v>0</v>
      </c>
      <c r="AX10" s="106">
        <v>0</v>
      </c>
      <c r="AY10" s="106">
        <v>1</v>
      </c>
      <c r="AZ10" s="106">
        <v>1</v>
      </c>
    </row>
    <row r="11" spans="1:53" x14ac:dyDescent="0.2">
      <c r="B11" s="125">
        <v>2</v>
      </c>
      <c r="C11" s="112" t="s">
        <v>294</v>
      </c>
      <c r="D11" s="106">
        <v>11</v>
      </c>
      <c r="E11" s="106">
        <v>0</v>
      </c>
      <c r="F11" s="106">
        <v>0</v>
      </c>
      <c r="I11" s="106">
        <v>0</v>
      </c>
      <c r="J11" s="106">
        <v>0</v>
      </c>
      <c r="K11" s="106">
        <v>0</v>
      </c>
      <c r="L11" s="106">
        <v>0</v>
      </c>
      <c r="R11" s="106">
        <v>0</v>
      </c>
      <c r="V11" s="106">
        <v>1</v>
      </c>
      <c r="X11" s="106">
        <v>1</v>
      </c>
      <c r="Y11" s="106">
        <v>1</v>
      </c>
      <c r="Z11" s="106">
        <v>1</v>
      </c>
      <c r="AC11" s="106">
        <v>1</v>
      </c>
      <c r="AD11" s="106">
        <v>1</v>
      </c>
      <c r="AE11" s="106">
        <v>0</v>
      </c>
      <c r="AF11" s="106">
        <v>0</v>
      </c>
      <c r="AH11" s="106">
        <v>1</v>
      </c>
      <c r="AL11" s="106">
        <v>1</v>
      </c>
      <c r="AM11" s="106">
        <v>0</v>
      </c>
      <c r="AO11" s="106">
        <v>1</v>
      </c>
      <c r="AR11" s="106">
        <v>1</v>
      </c>
      <c r="AS11" s="106">
        <v>1</v>
      </c>
      <c r="AT11" s="106">
        <v>1</v>
      </c>
      <c r="AV11" s="106">
        <v>0</v>
      </c>
      <c r="AW11" s="106">
        <v>0</v>
      </c>
      <c r="AY11" s="106">
        <v>0</v>
      </c>
      <c r="BA11" s="106">
        <v>0</v>
      </c>
    </row>
    <row r="12" spans="1:53" x14ac:dyDescent="0.2">
      <c r="B12" s="126">
        <v>3</v>
      </c>
      <c r="C12" s="112" t="s">
        <v>294</v>
      </c>
      <c r="F12" s="106">
        <v>11</v>
      </c>
      <c r="K12" s="106">
        <v>1</v>
      </c>
      <c r="L12" s="106">
        <v>1</v>
      </c>
      <c r="N12" s="106">
        <v>0</v>
      </c>
      <c r="R12" s="106">
        <v>0</v>
      </c>
      <c r="V12" s="106">
        <v>0</v>
      </c>
      <c r="Z12" s="106">
        <v>0</v>
      </c>
      <c r="AC12" s="106">
        <v>0</v>
      </c>
      <c r="AD12" s="106">
        <v>0</v>
      </c>
      <c r="AJ12" s="106">
        <v>0</v>
      </c>
      <c r="AO12" s="106">
        <v>1</v>
      </c>
      <c r="AQ12" s="106">
        <v>1</v>
      </c>
      <c r="AY12" s="106">
        <v>1</v>
      </c>
    </row>
    <row r="13" spans="1:53" x14ac:dyDescent="0.2">
      <c r="B13" s="126">
        <v>4</v>
      </c>
      <c r="C13" s="112" t="s">
        <v>294</v>
      </c>
    </row>
    <row r="14" spans="1:53" x14ac:dyDescent="0.2">
      <c r="A14" s="121" t="s">
        <v>134</v>
      </c>
      <c r="B14" s="127">
        <v>1</v>
      </c>
      <c r="C14" s="123" t="s">
        <v>294</v>
      </c>
      <c r="D14" s="123">
        <v>3381.3284558561354</v>
      </c>
      <c r="E14" s="123">
        <f t="shared" ref="E14:AZ14" si="0">D$172*SUM(D$122:D$169)</f>
        <v>3533.3866048119899</v>
      </c>
      <c r="F14" s="123">
        <f t="shared" si="0"/>
        <v>3597.0233158838573</v>
      </c>
      <c r="G14" s="123">
        <f t="shared" si="0"/>
        <v>3683.6172160775445</v>
      </c>
      <c r="H14" s="123">
        <f t="shared" si="0"/>
        <v>3730.6112680945694</v>
      </c>
      <c r="I14" s="123">
        <f t="shared" si="0"/>
        <v>3619.4616561812413</v>
      </c>
      <c r="J14" s="123">
        <f t="shared" si="0"/>
        <v>3506.4254203298765</v>
      </c>
      <c r="K14" s="123">
        <f t="shared" si="0"/>
        <v>3415.4864681561553</v>
      </c>
      <c r="L14" s="123">
        <f t="shared" si="0"/>
        <v>3357.3037167011912</v>
      </c>
      <c r="M14" s="123">
        <f t="shared" si="0"/>
        <v>3317.2379441718494</v>
      </c>
      <c r="N14" s="123">
        <f t="shared" si="0"/>
        <v>3370.5520334870707</v>
      </c>
      <c r="O14" s="123">
        <f t="shared" si="0"/>
        <v>3395.1926367770338</v>
      </c>
      <c r="P14" s="123">
        <f t="shared" si="0"/>
        <v>3411.6701153204313</v>
      </c>
      <c r="Q14" s="123">
        <f t="shared" si="0"/>
        <v>3552.8848114765565</v>
      </c>
      <c r="R14" s="123">
        <f t="shared" si="0"/>
        <v>3643.9170291902328</v>
      </c>
      <c r="S14" s="123">
        <f t="shared" si="0"/>
        <v>3696.934663721705</v>
      </c>
      <c r="T14" s="123">
        <f t="shared" si="0"/>
        <v>3740.8591170076006</v>
      </c>
      <c r="U14" s="123">
        <f t="shared" si="0"/>
        <v>3661.8635030379282</v>
      </c>
      <c r="V14" s="123">
        <f t="shared" si="0"/>
        <v>3535.4972420169534</v>
      </c>
      <c r="W14" s="123">
        <f t="shared" si="0"/>
        <v>3470.7018400078787</v>
      </c>
      <c r="X14" s="123">
        <f t="shared" si="0"/>
        <v>3433.2804600844593</v>
      </c>
      <c r="Y14" s="123">
        <f t="shared" si="0"/>
        <v>3406.8258435712892</v>
      </c>
      <c r="Z14" s="123">
        <f t="shared" si="0"/>
        <v>3295.6171081558159</v>
      </c>
      <c r="AA14" s="123">
        <f t="shared" si="0"/>
        <v>3237.6187348554326</v>
      </c>
      <c r="AB14" s="123">
        <f t="shared" si="0"/>
        <v>3186.174627026081</v>
      </c>
      <c r="AC14" s="123">
        <f t="shared" si="0"/>
        <v>3274.3728963318367</v>
      </c>
      <c r="AD14" s="123">
        <f t="shared" si="0"/>
        <v>3202.5621951083299</v>
      </c>
      <c r="AE14" s="123">
        <f t="shared" si="0"/>
        <v>3164.7944160438988</v>
      </c>
      <c r="AF14" s="123">
        <f t="shared" si="0"/>
        <v>3055.5783653877638</v>
      </c>
      <c r="AG14" s="123">
        <f t="shared" si="0"/>
        <v>2903.4027354705336</v>
      </c>
      <c r="AH14" s="123">
        <f t="shared" si="0"/>
        <v>3066.8878009605296</v>
      </c>
      <c r="AI14" s="123">
        <f t="shared" si="0"/>
        <v>3189.534604006054</v>
      </c>
      <c r="AJ14" s="123">
        <f t="shared" si="0"/>
        <v>3278.018687478354</v>
      </c>
      <c r="AK14" s="123">
        <f t="shared" si="0"/>
        <v>3338.0578250711483</v>
      </c>
      <c r="AL14" s="123">
        <f t="shared" si="0"/>
        <v>3381.2865747154483</v>
      </c>
      <c r="AM14" s="123">
        <f t="shared" si="0"/>
        <v>3407.1569344253244</v>
      </c>
      <c r="AN14" s="123">
        <f t="shared" si="0"/>
        <v>3420.8353022487936</v>
      </c>
      <c r="AO14" s="123">
        <f t="shared" si="0"/>
        <v>3571.6986639492866</v>
      </c>
      <c r="AP14" s="123">
        <f t="shared" si="0"/>
        <v>3631.7165096253589</v>
      </c>
      <c r="AQ14" s="123">
        <f t="shared" si="0"/>
        <v>3643.9746628429343</v>
      </c>
      <c r="AR14" s="123">
        <f t="shared" si="0"/>
        <v>3687.0618504785739</v>
      </c>
      <c r="AS14" s="123">
        <f t="shared" si="0"/>
        <v>3558.7131203533982</v>
      </c>
      <c r="AT14" s="123">
        <f t="shared" si="0"/>
        <v>3453.0435514557685</v>
      </c>
      <c r="AU14" s="123">
        <f t="shared" si="0"/>
        <v>3345.6305640427308</v>
      </c>
      <c r="AV14" s="123">
        <f t="shared" si="0"/>
        <v>3309.0552353372204</v>
      </c>
      <c r="AW14" s="123">
        <f t="shared" si="0"/>
        <v>3262.503198750916</v>
      </c>
      <c r="AX14" s="123">
        <f t="shared" si="0"/>
        <v>3302.8552715122437</v>
      </c>
      <c r="AY14" s="123">
        <f t="shared" si="0"/>
        <v>3343.4407977878432</v>
      </c>
      <c r="AZ14" s="116">
        <f t="shared" si="0"/>
        <v>3362.3835970574669</v>
      </c>
      <c r="BA14" s="113">
        <f>SUM($E14:$AZ14)</f>
        <v>163954.70873658647</v>
      </c>
    </row>
    <row r="15" spans="1:53" x14ac:dyDescent="0.2">
      <c r="A15" s="128" t="s">
        <v>123</v>
      </c>
      <c r="B15" s="129">
        <v>1</v>
      </c>
      <c r="C15" s="130" t="s">
        <v>294</v>
      </c>
      <c r="D15" s="130">
        <v>4206.6256371573927</v>
      </c>
      <c r="E15" s="130">
        <v>4206.6256371573927</v>
      </c>
      <c r="F15" s="130">
        <v>4206.6256371573927</v>
      </c>
      <c r="G15" s="130">
        <v>4206.6256371573927</v>
      </c>
      <c r="H15" s="130">
        <v>3739.222788584349</v>
      </c>
      <c r="I15" s="130">
        <v>3739.222788584349</v>
      </c>
      <c r="J15" s="130">
        <v>3739.222788584349</v>
      </c>
      <c r="K15" s="130">
        <v>3739.222788584349</v>
      </c>
      <c r="L15" s="130">
        <v>3739.222788584349</v>
      </c>
      <c r="M15" s="130">
        <v>3739.222788584349</v>
      </c>
      <c r="N15" s="130">
        <v>3739.222788584349</v>
      </c>
      <c r="O15" s="130">
        <v>3739.222788584349</v>
      </c>
      <c r="P15" s="130">
        <v>4206.6256371573927</v>
      </c>
      <c r="Q15" s="130">
        <v>4206.6256371573927</v>
      </c>
      <c r="R15" s="130">
        <v>4206.6256371573927</v>
      </c>
      <c r="S15" s="130">
        <v>4206.6256371573927</v>
      </c>
      <c r="T15" s="130">
        <v>3739.222788584349</v>
      </c>
      <c r="U15" s="130">
        <v>3739.222788584349</v>
      </c>
      <c r="V15" s="130">
        <v>3739.222788584349</v>
      </c>
      <c r="W15" s="130">
        <v>3739.222788584349</v>
      </c>
      <c r="X15" s="130">
        <v>3739.222788584349</v>
      </c>
      <c r="Y15" s="130">
        <v>3739.222788584349</v>
      </c>
      <c r="Z15" s="130">
        <v>3739.222788584349</v>
      </c>
      <c r="AA15" s="130">
        <v>3739.222788584349</v>
      </c>
      <c r="AB15" s="130">
        <v>4206.6256371573927</v>
      </c>
      <c r="AC15" s="130">
        <v>4206.6256371573927</v>
      </c>
      <c r="AD15" s="130">
        <v>4206.6256371573927</v>
      </c>
      <c r="AE15" s="130">
        <v>4206.6256371573927</v>
      </c>
      <c r="AF15" s="130">
        <v>3739.222788584349</v>
      </c>
      <c r="AG15" s="130">
        <v>3739.222788584349</v>
      </c>
      <c r="AH15" s="130">
        <v>3739.222788584349</v>
      </c>
      <c r="AI15" s="130">
        <v>3739.222788584349</v>
      </c>
      <c r="AJ15" s="130">
        <v>3739.222788584349</v>
      </c>
      <c r="AK15" s="130">
        <v>3739.222788584349</v>
      </c>
      <c r="AL15" s="130">
        <v>3739.222788584349</v>
      </c>
      <c r="AM15" s="130">
        <v>3739.222788584349</v>
      </c>
      <c r="AN15" s="130">
        <v>4206.6256371573927</v>
      </c>
      <c r="AO15" s="130">
        <v>4206.6256371573927</v>
      </c>
      <c r="AP15" s="130">
        <v>4206.6256371573927</v>
      </c>
      <c r="AQ15" s="130">
        <v>4206.6256371573927</v>
      </c>
      <c r="AR15" s="130">
        <v>3739.222788584349</v>
      </c>
      <c r="AS15" s="130">
        <v>3739.222788584349</v>
      </c>
      <c r="AT15" s="130">
        <v>3739.222788584349</v>
      </c>
      <c r="AU15" s="130">
        <v>3739.222788584349</v>
      </c>
      <c r="AV15" s="130">
        <v>3739.222788584349</v>
      </c>
      <c r="AW15" s="130">
        <v>3739.222788584349</v>
      </c>
      <c r="AX15" s="130">
        <v>3739.222788584349</v>
      </c>
      <c r="AY15" s="130">
        <v>3739.222788584349</v>
      </c>
      <c r="AZ15" s="106">
        <v>0</v>
      </c>
    </row>
    <row r="16" spans="1:53" x14ac:dyDescent="0.2">
      <c r="A16" s="116"/>
      <c r="B16" s="125">
        <v>2</v>
      </c>
      <c r="C16" s="115" t="s">
        <v>294</v>
      </c>
      <c r="D16" s="112">
        <v>0</v>
      </c>
      <c r="E16" s="116">
        <v>0</v>
      </c>
      <c r="F16" s="116">
        <v>0</v>
      </c>
      <c r="G16" s="116"/>
      <c r="H16" s="116"/>
      <c r="I16" s="116">
        <v>0</v>
      </c>
      <c r="J16" s="116">
        <v>0</v>
      </c>
      <c r="K16" s="116">
        <v>0</v>
      </c>
      <c r="L16" s="116">
        <v>0</v>
      </c>
      <c r="M16" s="116"/>
      <c r="N16" s="116"/>
      <c r="O16" s="116"/>
      <c r="P16" s="116"/>
      <c r="Q16" s="116"/>
      <c r="R16" s="116">
        <v>0</v>
      </c>
      <c r="S16" s="116"/>
      <c r="T16" s="116"/>
      <c r="U16" s="116"/>
      <c r="V16" s="116">
        <v>0</v>
      </c>
      <c r="W16" s="116"/>
      <c r="X16" s="116">
        <v>0</v>
      </c>
      <c r="Y16" s="116">
        <v>0</v>
      </c>
      <c r="Z16" s="116">
        <v>0</v>
      </c>
      <c r="AA16" s="116"/>
      <c r="AB16" s="116"/>
      <c r="AC16" s="116">
        <v>0</v>
      </c>
      <c r="AD16" s="116">
        <v>0</v>
      </c>
      <c r="AE16" s="116">
        <v>0</v>
      </c>
      <c r="AF16" s="116">
        <v>0</v>
      </c>
      <c r="AG16" s="116"/>
      <c r="AH16" s="116">
        <v>0</v>
      </c>
      <c r="AI16" s="116"/>
      <c r="AJ16" s="116"/>
      <c r="AK16" s="116"/>
      <c r="AL16" s="116">
        <v>0</v>
      </c>
      <c r="AM16" s="116">
        <v>0</v>
      </c>
      <c r="AN16" s="116"/>
      <c r="AO16" s="116">
        <v>0</v>
      </c>
      <c r="AP16" s="116"/>
      <c r="AQ16" s="116"/>
      <c r="AR16" s="116">
        <v>0</v>
      </c>
      <c r="AS16" s="116">
        <v>0</v>
      </c>
      <c r="AT16" s="116">
        <v>0</v>
      </c>
      <c r="AU16" s="116"/>
      <c r="AV16" s="116">
        <v>0</v>
      </c>
      <c r="AW16" s="116">
        <v>0</v>
      </c>
      <c r="AX16" s="116"/>
      <c r="AY16" s="116">
        <v>0</v>
      </c>
      <c r="BA16" s="106">
        <v>0</v>
      </c>
    </row>
    <row r="17" spans="1:51" x14ac:dyDescent="0.2">
      <c r="A17" s="116"/>
      <c r="B17" s="125">
        <v>3</v>
      </c>
      <c r="C17" s="115" t="s">
        <v>294</v>
      </c>
      <c r="D17" s="112"/>
      <c r="E17" s="116"/>
      <c r="F17" s="116">
        <v>0</v>
      </c>
      <c r="G17" s="116"/>
      <c r="H17" s="116"/>
      <c r="I17" s="116"/>
      <c r="J17" s="116"/>
      <c r="K17" s="116">
        <v>0</v>
      </c>
      <c r="L17" s="116">
        <v>0</v>
      </c>
      <c r="M17" s="116"/>
      <c r="N17" s="116">
        <v>0</v>
      </c>
      <c r="O17" s="116"/>
      <c r="P17" s="116"/>
      <c r="Q17" s="116"/>
      <c r="R17" s="116">
        <v>0</v>
      </c>
      <c r="S17" s="116"/>
      <c r="T17" s="116"/>
      <c r="U17" s="116"/>
      <c r="V17" s="116">
        <v>0</v>
      </c>
      <c r="W17" s="116"/>
      <c r="X17" s="116"/>
      <c r="Y17" s="116"/>
      <c r="Z17" s="116">
        <v>0</v>
      </c>
      <c r="AA17" s="116"/>
      <c r="AB17" s="116"/>
      <c r="AC17" s="116">
        <v>0</v>
      </c>
      <c r="AD17" s="116">
        <v>0</v>
      </c>
      <c r="AE17" s="116"/>
      <c r="AF17" s="116"/>
      <c r="AG17" s="116"/>
      <c r="AH17" s="116"/>
      <c r="AI17" s="116"/>
      <c r="AJ17" s="116">
        <v>0</v>
      </c>
      <c r="AK17" s="116"/>
      <c r="AL17" s="116"/>
      <c r="AM17" s="116"/>
      <c r="AN17" s="116"/>
      <c r="AO17" s="116">
        <v>0</v>
      </c>
      <c r="AP17" s="116"/>
      <c r="AQ17" s="116">
        <v>0</v>
      </c>
      <c r="AR17" s="116"/>
      <c r="AS17" s="116"/>
      <c r="AT17" s="116"/>
      <c r="AU17" s="116"/>
      <c r="AV17" s="116"/>
      <c r="AW17" s="116"/>
      <c r="AX17" s="116"/>
      <c r="AY17" s="116">
        <v>0</v>
      </c>
    </row>
    <row r="18" spans="1:51" x14ac:dyDescent="0.2">
      <c r="A18" s="131"/>
      <c r="B18" s="122">
        <v>4</v>
      </c>
      <c r="C18" s="131" t="s">
        <v>294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295</v>
      </c>
    </row>
    <row r="21" spans="1:51" x14ac:dyDescent="0.2">
      <c r="A21" s="132" t="s">
        <v>125</v>
      </c>
      <c r="B21" s="129">
        <v>1</v>
      </c>
      <c r="C21" s="130" t="s">
        <v>294</v>
      </c>
      <c r="D21" s="130">
        <v>2280.9869029405559</v>
      </c>
      <c r="E21" s="130">
        <v>2343.9955509922779</v>
      </c>
      <c r="F21" s="130">
        <v>2598.2713629794334</v>
      </c>
      <c r="G21" s="130">
        <v>2882.2645746842886</v>
      </c>
      <c r="H21" s="130">
        <v>2145.367369403451</v>
      </c>
      <c r="I21" s="130">
        <v>2064.3355418161245</v>
      </c>
      <c r="J21" s="130">
        <v>1979.6975191544991</v>
      </c>
      <c r="K21" s="130">
        <v>1890.4107015234515</v>
      </c>
      <c r="L21" s="130">
        <v>1781.8497105614879</v>
      </c>
      <c r="M21" s="130">
        <v>1850.6438778879269</v>
      </c>
      <c r="N21" s="130">
        <v>1789.2505733169285</v>
      </c>
      <c r="O21" s="130">
        <v>1677.1956550224984</v>
      </c>
      <c r="P21" s="130">
        <v>2516.8107012916394</v>
      </c>
      <c r="Q21" s="130">
        <v>2648.7594907187199</v>
      </c>
      <c r="R21" s="130">
        <v>2830.201292933782</v>
      </c>
      <c r="S21" s="130">
        <v>3107.4679694925876</v>
      </c>
      <c r="T21" s="130">
        <v>2441.7580016333754</v>
      </c>
      <c r="U21" s="130">
        <v>2337.8668817963553</v>
      </c>
      <c r="V21" s="130">
        <v>2316.6723711718541</v>
      </c>
      <c r="W21" s="130">
        <v>2284.8588802264353</v>
      </c>
      <c r="X21" s="130">
        <v>2240.9249949452928</v>
      </c>
      <c r="Y21" s="130">
        <v>1925.6296440300632</v>
      </c>
      <c r="Z21" s="130">
        <v>1583.2924821773454</v>
      </c>
      <c r="AA21" s="130">
        <v>1160.8409310364909</v>
      </c>
      <c r="AB21" s="130">
        <v>1677.4608528203701</v>
      </c>
      <c r="AC21" s="130">
        <v>1163.6450458462307</v>
      </c>
      <c r="AD21" s="130">
        <v>741.2286724739314</v>
      </c>
      <c r="AE21" s="130">
        <v>182.53419967660292</v>
      </c>
      <c r="AF21" s="130"/>
      <c r="AG21" s="130"/>
      <c r="AH21" s="130"/>
      <c r="AI21" s="130"/>
      <c r="AJ21" s="130"/>
      <c r="AK21" s="130"/>
      <c r="AL21" s="130"/>
      <c r="AM21" s="130"/>
      <c r="AN21" s="130">
        <v>1127.7693394867752</v>
      </c>
      <c r="AO21" s="130">
        <v>1705.1214030658703</v>
      </c>
      <c r="AP21" s="130">
        <v>2170.8103248055795</v>
      </c>
      <c r="AQ21" s="130">
        <v>2696.9479246950186</v>
      </c>
      <c r="AR21" s="130">
        <v>2094.9812664013907</v>
      </c>
      <c r="AS21" s="130">
        <v>2010.2334006419321</v>
      </c>
      <c r="AT21" s="130">
        <v>1806.2238869819482</v>
      </c>
      <c r="AU21" s="130">
        <v>1680.9199495699877</v>
      </c>
      <c r="AV21" s="130">
        <v>1487.8317701926087</v>
      </c>
      <c r="AW21" s="130">
        <v>1460.3501032896695</v>
      </c>
      <c r="AX21" s="130">
        <v>1367.7525170177673</v>
      </c>
      <c r="AY21" s="130">
        <v>1213.5670367991206</v>
      </c>
    </row>
    <row r="22" spans="1:51" x14ac:dyDescent="0.2">
      <c r="A22" s="115"/>
      <c r="B22" s="126">
        <v>2</v>
      </c>
      <c r="C22" s="116" t="s">
        <v>294</v>
      </c>
      <c r="D22" s="116">
        <v>6948.1597658757719</v>
      </c>
      <c r="E22" s="116">
        <v>6694.5000823553437</v>
      </c>
      <c r="F22" s="116">
        <v>6504.4914343036216</v>
      </c>
      <c r="G22" s="116">
        <v>6389.2156223164666</v>
      </c>
      <c r="H22" s="116">
        <v>6067.2224106116118</v>
      </c>
      <c r="I22" s="116">
        <v>5710.5996158924481</v>
      </c>
      <c r="J22" s="116">
        <v>5810.631443479775</v>
      </c>
      <c r="K22" s="116">
        <v>5841.2694661414007</v>
      </c>
      <c r="L22" s="116">
        <v>5846.5562837724483</v>
      </c>
      <c r="M22" s="116">
        <v>6274.1172747344117</v>
      </c>
      <c r="N22" s="116">
        <v>6237.3231074079722</v>
      </c>
      <c r="O22" s="116">
        <v>6369.7164119789713</v>
      </c>
      <c r="P22" s="116">
        <v>6362.771330273401</v>
      </c>
      <c r="Q22" s="116">
        <v>6657.6762840042611</v>
      </c>
      <c r="R22" s="116">
        <v>6468.7274945771806</v>
      </c>
      <c r="S22" s="116">
        <v>6204.2856923621184</v>
      </c>
      <c r="T22" s="116">
        <v>5973.0190158033129</v>
      </c>
      <c r="U22" s="116">
        <v>5542.2089836625237</v>
      </c>
      <c r="V22" s="116">
        <v>5649.1001034995443</v>
      </c>
      <c r="W22" s="116">
        <v>5708.2946141240454</v>
      </c>
      <c r="X22" s="116">
        <v>5649.1081050694647</v>
      </c>
      <c r="Y22" s="116">
        <v>5506.0419903506063</v>
      </c>
      <c r="Z22" s="116">
        <v>5968.3373412658366</v>
      </c>
      <c r="AA22" s="116">
        <v>6484.6745031185546</v>
      </c>
      <c r="AB22" s="116">
        <v>6521.1260542594082</v>
      </c>
      <c r="AC22" s="116">
        <v>7640.0261324755302</v>
      </c>
      <c r="AD22" s="116">
        <v>8110.8419394496686</v>
      </c>
      <c r="AE22" s="116">
        <v>8592.2583128219685</v>
      </c>
      <c r="AF22" s="116">
        <v>7923.0283489706435</v>
      </c>
      <c r="AG22" s="116">
        <v>7479.7031493375671</v>
      </c>
      <c r="AH22" s="116">
        <v>7548.9453535798912</v>
      </c>
      <c r="AI22" s="116">
        <v>7716.2656871653526</v>
      </c>
      <c r="AJ22" s="116">
        <v>7893.7310158372939</v>
      </c>
      <c r="AK22" s="116">
        <v>8122.8863085018511</v>
      </c>
      <c r="AL22" s="116">
        <v>8279.4588041944116</v>
      </c>
      <c r="AM22" s="116">
        <v>8467.649226322952</v>
      </c>
      <c r="AN22" s="116">
        <v>8487.2847442688471</v>
      </c>
      <c r="AO22" s="116">
        <v>7843.7176458091253</v>
      </c>
      <c r="AP22" s="116">
        <v>7190.3655822300298</v>
      </c>
      <c r="AQ22" s="116">
        <v>6699.3708521570334</v>
      </c>
      <c r="AR22" s="116">
        <v>6057.4512953011663</v>
      </c>
      <c r="AS22" s="116">
        <v>6190.9857188945089</v>
      </c>
      <c r="AT22" s="116">
        <v>6340.7335846539672</v>
      </c>
      <c r="AU22" s="116">
        <v>6484.7430983139511</v>
      </c>
      <c r="AV22" s="116">
        <v>6638.0470357259119</v>
      </c>
      <c r="AW22" s="116">
        <v>6933.1352151032906</v>
      </c>
      <c r="AX22" s="116">
        <v>6931.6168820062303</v>
      </c>
      <c r="AY22" s="116">
        <v>7079.2144682781327</v>
      </c>
    </row>
    <row r="23" spans="1:51" x14ac:dyDescent="0.2">
      <c r="A23" s="115"/>
      <c r="B23" s="133">
        <v>3</v>
      </c>
      <c r="C23" s="116" t="s">
        <v>294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995.92443664865277</v>
      </c>
      <c r="AH23" s="116">
        <v>941.26383595833249</v>
      </c>
      <c r="AI23" s="116">
        <v>845.02163171600841</v>
      </c>
      <c r="AJ23" s="116">
        <v>638.701298130547</v>
      </c>
      <c r="AK23" s="116">
        <v>452.23596945860572</v>
      </c>
      <c r="AL23" s="116">
        <v>211.08067679404849</v>
      </c>
      <c r="AM23" s="116">
        <v>49.508181101487935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1" x14ac:dyDescent="0.2">
      <c r="A24" s="134"/>
      <c r="B24" s="135">
        <v>4</v>
      </c>
      <c r="C24" s="134" t="s">
        <v>294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294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294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294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294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294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/>
      <c r="AG29" s="116"/>
      <c r="AH29" s="116"/>
      <c r="AI29" s="116"/>
      <c r="AJ29" s="116"/>
      <c r="AK29" s="116"/>
      <c r="AL29" s="116"/>
      <c r="AM29" s="116"/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1" x14ac:dyDescent="0.2">
      <c r="A30" s="115"/>
      <c r="B30" s="133">
        <v>6</v>
      </c>
      <c r="C30" s="115" t="s">
        <v>294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1" x14ac:dyDescent="0.2">
      <c r="A31" s="115"/>
      <c r="B31" s="136">
        <v>7</v>
      </c>
      <c r="C31" s="115" t="s">
        <v>294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1" x14ac:dyDescent="0.2">
      <c r="A32" s="134"/>
      <c r="B32" s="135">
        <v>8</v>
      </c>
      <c r="C32" s="134" t="s">
        <v>294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294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294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294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294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294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294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294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294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294</v>
      </c>
      <c r="D41" s="112">
        <v>891.23666550226915</v>
      </c>
      <c r="E41" s="112">
        <v>888.0358975956334</v>
      </c>
      <c r="F41" s="112">
        <v>954.09432182835019</v>
      </c>
      <c r="G41" s="112">
        <v>1031.7202869379266</v>
      </c>
      <c r="H41" s="112">
        <v>830.17721438948888</v>
      </c>
      <c r="I41" s="112">
        <v>787.49569745266615</v>
      </c>
      <c r="J41" s="112">
        <v>763.85560330563635</v>
      </c>
      <c r="K41" s="112">
        <v>737.25591637827688</v>
      </c>
      <c r="L41" s="112">
        <v>699.77261709250513</v>
      </c>
      <c r="M41" s="112">
        <v>759.47332894236274</v>
      </c>
      <c r="N41" s="112">
        <v>747.50298591979629</v>
      </c>
      <c r="O41" s="112">
        <v>717.55754698274302</v>
      </c>
      <c r="P41" s="112">
        <v>990.27108052361712</v>
      </c>
      <c r="Q41" s="112">
        <v>1011.1371167803553</v>
      </c>
      <c r="R41" s="112">
        <v>1046.6596403690355</v>
      </c>
      <c r="S41" s="112">
        <v>1119.3934892797186</v>
      </c>
      <c r="T41" s="112">
        <v>952.12016819212852</v>
      </c>
      <c r="U41" s="112">
        <v>900.73060000834232</v>
      </c>
      <c r="V41" s="112">
        <v>906.90995504534487</v>
      </c>
      <c r="W41" s="112">
        <v>900.99486553987163</v>
      </c>
      <c r="X41" s="112">
        <v>887.95890262832381</v>
      </c>
      <c r="Y41" s="112">
        <v>794.60703234837035</v>
      </c>
      <c r="Z41" s="112">
        <v>670.08229507126555</v>
      </c>
      <c r="AA41" s="112">
        <v>498.44013157598556</v>
      </c>
      <c r="AB41" s="112">
        <v>661.8312860027188</v>
      </c>
      <c r="AC41" s="112">
        <v>449.41361312665742</v>
      </c>
      <c r="AD41" s="112">
        <v>276.39250376017759</v>
      </c>
      <c r="AE41" s="112">
        <v>66.816711731443704</v>
      </c>
      <c r="AF41" s="112"/>
      <c r="AG41" s="112"/>
      <c r="AH41" s="112"/>
      <c r="AI41" s="112"/>
      <c r="AJ41" s="112"/>
      <c r="AK41" s="112"/>
      <c r="AL41" s="112"/>
      <c r="AM41" s="112"/>
      <c r="AN41" s="112">
        <v>363.44379317585441</v>
      </c>
      <c r="AO41" s="112">
        <v>522.13900136638756</v>
      </c>
      <c r="AP41" s="112">
        <v>710.96784412119644</v>
      </c>
      <c r="AQ41" s="112">
        <v>918.58628929967597</v>
      </c>
      <c r="AR41" s="112">
        <v>797.60906782905784</v>
      </c>
      <c r="AS41" s="112">
        <v>779.36133143042161</v>
      </c>
      <c r="AT41" s="112">
        <v>709.33612061609108</v>
      </c>
      <c r="AU41" s="112">
        <v>665.17770302395922</v>
      </c>
      <c r="AV41" s="112">
        <v>591.13205102577683</v>
      </c>
      <c r="AW41" s="112">
        <v>605.8014533302719</v>
      </c>
      <c r="AX41" s="112">
        <v>576.92316423723821</v>
      </c>
      <c r="AY41" s="112">
        <v>513.61492341487713</v>
      </c>
    </row>
    <row r="42" spans="1:51" x14ac:dyDescent="0.2">
      <c r="A42" s="115"/>
      <c r="B42" s="136">
        <v>10</v>
      </c>
      <c r="C42" s="115" t="s">
        <v>294</v>
      </c>
      <c r="D42" s="112">
        <v>2072.3922270163616</v>
      </c>
      <c r="E42" s="112">
        <v>2538.2374360967665</v>
      </c>
      <c r="F42" s="112">
        <v>2457.9020418034243</v>
      </c>
      <c r="G42" s="112">
        <v>2249.169509032542</v>
      </c>
      <c r="H42" s="112">
        <v>2031.0231987629127</v>
      </c>
      <c r="I42" s="112">
        <v>2073.3593143668791</v>
      </c>
      <c r="J42" s="112">
        <v>2059.0052079403404</v>
      </c>
      <c r="K42" s="112">
        <v>2219.2536898371145</v>
      </c>
      <c r="L42" s="112">
        <v>2160.2124739292176</v>
      </c>
      <c r="M42" s="112">
        <v>1942.1563852117176</v>
      </c>
      <c r="N42" s="112">
        <v>1661.7134445036909</v>
      </c>
      <c r="O42" s="112">
        <v>1997.3205000320884</v>
      </c>
      <c r="P42" s="112">
        <v>1982.8598278249601</v>
      </c>
      <c r="Q42" s="112">
        <v>1781.1406441919569</v>
      </c>
      <c r="R42" s="112">
        <v>1853.1248842284722</v>
      </c>
      <c r="S42" s="112">
        <v>1428.5660886028163</v>
      </c>
      <c r="T42" s="112">
        <v>1408.8933695014371</v>
      </c>
      <c r="U42" s="112">
        <v>1892.9837886051014</v>
      </c>
      <c r="V42" s="112">
        <v>2002.5073441635072</v>
      </c>
      <c r="W42" s="112">
        <v>2067.2427428935534</v>
      </c>
      <c r="X42" s="112">
        <v>2083.1977712371622</v>
      </c>
      <c r="Y42" s="112">
        <v>1683.5113182330047</v>
      </c>
      <c r="Z42" s="112">
        <v>1933.0779028905622</v>
      </c>
      <c r="AA42" s="112">
        <v>2200.4352600887241</v>
      </c>
      <c r="AB42" s="112">
        <v>2423.2946349206422</v>
      </c>
      <c r="AC42" s="112">
        <v>2583.0278310048816</v>
      </c>
      <c r="AD42" s="112">
        <v>2656.2502730530332</v>
      </c>
      <c r="AE42" s="112">
        <v>2715.7060782902768</v>
      </c>
      <c r="AF42" s="112">
        <v>2539.7621217737237</v>
      </c>
      <c r="AG42" s="112">
        <v>2626.1624794392214</v>
      </c>
      <c r="AH42" s="112">
        <v>2551.9805843420281</v>
      </c>
      <c r="AI42" s="112">
        <v>2692.1039148528862</v>
      </c>
      <c r="AJ42" s="112">
        <v>2544.3578275594814</v>
      </c>
      <c r="AK42" s="112">
        <v>2537.6678827669843</v>
      </c>
      <c r="AL42" s="112">
        <v>2652.6502928917912</v>
      </c>
      <c r="AM42" s="112">
        <v>2488.2339569130586</v>
      </c>
      <c r="AN42" s="112">
        <v>2486.6147455218161</v>
      </c>
      <c r="AO42" s="112">
        <v>2089.1345722119095</v>
      </c>
      <c r="AP42" s="112">
        <v>1770.8644052450854</v>
      </c>
      <c r="AQ42" s="112">
        <v>1810.7201226768125</v>
      </c>
      <c r="AR42" s="112">
        <v>1525.7484850641292</v>
      </c>
      <c r="AS42" s="112">
        <v>1864.209916385201</v>
      </c>
      <c r="AT42" s="112">
        <v>1842.496805653207</v>
      </c>
      <c r="AU42" s="112">
        <v>1963.5518852263697</v>
      </c>
      <c r="AV42" s="112">
        <v>2019.7795458667742</v>
      </c>
      <c r="AW42" s="112">
        <v>1428.503500289019</v>
      </c>
      <c r="AX42" s="112">
        <v>1811.8972106190149</v>
      </c>
      <c r="AY42" s="112">
        <v>1656.7933453881205</v>
      </c>
    </row>
    <row r="43" spans="1:51" x14ac:dyDescent="0.2">
      <c r="A43" s="115"/>
      <c r="B43" s="136">
        <v>11</v>
      </c>
      <c r="C43" s="115" t="s">
        <v>294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294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294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294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294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294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294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294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294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294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294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294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294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294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294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294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294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294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294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294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294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294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294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294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294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294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294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294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294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294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294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294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294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294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294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294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294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294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294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294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294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294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294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294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294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294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/>
      <c r="AG89" s="116"/>
      <c r="AH89" s="116"/>
      <c r="AI89" s="116"/>
      <c r="AJ89" s="116"/>
      <c r="AK89" s="116"/>
      <c r="AL89" s="116"/>
      <c r="AM89" s="116"/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294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294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294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536197.93054408068</v>
      </c>
    </row>
    <row r="94" spans="1:52" x14ac:dyDescent="0.2">
      <c r="A94" s="108" t="s">
        <v>296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7118.1597658757719</v>
      </c>
      <c r="D95" s="116">
        <v>7200.5000823553437</v>
      </c>
      <c r="E95" s="116">
        <v>7137.4914343036216</v>
      </c>
      <c r="F95" s="116">
        <v>6883.2156223164666</v>
      </c>
      <c r="G95" s="116">
        <v>6599.2224106116118</v>
      </c>
      <c r="H95" s="116">
        <v>6464.5996158924481</v>
      </c>
      <c r="I95" s="116">
        <v>6545.631443479775</v>
      </c>
      <c r="J95" s="116">
        <v>6630.2694661414007</v>
      </c>
      <c r="K95" s="116">
        <v>6719.5562837724483</v>
      </c>
      <c r="L95" s="116">
        <v>6828.1172747344117</v>
      </c>
      <c r="M95" s="116">
        <v>6759.3231074079722</v>
      </c>
      <c r="N95" s="116">
        <v>6820.7164119789713</v>
      </c>
      <c r="O95" s="116">
        <v>6932.771330273401</v>
      </c>
      <c r="P95" s="116">
        <v>6964.6762840042611</v>
      </c>
      <c r="Q95" s="116">
        <v>6832.7274945771806</v>
      </c>
      <c r="R95" s="116">
        <v>6651.2856923621184</v>
      </c>
      <c r="S95" s="116">
        <v>6374.0190158033129</v>
      </c>
      <c r="T95" s="116">
        <v>6168.2089836625237</v>
      </c>
      <c r="U95" s="116">
        <v>6272.1001034995443</v>
      </c>
      <c r="V95" s="116">
        <v>6293.2946141240454</v>
      </c>
      <c r="W95" s="116">
        <v>6325.1081050694647</v>
      </c>
      <c r="X95" s="116">
        <v>6369.0419903506063</v>
      </c>
      <c r="Y95" s="116">
        <v>6684.3373412658366</v>
      </c>
      <c r="Z95" s="116">
        <v>7026.6745031185546</v>
      </c>
      <c r="AA95" s="116">
        <v>7449.1260542594082</v>
      </c>
      <c r="AB95" s="116">
        <v>7804.0261324755302</v>
      </c>
      <c r="AC95" s="116">
        <v>8317.8419394496686</v>
      </c>
      <c r="AD95" s="116">
        <v>8740.2583128219685</v>
      </c>
      <c r="AE95" s="116">
        <v>9298.9527856192963</v>
      </c>
      <c r="AF95" s="116">
        <v>8609.9669852958996</v>
      </c>
      <c r="AG95" s="116">
        <v>8609.9669852958996</v>
      </c>
      <c r="AH95" s="116">
        <v>8609.9669852958996</v>
      </c>
      <c r="AI95" s="116">
        <v>8609.9669852958996</v>
      </c>
      <c r="AJ95" s="116">
        <v>8609.9669852958996</v>
      </c>
      <c r="AK95" s="116">
        <v>8609.9669852958996</v>
      </c>
      <c r="AL95" s="116">
        <v>8609.9669852958996</v>
      </c>
      <c r="AM95" s="116">
        <v>8609.9669852958996</v>
      </c>
      <c r="AN95" s="116">
        <v>8353.7176458091253</v>
      </c>
      <c r="AO95" s="116">
        <v>7776.3655822300298</v>
      </c>
      <c r="AP95" s="116">
        <v>7193.3708521570334</v>
      </c>
      <c r="AQ95" s="116">
        <v>6667.4512953011663</v>
      </c>
      <c r="AR95" s="116">
        <v>6514.9857188945089</v>
      </c>
      <c r="AS95" s="116">
        <v>6599.7335846539672</v>
      </c>
      <c r="AT95" s="116">
        <v>6803.7430983139511</v>
      </c>
      <c r="AU95" s="116">
        <v>6929.0470357259119</v>
      </c>
      <c r="AV95" s="116">
        <v>7122.1352151032906</v>
      </c>
      <c r="AW95" s="116">
        <v>7149.6168820062303</v>
      </c>
      <c r="AX95" s="116">
        <v>7242.2144682781327</v>
      </c>
      <c r="AY95" s="116">
        <v>7396.399948496779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1203.9244366486528</v>
      </c>
      <c r="AG96" s="116">
        <v>1130.2638359583325</v>
      </c>
      <c r="AH96" s="116">
        <v>1061.0216317160084</v>
      </c>
      <c r="AI96" s="116">
        <v>893.701298130547</v>
      </c>
      <c r="AJ96" s="116">
        <v>716.23596945860572</v>
      </c>
      <c r="AK96" s="116">
        <v>487.08067679404849</v>
      </c>
      <c r="AL96" s="116">
        <v>330.50818110148793</v>
      </c>
      <c r="AM96" s="116">
        <v>142.31775897294756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297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11</v>
      </c>
      <c r="F100" s="112">
        <v>1</v>
      </c>
      <c r="G100" s="112">
        <v>1</v>
      </c>
      <c r="H100" s="112">
        <v>1</v>
      </c>
      <c r="I100" s="112">
        <v>0</v>
      </c>
      <c r="J100" s="112">
        <v>0</v>
      </c>
      <c r="K100" s="112">
        <v>1</v>
      </c>
      <c r="L100" s="112">
        <v>1</v>
      </c>
      <c r="M100" s="112">
        <v>1</v>
      </c>
      <c r="N100" s="112">
        <v>1</v>
      </c>
      <c r="O100" s="112">
        <v>1</v>
      </c>
      <c r="P100" s="112">
        <v>1</v>
      </c>
      <c r="Q100" s="112">
        <v>1</v>
      </c>
      <c r="R100" s="112">
        <v>1</v>
      </c>
      <c r="S100" s="112">
        <v>1</v>
      </c>
      <c r="T100" s="112">
        <v>1</v>
      </c>
      <c r="U100" s="112">
        <v>0</v>
      </c>
      <c r="V100" s="112">
        <v>1</v>
      </c>
      <c r="W100" s="112">
        <v>0</v>
      </c>
      <c r="X100" s="112">
        <v>0</v>
      </c>
      <c r="Y100" s="112">
        <v>0</v>
      </c>
      <c r="Z100" s="112">
        <v>1</v>
      </c>
      <c r="AA100" s="112">
        <v>1</v>
      </c>
      <c r="AB100" s="112">
        <v>0</v>
      </c>
      <c r="AC100" s="112">
        <v>0</v>
      </c>
      <c r="AD100" s="112">
        <v>1</v>
      </c>
      <c r="AE100" s="112">
        <v>1</v>
      </c>
      <c r="AF100" s="112">
        <v>1</v>
      </c>
      <c r="AG100" s="112">
        <v>0</v>
      </c>
      <c r="AH100" s="112">
        <v>1</v>
      </c>
      <c r="AI100" s="112">
        <v>1</v>
      </c>
      <c r="AJ100" s="112">
        <v>1</v>
      </c>
      <c r="AK100" s="112">
        <v>0</v>
      </c>
      <c r="AL100" s="112">
        <v>1</v>
      </c>
      <c r="AM100" s="112">
        <v>0</v>
      </c>
      <c r="AN100" s="112">
        <v>0</v>
      </c>
      <c r="AO100" s="112">
        <v>0</v>
      </c>
      <c r="AP100" s="112">
        <v>1</v>
      </c>
      <c r="AQ100" s="112">
        <v>0</v>
      </c>
      <c r="AR100" s="112">
        <v>0</v>
      </c>
      <c r="AS100" s="112">
        <v>0</v>
      </c>
      <c r="AT100" s="112">
        <v>1</v>
      </c>
      <c r="AU100" s="112">
        <v>1</v>
      </c>
      <c r="AV100" s="112">
        <v>1</v>
      </c>
      <c r="AW100" s="112">
        <v>0</v>
      </c>
      <c r="AX100" s="112">
        <v>0</v>
      </c>
      <c r="AY100" s="112">
        <v>1</v>
      </c>
    </row>
    <row r="101" spans="1:52" x14ac:dyDescent="0.2">
      <c r="A101" s="115"/>
      <c r="B101" s="125">
        <v>2</v>
      </c>
      <c r="C101" s="112">
        <v>11</v>
      </c>
      <c r="D101" s="112">
        <v>11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1</v>
      </c>
      <c r="W101" s="112">
        <v>0</v>
      </c>
      <c r="X101" s="112">
        <v>1</v>
      </c>
      <c r="Y101" s="112">
        <v>1</v>
      </c>
      <c r="Z101" s="112">
        <v>1</v>
      </c>
      <c r="AA101" s="112">
        <v>0</v>
      </c>
      <c r="AB101" s="112">
        <v>0</v>
      </c>
      <c r="AC101" s="112">
        <v>1</v>
      </c>
      <c r="AD101" s="112">
        <v>1</v>
      </c>
      <c r="AE101" s="112">
        <v>0</v>
      </c>
      <c r="AF101" s="112">
        <v>0</v>
      </c>
      <c r="AG101" s="112">
        <v>0</v>
      </c>
      <c r="AH101" s="112">
        <v>1</v>
      </c>
      <c r="AI101" s="112">
        <v>0</v>
      </c>
      <c r="AJ101" s="112">
        <v>0</v>
      </c>
      <c r="AK101" s="112">
        <v>0</v>
      </c>
      <c r="AL101" s="112">
        <v>1</v>
      </c>
      <c r="AM101" s="112">
        <v>0</v>
      </c>
      <c r="AN101" s="112">
        <v>0</v>
      </c>
      <c r="AO101" s="112">
        <v>1</v>
      </c>
      <c r="AP101" s="112">
        <v>0</v>
      </c>
      <c r="AQ101" s="112">
        <v>0</v>
      </c>
      <c r="AR101" s="112">
        <v>1</v>
      </c>
      <c r="AS101" s="112">
        <v>1</v>
      </c>
      <c r="AT101" s="112">
        <v>1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11</v>
      </c>
      <c r="G102" s="112">
        <v>0</v>
      </c>
      <c r="H102" s="112">
        <v>0</v>
      </c>
      <c r="I102" s="112">
        <v>0</v>
      </c>
      <c r="J102" s="112">
        <v>0</v>
      </c>
      <c r="K102" s="112">
        <v>1</v>
      </c>
      <c r="L102" s="112">
        <v>1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1</v>
      </c>
      <c r="AP102" s="112">
        <v>0</v>
      </c>
      <c r="AQ102" s="112">
        <v>1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1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297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3357.8677345697893</v>
      </c>
      <c r="D109" s="112">
        <v>3381.3284558561354</v>
      </c>
      <c r="E109" s="112">
        <v>3533.3866048119899</v>
      </c>
      <c r="F109" s="112">
        <v>3597.0233158838573</v>
      </c>
      <c r="G109" s="112">
        <v>3683.6172160775445</v>
      </c>
      <c r="H109" s="112">
        <v>3730.6112680945694</v>
      </c>
      <c r="I109" s="112">
        <v>3619.4616561812413</v>
      </c>
      <c r="J109" s="112">
        <v>3506.4254203298765</v>
      </c>
      <c r="K109" s="112">
        <v>3415.4864681561553</v>
      </c>
      <c r="L109" s="112">
        <v>3357.3037167011912</v>
      </c>
      <c r="M109" s="112">
        <v>3317.2379441718494</v>
      </c>
      <c r="N109" s="112">
        <v>3370.5520334870707</v>
      </c>
      <c r="O109" s="112">
        <v>3395.1926367770338</v>
      </c>
      <c r="P109" s="112">
        <v>3411.6701153204313</v>
      </c>
      <c r="Q109" s="112">
        <v>3552.8848114765565</v>
      </c>
      <c r="R109" s="112">
        <v>3643.9170291902328</v>
      </c>
      <c r="S109" s="112">
        <v>3696.934663721705</v>
      </c>
      <c r="T109" s="112">
        <v>3740.8591170076006</v>
      </c>
      <c r="U109" s="112">
        <v>3661.8635030379282</v>
      </c>
      <c r="V109" s="112">
        <v>3535.4972420169534</v>
      </c>
      <c r="W109" s="112">
        <v>3470.7018400078787</v>
      </c>
      <c r="X109" s="112">
        <v>3433.2804600844593</v>
      </c>
      <c r="Y109" s="112">
        <v>3406.8258435712892</v>
      </c>
      <c r="Z109" s="112">
        <v>3295.6171081558159</v>
      </c>
      <c r="AA109" s="112">
        <v>3237.6187348554326</v>
      </c>
      <c r="AB109" s="112">
        <v>3186.174627026081</v>
      </c>
      <c r="AC109" s="112">
        <v>3274.3728963318367</v>
      </c>
      <c r="AD109" s="112">
        <v>3202.5621951083299</v>
      </c>
      <c r="AE109" s="112">
        <v>3164.7944160438988</v>
      </c>
      <c r="AF109" s="112">
        <v>3055.5783653877638</v>
      </c>
      <c r="AG109" s="112">
        <v>2903.4027354705336</v>
      </c>
      <c r="AH109" s="112">
        <v>3066.8878009605296</v>
      </c>
      <c r="AI109" s="112">
        <v>3189.534604006054</v>
      </c>
      <c r="AJ109" s="112">
        <v>3278.018687478354</v>
      </c>
      <c r="AK109" s="112">
        <v>3338.0578250711483</v>
      </c>
      <c r="AL109" s="112">
        <v>3381.2865747154483</v>
      </c>
      <c r="AM109" s="112">
        <v>3407.1569344253244</v>
      </c>
      <c r="AN109" s="112">
        <v>3420.8353022487936</v>
      </c>
      <c r="AO109" s="112">
        <v>3571.6986639492866</v>
      </c>
      <c r="AP109" s="112">
        <v>3631.7165096253589</v>
      </c>
      <c r="AQ109" s="112">
        <v>3643.9746628429343</v>
      </c>
      <c r="AR109" s="112">
        <v>3687.0618504785739</v>
      </c>
      <c r="AS109" s="112">
        <v>3558.7131203533982</v>
      </c>
      <c r="AT109" s="112">
        <v>3453.0435514557685</v>
      </c>
      <c r="AU109" s="112">
        <v>3345.6305640427308</v>
      </c>
      <c r="AV109" s="112">
        <v>3309.0552353372204</v>
      </c>
      <c r="AW109" s="112">
        <v>3262.503198750916</v>
      </c>
      <c r="AX109" s="112">
        <v>3302.8552715122437</v>
      </c>
      <c r="AY109" s="112">
        <v>3343.4407977878432</v>
      </c>
    </row>
    <row r="110" spans="1:52" x14ac:dyDescent="0.2">
      <c r="A110" s="115"/>
      <c r="B110" s="125">
        <v>2</v>
      </c>
      <c r="C110" s="112">
        <v>3322.1092931427511</v>
      </c>
      <c r="D110" s="112">
        <v>3357.8677345697893</v>
      </c>
      <c r="E110" s="112">
        <v>3381.3284558561354</v>
      </c>
      <c r="F110" s="112">
        <v>3533.3866048119899</v>
      </c>
      <c r="G110" s="112">
        <v>3597.0233158838573</v>
      </c>
      <c r="H110" s="112">
        <v>3683.6172160775445</v>
      </c>
      <c r="I110" s="112">
        <v>3730.6112680945694</v>
      </c>
      <c r="J110" s="112">
        <v>3619.4616561812413</v>
      </c>
      <c r="K110" s="112">
        <v>3506.4254203298765</v>
      </c>
      <c r="L110" s="112">
        <v>3415.4864681561553</v>
      </c>
      <c r="M110" s="112">
        <v>3357.3037167011912</v>
      </c>
      <c r="N110" s="112">
        <v>3317.2379441718494</v>
      </c>
      <c r="O110" s="112">
        <v>3370.5520334870707</v>
      </c>
      <c r="P110" s="112">
        <v>3395.1926367770338</v>
      </c>
      <c r="Q110" s="112">
        <v>3411.6701153204313</v>
      </c>
      <c r="R110" s="112">
        <v>3552.8848114765565</v>
      </c>
      <c r="S110" s="112">
        <v>3643.9170291902328</v>
      </c>
      <c r="T110" s="112">
        <v>3696.934663721705</v>
      </c>
      <c r="U110" s="112">
        <v>3740.8591170076006</v>
      </c>
      <c r="V110" s="112">
        <v>3661.8635030379282</v>
      </c>
      <c r="W110" s="112">
        <v>3535.4972420169534</v>
      </c>
      <c r="X110" s="112">
        <v>3470.7018400078787</v>
      </c>
      <c r="Y110" s="112">
        <v>3433.2804600844593</v>
      </c>
      <c r="Z110" s="112">
        <v>3406.8258435712892</v>
      </c>
      <c r="AA110" s="112">
        <v>3295.6171081558159</v>
      </c>
      <c r="AB110" s="112">
        <v>3237.6187348554326</v>
      </c>
      <c r="AC110" s="112">
        <v>3186.174627026081</v>
      </c>
      <c r="AD110" s="112">
        <v>3274.3728963318367</v>
      </c>
      <c r="AE110" s="112">
        <v>3202.5621951083299</v>
      </c>
      <c r="AF110" s="112">
        <v>3164.7944160438988</v>
      </c>
      <c r="AG110" s="112">
        <v>3055.5783653877638</v>
      </c>
      <c r="AH110" s="112">
        <v>2903.4027354705336</v>
      </c>
      <c r="AI110" s="112">
        <v>3066.8878009605296</v>
      </c>
      <c r="AJ110" s="112">
        <v>3189.534604006054</v>
      </c>
      <c r="AK110" s="112">
        <v>3278.018687478354</v>
      </c>
      <c r="AL110" s="112">
        <v>3338.0578250711483</v>
      </c>
      <c r="AM110" s="112">
        <v>3381.2865747154483</v>
      </c>
      <c r="AN110" s="112">
        <v>3407.1569344253244</v>
      </c>
      <c r="AO110" s="112">
        <v>3420.8353022487936</v>
      </c>
      <c r="AP110" s="112">
        <v>3571.6986639492866</v>
      </c>
      <c r="AQ110" s="112">
        <v>3631.7165096253589</v>
      </c>
      <c r="AR110" s="112">
        <v>3643.9746628429343</v>
      </c>
      <c r="AS110" s="112">
        <v>3687.0618504785739</v>
      </c>
      <c r="AT110" s="112">
        <v>3558.7131203533982</v>
      </c>
      <c r="AU110" s="112">
        <v>3453.0435514557685</v>
      </c>
      <c r="AV110" s="112">
        <v>3345.6305640427308</v>
      </c>
      <c r="AW110" s="112">
        <v>3309.0552353372204</v>
      </c>
      <c r="AX110" s="112">
        <v>3262.503198750916</v>
      </c>
      <c r="AY110" s="112">
        <v>3302.8552715122437</v>
      </c>
    </row>
    <row r="111" spans="1:52" x14ac:dyDescent="0.2">
      <c r="A111" s="115"/>
      <c r="B111" s="125">
        <v>3</v>
      </c>
      <c r="C111" s="112">
        <v>3284.5009053930066</v>
      </c>
      <c r="D111" s="112">
        <v>3322.1092931427511</v>
      </c>
      <c r="E111" s="112">
        <v>3357.8677345697893</v>
      </c>
      <c r="F111" s="112">
        <v>3381.3284558561354</v>
      </c>
      <c r="G111" s="112">
        <v>3533.3866048119899</v>
      </c>
      <c r="H111" s="112">
        <v>3597.0233158838573</v>
      </c>
      <c r="I111" s="112">
        <v>3683.6172160775445</v>
      </c>
      <c r="J111" s="112">
        <v>3730.6112680945694</v>
      </c>
      <c r="K111" s="112">
        <v>3619.4616561812413</v>
      </c>
      <c r="L111" s="112">
        <v>3506.4254203298765</v>
      </c>
      <c r="M111" s="112">
        <v>3415.4864681561553</v>
      </c>
      <c r="N111" s="112">
        <v>3357.3037167011912</v>
      </c>
      <c r="O111" s="112">
        <v>3317.2379441718494</v>
      </c>
      <c r="P111" s="112">
        <v>3370.5520334870707</v>
      </c>
      <c r="Q111" s="112">
        <v>3395.1926367770338</v>
      </c>
      <c r="R111" s="112">
        <v>3411.6701153204313</v>
      </c>
      <c r="S111" s="112">
        <v>3552.8848114765565</v>
      </c>
      <c r="T111" s="112">
        <v>3643.9170291902328</v>
      </c>
      <c r="U111" s="112">
        <v>3696.934663721705</v>
      </c>
      <c r="V111" s="112">
        <v>3740.8591170076006</v>
      </c>
      <c r="W111" s="112">
        <v>3661.8635030379282</v>
      </c>
      <c r="X111" s="112">
        <v>3535.4972420169534</v>
      </c>
      <c r="Y111" s="112">
        <v>3470.7018400078787</v>
      </c>
      <c r="Z111" s="112">
        <v>3433.2804600844593</v>
      </c>
      <c r="AA111" s="112">
        <v>3406.8258435712892</v>
      </c>
      <c r="AB111" s="112">
        <v>3295.6171081558159</v>
      </c>
      <c r="AC111" s="112">
        <v>3237.6187348554326</v>
      </c>
      <c r="AD111" s="112">
        <v>3186.174627026081</v>
      </c>
      <c r="AE111" s="112">
        <v>3274.3728963318367</v>
      </c>
      <c r="AF111" s="112">
        <v>3202.5621951083299</v>
      </c>
      <c r="AG111" s="112">
        <v>3164.7944160438988</v>
      </c>
      <c r="AH111" s="112">
        <v>3055.5783653877638</v>
      </c>
      <c r="AI111" s="112">
        <v>2903.4027354705336</v>
      </c>
      <c r="AJ111" s="112">
        <v>3066.8878009605296</v>
      </c>
      <c r="AK111" s="112">
        <v>3189.534604006054</v>
      </c>
      <c r="AL111" s="112">
        <v>3278.018687478354</v>
      </c>
      <c r="AM111" s="112">
        <v>3338.0578250711483</v>
      </c>
      <c r="AN111" s="112">
        <v>3381.2865747154483</v>
      </c>
      <c r="AO111" s="112">
        <v>3407.1569344253244</v>
      </c>
      <c r="AP111" s="112">
        <v>3420.8353022487936</v>
      </c>
      <c r="AQ111" s="112">
        <v>3571.6986639492866</v>
      </c>
      <c r="AR111" s="112">
        <v>3631.7165096253589</v>
      </c>
      <c r="AS111" s="112">
        <v>3643.9746628429343</v>
      </c>
      <c r="AT111" s="112">
        <v>3687.0618504785739</v>
      </c>
      <c r="AU111" s="112">
        <v>3558.7131203533982</v>
      </c>
      <c r="AV111" s="112">
        <v>3453.0435514557685</v>
      </c>
      <c r="AW111" s="112">
        <v>3345.6305640427308</v>
      </c>
      <c r="AX111" s="112">
        <v>3309.0552353372204</v>
      </c>
      <c r="AY111" s="112">
        <v>3262.503198750916</v>
      </c>
    </row>
    <row r="112" spans="1:52" x14ac:dyDescent="0.2">
      <c r="A112" s="115"/>
      <c r="B112" s="126">
        <v>4</v>
      </c>
      <c r="C112" s="112">
        <v>3331.736330932431</v>
      </c>
      <c r="D112" s="112">
        <v>3284.5009053930066</v>
      </c>
      <c r="E112" s="112">
        <v>3322.1092931427511</v>
      </c>
      <c r="F112" s="112">
        <v>3357.8677345697893</v>
      </c>
      <c r="G112" s="112">
        <v>3381.3284558561354</v>
      </c>
      <c r="H112" s="112">
        <v>3533.3866048119899</v>
      </c>
      <c r="I112" s="112">
        <v>3597.0233158838573</v>
      </c>
      <c r="J112" s="112">
        <v>3683.6172160775445</v>
      </c>
      <c r="K112" s="112">
        <v>3730.6112680945694</v>
      </c>
      <c r="L112" s="112">
        <v>3619.4616561812413</v>
      </c>
      <c r="M112" s="112">
        <v>3506.4254203298765</v>
      </c>
      <c r="N112" s="112">
        <v>3415.4864681561553</v>
      </c>
      <c r="O112" s="112">
        <v>3357.3037167011912</v>
      </c>
      <c r="P112" s="112">
        <v>3317.2379441718494</v>
      </c>
      <c r="Q112" s="112">
        <v>3370.5520334870707</v>
      </c>
      <c r="R112" s="112">
        <v>3395.1926367770338</v>
      </c>
      <c r="S112" s="112">
        <v>3411.6701153204313</v>
      </c>
      <c r="T112" s="112">
        <v>3552.8848114765565</v>
      </c>
      <c r="U112" s="112">
        <v>3643.9170291902328</v>
      </c>
      <c r="V112" s="112">
        <v>3696.934663721705</v>
      </c>
      <c r="W112" s="112">
        <v>3740.8591170076006</v>
      </c>
      <c r="X112" s="112">
        <v>3661.8635030379282</v>
      </c>
      <c r="Y112" s="112">
        <v>3535.4972420169534</v>
      </c>
      <c r="Z112" s="112">
        <v>3470.7018400078787</v>
      </c>
      <c r="AA112" s="112">
        <v>3433.2804600844593</v>
      </c>
      <c r="AB112" s="112">
        <v>3406.8258435712892</v>
      </c>
      <c r="AC112" s="112">
        <v>3295.6171081558159</v>
      </c>
      <c r="AD112" s="112">
        <v>3237.6187348554326</v>
      </c>
      <c r="AE112" s="112">
        <v>3186.174627026081</v>
      </c>
      <c r="AF112" s="112">
        <v>3274.3728963318367</v>
      </c>
      <c r="AG112" s="112">
        <v>3202.5621951083299</v>
      </c>
      <c r="AH112" s="112">
        <v>3164.7944160438988</v>
      </c>
      <c r="AI112" s="112">
        <v>3055.5783653877638</v>
      </c>
      <c r="AJ112" s="112">
        <v>2903.4027354705336</v>
      </c>
      <c r="AK112" s="112">
        <v>3066.8878009605296</v>
      </c>
      <c r="AL112" s="112">
        <v>3189.534604006054</v>
      </c>
      <c r="AM112" s="112">
        <v>3278.018687478354</v>
      </c>
      <c r="AN112" s="112">
        <v>3338.0578250711483</v>
      </c>
      <c r="AO112" s="112">
        <v>3381.2865747154483</v>
      </c>
      <c r="AP112" s="112">
        <v>3407.1569344253244</v>
      </c>
      <c r="AQ112" s="112">
        <v>3420.8353022487936</v>
      </c>
      <c r="AR112" s="112">
        <v>3571.6986639492866</v>
      </c>
      <c r="AS112" s="112">
        <v>3631.7165096253589</v>
      </c>
      <c r="AT112" s="112">
        <v>3643.9746628429343</v>
      </c>
      <c r="AU112" s="112">
        <v>3687.0618504785739</v>
      </c>
      <c r="AV112" s="112">
        <v>3558.7131203533982</v>
      </c>
      <c r="AW112" s="112">
        <v>3453.0435514557685</v>
      </c>
      <c r="AX112" s="112">
        <v>3345.6305640427308</v>
      </c>
      <c r="AY112" s="112">
        <v>3309.0552353372204</v>
      </c>
    </row>
    <row r="113" spans="1:52" x14ac:dyDescent="0.2">
      <c r="A113" s="115"/>
      <c r="B113" s="126">
        <v>5</v>
      </c>
      <c r="C113" s="112">
        <v>3393.9432760572336</v>
      </c>
      <c r="D113" s="112">
        <v>3331.736330932431</v>
      </c>
      <c r="E113" s="112">
        <v>3284.5009053930066</v>
      </c>
      <c r="F113" s="112">
        <v>3322.1092931427511</v>
      </c>
      <c r="G113" s="112">
        <v>3357.8677345697893</v>
      </c>
      <c r="H113" s="112">
        <v>3381.3284558561354</v>
      </c>
      <c r="I113" s="112">
        <v>3533.3866048119899</v>
      </c>
      <c r="J113" s="112">
        <v>3597.0233158838573</v>
      </c>
      <c r="K113" s="112">
        <v>3683.6172160775445</v>
      </c>
      <c r="L113" s="112">
        <v>3730.6112680945694</v>
      </c>
      <c r="M113" s="112">
        <v>3619.4616561812413</v>
      </c>
      <c r="N113" s="112">
        <v>3506.4254203298765</v>
      </c>
      <c r="O113" s="112">
        <v>3415.4864681561553</v>
      </c>
      <c r="P113" s="112">
        <v>3357.3037167011912</v>
      </c>
      <c r="Q113" s="112">
        <v>3317.2379441718494</v>
      </c>
      <c r="R113" s="112">
        <v>3370.5520334870707</v>
      </c>
      <c r="S113" s="112">
        <v>3395.1926367770338</v>
      </c>
      <c r="T113" s="112">
        <v>3411.6701153204313</v>
      </c>
      <c r="U113" s="112">
        <v>3552.8848114765565</v>
      </c>
      <c r="V113" s="112">
        <v>3643.9170291902328</v>
      </c>
      <c r="W113" s="112">
        <v>3696.934663721705</v>
      </c>
      <c r="X113" s="112">
        <v>3740.8591170076006</v>
      </c>
      <c r="Y113" s="112">
        <v>3661.8635030379282</v>
      </c>
      <c r="Z113" s="112">
        <v>3535.4972420169534</v>
      </c>
      <c r="AA113" s="112">
        <v>3470.7018400078787</v>
      </c>
      <c r="AB113" s="112">
        <v>3433.2804600844593</v>
      </c>
      <c r="AC113" s="112">
        <v>3406.8258435712892</v>
      </c>
      <c r="AD113" s="112">
        <v>3295.6171081558159</v>
      </c>
      <c r="AE113" s="112">
        <v>3237.6187348554326</v>
      </c>
      <c r="AF113" s="112">
        <v>3186.174627026081</v>
      </c>
      <c r="AG113" s="112">
        <v>3274.3728963318367</v>
      </c>
      <c r="AH113" s="112">
        <v>3202.5621951083299</v>
      </c>
      <c r="AI113" s="112">
        <v>3164.7944160438988</v>
      </c>
      <c r="AJ113" s="112">
        <v>3055.5783653877638</v>
      </c>
      <c r="AK113" s="112">
        <v>2903.4027354705336</v>
      </c>
      <c r="AL113" s="112">
        <v>3066.8878009605296</v>
      </c>
      <c r="AM113" s="112">
        <v>3189.534604006054</v>
      </c>
      <c r="AN113" s="112">
        <v>3278.018687478354</v>
      </c>
      <c r="AO113" s="112">
        <v>3338.0578250711483</v>
      </c>
      <c r="AP113" s="112">
        <v>3381.2865747154483</v>
      </c>
      <c r="AQ113" s="112">
        <v>3407.1569344253244</v>
      </c>
      <c r="AR113" s="112">
        <v>3420.8353022487936</v>
      </c>
      <c r="AS113" s="112">
        <v>3571.6986639492866</v>
      </c>
      <c r="AT113" s="112">
        <v>3631.7165096253589</v>
      </c>
      <c r="AU113" s="112">
        <v>3643.9746628429343</v>
      </c>
      <c r="AV113" s="112">
        <v>3687.0618504785739</v>
      </c>
      <c r="AW113" s="112">
        <v>3558.7131203533982</v>
      </c>
      <c r="AX113" s="112">
        <v>3453.0435514557685</v>
      </c>
      <c r="AY113" s="112">
        <v>3345.6305640427308</v>
      </c>
    </row>
    <row r="114" spans="1:52" x14ac:dyDescent="0.2">
      <c r="A114" s="115"/>
      <c r="B114" s="126">
        <v>6</v>
      </c>
      <c r="C114" s="112">
        <v>3481.6351456019279</v>
      </c>
      <c r="D114" s="112">
        <v>3393.9432760572336</v>
      </c>
      <c r="E114" s="112">
        <v>3331.736330932431</v>
      </c>
      <c r="F114" s="112">
        <v>3284.5009053930066</v>
      </c>
      <c r="G114" s="112">
        <v>3322.1092931427511</v>
      </c>
      <c r="H114" s="112">
        <v>3357.8677345697893</v>
      </c>
      <c r="I114" s="112">
        <v>3381.3284558561354</v>
      </c>
      <c r="J114" s="112">
        <v>3533.3866048119899</v>
      </c>
      <c r="K114" s="112">
        <v>3597.0233158838573</v>
      </c>
      <c r="L114" s="112">
        <v>3683.6172160775445</v>
      </c>
      <c r="M114" s="112">
        <v>3730.6112680945694</v>
      </c>
      <c r="N114" s="112">
        <v>3619.4616561812413</v>
      </c>
      <c r="O114" s="112">
        <v>3506.4254203298765</v>
      </c>
      <c r="P114" s="112">
        <v>3415.4864681561553</v>
      </c>
      <c r="Q114" s="112">
        <v>3357.3037167011912</v>
      </c>
      <c r="R114" s="112">
        <v>3317.2379441718494</v>
      </c>
      <c r="S114" s="112">
        <v>3370.5520334870707</v>
      </c>
      <c r="T114" s="112">
        <v>3395.1926367770338</v>
      </c>
      <c r="U114" s="112">
        <v>3411.6701153204313</v>
      </c>
      <c r="V114" s="112">
        <v>3552.8848114765565</v>
      </c>
      <c r="W114" s="112">
        <v>3643.9170291902328</v>
      </c>
      <c r="X114" s="112">
        <v>3696.934663721705</v>
      </c>
      <c r="Y114" s="112">
        <v>3740.8591170076006</v>
      </c>
      <c r="Z114" s="112">
        <v>3661.8635030379282</v>
      </c>
      <c r="AA114" s="112">
        <v>3535.4972420169534</v>
      </c>
      <c r="AB114" s="112">
        <v>3470.7018400078787</v>
      </c>
      <c r="AC114" s="112">
        <v>3433.2804600844593</v>
      </c>
      <c r="AD114" s="112">
        <v>3406.8258435712892</v>
      </c>
      <c r="AE114" s="112">
        <v>3295.6171081558159</v>
      </c>
      <c r="AF114" s="112">
        <v>3237.6187348554326</v>
      </c>
      <c r="AG114" s="112">
        <v>3186.174627026081</v>
      </c>
      <c r="AH114" s="112">
        <v>3274.3728963318367</v>
      </c>
      <c r="AI114" s="112">
        <v>3202.5621951083299</v>
      </c>
      <c r="AJ114" s="112">
        <v>3164.7944160438988</v>
      </c>
      <c r="AK114" s="112">
        <v>3055.5783653877638</v>
      </c>
      <c r="AL114" s="112">
        <v>2903.4027354705336</v>
      </c>
      <c r="AM114" s="112">
        <v>3066.8878009605296</v>
      </c>
      <c r="AN114" s="112">
        <v>3189.534604006054</v>
      </c>
      <c r="AO114" s="112">
        <v>3278.018687478354</v>
      </c>
      <c r="AP114" s="112">
        <v>3338.0578250711483</v>
      </c>
      <c r="AQ114" s="112">
        <v>3381.2865747154483</v>
      </c>
      <c r="AR114" s="112">
        <v>3407.1569344253244</v>
      </c>
      <c r="AS114" s="112">
        <v>3420.8353022487936</v>
      </c>
      <c r="AT114" s="112">
        <v>3571.6986639492866</v>
      </c>
      <c r="AU114" s="112">
        <v>3631.7165096253589</v>
      </c>
      <c r="AV114" s="112">
        <v>3643.9746628429343</v>
      </c>
      <c r="AW114" s="112">
        <v>3687.0618504785739</v>
      </c>
      <c r="AX114" s="112">
        <v>3558.7131203533982</v>
      </c>
      <c r="AY114" s="112">
        <v>3453.0435514557685</v>
      </c>
    </row>
    <row r="115" spans="1:52" x14ac:dyDescent="0.2">
      <c r="A115" s="115"/>
      <c r="B115" s="133">
        <v>7</v>
      </c>
      <c r="C115" s="112">
        <v>3592.1146701682883</v>
      </c>
      <c r="D115" s="112">
        <v>3481.6351456019279</v>
      </c>
      <c r="E115" s="112">
        <v>3393.9432760572336</v>
      </c>
      <c r="F115" s="112">
        <v>3331.736330932431</v>
      </c>
      <c r="G115" s="112">
        <v>3284.5009053930066</v>
      </c>
      <c r="H115" s="112">
        <v>3322.1092931427511</v>
      </c>
      <c r="I115" s="112">
        <v>3357.8677345697893</v>
      </c>
      <c r="J115" s="112">
        <v>3381.3284558561354</v>
      </c>
      <c r="K115" s="112">
        <v>3533.3866048119899</v>
      </c>
      <c r="L115" s="112">
        <v>3597.0233158838573</v>
      </c>
      <c r="M115" s="112">
        <v>3683.6172160775445</v>
      </c>
      <c r="N115" s="112">
        <v>3730.6112680945694</v>
      </c>
      <c r="O115" s="112">
        <v>3619.4616561812413</v>
      </c>
      <c r="P115" s="112">
        <v>3506.4254203298765</v>
      </c>
      <c r="Q115" s="112">
        <v>3415.4864681561553</v>
      </c>
      <c r="R115" s="112">
        <v>3357.3037167011912</v>
      </c>
      <c r="S115" s="112">
        <v>3317.2379441718494</v>
      </c>
      <c r="T115" s="112">
        <v>3370.5520334870707</v>
      </c>
      <c r="U115" s="112">
        <v>3395.1926367770338</v>
      </c>
      <c r="V115" s="112">
        <v>3411.6701153204313</v>
      </c>
      <c r="W115" s="112">
        <v>3552.8848114765565</v>
      </c>
      <c r="X115" s="112">
        <v>3643.9170291902328</v>
      </c>
      <c r="Y115" s="112">
        <v>3696.934663721705</v>
      </c>
      <c r="Z115" s="112">
        <v>3740.8591170076006</v>
      </c>
      <c r="AA115" s="112">
        <v>3661.8635030379282</v>
      </c>
      <c r="AB115" s="112">
        <v>3535.4972420169534</v>
      </c>
      <c r="AC115" s="112">
        <v>3470.7018400078787</v>
      </c>
      <c r="AD115" s="112">
        <v>3433.2804600844593</v>
      </c>
      <c r="AE115" s="112">
        <v>3406.8258435712892</v>
      </c>
      <c r="AF115" s="112">
        <v>3295.6171081558159</v>
      </c>
      <c r="AG115" s="112">
        <v>3237.6187348554326</v>
      </c>
      <c r="AH115" s="112">
        <v>3186.174627026081</v>
      </c>
      <c r="AI115" s="112">
        <v>3274.3728963318367</v>
      </c>
      <c r="AJ115" s="112">
        <v>3202.5621951083299</v>
      </c>
      <c r="AK115" s="112">
        <v>3164.7944160438988</v>
      </c>
      <c r="AL115" s="112">
        <v>3055.5783653877638</v>
      </c>
      <c r="AM115" s="112">
        <v>2903.4027354705336</v>
      </c>
      <c r="AN115" s="112">
        <v>3066.8878009605296</v>
      </c>
      <c r="AO115" s="112">
        <v>3189.534604006054</v>
      </c>
      <c r="AP115" s="112">
        <v>3278.018687478354</v>
      </c>
      <c r="AQ115" s="112">
        <v>3338.0578250711483</v>
      </c>
      <c r="AR115" s="112">
        <v>3381.2865747154483</v>
      </c>
      <c r="AS115" s="112">
        <v>3407.1569344253244</v>
      </c>
      <c r="AT115" s="112">
        <v>3420.8353022487936</v>
      </c>
      <c r="AU115" s="112">
        <v>3571.6986639492866</v>
      </c>
      <c r="AV115" s="112">
        <v>3631.7165096253589</v>
      </c>
      <c r="AW115" s="112">
        <v>3643.9746628429343</v>
      </c>
      <c r="AX115" s="112">
        <v>3687.0618504785739</v>
      </c>
      <c r="AY115" s="112">
        <v>3558.7131203533982</v>
      </c>
    </row>
    <row r="116" spans="1:52" x14ac:dyDescent="0.2">
      <c r="A116" s="115"/>
      <c r="B116" s="133">
        <v>8</v>
      </c>
      <c r="C116" s="112">
        <v>3704.6459293056714</v>
      </c>
      <c r="D116" s="112">
        <v>3592.1146701682883</v>
      </c>
      <c r="E116" s="112">
        <v>3481.6351456019279</v>
      </c>
      <c r="F116" s="112">
        <v>3393.9432760572336</v>
      </c>
      <c r="G116" s="112">
        <v>3331.736330932431</v>
      </c>
      <c r="H116" s="112">
        <v>3284.5009053930066</v>
      </c>
      <c r="I116" s="112">
        <v>3322.1092931427511</v>
      </c>
      <c r="J116" s="112">
        <v>3357.8677345697893</v>
      </c>
      <c r="K116" s="112">
        <v>3381.3284558561354</v>
      </c>
      <c r="L116" s="112">
        <v>3533.3866048119899</v>
      </c>
      <c r="M116" s="112">
        <v>3597.0233158838573</v>
      </c>
      <c r="N116" s="112">
        <v>3683.6172160775445</v>
      </c>
      <c r="O116" s="112">
        <v>3730.6112680945694</v>
      </c>
      <c r="P116" s="112">
        <v>3619.4616561812413</v>
      </c>
      <c r="Q116" s="112">
        <v>3506.4254203298765</v>
      </c>
      <c r="R116" s="112">
        <v>3415.4864681561553</v>
      </c>
      <c r="S116" s="112">
        <v>3357.3037167011912</v>
      </c>
      <c r="T116" s="112">
        <v>3317.2379441718494</v>
      </c>
      <c r="U116" s="112">
        <v>3370.5520334870707</v>
      </c>
      <c r="V116" s="112">
        <v>3395.1926367770338</v>
      </c>
      <c r="W116" s="112">
        <v>3411.6701153204313</v>
      </c>
      <c r="X116" s="112">
        <v>3552.8848114765565</v>
      </c>
      <c r="Y116" s="112">
        <v>3643.9170291902328</v>
      </c>
      <c r="Z116" s="112">
        <v>3696.934663721705</v>
      </c>
      <c r="AA116" s="112">
        <v>3740.8591170076006</v>
      </c>
      <c r="AB116" s="112">
        <v>3661.8635030379282</v>
      </c>
      <c r="AC116" s="112">
        <v>3535.4972420169534</v>
      </c>
      <c r="AD116" s="112">
        <v>3470.7018400078787</v>
      </c>
      <c r="AE116" s="112">
        <v>3433.2804600844593</v>
      </c>
      <c r="AF116" s="112">
        <v>3406.8258435712892</v>
      </c>
      <c r="AG116" s="112">
        <v>3295.6171081558159</v>
      </c>
      <c r="AH116" s="112">
        <v>3237.6187348554326</v>
      </c>
      <c r="AI116" s="112">
        <v>3186.174627026081</v>
      </c>
      <c r="AJ116" s="112">
        <v>3274.3728963318367</v>
      </c>
      <c r="AK116" s="112">
        <v>3202.5621951083299</v>
      </c>
      <c r="AL116" s="112">
        <v>3164.7944160438988</v>
      </c>
      <c r="AM116" s="112">
        <v>3055.5783653877638</v>
      </c>
      <c r="AN116" s="112">
        <v>2903.4027354705336</v>
      </c>
      <c r="AO116" s="112">
        <v>3066.8878009605296</v>
      </c>
      <c r="AP116" s="112">
        <v>3189.534604006054</v>
      </c>
      <c r="AQ116" s="112">
        <v>3278.018687478354</v>
      </c>
      <c r="AR116" s="112">
        <v>3338.0578250711483</v>
      </c>
      <c r="AS116" s="112">
        <v>3381.2865747154483</v>
      </c>
      <c r="AT116" s="112">
        <v>3407.1569344253244</v>
      </c>
      <c r="AU116" s="112">
        <v>3420.8353022487936</v>
      </c>
      <c r="AV116" s="112">
        <v>3571.6986639492866</v>
      </c>
      <c r="AW116" s="112">
        <v>3631.7165096253589</v>
      </c>
      <c r="AX116" s="112">
        <v>3643.9746628429343</v>
      </c>
      <c r="AY116" s="112">
        <v>3687.0618504785739</v>
      </c>
    </row>
    <row r="117" spans="1:52" x14ac:dyDescent="0.2">
      <c r="A117" s="115"/>
      <c r="B117" s="133">
        <v>9</v>
      </c>
      <c r="C117" s="112">
        <v>3124.5607575755294</v>
      </c>
      <c r="D117" s="112">
        <v>2813.4092638034022</v>
      </c>
      <c r="E117" s="112">
        <v>2704.078772572655</v>
      </c>
      <c r="F117" s="112">
        <v>2527.5408237735778</v>
      </c>
      <c r="G117" s="112">
        <v>2362.2229891193069</v>
      </c>
      <c r="H117" s="112">
        <v>2501.5591165429423</v>
      </c>
      <c r="I117" s="112">
        <v>2497.0052079403404</v>
      </c>
      <c r="J117" s="112">
        <v>2558.2536898371145</v>
      </c>
      <c r="K117" s="112">
        <v>2620.6118181915126</v>
      </c>
      <c r="L117" s="112">
        <v>2681.5558387636302</v>
      </c>
      <c r="M117" s="112">
        <v>2773.9132758696269</v>
      </c>
      <c r="N117" s="112">
        <v>2849.5203299640611</v>
      </c>
      <c r="O117" s="112">
        <v>2966.0596690948014</v>
      </c>
      <c r="P117" s="112">
        <v>2740.3401875709524</v>
      </c>
      <c r="Q117" s="112">
        <v>2608.3245394008859</v>
      </c>
      <c r="R117" s="112">
        <v>2459.765779960841</v>
      </c>
      <c r="S117" s="112">
        <v>2296.092978876437</v>
      </c>
      <c r="T117" s="112">
        <v>2405.1835485090628</v>
      </c>
      <c r="U117" s="112">
        <v>2416.5073441635072</v>
      </c>
      <c r="V117" s="112">
        <v>2463.642078441726</v>
      </c>
      <c r="W117" s="112">
        <v>2494.1977712371622</v>
      </c>
      <c r="X117" s="112">
        <v>2523.7112126921074</v>
      </c>
      <c r="Y117" s="112">
        <v>2758.277779128186</v>
      </c>
      <c r="Z117" s="112">
        <v>2973.8347341189674</v>
      </c>
      <c r="AA117" s="112">
        <v>3198.4945321457194</v>
      </c>
      <c r="AB117" s="112">
        <v>3079.0278310048816</v>
      </c>
      <c r="AC117" s="112">
        <v>3212.4498899112709</v>
      </c>
      <c r="AD117" s="112">
        <v>3259.1047382567758</v>
      </c>
      <c r="AE117" s="112">
        <v>3403.8851282764349</v>
      </c>
      <c r="AF117" s="112">
        <v>3433.2804600844593</v>
      </c>
      <c r="AG117" s="112">
        <v>3406.8258435712892</v>
      </c>
      <c r="AH117" s="112">
        <v>3295.6171081558159</v>
      </c>
      <c r="AI117" s="112">
        <v>3237.6187348554326</v>
      </c>
      <c r="AJ117" s="112">
        <v>3186.174627026081</v>
      </c>
      <c r="AK117" s="112">
        <v>3274.3728963318367</v>
      </c>
      <c r="AL117" s="112">
        <v>3202.5621951083299</v>
      </c>
      <c r="AM117" s="112">
        <v>3164.7944160438988</v>
      </c>
      <c r="AN117" s="112">
        <v>2692.1345722119095</v>
      </c>
      <c r="AO117" s="112">
        <v>2381.2637341041459</v>
      </c>
      <c r="AP117" s="112">
        <v>2355.9199568393333</v>
      </c>
      <c r="AQ117" s="112">
        <v>2270.9483147063779</v>
      </c>
      <c r="AR117" s="112">
        <v>2480.409619649296</v>
      </c>
      <c r="AS117" s="112">
        <v>2558.6964936407267</v>
      </c>
      <c r="AT117" s="112">
        <v>2671.9504540993571</v>
      </c>
      <c r="AU117" s="112">
        <v>2741.9792314013653</v>
      </c>
      <c r="AV117" s="112">
        <v>2829.7032512230167</v>
      </c>
      <c r="AW117" s="112">
        <v>2965.8972106190149</v>
      </c>
      <c r="AX117" s="112">
        <v>3054.7933453881205</v>
      </c>
      <c r="AY117" s="112">
        <v>3130.3597394280573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385.92335493476685</v>
      </c>
      <c r="AG118" s="112">
        <v>396.8414813525992</v>
      </c>
      <c r="AH118" s="112">
        <v>358.68674058186025</v>
      </c>
      <c r="AI118" s="112">
        <v>311.80066381179722</v>
      </c>
      <c r="AJ118" s="112">
        <v>230.86175493127803</v>
      </c>
      <c r="AK118" s="112">
        <v>152.16869261397233</v>
      </c>
      <c r="AL118" s="112">
        <v>105.89129605401786</v>
      </c>
      <c r="AM118" s="112">
        <v>41.820329477917312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297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3739.222788584349</v>
      </c>
      <c r="D122" s="112">
        <v>4206.6256371573927</v>
      </c>
      <c r="E122" s="112">
        <v>4206.6256371573927</v>
      </c>
      <c r="F122" s="112">
        <v>4206.6256371573927</v>
      </c>
      <c r="G122" s="112">
        <v>4206.6256371573927</v>
      </c>
      <c r="H122" s="112">
        <v>3739.222788584349</v>
      </c>
      <c r="I122" s="112">
        <v>3739.222788584349</v>
      </c>
      <c r="J122" s="112">
        <v>3739.222788584349</v>
      </c>
      <c r="K122" s="112">
        <v>3739.222788584349</v>
      </c>
      <c r="L122" s="112">
        <v>3739.222788584349</v>
      </c>
      <c r="M122" s="112">
        <v>3739.222788584349</v>
      </c>
      <c r="N122" s="112">
        <v>3739.222788584349</v>
      </c>
      <c r="O122" s="112">
        <v>3739.222788584349</v>
      </c>
      <c r="P122" s="112">
        <v>4206.6256371573927</v>
      </c>
      <c r="Q122" s="112">
        <v>4206.6256371573927</v>
      </c>
      <c r="R122" s="112">
        <v>4206.6256371573927</v>
      </c>
      <c r="S122" s="112">
        <v>4206.6256371573927</v>
      </c>
      <c r="T122" s="112">
        <v>3739.222788584349</v>
      </c>
      <c r="U122" s="112">
        <v>3739.222788584349</v>
      </c>
      <c r="V122" s="112">
        <v>3739.222788584349</v>
      </c>
      <c r="W122" s="112">
        <v>3739.222788584349</v>
      </c>
      <c r="X122" s="112">
        <v>3739.222788584349</v>
      </c>
      <c r="Y122" s="112">
        <v>3739.222788584349</v>
      </c>
      <c r="Z122" s="112">
        <v>3739.222788584349</v>
      </c>
      <c r="AA122" s="112">
        <v>3739.222788584349</v>
      </c>
      <c r="AB122" s="112">
        <v>4206.6256371573927</v>
      </c>
      <c r="AC122" s="112">
        <v>4206.6256371573927</v>
      </c>
      <c r="AD122" s="112">
        <v>4206.6256371573927</v>
      </c>
      <c r="AE122" s="112">
        <v>4206.6256371573927</v>
      </c>
      <c r="AF122" s="112">
        <v>3739.222788584349</v>
      </c>
      <c r="AG122" s="112">
        <v>3739.222788584349</v>
      </c>
      <c r="AH122" s="112">
        <v>3739.222788584349</v>
      </c>
      <c r="AI122" s="112">
        <v>3739.222788584349</v>
      </c>
      <c r="AJ122" s="112">
        <v>3739.222788584349</v>
      </c>
      <c r="AK122" s="112">
        <v>3739.222788584349</v>
      </c>
      <c r="AL122" s="112">
        <v>3739.222788584349</v>
      </c>
      <c r="AM122" s="112">
        <v>3739.222788584349</v>
      </c>
      <c r="AN122" s="112">
        <v>4206.6256371573927</v>
      </c>
      <c r="AO122" s="112">
        <v>4206.6256371573927</v>
      </c>
      <c r="AP122" s="112">
        <v>4206.6256371573927</v>
      </c>
      <c r="AQ122" s="112">
        <v>4206.6256371573927</v>
      </c>
      <c r="AR122" s="112">
        <v>3739.222788584349</v>
      </c>
      <c r="AS122" s="112">
        <v>3739.222788584349</v>
      </c>
      <c r="AT122" s="112">
        <v>3739.222788584349</v>
      </c>
      <c r="AU122" s="112">
        <v>3739.222788584349</v>
      </c>
      <c r="AV122" s="112">
        <v>3739.222788584349</v>
      </c>
      <c r="AW122" s="112">
        <v>3739.222788584349</v>
      </c>
      <c r="AX122" s="112">
        <v>3739.222788584349</v>
      </c>
      <c r="AY122" s="112">
        <v>3739.222788584349</v>
      </c>
    </row>
    <row r="123" spans="1:52" x14ac:dyDescent="0.2">
      <c r="A123" s="115"/>
      <c r="B123" s="125">
        <v>2</v>
      </c>
      <c r="C123" s="112">
        <v>2709.4278395240503</v>
      </c>
      <c r="D123" s="112">
        <v>2709.4278395240503</v>
      </c>
      <c r="E123" s="112">
        <v>3048.1063194645562</v>
      </c>
      <c r="F123" s="112">
        <v>3048.1063194645562</v>
      </c>
      <c r="G123" s="112">
        <v>3048.1063194645562</v>
      </c>
      <c r="H123" s="112">
        <v>3048.1063194645562</v>
      </c>
      <c r="I123" s="112">
        <v>2709.4278395240503</v>
      </c>
      <c r="J123" s="112">
        <v>2709.4278395240503</v>
      </c>
      <c r="K123" s="112">
        <v>2709.4278395240503</v>
      </c>
      <c r="L123" s="112">
        <v>2709.4278395240503</v>
      </c>
      <c r="M123" s="112">
        <v>2709.4278395240503</v>
      </c>
      <c r="N123" s="112">
        <v>2709.4278395240503</v>
      </c>
      <c r="O123" s="112">
        <v>2709.4278395240503</v>
      </c>
      <c r="P123" s="112">
        <v>2709.4278395240503</v>
      </c>
      <c r="Q123" s="112">
        <v>3048.1063194645562</v>
      </c>
      <c r="R123" s="112">
        <v>3048.1063194645562</v>
      </c>
      <c r="S123" s="112">
        <v>3048.1063194645562</v>
      </c>
      <c r="T123" s="112">
        <v>3048.1063194645562</v>
      </c>
      <c r="U123" s="112">
        <v>2709.4278395240503</v>
      </c>
      <c r="V123" s="112">
        <v>2709.4278395240503</v>
      </c>
      <c r="W123" s="112">
        <v>2709.4278395240503</v>
      </c>
      <c r="X123" s="112">
        <v>2709.4278395240503</v>
      </c>
      <c r="Y123" s="112">
        <v>2709.4278395240503</v>
      </c>
      <c r="Z123" s="112">
        <v>2709.4278395240503</v>
      </c>
      <c r="AA123" s="112">
        <v>2709.4278395240503</v>
      </c>
      <c r="AB123" s="112">
        <v>2709.4278395240503</v>
      </c>
      <c r="AC123" s="112">
        <v>3048.1063194645562</v>
      </c>
      <c r="AD123" s="112">
        <v>3048.1063194645562</v>
      </c>
      <c r="AE123" s="112">
        <v>3048.1063194645562</v>
      </c>
      <c r="AF123" s="112">
        <v>3048.1063194645562</v>
      </c>
      <c r="AG123" s="112">
        <v>2709.4278395240503</v>
      </c>
      <c r="AH123" s="112">
        <v>2709.4278395240503</v>
      </c>
      <c r="AI123" s="112">
        <v>2709.4278395240503</v>
      </c>
      <c r="AJ123" s="112">
        <v>2709.4278395240503</v>
      </c>
      <c r="AK123" s="112">
        <v>2709.4278395240503</v>
      </c>
      <c r="AL123" s="112">
        <v>2709.4278395240503</v>
      </c>
      <c r="AM123" s="112">
        <v>2709.4278395240503</v>
      </c>
      <c r="AN123" s="112">
        <v>2709.4278395240503</v>
      </c>
      <c r="AO123" s="112">
        <v>3048.1063194645562</v>
      </c>
      <c r="AP123" s="112">
        <v>3048.1063194645562</v>
      </c>
      <c r="AQ123" s="112">
        <v>3048.1063194645562</v>
      </c>
      <c r="AR123" s="112">
        <v>3048.1063194645562</v>
      </c>
      <c r="AS123" s="112">
        <v>2709.4278395240503</v>
      </c>
      <c r="AT123" s="112">
        <v>2709.4278395240503</v>
      </c>
      <c r="AU123" s="112">
        <v>2709.4278395240503</v>
      </c>
      <c r="AV123" s="112">
        <v>2709.4278395240503</v>
      </c>
      <c r="AW123" s="112">
        <v>2709.4278395240503</v>
      </c>
      <c r="AX123" s="112">
        <v>2709.4278395240503</v>
      </c>
      <c r="AY123" s="112">
        <v>2709.4278395240503</v>
      </c>
    </row>
    <row r="124" spans="1:52" x14ac:dyDescent="0.2">
      <c r="A124" s="115"/>
      <c r="B124" s="125">
        <v>3</v>
      </c>
      <c r="C124" s="112">
        <v>1963.2419977754864</v>
      </c>
      <c r="D124" s="112">
        <v>1963.2419977754864</v>
      </c>
      <c r="E124" s="112">
        <v>1963.2419977754864</v>
      </c>
      <c r="F124" s="112">
        <v>2208.6472474974221</v>
      </c>
      <c r="G124" s="112">
        <v>2208.6472474974221</v>
      </c>
      <c r="H124" s="112">
        <v>2208.6472474974221</v>
      </c>
      <c r="I124" s="112">
        <v>2208.6472474974221</v>
      </c>
      <c r="J124" s="112">
        <v>1963.2419977754864</v>
      </c>
      <c r="K124" s="112">
        <v>1963.2419977754864</v>
      </c>
      <c r="L124" s="112">
        <v>1963.2419977754864</v>
      </c>
      <c r="M124" s="112">
        <v>1963.2419977754864</v>
      </c>
      <c r="N124" s="112">
        <v>1963.2419977754864</v>
      </c>
      <c r="O124" s="112">
        <v>1963.2419977754864</v>
      </c>
      <c r="P124" s="112">
        <v>1963.2419977754864</v>
      </c>
      <c r="Q124" s="112">
        <v>1963.2419977754864</v>
      </c>
      <c r="R124" s="112">
        <v>2208.6472474974221</v>
      </c>
      <c r="S124" s="112">
        <v>2208.6472474974221</v>
      </c>
      <c r="T124" s="112">
        <v>2208.6472474974221</v>
      </c>
      <c r="U124" s="112">
        <v>2208.6472474974221</v>
      </c>
      <c r="V124" s="112">
        <v>1963.2419977754864</v>
      </c>
      <c r="W124" s="112">
        <v>1963.2419977754864</v>
      </c>
      <c r="X124" s="112">
        <v>1963.2419977754864</v>
      </c>
      <c r="Y124" s="112">
        <v>1963.2419977754864</v>
      </c>
      <c r="Z124" s="112">
        <v>1963.2419977754864</v>
      </c>
      <c r="AA124" s="112">
        <v>1963.2419977754864</v>
      </c>
      <c r="AB124" s="112">
        <v>1963.2419977754864</v>
      </c>
      <c r="AC124" s="112">
        <v>1963.2419977754864</v>
      </c>
      <c r="AD124" s="112">
        <v>2208.6472474974221</v>
      </c>
      <c r="AE124" s="112">
        <v>2208.6472474974221</v>
      </c>
      <c r="AF124" s="112">
        <v>2208.6472474974221</v>
      </c>
      <c r="AG124" s="112">
        <v>2208.6472474974221</v>
      </c>
      <c r="AH124" s="112">
        <v>1963.2419977754864</v>
      </c>
      <c r="AI124" s="112">
        <v>1963.2419977754864</v>
      </c>
      <c r="AJ124" s="112">
        <v>1963.2419977754864</v>
      </c>
      <c r="AK124" s="112">
        <v>1963.2419977754864</v>
      </c>
      <c r="AL124" s="112">
        <v>1963.2419977754864</v>
      </c>
      <c r="AM124" s="112">
        <v>1963.2419977754864</v>
      </c>
      <c r="AN124" s="112">
        <v>1963.2419977754864</v>
      </c>
      <c r="AO124" s="112">
        <v>1963.2419977754864</v>
      </c>
      <c r="AP124" s="112">
        <v>2208.6472474974221</v>
      </c>
      <c r="AQ124" s="112">
        <v>2208.6472474974221</v>
      </c>
      <c r="AR124" s="112">
        <v>2208.6472474974221</v>
      </c>
      <c r="AS124" s="112">
        <v>2208.6472474974221</v>
      </c>
      <c r="AT124" s="112">
        <v>1963.2419977754864</v>
      </c>
      <c r="AU124" s="112">
        <v>1963.2419977754864</v>
      </c>
      <c r="AV124" s="112">
        <v>1963.2419977754864</v>
      </c>
      <c r="AW124" s="112">
        <v>1963.2419977754864</v>
      </c>
      <c r="AX124" s="112">
        <v>1963.2419977754864</v>
      </c>
      <c r="AY124" s="112">
        <v>1963.2419977754864</v>
      </c>
    </row>
    <row r="125" spans="1:52" x14ac:dyDescent="0.2">
      <c r="A125" s="115"/>
      <c r="B125" s="125">
        <v>4</v>
      </c>
      <c r="C125" s="112">
        <v>1422.5583296975899</v>
      </c>
      <c r="D125" s="112">
        <v>1422.5583296975899</v>
      </c>
      <c r="E125" s="112">
        <v>1422.5583296975899</v>
      </c>
      <c r="F125" s="112">
        <v>1422.5583296975899</v>
      </c>
      <c r="G125" s="112">
        <v>1600.3781209097885</v>
      </c>
      <c r="H125" s="112">
        <v>1600.3781209097885</v>
      </c>
      <c r="I125" s="112">
        <v>1600.3781209097885</v>
      </c>
      <c r="J125" s="112">
        <v>1600.3781209097885</v>
      </c>
      <c r="K125" s="112">
        <v>1422.5583296975899</v>
      </c>
      <c r="L125" s="112">
        <v>1422.5583296975899</v>
      </c>
      <c r="M125" s="112">
        <v>1422.5583296975899</v>
      </c>
      <c r="N125" s="112">
        <v>1422.5583296975899</v>
      </c>
      <c r="O125" s="112">
        <v>1422.5583296975899</v>
      </c>
      <c r="P125" s="112">
        <v>1422.5583296975899</v>
      </c>
      <c r="Q125" s="112">
        <v>1422.5583296975899</v>
      </c>
      <c r="R125" s="112">
        <v>1422.5583296975899</v>
      </c>
      <c r="S125" s="112">
        <v>1600.3781209097885</v>
      </c>
      <c r="T125" s="112">
        <v>1600.3781209097885</v>
      </c>
      <c r="U125" s="112">
        <v>1600.3781209097885</v>
      </c>
      <c r="V125" s="112">
        <v>1600.3781209097885</v>
      </c>
      <c r="W125" s="112">
        <v>1422.5583296975899</v>
      </c>
      <c r="X125" s="112">
        <v>1422.5583296975899</v>
      </c>
      <c r="Y125" s="112">
        <v>1422.5583296975899</v>
      </c>
      <c r="Z125" s="112">
        <v>1422.5583296975899</v>
      </c>
      <c r="AA125" s="112">
        <v>1422.5583296975899</v>
      </c>
      <c r="AB125" s="112">
        <v>1422.5583296975899</v>
      </c>
      <c r="AC125" s="112">
        <v>1422.5583296975899</v>
      </c>
      <c r="AD125" s="112">
        <v>1422.5583296975899</v>
      </c>
      <c r="AE125" s="112">
        <v>1600.3781209097885</v>
      </c>
      <c r="AF125" s="112">
        <v>1546.3842210094447</v>
      </c>
      <c r="AG125" s="112">
        <v>1600.3781209097885</v>
      </c>
      <c r="AH125" s="112">
        <v>1600.3781209097885</v>
      </c>
      <c r="AI125" s="112">
        <v>1422.5583296975899</v>
      </c>
      <c r="AJ125" s="112">
        <v>1422.5583296975899</v>
      </c>
      <c r="AK125" s="112">
        <v>1422.5583296975899</v>
      </c>
      <c r="AL125" s="112">
        <v>1422.5583296975899</v>
      </c>
      <c r="AM125" s="112">
        <v>1422.5583296975899</v>
      </c>
      <c r="AN125" s="112">
        <v>1422.5583296975899</v>
      </c>
      <c r="AO125" s="112">
        <v>1422.5583296975899</v>
      </c>
      <c r="AP125" s="112">
        <v>1422.5583296975899</v>
      </c>
      <c r="AQ125" s="112">
        <v>1600.3781209097885</v>
      </c>
      <c r="AR125" s="112">
        <v>1600.3781209097885</v>
      </c>
      <c r="AS125" s="112">
        <v>1600.3781209097885</v>
      </c>
      <c r="AT125" s="112">
        <v>1600.3781209097885</v>
      </c>
      <c r="AU125" s="112">
        <v>1422.5583296975899</v>
      </c>
      <c r="AV125" s="112">
        <v>1422.5583296975899</v>
      </c>
      <c r="AW125" s="112">
        <v>1422.5583296975899</v>
      </c>
      <c r="AX125" s="112">
        <v>1422.5583296975899</v>
      </c>
      <c r="AY125" s="112">
        <v>1422.5583296975899</v>
      </c>
    </row>
    <row r="126" spans="1:52" x14ac:dyDescent="0.2">
      <c r="A126" s="115"/>
      <c r="B126" s="125">
        <v>5</v>
      </c>
      <c r="C126" s="112">
        <v>1030.7808225807023</v>
      </c>
      <c r="D126" s="112">
        <v>1030.7808225807023</v>
      </c>
      <c r="E126" s="112">
        <v>1030.7808225807023</v>
      </c>
      <c r="F126" s="112">
        <v>1030.7808225807023</v>
      </c>
      <c r="G126" s="112">
        <v>1030.7808225807023</v>
      </c>
      <c r="H126" s="112">
        <v>1159.6284254032898</v>
      </c>
      <c r="I126" s="112">
        <v>1159.6284254032898</v>
      </c>
      <c r="J126" s="112">
        <v>1159.6284254032898</v>
      </c>
      <c r="K126" s="112">
        <v>1159.6284254032898</v>
      </c>
      <c r="L126" s="112">
        <v>1030.7808225807023</v>
      </c>
      <c r="M126" s="112">
        <v>1030.7808225807023</v>
      </c>
      <c r="N126" s="112">
        <v>1030.7808225807023</v>
      </c>
      <c r="O126" s="112">
        <v>1030.7808225807023</v>
      </c>
      <c r="P126" s="112">
        <v>1030.7808225807023</v>
      </c>
      <c r="Q126" s="112">
        <v>1030.7808225807023</v>
      </c>
      <c r="R126" s="112">
        <v>1030.7808225807023</v>
      </c>
      <c r="S126" s="112">
        <v>1030.7808225807023</v>
      </c>
      <c r="T126" s="112">
        <v>1159.6284254032898</v>
      </c>
      <c r="U126" s="112">
        <v>1159.6284254032898</v>
      </c>
      <c r="V126" s="112">
        <v>1159.6284254032898</v>
      </c>
      <c r="W126" s="112">
        <v>1159.6284254032898</v>
      </c>
      <c r="X126" s="112">
        <v>1030.7808225807023</v>
      </c>
      <c r="Y126" s="112">
        <v>1030.7808225807023</v>
      </c>
      <c r="Z126" s="112">
        <v>1030.7808225807023</v>
      </c>
      <c r="AA126" s="112">
        <v>1030.7808225807023</v>
      </c>
      <c r="AB126" s="112">
        <v>1030.7808225807023</v>
      </c>
      <c r="AC126" s="112">
        <v>988.08713449428467</v>
      </c>
      <c r="AD126" s="112">
        <v>605.545709963175</v>
      </c>
      <c r="AE126" s="112">
        <v>31.158479897971347</v>
      </c>
      <c r="AF126" s="112">
        <v>0</v>
      </c>
      <c r="AG126" s="112">
        <v>878.30477892657291</v>
      </c>
      <c r="AH126" s="112">
        <v>1159.6284254032898</v>
      </c>
      <c r="AI126" s="112">
        <v>1159.6284254032898</v>
      </c>
      <c r="AJ126" s="112">
        <v>1030.7808225807023</v>
      </c>
      <c r="AK126" s="112">
        <v>1030.7808225807023</v>
      </c>
      <c r="AL126" s="112">
        <v>1030.7808225807023</v>
      </c>
      <c r="AM126" s="112">
        <v>1030.7808225807023</v>
      </c>
      <c r="AN126" s="112">
        <v>1030.7808225807023</v>
      </c>
      <c r="AO126" s="112">
        <v>1030.7808225807023</v>
      </c>
      <c r="AP126" s="112">
        <v>1030.7808225807023</v>
      </c>
      <c r="AQ126" s="112">
        <v>1030.7808225807023</v>
      </c>
      <c r="AR126" s="112">
        <v>1159.6284254032898</v>
      </c>
      <c r="AS126" s="112">
        <v>1159.6284254032898</v>
      </c>
      <c r="AT126" s="112">
        <v>1159.6284254032898</v>
      </c>
      <c r="AU126" s="112">
        <v>1159.6284254032898</v>
      </c>
      <c r="AV126" s="112">
        <v>1030.7808225807023</v>
      </c>
      <c r="AW126" s="112">
        <v>1030.7808225807023</v>
      </c>
      <c r="AX126" s="112">
        <v>1030.7808225807023</v>
      </c>
      <c r="AY126" s="112">
        <v>1030.7808225807023</v>
      </c>
    </row>
    <row r="127" spans="1:52" x14ac:dyDescent="0.2">
      <c r="A127" s="115"/>
      <c r="B127" s="125">
        <v>6</v>
      </c>
      <c r="C127" s="112">
        <v>746.9002022757262</v>
      </c>
      <c r="D127" s="112">
        <v>746.9002022757262</v>
      </c>
      <c r="E127" s="112">
        <v>746.9002022757262</v>
      </c>
      <c r="F127" s="112">
        <v>746.9002022757262</v>
      </c>
      <c r="G127" s="112">
        <v>746.9002022757262</v>
      </c>
      <c r="H127" s="112">
        <v>746.9002022757262</v>
      </c>
      <c r="I127" s="112">
        <v>840.26272756019182</v>
      </c>
      <c r="J127" s="112">
        <v>840.26272756019182</v>
      </c>
      <c r="K127" s="112">
        <v>840.26272756019182</v>
      </c>
      <c r="L127" s="112">
        <v>840.26272756019182</v>
      </c>
      <c r="M127" s="112">
        <v>746.9002022757262</v>
      </c>
      <c r="N127" s="112">
        <v>746.9002022757262</v>
      </c>
      <c r="O127" s="112">
        <v>746.9002022757262</v>
      </c>
      <c r="P127" s="112">
        <v>746.9002022757262</v>
      </c>
      <c r="Q127" s="112">
        <v>746.9002022757262</v>
      </c>
      <c r="R127" s="112">
        <v>746.9002022757262</v>
      </c>
      <c r="S127" s="112">
        <v>746.9002022757262</v>
      </c>
      <c r="T127" s="112">
        <v>746.9002022757262</v>
      </c>
      <c r="U127" s="112">
        <v>840.26272756019182</v>
      </c>
      <c r="V127" s="112">
        <v>840.26272756019182</v>
      </c>
      <c r="W127" s="112">
        <v>840.26272756019182</v>
      </c>
      <c r="X127" s="112">
        <v>840.26272756019182</v>
      </c>
      <c r="Y127" s="112">
        <v>746.9002022757262</v>
      </c>
      <c r="Z127" s="112">
        <v>746.9002022757262</v>
      </c>
      <c r="AA127" s="112">
        <v>703.88378669533995</v>
      </c>
      <c r="AB127" s="112">
        <v>556.73205102853171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409.41659086903906</v>
      </c>
      <c r="AI127" s="112">
        <v>840.26272756019182</v>
      </c>
      <c r="AJ127" s="112">
        <v>840.26272756019182</v>
      </c>
      <c r="AK127" s="112">
        <v>746.9002022757262</v>
      </c>
      <c r="AL127" s="112">
        <v>746.9002022757262</v>
      </c>
      <c r="AM127" s="112">
        <v>746.9002022757262</v>
      </c>
      <c r="AN127" s="112">
        <v>746.9002022757262</v>
      </c>
      <c r="AO127" s="112">
        <v>746.9002022757262</v>
      </c>
      <c r="AP127" s="112">
        <v>746.9002022757262</v>
      </c>
      <c r="AQ127" s="112">
        <v>746.9002022757262</v>
      </c>
      <c r="AR127" s="112">
        <v>746.9002022757262</v>
      </c>
      <c r="AS127" s="112">
        <v>840.26272756019182</v>
      </c>
      <c r="AT127" s="112">
        <v>840.26272756019182</v>
      </c>
      <c r="AU127" s="112">
        <v>840.26272756019182</v>
      </c>
      <c r="AV127" s="112">
        <v>840.26272756019182</v>
      </c>
      <c r="AW127" s="112">
        <v>746.9002022757262</v>
      </c>
      <c r="AX127" s="112">
        <v>746.9002022757262</v>
      </c>
      <c r="AY127" s="112">
        <v>746.9002022757262</v>
      </c>
    </row>
    <row r="128" spans="1:52" x14ac:dyDescent="0.2">
      <c r="A128" s="115"/>
      <c r="B128" s="125">
        <v>7</v>
      </c>
      <c r="C128" s="112">
        <v>541.20129123361198</v>
      </c>
      <c r="D128" s="112">
        <v>541.20129123361198</v>
      </c>
      <c r="E128" s="112">
        <v>541.20129123361198</v>
      </c>
      <c r="F128" s="112">
        <v>541.20129123361198</v>
      </c>
      <c r="G128" s="112">
        <v>541.20129123361198</v>
      </c>
      <c r="H128" s="112">
        <v>541.20129123361198</v>
      </c>
      <c r="I128" s="112">
        <v>474.390654482912</v>
      </c>
      <c r="J128" s="112">
        <v>389.59327245932087</v>
      </c>
      <c r="K128" s="112">
        <v>356.14938409971415</v>
      </c>
      <c r="L128" s="112">
        <v>339.51671454316482</v>
      </c>
      <c r="M128" s="112">
        <v>608.85145263781328</v>
      </c>
      <c r="N128" s="112">
        <v>541.20129123361198</v>
      </c>
      <c r="O128" s="112">
        <v>541.20129123361198</v>
      </c>
      <c r="P128" s="112">
        <v>541.20129123361198</v>
      </c>
      <c r="Q128" s="112">
        <v>541.20129123361198</v>
      </c>
      <c r="R128" s="112">
        <v>541.20129123361198</v>
      </c>
      <c r="S128" s="112">
        <v>541.20129123361198</v>
      </c>
      <c r="T128" s="112">
        <v>541.20129123361198</v>
      </c>
      <c r="U128" s="112">
        <v>541.20129123361198</v>
      </c>
      <c r="V128" s="112">
        <v>590.08228912863126</v>
      </c>
      <c r="W128" s="112">
        <v>608.85145263781328</v>
      </c>
      <c r="X128" s="112">
        <v>608.85145263781328</v>
      </c>
      <c r="Y128" s="112">
        <v>354.37320053002935</v>
      </c>
      <c r="Z128" s="112">
        <v>143.7790047209395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68.262569026349126</v>
      </c>
      <c r="AJ128" s="112">
        <v>415.1144567784612</v>
      </c>
      <c r="AK128" s="112">
        <v>608.85145263781328</v>
      </c>
      <c r="AL128" s="112">
        <v>541.20129123361198</v>
      </c>
      <c r="AM128" s="112">
        <v>541.20129123361198</v>
      </c>
      <c r="AN128" s="112">
        <v>541.20129123361198</v>
      </c>
      <c r="AO128" s="112">
        <v>541.20129123361198</v>
      </c>
      <c r="AP128" s="112">
        <v>541.20129123361198</v>
      </c>
      <c r="AQ128" s="112">
        <v>541.20129123361198</v>
      </c>
      <c r="AR128" s="112">
        <v>418.93323396419999</v>
      </c>
      <c r="AS128" s="112">
        <v>280.55915358709746</v>
      </c>
      <c r="AT128" s="112">
        <v>135.94395245009491</v>
      </c>
      <c r="AU128" s="112">
        <v>180.95739933092534</v>
      </c>
      <c r="AV128" s="112">
        <v>140.772869866051</v>
      </c>
      <c r="AW128" s="112">
        <v>380.65523404995241</v>
      </c>
      <c r="AX128" s="112">
        <v>528.02275112205871</v>
      </c>
      <c r="AY128" s="112">
        <v>541.20129123361198</v>
      </c>
    </row>
    <row r="129" spans="1:51" x14ac:dyDescent="0.2">
      <c r="A129" s="115"/>
      <c r="B129" s="125">
        <v>8</v>
      </c>
      <c r="C129" s="112">
        <v>124.39291970607923</v>
      </c>
      <c r="D129" s="112">
        <v>209.1187218751256</v>
      </c>
      <c r="E129" s="112">
        <v>101.50744657338765</v>
      </c>
      <c r="F129" s="112">
        <v>170.52778735575725</v>
      </c>
      <c r="G129" s="112">
        <v>163.34510248237115</v>
      </c>
      <c r="H129" s="112">
        <v>98.312078366213711</v>
      </c>
      <c r="I129" s="112">
        <v>0</v>
      </c>
      <c r="J129" s="112">
        <v>0</v>
      </c>
      <c r="K129" s="112">
        <v>0</v>
      </c>
      <c r="L129" s="112">
        <v>0</v>
      </c>
      <c r="M129" s="112">
        <v>17.613178050404656</v>
      </c>
      <c r="N129" s="112">
        <v>174.73426318594892</v>
      </c>
      <c r="O129" s="112">
        <v>234.56458506129195</v>
      </c>
      <c r="P129" s="112">
        <v>279.91741705536936</v>
      </c>
      <c r="Q129" s="112">
        <v>271.78021941670499</v>
      </c>
      <c r="R129" s="112">
        <v>218.88392248951624</v>
      </c>
      <c r="S129" s="112">
        <v>200.55541335498125</v>
      </c>
      <c r="T129" s="112">
        <v>252.27472130718627</v>
      </c>
      <c r="U129" s="112">
        <v>38.750201605687266</v>
      </c>
      <c r="V129" s="112">
        <v>0</v>
      </c>
      <c r="W129" s="112">
        <v>23.172240731315355</v>
      </c>
      <c r="X129" s="112">
        <v>55.962172053792926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56.590686361912304</v>
      </c>
      <c r="AL129" s="112">
        <v>218.17706163501521</v>
      </c>
      <c r="AM129" s="112">
        <v>267.84371102266903</v>
      </c>
      <c r="AN129" s="112">
        <v>348.23119735822547</v>
      </c>
      <c r="AO129" s="112">
        <v>227.47969062582649</v>
      </c>
      <c r="AP129" s="112">
        <v>26.5842395768654</v>
      </c>
      <c r="AQ129" s="112">
        <v>5.2155885166046119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55.603450684953089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297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298</v>
      </c>
      <c r="C172" s="140">
        <v>0.27540347480877819</v>
      </c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273</v>
      </c>
    </row>
    <row r="175" spans="1:52" x14ac:dyDescent="0.2">
      <c r="A175" s="141" t="s">
        <v>125</v>
      </c>
      <c r="B175" s="141" t="s">
        <v>299</v>
      </c>
      <c r="C175" s="130" t="s">
        <v>294</v>
      </c>
      <c r="D175" s="130">
        <f t="shared" ref="D175:AY175" si="1">SUM(D95:D98)</f>
        <v>7200.5000823553437</v>
      </c>
      <c r="E175" s="130">
        <f t="shared" si="1"/>
        <v>7137.4914343036216</v>
      </c>
      <c r="F175" s="130">
        <f t="shared" si="1"/>
        <v>6883.2156223164666</v>
      </c>
      <c r="G175" s="130">
        <f t="shared" si="1"/>
        <v>6599.2224106116118</v>
      </c>
      <c r="H175" s="130">
        <f t="shared" si="1"/>
        <v>6464.5996158924481</v>
      </c>
      <c r="I175" s="130">
        <f t="shared" si="1"/>
        <v>6545.631443479775</v>
      </c>
      <c r="J175" s="130">
        <f t="shared" si="1"/>
        <v>6630.2694661414007</v>
      </c>
      <c r="K175" s="130">
        <f t="shared" si="1"/>
        <v>6719.5562837724483</v>
      </c>
      <c r="L175" s="130">
        <f t="shared" si="1"/>
        <v>6828.1172747344117</v>
      </c>
      <c r="M175" s="130">
        <f t="shared" si="1"/>
        <v>6759.3231074079722</v>
      </c>
      <c r="N175" s="130">
        <f t="shared" si="1"/>
        <v>6820.7164119789713</v>
      </c>
      <c r="O175" s="130">
        <f t="shared" si="1"/>
        <v>6932.771330273401</v>
      </c>
      <c r="P175" s="130">
        <f t="shared" si="1"/>
        <v>6964.6762840042611</v>
      </c>
      <c r="Q175" s="130">
        <f t="shared" si="1"/>
        <v>6832.7274945771806</v>
      </c>
      <c r="R175" s="130">
        <f t="shared" si="1"/>
        <v>6651.2856923621184</v>
      </c>
      <c r="S175" s="130">
        <f t="shared" si="1"/>
        <v>6374.0190158033129</v>
      </c>
      <c r="T175" s="130">
        <f t="shared" si="1"/>
        <v>6168.2089836625237</v>
      </c>
      <c r="U175" s="130">
        <f t="shared" si="1"/>
        <v>6272.1001034995443</v>
      </c>
      <c r="V175" s="130">
        <f t="shared" si="1"/>
        <v>6293.2946141240454</v>
      </c>
      <c r="W175" s="130">
        <f t="shared" si="1"/>
        <v>6325.1081050694647</v>
      </c>
      <c r="X175" s="130">
        <f t="shared" si="1"/>
        <v>6369.0419903506063</v>
      </c>
      <c r="Y175" s="130">
        <f t="shared" si="1"/>
        <v>6684.3373412658366</v>
      </c>
      <c r="Z175" s="130">
        <f t="shared" si="1"/>
        <v>7026.6745031185546</v>
      </c>
      <c r="AA175" s="130">
        <f t="shared" si="1"/>
        <v>7449.1260542594082</v>
      </c>
      <c r="AB175" s="130">
        <f t="shared" si="1"/>
        <v>7804.0261324755302</v>
      </c>
      <c r="AC175" s="130">
        <f t="shared" si="1"/>
        <v>8317.8419394496686</v>
      </c>
      <c r="AD175" s="130">
        <f t="shared" si="1"/>
        <v>8740.2583128219685</v>
      </c>
      <c r="AE175" s="130">
        <f t="shared" si="1"/>
        <v>9298.9527856192963</v>
      </c>
      <c r="AF175" s="130">
        <f t="shared" si="1"/>
        <v>9813.8914219445523</v>
      </c>
      <c r="AG175" s="130">
        <f t="shared" si="1"/>
        <v>9740.2308212542321</v>
      </c>
      <c r="AH175" s="130">
        <f t="shared" si="1"/>
        <v>9670.988617011908</v>
      </c>
      <c r="AI175" s="130">
        <f t="shared" si="1"/>
        <v>9503.6682834264466</v>
      </c>
      <c r="AJ175" s="130">
        <f t="shared" si="1"/>
        <v>9326.2029547545062</v>
      </c>
      <c r="AK175" s="130">
        <f t="shared" si="1"/>
        <v>9097.0476620899481</v>
      </c>
      <c r="AL175" s="130">
        <f t="shared" si="1"/>
        <v>8940.4751663973875</v>
      </c>
      <c r="AM175" s="130">
        <f t="shared" si="1"/>
        <v>8752.2847442688471</v>
      </c>
      <c r="AN175" s="130">
        <f t="shared" si="1"/>
        <v>8353.7176458091253</v>
      </c>
      <c r="AO175" s="130">
        <f t="shared" si="1"/>
        <v>7776.3655822300298</v>
      </c>
      <c r="AP175" s="130">
        <f t="shared" si="1"/>
        <v>7193.3708521570334</v>
      </c>
      <c r="AQ175" s="130">
        <f t="shared" si="1"/>
        <v>6667.4512953011663</v>
      </c>
      <c r="AR175" s="130">
        <f t="shared" si="1"/>
        <v>6514.9857188945089</v>
      </c>
      <c r="AS175" s="130">
        <f t="shared" si="1"/>
        <v>6599.7335846539672</v>
      </c>
      <c r="AT175" s="130">
        <f t="shared" si="1"/>
        <v>6803.7430983139511</v>
      </c>
      <c r="AU175" s="130">
        <f t="shared" si="1"/>
        <v>6929.0470357259119</v>
      </c>
      <c r="AV175" s="130">
        <f t="shared" si="1"/>
        <v>7122.1352151032906</v>
      </c>
      <c r="AW175" s="130">
        <f t="shared" si="1"/>
        <v>7149.6168820062303</v>
      </c>
      <c r="AX175" s="130">
        <f t="shared" si="1"/>
        <v>7242.2144682781327</v>
      </c>
      <c r="AY175" s="130">
        <f t="shared" si="1"/>
        <v>7396.399948496779</v>
      </c>
    </row>
    <row r="176" spans="1:52" x14ac:dyDescent="0.2">
      <c r="A176" s="131"/>
      <c r="B176" s="142" t="s">
        <v>300</v>
      </c>
      <c r="C176" s="131" t="s">
        <v>294</v>
      </c>
      <c r="D176" s="131">
        <v>506</v>
      </c>
      <c r="E176" s="131">
        <v>633</v>
      </c>
      <c r="F176" s="131">
        <v>494</v>
      </c>
      <c r="G176" s="131">
        <v>532</v>
      </c>
      <c r="H176" s="131">
        <v>754</v>
      </c>
      <c r="I176" s="131">
        <v>735</v>
      </c>
      <c r="J176" s="131">
        <v>789</v>
      </c>
      <c r="K176" s="131">
        <v>873</v>
      </c>
      <c r="L176" s="131">
        <v>554</v>
      </c>
      <c r="M176" s="131">
        <v>522</v>
      </c>
      <c r="N176" s="131">
        <v>451</v>
      </c>
      <c r="O176" s="131">
        <v>570</v>
      </c>
      <c r="P176" s="131">
        <v>307</v>
      </c>
      <c r="Q176" s="131">
        <v>364</v>
      </c>
      <c r="R176" s="131">
        <v>447</v>
      </c>
      <c r="S176" s="131">
        <v>401</v>
      </c>
      <c r="T176" s="131">
        <v>626</v>
      </c>
      <c r="U176" s="131">
        <v>623</v>
      </c>
      <c r="V176" s="131">
        <v>585</v>
      </c>
      <c r="W176" s="131">
        <v>676</v>
      </c>
      <c r="X176" s="131">
        <v>863</v>
      </c>
      <c r="Y176" s="131">
        <v>716</v>
      </c>
      <c r="Z176" s="131">
        <v>542</v>
      </c>
      <c r="AA176" s="131">
        <v>928</v>
      </c>
      <c r="AB176" s="131">
        <v>164</v>
      </c>
      <c r="AC176" s="131">
        <v>207</v>
      </c>
      <c r="AD176" s="131">
        <v>148</v>
      </c>
      <c r="AE176" s="131">
        <v>172</v>
      </c>
      <c r="AF176" s="131">
        <v>208</v>
      </c>
      <c r="AG176" s="131">
        <v>189</v>
      </c>
      <c r="AH176" s="131">
        <v>216</v>
      </c>
      <c r="AI176" s="131">
        <v>255</v>
      </c>
      <c r="AJ176" s="131">
        <v>264</v>
      </c>
      <c r="AK176" s="131">
        <v>276</v>
      </c>
      <c r="AL176" s="131">
        <v>281</v>
      </c>
      <c r="AM176" s="131">
        <v>265</v>
      </c>
      <c r="AN176" s="131">
        <v>510</v>
      </c>
      <c r="AO176" s="131">
        <v>586</v>
      </c>
      <c r="AP176" s="131">
        <v>494</v>
      </c>
      <c r="AQ176" s="131">
        <v>610</v>
      </c>
      <c r="AR176" s="131">
        <v>324</v>
      </c>
      <c r="AS176" s="131">
        <v>259</v>
      </c>
      <c r="AT176" s="131">
        <v>319</v>
      </c>
      <c r="AU176" s="131">
        <v>291</v>
      </c>
      <c r="AV176" s="131">
        <v>189</v>
      </c>
      <c r="AW176" s="131">
        <v>218</v>
      </c>
      <c r="AX176" s="131">
        <v>163</v>
      </c>
      <c r="AY176" s="131">
        <v>194</v>
      </c>
    </row>
    <row r="177" spans="1:51" x14ac:dyDescent="0.2">
      <c r="A177" s="141" t="s">
        <v>133</v>
      </c>
      <c r="B177" s="141" t="s">
        <v>299</v>
      </c>
      <c r="C177" s="130" t="s">
        <v>294</v>
      </c>
      <c r="D177" s="130">
        <f t="shared" ref="D177:AY177" si="2">SUM(D100:D107)</f>
        <v>11</v>
      </c>
      <c r="E177" s="130">
        <f t="shared" si="2"/>
        <v>11</v>
      </c>
      <c r="F177" s="130">
        <f t="shared" si="2"/>
        <v>12</v>
      </c>
      <c r="G177" s="130">
        <f t="shared" si="2"/>
        <v>1</v>
      </c>
      <c r="H177" s="130">
        <f t="shared" si="2"/>
        <v>1</v>
      </c>
      <c r="I177" s="130">
        <f t="shared" si="2"/>
        <v>0</v>
      </c>
      <c r="J177" s="130">
        <f t="shared" si="2"/>
        <v>0</v>
      </c>
      <c r="K177" s="130">
        <f t="shared" si="2"/>
        <v>2</v>
      </c>
      <c r="L177" s="130">
        <f t="shared" si="2"/>
        <v>2</v>
      </c>
      <c r="M177" s="130">
        <f t="shared" si="2"/>
        <v>1</v>
      </c>
      <c r="N177" s="130">
        <f t="shared" si="2"/>
        <v>1</v>
      </c>
      <c r="O177" s="130">
        <f t="shared" si="2"/>
        <v>1</v>
      </c>
      <c r="P177" s="130">
        <f t="shared" si="2"/>
        <v>1</v>
      </c>
      <c r="Q177" s="130">
        <f t="shared" si="2"/>
        <v>1</v>
      </c>
      <c r="R177" s="130">
        <f t="shared" si="2"/>
        <v>1</v>
      </c>
      <c r="S177" s="130">
        <f t="shared" si="2"/>
        <v>1</v>
      </c>
      <c r="T177" s="130">
        <f t="shared" si="2"/>
        <v>1</v>
      </c>
      <c r="U177" s="130">
        <f t="shared" si="2"/>
        <v>0</v>
      </c>
      <c r="V177" s="130">
        <f t="shared" si="2"/>
        <v>2</v>
      </c>
      <c r="W177" s="130">
        <f t="shared" si="2"/>
        <v>0</v>
      </c>
      <c r="X177" s="130">
        <f t="shared" si="2"/>
        <v>1</v>
      </c>
      <c r="Y177" s="130">
        <f t="shared" si="2"/>
        <v>1</v>
      </c>
      <c r="Z177" s="130">
        <f t="shared" si="2"/>
        <v>2</v>
      </c>
      <c r="AA177" s="130">
        <f t="shared" si="2"/>
        <v>1</v>
      </c>
      <c r="AB177" s="130">
        <f t="shared" si="2"/>
        <v>0</v>
      </c>
      <c r="AC177" s="130">
        <f t="shared" si="2"/>
        <v>1</v>
      </c>
      <c r="AD177" s="130">
        <f t="shared" si="2"/>
        <v>2</v>
      </c>
      <c r="AE177" s="130">
        <f t="shared" si="2"/>
        <v>1</v>
      </c>
      <c r="AF177" s="130">
        <f t="shared" si="2"/>
        <v>1</v>
      </c>
      <c r="AG177" s="130">
        <f t="shared" si="2"/>
        <v>0</v>
      </c>
      <c r="AH177" s="130">
        <f t="shared" si="2"/>
        <v>2</v>
      </c>
      <c r="AI177" s="130">
        <f t="shared" si="2"/>
        <v>1</v>
      </c>
      <c r="AJ177" s="130">
        <f t="shared" si="2"/>
        <v>1</v>
      </c>
      <c r="AK177" s="130">
        <f t="shared" si="2"/>
        <v>0</v>
      </c>
      <c r="AL177" s="130">
        <f t="shared" si="2"/>
        <v>2</v>
      </c>
      <c r="AM177" s="130">
        <f t="shared" si="2"/>
        <v>0</v>
      </c>
      <c r="AN177" s="130">
        <f t="shared" si="2"/>
        <v>0</v>
      </c>
      <c r="AO177" s="130">
        <f t="shared" si="2"/>
        <v>2</v>
      </c>
      <c r="AP177" s="130">
        <f t="shared" si="2"/>
        <v>1</v>
      </c>
      <c r="AQ177" s="130">
        <f t="shared" si="2"/>
        <v>1</v>
      </c>
      <c r="AR177" s="130">
        <f t="shared" si="2"/>
        <v>1</v>
      </c>
      <c r="AS177" s="130">
        <f t="shared" si="2"/>
        <v>1</v>
      </c>
      <c r="AT177" s="130">
        <f t="shared" si="2"/>
        <v>2</v>
      </c>
      <c r="AU177" s="130">
        <f t="shared" si="2"/>
        <v>1</v>
      </c>
      <c r="AV177" s="130">
        <f t="shared" si="2"/>
        <v>1</v>
      </c>
      <c r="AW177" s="130">
        <f t="shared" si="2"/>
        <v>0</v>
      </c>
      <c r="AX177" s="130">
        <f t="shared" si="2"/>
        <v>0</v>
      </c>
      <c r="AY177" s="130">
        <f t="shared" si="2"/>
        <v>2</v>
      </c>
    </row>
    <row r="178" spans="1:51" x14ac:dyDescent="0.2">
      <c r="A178" s="131"/>
      <c r="B178" s="142" t="s">
        <v>300</v>
      </c>
      <c r="C178" s="131" t="s">
        <v>294</v>
      </c>
      <c r="D178" s="131">
        <v>11</v>
      </c>
      <c r="E178" s="131">
        <v>11</v>
      </c>
      <c r="F178" s="131">
        <v>12</v>
      </c>
      <c r="G178" s="131">
        <v>1</v>
      </c>
      <c r="H178" s="131">
        <v>1</v>
      </c>
      <c r="I178" s="131">
        <v>0</v>
      </c>
      <c r="J178" s="131">
        <v>0</v>
      </c>
      <c r="K178" s="131">
        <v>2</v>
      </c>
      <c r="L178" s="131">
        <v>2</v>
      </c>
      <c r="M178" s="131">
        <v>1</v>
      </c>
      <c r="N178" s="131">
        <v>1</v>
      </c>
      <c r="O178" s="131">
        <v>1</v>
      </c>
      <c r="P178" s="131">
        <v>1</v>
      </c>
      <c r="Q178" s="131">
        <v>1</v>
      </c>
      <c r="R178" s="131">
        <v>1</v>
      </c>
      <c r="S178" s="131">
        <v>1</v>
      </c>
      <c r="T178" s="131">
        <v>1</v>
      </c>
      <c r="U178" s="131">
        <v>0</v>
      </c>
      <c r="V178" s="131">
        <v>2</v>
      </c>
      <c r="W178" s="131">
        <v>0</v>
      </c>
      <c r="X178" s="131">
        <v>1</v>
      </c>
      <c r="Y178" s="131">
        <v>1</v>
      </c>
      <c r="Z178" s="131">
        <v>2</v>
      </c>
      <c r="AA178" s="131">
        <v>1</v>
      </c>
      <c r="AB178" s="131">
        <v>0</v>
      </c>
      <c r="AC178" s="131">
        <v>1</v>
      </c>
      <c r="AD178" s="131">
        <v>2</v>
      </c>
      <c r="AE178" s="131">
        <v>1</v>
      </c>
      <c r="AF178" s="131">
        <v>1</v>
      </c>
      <c r="AG178" s="131">
        <v>0</v>
      </c>
      <c r="AH178" s="131">
        <v>2</v>
      </c>
      <c r="AI178" s="131">
        <v>1</v>
      </c>
      <c r="AJ178" s="131">
        <v>1</v>
      </c>
      <c r="AK178" s="131">
        <v>0</v>
      </c>
      <c r="AL178" s="131">
        <v>2</v>
      </c>
      <c r="AM178" s="131">
        <v>0</v>
      </c>
      <c r="AN178" s="131">
        <v>0</v>
      </c>
      <c r="AO178" s="131">
        <v>2</v>
      </c>
      <c r="AP178" s="131">
        <v>1</v>
      </c>
      <c r="AQ178" s="131">
        <v>1</v>
      </c>
      <c r="AR178" s="131">
        <v>1</v>
      </c>
      <c r="AS178" s="131">
        <v>1</v>
      </c>
      <c r="AT178" s="131">
        <v>2</v>
      </c>
      <c r="AU178" s="131">
        <v>1</v>
      </c>
      <c r="AV178" s="131">
        <v>1</v>
      </c>
      <c r="AW178" s="131">
        <v>0</v>
      </c>
      <c r="AX178" s="131">
        <v>0</v>
      </c>
      <c r="AY178" s="131">
        <v>2</v>
      </c>
    </row>
    <row r="179" spans="1:51" x14ac:dyDescent="0.2">
      <c r="A179" s="141" t="s">
        <v>134</v>
      </c>
      <c r="B179" s="141" t="s">
        <v>299</v>
      </c>
      <c r="C179" s="130" t="s">
        <v>294</v>
      </c>
      <c r="D179" s="130">
        <f t="shared" ref="D179:AY179" si="3">SUM(D109:D120)</f>
        <v>29958.645075524964</v>
      </c>
      <c r="E179" s="130">
        <f t="shared" si="3"/>
        <v>29790.586518937926</v>
      </c>
      <c r="F179" s="130">
        <f t="shared" si="3"/>
        <v>29729.436740420777</v>
      </c>
      <c r="G179" s="130">
        <f t="shared" si="3"/>
        <v>29853.792845786815</v>
      </c>
      <c r="H179" s="130">
        <f t="shared" si="3"/>
        <v>30392.00391037259</v>
      </c>
      <c r="I179" s="130">
        <f t="shared" si="3"/>
        <v>30722.410752558219</v>
      </c>
      <c r="J179" s="130">
        <f t="shared" si="3"/>
        <v>30967.975361642119</v>
      </c>
      <c r="K179" s="130">
        <f t="shared" si="3"/>
        <v>31087.952223582881</v>
      </c>
      <c r="L179" s="130">
        <f t="shared" si="3"/>
        <v>31124.871505000054</v>
      </c>
      <c r="M179" s="130">
        <f t="shared" si="3"/>
        <v>31001.080281465911</v>
      </c>
      <c r="N179" s="130">
        <f t="shared" si="3"/>
        <v>30850.21605316356</v>
      </c>
      <c r="O179" s="130">
        <f t="shared" si="3"/>
        <v>30678.330812993787</v>
      </c>
      <c r="P179" s="130">
        <f t="shared" si="3"/>
        <v>30133.670178695804</v>
      </c>
      <c r="Q179" s="130">
        <f t="shared" si="3"/>
        <v>29935.077685821048</v>
      </c>
      <c r="R179" s="130">
        <f t="shared" si="3"/>
        <v>29924.010535241367</v>
      </c>
      <c r="S179" s="130">
        <f t="shared" si="3"/>
        <v>30041.785929722508</v>
      </c>
      <c r="T179" s="130">
        <f t="shared" si="3"/>
        <v>30534.43189966154</v>
      </c>
      <c r="U179" s="130">
        <f t="shared" si="3"/>
        <v>30890.381254182066</v>
      </c>
      <c r="V179" s="130">
        <f t="shared" si="3"/>
        <v>31102.461196990167</v>
      </c>
      <c r="W179" s="130">
        <f t="shared" si="3"/>
        <v>31208.526093016451</v>
      </c>
      <c r="X179" s="130">
        <f t="shared" si="3"/>
        <v>31259.649879235425</v>
      </c>
      <c r="Y179" s="130">
        <f t="shared" si="3"/>
        <v>31348.157477766232</v>
      </c>
      <c r="Z179" s="130">
        <f t="shared" si="3"/>
        <v>31215.4145117226</v>
      </c>
      <c r="AA179" s="130">
        <f t="shared" si="3"/>
        <v>30980.758380883079</v>
      </c>
      <c r="AB179" s="130">
        <f t="shared" si="3"/>
        <v>30306.607189760718</v>
      </c>
      <c r="AC179" s="130">
        <f t="shared" si="3"/>
        <v>30052.538641961019</v>
      </c>
      <c r="AD179" s="130">
        <f t="shared" si="3"/>
        <v>29766.258443397892</v>
      </c>
      <c r="AE179" s="130">
        <f t="shared" si="3"/>
        <v>29605.131409453574</v>
      </c>
      <c r="AF179" s="130">
        <f t="shared" si="3"/>
        <v>29642.748001499673</v>
      </c>
      <c r="AG179" s="130">
        <f t="shared" si="3"/>
        <v>29123.788403303584</v>
      </c>
      <c r="AH179" s="130">
        <f t="shared" si="3"/>
        <v>28745.695619922084</v>
      </c>
      <c r="AI179" s="130">
        <f t="shared" si="3"/>
        <v>28592.727039002257</v>
      </c>
      <c r="AJ179" s="130">
        <f t="shared" si="3"/>
        <v>28552.188082744658</v>
      </c>
      <c r="AK179" s="130">
        <f t="shared" si="3"/>
        <v>28625.378218472422</v>
      </c>
      <c r="AL179" s="130">
        <f t="shared" si="3"/>
        <v>28686.014500296078</v>
      </c>
      <c r="AM179" s="130">
        <f t="shared" si="3"/>
        <v>28826.538273036967</v>
      </c>
      <c r="AN179" s="130">
        <f t="shared" si="3"/>
        <v>28677.315036588094</v>
      </c>
      <c r="AO179" s="130">
        <f t="shared" si="3"/>
        <v>29034.740126959081</v>
      </c>
      <c r="AP179" s="130">
        <f t="shared" si="3"/>
        <v>29574.225058359101</v>
      </c>
      <c r="AQ179" s="130">
        <f t="shared" si="3"/>
        <v>29943.693475063028</v>
      </c>
      <c r="AR179" s="130">
        <f t="shared" si="3"/>
        <v>30562.197943006162</v>
      </c>
      <c r="AS179" s="130">
        <f t="shared" si="3"/>
        <v>30861.140112279845</v>
      </c>
      <c r="AT179" s="130">
        <f t="shared" si="3"/>
        <v>31046.151049478798</v>
      </c>
      <c r="AU179" s="130">
        <f t="shared" si="3"/>
        <v>31054.65345639821</v>
      </c>
      <c r="AV179" s="130">
        <f t="shared" si="3"/>
        <v>31030.597409308291</v>
      </c>
      <c r="AW179" s="130">
        <f t="shared" si="3"/>
        <v>30857.595903505917</v>
      </c>
      <c r="AX179" s="130">
        <f t="shared" si="3"/>
        <v>30617.630800161907</v>
      </c>
      <c r="AY179" s="130">
        <f t="shared" si="3"/>
        <v>30392.663329146755</v>
      </c>
    </row>
    <row r="180" spans="1:51" x14ac:dyDescent="0.2">
      <c r="A180" s="131"/>
      <c r="B180" s="142" t="s">
        <v>300</v>
      </c>
      <c r="C180" s="131" t="s">
        <v>294</v>
      </c>
      <c r="D180" s="131">
        <v>275.17182770663561</v>
      </c>
      <c r="E180" s="131">
        <v>246.17673076923077</v>
      </c>
      <c r="F180" s="131">
        <v>278.37131474103586</v>
      </c>
      <c r="G180" s="131">
        <v>331.19979035639415</v>
      </c>
      <c r="H180" s="131">
        <v>428.19980217606332</v>
      </c>
      <c r="I180" s="131">
        <v>438</v>
      </c>
      <c r="J180" s="131">
        <v>339</v>
      </c>
      <c r="K180" s="131">
        <v>460.39934426229507</v>
      </c>
      <c r="L180" s="131">
        <v>739.39945355191253</v>
      </c>
      <c r="M180" s="131">
        <v>1112.199831365936</v>
      </c>
      <c r="N180" s="131">
        <v>852.19982993197277</v>
      </c>
      <c r="O180" s="131">
        <v>983.19984126984127</v>
      </c>
      <c r="P180" s="131">
        <v>959.19954337899549</v>
      </c>
      <c r="Q180" s="131">
        <v>755.19965517241383</v>
      </c>
      <c r="R180" s="131">
        <v>1031.1996913580247</v>
      </c>
      <c r="S180" s="131">
        <v>887.19960937500002</v>
      </c>
      <c r="T180" s="131">
        <v>512.19975990396154</v>
      </c>
      <c r="U180" s="131">
        <v>414</v>
      </c>
      <c r="V180" s="131">
        <v>396.39933554817276</v>
      </c>
      <c r="W180" s="131">
        <v>411</v>
      </c>
      <c r="X180" s="131">
        <v>840.19989445910289</v>
      </c>
      <c r="Y180" s="131">
        <v>825.19987623762381</v>
      </c>
      <c r="Z180" s="131">
        <v>773.39947403024325</v>
      </c>
      <c r="AA180" s="131">
        <v>775.19989722507705</v>
      </c>
      <c r="AB180" s="131">
        <v>496</v>
      </c>
      <c r="AC180" s="131">
        <v>556.1996168582375</v>
      </c>
      <c r="AD180" s="131">
        <v>543.39865996649917</v>
      </c>
      <c r="AE180" s="131">
        <v>478.19965156794427</v>
      </c>
      <c r="AF180" s="131">
        <v>796.19985422740524</v>
      </c>
      <c r="AG180" s="131">
        <v>893</v>
      </c>
      <c r="AH180" s="131">
        <v>650.39927007299275</v>
      </c>
      <c r="AI180" s="131">
        <v>774.19981617647056</v>
      </c>
      <c r="AJ180" s="131">
        <v>727.19980657640235</v>
      </c>
      <c r="AK180" s="131">
        <v>668</v>
      </c>
      <c r="AL180" s="131">
        <v>778.39920477137173</v>
      </c>
      <c r="AM180" s="131">
        <v>720</v>
      </c>
      <c r="AN180" s="131">
        <v>603</v>
      </c>
      <c r="AO180" s="131">
        <v>610.39932885906035</v>
      </c>
      <c r="AP180" s="131">
        <v>545.19983416252069</v>
      </c>
      <c r="AQ180" s="131">
        <v>745.19982964224869</v>
      </c>
      <c r="AR180" s="131">
        <v>616.19970326409498</v>
      </c>
      <c r="AS180" s="131">
        <v>716.1996879875195</v>
      </c>
      <c r="AT180" s="131">
        <v>708.39856887298743</v>
      </c>
      <c r="AU180" s="131">
        <v>722.19968553459114</v>
      </c>
      <c r="AV180" s="131">
        <v>1401.1997509339976</v>
      </c>
      <c r="AW180" s="131">
        <v>1154</v>
      </c>
      <c r="AX180" s="131">
        <v>1398</v>
      </c>
      <c r="AY180" s="131">
        <v>1157.3990086741017</v>
      </c>
    </row>
    <row r="181" spans="1:51" x14ac:dyDescent="0.2">
      <c r="A181" s="141" t="s">
        <v>123</v>
      </c>
      <c r="B181" s="141" t="s">
        <v>299</v>
      </c>
      <c r="C181" s="130" t="s">
        <v>294</v>
      </c>
      <c r="D181" s="130">
        <f t="shared" ref="D181:AY181" si="4">(1-D172)*SUM(D122:D169)</f>
        <v>9296.4682373076976</v>
      </c>
      <c r="E181" s="130">
        <f t="shared" si="4"/>
        <v>9463.8987308745964</v>
      </c>
      <c r="F181" s="130">
        <f t="shared" si="4"/>
        <v>9691.7304211852133</v>
      </c>
      <c r="G181" s="130">
        <f t="shared" si="4"/>
        <v>9815.3734755070036</v>
      </c>
      <c r="H181" s="130">
        <f t="shared" si="4"/>
        <v>9522.9348175537198</v>
      </c>
      <c r="I181" s="130">
        <f t="shared" si="4"/>
        <v>9225.5323836321277</v>
      </c>
      <c r="J181" s="130">
        <f t="shared" si="4"/>
        <v>8986.2687040603232</v>
      </c>
      <c r="K181" s="130">
        <f t="shared" si="4"/>
        <v>8833.1877759434792</v>
      </c>
      <c r="L181" s="130">
        <f t="shared" si="4"/>
        <v>8727.7732760936833</v>
      </c>
      <c r="M181" s="130">
        <f t="shared" si="4"/>
        <v>8868.0445776390497</v>
      </c>
      <c r="N181" s="130">
        <f t="shared" si="4"/>
        <v>8932.8748980804303</v>
      </c>
      <c r="O181" s="130">
        <f t="shared" si="4"/>
        <v>8976.2277414123782</v>
      </c>
      <c r="P181" s="130">
        <f t="shared" si="4"/>
        <v>9347.7687258233746</v>
      </c>
      <c r="Q181" s="130">
        <f t="shared" si="4"/>
        <v>9587.2777904115392</v>
      </c>
      <c r="R181" s="130">
        <f t="shared" si="4"/>
        <v>9726.7691086748127</v>
      </c>
      <c r="S181" s="130">
        <f t="shared" si="4"/>
        <v>9842.3359374665815</v>
      </c>
      <c r="T181" s="130">
        <f t="shared" si="4"/>
        <v>9634.4956136380042</v>
      </c>
      <c r="U181" s="130">
        <f t="shared" si="4"/>
        <v>9302.0214003014389</v>
      </c>
      <c r="V181" s="130">
        <f t="shared" si="4"/>
        <v>9131.5423488779106</v>
      </c>
      <c r="W181" s="130">
        <f t="shared" si="4"/>
        <v>9033.0853418296247</v>
      </c>
      <c r="X181" s="130">
        <f t="shared" si="4"/>
        <v>8963.4822868426854</v>
      </c>
      <c r="Y181" s="130">
        <f t="shared" si="4"/>
        <v>8670.8880728121185</v>
      </c>
      <c r="Z181" s="130">
        <f t="shared" si="4"/>
        <v>8518.2922503034115</v>
      </c>
      <c r="AA181" s="130">
        <f t="shared" si="4"/>
        <v>8382.9409378314358</v>
      </c>
      <c r="AB181" s="130">
        <f t="shared" si="4"/>
        <v>8614.9937814319183</v>
      </c>
      <c r="AC181" s="130">
        <f t="shared" si="4"/>
        <v>8426.0572234809806</v>
      </c>
      <c r="AD181" s="130">
        <f t="shared" si="4"/>
        <v>8326.6888277362359</v>
      </c>
      <c r="AE181" s="130">
        <f t="shared" si="4"/>
        <v>8039.3374395393666</v>
      </c>
      <c r="AF181" s="130">
        <f t="shared" si="4"/>
        <v>7638.9578410852382</v>
      </c>
      <c r="AG181" s="130">
        <f t="shared" si="4"/>
        <v>8069.0929744816549</v>
      </c>
      <c r="AH181" s="130">
        <f t="shared" si="4"/>
        <v>8391.7811590599504</v>
      </c>
      <c r="AI181" s="130">
        <f t="shared" si="4"/>
        <v>8624.5859900929499</v>
      </c>
      <c r="AJ181" s="130">
        <f t="shared" si="4"/>
        <v>8782.5511374296821</v>
      </c>
      <c r="AK181" s="130">
        <f t="shared" si="4"/>
        <v>8896.2875447221813</v>
      </c>
      <c r="AL181" s="130">
        <f t="shared" si="4"/>
        <v>8964.3533988812069</v>
      </c>
      <c r="AM181" s="130">
        <f t="shared" si="4"/>
        <v>9000.3416804453918</v>
      </c>
      <c r="AN181" s="130">
        <f t="shared" si="4"/>
        <v>9397.2686536535002</v>
      </c>
      <c r="AO181" s="130">
        <f t="shared" si="4"/>
        <v>9555.1777811855354</v>
      </c>
      <c r="AP181" s="130">
        <f t="shared" si="4"/>
        <v>9587.4294266409324</v>
      </c>
      <c r="AQ181" s="130">
        <f t="shared" si="4"/>
        <v>9700.7933791572323</v>
      </c>
      <c r="AR181" s="130">
        <f t="shared" si="4"/>
        <v>9363.1032177459365</v>
      </c>
      <c r="AS181" s="130">
        <f t="shared" si="4"/>
        <v>9085.08275161042</v>
      </c>
      <c r="AT181" s="130">
        <f t="shared" si="4"/>
        <v>8802.4752881645218</v>
      </c>
      <c r="AU181" s="130">
        <f t="shared" si="4"/>
        <v>8706.2442725386609</v>
      </c>
      <c r="AV181" s="130">
        <f t="shared" si="4"/>
        <v>8583.7641768375033</v>
      </c>
      <c r="AW181" s="130">
        <f t="shared" si="4"/>
        <v>8689.9319429756142</v>
      </c>
      <c r="AX181" s="130">
        <f t="shared" si="4"/>
        <v>8796.7139337721201</v>
      </c>
      <c r="AY181" s="130">
        <f t="shared" si="4"/>
        <v>8846.553125299004</v>
      </c>
    </row>
    <row r="182" spans="1:51" x14ac:dyDescent="0.2">
      <c r="A182" s="131"/>
      <c r="B182" s="142" t="s">
        <v>300</v>
      </c>
      <c r="C182" s="131" t="s">
        <v>294</v>
      </c>
      <c r="D182" s="131">
        <v>442.17182770663561</v>
      </c>
      <c r="E182" s="131">
        <v>295.17673076923074</v>
      </c>
      <c r="F182" s="131">
        <v>352.37131474103586</v>
      </c>
      <c r="G182" s="131">
        <v>412.19979035639415</v>
      </c>
      <c r="H182" s="131">
        <v>530.19980217606326</v>
      </c>
      <c r="I182" s="131">
        <v>563</v>
      </c>
      <c r="J182" s="131">
        <v>535</v>
      </c>
      <c r="K182" s="131">
        <v>527.39934426229513</v>
      </c>
      <c r="L182" s="131">
        <v>228.39945355191256</v>
      </c>
      <c r="M182" s="131">
        <v>279.19983136593589</v>
      </c>
      <c r="N182" s="131">
        <v>284.19982993197277</v>
      </c>
      <c r="O182" s="131">
        <v>282.19984126984127</v>
      </c>
      <c r="P182" s="131">
        <v>323.19954337899543</v>
      </c>
      <c r="Q182" s="131">
        <v>370.19965517241377</v>
      </c>
      <c r="R182" s="131">
        <v>350.19969135802467</v>
      </c>
      <c r="S182" s="131">
        <v>285.19960937500002</v>
      </c>
      <c r="T182" s="131">
        <v>536.19975990396154</v>
      </c>
      <c r="U182" s="131">
        <v>439</v>
      </c>
      <c r="V182" s="131">
        <v>404.39933554817276</v>
      </c>
      <c r="W182" s="131">
        <v>402</v>
      </c>
      <c r="X182" s="131">
        <v>736.19989445910289</v>
      </c>
      <c r="Y182" s="131">
        <v>654.19987623762381</v>
      </c>
      <c r="Z182" s="131">
        <v>688.39947403024325</v>
      </c>
      <c r="AA182" s="131">
        <v>700.19989722507705</v>
      </c>
      <c r="AB182" s="131">
        <v>1193</v>
      </c>
      <c r="AC182" s="131">
        <v>1141.1996168582375</v>
      </c>
      <c r="AD182" s="131">
        <v>1438.3986599664991</v>
      </c>
      <c r="AE182" s="131">
        <v>1236.1996515679443</v>
      </c>
      <c r="AF182" s="131">
        <v>242.19985422740524</v>
      </c>
      <c r="AG182" s="131">
        <v>227</v>
      </c>
      <c r="AH182" s="131">
        <v>228.39927007299269</v>
      </c>
      <c r="AI182" s="131">
        <v>243.19981617647059</v>
      </c>
      <c r="AJ182" s="131">
        <v>244.19980657640232</v>
      </c>
      <c r="AK182" s="131">
        <v>264</v>
      </c>
      <c r="AL182" s="131">
        <v>282.39920477137179</v>
      </c>
      <c r="AM182" s="131">
        <v>238</v>
      </c>
      <c r="AN182" s="131">
        <v>417</v>
      </c>
      <c r="AO182" s="131">
        <v>530.39932885906035</v>
      </c>
      <c r="AP182" s="131">
        <v>406.19983416252074</v>
      </c>
      <c r="AQ182" s="131">
        <v>518.19982964224869</v>
      </c>
      <c r="AR182" s="131">
        <v>564.19970326409498</v>
      </c>
      <c r="AS182" s="131">
        <v>676.1996879875195</v>
      </c>
      <c r="AT182" s="131">
        <v>526.39856887298743</v>
      </c>
      <c r="AU182" s="131">
        <v>599.19968553459114</v>
      </c>
      <c r="AV182" s="131">
        <v>330.19975093399751</v>
      </c>
      <c r="AW182" s="131">
        <v>289</v>
      </c>
      <c r="AX182" s="131">
        <v>327</v>
      </c>
      <c r="AY182" s="131">
        <v>256.39900867410159</v>
      </c>
    </row>
    <row r="184" spans="1:51" x14ac:dyDescent="0.2">
      <c r="A184" s="108" t="s">
        <v>301</v>
      </c>
    </row>
    <row r="185" spans="1:51" x14ac:dyDescent="0.2">
      <c r="A185" s="132" t="s">
        <v>125</v>
      </c>
      <c r="B185" s="129">
        <v>1</v>
      </c>
      <c r="C185" s="130">
        <v>170</v>
      </c>
      <c r="D185" s="130">
        <v>506</v>
      </c>
      <c r="E185" s="130">
        <v>633</v>
      </c>
      <c r="F185" s="130">
        <v>494</v>
      </c>
      <c r="G185" s="130">
        <v>532</v>
      </c>
      <c r="H185" s="130">
        <v>754</v>
      </c>
      <c r="I185" s="130">
        <v>735</v>
      </c>
      <c r="J185" s="130">
        <v>789</v>
      </c>
      <c r="K185" s="130">
        <v>873</v>
      </c>
      <c r="L185" s="130">
        <v>554</v>
      </c>
      <c r="M185" s="130">
        <v>522</v>
      </c>
      <c r="N185" s="130">
        <v>451</v>
      </c>
      <c r="O185" s="130">
        <v>570</v>
      </c>
      <c r="P185" s="130">
        <v>307</v>
      </c>
      <c r="Q185" s="130">
        <v>364</v>
      </c>
      <c r="R185" s="130">
        <v>447</v>
      </c>
      <c r="S185" s="130">
        <v>401</v>
      </c>
      <c r="T185" s="130">
        <v>626</v>
      </c>
      <c r="U185" s="130">
        <v>623</v>
      </c>
      <c r="V185" s="130">
        <v>585</v>
      </c>
      <c r="W185" s="130">
        <v>676</v>
      </c>
      <c r="X185" s="130">
        <v>863</v>
      </c>
      <c r="Y185" s="130">
        <v>716</v>
      </c>
      <c r="Z185" s="130">
        <v>542</v>
      </c>
      <c r="AA185" s="130">
        <v>928</v>
      </c>
      <c r="AB185" s="130">
        <v>164</v>
      </c>
      <c r="AC185" s="130">
        <v>207</v>
      </c>
      <c r="AD185" s="130">
        <v>148</v>
      </c>
      <c r="AE185" s="130">
        <v>172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122.68224102705244</v>
      </c>
      <c r="AN185" s="130">
        <v>510</v>
      </c>
      <c r="AO185" s="130">
        <v>586</v>
      </c>
      <c r="AP185" s="130">
        <v>494</v>
      </c>
      <c r="AQ185" s="130">
        <v>610</v>
      </c>
      <c r="AR185" s="130">
        <v>324</v>
      </c>
      <c r="AS185" s="130">
        <v>259</v>
      </c>
      <c r="AT185" s="130">
        <v>319</v>
      </c>
      <c r="AU185" s="130">
        <v>291</v>
      </c>
      <c r="AV185" s="130">
        <v>189</v>
      </c>
      <c r="AW185" s="130">
        <v>218</v>
      </c>
      <c r="AX185" s="130">
        <v>163</v>
      </c>
      <c r="AY185" s="130">
        <v>194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208</v>
      </c>
      <c r="AG186" s="112">
        <v>189</v>
      </c>
      <c r="AH186" s="112">
        <v>216</v>
      </c>
      <c r="AI186" s="112">
        <v>255</v>
      </c>
      <c r="AJ186" s="112">
        <v>264</v>
      </c>
      <c r="AK186" s="112">
        <v>276</v>
      </c>
      <c r="AL186" s="112">
        <v>281</v>
      </c>
      <c r="AM186" s="112">
        <v>142.31775897294756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11</v>
      </c>
      <c r="F189" s="130">
        <v>1</v>
      </c>
      <c r="G189" s="130">
        <v>1</v>
      </c>
      <c r="H189" s="130">
        <v>1</v>
      </c>
      <c r="I189" s="130">
        <v>0</v>
      </c>
      <c r="J189" s="130">
        <v>0</v>
      </c>
      <c r="K189" s="130">
        <v>1</v>
      </c>
      <c r="L189" s="130">
        <v>1</v>
      </c>
      <c r="M189" s="130">
        <v>1</v>
      </c>
      <c r="N189" s="130">
        <v>1</v>
      </c>
      <c r="O189" s="130">
        <v>1</v>
      </c>
      <c r="P189" s="130">
        <v>1</v>
      </c>
      <c r="Q189" s="130">
        <v>1</v>
      </c>
      <c r="R189" s="130">
        <v>1</v>
      </c>
      <c r="S189" s="130">
        <v>1</v>
      </c>
      <c r="T189" s="130">
        <v>1</v>
      </c>
      <c r="U189" s="130">
        <v>0</v>
      </c>
      <c r="V189" s="130">
        <v>1</v>
      </c>
      <c r="W189" s="130">
        <v>0</v>
      </c>
      <c r="X189" s="130">
        <v>0</v>
      </c>
      <c r="Y189" s="130">
        <v>0</v>
      </c>
      <c r="Z189" s="130">
        <v>1</v>
      </c>
      <c r="AA189" s="130">
        <v>1</v>
      </c>
      <c r="AB189" s="130">
        <v>0</v>
      </c>
      <c r="AC189" s="130">
        <v>0</v>
      </c>
      <c r="AD189" s="130">
        <v>1</v>
      </c>
      <c r="AE189" s="130">
        <v>1</v>
      </c>
      <c r="AF189" s="130">
        <v>1</v>
      </c>
      <c r="AG189" s="130">
        <v>0</v>
      </c>
      <c r="AH189" s="130">
        <v>1</v>
      </c>
      <c r="AI189" s="130">
        <v>1</v>
      </c>
      <c r="AJ189" s="130">
        <v>1</v>
      </c>
      <c r="AK189" s="130">
        <v>0</v>
      </c>
      <c r="AL189" s="130">
        <v>1</v>
      </c>
      <c r="AM189" s="130">
        <v>0</v>
      </c>
      <c r="AN189" s="130">
        <v>0</v>
      </c>
      <c r="AO189" s="130">
        <v>0</v>
      </c>
      <c r="AP189" s="130">
        <v>1</v>
      </c>
      <c r="AQ189" s="130">
        <v>0</v>
      </c>
      <c r="AR189" s="130">
        <v>0</v>
      </c>
      <c r="AS189" s="130">
        <v>0</v>
      </c>
      <c r="AT189" s="130">
        <v>1</v>
      </c>
      <c r="AU189" s="130">
        <v>1</v>
      </c>
      <c r="AV189" s="130">
        <v>1</v>
      </c>
      <c r="AW189" s="130">
        <v>0</v>
      </c>
      <c r="AX189" s="130">
        <v>0</v>
      </c>
      <c r="AY189" s="130">
        <v>1</v>
      </c>
    </row>
    <row r="190" spans="1:51" x14ac:dyDescent="0.2">
      <c r="A190" s="115"/>
      <c r="B190" s="125">
        <v>2</v>
      </c>
      <c r="C190" s="112">
        <v>11</v>
      </c>
      <c r="D190" s="112">
        <v>11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1</v>
      </c>
      <c r="W190" s="112">
        <v>0</v>
      </c>
      <c r="X190" s="112">
        <v>1</v>
      </c>
      <c r="Y190" s="112">
        <v>1</v>
      </c>
      <c r="Z190" s="112">
        <v>1</v>
      </c>
      <c r="AA190" s="112">
        <v>0</v>
      </c>
      <c r="AB190" s="112">
        <v>0</v>
      </c>
      <c r="AC190" s="112">
        <v>1</v>
      </c>
      <c r="AD190" s="112">
        <v>1</v>
      </c>
      <c r="AE190" s="112">
        <v>0</v>
      </c>
      <c r="AF190" s="112">
        <v>0</v>
      </c>
      <c r="AG190" s="112">
        <v>0</v>
      </c>
      <c r="AH190" s="112">
        <v>1</v>
      </c>
      <c r="AI190" s="112">
        <v>0</v>
      </c>
      <c r="AJ190" s="112">
        <v>0</v>
      </c>
      <c r="AK190" s="112">
        <v>0</v>
      </c>
      <c r="AL190" s="112">
        <v>1</v>
      </c>
      <c r="AM190" s="112">
        <v>0</v>
      </c>
      <c r="AN190" s="112">
        <v>0</v>
      </c>
      <c r="AO190" s="112">
        <v>1</v>
      </c>
      <c r="AP190" s="112">
        <v>0</v>
      </c>
      <c r="AQ190" s="112">
        <v>0</v>
      </c>
      <c r="AR190" s="112">
        <v>1</v>
      </c>
      <c r="AS190" s="112">
        <v>1</v>
      </c>
      <c r="AT190" s="112">
        <v>1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11</v>
      </c>
      <c r="G191" s="112">
        <v>0</v>
      </c>
      <c r="H191" s="112">
        <v>0</v>
      </c>
      <c r="I191" s="112">
        <v>0</v>
      </c>
      <c r="J191" s="112">
        <v>0</v>
      </c>
      <c r="K191" s="112">
        <v>1</v>
      </c>
      <c r="L191" s="112">
        <v>1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1</v>
      </c>
      <c r="AP191" s="112">
        <v>0</v>
      </c>
      <c r="AQ191" s="112">
        <v>1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1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1052.1685305591677</v>
      </c>
      <c r="D205" s="112">
        <v>275.17182770663561</v>
      </c>
      <c r="E205" s="112">
        <v>246.17673076923077</v>
      </c>
      <c r="F205" s="112">
        <v>278.37131474103586</v>
      </c>
      <c r="G205" s="112">
        <v>331.19979035639415</v>
      </c>
      <c r="H205" s="112">
        <v>428.19980217606332</v>
      </c>
      <c r="I205" s="112">
        <v>438</v>
      </c>
      <c r="J205" s="112">
        <v>339</v>
      </c>
      <c r="K205" s="112">
        <v>460.39934426229507</v>
      </c>
      <c r="L205" s="112">
        <v>739.39945355191253</v>
      </c>
      <c r="M205" s="112">
        <v>1112.199831365936</v>
      </c>
      <c r="N205" s="112">
        <v>852.19982993197277</v>
      </c>
      <c r="O205" s="112">
        <v>983.19984126984127</v>
      </c>
      <c r="P205" s="112">
        <v>959.19954337899549</v>
      </c>
      <c r="Q205" s="112">
        <v>755.19965517241383</v>
      </c>
      <c r="R205" s="112">
        <v>1031.1996913580247</v>
      </c>
      <c r="S205" s="112">
        <v>887.19960937500002</v>
      </c>
      <c r="T205" s="112">
        <v>512.19975990396154</v>
      </c>
      <c r="U205" s="112">
        <v>414</v>
      </c>
      <c r="V205" s="112">
        <v>396.39933554817276</v>
      </c>
      <c r="W205" s="112">
        <v>411</v>
      </c>
      <c r="X205" s="112">
        <v>840.19989445910289</v>
      </c>
      <c r="Y205" s="112">
        <v>825.19987623762381</v>
      </c>
      <c r="Z205" s="112">
        <v>773.39947403024325</v>
      </c>
      <c r="AA205" s="112">
        <v>775.19989722507705</v>
      </c>
      <c r="AB205" s="112">
        <v>496</v>
      </c>
      <c r="AC205" s="112">
        <v>556.1996168582375</v>
      </c>
      <c r="AD205" s="112">
        <v>543.39865996649917</v>
      </c>
      <c r="AE205" s="112">
        <v>478.19965156794427</v>
      </c>
      <c r="AF205" s="112">
        <v>410.27649929263839</v>
      </c>
      <c r="AG205" s="112">
        <v>496.1585186474008</v>
      </c>
      <c r="AH205" s="112">
        <v>291.7125294911325</v>
      </c>
      <c r="AI205" s="112">
        <v>462.39915236467334</v>
      </c>
      <c r="AJ205" s="112">
        <v>496.33805164512432</v>
      </c>
      <c r="AK205" s="112">
        <v>515.83130738602767</v>
      </c>
      <c r="AL205" s="112">
        <v>672.50790871735387</v>
      </c>
      <c r="AM205" s="112">
        <v>678.17967052208269</v>
      </c>
      <c r="AN205" s="112">
        <v>603</v>
      </c>
      <c r="AO205" s="112">
        <v>610.39932885906035</v>
      </c>
      <c r="AP205" s="112">
        <v>545.19983416252069</v>
      </c>
      <c r="AQ205" s="112">
        <v>745.19982964224869</v>
      </c>
      <c r="AR205" s="112">
        <v>616.19970326409498</v>
      </c>
      <c r="AS205" s="112">
        <v>716.1996879875195</v>
      </c>
      <c r="AT205" s="112">
        <v>708.39856887298743</v>
      </c>
      <c r="AU205" s="112">
        <v>722.19968553459114</v>
      </c>
      <c r="AV205" s="112">
        <v>1401.1997509339976</v>
      </c>
      <c r="AW205" s="112">
        <v>1154</v>
      </c>
      <c r="AX205" s="112">
        <v>1398</v>
      </c>
      <c r="AY205" s="112">
        <v>1157.3990086741017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385.92335493476685</v>
      </c>
      <c r="AG206" s="112">
        <v>396.8414813525992</v>
      </c>
      <c r="AH206" s="112">
        <v>358.68674058186025</v>
      </c>
      <c r="AI206" s="112">
        <v>311.80066381179722</v>
      </c>
      <c r="AJ206" s="112">
        <v>230.86175493127803</v>
      </c>
      <c r="AK206" s="112">
        <v>152.16869261397233</v>
      </c>
      <c r="AL206" s="112">
        <v>105.89129605401786</v>
      </c>
      <c r="AM206" s="112">
        <v>41.820329477917312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53.993899900343877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42.693688086417637</v>
      </c>
      <c r="AC212" s="116">
        <v>425.23511261752731</v>
      </c>
      <c r="AD212" s="116">
        <v>999.62234268273096</v>
      </c>
      <c r="AE212" s="116">
        <v>1159.6284254032898</v>
      </c>
      <c r="AF212" s="116">
        <v>242.19985422740524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43.016415580386251</v>
      </c>
      <c r="AA213" s="116">
        <v>190.16815124719454</v>
      </c>
      <c r="AB213" s="116">
        <v>746.9002022757262</v>
      </c>
      <c r="AC213" s="116">
        <v>715.9645042407102</v>
      </c>
      <c r="AD213" s="116">
        <v>438.77631728376804</v>
      </c>
      <c r="AE213" s="116">
        <v>22.577326264310575</v>
      </c>
      <c r="AF213" s="116">
        <v>0</v>
      </c>
      <c r="AG213" s="116">
        <v>227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66.810636750699985</v>
      </c>
      <c r="I214" s="116">
        <v>219.25818017849241</v>
      </c>
      <c r="J214" s="116">
        <v>252.70206853809913</v>
      </c>
      <c r="K214" s="116">
        <v>269.33473809464846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18.769163509182022</v>
      </c>
      <c r="V214" s="116">
        <v>0</v>
      </c>
      <c r="W214" s="116">
        <v>0</v>
      </c>
      <c r="X214" s="116">
        <v>254.47825210778393</v>
      </c>
      <c r="Y214" s="116">
        <v>397.42228651267249</v>
      </c>
      <c r="Z214" s="116">
        <v>541.20129123361198</v>
      </c>
      <c r="AA214" s="116">
        <v>510.03174597788251</v>
      </c>
      <c r="AB214" s="116">
        <v>403.4061096378561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228.39927007299269</v>
      </c>
      <c r="AI214" s="116">
        <v>193.73699585935208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122.268057269412</v>
      </c>
      <c r="AR214" s="116">
        <v>260.64213764651453</v>
      </c>
      <c r="AS214" s="116">
        <v>472.90750018771837</v>
      </c>
      <c r="AT214" s="116">
        <v>427.89405330688794</v>
      </c>
      <c r="AU214" s="116">
        <v>468.07858277176229</v>
      </c>
      <c r="AV214" s="116">
        <v>228.19621858786087</v>
      </c>
      <c r="AW214" s="116">
        <v>13.178540111553218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183.03385318175211</v>
      </c>
      <c r="D215" s="116">
        <v>290.64512848349005</v>
      </c>
      <c r="E215" s="116">
        <v>221.62478770112045</v>
      </c>
      <c r="F215" s="116">
        <v>228.80747257450656</v>
      </c>
      <c r="G215" s="116">
        <v>293.840496690664</v>
      </c>
      <c r="H215" s="116">
        <v>392.15257505687771</v>
      </c>
      <c r="I215" s="116">
        <v>343.74181982150759</v>
      </c>
      <c r="J215" s="116">
        <v>282.29793146190087</v>
      </c>
      <c r="K215" s="116">
        <v>258.06460616764667</v>
      </c>
      <c r="L215" s="116">
        <v>228.39945355191256</v>
      </c>
      <c r="M215" s="116">
        <v>266.43738375303838</v>
      </c>
      <c r="N215" s="116">
        <v>157.58798999558576</v>
      </c>
      <c r="O215" s="116">
        <v>112.23515800150832</v>
      </c>
      <c r="P215" s="116">
        <v>120.37235564017274</v>
      </c>
      <c r="Q215" s="116">
        <v>173.26865256736147</v>
      </c>
      <c r="R215" s="116">
        <v>191.59716170189645</v>
      </c>
      <c r="S215" s="116">
        <v>139.87785374969144</v>
      </c>
      <c r="T215" s="116">
        <v>353.40237345119044</v>
      </c>
      <c r="U215" s="116">
        <v>392.15257505687771</v>
      </c>
      <c r="V215" s="116">
        <v>404.39933554817276</v>
      </c>
      <c r="W215" s="116">
        <v>385.20947488519437</v>
      </c>
      <c r="X215" s="116">
        <v>441.17164693898729</v>
      </c>
      <c r="Y215" s="116">
        <v>256.77758972495133</v>
      </c>
      <c r="Z215" s="116">
        <v>104.18176721624505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49.462820317118506</v>
      </c>
      <c r="AJ215" s="116">
        <v>244.19980657640232</v>
      </c>
      <c r="AK215" s="116">
        <v>222.99458530397209</v>
      </c>
      <c r="AL215" s="116">
        <v>124.30886403420871</v>
      </c>
      <c r="AM215" s="116">
        <v>43.921377698652265</v>
      </c>
      <c r="AN215" s="116">
        <v>164.67288443105122</v>
      </c>
      <c r="AO215" s="116">
        <v>365.56833548001231</v>
      </c>
      <c r="AP215" s="116">
        <v>386.9369865402731</v>
      </c>
      <c r="AQ215" s="116">
        <v>392.15257505687771</v>
      </c>
      <c r="AR215" s="116">
        <v>303.55756561758045</v>
      </c>
      <c r="AS215" s="116">
        <v>203.29218779980116</v>
      </c>
      <c r="AT215" s="116">
        <v>98.504515566099471</v>
      </c>
      <c r="AU215" s="116">
        <v>131.12110276282883</v>
      </c>
      <c r="AV215" s="116">
        <v>102.00353234613662</v>
      </c>
      <c r="AW215" s="116">
        <v>275.82145988844678</v>
      </c>
      <c r="AX215" s="116">
        <v>327</v>
      </c>
      <c r="AY215" s="116">
        <v>216.10894151914312</v>
      </c>
    </row>
    <row r="216" spans="1:51" x14ac:dyDescent="0.2">
      <c r="A216" s="115"/>
      <c r="B216" s="125">
        <v>8</v>
      </c>
      <c r="C216" s="112">
        <v>90.13467737741567</v>
      </c>
      <c r="D216" s="116">
        <v>151.52669922314556</v>
      </c>
      <c r="E216" s="116">
        <v>73.55194306811029</v>
      </c>
      <c r="F216" s="116">
        <v>123.56384216652928</v>
      </c>
      <c r="G216" s="116">
        <v>118.35929366573016</v>
      </c>
      <c r="H216" s="116">
        <v>71.236590368485551</v>
      </c>
      <c r="I216" s="116">
        <v>0</v>
      </c>
      <c r="J216" s="116">
        <v>0</v>
      </c>
      <c r="K216" s="116">
        <v>0</v>
      </c>
      <c r="L216" s="116">
        <v>0</v>
      </c>
      <c r="M216" s="116">
        <v>12.762447612897514</v>
      </c>
      <c r="N216" s="116">
        <v>126.61183993638703</v>
      </c>
      <c r="O216" s="116">
        <v>169.96468326833295</v>
      </c>
      <c r="P216" s="116">
        <v>202.82718773882269</v>
      </c>
      <c r="Q216" s="116">
        <v>196.9310026050523</v>
      </c>
      <c r="R216" s="116">
        <v>158.60252965612821</v>
      </c>
      <c r="S216" s="116">
        <v>145.32175562530858</v>
      </c>
      <c r="T216" s="116">
        <v>182.79738645277106</v>
      </c>
      <c r="U216" s="116">
        <v>28.078261433940298</v>
      </c>
      <c r="V216" s="116">
        <v>0</v>
      </c>
      <c r="W216" s="116">
        <v>16.790525114805604</v>
      </c>
      <c r="X216" s="116">
        <v>40.549995412331661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41.005414696027927</v>
      </c>
      <c r="AL216" s="116">
        <v>158.09034073716307</v>
      </c>
      <c r="AM216" s="116">
        <v>194.07862230134774</v>
      </c>
      <c r="AN216" s="116">
        <v>252.32711556894878</v>
      </c>
      <c r="AO216" s="116">
        <v>164.83099337904804</v>
      </c>
      <c r="AP216" s="116">
        <v>19.262847622247627</v>
      </c>
      <c r="AQ216" s="116">
        <v>3.7791973159589412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40.290067154958471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302</v>
      </c>
    </row>
    <row r="259" spans="1:52" x14ac:dyDescent="0.2">
      <c r="A259" s="143" t="s">
        <v>124</v>
      </c>
      <c r="B259" s="144">
        <v>650</v>
      </c>
      <c r="C259" s="130" t="s">
        <v>294</v>
      </c>
      <c r="D259" s="130">
        <f>E$14*$B$259</f>
        <v>2296701.2931277934</v>
      </c>
      <c r="E259" s="130">
        <f t="shared" ref="E259:AX259" si="5">F$14*$B$259</f>
        <v>2338065.155324507</v>
      </c>
      <c r="F259" s="130">
        <f t="shared" si="5"/>
        <v>2394351.1904504038</v>
      </c>
      <c r="G259" s="130">
        <f t="shared" si="5"/>
        <v>2424897.3242614702</v>
      </c>
      <c r="H259" s="130">
        <f t="shared" si="5"/>
        <v>2352650.0765178069</v>
      </c>
      <c r="I259" s="130">
        <f t="shared" si="5"/>
        <v>2279176.5232144198</v>
      </c>
      <c r="J259" s="130">
        <f t="shared" si="5"/>
        <v>2220066.2043015012</v>
      </c>
      <c r="K259" s="130">
        <f t="shared" si="5"/>
        <v>2182247.4158557742</v>
      </c>
      <c r="L259" s="130">
        <f t="shared" si="5"/>
        <v>2156204.663711702</v>
      </c>
      <c r="M259" s="130">
        <f t="shared" si="5"/>
        <v>2190858.8217665958</v>
      </c>
      <c r="N259" s="130">
        <f t="shared" si="5"/>
        <v>2206875.2139050718</v>
      </c>
      <c r="O259" s="130">
        <f t="shared" si="5"/>
        <v>2217585.5749582802</v>
      </c>
      <c r="P259" s="130">
        <f t="shared" si="5"/>
        <v>2309375.1274597617</v>
      </c>
      <c r="Q259" s="130">
        <f t="shared" si="5"/>
        <v>2368546.0689736512</v>
      </c>
      <c r="R259" s="130">
        <f t="shared" si="5"/>
        <v>2403007.5314191082</v>
      </c>
      <c r="S259" s="130">
        <f t="shared" si="5"/>
        <v>2431558.4260549406</v>
      </c>
      <c r="T259" s="130">
        <f t="shared" si="5"/>
        <v>2380211.2769746534</v>
      </c>
      <c r="U259" s="130">
        <f t="shared" si="5"/>
        <v>2298073.2073110198</v>
      </c>
      <c r="V259" s="130">
        <f t="shared" si="5"/>
        <v>2255956.1960051213</v>
      </c>
      <c r="W259" s="130">
        <f t="shared" si="5"/>
        <v>2231632.2990548983</v>
      </c>
      <c r="X259" s="130">
        <f t="shared" si="5"/>
        <v>2214436.7983213379</v>
      </c>
      <c r="Y259" s="130">
        <f t="shared" si="5"/>
        <v>2142151.1203012802</v>
      </c>
      <c r="Z259" s="130">
        <f t="shared" si="5"/>
        <v>2104452.1776560312</v>
      </c>
      <c r="AA259" s="130">
        <f t="shared" si="5"/>
        <v>2071013.5075669526</v>
      </c>
      <c r="AB259" s="130">
        <f t="shared" si="5"/>
        <v>2128342.3826156938</v>
      </c>
      <c r="AC259" s="130">
        <f t="shared" si="5"/>
        <v>2081665.4268204144</v>
      </c>
      <c r="AD259" s="130">
        <f t="shared" si="5"/>
        <v>2057116.3704285342</v>
      </c>
      <c r="AE259" s="130">
        <f t="shared" si="5"/>
        <v>1986125.9375020466</v>
      </c>
      <c r="AF259" s="130">
        <f t="shared" si="5"/>
        <v>1887211.7780558469</v>
      </c>
      <c r="AG259" s="130">
        <f t="shared" si="5"/>
        <v>1993477.0706243443</v>
      </c>
      <c r="AH259" s="130">
        <f t="shared" si="5"/>
        <v>2073197.4926039351</v>
      </c>
      <c r="AI259" s="130">
        <f t="shared" si="5"/>
        <v>2130712.1468609301</v>
      </c>
      <c r="AJ259" s="130">
        <f t="shared" si="5"/>
        <v>2169737.5862962464</v>
      </c>
      <c r="AK259" s="130">
        <f t="shared" si="5"/>
        <v>2197836.2735650414</v>
      </c>
      <c r="AL259" s="130">
        <f t="shared" si="5"/>
        <v>2214652.0073764608</v>
      </c>
      <c r="AM259" s="130">
        <f t="shared" si="5"/>
        <v>2223542.9464617157</v>
      </c>
      <c r="AN259" s="130">
        <f t="shared" si="5"/>
        <v>2321604.1315670363</v>
      </c>
      <c r="AO259" s="130">
        <f t="shared" si="5"/>
        <v>2360615.7312564831</v>
      </c>
      <c r="AP259" s="130">
        <f t="shared" si="5"/>
        <v>2368583.5308479075</v>
      </c>
      <c r="AQ259" s="130">
        <f t="shared" si="5"/>
        <v>2396590.202811073</v>
      </c>
      <c r="AR259" s="130">
        <f t="shared" si="5"/>
        <v>2313163.5282297088</v>
      </c>
      <c r="AS259" s="130">
        <f t="shared" si="5"/>
        <v>2244478.3084462495</v>
      </c>
      <c r="AT259" s="130">
        <f t="shared" si="5"/>
        <v>2174659.8666277751</v>
      </c>
      <c r="AU259" s="130">
        <f t="shared" si="5"/>
        <v>2150885.9029691932</v>
      </c>
      <c r="AV259" s="130">
        <f t="shared" si="5"/>
        <v>2120627.0791880954</v>
      </c>
      <c r="AW259" s="130">
        <f t="shared" si="5"/>
        <v>2146855.9264829583</v>
      </c>
      <c r="AX259" s="130">
        <f t="shared" si="5"/>
        <v>2173236.518562098</v>
      </c>
      <c r="AY259" s="130">
        <f>AZ$14*$B$259</f>
        <v>2185549.3380873534</v>
      </c>
      <c r="AZ259" s="145">
        <f>SUM($D259:$AY259)</f>
        <v>106570560.67878121</v>
      </c>
    </row>
    <row r="260" spans="1:52" x14ac:dyDescent="0.2">
      <c r="A260" s="146" t="s">
        <v>303</v>
      </c>
      <c r="B260" s="120">
        <v>60</v>
      </c>
      <c r="C260" s="131" t="s">
        <v>294</v>
      </c>
      <c r="D260" s="131">
        <f>(D$175-D$176+D$177-D$178+D$179-D$180+D$181-D$182)*$B$260</f>
        <v>2713936.1843864848</v>
      </c>
      <c r="E260" s="131">
        <f t="shared" ref="E260:AY260" si="6">(E$175-E$176+E$177-E$178+E$179-E$180+E$181-E$182)*$B$260</f>
        <v>2713057.3933546608</v>
      </c>
      <c r="F260" s="131">
        <f t="shared" si="6"/>
        <v>2710778.409266423</v>
      </c>
      <c r="G260" s="131">
        <f t="shared" si="6"/>
        <v>2699579.3490715586</v>
      </c>
      <c r="H260" s="131">
        <f t="shared" si="6"/>
        <v>2680028.3243679972</v>
      </c>
      <c r="I260" s="131">
        <f t="shared" si="6"/>
        <v>2685454.474780207</v>
      </c>
      <c r="J260" s="131">
        <f t="shared" si="6"/>
        <v>2695290.8119106302</v>
      </c>
      <c r="K260" s="131">
        <f t="shared" si="6"/>
        <v>2686793.8556864527</v>
      </c>
      <c r="L260" s="131">
        <f t="shared" si="6"/>
        <v>2709537.7889234591</v>
      </c>
      <c r="M260" s="131">
        <f t="shared" si="6"/>
        <v>2682902.8982268637</v>
      </c>
      <c r="N260" s="131">
        <f t="shared" si="6"/>
        <v>2700984.4622015408</v>
      </c>
      <c r="O260" s="131">
        <f t="shared" si="6"/>
        <v>2685115.8121283925</v>
      </c>
      <c r="P260" s="131">
        <f t="shared" si="6"/>
        <v>2691402.9661059272</v>
      </c>
      <c r="Q260" s="131">
        <f t="shared" si="6"/>
        <v>2691941.0196278966</v>
      </c>
      <c r="R260" s="131">
        <f t="shared" si="6"/>
        <v>2668419.9572137347</v>
      </c>
      <c r="S260" s="131">
        <f t="shared" si="6"/>
        <v>2681084.4998545442</v>
      </c>
      <c r="T260" s="131">
        <f t="shared" si="6"/>
        <v>2679764.2186292489</v>
      </c>
      <c r="U260" s="131">
        <f t="shared" si="6"/>
        <v>2699310.165478983</v>
      </c>
      <c r="V260" s="131">
        <f t="shared" si="6"/>
        <v>2708489.9693337469</v>
      </c>
      <c r="W260" s="131">
        <f t="shared" si="6"/>
        <v>2704663.1723949322</v>
      </c>
      <c r="X260" s="131">
        <f t="shared" si="6"/>
        <v>2649166.4620506307</v>
      </c>
      <c r="Y260" s="131">
        <f t="shared" si="6"/>
        <v>2670478.9883621368</v>
      </c>
      <c r="Z260" s="131">
        <f t="shared" si="6"/>
        <v>2685394.9390250449</v>
      </c>
      <c r="AA260" s="131">
        <f t="shared" si="6"/>
        <v>2664565.5347114257</v>
      </c>
      <c r="AB260" s="131">
        <f t="shared" si="6"/>
        <v>2692357.6262200898</v>
      </c>
      <c r="AC260" s="131">
        <f t="shared" si="6"/>
        <v>2693522.3142705113</v>
      </c>
      <c r="AD260" s="131">
        <f t="shared" si="6"/>
        <v>2682204.4958413858</v>
      </c>
      <c r="AE260" s="131">
        <f t="shared" si="6"/>
        <v>2703421.3398885815</v>
      </c>
      <c r="AF260" s="131">
        <f t="shared" si="6"/>
        <v>2750951.8533644788</v>
      </c>
      <c r="AG260" s="131">
        <f t="shared" si="6"/>
        <v>2737446.7319423682</v>
      </c>
      <c r="AH260" s="131">
        <f t="shared" si="6"/>
        <v>2742820.0113508776</v>
      </c>
      <c r="AI260" s="131">
        <f t="shared" si="6"/>
        <v>2726914.9008101225</v>
      </c>
      <c r="AJ260" s="131">
        <f t="shared" si="6"/>
        <v>2725532.5537065626</v>
      </c>
      <c r="AK260" s="131">
        <f t="shared" si="6"/>
        <v>2724642.8055170728</v>
      </c>
      <c r="AL260" s="131">
        <f t="shared" si="6"/>
        <v>2714942.6793619161</v>
      </c>
      <c r="AM260" s="131">
        <f t="shared" si="6"/>
        <v>2721369.8818650721</v>
      </c>
      <c r="AN260" s="131">
        <f t="shared" si="6"/>
        <v>2693898.080163043</v>
      </c>
      <c r="AO260" s="131">
        <f t="shared" si="6"/>
        <v>2678369.0899593919</v>
      </c>
      <c r="AP260" s="131">
        <f t="shared" si="6"/>
        <v>2694577.5401299214</v>
      </c>
      <c r="AQ260" s="131">
        <f t="shared" si="6"/>
        <v>2666312.3094142159</v>
      </c>
      <c r="AR260" s="131">
        <f t="shared" si="6"/>
        <v>2696153.2483871053</v>
      </c>
      <c r="AS260" s="131">
        <f t="shared" si="6"/>
        <v>2693673.4243541514</v>
      </c>
      <c r="AT260" s="131">
        <f t="shared" si="6"/>
        <v>2705914.3378926776</v>
      </c>
      <c r="AU260" s="131">
        <f t="shared" si="6"/>
        <v>2704652.7236156156</v>
      </c>
      <c r="AV260" s="131">
        <f t="shared" si="6"/>
        <v>2688965.8379628654</v>
      </c>
      <c r="AW260" s="131">
        <f t="shared" si="6"/>
        <v>2702168.6837092657</v>
      </c>
      <c r="AX260" s="131">
        <f t="shared" si="6"/>
        <v>2686113.5521327294</v>
      </c>
      <c r="AY260" s="131">
        <f t="shared" si="6"/>
        <v>2701669.1031356603</v>
      </c>
      <c r="AZ260" s="147">
        <f>SUM($D260:$AY260)</f>
        <v>129486736.78208859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285</v>
      </c>
    </row>
    <row r="2" spans="1:54" x14ac:dyDescent="0.2">
      <c r="A2" s="106" t="s">
        <v>286</v>
      </c>
      <c r="B2" s="113" t="s">
        <v>59</v>
      </c>
    </row>
    <row r="3" spans="1:54" x14ac:dyDescent="0.2">
      <c r="A3" s="106" t="s">
        <v>287</v>
      </c>
      <c r="B3" s="114">
        <v>51000</v>
      </c>
      <c r="C3" s="115"/>
    </row>
    <row r="4" spans="1:54" x14ac:dyDescent="0.2">
      <c r="B4" s="116"/>
      <c r="C4" s="116"/>
    </row>
    <row r="5" spans="1:54" x14ac:dyDescent="0.2">
      <c r="C5" s="117" t="s">
        <v>288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289</v>
      </c>
      <c r="D7" s="118" t="s">
        <v>290</v>
      </c>
      <c r="E7" s="118" t="s">
        <v>290</v>
      </c>
      <c r="F7" s="118" t="s">
        <v>290</v>
      </c>
      <c r="G7" s="118" t="s">
        <v>290</v>
      </c>
      <c r="H7" s="118" t="s">
        <v>290</v>
      </c>
      <c r="I7" s="118" t="s">
        <v>290</v>
      </c>
      <c r="J7" s="118" t="s">
        <v>290</v>
      </c>
      <c r="K7" s="118" t="s">
        <v>290</v>
      </c>
      <c r="L7" s="118" t="s">
        <v>290</v>
      </c>
      <c r="M7" s="118" t="s">
        <v>290</v>
      </c>
      <c r="N7" s="118" t="s">
        <v>290</v>
      </c>
      <c r="O7" s="118" t="s">
        <v>290</v>
      </c>
      <c r="P7" s="118" t="s">
        <v>290</v>
      </c>
      <c r="Q7" s="118" t="s">
        <v>290</v>
      </c>
      <c r="R7" s="118" t="s">
        <v>290</v>
      </c>
      <c r="S7" s="118" t="s">
        <v>290</v>
      </c>
      <c r="T7" s="118" t="s">
        <v>290</v>
      </c>
      <c r="U7" s="118" t="s">
        <v>290</v>
      </c>
      <c r="V7" s="118" t="s">
        <v>290</v>
      </c>
      <c r="W7" s="118" t="s">
        <v>290</v>
      </c>
      <c r="X7" s="118" t="s">
        <v>290</v>
      </c>
      <c r="Y7" s="118" t="s">
        <v>290</v>
      </c>
      <c r="Z7" s="118" t="s">
        <v>290</v>
      </c>
      <c r="AA7" s="118" t="s">
        <v>290</v>
      </c>
      <c r="AB7" s="118" t="s">
        <v>290</v>
      </c>
      <c r="AC7" s="118" t="s">
        <v>290</v>
      </c>
      <c r="AD7" s="118" t="s">
        <v>290</v>
      </c>
      <c r="AE7" s="118" t="s">
        <v>290</v>
      </c>
      <c r="AF7" s="118" t="s">
        <v>290</v>
      </c>
      <c r="AG7" s="118" t="s">
        <v>290</v>
      </c>
      <c r="AH7" s="118" t="s">
        <v>290</v>
      </c>
      <c r="AI7" s="118" t="s">
        <v>290</v>
      </c>
      <c r="AJ7" s="118" t="s">
        <v>290</v>
      </c>
      <c r="AK7" s="118" t="s">
        <v>290</v>
      </c>
      <c r="AL7" s="118" t="s">
        <v>290</v>
      </c>
      <c r="AM7" s="118" t="s">
        <v>290</v>
      </c>
      <c r="AN7" s="118" t="s">
        <v>290</v>
      </c>
      <c r="AO7" s="118" t="s">
        <v>290</v>
      </c>
      <c r="AP7" s="118" t="s">
        <v>290</v>
      </c>
      <c r="AQ7" s="118" t="s">
        <v>290</v>
      </c>
      <c r="AR7" s="118" t="s">
        <v>290</v>
      </c>
      <c r="AS7" s="118" t="s">
        <v>290</v>
      </c>
      <c r="AT7" s="118" t="s">
        <v>290</v>
      </c>
      <c r="AU7" s="118" t="s">
        <v>290</v>
      </c>
      <c r="AV7" s="118" t="s">
        <v>290</v>
      </c>
      <c r="AW7" s="118" t="s">
        <v>290</v>
      </c>
      <c r="AX7" s="118" t="s">
        <v>290</v>
      </c>
      <c r="AY7" s="117" t="s">
        <v>291</v>
      </c>
      <c r="AZ7" s="117" t="s">
        <v>292</v>
      </c>
    </row>
    <row r="8" spans="1:54" x14ac:dyDescent="0.2">
      <c r="A8" s="108" t="s">
        <v>293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294</v>
      </c>
      <c r="D9" s="123">
        <v>9747.0283729175026</v>
      </c>
      <c r="E9" s="123">
        <v>9747.0283729175026</v>
      </c>
      <c r="F9" s="123">
        <v>9747.0283729175026</v>
      </c>
      <c r="G9" s="123">
        <v>9747.0283729175026</v>
      </c>
      <c r="H9" s="123">
        <v>9166.6651694292195</v>
      </c>
      <c r="I9" s="123">
        <v>9166.6651694292195</v>
      </c>
      <c r="J9" s="123">
        <v>9166.6651694292195</v>
      </c>
      <c r="K9" s="123">
        <v>9166.6651694292195</v>
      </c>
      <c r="L9" s="123">
        <v>9166.6651694292195</v>
      </c>
      <c r="M9" s="123">
        <v>9166.6651694292195</v>
      </c>
      <c r="N9" s="123">
        <v>9166.6651694292195</v>
      </c>
      <c r="O9" s="123">
        <v>9166.6651694292195</v>
      </c>
      <c r="P9" s="123">
        <v>9747.0283729175026</v>
      </c>
      <c r="Q9" s="123">
        <v>9747.0283729175026</v>
      </c>
      <c r="R9" s="123">
        <v>9747.0283729175026</v>
      </c>
      <c r="S9" s="123">
        <v>9747.0283729175026</v>
      </c>
      <c r="T9" s="123">
        <v>9166.6651694292195</v>
      </c>
      <c r="U9" s="123">
        <v>9166.6651694292195</v>
      </c>
      <c r="V9" s="123">
        <v>9166.6651694292195</v>
      </c>
      <c r="W9" s="123">
        <v>9166.6651694292195</v>
      </c>
      <c r="X9" s="123">
        <v>9166.6651694292195</v>
      </c>
      <c r="Y9" s="123">
        <v>9166.6651694292195</v>
      </c>
      <c r="Z9" s="123">
        <v>9166.6651694292195</v>
      </c>
      <c r="AA9" s="123">
        <v>9166.6651694292195</v>
      </c>
      <c r="AB9" s="123">
        <v>9747.0283729175026</v>
      </c>
      <c r="AC9" s="123">
        <v>9747.0283729175026</v>
      </c>
      <c r="AD9" s="123">
        <v>9747.0283729175026</v>
      </c>
      <c r="AE9" s="123">
        <v>9747.0283729175026</v>
      </c>
      <c r="AF9" s="123">
        <v>9166.6651694292195</v>
      </c>
      <c r="AG9" s="123">
        <v>9166.6651694292195</v>
      </c>
      <c r="AH9" s="123">
        <v>9166.6651694292195</v>
      </c>
      <c r="AI9" s="123">
        <v>9166.6651694292195</v>
      </c>
      <c r="AJ9" s="123">
        <v>9166.6651694292195</v>
      </c>
      <c r="AK9" s="123">
        <v>9166.6651694292195</v>
      </c>
      <c r="AL9" s="123">
        <v>9166.6651694292195</v>
      </c>
      <c r="AM9" s="123">
        <v>9166.6651694292195</v>
      </c>
      <c r="AN9" s="123">
        <v>9747.0283729175026</v>
      </c>
      <c r="AO9" s="123">
        <v>9747.0283729175026</v>
      </c>
      <c r="AP9" s="123">
        <v>8285.1315328765941</v>
      </c>
      <c r="AQ9" s="123">
        <v>8287.8488443746646</v>
      </c>
      <c r="AR9" s="123">
        <v>9166.6651694292195</v>
      </c>
      <c r="AS9" s="123">
        <v>9166.6651694292195</v>
      </c>
      <c r="AT9" s="123">
        <v>9166.6651694292195</v>
      </c>
      <c r="AU9" s="123">
        <v>9166.6651694292195</v>
      </c>
      <c r="AV9" s="123">
        <v>9166.6651694292195</v>
      </c>
      <c r="AW9" s="123">
        <v>9166.6651694292195</v>
      </c>
      <c r="AX9" s="123">
        <v>9166.6651694292195</v>
      </c>
      <c r="AY9" s="123">
        <v>9166.6651694292195</v>
      </c>
    </row>
    <row r="10" spans="1:54" x14ac:dyDescent="0.2">
      <c r="A10" s="124" t="s">
        <v>133</v>
      </c>
      <c r="B10" s="125">
        <v>1</v>
      </c>
      <c r="C10" s="112" t="s">
        <v>294</v>
      </c>
      <c r="D10" s="106">
        <v>3800</v>
      </c>
      <c r="E10" s="106">
        <v>3411.6093849829113</v>
      </c>
      <c r="F10" s="106">
        <v>0</v>
      </c>
      <c r="G10" s="106">
        <v>3787</v>
      </c>
      <c r="H10" s="106">
        <v>0</v>
      </c>
      <c r="I10" s="106">
        <v>3787</v>
      </c>
      <c r="J10" s="106">
        <v>0</v>
      </c>
      <c r="K10" s="106">
        <v>0</v>
      </c>
      <c r="L10" s="106">
        <v>0</v>
      </c>
      <c r="M10" s="106">
        <v>0</v>
      </c>
      <c r="N10" s="106">
        <v>3411.6093849829113</v>
      </c>
      <c r="O10" s="106">
        <v>3411.6093849829113</v>
      </c>
      <c r="P10" s="106">
        <v>3411.6093849829113</v>
      </c>
      <c r="Q10" s="106">
        <v>0</v>
      </c>
      <c r="R10" s="106">
        <v>0</v>
      </c>
      <c r="S10" s="106">
        <v>3787</v>
      </c>
      <c r="T10" s="106">
        <v>0</v>
      </c>
      <c r="U10" s="106">
        <v>3787</v>
      </c>
      <c r="V10" s="106">
        <v>0</v>
      </c>
      <c r="W10" s="106">
        <v>3411.6093849829113</v>
      </c>
      <c r="X10" s="106">
        <v>0</v>
      </c>
      <c r="Y10" s="106">
        <v>0</v>
      </c>
      <c r="Z10" s="106">
        <v>0</v>
      </c>
      <c r="AA10" s="106">
        <v>3411.6093849829113</v>
      </c>
      <c r="AB10" s="106">
        <v>0</v>
      </c>
      <c r="AC10" s="106">
        <v>0</v>
      </c>
      <c r="AD10" s="106">
        <v>3787</v>
      </c>
      <c r="AE10" s="106">
        <v>3787</v>
      </c>
      <c r="AF10" s="106">
        <v>3787</v>
      </c>
      <c r="AG10" s="106">
        <v>3787</v>
      </c>
      <c r="AH10" s="106">
        <v>3411.6093849829113</v>
      </c>
      <c r="AI10" s="106">
        <v>3411.6093849829113</v>
      </c>
      <c r="AJ10" s="106">
        <v>3411.6093849829113</v>
      </c>
      <c r="AK10" s="106">
        <v>3411.6093849829113</v>
      </c>
      <c r="AL10" s="106">
        <v>3411.6093849829113</v>
      </c>
      <c r="AM10" s="106">
        <v>3411.6093849829113</v>
      </c>
      <c r="AN10" s="106">
        <v>0</v>
      </c>
      <c r="AO10" s="106">
        <v>0</v>
      </c>
      <c r="AP10" s="106">
        <v>3787</v>
      </c>
      <c r="AQ10" s="106">
        <v>3787</v>
      </c>
      <c r="AR10" s="106">
        <v>0</v>
      </c>
      <c r="AS10" s="106">
        <v>0</v>
      </c>
      <c r="AT10" s="106">
        <v>3411.6093849829113</v>
      </c>
      <c r="AU10" s="106">
        <v>0</v>
      </c>
      <c r="AV10" s="106">
        <v>3787</v>
      </c>
      <c r="AW10" s="106">
        <v>0</v>
      </c>
      <c r="AX10" s="106">
        <v>0</v>
      </c>
      <c r="AY10" s="106">
        <v>0</v>
      </c>
      <c r="AZ10" s="106">
        <v>0</v>
      </c>
    </row>
    <row r="11" spans="1:54" x14ac:dyDescent="0.2">
      <c r="B11" s="125">
        <v>2</v>
      </c>
      <c r="C11" s="112" t="s">
        <v>294</v>
      </c>
      <c r="D11" s="106">
        <v>0</v>
      </c>
      <c r="E11" s="106">
        <v>3</v>
      </c>
      <c r="G11" s="106">
        <v>3787</v>
      </c>
      <c r="I11" s="106">
        <v>3787</v>
      </c>
      <c r="J11" s="106">
        <v>0</v>
      </c>
      <c r="K11" s="106">
        <v>3411.6093849829113</v>
      </c>
      <c r="L11" s="106">
        <v>3411.6093849829113</v>
      </c>
      <c r="M11" s="106">
        <v>3411.6093849829113</v>
      </c>
      <c r="N11" s="106">
        <v>3411.6093849829113</v>
      </c>
      <c r="P11" s="106">
        <v>0</v>
      </c>
      <c r="R11" s="106">
        <v>3411.6093849829113</v>
      </c>
      <c r="S11" s="106">
        <v>3787</v>
      </c>
      <c r="W11" s="106">
        <v>3411.6093849829113</v>
      </c>
      <c r="Y11" s="106">
        <v>3411.6093849829113</v>
      </c>
      <c r="Z11" s="106">
        <v>0</v>
      </c>
      <c r="AA11" s="106">
        <v>3787</v>
      </c>
      <c r="AC11" s="106">
        <v>3411.6093849829113</v>
      </c>
      <c r="AD11" s="106">
        <v>3411.6093849829113</v>
      </c>
      <c r="AE11" s="106">
        <v>0</v>
      </c>
      <c r="AG11" s="106">
        <v>0</v>
      </c>
      <c r="AK11" s="106">
        <v>0</v>
      </c>
      <c r="AL11" s="106">
        <v>0</v>
      </c>
      <c r="AN11" s="106">
        <v>0</v>
      </c>
      <c r="AO11" s="106">
        <v>3411.6093849829113</v>
      </c>
      <c r="AP11" s="106">
        <v>0</v>
      </c>
      <c r="AQ11" s="106">
        <v>0</v>
      </c>
      <c r="AS11" s="106">
        <v>0</v>
      </c>
      <c r="AT11" s="106">
        <v>0</v>
      </c>
      <c r="AU11" s="106">
        <v>0</v>
      </c>
      <c r="AW11" s="106">
        <v>0</v>
      </c>
      <c r="AX11" s="106">
        <v>3411.6093849829113</v>
      </c>
      <c r="AY11" s="106">
        <v>3411.6093849829113</v>
      </c>
    </row>
    <row r="12" spans="1:54" x14ac:dyDescent="0.2">
      <c r="B12" s="126">
        <v>3</v>
      </c>
      <c r="C12" s="112" t="s">
        <v>294</v>
      </c>
      <c r="D12" s="106">
        <v>3</v>
      </c>
      <c r="E12" s="106">
        <v>3</v>
      </c>
      <c r="V12" s="106">
        <v>3787</v>
      </c>
      <c r="AC12" s="106">
        <v>0</v>
      </c>
      <c r="AQ12" s="106">
        <v>3411.6093849829113</v>
      </c>
      <c r="AT12" s="106">
        <v>3787</v>
      </c>
      <c r="AU12" s="106">
        <v>3787</v>
      </c>
      <c r="BB12" s="106">
        <v>0</v>
      </c>
    </row>
    <row r="13" spans="1:54" x14ac:dyDescent="0.2">
      <c r="B13" s="126">
        <v>4</v>
      </c>
      <c r="C13" s="112" t="s">
        <v>294</v>
      </c>
    </row>
    <row r="14" spans="1:54" x14ac:dyDescent="0.2">
      <c r="A14" s="121" t="s">
        <v>134</v>
      </c>
      <c r="B14" s="127">
        <v>1</v>
      </c>
      <c r="C14" s="123" t="s">
        <v>294</v>
      </c>
      <c r="D14" s="123">
        <v>21962.101628950819</v>
      </c>
      <c r="E14" s="123">
        <f t="shared" ref="E14:AZ14" si="0">D$172*SUM(D$122:D$169)</f>
        <v>21962.101628950819</v>
      </c>
      <c r="F14" s="123">
        <f t="shared" si="0"/>
        <v>21962.101628950819</v>
      </c>
      <c r="G14" s="123">
        <f t="shared" si="0"/>
        <v>21962.101628950815</v>
      </c>
      <c r="H14" s="123">
        <f t="shared" si="0"/>
        <v>21962.101628950819</v>
      </c>
      <c r="I14" s="123">
        <f t="shared" si="0"/>
        <v>21962.10162895083</v>
      </c>
      <c r="J14" s="123">
        <f t="shared" si="0"/>
        <v>21962.10162895083</v>
      </c>
      <c r="K14" s="123">
        <f t="shared" si="0"/>
        <v>21962.101628950826</v>
      </c>
      <c r="L14" s="123">
        <f t="shared" si="0"/>
        <v>21962.10162895083</v>
      </c>
      <c r="M14" s="123">
        <f t="shared" si="0"/>
        <v>21962.101628950833</v>
      </c>
      <c r="N14" s="123">
        <f t="shared" si="0"/>
        <v>21962.10162895083</v>
      </c>
      <c r="O14" s="123">
        <f t="shared" si="0"/>
        <v>21962.10162895083</v>
      </c>
      <c r="P14" s="123">
        <f t="shared" si="0"/>
        <v>21962.101628950833</v>
      </c>
      <c r="Q14" s="123">
        <f t="shared" si="0"/>
        <v>21962.101628950826</v>
      </c>
      <c r="R14" s="123">
        <f t="shared" si="0"/>
        <v>21962.10162895083</v>
      </c>
      <c r="S14" s="123">
        <f t="shared" si="0"/>
        <v>21962.10162895083</v>
      </c>
      <c r="T14" s="123">
        <f t="shared" si="0"/>
        <v>21962.101628950826</v>
      </c>
      <c r="U14" s="123">
        <f t="shared" si="0"/>
        <v>21962.101628950822</v>
      </c>
      <c r="V14" s="123">
        <f t="shared" si="0"/>
        <v>21962.101628950826</v>
      </c>
      <c r="W14" s="123">
        <f t="shared" si="0"/>
        <v>21962.101628950826</v>
      </c>
      <c r="X14" s="123">
        <f t="shared" si="0"/>
        <v>21962.101628950826</v>
      </c>
      <c r="Y14" s="123">
        <f t="shared" si="0"/>
        <v>21962.101628950822</v>
      </c>
      <c r="Z14" s="123">
        <f t="shared" si="0"/>
        <v>21962.101628950833</v>
      </c>
      <c r="AA14" s="123">
        <f t="shared" si="0"/>
        <v>21962.101628950822</v>
      </c>
      <c r="AB14" s="123">
        <f t="shared" si="0"/>
        <v>21962.101628950833</v>
      </c>
      <c r="AC14" s="123">
        <f t="shared" si="0"/>
        <v>21962.101628950822</v>
      </c>
      <c r="AD14" s="123">
        <f t="shared" si="0"/>
        <v>21962.10162895083</v>
      </c>
      <c r="AE14" s="123">
        <f t="shared" si="0"/>
        <v>21962.10162895083</v>
      </c>
      <c r="AF14" s="123">
        <f t="shared" si="0"/>
        <v>21962.101628950826</v>
      </c>
      <c r="AG14" s="123">
        <f t="shared" si="0"/>
        <v>21962.101628950826</v>
      </c>
      <c r="AH14" s="123">
        <f t="shared" si="0"/>
        <v>21962.101628950826</v>
      </c>
      <c r="AI14" s="123">
        <f t="shared" si="0"/>
        <v>21962.10162895083</v>
      </c>
      <c r="AJ14" s="123">
        <f t="shared" si="0"/>
        <v>21962.101628950833</v>
      </c>
      <c r="AK14" s="123">
        <f t="shared" si="0"/>
        <v>21962.10162895083</v>
      </c>
      <c r="AL14" s="123">
        <f t="shared" si="0"/>
        <v>21962.101628950833</v>
      </c>
      <c r="AM14" s="123">
        <f t="shared" si="0"/>
        <v>21962.10162895083</v>
      </c>
      <c r="AN14" s="123">
        <f t="shared" si="0"/>
        <v>21962.101628950833</v>
      </c>
      <c r="AO14" s="123">
        <f t="shared" si="0"/>
        <v>21962.101628950822</v>
      </c>
      <c r="AP14" s="123">
        <f t="shared" si="0"/>
        <v>21962.10162895083</v>
      </c>
      <c r="AQ14" s="123">
        <f t="shared" si="0"/>
        <v>21962.101628950826</v>
      </c>
      <c r="AR14" s="123">
        <f t="shared" si="0"/>
        <v>21962.101628950826</v>
      </c>
      <c r="AS14" s="123">
        <f t="shared" si="0"/>
        <v>21962.101628950822</v>
      </c>
      <c r="AT14" s="123">
        <f t="shared" si="0"/>
        <v>21962.101628950826</v>
      </c>
      <c r="AU14" s="123">
        <f t="shared" si="0"/>
        <v>21962.10162895083</v>
      </c>
      <c r="AV14" s="123">
        <f t="shared" si="0"/>
        <v>21962.10162895083</v>
      </c>
      <c r="AW14" s="123">
        <f t="shared" si="0"/>
        <v>21962.101628950822</v>
      </c>
      <c r="AX14" s="123">
        <f t="shared" si="0"/>
        <v>21962.101628950819</v>
      </c>
      <c r="AY14" s="123">
        <f t="shared" si="0"/>
        <v>21962.101628950822</v>
      </c>
      <c r="AZ14" s="116">
        <f t="shared" si="0"/>
        <v>21962.101628950826</v>
      </c>
      <c r="BA14" s="113">
        <f>SUM($E14:$AZ14)</f>
        <v>1054180.878189639</v>
      </c>
    </row>
    <row r="15" spans="1:54" x14ac:dyDescent="0.2">
      <c r="A15" s="128" t="s">
        <v>123</v>
      </c>
      <c r="B15" s="129">
        <v>1</v>
      </c>
      <c r="C15" s="130" t="s">
        <v>294</v>
      </c>
      <c r="D15" s="130">
        <v>36293.374362842609</v>
      </c>
      <c r="E15" s="130">
        <v>36293.374362842609</v>
      </c>
      <c r="F15" s="130">
        <v>36293.374362842609</v>
      </c>
      <c r="G15" s="130">
        <v>36293.374362842609</v>
      </c>
      <c r="H15" s="130">
        <v>32260.777211415654</v>
      </c>
      <c r="I15" s="130">
        <v>32260.777211415654</v>
      </c>
      <c r="J15" s="130">
        <v>32260.777211415654</v>
      </c>
      <c r="K15" s="130">
        <v>32260.777211415654</v>
      </c>
      <c r="L15" s="130">
        <v>32260.777211415654</v>
      </c>
      <c r="M15" s="130">
        <v>32260.777211415654</v>
      </c>
      <c r="N15" s="130">
        <v>32260.777211415654</v>
      </c>
      <c r="O15" s="130">
        <v>32260.777211415654</v>
      </c>
      <c r="P15" s="130">
        <v>36293.374362842609</v>
      </c>
      <c r="Q15" s="130">
        <v>36293.374362842609</v>
      </c>
      <c r="R15" s="130">
        <v>36293.374362842609</v>
      </c>
      <c r="S15" s="130">
        <v>36293.374362842609</v>
      </c>
      <c r="T15" s="130">
        <v>32260.777211415654</v>
      </c>
      <c r="U15" s="130">
        <v>32260.777211415654</v>
      </c>
      <c r="V15" s="130">
        <v>32260.777211415654</v>
      </c>
      <c r="W15" s="130">
        <v>32260.777211415654</v>
      </c>
      <c r="X15" s="130">
        <v>32260.777211415654</v>
      </c>
      <c r="Y15" s="130">
        <v>32260.777211415654</v>
      </c>
      <c r="Z15" s="130">
        <v>32260.777211415654</v>
      </c>
      <c r="AA15" s="130">
        <v>32260.777211415654</v>
      </c>
      <c r="AB15" s="130">
        <v>36293.374362842609</v>
      </c>
      <c r="AC15" s="130">
        <v>36293.374362842609</v>
      </c>
      <c r="AD15" s="130">
        <v>36293.374362842609</v>
      </c>
      <c r="AE15" s="130">
        <v>36293.374362842609</v>
      </c>
      <c r="AF15" s="130">
        <v>32260.777211415654</v>
      </c>
      <c r="AG15" s="130">
        <v>32260.777211415654</v>
      </c>
      <c r="AH15" s="130">
        <v>32260.777211415654</v>
      </c>
      <c r="AI15" s="130">
        <v>32260.777211415654</v>
      </c>
      <c r="AJ15" s="130">
        <v>32260.777211415654</v>
      </c>
      <c r="AK15" s="130">
        <v>32260.777211415654</v>
      </c>
      <c r="AL15" s="130">
        <v>32260.777211415654</v>
      </c>
      <c r="AM15" s="130">
        <v>32260.777211415654</v>
      </c>
      <c r="AN15" s="130">
        <v>36293.374362842609</v>
      </c>
      <c r="AO15" s="130">
        <v>36293.374362842609</v>
      </c>
      <c r="AP15" s="130">
        <v>36293.374362842609</v>
      </c>
      <c r="AQ15" s="130">
        <v>36293.374362842609</v>
      </c>
      <c r="AR15" s="130">
        <v>32260.777211415654</v>
      </c>
      <c r="AS15" s="130">
        <v>32260.777211415654</v>
      </c>
      <c r="AT15" s="130">
        <v>32260.777211415654</v>
      </c>
      <c r="AU15" s="130">
        <v>32260.777211415654</v>
      </c>
      <c r="AV15" s="130">
        <v>32260.777211415654</v>
      </c>
      <c r="AW15" s="130">
        <v>32260.777211415654</v>
      </c>
      <c r="AX15" s="130">
        <v>32260.777211415654</v>
      </c>
      <c r="AY15" s="130">
        <v>32260.777211415654</v>
      </c>
      <c r="AZ15" s="106">
        <v>0</v>
      </c>
    </row>
    <row r="16" spans="1:54" x14ac:dyDescent="0.2">
      <c r="A16" s="116"/>
      <c r="B16" s="125">
        <v>2</v>
      </c>
      <c r="C16" s="115" t="s">
        <v>294</v>
      </c>
      <c r="D16" s="112">
        <v>0</v>
      </c>
      <c r="E16" s="116">
        <v>0</v>
      </c>
      <c r="F16" s="116"/>
      <c r="G16" s="116">
        <v>0</v>
      </c>
      <c r="H16" s="116"/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/>
      <c r="P16" s="116">
        <v>0</v>
      </c>
      <c r="Q16" s="116"/>
      <c r="R16" s="116">
        <v>0</v>
      </c>
      <c r="S16" s="116">
        <v>0</v>
      </c>
      <c r="T16" s="116"/>
      <c r="U16" s="116"/>
      <c r="V16" s="116"/>
      <c r="W16" s="116">
        <v>0</v>
      </c>
      <c r="X16" s="116"/>
      <c r="Y16" s="116">
        <v>0</v>
      </c>
      <c r="Z16" s="116">
        <v>0</v>
      </c>
      <c r="AA16" s="116">
        <v>0</v>
      </c>
      <c r="AB16" s="116"/>
      <c r="AC16" s="116">
        <v>0</v>
      </c>
      <c r="AD16" s="116">
        <v>0</v>
      </c>
      <c r="AE16" s="116">
        <v>0</v>
      </c>
      <c r="AF16" s="116"/>
      <c r="AG16" s="116">
        <v>0</v>
      </c>
      <c r="AH16" s="116"/>
      <c r="AI16" s="116"/>
      <c r="AJ16" s="116"/>
      <c r="AK16" s="116">
        <v>0</v>
      </c>
      <c r="AL16" s="116">
        <v>0</v>
      </c>
      <c r="AM16" s="116"/>
      <c r="AN16" s="116">
        <v>0</v>
      </c>
      <c r="AO16" s="116">
        <v>0</v>
      </c>
      <c r="AP16" s="116">
        <v>0</v>
      </c>
      <c r="AQ16" s="116">
        <v>0</v>
      </c>
      <c r="AR16" s="116"/>
      <c r="AS16" s="116">
        <v>0</v>
      </c>
      <c r="AT16" s="116">
        <v>0</v>
      </c>
      <c r="AU16" s="116">
        <v>0</v>
      </c>
      <c r="AV16" s="116"/>
      <c r="AW16" s="116">
        <v>0</v>
      </c>
      <c r="AX16" s="116">
        <v>0</v>
      </c>
      <c r="AY16" s="116">
        <v>0</v>
      </c>
    </row>
    <row r="17" spans="1:54" x14ac:dyDescent="0.2">
      <c r="A17" s="116"/>
      <c r="B17" s="125">
        <v>3</v>
      </c>
      <c r="C17" s="115" t="s">
        <v>294</v>
      </c>
      <c r="D17" s="112">
        <v>0</v>
      </c>
      <c r="E17" s="116">
        <v>0</v>
      </c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>
        <v>0</v>
      </c>
      <c r="W17" s="116"/>
      <c r="X17" s="116"/>
      <c r="Y17" s="116"/>
      <c r="Z17" s="116"/>
      <c r="AA17" s="116"/>
      <c r="AB17" s="116"/>
      <c r="AC17" s="116">
        <v>0</v>
      </c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>
        <v>0</v>
      </c>
      <c r="AR17" s="116"/>
      <c r="AS17" s="116"/>
      <c r="AT17" s="116">
        <v>0</v>
      </c>
      <c r="AU17" s="116">
        <v>0</v>
      </c>
      <c r="AV17" s="116"/>
      <c r="AW17" s="116"/>
      <c r="AX17" s="116"/>
      <c r="AY17" s="116"/>
      <c r="BB17" s="106">
        <v>0</v>
      </c>
    </row>
    <row r="18" spans="1:54" x14ac:dyDescent="0.2">
      <c r="A18" s="131"/>
      <c r="B18" s="122">
        <v>4</v>
      </c>
      <c r="C18" s="131" t="s">
        <v>294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295</v>
      </c>
    </row>
    <row r="21" spans="1:54" x14ac:dyDescent="0.2">
      <c r="A21" s="132" t="s">
        <v>125</v>
      </c>
      <c r="B21" s="129">
        <v>1</v>
      </c>
      <c r="C21" s="130" t="s">
        <v>294</v>
      </c>
      <c r="D21" s="130">
        <v>9747.0283729175026</v>
      </c>
      <c r="E21" s="130">
        <v>9747.0283729175026</v>
      </c>
      <c r="F21" s="130">
        <v>9747.0283729175026</v>
      </c>
      <c r="G21" s="130">
        <v>9747.0283729175026</v>
      </c>
      <c r="H21" s="130">
        <v>9166.6651694292195</v>
      </c>
      <c r="I21" s="130">
        <v>9166.6651694292195</v>
      </c>
      <c r="J21" s="130">
        <v>9166.6651694292195</v>
      </c>
      <c r="K21" s="130">
        <v>9166.6651694292195</v>
      </c>
      <c r="L21" s="130">
        <v>9166.6651694292195</v>
      </c>
      <c r="M21" s="130">
        <v>9166.6651694292195</v>
      </c>
      <c r="N21" s="130">
        <v>9166.6651694292195</v>
      </c>
      <c r="O21" s="130">
        <v>9166.6651694292195</v>
      </c>
      <c r="P21" s="130">
        <v>9747.0283729175026</v>
      </c>
      <c r="Q21" s="130">
        <v>9747.0283729175026</v>
      </c>
      <c r="R21" s="130">
        <v>9747.0283729175026</v>
      </c>
      <c r="S21" s="130">
        <v>9747.0283729175026</v>
      </c>
      <c r="T21" s="130">
        <v>9166.6651694292195</v>
      </c>
      <c r="U21" s="130">
        <v>9166.6651694292195</v>
      </c>
      <c r="V21" s="130">
        <v>9166.6651694292195</v>
      </c>
      <c r="W21" s="130">
        <v>9166.6651694292195</v>
      </c>
      <c r="X21" s="130">
        <v>9166.6651694292195</v>
      </c>
      <c r="Y21" s="130">
        <v>9166.6651694292195</v>
      </c>
      <c r="Z21" s="130">
        <v>9166.6651694292195</v>
      </c>
      <c r="AA21" s="130">
        <v>9166.6651694292195</v>
      </c>
      <c r="AB21" s="130">
        <v>9747.0283729175026</v>
      </c>
      <c r="AC21" s="130">
        <v>9747.0283729175026</v>
      </c>
      <c r="AD21" s="130">
        <v>9747.0283729175026</v>
      </c>
      <c r="AE21" s="130">
        <v>9747.0283729175026</v>
      </c>
      <c r="AF21" s="130">
        <v>9166.6651694292195</v>
      </c>
      <c r="AG21" s="130">
        <v>9166.6651694292195</v>
      </c>
      <c r="AH21" s="130">
        <v>9166.6651694292195</v>
      </c>
      <c r="AI21" s="130">
        <v>9166.6651694292195</v>
      </c>
      <c r="AJ21" s="130">
        <v>9166.6651694292195</v>
      </c>
      <c r="AK21" s="130">
        <v>9166.6651694292195</v>
      </c>
      <c r="AL21" s="130">
        <v>9166.6651694292195</v>
      </c>
      <c r="AM21" s="130">
        <v>9166.6651694292195</v>
      </c>
      <c r="AN21" s="130">
        <v>9747.0283729175026</v>
      </c>
      <c r="AO21" s="130">
        <v>9747.0283729175026</v>
      </c>
      <c r="AP21" s="130">
        <v>8285.1315328765941</v>
      </c>
      <c r="AQ21" s="130">
        <v>8287.8488443746646</v>
      </c>
      <c r="AR21" s="130">
        <v>9166.6651694292195</v>
      </c>
      <c r="AS21" s="130">
        <v>9166.6651694292195</v>
      </c>
      <c r="AT21" s="130">
        <v>9166.6651694292195</v>
      </c>
      <c r="AU21" s="130">
        <v>9166.6651694292195</v>
      </c>
      <c r="AV21" s="130">
        <v>9166.6651694292195</v>
      </c>
      <c r="AW21" s="130">
        <v>9166.6651694292195</v>
      </c>
      <c r="AX21" s="130">
        <v>9166.6651694292195</v>
      </c>
      <c r="AY21" s="130">
        <v>9166.6651694292195</v>
      </c>
    </row>
    <row r="22" spans="1:54" x14ac:dyDescent="0.2">
      <c r="A22" s="115"/>
      <c r="B22" s="126">
        <v>2</v>
      </c>
      <c r="C22" s="116" t="s">
        <v>294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4" x14ac:dyDescent="0.2">
      <c r="A23" s="115"/>
      <c r="B23" s="133">
        <v>3</v>
      </c>
      <c r="C23" s="116" t="s">
        <v>294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4" x14ac:dyDescent="0.2">
      <c r="A24" s="134"/>
      <c r="B24" s="135">
        <v>4</v>
      </c>
      <c r="C24" s="134" t="s">
        <v>294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294</v>
      </c>
      <c r="D25" s="116">
        <v>3800</v>
      </c>
      <c r="E25" s="116">
        <v>3411.6093849829113</v>
      </c>
      <c r="F25" s="116">
        <v>0</v>
      </c>
      <c r="G25" s="116">
        <v>3787</v>
      </c>
      <c r="H25" s="116">
        <v>0</v>
      </c>
      <c r="I25" s="116">
        <v>3787</v>
      </c>
      <c r="J25" s="116">
        <v>0</v>
      </c>
      <c r="K25" s="116">
        <v>0</v>
      </c>
      <c r="L25" s="116">
        <v>0</v>
      </c>
      <c r="M25" s="116">
        <v>0</v>
      </c>
      <c r="N25" s="116">
        <v>3411.6093849829113</v>
      </c>
      <c r="O25" s="116">
        <v>3411.6093849829113</v>
      </c>
      <c r="P25" s="116">
        <v>3411.6093849829113</v>
      </c>
      <c r="Q25" s="116">
        <v>0</v>
      </c>
      <c r="R25" s="116">
        <v>0</v>
      </c>
      <c r="S25" s="116">
        <v>3787</v>
      </c>
      <c r="T25" s="116">
        <v>0</v>
      </c>
      <c r="U25" s="116">
        <v>3787</v>
      </c>
      <c r="V25" s="116">
        <v>0</v>
      </c>
      <c r="W25" s="116">
        <v>3411.6093849829113</v>
      </c>
      <c r="X25" s="116">
        <v>0</v>
      </c>
      <c r="Y25" s="116">
        <v>0</v>
      </c>
      <c r="Z25" s="116">
        <v>0</v>
      </c>
      <c r="AA25" s="116">
        <v>3411.6093849829113</v>
      </c>
      <c r="AB25" s="116">
        <v>0</v>
      </c>
      <c r="AC25" s="116">
        <v>0</v>
      </c>
      <c r="AD25" s="116">
        <v>3787</v>
      </c>
      <c r="AE25" s="116">
        <v>3787</v>
      </c>
      <c r="AF25" s="116">
        <v>3787</v>
      </c>
      <c r="AG25" s="116">
        <v>3787</v>
      </c>
      <c r="AH25" s="116">
        <v>3411.6093849829113</v>
      </c>
      <c r="AI25" s="116">
        <v>3411.6093849829113</v>
      </c>
      <c r="AJ25" s="116">
        <v>3411.6093849829113</v>
      </c>
      <c r="AK25" s="116">
        <v>3411.6093849829113</v>
      </c>
      <c r="AL25" s="116">
        <v>3411.6093849829113</v>
      </c>
      <c r="AM25" s="116">
        <v>3411.6093849829113</v>
      </c>
      <c r="AN25" s="116">
        <v>0</v>
      </c>
      <c r="AO25" s="116">
        <v>0</v>
      </c>
      <c r="AP25" s="116">
        <v>3787</v>
      </c>
      <c r="AQ25" s="116">
        <v>3787</v>
      </c>
      <c r="AR25" s="116">
        <v>0</v>
      </c>
      <c r="AS25" s="116">
        <v>0</v>
      </c>
      <c r="AT25" s="116">
        <v>3411.6093849829113</v>
      </c>
      <c r="AU25" s="116">
        <v>0</v>
      </c>
      <c r="AV25" s="116">
        <v>3787</v>
      </c>
      <c r="AW25" s="116">
        <v>0</v>
      </c>
      <c r="AX25" s="116">
        <v>0</v>
      </c>
      <c r="AY25" s="116">
        <v>0</v>
      </c>
    </row>
    <row r="26" spans="1:54" x14ac:dyDescent="0.2">
      <c r="A26" s="115"/>
      <c r="B26" s="125">
        <v>2</v>
      </c>
      <c r="C26" s="115" t="s">
        <v>294</v>
      </c>
      <c r="D26" s="116">
        <v>0</v>
      </c>
      <c r="E26" s="116">
        <v>3</v>
      </c>
      <c r="F26" s="116">
        <v>0</v>
      </c>
      <c r="G26" s="116">
        <v>3787</v>
      </c>
      <c r="H26" s="116">
        <v>0</v>
      </c>
      <c r="I26" s="116">
        <v>3787</v>
      </c>
      <c r="J26" s="116">
        <v>0</v>
      </c>
      <c r="K26" s="116">
        <v>3411.6093849829113</v>
      </c>
      <c r="L26" s="116">
        <v>3411.6093849829113</v>
      </c>
      <c r="M26" s="116">
        <v>3411.6093849829113</v>
      </c>
      <c r="N26" s="116">
        <v>3411.6093849829113</v>
      </c>
      <c r="O26" s="116">
        <v>0</v>
      </c>
      <c r="P26" s="116">
        <v>0</v>
      </c>
      <c r="Q26" s="116">
        <v>0</v>
      </c>
      <c r="R26" s="116">
        <v>3411.6093849829113</v>
      </c>
      <c r="S26" s="116">
        <v>3787</v>
      </c>
      <c r="T26" s="116">
        <v>0</v>
      </c>
      <c r="U26" s="116">
        <v>0</v>
      </c>
      <c r="V26" s="116">
        <v>0</v>
      </c>
      <c r="W26" s="116">
        <v>3411.6093849829113</v>
      </c>
      <c r="X26" s="116">
        <v>0</v>
      </c>
      <c r="Y26" s="116">
        <v>3411.6093849829113</v>
      </c>
      <c r="Z26" s="116">
        <v>0</v>
      </c>
      <c r="AA26" s="116">
        <v>3787</v>
      </c>
      <c r="AB26" s="116">
        <v>0</v>
      </c>
      <c r="AC26" s="116">
        <v>3411.6093849829113</v>
      </c>
      <c r="AD26" s="116">
        <v>3411.6093849829113</v>
      </c>
      <c r="AE26" s="116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116">
        <v>0</v>
      </c>
      <c r="AO26" s="116">
        <v>3411.6093849829113</v>
      </c>
      <c r="AP26" s="116">
        <v>0</v>
      </c>
      <c r="AQ26" s="116">
        <v>0</v>
      </c>
      <c r="AR26" s="116">
        <v>0</v>
      </c>
      <c r="AS26" s="116">
        <v>0</v>
      </c>
      <c r="AT26" s="116">
        <v>0</v>
      </c>
      <c r="AU26" s="116">
        <v>0</v>
      </c>
      <c r="AV26" s="116">
        <v>0</v>
      </c>
      <c r="AW26" s="116">
        <v>0</v>
      </c>
      <c r="AX26" s="116">
        <v>3411.6093849829113</v>
      </c>
      <c r="AY26" s="116">
        <v>3411.6093849829113</v>
      </c>
    </row>
    <row r="27" spans="1:54" x14ac:dyDescent="0.2">
      <c r="A27" s="115"/>
      <c r="B27" s="126">
        <v>3</v>
      </c>
      <c r="C27" s="115" t="s">
        <v>294</v>
      </c>
      <c r="D27" s="116">
        <v>3</v>
      </c>
      <c r="E27" s="116">
        <v>3</v>
      </c>
      <c r="F27" s="116">
        <v>0</v>
      </c>
      <c r="G27" s="116">
        <v>0</v>
      </c>
      <c r="H27" s="116">
        <v>0</v>
      </c>
      <c r="I27" s="116">
        <v>0</v>
      </c>
      <c r="J27" s="116">
        <v>0</v>
      </c>
      <c r="K27" s="116">
        <v>0</v>
      </c>
      <c r="L27" s="116">
        <v>0</v>
      </c>
      <c r="M27" s="116">
        <v>0</v>
      </c>
      <c r="N27" s="116">
        <v>0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3787</v>
      </c>
      <c r="W27" s="116">
        <v>0</v>
      </c>
      <c r="X27" s="116">
        <v>0</v>
      </c>
      <c r="Y27" s="116">
        <v>0</v>
      </c>
      <c r="Z27" s="116">
        <v>0</v>
      </c>
      <c r="AA27" s="116">
        <v>0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  <c r="AO27" s="116">
        <v>0</v>
      </c>
      <c r="AP27" s="116">
        <v>0</v>
      </c>
      <c r="AQ27" s="116">
        <v>3411.6093849829113</v>
      </c>
      <c r="AR27" s="116">
        <v>0</v>
      </c>
      <c r="AS27" s="116">
        <v>0</v>
      </c>
      <c r="AT27" s="116">
        <v>3787</v>
      </c>
      <c r="AU27" s="116">
        <v>3787</v>
      </c>
      <c r="AV27" s="116">
        <v>0</v>
      </c>
      <c r="AW27" s="116">
        <v>0</v>
      </c>
      <c r="AX27" s="116">
        <v>0</v>
      </c>
      <c r="AY27" s="116">
        <v>0</v>
      </c>
    </row>
    <row r="28" spans="1:54" x14ac:dyDescent="0.2">
      <c r="A28" s="115"/>
      <c r="B28" s="126">
        <v>4</v>
      </c>
      <c r="C28" s="115" t="s">
        <v>294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4" x14ac:dyDescent="0.2">
      <c r="A29" s="115"/>
      <c r="B29" s="133">
        <v>5</v>
      </c>
      <c r="C29" s="115" t="s">
        <v>294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4" x14ac:dyDescent="0.2">
      <c r="A30" s="115"/>
      <c r="B30" s="133">
        <v>6</v>
      </c>
      <c r="C30" s="115" t="s">
        <v>294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4" x14ac:dyDescent="0.2">
      <c r="A31" s="115"/>
      <c r="B31" s="136">
        <v>7</v>
      </c>
      <c r="C31" s="115" t="s">
        <v>294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4" x14ac:dyDescent="0.2">
      <c r="A32" s="134"/>
      <c r="B32" s="135">
        <v>8</v>
      </c>
      <c r="C32" s="134" t="s">
        <v>294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294</v>
      </c>
      <c r="D33" s="112">
        <v>21962.101628950819</v>
      </c>
      <c r="E33" s="112">
        <v>21962.101628950819</v>
      </c>
      <c r="F33" s="112">
        <v>21962.101628950819</v>
      </c>
      <c r="G33" s="112">
        <v>21962.101628950815</v>
      </c>
      <c r="H33" s="112">
        <v>21962.101628950819</v>
      </c>
      <c r="I33" s="112">
        <v>21962.10162895083</v>
      </c>
      <c r="J33" s="112">
        <v>21962.10162895083</v>
      </c>
      <c r="K33" s="112">
        <v>21962.101628950826</v>
      </c>
      <c r="L33" s="112">
        <v>21962.10162895083</v>
      </c>
      <c r="M33" s="112">
        <v>21962.101628950833</v>
      </c>
      <c r="N33" s="112">
        <v>21962.10162895083</v>
      </c>
      <c r="O33" s="112">
        <v>21962.10162895083</v>
      </c>
      <c r="P33" s="112">
        <v>21962.101628950833</v>
      </c>
      <c r="Q33" s="112">
        <v>21962.101628950826</v>
      </c>
      <c r="R33" s="112">
        <v>21962.10162895083</v>
      </c>
      <c r="S33" s="112">
        <v>21962.10162895083</v>
      </c>
      <c r="T33" s="112">
        <v>21962.101628950826</v>
      </c>
      <c r="U33" s="112">
        <v>21962.101628950822</v>
      </c>
      <c r="V33" s="112">
        <v>21962.101628950826</v>
      </c>
      <c r="W33" s="112">
        <v>21962.101628950826</v>
      </c>
      <c r="X33" s="112">
        <v>21962.101628950826</v>
      </c>
      <c r="Y33" s="112">
        <v>21962.101628950822</v>
      </c>
      <c r="Z33" s="112">
        <v>21962.101628950833</v>
      </c>
      <c r="AA33" s="112">
        <v>21962.101628950822</v>
      </c>
      <c r="AB33" s="112">
        <v>21962.101628950833</v>
      </c>
      <c r="AC33" s="112">
        <v>21962.101628950822</v>
      </c>
      <c r="AD33" s="112">
        <v>21962.10162895083</v>
      </c>
      <c r="AE33" s="112">
        <v>21962.10162895083</v>
      </c>
      <c r="AF33" s="112">
        <v>21962.101628950826</v>
      </c>
      <c r="AG33" s="112">
        <v>21962.101628950826</v>
      </c>
      <c r="AH33" s="112">
        <v>21962.101628950826</v>
      </c>
      <c r="AI33" s="112">
        <v>21962.10162895083</v>
      </c>
      <c r="AJ33" s="112">
        <v>21962.101628950833</v>
      </c>
      <c r="AK33" s="112">
        <v>21962.10162895083</v>
      </c>
      <c r="AL33" s="112">
        <v>21962.101628950833</v>
      </c>
      <c r="AM33" s="112">
        <v>21962.10162895083</v>
      </c>
      <c r="AN33" s="112">
        <v>21962.101628950833</v>
      </c>
      <c r="AO33" s="112">
        <v>21962.101628950822</v>
      </c>
      <c r="AP33" s="112">
        <v>21962.10162895083</v>
      </c>
      <c r="AQ33" s="112">
        <v>21962.101628950826</v>
      </c>
      <c r="AR33" s="112">
        <v>21962.101628950826</v>
      </c>
      <c r="AS33" s="112">
        <v>21962.101628950822</v>
      </c>
      <c r="AT33" s="112">
        <v>21962.101628950826</v>
      </c>
      <c r="AU33" s="112">
        <v>21962.10162895083</v>
      </c>
      <c r="AV33" s="112">
        <v>21962.10162895083</v>
      </c>
      <c r="AW33" s="112">
        <v>21962.101628950822</v>
      </c>
      <c r="AX33" s="112">
        <v>21962.101628950819</v>
      </c>
      <c r="AY33" s="112">
        <v>21962.101628950822</v>
      </c>
    </row>
    <row r="34" spans="1:51" x14ac:dyDescent="0.2">
      <c r="A34" s="115"/>
      <c r="B34" s="125">
        <v>2</v>
      </c>
      <c r="C34" s="115" t="s">
        <v>294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</row>
    <row r="35" spans="1:51" x14ac:dyDescent="0.2">
      <c r="A35" s="115"/>
      <c r="B35" s="125">
        <v>3</v>
      </c>
      <c r="C35" s="115" t="s">
        <v>294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294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294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294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294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294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294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294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294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294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294</v>
      </c>
      <c r="D46" s="116">
        <v>3661.7110302180372</v>
      </c>
      <c r="E46" s="116">
        <v>5957.7531136399703</v>
      </c>
      <c r="F46" s="116">
        <v>5957.7531136399793</v>
      </c>
      <c r="G46" s="116">
        <v>5957.7531136399739</v>
      </c>
      <c r="H46" s="116">
        <v>1925.1559622130098</v>
      </c>
      <c r="I46" s="116"/>
      <c r="J46" s="116"/>
      <c r="K46" s="116"/>
      <c r="L46" s="116"/>
      <c r="M46" s="116"/>
      <c r="N46" s="116"/>
      <c r="O46" s="116"/>
      <c r="P46" s="116">
        <v>3661.711030218039</v>
      </c>
      <c r="Q46" s="116">
        <v>5957.7531136399612</v>
      </c>
      <c r="R46" s="116">
        <v>5957.7531136399612</v>
      </c>
      <c r="S46" s="116">
        <v>5957.7531136399684</v>
      </c>
      <c r="T46" s="116">
        <v>1925.1559622130171</v>
      </c>
      <c r="U46" s="116"/>
      <c r="V46" s="116"/>
      <c r="W46" s="116"/>
      <c r="X46" s="116"/>
      <c r="Y46" s="116"/>
      <c r="Z46" s="116"/>
      <c r="AA46" s="116"/>
      <c r="AB46" s="116">
        <v>3661.7110302180463</v>
      </c>
      <c r="AC46" s="116">
        <v>5957.7531136399612</v>
      </c>
      <c r="AD46" s="116">
        <v>5957.7531136399612</v>
      </c>
      <c r="AE46" s="116">
        <v>5957.7531136399684</v>
      </c>
      <c r="AF46" s="116">
        <v>1925.1559622130135</v>
      </c>
      <c r="AG46" s="116"/>
      <c r="AH46" s="116"/>
      <c r="AI46" s="116"/>
      <c r="AJ46" s="116"/>
      <c r="AK46" s="116"/>
      <c r="AL46" s="116"/>
      <c r="AM46" s="116"/>
      <c r="AN46" s="116">
        <v>3661.7110302180463</v>
      </c>
      <c r="AO46" s="116">
        <v>5957.7531136399612</v>
      </c>
      <c r="AP46" s="116">
        <v>5957.7531136399684</v>
      </c>
      <c r="AQ46" s="116">
        <v>5957.7531136399684</v>
      </c>
      <c r="AR46" s="116">
        <v>1925.1559622130171</v>
      </c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294</v>
      </c>
      <c r="D47" s="116">
        <v>10000.561703673746</v>
      </c>
      <c r="E47" s="116">
        <v>8029.51962025182</v>
      </c>
      <c r="F47" s="116">
        <v>7984.5196202518182</v>
      </c>
      <c r="G47" s="116">
        <v>8023.5196202518127</v>
      </c>
      <c r="H47" s="116">
        <v>8023.5196202518146</v>
      </c>
      <c r="I47" s="116">
        <v>8138.6755824648244</v>
      </c>
      <c r="J47" s="116">
        <v>8117.675582464828</v>
      </c>
      <c r="K47" s="116">
        <v>8499.6755824648208</v>
      </c>
      <c r="L47" s="116">
        <v>8646.6755824648171</v>
      </c>
      <c r="M47" s="116">
        <v>10010.675582464828</v>
      </c>
      <c r="N47" s="116">
        <v>10057.675582464824</v>
      </c>
      <c r="O47" s="116">
        <v>10023.675582464817</v>
      </c>
      <c r="P47" s="116">
        <v>10401.561703673751</v>
      </c>
      <c r="Q47" s="116">
        <v>7266.5196202518146</v>
      </c>
      <c r="R47" s="116">
        <v>7118.5196202518182</v>
      </c>
      <c r="S47" s="116">
        <v>7008.5196202518182</v>
      </c>
      <c r="T47" s="116">
        <v>6820.5196202518146</v>
      </c>
      <c r="U47" s="116">
        <v>9308.6755824648171</v>
      </c>
      <c r="V47" s="116">
        <v>9328.675582464828</v>
      </c>
      <c r="W47" s="116">
        <v>9509.675582464828</v>
      </c>
      <c r="X47" s="116">
        <v>9206.6755824648317</v>
      </c>
      <c r="Y47" s="116">
        <v>9298.6755824648098</v>
      </c>
      <c r="Z47" s="116">
        <v>9440.675582464839</v>
      </c>
      <c r="AA47" s="116">
        <v>9136.6755824648098</v>
      </c>
      <c r="AB47" s="116">
        <v>9645.5617036737513</v>
      </c>
      <c r="AC47" s="116">
        <v>8031.5196202518109</v>
      </c>
      <c r="AD47" s="116">
        <v>8011.5196202518182</v>
      </c>
      <c r="AE47" s="116">
        <v>8048.5196202518182</v>
      </c>
      <c r="AF47" s="116">
        <v>7992.5196202518146</v>
      </c>
      <c r="AG47" s="116">
        <v>9144.675582464828</v>
      </c>
      <c r="AH47" s="116">
        <v>9402.6755824648208</v>
      </c>
      <c r="AI47" s="116">
        <v>9222.6755824648171</v>
      </c>
      <c r="AJ47" s="116">
        <v>9176.675582464828</v>
      </c>
      <c r="AK47" s="116">
        <v>9297.6755824648171</v>
      </c>
      <c r="AL47" s="116">
        <v>9356.675582464828</v>
      </c>
      <c r="AM47" s="116">
        <v>9514.6755824648171</v>
      </c>
      <c r="AN47" s="116">
        <v>9605.5617036737513</v>
      </c>
      <c r="AO47" s="116">
        <v>6815.5196202518109</v>
      </c>
      <c r="AP47" s="116">
        <v>6507.5196202518182</v>
      </c>
      <c r="AQ47" s="116">
        <v>7007.5196202518146</v>
      </c>
      <c r="AR47" s="116">
        <v>6440.5196202518146</v>
      </c>
      <c r="AS47" s="116">
        <v>9027.6755824648208</v>
      </c>
      <c r="AT47" s="116">
        <v>8999.6755824648208</v>
      </c>
      <c r="AU47" s="116">
        <v>8891.6755824648244</v>
      </c>
      <c r="AV47" s="116">
        <v>8970.6755824648244</v>
      </c>
      <c r="AW47" s="116">
        <v>9748.6755824648353</v>
      </c>
      <c r="AX47" s="116">
        <v>9600.675582464828</v>
      </c>
      <c r="AY47" s="116">
        <v>9611.6755824648244</v>
      </c>
    </row>
    <row r="48" spans="1:51" x14ac:dyDescent="0.2">
      <c r="A48" s="115"/>
      <c r="B48" s="125">
        <v>4</v>
      </c>
      <c r="C48" s="115" t="s">
        <v>294</v>
      </c>
      <c r="D48" s="116">
        <v>0</v>
      </c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1" x14ac:dyDescent="0.2">
      <c r="A49" s="115"/>
      <c r="B49" s="125">
        <v>5</v>
      </c>
      <c r="C49" s="115" t="s">
        <v>294</v>
      </c>
      <c r="D49" s="116">
        <v>0</v>
      </c>
      <c r="E49" s="116">
        <v>0</v>
      </c>
      <c r="F49" s="116">
        <v>0</v>
      </c>
      <c r="G49" s="116">
        <v>0</v>
      </c>
      <c r="H49" s="116">
        <v>0</v>
      </c>
      <c r="I49" s="116">
        <v>0</v>
      </c>
      <c r="J49" s="116">
        <v>0</v>
      </c>
      <c r="K49" s="116">
        <v>0</v>
      </c>
      <c r="L49" s="116">
        <v>0</v>
      </c>
      <c r="M49" s="116">
        <v>0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0</v>
      </c>
      <c r="T49" s="116">
        <v>0</v>
      </c>
      <c r="U49" s="116">
        <v>0</v>
      </c>
      <c r="V49" s="116">
        <v>0</v>
      </c>
      <c r="W49" s="116">
        <v>0</v>
      </c>
      <c r="X49" s="116">
        <v>0</v>
      </c>
      <c r="Y49" s="116">
        <v>0</v>
      </c>
      <c r="Z49" s="116">
        <v>0</v>
      </c>
      <c r="AA49" s="116">
        <v>0</v>
      </c>
      <c r="AB49" s="116">
        <v>0</v>
      </c>
      <c r="AC49" s="116">
        <v>0</v>
      </c>
      <c r="AD49" s="116">
        <v>0</v>
      </c>
      <c r="AE49" s="116">
        <v>0</v>
      </c>
      <c r="AF49" s="116">
        <v>0</v>
      </c>
      <c r="AG49" s="116">
        <v>0</v>
      </c>
      <c r="AH49" s="116">
        <v>0</v>
      </c>
      <c r="AI49" s="116">
        <v>0</v>
      </c>
      <c r="AJ49" s="116">
        <v>0</v>
      </c>
      <c r="AK49" s="116">
        <v>0</v>
      </c>
      <c r="AL49" s="116">
        <v>0</v>
      </c>
      <c r="AM49" s="116">
        <v>0</v>
      </c>
      <c r="AN49" s="116">
        <v>0</v>
      </c>
      <c r="AO49" s="116">
        <v>0</v>
      </c>
      <c r="AP49" s="116">
        <v>0</v>
      </c>
      <c r="AQ49" s="116">
        <v>0</v>
      </c>
      <c r="AR49" s="116">
        <v>0</v>
      </c>
      <c r="AS49" s="116">
        <v>0</v>
      </c>
      <c r="AT49" s="116">
        <v>0</v>
      </c>
      <c r="AU49" s="116">
        <v>0</v>
      </c>
      <c r="AV49" s="116">
        <v>0</v>
      </c>
      <c r="AW49" s="116">
        <v>0</v>
      </c>
      <c r="AX49" s="116">
        <v>0</v>
      </c>
      <c r="AY49" s="116">
        <v>0</v>
      </c>
    </row>
    <row r="50" spans="1:51" x14ac:dyDescent="0.2">
      <c r="A50" s="115"/>
      <c r="B50" s="125">
        <v>6</v>
      </c>
      <c r="C50" s="115" t="s">
        <v>294</v>
      </c>
      <c r="D50" s="116">
        <v>0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0</v>
      </c>
      <c r="AR50" s="116">
        <v>0</v>
      </c>
      <c r="AS50" s="116">
        <v>0</v>
      </c>
      <c r="AT50" s="116">
        <v>0</v>
      </c>
      <c r="AU50" s="116">
        <v>0</v>
      </c>
      <c r="AV50" s="116">
        <v>0</v>
      </c>
      <c r="AW50" s="116">
        <v>0</v>
      </c>
      <c r="AX50" s="116">
        <v>0</v>
      </c>
      <c r="AY50" s="116">
        <v>0</v>
      </c>
    </row>
    <row r="51" spans="1:51" x14ac:dyDescent="0.2">
      <c r="A51" s="115"/>
      <c r="B51" s="125">
        <v>7</v>
      </c>
      <c r="C51" s="115" t="s">
        <v>294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0</v>
      </c>
      <c r="AO51" s="116">
        <v>0</v>
      </c>
      <c r="AP51" s="116">
        <v>0</v>
      </c>
      <c r="AQ51" s="116">
        <v>0</v>
      </c>
      <c r="AR51" s="116">
        <v>0</v>
      </c>
      <c r="AS51" s="116">
        <v>0</v>
      </c>
      <c r="AT51" s="116">
        <v>0</v>
      </c>
      <c r="AU51" s="116">
        <v>0</v>
      </c>
      <c r="AV51" s="116">
        <v>0</v>
      </c>
      <c r="AW51" s="116">
        <v>0</v>
      </c>
      <c r="AX51" s="116">
        <v>0</v>
      </c>
      <c r="AY51" s="116">
        <v>0</v>
      </c>
    </row>
    <row r="52" spans="1:51" x14ac:dyDescent="0.2">
      <c r="A52" s="115"/>
      <c r="B52" s="125">
        <v>8</v>
      </c>
      <c r="C52" s="115" t="s">
        <v>294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</row>
    <row r="53" spans="1:51" x14ac:dyDescent="0.2">
      <c r="A53" s="115"/>
      <c r="B53" s="125">
        <v>9</v>
      </c>
      <c r="C53" s="115" t="s">
        <v>294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</row>
    <row r="54" spans="1:51" x14ac:dyDescent="0.2">
      <c r="A54" s="115"/>
      <c r="B54" s="125">
        <v>10</v>
      </c>
      <c r="C54" s="115" t="s">
        <v>294</v>
      </c>
      <c r="D54" s="116">
        <v>0</v>
      </c>
      <c r="E54" s="116">
        <v>0</v>
      </c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>
        <v>0</v>
      </c>
      <c r="AC54" s="116">
        <v>0</v>
      </c>
      <c r="AD54" s="116">
        <v>0</v>
      </c>
      <c r="AE54" s="116">
        <v>0</v>
      </c>
      <c r="AF54" s="116">
        <v>0</v>
      </c>
      <c r="AG54" s="116">
        <v>0</v>
      </c>
      <c r="AH54" s="116">
        <v>0</v>
      </c>
      <c r="AI54" s="116">
        <v>0</v>
      </c>
      <c r="AJ54" s="116">
        <v>0</v>
      </c>
      <c r="AK54" s="116">
        <v>0</v>
      </c>
      <c r="AL54" s="116">
        <v>0</v>
      </c>
      <c r="AM54" s="116">
        <v>0</v>
      </c>
      <c r="AN54" s="116">
        <v>0</v>
      </c>
      <c r="AO54" s="116">
        <v>0</v>
      </c>
      <c r="AP54" s="116">
        <v>0</v>
      </c>
      <c r="AQ54" s="116">
        <v>0</v>
      </c>
      <c r="AR54" s="116">
        <v>0</v>
      </c>
      <c r="AS54" s="116">
        <v>0</v>
      </c>
      <c r="AT54" s="116">
        <v>0</v>
      </c>
      <c r="AU54" s="116">
        <v>0</v>
      </c>
      <c r="AV54" s="116">
        <v>0</v>
      </c>
      <c r="AW54" s="116">
        <v>0</v>
      </c>
      <c r="AX54" s="116">
        <v>0</v>
      </c>
      <c r="AY54" s="116">
        <v>0</v>
      </c>
    </row>
    <row r="55" spans="1:51" x14ac:dyDescent="0.2">
      <c r="A55" s="115"/>
      <c r="B55" s="125">
        <v>11</v>
      </c>
      <c r="C55" s="115" t="s">
        <v>294</v>
      </c>
      <c r="D55" s="116">
        <v>0</v>
      </c>
      <c r="E55" s="116">
        <v>0</v>
      </c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>
        <v>0</v>
      </c>
      <c r="AC55" s="116">
        <v>0</v>
      </c>
      <c r="AD55" s="116">
        <v>0</v>
      </c>
      <c r="AE55" s="116">
        <v>0</v>
      </c>
      <c r="AF55" s="116">
        <v>0</v>
      </c>
      <c r="AG55" s="116">
        <v>0</v>
      </c>
      <c r="AH55" s="116">
        <v>0</v>
      </c>
      <c r="AI55" s="116">
        <v>0</v>
      </c>
      <c r="AJ55" s="116">
        <v>0</v>
      </c>
      <c r="AK55" s="116">
        <v>0</v>
      </c>
      <c r="AL55" s="116">
        <v>0</v>
      </c>
      <c r="AM55" s="116">
        <v>0</v>
      </c>
      <c r="AN55" s="116">
        <v>0</v>
      </c>
      <c r="AO55" s="116">
        <v>0</v>
      </c>
      <c r="AP55" s="116">
        <v>0</v>
      </c>
      <c r="AQ55" s="116">
        <v>0</v>
      </c>
      <c r="AR55" s="116">
        <v>0</v>
      </c>
      <c r="AS55" s="116">
        <v>0</v>
      </c>
      <c r="AT55" s="116">
        <v>0</v>
      </c>
      <c r="AU55" s="116">
        <v>0</v>
      </c>
      <c r="AV55" s="116">
        <v>0</v>
      </c>
      <c r="AW55" s="116">
        <v>0</v>
      </c>
      <c r="AX55" s="116">
        <v>0</v>
      </c>
      <c r="AY55" s="116">
        <v>0</v>
      </c>
    </row>
    <row r="56" spans="1:51" x14ac:dyDescent="0.2">
      <c r="A56" s="115"/>
      <c r="B56" s="125">
        <v>12</v>
      </c>
      <c r="C56" s="115" t="s">
        <v>294</v>
      </c>
      <c r="D56" s="116">
        <v>0</v>
      </c>
      <c r="E56" s="116">
        <v>0</v>
      </c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>
        <v>0</v>
      </c>
      <c r="AC56" s="116">
        <v>0</v>
      </c>
      <c r="AD56" s="116">
        <v>0</v>
      </c>
      <c r="AE56" s="116">
        <v>0</v>
      </c>
      <c r="AF56" s="116">
        <v>0</v>
      </c>
      <c r="AG56" s="116">
        <v>0</v>
      </c>
      <c r="AH56" s="116">
        <v>0</v>
      </c>
      <c r="AI56" s="116">
        <v>0</v>
      </c>
      <c r="AJ56" s="116">
        <v>0</v>
      </c>
      <c r="AK56" s="116">
        <v>0</v>
      </c>
      <c r="AL56" s="116">
        <v>0</v>
      </c>
      <c r="AM56" s="116">
        <v>0</v>
      </c>
      <c r="AN56" s="116">
        <v>0</v>
      </c>
      <c r="AO56" s="116">
        <v>0</v>
      </c>
      <c r="AP56" s="116">
        <v>0</v>
      </c>
      <c r="AQ56" s="116">
        <v>0</v>
      </c>
      <c r="AR56" s="116">
        <v>0</v>
      </c>
      <c r="AS56" s="116">
        <v>0</v>
      </c>
      <c r="AT56" s="116">
        <v>0</v>
      </c>
      <c r="AU56" s="116">
        <v>0</v>
      </c>
      <c r="AV56" s="116">
        <v>0</v>
      </c>
      <c r="AW56" s="116">
        <v>0</v>
      </c>
      <c r="AX56" s="116">
        <v>0</v>
      </c>
      <c r="AY56" s="116">
        <v>0</v>
      </c>
    </row>
    <row r="57" spans="1:51" x14ac:dyDescent="0.2">
      <c r="A57" s="115"/>
      <c r="B57" s="126">
        <v>13</v>
      </c>
      <c r="C57" s="115" t="s">
        <v>294</v>
      </c>
      <c r="D57" s="116">
        <v>0</v>
      </c>
      <c r="E57" s="116">
        <v>0</v>
      </c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>
        <v>0</v>
      </c>
      <c r="AC57" s="116">
        <v>0</v>
      </c>
      <c r="AD57" s="116">
        <v>0</v>
      </c>
      <c r="AE57" s="116">
        <v>0</v>
      </c>
      <c r="AF57" s="116">
        <v>0</v>
      </c>
      <c r="AG57" s="116">
        <v>0</v>
      </c>
      <c r="AH57" s="116">
        <v>0</v>
      </c>
      <c r="AI57" s="116">
        <v>0</v>
      </c>
      <c r="AJ57" s="116">
        <v>0</v>
      </c>
      <c r="AK57" s="116">
        <v>0</v>
      </c>
      <c r="AL57" s="116">
        <v>0</v>
      </c>
      <c r="AM57" s="116">
        <v>0</v>
      </c>
      <c r="AN57" s="116">
        <v>0</v>
      </c>
      <c r="AO57" s="116">
        <v>0</v>
      </c>
      <c r="AP57" s="116">
        <v>0</v>
      </c>
      <c r="AQ57" s="116">
        <v>0</v>
      </c>
      <c r="AR57" s="116">
        <v>0</v>
      </c>
      <c r="AS57" s="116">
        <v>0</v>
      </c>
      <c r="AT57" s="116">
        <v>0</v>
      </c>
      <c r="AU57" s="116">
        <v>0</v>
      </c>
      <c r="AV57" s="116">
        <v>0</v>
      </c>
      <c r="AW57" s="116">
        <v>0</v>
      </c>
      <c r="AX57" s="116">
        <v>0</v>
      </c>
      <c r="AY57" s="116">
        <v>0</v>
      </c>
    </row>
    <row r="58" spans="1:51" x14ac:dyDescent="0.2">
      <c r="A58" s="115"/>
      <c r="B58" s="126">
        <v>14</v>
      </c>
      <c r="C58" s="115" t="s">
        <v>294</v>
      </c>
      <c r="D58" s="116">
        <v>0</v>
      </c>
      <c r="E58" s="116">
        <v>0</v>
      </c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>
        <v>0</v>
      </c>
      <c r="AC58" s="116">
        <v>0</v>
      </c>
      <c r="AD58" s="116">
        <v>0</v>
      </c>
      <c r="AE58" s="116">
        <v>0</v>
      </c>
      <c r="AF58" s="116">
        <v>0</v>
      </c>
      <c r="AG58" s="116">
        <v>0</v>
      </c>
      <c r="AH58" s="116">
        <v>0</v>
      </c>
      <c r="AI58" s="116">
        <v>0</v>
      </c>
      <c r="AJ58" s="116">
        <v>0</v>
      </c>
      <c r="AK58" s="116">
        <v>0</v>
      </c>
      <c r="AL58" s="116">
        <v>0</v>
      </c>
      <c r="AM58" s="116">
        <v>0</v>
      </c>
      <c r="AN58" s="116">
        <v>0</v>
      </c>
      <c r="AO58" s="116">
        <v>0</v>
      </c>
      <c r="AP58" s="116">
        <v>0</v>
      </c>
      <c r="AQ58" s="116">
        <v>0</v>
      </c>
      <c r="AR58" s="116">
        <v>0</v>
      </c>
      <c r="AS58" s="116">
        <v>0</v>
      </c>
      <c r="AT58" s="116">
        <v>0</v>
      </c>
      <c r="AU58" s="116">
        <v>0</v>
      </c>
      <c r="AV58" s="116">
        <v>0</v>
      </c>
      <c r="AW58" s="116">
        <v>0</v>
      </c>
      <c r="AX58" s="116">
        <v>0</v>
      </c>
      <c r="AY58" s="116">
        <v>0</v>
      </c>
    </row>
    <row r="59" spans="1:51" x14ac:dyDescent="0.2">
      <c r="A59" s="115"/>
      <c r="B59" s="126">
        <v>15</v>
      </c>
      <c r="C59" s="115" t="s">
        <v>294</v>
      </c>
      <c r="D59" s="116">
        <v>0</v>
      </c>
      <c r="E59" s="116">
        <v>0</v>
      </c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>
        <v>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</row>
    <row r="60" spans="1:51" x14ac:dyDescent="0.2">
      <c r="A60" s="115"/>
      <c r="B60" s="126">
        <v>16</v>
      </c>
      <c r="C60" s="115" t="s">
        <v>294</v>
      </c>
      <c r="D60" s="116">
        <v>0</v>
      </c>
      <c r="E60" s="116">
        <v>0</v>
      </c>
      <c r="F60" s="116">
        <v>0</v>
      </c>
      <c r="G60" s="116">
        <v>0</v>
      </c>
      <c r="H60" s="116">
        <v>0</v>
      </c>
      <c r="I60" s="116">
        <v>0</v>
      </c>
      <c r="J60" s="116">
        <v>0</v>
      </c>
      <c r="K60" s="116">
        <v>0</v>
      </c>
      <c r="L60" s="116">
        <v>0</v>
      </c>
      <c r="M60" s="116">
        <v>0</v>
      </c>
      <c r="N60" s="116">
        <v>0</v>
      </c>
      <c r="O60" s="116">
        <v>0</v>
      </c>
      <c r="P60" s="116">
        <v>0</v>
      </c>
      <c r="Q60" s="116">
        <v>0</v>
      </c>
      <c r="R60" s="116">
        <v>0</v>
      </c>
      <c r="S60" s="116">
        <v>0</v>
      </c>
      <c r="T60" s="116">
        <v>0</v>
      </c>
      <c r="U60" s="116">
        <v>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>
        <v>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</row>
    <row r="61" spans="1:51" x14ac:dyDescent="0.2">
      <c r="A61" s="115"/>
      <c r="B61" s="126">
        <v>17</v>
      </c>
      <c r="C61" s="115" t="s">
        <v>294</v>
      </c>
      <c r="D61" s="116">
        <v>0</v>
      </c>
      <c r="E61" s="116">
        <v>0</v>
      </c>
      <c r="F61" s="116">
        <v>0</v>
      </c>
      <c r="G61" s="116">
        <v>0</v>
      </c>
      <c r="H61" s="116">
        <v>0</v>
      </c>
      <c r="I61" s="116">
        <v>0</v>
      </c>
      <c r="J61" s="116">
        <v>0</v>
      </c>
      <c r="K61" s="116">
        <v>0</v>
      </c>
      <c r="L61" s="116">
        <v>0</v>
      </c>
      <c r="M61" s="116">
        <v>0</v>
      </c>
      <c r="N61" s="116">
        <v>0</v>
      </c>
      <c r="O61" s="116">
        <v>0</v>
      </c>
      <c r="P61" s="116">
        <v>0</v>
      </c>
      <c r="Q61" s="116">
        <v>0</v>
      </c>
      <c r="R61" s="116">
        <v>0</v>
      </c>
      <c r="S61" s="116">
        <v>0</v>
      </c>
      <c r="T61" s="116">
        <v>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</row>
    <row r="62" spans="1:51" x14ac:dyDescent="0.2">
      <c r="A62" s="115"/>
      <c r="B62" s="126">
        <v>18</v>
      </c>
      <c r="C62" s="115" t="s">
        <v>294</v>
      </c>
      <c r="D62" s="116">
        <v>0</v>
      </c>
      <c r="E62" s="116">
        <v>0</v>
      </c>
      <c r="F62" s="116">
        <v>0</v>
      </c>
      <c r="G62" s="116">
        <v>0</v>
      </c>
      <c r="H62" s="116">
        <v>0</v>
      </c>
      <c r="I62" s="116">
        <v>0</v>
      </c>
      <c r="J62" s="116">
        <v>0</v>
      </c>
      <c r="K62" s="116">
        <v>0</v>
      </c>
      <c r="L62" s="116">
        <v>0</v>
      </c>
      <c r="M62" s="116">
        <v>0</v>
      </c>
      <c r="N62" s="116">
        <v>0</v>
      </c>
      <c r="O62" s="116">
        <v>0</v>
      </c>
      <c r="P62" s="116">
        <v>0</v>
      </c>
      <c r="Q62" s="116">
        <v>0</v>
      </c>
      <c r="R62" s="116">
        <v>0</v>
      </c>
      <c r="S62" s="116">
        <v>0</v>
      </c>
      <c r="T62" s="116">
        <v>0</v>
      </c>
      <c r="U62" s="116">
        <v>0</v>
      </c>
      <c r="V62" s="116">
        <v>0</v>
      </c>
      <c r="W62" s="116">
        <v>0</v>
      </c>
      <c r="X62" s="116">
        <v>0</v>
      </c>
      <c r="Y62" s="116">
        <v>0</v>
      </c>
      <c r="Z62" s="116">
        <v>0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>
        <v>0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0</v>
      </c>
      <c r="AR62" s="116">
        <v>0</v>
      </c>
      <c r="AS62" s="116">
        <v>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</row>
    <row r="63" spans="1:51" x14ac:dyDescent="0.2">
      <c r="A63" s="115"/>
      <c r="B63" s="126">
        <v>19</v>
      </c>
      <c r="C63" s="115" t="s">
        <v>294</v>
      </c>
      <c r="D63" s="116">
        <v>0</v>
      </c>
      <c r="E63" s="116">
        <v>0</v>
      </c>
      <c r="F63" s="116">
        <v>0</v>
      </c>
      <c r="G63" s="116">
        <v>0</v>
      </c>
      <c r="H63" s="116">
        <v>0</v>
      </c>
      <c r="I63" s="116">
        <v>0</v>
      </c>
      <c r="J63" s="116">
        <v>0</v>
      </c>
      <c r="K63" s="116">
        <v>0</v>
      </c>
      <c r="L63" s="116">
        <v>0</v>
      </c>
      <c r="M63" s="116">
        <v>0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>
        <v>0</v>
      </c>
      <c r="V63" s="116">
        <v>0</v>
      </c>
      <c r="W63" s="116">
        <v>0</v>
      </c>
      <c r="X63" s="116">
        <v>0</v>
      </c>
      <c r="Y63" s="116">
        <v>0</v>
      </c>
      <c r="Z63" s="116">
        <v>0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>
        <v>0</v>
      </c>
      <c r="AJ63" s="116">
        <v>0</v>
      </c>
      <c r="AK63" s="116">
        <v>0</v>
      </c>
      <c r="AL63" s="116">
        <v>0</v>
      </c>
      <c r="AM63" s="116">
        <v>0</v>
      </c>
      <c r="AN63" s="116">
        <v>0</v>
      </c>
      <c r="AO63" s="116">
        <v>0</v>
      </c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</row>
    <row r="64" spans="1:51" x14ac:dyDescent="0.2">
      <c r="A64" s="115"/>
      <c r="B64" s="126">
        <v>20</v>
      </c>
      <c r="C64" s="115" t="s">
        <v>294</v>
      </c>
      <c r="D64" s="116">
        <v>0</v>
      </c>
      <c r="E64" s="116">
        <v>0</v>
      </c>
      <c r="F64" s="116">
        <v>0</v>
      </c>
      <c r="G64" s="116">
        <v>0</v>
      </c>
      <c r="H64" s="116">
        <v>0</v>
      </c>
      <c r="I64" s="116">
        <v>0</v>
      </c>
      <c r="J64" s="116">
        <v>0</v>
      </c>
      <c r="K64" s="116">
        <v>0</v>
      </c>
      <c r="L64" s="116">
        <v>0</v>
      </c>
      <c r="M64" s="116">
        <v>0</v>
      </c>
      <c r="N64" s="116">
        <v>0</v>
      </c>
      <c r="O64" s="116">
        <v>0</v>
      </c>
      <c r="P64" s="116">
        <v>0</v>
      </c>
      <c r="Q64" s="116">
        <v>0</v>
      </c>
      <c r="R64" s="116">
        <v>0</v>
      </c>
      <c r="S64" s="116">
        <v>0</v>
      </c>
      <c r="T64" s="116">
        <v>0</v>
      </c>
      <c r="U64" s="116">
        <v>0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</row>
    <row r="65" spans="1:51" x14ac:dyDescent="0.2">
      <c r="A65" s="115"/>
      <c r="B65" s="126">
        <v>21</v>
      </c>
      <c r="C65" s="115" t="s">
        <v>294</v>
      </c>
      <c r="D65" s="116">
        <v>0</v>
      </c>
      <c r="E65" s="116">
        <v>0</v>
      </c>
      <c r="F65" s="116">
        <v>0</v>
      </c>
      <c r="G65" s="116">
        <v>0</v>
      </c>
      <c r="H65" s="116">
        <v>0</v>
      </c>
      <c r="I65" s="116">
        <v>0</v>
      </c>
      <c r="J65" s="116">
        <v>0</v>
      </c>
      <c r="K65" s="116">
        <v>0</v>
      </c>
      <c r="L65" s="116">
        <v>0</v>
      </c>
      <c r="M65" s="116">
        <v>0</v>
      </c>
      <c r="N65" s="116">
        <v>0</v>
      </c>
      <c r="O65" s="116">
        <v>0</v>
      </c>
      <c r="P65" s="116">
        <v>0</v>
      </c>
      <c r="Q65" s="116">
        <v>0</v>
      </c>
      <c r="R65" s="116">
        <v>0</v>
      </c>
      <c r="S65" s="116">
        <v>0</v>
      </c>
      <c r="T65" s="116">
        <v>0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</row>
    <row r="66" spans="1:51" x14ac:dyDescent="0.2">
      <c r="A66" s="115"/>
      <c r="B66" s="126">
        <v>22</v>
      </c>
      <c r="C66" s="115" t="s">
        <v>294</v>
      </c>
      <c r="D66" s="116">
        <v>0</v>
      </c>
      <c r="E66" s="116">
        <v>0</v>
      </c>
      <c r="F66" s="116">
        <v>0</v>
      </c>
      <c r="G66" s="116">
        <v>0</v>
      </c>
      <c r="H66" s="116">
        <v>0</v>
      </c>
      <c r="I66" s="116">
        <v>0</v>
      </c>
      <c r="J66" s="116">
        <v>0</v>
      </c>
      <c r="K66" s="116">
        <v>0</v>
      </c>
      <c r="L66" s="116">
        <v>0</v>
      </c>
      <c r="M66" s="116">
        <v>0</v>
      </c>
      <c r="N66" s="116">
        <v>0</v>
      </c>
      <c r="O66" s="116">
        <v>0</v>
      </c>
      <c r="P66" s="116">
        <v>0</v>
      </c>
      <c r="Q66" s="116">
        <v>0</v>
      </c>
      <c r="R66" s="116">
        <v>0</v>
      </c>
      <c r="S66" s="116">
        <v>0</v>
      </c>
      <c r="T66" s="116">
        <v>0</v>
      </c>
      <c r="U66" s="116">
        <v>0</v>
      </c>
      <c r="V66" s="116">
        <v>0</v>
      </c>
      <c r="W66" s="116">
        <v>0</v>
      </c>
      <c r="X66" s="116">
        <v>0</v>
      </c>
      <c r="Y66" s="116">
        <v>0</v>
      </c>
      <c r="Z66" s="116">
        <v>0</v>
      </c>
      <c r="AA66" s="116">
        <v>0</v>
      </c>
      <c r="AB66" s="116">
        <v>0</v>
      </c>
      <c r="AC66" s="116">
        <v>0</v>
      </c>
      <c r="AD66" s="116">
        <v>0</v>
      </c>
      <c r="AE66" s="116">
        <v>0</v>
      </c>
      <c r="AF66" s="116">
        <v>0</v>
      </c>
      <c r="AG66" s="116">
        <v>0</v>
      </c>
      <c r="AH66" s="116">
        <v>0</v>
      </c>
      <c r="AI66" s="116">
        <v>0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0</v>
      </c>
      <c r="AR66" s="116">
        <v>0</v>
      </c>
      <c r="AS66" s="116">
        <v>0</v>
      </c>
      <c r="AT66" s="116">
        <v>0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</row>
    <row r="67" spans="1:51" x14ac:dyDescent="0.2">
      <c r="A67" s="115"/>
      <c r="B67" s="126">
        <v>23</v>
      </c>
      <c r="C67" s="115" t="s">
        <v>294</v>
      </c>
      <c r="D67" s="116">
        <v>0</v>
      </c>
      <c r="E67" s="116">
        <v>0</v>
      </c>
      <c r="F67" s="116">
        <v>0</v>
      </c>
      <c r="G67" s="116">
        <v>0</v>
      </c>
      <c r="H67" s="116">
        <v>0</v>
      </c>
      <c r="I67" s="116">
        <v>0</v>
      </c>
      <c r="J67" s="116">
        <v>0</v>
      </c>
      <c r="K67" s="116">
        <v>0</v>
      </c>
      <c r="L67" s="116">
        <v>0</v>
      </c>
      <c r="M67" s="116">
        <v>0</v>
      </c>
      <c r="N67" s="116">
        <v>0</v>
      </c>
      <c r="O67" s="116">
        <v>0</v>
      </c>
      <c r="P67" s="116">
        <v>0</v>
      </c>
      <c r="Q67" s="116">
        <v>0</v>
      </c>
      <c r="R67" s="116">
        <v>0</v>
      </c>
      <c r="S67" s="116">
        <v>0</v>
      </c>
      <c r="T67" s="116">
        <v>0</v>
      </c>
      <c r="U67" s="116">
        <v>0</v>
      </c>
      <c r="V67" s="116">
        <v>0</v>
      </c>
      <c r="W67" s="116">
        <v>0</v>
      </c>
      <c r="X67" s="116">
        <v>0</v>
      </c>
      <c r="Y67" s="116">
        <v>0</v>
      </c>
      <c r="Z67" s="116">
        <v>0</v>
      </c>
      <c r="AA67" s="116">
        <v>0</v>
      </c>
      <c r="AB67" s="116">
        <v>0</v>
      </c>
      <c r="AC67" s="116">
        <v>0</v>
      </c>
      <c r="AD67" s="116">
        <v>0</v>
      </c>
      <c r="AE67" s="116">
        <v>0</v>
      </c>
      <c r="AF67" s="116">
        <v>0</v>
      </c>
      <c r="AG67" s="116">
        <v>0</v>
      </c>
      <c r="AH67" s="116">
        <v>0</v>
      </c>
      <c r="AI67" s="116">
        <v>0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0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</row>
    <row r="68" spans="1:51" x14ac:dyDescent="0.2">
      <c r="A68" s="115"/>
      <c r="B68" s="126">
        <v>24</v>
      </c>
      <c r="C68" s="115" t="s">
        <v>294</v>
      </c>
      <c r="D68" s="116">
        <v>0</v>
      </c>
      <c r="E68" s="116">
        <v>0</v>
      </c>
      <c r="F68" s="116">
        <v>0</v>
      </c>
      <c r="G68" s="116">
        <v>0</v>
      </c>
      <c r="H68" s="116">
        <v>0</v>
      </c>
      <c r="I68" s="116">
        <v>0</v>
      </c>
      <c r="J68" s="116">
        <v>0</v>
      </c>
      <c r="K68" s="116">
        <v>0</v>
      </c>
      <c r="L68" s="116">
        <v>0</v>
      </c>
      <c r="M68" s="116">
        <v>0</v>
      </c>
      <c r="N68" s="116">
        <v>0</v>
      </c>
      <c r="O68" s="116">
        <v>0</v>
      </c>
      <c r="P68" s="116">
        <v>0</v>
      </c>
      <c r="Q68" s="116">
        <v>0</v>
      </c>
      <c r="R68" s="116">
        <v>0</v>
      </c>
      <c r="S68" s="116">
        <v>0</v>
      </c>
      <c r="T68" s="116">
        <v>0</v>
      </c>
      <c r="U68" s="116">
        <v>0</v>
      </c>
      <c r="V68" s="116">
        <v>0</v>
      </c>
      <c r="W68" s="116">
        <v>0</v>
      </c>
      <c r="X68" s="116">
        <v>0</v>
      </c>
      <c r="Y68" s="116">
        <v>0</v>
      </c>
      <c r="Z68" s="116">
        <v>0</v>
      </c>
      <c r="AA68" s="116">
        <v>0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>
        <v>0</v>
      </c>
      <c r="AJ68" s="116">
        <v>0</v>
      </c>
      <c r="AK68" s="116">
        <v>0</v>
      </c>
      <c r="AL68" s="116">
        <v>0</v>
      </c>
      <c r="AM68" s="116">
        <v>0</v>
      </c>
      <c r="AN68" s="116">
        <v>0</v>
      </c>
      <c r="AO68" s="116">
        <v>0</v>
      </c>
      <c r="AP68" s="116">
        <v>0</v>
      </c>
      <c r="AQ68" s="116">
        <v>0</v>
      </c>
      <c r="AR68" s="116">
        <v>0</v>
      </c>
      <c r="AS68" s="116">
        <v>0</v>
      </c>
      <c r="AT68" s="116">
        <v>0</v>
      </c>
      <c r="AU68" s="116">
        <v>0</v>
      </c>
      <c r="AV68" s="116">
        <v>0</v>
      </c>
      <c r="AW68" s="116">
        <v>0</v>
      </c>
      <c r="AX68" s="116">
        <v>0</v>
      </c>
      <c r="AY68" s="116">
        <v>0</v>
      </c>
    </row>
    <row r="69" spans="1:51" x14ac:dyDescent="0.2">
      <c r="A69" s="115"/>
      <c r="B69" s="133">
        <v>25</v>
      </c>
      <c r="C69" s="115" t="s">
        <v>294</v>
      </c>
      <c r="D69" s="116">
        <v>0</v>
      </c>
      <c r="E69" s="116">
        <v>0</v>
      </c>
      <c r="F69" s="116">
        <v>0</v>
      </c>
      <c r="G69" s="116">
        <v>0</v>
      </c>
      <c r="H69" s="116">
        <v>0</v>
      </c>
      <c r="I69" s="116">
        <v>0</v>
      </c>
      <c r="J69" s="116">
        <v>0</v>
      </c>
      <c r="K69" s="116">
        <v>0</v>
      </c>
      <c r="L69" s="116">
        <v>0</v>
      </c>
      <c r="M69" s="116">
        <v>0</v>
      </c>
      <c r="N69" s="116">
        <v>0</v>
      </c>
      <c r="O69" s="116">
        <v>0</v>
      </c>
      <c r="P69" s="116">
        <v>0</v>
      </c>
      <c r="Q69" s="116">
        <v>0</v>
      </c>
      <c r="R69" s="116">
        <v>0</v>
      </c>
      <c r="S69" s="116">
        <v>0</v>
      </c>
      <c r="T69" s="116">
        <v>0</v>
      </c>
      <c r="U69" s="116">
        <v>0</v>
      </c>
      <c r="V69" s="116">
        <v>0</v>
      </c>
      <c r="W69" s="116">
        <v>0</v>
      </c>
      <c r="X69" s="116">
        <v>0</v>
      </c>
      <c r="Y69" s="116">
        <v>0</v>
      </c>
      <c r="Z69" s="116">
        <v>0</v>
      </c>
      <c r="AA69" s="116">
        <v>0</v>
      </c>
      <c r="AB69" s="116">
        <v>0</v>
      </c>
      <c r="AC69" s="116">
        <v>0</v>
      </c>
      <c r="AD69" s="116">
        <v>0</v>
      </c>
      <c r="AE69" s="116">
        <v>0</v>
      </c>
      <c r="AF69" s="116">
        <v>0</v>
      </c>
      <c r="AG69" s="116">
        <v>0</v>
      </c>
      <c r="AH69" s="116">
        <v>0</v>
      </c>
      <c r="AI69" s="116">
        <v>0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</row>
    <row r="70" spans="1:51" x14ac:dyDescent="0.2">
      <c r="A70" s="115"/>
      <c r="B70" s="133">
        <v>26</v>
      </c>
      <c r="C70" s="115" t="s">
        <v>294</v>
      </c>
      <c r="D70" s="116">
        <v>0</v>
      </c>
      <c r="E70" s="116">
        <v>0</v>
      </c>
      <c r="F70" s="116">
        <v>0</v>
      </c>
      <c r="G70" s="116">
        <v>0</v>
      </c>
      <c r="H70" s="116">
        <v>0</v>
      </c>
      <c r="I70" s="116">
        <v>0</v>
      </c>
      <c r="J70" s="116">
        <v>0</v>
      </c>
      <c r="K70" s="116">
        <v>0</v>
      </c>
      <c r="L70" s="116">
        <v>0</v>
      </c>
      <c r="M70" s="116">
        <v>0</v>
      </c>
      <c r="N70" s="116">
        <v>0</v>
      </c>
      <c r="O70" s="116">
        <v>0</v>
      </c>
      <c r="P70" s="116">
        <v>0</v>
      </c>
      <c r="Q70" s="116">
        <v>0</v>
      </c>
      <c r="R70" s="116">
        <v>0</v>
      </c>
      <c r="S70" s="116">
        <v>0</v>
      </c>
      <c r="T70" s="116">
        <v>0</v>
      </c>
      <c r="U70" s="116">
        <v>0</v>
      </c>
      <c r="V70" s="116">
        <v>0</v>
      </c>
      <c r="W70" s="116">
        <v>0</v>
      </c>
      <c r="X70" s="116">
        <v>0</v>
      </c>
      <c r="Y70" s="116">
        <v>0</v>
      </c>
      <c r="Z70" s="116">
        <v>0</v>
      </c>
      <c r="AA70" s="116">
        <v>0</v>
      </c>
      <c r="AB70" s="116">
        <v>0</v>
      </c>
      <c r="AC70" s="116">
        <v>0</v>
      </c>
      <c r="AD70" s="116">
        <v>0</v>
      </c>
      <c r="AE70" s="116">
        <v>0</v>
      </c>
      <c r="AF70" s="116">
        <v>0</v>
      </c>
      <c r="AG70" s="116">
        <v>0</v>
      </c>
      <c r="AH70" s="116">
        <v>0</v>
      </c>
      <c r="AI70" s="116">
        <v>0</v>
      </c>
      <c r="AJ70" s="116">
        <v>0</v>
      </c>
      <c r="AK70" s="116">
        <v>0</v>
      </c>
      <c r="AL70" s="116">
        <v>0</v>
      </c>
      <c r="AM70" s="116">
        <v>0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</row>
    <row r="71" spans="1:51" x14ac:dyDescent="0.2">
      <c r="A71" s="115"/>
      <c r="B71" s="133">
        <v>27</v>
      </c>
      <c r="C71" s="115" t="s">
        <v>294</v>
      </c>
      <c r="D71" s="116">
        <v>0</v>
      </c>
      <c r="E71" s="116">
        <v>0</v>
      </c>
      <c r="F71" s="116">
        <v>0</v>
      </c>
      <c r="G71" s="116">
        <v>0</v>
      </c>
      <c r="H71" s="116">
        <v>0</v>
      </c>
      <c r="I71" s="116">
        <v>0</v>
      </c>
      <c r="J71" s="116">
        <v>0</v>
      </c>
      <c r="K71" s="116">
        <v>0</v>
      </c>
      <c r="L71" s="116">
        <v>0</v>
      </c>
      <c r="M71" s="116">
        <v>0</v>
      </c>
      <c r="N71" s="116">
        <v>0</v>
      </c>
      <c r="O71" s="116">
        <v>0</v>
      </c>
      <c r="P71" s="116">
        <v>0</v>
      </c>
      <c r="Q71" s="116">
        <v>0</v>
      </c>
      <c r="R71" s="116">
        <v>0</v>
      </c>
      <c r="S71" s="116">
        <v>0</v>
      </c>
      <c r="T71" s="116">
        <v>0</v>
      </c>
      <c r="U71" s="116">
        <v>0</v>
      </c>
      <c r="V71" s="116">
        <v>0</v>
      </c>
      <c r="W71" s="116">
        <v>0</v>
      </c>
      <c r="X71" s="116">
        <v>0</v>
      </c>
      <c r="Y71" s="116">
        <v>0</v>
      </c>
      <c r="Z71" s="116">
        <v>0</v>
      </c>
      <c r="AA71" s="116">
        <v>0</v>
      </c>
      <c r="AB71" s="116">
        <v>0</v>
      </c>
      <c r="AC71" s="116">
        <v>0</v>
      </c>
      <c r="AD71" s="116">
        <v>0</v>
      </c>
      <c r="AE71" s="116">
        <v>0</v>
      </c>
      <c r="AF71" s="116">
        <v>0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0</v>
      </c>
      <c r="AU71" s="116">
        <v>0</v>
      </c>
      <c r="AV71" s="116">
        <v>0</v>
      </c>
      <c r="AW71" s="116">
        <v>0</v>
      </c>
      <c r="AX71" s="116">
        <v>0</v>
      </c>
      <c r="AY71" s="116">
        <v>0</v>
      </c>
    </row>
    <row r="72" spans="1:51" x14ac:dyDescent="0.2">
      <c r="A72" s="115"/>
      <c r="B72" s="133">
        <v>28</v>
      </c>
      <c r="C72" s="115" t="s">
        <v>294</v>
      </c>
      <c r="D72" s="116">
        <v>0</v>
      </c>
      <c r="E72" s="116">
        <v>0</v>
      </c>
      <c r="F72" s="116">
        <v>0</v>
      </c>
      <c r="G72" s="116">
        <v>0</v>
      </c>
      <c r="H72" s="116">
        <v>0</v>
      </c>
      <c r="I72" s="116">
        <v>0</v>
      </c>
      <c r="J72" s="116">
        <v>0</v>
      </c>
      <c r="K72" s="116">
        <v>0</v>
      </c>
      <c r="L72" s="116">
        <v>0</v>
      </c>
      <c r="M72" s="116">
        <v>0</v>
      </c>
      <c r="N72" s="116">
        <v>0</v>
      </c>
      <c r="O72" s="116">
        <v>0</v>
      </c>
      <c r="P72" s="116">
        <v>0</v>
      </c>
      <c r="Q72" s="116">
        <v>0</v>
      </c>
      <c r="R72" s="116">
        <v>0</v>
      </c>
      <c r="S72" s="116">
        <v>0</v>
      </c>
      <c r="T72" s="116">
        <v>0</v>
      </c>
      <c r="U72" s="116">
        <v>0</v>
      </c>
      <c r="V72" s="116">
        <v>0</v>
      </c>
      <c r="W72" s="116">
        <v>0</v>
      </c>
      <c r="X72" s="116">
        <v>0</v>
      </c>
      <c r="Y72" s="116">
        <v>0</v>
      </c>
      <c r="Z72" s="116">
        <v>0</v>
      </c>
      <c r="AA72" s="116">
        <v>0</v>
      </c>
      <c r="AB72" s="116">
        <v>0</v>
      </c>
      <c r="AC72" s="116">
        <v>0</v>
      </c>
      <c r="AD72" s="116">
        <v>0</v>
      </c>
      <c r="AE72" s="116">
        <v>0</v>
      </c>
      <c r="AF72" s="116">
        <v>0</v>
      </c>
      <c r="AG72" s="116">
        <v>0</v>
      </c>
      <c r="AH72" s="116">
        <v>0</v>
      </c>
      <c r="AI72" s="116">
        <v>0</v>
      </c>
      <c r="AJ72" s="116">
        <v>0</v>
      </c>
      <c r="AK72" s="116">
        <v>0</v>
      </c>
      <c r="AL72" s="116">
        <v>0</v>
      </c>
      <c r="AM72" s="116">
        <v>0</v>
      </c>
      <c r="AN72" s="116">
        <v>0</v>
      </c>
      <c r="AO72" s="116">
        <v>0</v>
      </c>
      <c r="AP72" s="116">
        <v>0</v>
      </c>
      <c r="AQ72" s="116">
        <v>0</v>
      </c>
      <c r="AR72" s="116">
        <v>0</v>
      </c>
      <c r="AS72" s="116">
        <v>0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</row>
    <row r="73" spans="1:51" x14ac:dyDescent="0.2">
      <c r="A73" s="115"/>
      <c r="B73" s="133">
        <v>29</v>
      </c>
      <c r="C73" s="115" t="s">
        <v>294</v>
      </c>
      <c r="D73" s="116">
        <v>0</v>
      </c>
      <c r="E73" s="116">
        <v>0</v>
      </c>
      <c r="F73" s="116">
        <v>0</v>
      </c>
      <c r="G73" s="116">
        <v>0</v>
      </c>
      <c r="H73" s="116">
        <v>0</v>
      </c>
      <c r="I73" s="116">
        <v>0</v>
      </c>
      <c r="J73" s="116">
        <v>0</v>
      </c>
      <c r="K73" s="116">
        <v>0</v>
      </c>
      <c r="L73" s="116">
        <v>0</v>
      </c>
      <c r="M73" s="116">
        <v>0</v>
      </c>
      <c r="N73" s="116">
        <v>0</v>
      </c>
      <c r="O73" s="116">
        <v>0</v>
      </c>
      <c r="P73" s="116">
        <v>0</v>
      </c>
      <c r="Q73" s="116">
        <v>0</v>
      </c>
      <c r="R73" s="116">
        <v>0</v>
      </c>
      <c r="S73" s="116">
        <v>0</v>
      </c>
      <c r="T73" s="116">
        <v>0</v>
      </c>
      <c r="U73" s="116">
        <v>0</v>
      </c>
      <c r="V73" s="116">
        <v>0</v>
      </c>
      <c r="W73" s="116">
        <v>0</v>
      </c>
      <c r="X73" s="116">
        <v>0</v>
      </c>
      <c r="Y73" s="116">
        <v>0</v>
      </c>
      <c r="Z73" s="116">
        <v>0</v>
      </c>
      <c r="AA73" s="116">
        <v>0</v>
      </c>
      <c r="AB73" s="116">
        <v>0</v>
      </c>
      <c r="AC73" s="116">
        <v>0</v>
      </c>
      <c r="AD73" s="116">
        <v>0</v>
      </c>
      <c r="AE73" s="116">
        <v>0</v>
      </c>
      <c r="AF73" s="116">
        <v>0</v>
      </c>
      <c r="AG73" s="116">
        <v>0</v>
      </c>
      <c r="AH73" s="116">
        <v>0</v>
      </c>
      <c r="AI73" s="116">
        <v>0</v>
      </c>
      <c r="AJ73" s="116">
        <v>0</v>
      </c>
      <c r="AK73" s="116">
        <v>0</v>
      </c>
      <c r="AL73" s="116">
        <v>0</v>
      </c>
      <c r="AM73" s="116">
        <v>0</v>
      </c>
      <c r="AN73" s="116">
        <v>0</v>
      </c>
      <c r="AO73" s="116">
        <v>0</v>
      </c>
      <c r="AP73" s="116">
        <v>0</v>
      </c>
      <c r="AQ73" s="116">
        <v>0</v>
      </c>
      <c r="AR73" s="116">
        <v>0</v>
      </c>
      <c r="AS73" s="116">
        <v>0</v>
      </c>
      <c r="AT73" s="116">
        <v>0</v>
      </c>
      <c r="AU73" s="116">
        <v>0</v>
      </c>
      <c r="AV73" s="116">
        <v>0</v>
      </c>
      <c r="AW73" s="116">
        <v>0</v>
      </c>
      <c r="AX73" s="116">
        <v>0</v>
      </c>
      <c r="AY73" s="116">
        <v>0</v>
      </c>
    </row>
    <row r="74" spans="1:51" x14ac:dyDescent="0.2">
      <c r="A74" s="115"/>
      <c r="B74" s="133">
        <v>30</v>
      </c>
      <c r="C74" s="115" t="s">
        <v>294</v>
      </c>
      <c r="D74" s="116">
        <v>0</v>
      </c>
      <c r="E74" s="116">
        <v>0</v>
      </c>
      <c r="F74" s="116">
        <v>0</v>
      </c>
      <c r="G74" s="116">
        <v>0</v>
      </c>
      <c r="H74" s="116">
        <v>0</v>
      </c>
      <c r="I74" s="116">
        <v>0</v>
      </c>
      <c r="J74" s="116">
        <v>0</v>
      </c>
      <c r="K74" s="116">
        <v>0</v>
      </c>
      <c r="L74" s="116">
        <v>0</v>
      </c>
      <c r="M74" s="116">
        <v>0</v>
      </c>
      <c r="N74" s="116">
        <v>0</v>
      </c>
      <c r="O74" s="116">
        <v>0</v>
      </c>
      <c r="P74" s="116">
        <v>0</v>
      </c>
      <c r="Q74" s="116">
        <v>0</v>
      </c>
      <c r="R74" s="116">
        <v>0</v>
      </c>
      <c r="S74" s="116">
        <v>0</v>
      </c>
      <c r="T74" s="116">
        <v>0</v>
      </c>
      <c r="U74" s="116">
        <v>0</v>
      </c>
      <c r="V74" s="116">
        <v>0</v>
      </c>
      <c r="W74" s="116">
        <v>0</v>
      </c>
      <c r="X74" s="116">
        <v>0</v>
      </c>
      <c r="Y74" s="116">
        <v>0</v>
      </c>
      <c r="Z74" s="116">
        <v>0</v>
      </c>
      <c r="AA74" s="116">
        <v>0</v>
      </c>
      <c r="AB74" s="116">
        <v>0</v>
      </c>
      <c r="AC74" s="116">
        <v>0</v>
      </c>
      <c r="AD74" s="116">
        <v>0</v>
      </c>
      <c r="AE74" s="116">
        <v>0</v>
      </c>
      <c r="AF74" s="116">
        <v>0</v>
      </c>
      <c r="AG74" s="116">
        <v>0</v>
      </c>
      <c r="AH74" s="116">
        <v>0</v>
      </c>
      <c r="AI74" s="116">
        <v>0</v>
      </c>
      <c r="AJ74" s="116">
        <v>0</v>
      </c>
      <c r="AK74" s="116">
        <v>0</v>
      </c>
      <c r="AL74" s="116">
        <v>0</v>
      </c>
      <c r="AM74" s="116">
        <v>0</v>
      </c>
      <c r="AN74" s="116">
        <v>0</v>
      </c>
      <c r="AO74" s="116">
        <v>0</v>
      </c>
      <c r="AP74" s="116">
        <v>0</v>
      </c>
      <c r="AQ74" s="116">
        <v>0</v>
      </c>
      <c r="AR74" s="116">
        <v>0</v>
      </c>
      <c r="AS74" s="116">
        <v>0</v>
      </c>
      <c r="AT74" s="116">
        <v>0</v>
      </c>
      <c r="AU74" s="116">
        <v>0</v>
      </c>
      <c r="AV74" s="116">
        <v>0</v>
      </c>
      <c r="AW74" s="116">
        <v>0</v>
      </c>
      <c r="AX74" s="116">
        <v>0</v>
      </c>
      <c r="AY74" s="116">
        <v>0</v>
      </c>
    </row>
    <row r="75" spans="1:51" x14ac:dyDescent="0.2">
      <c r="A75" s="115"/>
      <c r="B75" s="133">
        <v>31</v>
      </c>
      <c r="C75" s="115" t="s">
        <v>294</v>
      </c>
      <c r="D75" s="116">
        <v>0</v>
      </c>
      <c r="E75" s="116">
        <v>0</v>
      </c>
      <c r="F75" s="116">
        <v>0</v>
      </c>
      <c r="G75" s="116">
        <v>0</v>
      </c>
      <c r="H75" s="116">
        <v>0</v>
      </c>
      <c r="I75" s="116">
        <v>0</v>
      </c>
      <c r="J75" s="116">
        <v>0</v>
      </c>
      <c r="K75" s="116">
        <v>0</v>
      </c>
      <c r="L75" s="116">
        <v>0</v>
      </c>
      <c r="M75" s="116">
        <v>0</v>
      </c>
      <c r="N75" s="116">
        <v>0</v>
      </c>
      <c r="O75" s="116">
        <v>0</v>
      </c>
      <c r="P75" s="116">
        <v>0</v>
      </c>
      <c r="Q75" s="116">
        <v>0</v>
      </c>
      <c r="R75" s="116">
        <v>0</v>
      </c>
      <c r="S75" s="116">
        <v>0</v>
      </c>
      <c r="T75" s="116">
        <v>0</v>
      </c>
      <c r="U75" s="116">
        <v>0</v>
      </c>
      <c r="V75" s="116">
        <v>0</v>
      </c>
      <c r="W75" s="116">
        <v>0</v>
      </c>
      <c r="X75" s="116">
        <v>0</v>
      </c>
      <c r="Y75" s="116">
        <v>0</v>
      </c>
      <c r="Z75" s="116">
        <v>0</v>
      </c>
      <c r="AA75" s="116">
        <v>0</v>
      </c>
      <c r="AB75" s="116">
        <v>0</v>
      </c>
      <c r="AC75" s="116">
        <v>0</v>
      </c>
      <c r="AD75" s="116">
        <v>0</v>
      </c>
      <c r="AE75" s="116">
        <v>0</v>
      </c>
      <c r="AF75" s="116">
        <v>0</v>
      </c>
      <c r="AG75" s="116">
        <v>0</v>
      </c>
      <c r="AH75" s="116">
        <v>0</v>
      </c>
      <c r="AI75" s="116">
        <v>0</v>
      </c>
      <c r="AJ75" s="116">
        <v>0</v>
      </c>
      <c r="AK75" s="116">
        <v>0</v>
      </c>
      <c r="AL75" s="116">
        <v>0</v>
      </c>
      <c r="AM75" s="116">
        <v>0</v>
      </c>
      <c r="AN75" s="116">
        <v>0</v>
      </c>
      <c r="AO75" s="116">
        <v>0</v>
      </c>
      <c r="AP75" s="116">
        <v>0</v>
      </c>
      <c r="AQ75" s="116">
        <v>0</v>
      </c>
      <c r="AR75" s="116">
        <v>0</v>
      </c>
      <c r="AS75" s="116">
        <v>0</v>
      </c>
      <c r="AT75" s="116">
        <v>0</v>
      </c>
      <c r="AU75" s="116">
        <v>0</v>
      </c>
      <c r="AV75" s="116">
        <v>0</v>
      </c>
      <c r="AW75" s="116">
        <v>0</v>
      </c>
      <c r="AX75" s="116">
        <v>0</v>
      </c>
      <c r="AY75" s="116">
        <v>0</v>
      </c>
    </row>
    <row r="76" spans="1:51" x14ac:dyDescent="0.2">
      <c r="A76" s="115"/>
      <c r="B76" s="133">
        <v>32</v>
      </c>
      <c r="C76" s="115" t="s">
        <v>294</v>
      </c>
      <c r="D76" s="116">
        <v>0</v>
      </c>
      <c r="E76" s="116">
        <v>0</v>
      </c>
      <c r="F76" s="116">
        <v>0</v>
      </c>
      <c r="G76" s="116">
        <v>0</v>
      </c>
      <c r="H76" s="116">
        <v>0</v>
      </c>
      <c r="I76" s="116">
        <v>0</v>
      </c>
      <c r="J76" s="116">
        <v>0</v>
      </c>
      <c r="K76" s="116">
        <v>0</v>
      </c>
      <c r="L76" s="116">
        <v>0</v>
      </c>
      <c r="M76" s="116">
        <v>0</v>
      </c>
      <c r="N76" s="116">
        <v>0</v>
      </c>
      <c r="O76" s="116">
        <v>0</v>
      </c>
      <c r="P76" s="116">
        <v>0</v>
      </c>
      <c r="Q76" s="116">
        <v>0</v>
      </c>
      <c r="R76" s="116">
        <v>0</v>
      </c>
      <c r="S76" s="116">
        <v>0</v>
      </c>
      <c r="T76" s="116">
        <v>0</v>
      </c>
      <c r="U76" s="116">
        <v>0</v>
      </c>
      <c r="V76" s="116">
        <v>0</v>
      </c>
      <c r="W76" s="116">
        <v>0</v>
      </c>
      <c r="X76" s="116">
        <v>0</v>
      </c>
      <c r="Y76" s="116">
        <v>0</v>
      </c>
      <c r="Z76" s="116">
        <v>0</v>
      </c>
      <c r="AA76" s="116">
        <v>0</v>
      </c>
      <c r="AB76" s="116">
        <v>0</v>
      </c>
      <c r="AC76" s="116">
        <v>0</v>
      </c>
      <c r="AD76" s="116">
        <v>0</v>
      </c>
      <c r="AE76" s="116">
        <v>0</v>
      </c>
      <c r="AF76" s="116">
        <v>0</v>
      </c>
      <c r="AG76" s="116">
        <v>0</v>
      </c>
      <c r="AH76" s="116">
        <v>0</v>
      </c>
      <c r="AI76" s="116">
        <v>0</v>
      </c>
      <c r="AJ76" s="116">
        <v>0</v>
      </c>
      <c r="AK76" s="116">
        <v>0</v>
      </c>
      <c r="AL76" s="116">
        <v>0</v>
      </c>
      <c r="AM76" s="116">
        <v>0</v>
      </c>
      <c r="AN76" s="116">
        <v>0</v>
      </c>
      <c r="AO76" s="116">
        <v>0</v>
      </c>
      <c r="AP76" s="116">
        <v>0</v>
      </c>
      <c r="AQ76" s="116">
        <v>0</v>
      </c>
      <c r="AR76" s="116">
        <v>0</v>
      </c>
      <c r="AS76" s="116">
        <v>0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</row>
    <row r="77" spans="1:51" x14ac:dyDescent="0.2">
      <c r="A77" s="115"/>
      <c r="B77" s="133">
        <v>33</v>
      </c>
      <c r="C77" s="115" t="s">
        <v>294</v>
      </c>
      <c r="D77" s="116">
        <v>0</v>
      </c>
      <c r="E77" s="116">
        <v>0</v>
      </c>
      <c r="F77" s="116">
        <v>0</v>
      </c>
      <c r="G77" s="116">
        <v>0</v>
      </c>
      <c r="H77" s="116">
        <v>0</v>
      </c>
      <c r="I77" s="116">
        <v>0</v>
      </c>
      <c r="J77" s="116">
        <v>0</v>
      </c>
      <c r="K77" s="116">
        <v>0</v>
      </c>
      <c r="L77" s="116">
        <v>0</v>
      </c>
      <c r="M77" s="116">
        <v>0</v>
      </c>
      <c r="N77" s="116">
        <v>0</v>
      </c>
      <c r="O77" s="116">
        <v>0</v>
      </c>
      <c r="P77" s="116">
        <v>0</v>
      </c>
      <c r="Q77" s="116">
        <v>0</v>
      </c>
      <c r="R77" s="116">
        <v>0</v>
      </c>
      <c r="S77" s="116">
        <v>0</v>
      </c>
      <c r="T77" s="116">
        <v>0</v>
      </c>
      <c r="U77" s="116">
        <v>0</v>
      </c>
      <c r="V77" s="116">
        <v>0</v>
      </c>
      <c r="W77" s="116">
        <v>0</v>
      </c>
      <c r="X77" s="116">
        <v>0</v>
      </c>
      <c r="Y77" s="116">
        <v>0</v>
      </c>
      <c r="Z77" s="116">
        <v>0</v>
      </c>
      <c r="AA77" s="116">
        <v>0</v>
      </c>
      <c r="AB77" s="116">
        <v>0</v>
      </c>
      <c r="AC77" s="116">
        <v>0</v>
      </c>
      <c r="AD77" s="116">
        <v>0</v>
      </c>
      <c r="AE77" s="116">
        <v>0</v>
      </c>
      <c r="AF77" s="116">
        <v>0</v>
      </c>
      <c r="AG77" s="116">
        <v>0</v>
      </c>
      <c r="AH77" s="116">
        <v>0</v>
      </c>
      <c r="AI77" s="116">
        <v>0</v>
      </c>
      <c r="AJ77" s="116">
        <v>0</v>
      </c>
      <c r="AK77" s="116">
        <v>0</v>
      </c>
      <c r="AL77" s="116">
        <v>0</v>
      </c>
      <c r="AM77" s="116">
        <v>0</v>
      </c>
      <c r="AN77" s="116">
        <v>0</v>
      </c>
      <c r="AO77" s="116">
        <v>0</v>
      </c>
      <c r="AP77" s="116">
        <v>0</v>
      </c>
      <c r="AQ77" s="116">
        <v>0</v>
      </c>
      <c r="AR77" s="116">
        <v>0</v>
      </c>
      <c r="AS77" s="116">
        <v>0</v>
      </c>
      <c r="AT77" s="116">
        <v>0</v>
      </c>
      <c r="AU77" s="116">
        <v>0</v>
      </c>
      <c r="AV77" s="116">
        <v>0</v>
      </c>
      <c r="AW77" s="116">
        <v>0</v>
      </c>
      <c r="AX77" s="116">
        <v>0</v>
      </c>
      <c r="AY77" s="116">
        <v>0</v>
      </c>
    </row>
    <row r="78" spans="1:51" x14ac:dyDescent="0.2">
      <c r="A78" s="115"/>
      <c r="B78" s="133">
        <v>34</v>
      </c>
      <c r="C78" s="115" t="s">
        <v>294</v>
      </c>
      <c r="D78" s="116">
        <v>0</v>
      </c>
      <c r="E78" s="116">
        <v>0</v>
      </c>
      <c r="F78" s="116">
        <v>0</v>
      </c>
      <c r="G78" s="116">
        <v>0</v>
      </c>
      <c r="H78" s="116">
        <v>0</v>
      </c>
      <c r="I78" s="116">
        <v>0</v>
      </c>
      <c r="J78" s="116">
        <v>0</v>
      </c>
      <c r="K78" s="116">
        <v>0</v>
      </c>
      <c r="L78" s="116">
        <v>0</v>
      </c>
      <c r="M78" s="116">
        <v>0</v>
      </c>
      <c r="N78" s="116">
        <v>0</v>
      </c>
      <c r="O78" s="116">
        <v>0</v>
      </c>
      <c r="P78" s="116">
        <v>0</v>
      </c>
      <c r="Q78" s="116">
        <v>0</v>
      </c>
      <c r="R78" s="116">
        <v>0</v>
      </c>
      <c r="S78" s="116">
        <v>0</v>
      </c>
      <c r="T78" s="116">
        <v>0</v>
      </c>
      <c r="U78" s="116">
        <v>0</v>
      </c>
      <c r="V78" s="116">
        <v>0</v>
      </c>
      <c r="W78" s="116">
        <v>0</v>
      </c>
      <c r="X78" s="116">
        <v>0</v>
      </c>
      <c r="Y78" s="116">
        <v>0</v>
      </c>
      <c r="Z78" s="116">
        <v>0</v>
      </c>
      <c r="AA78" s="116">
        <v>0</v>
      </c>
      <c r="AB78" s="116">
        <v>0</v>
      </c>
      <c r="AC78" s="116">
        <v>0</v>
      </c>
      <c r="AD78" s="116">
        <v>0</v>
      </c>
      <c r="AE78" s="116">
        <v>0</v>
      </c>
      <c r="AF78" s="116">
        <v>0</v>
      </c>
      <c r="AG78" s="116">
        <v>0</v>
      </c>
      <c r="AH78" s="116">
        <v>0</v>
      </c>
      <c r="AI78" s="116">
        <v>0</v>
      </c>
      <c r="AJ78" s="116">
        <v>0</v>
      </c>
      <c r="AK78" s="116">
        <v>0</v>
      </c>
      <c r="AL78" s="116">
        <v>0</v>
      </c>
      <c r="AM78" s="116">
        <v>0</v>
      </c>
      <c r="AN78" s="116">
        <v>0</v>
      </c>
      <c r="AO78" s="116">
        <v>0</v>
      </c>
      <c r="AP78" s="116">
        <v>0</v>
      </c>
      <c r="AQ78" s="116">
        <v>0</v>
      </c>
      <c r="AR78" s="116">
        <v>0</v>
      </c>
      <c r="AS78" s="116">
        <v>0</v>
      </c>
      <c r="AT78" s="116">
        <v>0</v>
      </c>
      <c r="AU78" s="116">
        <v>0</v>
      </c>
      <c r="AV78" s="116">
        <v>0</v>
      </c>
      <c r="AW78" s="116">
        <v>0</v>
      </c>
      <c r="AX78" s="116">
        <v>0</v>
      </c>
      <c r="AY78" s="116">
        <v>0</v>
      </c>
    </row>
    <row r="79" spans="1:51" x14ac:dyDescent="0.2">
      <c r="A79" s="115"/>
      <c r="B79" s="133">
        <v>35</v>
      </c>
      <c r="C79" s="115" t="s">
        <v>294</v>
      </c>
      <c r="D79" s="116">
        <v>0</v>
      </c>
      <c r="E79" s="116">
        <v>0</v>
      </c>
      <c r="F79" s="116">
        <v>0</v>
      </c>
      <c r="G79" s="116">
        <v>0</v>
      </c>
      <c r="H79" s="116">
        <v>0</v>
      </c>
      <c r="I79" s="116">
        <v>0</v>
      </c>
      <c r="J79" s="116">
        <v>0</v>
      </c>
      <c r="K79" s="116">
        <v>0</v>
      </c>
      <c r="L79" s="116">
        <v>0</v>
      </c>
      <c r="M79" s="116">
        <v>0</v>
      </c>
      <c r="N79" s="116">
        <v>0</v>
      </c>
      <c r="O79" s="116">
        <v>0</v>
      </c>
      <c r="P79" s="116">
        <v>0</v>
      </c>
      <c r="Q79" s="116">
        <v>0</v>
      </c>
      <c r="R79" s="116">
        <v>0</v>
      </c>
      <c r="S79" s="116">
        <v>0</v>
      </c>
      <c r="T79" s="116">
        <v>0</v>
      </c>
      <c r="U79" s="116">
        <v>0</v>
      </c>
      <c r="V79" s="116">
        <v>0</v>
      </c>
      <c r="W79" s="116">
        <v>0</v>
      </c>
      <c r="X79" s="116">
        <v>0</v>
      </c>
      <c r="Y79" s="116">
        <v>0</v>
      </c>
      <c r="Z79" s="116">
        <v>0</v>
      </c>
      <c r="AA79" s="116">
        <v>0</v>
      </c>
      <c r="AB79" s="116">
        <v>0</v>
      </c>
      <c r="AC79" s="116">
        <v>0</v>
      </c>
      <c r="AD79" s="116">
        <v>0</v>
      </c>
      <c r="AE79" s="116">
        <v>0</v>
      </c>
      <c r="AF79" s="116">
        <v>0</v>
      </c>
      <c r="AG79" s="116">
        <v>0</v>
      </c>
      <c r="AH79" s="116">
        <v>0</v>
      </c>
      <c r="AI79" s="116">
        <v>0</v>
      </c>
      <c r="AJ79" s="116">
        <v>0</v>
      </c>
      <c r="AK79" s="116">
        <v>0</v>
      </c>
      <c r="AL79" s="116">
        <v>0</v>
      </c>
      <c r="AM79" s="116">
        <v>0</v>
      </c>
      <c r="AN79" s="116">
        <v>0</v>
      </c>
      <c r="AO79" s="116">
        <v>0</v>
      </c>
      <c r="AP79" s="116">
        <v>0</v>
      </c>
      <c r="AQ79" s="116">
        <v>0</v>
      </c>
      <c r="AR79" s="116">
        <v>0</v>
      </c>
      <c r="AS79" s="116">
        <v>0</v>
      </c>
      <c r="AT79" s="116">
        <v>0</v>
      </c>
      <c r="AU79" s="116">
        <v>0</v>
      </c>
      <c r="AV79" s="116">
        <v>0</v>
      </c>
      <c r="AW79" s="116">
        <v>0</v>
      </c>
      <c r="AX79" s="116">
        <v>0</v>
      </c>
      <c r="AY79" s="116">
        <v>0</v>
      </c>
    </row>
    <row r="80" spans="1:51" x14ac:dyDescent="0.2">
      <c r="A80" s="115"/>
      <c r="B80" s="133">
        <v>36</v>
      </c>
      <c r="C80" s="115" t="s">
        <v>294</v>
      </c>
      <c r="D80" s="116">
        <v>0</v>
      </c>
      <c r="E80" s="116">
        <v>0</v>
      </c>
      <c r="F80" s="116">
        <v>0</v>
      </c>
      <c r="G80" s="116">
        <v>0</v>
      </c>
      <c r="H80" s="116">
        <v>0</v>
      </c>
      <c r="I80" s="116">
        <v>0</v>
      </c>
      <c r="J80" s="116">
        <v>0</v>
      </c>
      <c r="K80" s="116">
        <v>0</v>
      </c>
      <c r="L80" s="116">
        <v>0</v>
      </c>
      <c r="M80" s="116">
        <v>0</v>
      </c>
      <c r="N80" s="116">
        <v>0</v>
      </c>
      <c r="O80" s="116">
        <v>0</v>
      </c>
      <c r="P80" s="116">
        <v>0</v>
      </c>
      <c r="Q80" s="116">
        <v>0</v>
      </c>
      <c r="R80" s="116">
        <v>0</v>
      </c>
      <c r="S80" s="116">
        <v>0</v>
      </c>
      <c r="T80" s="116">
        <v>0</v>
      </c>
      <c r="U80" s="116">
        <v>0</v>
      </c>
      <c r="V80" s="116">
        <v>0</v>
      </c>
      <c r="W80" s="116">
        <v>0</v>
      </c>
      <c r="X80" s="116">
        <v>0</v>
      </c>
      <c r="Y80" s="116">
        <v>0</v>
      </c>
      <c r="Z80" s="116">
        <v>0</v>
      </c>
      <c r="AA80" s="116">
        <v>0</v>
      </c>
      <c r="AB80" s="116">
        <v>0</v>
      </c>
      <c r="AC80" s="116">
        <v>0</v>
      </c>
      <c r="AD80" s="116">
        <v>0</v>
      </c>
      <c r="AE80" s="116">
        <v>0</v>
      </c>
      <c r="AF80" s="116">
        <v>0</v>
      </c>
      <c r="AG80" s="116">
        <v>0</v>
      </c>
      <c r="AH80" s="116">
        <v>0</v>
      </c>
      <c r="AI80" s="116">
        <v>0</v>
      </c>
      <c r="AJ80" s="116">
        <v>0</v>
      </c>
      <c r="AK80" s="116">
        <v>0</v>
      </c>
      <c r="AL80" s="116">
        <v>0</v>
      </c>
      <c r="AM80" s="116">
        <v>0</v>
      </c>
      <c r="AN80" s="116">
        <v>0</v>
      </c>
      <c r="AO80" s="116">
        <v>0</v>
      </c>
      <c r="AP80" s="116">
        <v>0</v>
      </c>
      <c r="AQ80" s="116">
        <v>0</v>
      </c>
      <c r="AR80" s="116">
        <v>0</v>
      </c>
      <c r="AS80" s="116">
        <v>0</v>
      </c>
      <c r="AT80" s="116">
        <v>0</v>
      </c>
      <c r="AU80" s="116">
        <v>0</v>
      </c>
      <c r="AV80" s="116">
        <v>0</v>
      </c>
      <c r="AW80" s="116">
        <v>0</v>
      </c>
      <c r="AX80" s="116">
        <v>0</v>
      </c>
      <c r="AY80" s="116">
        <v>0</v>
      </c>
    </row>
    <row r="81" spans="1:52" x14ac:dyDescent="0.2">
      <c r="A81" s="115"/>
      <c r="B81" s="136">
        <v>37</v>
      </c>
      <c r="C81" s="115" t="s">
        <v>294</v>
      </c>
      <c r="D81" s="116">
        <v>0</v>
      </c>
      <c r="E81" s="116">
        <v>0</v>
      </c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>
        <v>0</v>
      </c>
      <c r="L81" s="116">
        <v>0</v>
      </c>
      <c r="M81" s="116">
        <v>0</v>
      </c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>
        <v>0</v>
      </c>
      <c r="Y81" s="116">
        <v>0</v>
      </c>
      <c r="Z81" s="116">
        <v>0</v>
      </c>
      <c r="AA81" s="116">
        <v>0</v>
      </c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>
        <v>0</v>
      </c>
      <c r="AK81" s="116">
        <v>0</v>
      </c>
      <c r="AL81" s="116">
        <v>0</v>
      </c>
      <c r="AM81" s="116">
        <v>0</v>
      </c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294</v>
      </c>
      <c r="D82" s="116">
        <v>0</v>
      </c>
      <c r="E82" s="116">
        <v>0</v>
      </c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294</v>
      </c>
      <c r="D83" s="116">
        <v>0</v>
      </c>
      <c r="E83" s="116">
        <v>0</v>
      </c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294</v>
      </c>
      <c r="D84" s="116">
        <v>0</v>
      </c>
      <c r="E84" s="116">
        <v>0</v>
      </c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294</v>
      </c>
      <c r="D85" s="116">
        <v>0</v>
      </c>
      <c r="E85" s="116">
        <v>0</v>
      </c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294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294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294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294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294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294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294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2172537.3676001681</v>
      </c>
    </row>
    <row r="94" spans="1:52" x14ac:dyDescent="0.2">
      <c r="A94" s="108" t="s">
        <v>296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297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297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0</v>
      </c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297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32260.777211415654</v>
      </c>
      <c r="D122" s="112">
        <v>36293.374362842609</v>
      </c>
      <c r="E122" s="112">
        <v>36293.374362842609</v>
      </c>
      <c r="F122" s="112">
        <v>36293.374362842609</v>
      </c>
      <c r="G122" s="112">
        <v>36293.374362842609</v>
      </c>
      <c r="H122" s="112">
        <v>32260.777211415654</v>
      </c>
      <c r="I122" s="112">
        <v>32260.777211415654</v>
      </c>
      <c r="J122" s="112">
        <v>32260.777211415654</v>
      </c>
      <c r="K122" s="112">
        <v>32260.777211415654</v>
      </c>
      <c r="L122" s="112">
        <v>32260.777211415654</v>
      </c>
      <c r="M122" s="112">
        <v>32260.777211415654</v>
      </c>
      <c r="N122" s="112">
        <v>32260.777211415654</v>
      </c>
      <c r="O122" s="112">
        <v>32260.777211415654</v>
      </c>
      <c r="P122" s="112">
        <v>36293.374362842609</v>
      </c>
      <c r="Q122" s="112">
        <v>36293.374362842609</v>
      </c>
      <c r="R122" s="112">
        <v>36293.374362842609</v>
      </c>
      <c r="S122" s="112">
        <v>36293.374362842609</v>
      </c>
      <c r="T122" s="112">
        <v>32260.777211415654</v>
      </c>
      <c r="U122" s="112">
        <v>32260.777211415654</v>
      </c>
      <c r="V122" s="112">
        <v>32260.777211415654</v>
      </c>
      <c r="W122" s="112">
        <v>32260.777211415654</v>
      </c>
      <c r="X122" s="112">
        <v>32260.777211415654</v>
      </c>
      <c r="Y122" s="112">
        <v>32260.777211415654</v>
      </c>
      <c r="Z122" s="112">
        <v>32260.777211415654</v>
      </c>
      <c r="AA122" s="112">
        <v>32260.777211415654</v>
      </c>
      <c r="AB122" s="112">
        <v>36293.374362842609</v>
      </c>
      <c r="AC122" s="112">
        <v>36293.374362842609</v>
      </c>
      <c r="AD122" s="112">
        <v>36293.374362842609</v>
      </c>
      <c r="AE122" s="112">
        <v>36293.374362842609</v>
      </c>
      <c r="AF122" s="112">
        <v>32260.777211415654</v>
      </c>
      <c r="AG122" s="112">
        <v>32260.777211415654</v>
      </c>
      <c r="AH122" s="112">
        <v>32260.777211415654</v>
      </c>
      <c r="AI122" s="112">
        <v>32260.777211415654</v>
      </c>
      <c r="AJ122" s="112">
        <v>32260.777211415654</v>
      </c>
      <c r="AK122" s="112">
        <v>32260.777211415654</v>
      </c>
      <c r="AL122" s="112">
        <v>32260.777211415654</v>
      </c>
      <c r="AM122" s="112">
        <v>32260.777211415654</v>
      </c>
      <c r="AN122" s="112">
        <v>36293.374362842609</v>
      </c>
      <c r="AO122" s="112">
        <v>36293.374362842609</v>
      </c>
      <c r="AP122" s="112">
        <v>36293.374362842609</v>
      </c>
      <c r="AQ122" s="112">
        <v>36293.374362842609</v>
      </c>
      <c r="AR122" s="112">
        <v>32260.777211415654</v>
      </c>
      <c r="AS122" s="112">
        <v>32260.777211415654</v>
      </c>
      <c r="AT122" s="112">
        <v>32260.777211415654</v>
      </c>
      <c r="AU122" s="112">
        <v>32260.777211415654</v>
      </c>
      <c r="AV122" s="112">
        <v>32260.777211415654</v>
      </c>
      <c r="AW122" s="112">
        <v>32260.777211415654</v>
      </c>
      <c r="AX122" s="112">
        <v>32260.777211415654</v>
      </c>
      <c r="AY122" s="112">
        <v>32260.777211415654</v>
      </c>
    </row>
    <row r="123" spans="1:52" x14ac:dyDescent="0.2">
      <c r="A123" s="115"/>
      <c r="B123" s="125">
        <v>2</v>
      </c>
      <c r="C123" s="112">
        <v>18368.336667375432</v>
      </c>
      <c r="D123" s="112">
        <v>14706.625637157395</v>
      </c>
      <c r="E123" s="112">
        <v>14706.625637157391</v>
      </c>
      <c r="F123" s="112">
        <v>14706.625637157382</v>
      </c>
      <c r="G123" s="112">
        <v>14706.625637157387</v>
      </c>
      <c r="H123" s="112">
        <v>18739.222788584353</v>
      </c>
      <c r="I123" s="112">
        <v>18368.336667375428</v>
      </c>
      <c r="J123" s="112">
        <v>18368.336667375428</v>
      </c>
      <c r="K123" s="112">
        <v>18368.336667375428</v>
      </c>
      <c r="L123" s="112">
        <v>18368.336667375428</v>
      </c>
      <c r="M123" s="112">
        <v>18368.336667375428</v>
      </c>
      <c r="N123" s="112">
        <v>18368.336667375428</v>
      </c>
      <c r="O123" s="112">
        <v>18368.336667375428</v>
      </c>
      <c r="P123" s="112">
        <v>14706.625637157389</v>
      </c>
      <c r="Q123" s="112">
        <v>14706.625637157396</v>
      </c>
      <c r="R123" s="112">
        <v>14706.625637157396</v>
      </c>
      <c r="S123" s="112">
        <v>14706.625637157389</v>
      </c>
      <c r="T123" s="112">
        <v>18739.222788584339</v>
      </c>
      <c r="U123" s="112">
        <v>18368.336667375428</v>
      </c>
      <c r="V123" s="112">
        <v>18368.336667375428</v>
      </c>
      <c r="W123" s="112">
        <v>18368.336667375428</v>
      </c>
      <c r="X123" s="112">
        <v>18368.336667375428</v>
      </c>
      <c r="Y123" s="112">
        <v>18368.336667375428</v>
      </c>
      <c r="Z123" s="112">
        <v>18368.336667375428</v>
      </c>
      <c r="AA123" s="112">
        <v>18368.336667375428</v>
      </c>
      <c r="AB123" s="112">
        <v>14706.625637157382</v>
      </c>
      <c r="AC123" s="112">
        <v>14706.625637157396</v>
      </c>
      <c r="AD123" s="112">
        <v>14706.625637157396</v>
      </c>
      <c r="AE123" s="112">
        <v>14706.625637157389</v>
      </c>
      <c r="AF123" s="112">
        <v>18739.222788584346</v>
      </c>
      <c r="AG123" s="112">
        <v>18368.336667375428</v>
      </c>
      <c r="AH123" s="112">
        <v>18368.336667375428</v>
      </c>
      <c r="AI123" s="112">
        <v>18368.336667375428</v>
      </c>
      <c r="AJ123" s="112">
        <v>18368.336667375428</v>
      </c>
      <c r="AK123" s="112">
        <v>18368.336667375428</v>
      </c>
      <c r="AL123" s="112">
        <v>18368.336667375428</v>
      </c>
      <c r="AM123" s="112">
        <v>18368.336667375428</v>
      </c>
      <c r="AN123" s="112">
        <v>14706.625637157382</v>
      </c>
      <c r="AO123" s="112">
        <v>14706.625637157396</v>
      </c>
      <c r="AP123" s="112">
        <v>14706.625637157389</v>
      </c>
      <c r="AQ123" s="112">
        <v>14706.625637157389</v>
      </c>
      <c r="AR123" s="112">
        <v>18739.222788584339</v>
      </c>
      <c r="AS123" s="112">
        <v>18368.336667375428</v>
      </c>
      <c r="AT123" s="112">
        <v>18368.336667375428</v>
      </c>
      <c r="AU123" s="112">
        <v>18368.336667375428</v>
      </c>
      <c r="AV123" s="112">
        <v>18368.336667375428</v>
      </c>
      <c r="AW123" s="112">
        <v>18368.336667375432</v>
      </c>
      <c r="AX123" s="112">
        <v>18368.336667375432</v>
      </c>
      <c r="AY123" s="112">
        <v>18368.336667375432</v>
      </c>
    </row>
    <row r="124" spans="1:52" x14ac:dyDescent="0.2">
      <c r="A124" s="115"/>
      <c r="B124" s="125">
        <v>3</v>
      </c>
      <c r="C124" s="112">
        <v>370.88612120891412</v>
      </c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370.88612120892321</v>
      </c>
      <c r="J124" s="112">
        <v>370.88612120891958</v>
      </c>
      <c r="K124" s="112">
        <v>370.88612120892503</v>
      </c>
      <c r="L124" s="112">
        <v>370.88612120893049</v>
      </c>
      <c r="M124" s="112">
        <v>370.88612120892321</v>
      </c>
      <c r="N124" s="112">
        <v>370.88612120892321</v>
      </c>
      <c r="O124" s="112">
        <v>370.88612120893049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370.8861212089214</v>
      </c>
      <c r="V124" s="112">
        <v>370.88612120891776</v>
      </c>
      <c r="W124" s="112">
        <v>370.88612120891594</v>
      </c>
      <c r="X124" s="112">
        <v>370.8861212089123</v>
      </c>
      <c r="Y124" s="112">
        <v>370.88612120893049</v>
      </c>
      <c r="Z124" s="112">
        <v>370.8861212089123</v>
      </c>
      <c r="AA124" s="112">
        <v>370.88612120893049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370.88612120891594</v>
      </c>
      <c r="AH124" s="112">
        <v>370.88612120892321</v>
      </c>
      <c r="AI124" s="112">
        <v>370.88612120893049</v>
      </c>
      <c r="AJ124" s="112">
        <v>370.88612120892321</v>
      </c>
      <c r="AK124" s="112">
        <v>370.88612120893049</v>
      </c>
      <c r="AL124" s="112">
        <v>370.88612120892321</v>
      </c>
      <c r="AM124" s="112">
        <v>370.88612120893049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370.88612120891776</v>
      </c>
      <c r="AT124" s="112">
        <v>370.88612120892321</v>
      </c>
      <c r="AU124" s="112">
        <v>370.88612120892321</v>
      </c>
      <c r="AV124" s="112">
        <v>370.88612120892321</v>
      </c>
      <c r="AW124" s="112">
        <v>370.88612120891412</v>
      </c>
      <c r="AX124" s="112">
        <v>370.88612120891776</v>
      </c>
      <c r="AY124" s="112">
        <v>370.88612120892321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297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298</v>
      </c>
      <c r="C172" s="140">
        <v>0.43062944370491801</v>
      </c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273</v>
      </c>
    </row>
    <row r="175" spans="1:52" x14ac:dyDescent="0.2">
      <c r="A175" s="141" t="s">
        <v>125</v>
      </c>
      <c r="B175" s="141" t="s">
        <v>299</v>
      </c>
      <c r="C175" s="130" t="s">
        <v>294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300</v>
      </c>
      <c r="C176" s="131" t="s">
        <v>294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299</v>
      </c>
      <c r="C177" s="130" t="s">
        <v>294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300</v>
      </c>
      <c r="C178" s="131" t="s">
        <v>294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299</v>
      </c>
      <c r="C179" s="130" t="s">
        <v>294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300</v>
      </c>
      <c r="C180" s="131" t="s">
        <v>294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299</v>
      </c>
      <c r="C181" s="130" t="s">
        <v>294</v>
      </c>
      <c r="D181" s="130">
        <f t="shared" ref="D181:AY181" si="4">(1-D172)*SUM(D122:D169)</f>
        <v>29037.898371049178</v>
      </c>
      <c r="E181" s="130">
        <f t="shared" si="4"/>
        <v>29037.898371049178</v>
      </c>
      <c r="F181" s="130">
        <f t="shared" si="4"/>
        <v>29037.898371049174</v>
      </c>
      <c r="G181" s="130">
        <f t="shared" si="4"/>
        <v>29037.898371049178</v>
      </c>
      <c r="H181" s="130">
        <f t="shared" si="4"/>
        <v>29037.898371049178</v>
      </c>
      <c r="I181" s="130">
        <f t="shared" si="4"/>
        <v>29037.898371049178</v>
      </c>
      <c r="J181" s="130">
        <f t="shared" si="4"/>
        <v>29037.898371049174</v>
      </c>
      <c r="K181" s="130">
        <f t="shared" si="4"/>
        <v>29037.898371049178</v>
      </c>
      <c r="L181" s="130">
        <f t="shared" si="4"/>
        <v>29037.898371049181</v>
      </c>
      <c r="M181" s="130">
        <f t="shared" si="4"/>
        <v>29037.898371049178</v>
      </c>
      <c r="N181" s="130">
        <f t="shared" si="4"/>
        <v>29037.898371049178</v>
      </c>
      <c r="O181" s="130">
        <f t="shared" si="4"/>
        <v>29037.898371049181</v>
      </c>
      <c r="P181" s="130">
        <f t="shared" si="4"/>
        <v>29037.898371049174</v>
      </c>
      <c r="Q181" s="130">
        <f t="shared" si="4"/>
        <v>29037.898371049178</v>
      </c>
      <c r="R181" s="130">
        <f t="shared" si="4"/>
        <v>29037.898371049178</v>
      </c>
      <c r="S181" s="130">
        <f t="shared" si="4"/>
        <v>29037.898371049174</v>
      </c>
      <c r="T181" s="130">
        <f t="shared" si="4"/>
        <v>29037.89837104917</v>
      </c>
      <c r="U181" s="130">
        <f t="shared" si="4"/>
        <v>29037.898371049174</v>
      </c>
      <c r="V181" s="130">
        <f t="shared" si="4"/>
        <v>29037.898371049174</v>
      </c>
      <c r="W181" s="130">
        <f t="shared" si="4"/>
        <v>29037.898371049174</v>
      </c>
      <c r="X181" s="130">
        <f t="shared" si="4"/>
        <v>29037.89837104917</v>
      </c>
      <c r="Y181" s="130">
        <f t="shared" si="4"/>
        <v>29037.898371049181</v>
      </c>
      <c r="Z181" s="130">
        <f t="shared" si="4"/>
        <v>29037.89837104917</v>
      </c>
      <c r="AA181" s="130">
        <f t="shared" si="4"/>
        <v>29037.898371049181</v>
      </c>
      <c r="AB181" s="130">
        <f t="shared" si="4"/>
        <v>29037.89837104917</v>
      </c>
      <c r="AC181" s="130">
        <f t="shared" si="4"/>
        <v>29037.898371049178</v>
      </c>
      <c r="AD181" s="130">
        <f t="shared" si="4"/>
        <v>29037.898371049178</v>
      </c>
      <c r="AE181" s="130">
        <f t="shared" si="4"/>
        <v>29037.898371049174</v>
      </c>
      <c r="AF181" s="130">
        <f t="shared" si="4"/>
        <v>29037.898371049174</v>
      </c>
      <c r="AG181" s="130">
        <f t="shared" si="4"/>
        <v>29037.898371049174</v>
      </c>
      <c r="AH181" s="130">
        <f t="shared" si="4"/>
        <v>29037.898371049178</v>
      </c>
      <c r="AI181" s="130">
        <f t="shared" si="4"/>
        <v>29037.898371049181</v>
      </c>
      <c r="AJ181" s="130">
        <f t="shared" si="4"/>
        <v>29037.898371049178</v>
      </c>
      <c r="AK181" s="130">
        <f t="shared" si="4"/>
        <v>29037.898371049181</v>
      </c>
      <c r="AL181" s="130">
        <f t="shared" si="4"/>
        <v>29037.898371049178</v>
      </c>
      <c r="AM181" s="130">
        <f t="shared" si="4"/>
        <v>29037.898371049181</v>
      </c>
      <c r="AN181" s="130">
        <f t="shared" si="4"/>
        <v>29037.89837104917</v>
      </c>
      <c r="AO181" s="130">
        <f t="shared" si="4"/>
        <v>29037.898371049178</v>
      </c>
      <c r="AP181" s="130">
        <f t="shared" si="4"/>
        <v>29037.898371049174</v>
      </c>
      <c r="AQ181" s="130">
        <f t="shared" si="4"/>
        <v>29037.898371049174</v>
      </c>
      <c r="AR181" s="130">
        <f t="shared" si="4"/>
        <v>29037.89837104917</v>
      </c>
      <c r="AS181" s="130">
        <f t="shared" si="4"/>
        <v>29037.898371049174</v>
      </c>
      <c r="AT181" s="130">
        <f t="shared" si="4"/>
        <v>29037.898371049178</v>
      </c>
      <c r="AU181" s="130">
        <f t="shared" si="4"/>
        <v>29037.898371049178</v>
      </c>
      <c r="AV181" s="130">
        <f t="shared" si="4"/>
        <v>29037.898371049181</v>
      </c>
      <c r="AW181" s="130">
        <f t="shared" si="4"/>
        <v>29037.898371049178</v>
      </c>
      <c r="AX181" s="130">
        <f t="shared" si="4"/>
        <v>29037.898371049181</v>
      </c>
      <c r="AY181" s="130">
        <f t="shared" si="4"/>
        <v>29037.898371049188</v>
      </c>
    </row>
    <row r="182" spans="1:51" x14ac:dyDescent="0.2">
      <c r="A182" s="131"/>
      <c r="B182" s="142" t="s">
        <v>300</v>
      </c>
      <c r="C182" s="131" t="s">
        <v>294</v>
      </c>
      <c r="D182" s="131">
        <v>344</v>
      </c>
      <c r="E182" s="131">
        <v>389</v>
      </c>
      <c r="F182" s="131">
        <v>350</v>
      </c>
      <c r="G182" s="131">
        <v>350</v>
      </c>
      <c r="H182" s="131">
        <v>2160</v>
      </c>
      <c r="I182" s="131">
        <v>2181</v>
      </c>
      <c r="J182" s="131">
        <v>1799</v>
      </c>
      <c r="K182" s="131">
        <v>1652</v>
      </c>
      <c r="L182" s="131">
        <v>288</v>
      </c>
      <c r="M182" s="131">
        <v>241</v>
      </c>
      <c r="N182" s="131">
        <v>275</v>
      </c>
      <c r="O182" s="131">
        <v>268</v>
      </c>
      <c r="P182" s="131">
        <v>1107</v>
      </c>
      <c r="Q182" s="131">
        <v>1255</v>
      </c>
      <c r="R182" s="131">
        <v>1365</v>
      </c>
      <c r="S182" s="131">
        <v>1553</v>
      </c>
      <c r="T182" s="131">
        <v>990</v>
      </c>
      <c r="U182" s="131">
        <v>970</v>
      </c>
      <c r="V182" s="131">
        <v>789</v>
      </c>
      <c r="W182" s="131">
        <v>1092</v>
      </c>
      <c r="X182" s="131">
        <v>1000</v>
      </c>
      <c r="Y182" s="131">
        <v>858</v>
      </c>
      <c r="Z182" s="131">
        <v>1162</v>
      </c>
      <c r="AA182" s="131">
        <v>1024</v>
      </c>
      <c r="AB182" s="131">
        <v>342</v>
      </c>
      <c r="AC182" s="131">
        <v>362</v>
      </c>
      <c r="AD182" s="131">
        <v>325</v>
      </c>
      <c r="AE182" s="131">
        <v>381</v>
      </c>
      <c r="AF182" s="131">
        <v>1154</v>
      </c>
      <c r="AG182" s="131">
        <v>896</v>
      </c>
      <c r="AH182" s="131">
        <v>1076</v>
      </c>
      <c r="AI182" s="131">
        <v>1122</v>
      </c>
      <c r="AJ182" s="131">
        <v>1001</v>
      </c>
      <c r="AK182" s="131">
        <v>942</v>
      </c>
      <c r="AL182" s="131">
        <v>784</v>
      </c>
      <c r="AM182" s="131">
        <v>1064</v>
      </c>
      <c r="AN182" s="131">
        <v>1558</v>
      </c>
      <c r="AO182" s="131">
        <v>1866</v>
      </c>
      <c r="AP182" s="131">
        <v>1366</v>
      </c>
      <c r="AQ182" s="131">
        <v>1933</v>
      </c>
      <c r="AR182" s="131">
        <v>1271</v>
      </c>
      <c r="AS182" s="131">
        <v>1299</v>
      </c>
      <c r="AT182" s="131">
        <v>1407</v>
      </c>
      <c r="AU182" s="131">
        <v>1328</v>
      </c>
      <c r="AV182" s="131">
        <v>550</v>
      </c>
      <c r="AW182" s="131">
        <v>698</v>
      </c>
      <c r="AX182" s="131">
        <v>687</v>
      </c>
      <c r="AY182" s="131">
        <v>571</v>
      </c>
    </row>
    <row r="184" spans="1:51" x14ac:dyDescent="0.2">
      <c r="A184" s="108" t="s">
        <v>301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457.82836284515543</v>
      </c>
      <c r="D210" s="116">
        <v>344</v>
      </c>
      <c r="E210" s="116">
        <v>389</v>
      </c>
      <c r="F210" s="116">
        <v>350</v>
      </c>
      <c r="G210" s="116">
        <v>350</v>
      </c>
      <c r="H210" s="116">
        <v>2160</v>
      </c>
      <c r="I210" s="116">
        <v>1969.8283628451502</v>
      </c>
      <c r="J210" s="116">
        <v>1587.8283628451522</v>
      </c>
      <c r="K210" s="116">
        <v>1440.8283628451493</v>
      </c>
      <c r="L210" s="116">
        <v>76.828362845146103</v>
      </c>
      <c r="M210" s="116">
        <v>29.828362845150252</v>
      </c>
      <c r="N210" s="116">
        <v>63.828362845150252</v>
      </c>
      <c r="O210" s="116">
        <v>56.828362845146103</v>
      </c>
      <c r="P210" s="116">
        <v>1107</v>
      </c>
      <c r="Q210" s="116">
        <v>1255</v>
      </c>
      <c r="R210" s="116">
        <v>1365</v>
      </c>
      <c r="S210" s="116">
        <v>1553</v>
      </c>
      <c r="T210" s="116">
        <v>990</v>
      </c>
      <c r="U210" s="116">
        <v>758.82836284515133</v>
      </c>
      <c r="V210" s="116">
        <v>577.82836284515338</v>
      </c>
      <c r="W210" s="116">
        <v>880.8283628451544</v>
      </c>
      <c r="X210" s="116">
        <v>788.82836284515645</v>
      </c>
      <c r="Y210" s="116">
        <v>646.8283628451461</v>
      </c>
      <c r="Z210" s="116">
        <v>950.82836284515645</v>
      </c>
      <c r="AA210" s="116">
        <v>812.8283628451461</v>
      </c>
      <c r="AB210" s="116">
        <v>342</v>
      </c>
      <c r="AC210" s="116">
        <v>362</v>
      </c>
      <c r="AD210" s="116">
        <v>325</v>
      </c>
      <c r="AE210" s="116">
        <v>381</v>
      </c>
      <c r="AF210" s="116">
        <v>1154</v>
      </c>
      <c r="AG210" s="116">
        <v>684.8283628451544</v>
      </c>
      <c r="AH210" s="116">
        <v>864.8283628451502</v>
      </c>
      <c r="AI210" s="116">
        <v>910.8283628451461</v>
      </c>
      <c r="AJ210" s="116">
        <v>789.8283628451502</v>
      </c>
      <c r="AK210" s="116">
        <v>730.8283628451461</v>
      </c>
      <c r="AL210" s="116">
        <v>572.8283628451502</v>
      </c>
      <c r="AM210" s="116">
        <v>852.8283628451461</v>
      </c>
      <c r="AN210" s="116">
        <v>1558</v>
      </c>
      <c r="AO210" s="116">
        <v>1866</v>
      </c>
      <c r="AP210" s="116">
        <v>1366</v>
      </c>
      <c r="AQ210" s="116">
        <v>1933</v>
      </c>
      <c r="AR210" s="116">
        <v>1271</v>
      </c>
      <c r="AS210" s="116">
        <v>1087.8283628451534</v>
      </c>
      <c r="AT210" s="116">
        <v>1195.8283628451502</v>
      </c>
      <c r="AU210" s="116">
        <v>1116.8283628451502</v>
      </c>
      <c r="AV210" s="116">
        <v>338.8283628451502</v>
      </c>
      <c r="AW210" s="116">
        <v>486.82836284515543</v>
      </c>
      <c r="AX210" s="116">
        <v>475.82836284515332</v>
      </c>
      <c r="AY210" s="116">
        <v>359.8283628451502</v>
      </c>
    </row>
    <row r="211" spans="1:51" x14ac:dyDescent="0.2">
      <c r="A211" s="115"/>
      <c r="B211" s="125">
        <v>3</v>
      </c>
      <c r="C211" s="112">
        <v>211.1716371548446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211.17163715484975</v>
      </c>
      <c r="J211" s="116">
        <v>211.17163715484767</v>
      </c>
      <c r="K211" s="116">
        <v>211.1716371548508</v>
      </c>
      <c r="L211" s="116">
        <v>211.1716371548539</v>
      </c>
      <c r="M211" s="116">
        <v>211.17163715484975</v>
      </c>
      <c r="N211" s="116">
        <v>211.17163715484975</v>
      </c>
      <c r="O211" s="116">
        <v>211.1716371548539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211.17163715484872</v>
      </c>
      <c r="V211" s="116">
        <v>211.17163715484665</v>
      </c>
      <c r="W211" s="116">
        <v>211.1716371548456</v>
      </c>
      <c r="X211" s="116">
        <v>211.17163715484355</v>
      </c>
      <c r="Y211" s="116">
        <v>211.1716371548539</v>
      </c>
      <c r="Z211" s="116">
        <v>211.17163715484355</v>
      </c>
      <c r="AA211" s="116">
        <v>211.1716371548539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211.1716371548456</v>
      </c>
      <c r="AH211" s="116">
        <v>211.17163715484975</v>
      </c>
      <c r="AI211" s="116">
        <v>211.1716371548539</v>
      </c>
      <c r="AJ211" s="116">
        <v>211.17163715484975</v>
      </c>
      <c r="AK211" s="116">
        <v>211.1716371548539</v>
      </c>
      <c r="AL211" s="116">
        <v>211.17163715484975</v>
      </c>
      <c r="AM211" s="116">
        <v>211.1716371548539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211.17163715484665</v>
      </c>
      <c r="AT211" s="116">
        <v>211.17163715484975</v>
      </c>
      <c r="AU211" s="116">
        <v>211.17163715484975</v>
      </c>
      <c r="AV211" s="116">
        <v>211.1716371548498</v>
      </c>
      <c r="AW211" s="116">
        <v>211.1716371548446</v>
      </c>
      <c r="AX211" s="116">
        <v>211.17163715484668</v>
      </c>
      <c r="AY211" s="116">
        <v>211.1716371548498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302</v>
      </c>
    </row>
    <row r="259" spans="1:52" x14ac:dyDescent="0.2">
      <c r="A259" s="143" t="s">
        <v>124</v>
      </c>
      <c r="B259" s="144">
        <v>650</v>
      </c>
      <c r="C259" s="130" t="s">
        <v>294</v>
      </c>
      <c r="D259" s="130">
        <f>E$14*$B$259</f>
        <v>14275366.058818033</v>
      </c>
      <c r="E259" s="130">
        <f t="shared" ref="E259:AX259" si="5">F$14*$B$259</f>
        <v>14275366.058818033</v>
      </c>
      <c r="F259" s="130">
        <f t="shared" si="5"/>
        <v>14275366.058818029</v>
      </c>
      <c r="G259" s="130">
        <f t="shared" si="5"/>
        <v>14275366.058818033</v>
      </c>
      <c r="H259" s="130">
        <f t="shared" si="5"/>
        <v>14275366.058818039</v>
      </c>
      <c r="I259" s="130">
        <f t="shared" si="5"/>
        <v>14275366.058818039</v>
      </c>
      <c r="J259" s="130">
        <f t="shared" si="5"/>
        <v>14275366.058818037</v>
      </c>
      <c r="K259" s="130">
        <f t="shared" si="5"/>
        <v>14275366.058818039</v>
      </c>
      <c r="L259" s="130">
        <f t="shared" si="5"/>
        <v>14275366.058818042</v>
      </c>
      <c r="M259" s="130">
        <f t="shared" si="5"/>
        <v>14275366.058818039</v>
      </c>
      <c r="N259" s="130">
        <f t="shared" si="5"/>
        <v>14275366.058818039</v>
      </c>
      <c r="O259" s="130">
        <f t="shared" si="5"/>
        <v>14275366.058818042</v>
      </c>
      <c r="P259" s="130">
        <f t="shared" si="5"/>
        <v>14275366.058818037</v>
      </c>
      <c r="Q259" s="130">
        <f t="shared" si="5"/>
        <v>14275366.058818039</v>
      </c>
      <c r="R259" s="130">
        <f t="shared" si="5"/>
        <v>14275366.058818039</v>
      </c>
      <c r="S259" s="130">
        <f t="shared" si="5"/>
        <v>14275366.058818037</v>
      </c>
      <c r="T259" s="130">
        <f t="shared" si="5"/>
        <v>14275366.058818035</v>
      </c>
      <c r="U259" s="130">
        <f t="shared" si="5"/>
        <v>14275366.058818037</v>
      </c>
      <c r="V259" s="130">
        <f t="shared" si="5"/>
        <v>14275366.058818037</v>
      </c>
      <c r="W259" s="130">
        <f t="shared" si="5"/>
        <v>14275366.058818037</v>
      </c>
      <c r="X259" s="130">
        <f t="shared" si="5"/>
        <v>14275366.058818035</v>
      </c>
      <c r="Y259" s="130">
        <f t="shared" si="5"/>
        <v>14275366.058818042</v>
      </c>
      <c r="Z259" s="130">
        <f t="shared" si="5"/>
        <v>14275366.058818035</v>
      </c>
      <c r="AA259" s="130">
        <f t="shared" si="5"/>
        <v>14275366.058818042</v>
      </c>
      <c r="AB259" s="130">
        <f t="shared" si="5"/>
        <v>14275366.058818035</v>
      </c>
      <c r="AC259" s="130">
        <f t="shared" si="5"/>
        <v>14275366.058818039</v>
      </c>
      <c r="AD259" s="130">
        <f t="shared" si="5"/>
        <v>14275366.058818039</v>
      </c>
      <c r="AE259" s="130">
        <f t="shared" si="5"/>
        <v>14275366.058818037</v>
      </c>
      <c r="AF259" s="130">
        <f t="shared" si="5"/>
        <v>14275366.058818037</v>
      </c>
      <c r="AG259" s="130">
        <f t="shared" si="5"/>
        <v>14275366.058818037</v>
      </c>
      <c r="AH259" s="130">
        <f t="shared" si="5"/>
        <v>14275366.058818039</v>
      </c>
      <c r="AI259" s="130">
        <f t="shared" si="5"/>
        <v>14275366.058818042</v>
      </c>
      <c r="AJ259" s="130">
        <f t="shared" si="5"/>
        <v>14275366.058818039</v>
      </c>
      <c r="AK259" s="130">
        <f t="shared" si="5"/>
        <v>14275366.058818042</v>
      </c>
      <c r="AL259" s="130">
        <f t="shared" si="5"/>
        <v>14275366.058818039</v>
      </c>
      <c r="AM259" s="130">
        <f t="shared" si="5"/>
        <v>14275366.058818042</v>
      </c>
      <c r="AN259" s="130">
        <f t="shared" si="5"/>
        <v>14275366.058818035</v>
      </c>
      <c r="AO259" s="130">
        <f t="shared" si="5"/>
        <v>14275366.058818039</v>
      </c>
      <c r="AP259" s="130">
        <f t="shared" si="5"/>
        <v>14275366.058818037</v>
      </c>
      <c r="AQ259" s="130">
        <f t="shared" si="5"/>
        <v>14275366.058818037</v>
      </c>
      <c r="AR259" s="130">
        <f t="shared" si="5"/>
        <v>14275366.058818035</v>
      </c>
      <c r="AS259" s="130">
        <f t="shared" si="5"/>
        <v>14275366.058818037</v>
      </c>
      <c r="AT259" s="130">
        <f t="shared" si="5"/>
        <v>14275366.058818039</v>
      </c>
      <c r="AU259" s="130">
        <f t="shared" si="5"/>
        <v>14275366.058818039</v>
      </c>
      <c r="AV259" s="130">
        <f t="shared" si="5"/>
        <v>14275366.058818035</v>
      </c>
      <c r="AW259" s="130">
        <f t="shared" si="5"/>
        <v>14275366.058818033</v>
      </c>
      <c r="AX259" s="130">
        <f t="shared" si="5"/>
        <v>14275366.058818035</v>
      </c>
      <c r="AY259" s="130">
        <f>AZ$14*$B$259</f>
        <v>14275366.058818037</v>
      </c>
      <c r="AZ259" s="145">
        <f>SUM($D259:$AY259)</f>
        <v>685217570.82326531</v>
      </c>
    </row>
    <row r="260" spans="1:52" x14ac:dyDescent="0.2">
      <c r="A260" s="146" t="s">
        <v>303</v>
      </c>
      <c r="B260" s="120">
        <v>60</v>
      </c>
      <c r="C260" s="131" t="s">
        <v>294</v>
      </c>
      <c r="D260" s="131">
        <f>(D$175-D$176+D$177-D$178+D$179-D$180+D$181-D$182)*$B$260</f>
        <v>1721633.9022629505</v>
      </c>
      <c r="E260" s="131">
        <f t="shared" ref="E260:AY260" si="6">(E$175-E$176+E$177-E$178+E$179-E$180+E$181-E$182)*$B$260</f>
        <v>1718933.9022629505</v>
      </c>
      <c r="F260" s="131">
        <f t="shared" si="6"/>
        <v>1721273.9022629503</v>
      </c>
      <c r="G260" s="131">
        <f t="shared" si="6"/>
        <v>1721273.9022629505</v>
      </c>
      <c r="H260" s="131">
        <f t="shared" si="6"/>
        <v>1612673.9022629505</v>
      </c>
      <c r="I260" s="131">
        <f t="shared" si="6"/>
        <v>1611413.9022629505</v>
      </c>
      <c r="J260" s="131">
        <f t="shared" si="6"/>
        <v>1634333.9022629503</v>
      </c>
      <c r="K260" s="131">
        <f t="shared" si="6"/>
        <v>1643153.9022629505</v>
      </c>
      <c r="L260" s="131">
        <f t="shared" si="6"/>
        <v>1724993.9022629508</v>
      </c>
      <c r="M260" s="131">
        <f t="shared" si="6"/>
        <v>1727813.9022629505</v>
      </c>
      <c r="N260" s="131">
        <f t="shared" si="6"/>
        <v>1725773.9022629505</v>
      </c>
      <c r="O260" s="131">
        <f t="shared" si="6"/>
        <v>1726193.9022629508</v>
      </c>
      <c r="P260" s="131">
        <f t="shared" si="6"/>
        <v>1675853.9022629503</v>
      </c>
      <c r="Q260" s="131">
        <f t="shared" si="6"/>
        <v>1666973.9022629505</v>
      </c>
      <c r="R260" s="131">
        <f t="shared" si="6"/>
        <v>1660373.9022629505</v>
      </c>
      <c r="S260" s="131">
        <f t="shared" si="6"/>
        <v>1649093.9022629503</v>
      </c>
      <c r="T260" s="131">
        <f t="shared" si="6"/>
        <v>1682873.9022629503</v>
      </c>
      <c r="U260" s="131">
        <f t="shared" si="6"/>
        <v>1684073.9022629503</v>
      </c>
      <c r="V260" s="131">
        <f t="shared" si="6"/>
        <v>1694933.9022629503</v>
      </c>
      <c r="W260" s="131">
        <f t="shared" si="6"/>
        <v>1676753.9022629503</v>
      </c>
      <c r="X260" s="131">
        <f t="shared" si="6"/>
        <v>1682273.9022629503</v>
      </c>
      <c r="Y260" s="131">
        <f t="shared" si="6"/>
        <v>1690793.9022629508</v>
      </c>
      <c r="Z260" s="131">
        <f t="shared" si="6"/>
        <v>1672553.9022629503</v>
      </c>
      <c r="AA260" s="131">
        <f t="shared" si="6"/>
        <v>1680833.9022629508</v>
      </c>
      <c r="AB260" s="131">
        <f t="shared" si="6"/>
        <v>1721753.9022629503</v>
      </c>
      <c r="AC260" s="131">
        <f t="shared" si="6"/>
        <v>1720553.9022629505</v>
      </c>
      <c r="AD260" s="131">
        <f t="shared" si="6"/>
        <v>1722773.9022629505</v>
      </c>
      <c r="AE260" s="131">
        <f t="shared" si="6"/>
        <v>1719413.9022629503</v>
      </c>
      <c r="AF260" s="131">
        <f t="shared" si="6"/>
        <v>1673033.9022629503</v>
      </c>
      <c r="AG260" s="131">
        <f t="shared" si="6"/>
        <v>1688513.9022629503</v>
      </c>
      <c r="AH260" s="131">
        <f t="shared" si="6"/>
        <v>1677713.9022629505</v>
      </c>
      <c r="AI260" s="131">
        <f t="shared" si="6"/>
        <v>1674953.9022629508</v>
      </c>
      <c r="AJ260" s="131">
        <f t="shared" si="6"/>
        <v>1682213.9022629505</v>
      </c>
      <c r="AK260" s="131">
        <f t="shared" si="6"/>
        <v>1685753.9022629508</v>
      </c>
      <c r="AL260" s="131">
        <f t="shared" si="6"/>
        <v>1695233.9022629505</v>
      </c>
      <c r="AM260" s="131">
        <f t="shared" si="6"/>
        <v>1678433.9022629508</v>
      </c>
      <c r="AN260" s="131">
        <f t="shared" si="6"/>
        <v>1648793.9022629503</v>
      </c>
      <c r="AO260" s="131">
        <f t="shared" si="6"/>
        <v>1630313.9022629505</v>
      </c>
      <c r="AP260" s="131">
        <f t="shared" si="6"/>
        <v>1660313.9022629503</v>
      </c>
      <c r="AQ260" s="131">
        <f t="shared" si="6"/>
        <v>1626293.9022629503</v>
      </c>
      <c r="AR260" s="131">
        <f t="shared" si="6"/>
        <v>1666013.9022629503</v>
      </c>
      <c r="AS260" s="131">
        <f t="shared" si="6"/>
        <v>1664333.9022629503</v>
      </c>
      <c r="AT260" s="131">
        <f t="shared" si="6"/>
        <v>1657853.9022629505</v>
      </c>
      <c r="AU260" s="131">
        <f t="shared" si="6"/>
        <v>1662593.9022629505</v>
      </c>
      <c r="AV260" s="131">
        <f t="shared" si="6"/>
        <v>1709273.9022629508</v>
      </c>
      <c r="AW260" s="131">
        <f t="shared" si="6"/>
        <v>1700393.9022629505</v>
      </c>
      <c r="AX260" s="131">
        <f t="shared" si="6"/>
        <v>1701053.9022629508</v>
      </c>
      <c r="AY260" s="131">
        <f t="shared" si="6"/>
        <v>1708013.9022629512</v>
      </c>
      <c r="AZ260" s="147">
        <f>SUM($D260:$AY260)</f>
        <v>80782447.30862163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273</v>
      </c>
    </row>
    <row r="3" spans="1:99" x14ac:dyDescent="0.2">
      <c r="B3" s="109" t="s">
        <v>284</v>
      </c>
    </row>
    <row r="4" spans="1:99" x14ac:dyDescent="0.2">
      <c r="A4" s="107"/>
      <c r="B4" s="107"/>
      <c r="C4" s="105" t="s">
        <v>275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168</v>
      </c>
      <c r="C5" s="105" t="s">
        <v>276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173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174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175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176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177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178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179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180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181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182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183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184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185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186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187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188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189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190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191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192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193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194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195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196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197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198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199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200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201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202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203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204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205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206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207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208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209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210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211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212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213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214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215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216</v>
      </c>
      <c r="D49" s="106">
        <v>3</v>
      </c>
      <c r="E49" s="106">
        <v>2955.6</v>
      </c>
      <c r="F49" s="106">
        <v>5</v>
      </c>
      <c r="G49" s="106">
        <v>4926</v>
      </c>
      <c r="H49" s="106">
        <v>5</v>
      </c>
      <c r="I49" s="106">
        <v>4926</v>
      </c>
      <c r="J49" s="106">
        <v>4</v>
      </c>
      <c r="K49" s="106">
        <v>3940.7999999999997</v>
      </c>
      <c r="L49" s="106">
        <v>4</v>
      </c>
      <c r="M49" s="106">
        <v>3940.7999999999997</v>
      </c>
      <c r="N49" s="106">
        <v>4</v>
      </c>
      <c r="O49" s="106">
        <v>3940.7999999999997</v>
      </c>
      <c r="P49" s="106">
        <v>4</v>
      </c>
      <c r="Q49" s="106">
        <v>3940.7999999999997</v>
      </c>
      <c r="R49" s="106">
        <v>5</v>
      </c>
      <c r="S49" s="106">
        <v>4926</v>
      </c>
      <c r="T49" s="106">
        <v>28</v>
      </c>
      <c r="U49" s="106">
        <v>27585.599999999999</v>
      </c>
      <c r="V49" s="106">
        <v>39</v>
      </c>
      <c r="W49" s="106">
        <v>38422.799999999996</v>
      </c>
      <c r="X49" s="106">
        <v>36</v>
      </c>
      <c r="Y49" s="106">
        <v>35467.199999999997</v>
      </c>
      <c r="Z49" s="106">
        <v>47</v>
      </c>
      <c r="AA49" s="106">
        <v>46304.399999999994</v>
      </c>
      <c r="AB49" s="106">
        <v>11</v>
      </c>
      <c r="AC49" s="106">
        <v>10837.199999999999</v>
      </c>
      <c r="AD49" s="106">
        <v>9</v>
      </c>
      <c r="AE49" s="106">
        <v>8866.7999999999993</v>
      </c>
      <c r="AF49" s="106">
        <v>11</v>
      </c>
      <c r="AG49" s="106">
        <v>10837.199999999999</v>
      </c>
      <c r="AH49" s="106">
        <v>5</v>
      </c>
      <c r="AI49" s="106">
        <v>4926</v>
      </c>
      <c r="AJ49" s="106">
        <v>15</v>
      </c>
      <c r="AK49" s="106">
        <v>14777.999999999998</v>
      </c>
      <c r="AL49" s="106">
        <v>14</v>
      </c>
      <c r="AM49" s="106">
        <v>13792.8</v>
      </c>
      <c r="AN49" s="106">
        <v>16</v>
      </c>
      <c r="AO49" s="106">
        <v>15763.199999999999</v>
      </c>
      <c r="AP49" s="106">
        <v>13</v>
      </c>
      <c r="AQ49" s="106">
        <v>12807.599999999999</v>
      </c>
      <c r="AR49" s="106">
        <v>4</v>
      </c>
      <c r="AS49" s="106">
        <v>3940.7999999999997</v>
      </c>
      <c r="AT49" s="106">
        <v>3</v>
      </c>
      <c r="AU49" s="106">
        <v>2955.6</v>
      </c>
      <c r="AV49" s="106">
        <v>2</v>
      </c>
      <c r="AW49" s="106">
        <v>1970.3999999999999</v>
      </c>
      <c r="AX49" s="106">
        <v>3</v>
      </c>
      <c r="AY49" s="106">
        <v>2955.6</v>
      </c>
      <c r="AZ49" s="106">
        <v>4</v>
      </c>
      <c r="BA49" s="106">
        <v>3940.7999999999997</v>
      </c>
      <c r="BB49" s="106">
        <v>5</v>
      </c>
      <c r="BC49" s="106">
        <v>4926</v>
      </c>
      <c r="BD49" s="106">
        <v>4</v>
      </c>
      <c r="BE49" s="106">
        <v>3940.7999999999997</v>
      </c>
      <c r="BF49" s="106">
        <v>3</v>
      </c>
      <c r="BG49" s="106">
        <v>2955.6</v>
      </c>
      <c r="BH49" s="106">
        <v>5</v>
      </c>
      <c r="BI49" s="106">
        <v>4926</v>
      </c>
      <c r="BJ49" s="106">
        <v>7</v>
      </c>
      <c r="BK49" s="106">
        <v>6896.4</v>
      </c>
      <c r="BL49" s="106">
        <v>3</v>
      </c>
      <c r="BM49" s="106">
        <v>2955.6</v>
      </c>
      <c r="BN49" s="106">
        <v>4</v>
      </c>
      <c r="BO49" s="106">
        <v>3940.7999999999997</v>
      </c>
      <c r="BP49" s="106">
        <v>12</v>
      </c>
      <c r="BQ49" s="106">
        <v>11822.4</v>
      </c>
      <c r="BR49" s="106">
        <v>8</v>
      </c>
      <c r="BS49" s="106">
        <v>7881.5999999999995</v>
      </c>
      <c r="BT49" s="106">
        <v>7</v>
      </c>
      <c r="BU49" s="106">
        <v>6896.4</v>
      </c>
      <c r="BV49" s="106">
        <v>9</v>
      </c>
      <c r="BW49" s="106">
        <v>8866.7999999999993</v>
      </c>
      <c r="BX49" s="106">
        <v>4</v>
      </c>
      <c r="BY49" s="106">
        <v>3940.7999999999997</v>
      </c>
      <c r="BZ49" s="106">
        <v>3</v>
      </c>
      <c r="CA49" s="106">
        <v>2955.6</v>
      </c>
      <c r="CB49" s="106">
        <v>4</v>
      </c>
      <c r="CC49" s="106">
        <v>3940.7999999999997</v>
      </c>
      <c r="CD49" s="106">
        <v>3</v>
      </c>
      <c r="CE49" s="106">
        <v>2955.6</v>
      </c>
      <c r="CF49" s="106">
        <v>53</v>
      </c>
      <c r="CG49" s="106">
        <v>52215.6</v>
      </c>
      <c r="CH49" s="106">
        <v>50</v>
      </c>
      <c r="CI49" s="106">
        <v>49260</v>
      </c>
      <c r="CJ49" s="106">
        <v>67</v>
      </c>
      <c r="CK49" s="106">
        <v>66008.399999999994</v>
      </c>
      <c r="CL49" s="106">
        <v>48</v>
      </c>
      <c r="CM49" s="106">
        <v>47289.599999999999</v>
      </c>
      <c r="CN49" s="106">
        <v>6</v>
      </c>
      <c r="CO49" s="106">
        <v>5911.2</v>
      </c>
      <c r="CP49" s="106">
        <v>7</v>
      </c>
      <c r="CQ49" s="106">
        <v>6896.4</v>
      </c>
      <c r="CR49" s="106">
        <v>5</v>
      </c>
      <c r="CS49" s="106">
        <v>4926</v>
      </c>
      <c r="CT49" s="106">
        <v>8</v>
      </c>
      <c r="CU49" s="106">
        <v>7881.5999999999995</v>
      </c>
    </row>
    <row r="50" spans="2:99" x14ac:dyDescent="0.2">
      <c r="C50" s="105" t="s">
        <v>217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218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219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220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221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222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223</v>
      </c>
      <c r="D56" s="106">
        <v>3</v>
      </c>
      <c r="E56" s="106">
        <v>3452.3999999999996</v>
      </c>
      <c r="F56" s="106">
        <v>5</v>
      </c>
      <c r="G56" s="106">
        <v>5754</v>
      </c>
      <c r="H56" s="106">
        <v>5</v>
      </c>
      <c r="I56" s="106">
        <v>5754</v>
      </c>
      <c r="J56" s="106">
        <v>4</v>
      </c>
      <c r="K56" s="106">
        <v>4603.2</v>
      </c>
      <c r="L56" s="106">
        <v>4</v>
      </c>
      <c r="M56" s="106">
        <v>4603.2</v>
      </c>
      <c r="N56" s="106">
        <v>4</v>
      </c>
      <c r="O56" s="106">
        <v>4603.2</v>
      </c>
      <c r="P56" s="106">
        <v>4</v>
      </c>
      <c r="Q56" s="106">
        <v>4603.2</v>
      </c>
      <c r="R56" s="106">
        <v>5</v>
      </c>
      <c r="S56" s="106">
        <v>5754</v>
      </c>
      <c r="T56" s="106">
        <v>32</v>
      </c>
      <c r="U56" s="106">
        <v>36825.599999999999</v>
      </c>
      <c r="V56" s="106">
        <v>32</v>
      </c>
      <c r="W56" s="106">
        <v>36825.599999999999</v>
      </c>
      <c r="X56" s="106">
        <v>35</v>
      </c>
      <c r="Y56" s="106">
        <v>40278</v>
      </c>
      <c r="Z56" s="106">
        <v>39</v>
      </c>
      <c r="AA56" s="106">
        <v>44881.2</v>
      </c>
      <c r="AB56" s="106">
        <v>12</v>
      </c>
      <c r="AC56" s="106">
        <v>13809.599999999999</v>
      </c>
      <c r="AD56" s="106">
        <v>9</v>
      </c>
      <c r="AE56" s="106">
        <v>10357.199999999999</v>
      </c>
      <c r="AF56" s="106">
        <v>11</v>
      </c>
      <c r="AG56" s="106">
        <v>12658.8</v>
      </c>
      <c r="AH56" s="106">
        <v>6</v>
      </c>
      <c r="AI56" s="106">
        <v>6904.7999999999993</v>
      </c>
      <c r="AJ56" s="106">
        <v>15</v>
      </c>
      <c r="AK56" s="106">
        <v>17262</v>
      </c>
      <c r="AL56" s="106">
        <v>15</v>
      </c>
      <c r="AM56" s="106">
        <v>17262</v>
      </c>
      <c r="AN56" s="106">
        <v>15</v>
      </c>
      <c r="AO56" s="106">
        <v>17262</v>
      </c>
      <c r="AP56" s="106">
        <v>13</v>
      </c>
      <c r="AQ56" s="106">
        <v>14960.4</v>
      </c>
      <c r="AR56" s="106">
        <v>4</v>
      </c>
      <c r="AS56" s="106">
        <v>4603.2</v>
      </c>
      <c r="AT56" s="106">
        <v>3</v>
      </c>
      <c r="AU56" s="106">
        <v>3452.3999999999996</v>
      </c>
      <c r="AV56" s="106">
        <v>2</v>
      </c>
      <c r="AW56" s="106">
        <v>2301.6</v>
      </c>
      <c r="AX56" s="106">
        <v>3</v>
      </c>
      <c r="AY56" s="106">
        <v>3452.3999999999996</v>
      </c>
      <c r="AZ56" s="106">
        <v>4</v>
      </c>
      <c r="BA56" s="106">
        <v>4603.2</v>
      </c>
      <c r="BB56" s="106">
        <v>5</v>
      </c>
      <c r="BC56" s="106">
        <v>5754</v>
      </c>
      <c r="BD56" s="106">
        <v>4</v>
      </c>
      <c r="BE56" s="106">
        <v>4603.2</v>
      </c>
      <c r="BF56" s="106">
        <v>3</v>
      </c>
      <c r="BG56" s="106">
        <v>3452.3999999999996</v>
      </c>
      <c r="BH56" s="106">
        <v>6</v>
      </c>
      <c r="BI56" s="106">
        <v>6904.7999999999993</v>
      </c>
      <c r="BJ56" s="106">
        <v>7</v>
      </c>
      <c r="BK56" s="106">
        <v>8055.5999999999995</v>
      </c>
      <c r="BL56" s="106">
        <v>3</v>
      </c>
      <c r="BM56" s="106">
        <v>3452.3999999999996</v>
      </c>
      <c r="BN56" s="106">
        <v>4</v>
      </c>
      <c r="BO56" s="106">
        <v>4603.2</v>
      </c>
      <c r="BP56" s="106">
        <v>10</v>
      </c>
      <c r="BQ56" s="106">
        <v>11508</v>
      </c>
      <c r="BR56" s="106">
        <v>7</v>
      </c>
      <c r="BS56" s="106">
        <v>8055.5999999999995</v>
      </c>
      <c r="BT56" s="106">
        <v>6</v>
      </c>
      <c r="BU56" s="106">
        <v>6904.7999999999993</v>
      </c>
      <c r="BV56" s="106">
        <v>9</v>
      </c>
      <c r="BW56" s="106">
        <v>10357.199999999999</v>
      </c>
      <c r="BX56" s="106">
        <v>4</v>
      </c>
      <c r="BY56" s="106">
        <v>4603.2</v>
      </c>
      <c r="BZ56" s="106">
        <v>3</v>
      </c>
      <c r="CA56" s="106">
        <v>3452.3999999999996</v>
      </c>
      <c r="CB56" s="106">
        <v>4</v>
      </c>
      <c r="CC56" s="106">
        <v>4603.2</v>
      </c>
      <c r="CD56" s="106">
        <v>3</v>
      </c>
      <c r="CE56" s="106">
        <v>3452.3999999999996</v>
      </c>
      <c r="CF56" s="106">
        <v>55</v>
      </c>
      <c r="CG56" s="106">
        <v>63294</v>
      </c>
      <c r="CH56" s="106">
        <v>46</v>
      </c>
      <c r="CI56" s="106">
        <v>52936.799999999996</v>
      </c>
      <c r="CJ56" s="106">
        <v>64</v>
      </c>
      <c r="CK56" s="106">
        <v>73651.199999999997</v>
      </c>
      <c r="CL56" s="106">
        <v>49</v>
      </c>
      <c r="CM56" s="106">
        <v>56389.2</v>
      </c>
      <c r="CN56" s="106">
        <v>6</v>
      </c>
      <c r="CO56" s="106">
        <v>6904.7999999999993</v>
      </c>
      <c r="CP56" s="106">
        <v>7</v>
      </c>
      <c r="CQ56" s="106">
        <v>8055.5999999999995</v>
      </c>
      <c r="CR56" s="106">
        <v>5</v>
      </c>
      <c r="CS56" s="106">
        <v>5754</v>
      </c>
      <c r="CT56" s="106">
        <v>10</v>
      </c>
      <c r="CU56" s="106">
        <v>11508</v>
      </c>
    </row>
    <row r="57" spans="2:99" x14ac:dyDescent="0.2">
      <c r="C57" s="105" t="s">
        <v>224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225</v>
      </c>
      <c r="D58" s="106">
        <v>3</v>
      </c>
      <c r="E58" s="106">
        <v>3531.6000000000004</v>
      </c>
      <c r="F58" s="106">
        <v>4</v>
      </c>
      <c r="G58" s="106">
        <v>4708.8</v>
      </c>
      <c r="H58" s="106">
        <v>4</v>
      </c>
      <c r="I58" s="106">
        <v>4708.8</v>
      </c>
      <c r="J58" s="106">
        <v>4</v>
      </c>
      <c r="K58" s="106">
        <v>4708.8</v>
      </c>
      <c r="L58" s="106">
        <v>4</v>
      </c>
      <c r="M58" s="106">
        <v>4708.8</v>
      </c>
      <c r="N58" s="106">
        <v>4</v>
      </c>
      <c r="O58" s="106">
        <v>4708.8</v>
      </c>
      <c r="P58" s="106">
        <v>4</v>
      </c>
      <c r="Q58" s="106">
        <v>4708.8</v>
      </c>
      <c r="R58" s="106">
        <v>4</v>
      </c>
      <c r="S58" s="106">
        <v>4708.8</v>
      </c>
      <c r="T58" s="106">
        <v>32</v>
      </c>
      <c r="U58" s="106">
        <v>37670.400000000001</v>
      </c>
      <c r="V58" s="106">
        <v>34</v>
      </c>
      <c r="W58" s="106">
        <v>40024.800000000003</v>
      </c>
      <c r="X58" s="106">
        <v>32</v>
      </c>
      <c r="Y58" s="106">
        <v>37670.400000000001</v>
      </c>
      <c r="Z58" s="106">
        <v>39</v>
      </c>
      <c r="AA58" s="106">
        <v>45910.8</v>
      </c>
      <c r="AB58" s="106">
        <v>11</v>
      </c>
      <c r="AC58" s="106">
        <v>12949.2</v>
      </c>
      <c r="AD58" s="106">
        <v>8</v>
      </c>
      <c r="AE58" s="106">
        <v>9417.6</v>
      </c>
      <c r="AF58" s="106">
        <v>12</v>
      </c>
      <c r="AG58" s="106">
        <v>14126.400000000001</v>
      </c>
      <c r="AH58" s="106">
        <v>6</v>
      </c>
      <c r="AI58" s="106">
        <v>7063.2000000000007</v>
      </c>
      <c r="AJ58" s="106">
        <v>14</v>
      </c>
      <c r="AK58" s="106">
        <v>16480.8</v>
      </c>
      <c r="AL58" s="106">
        <v>13</v>
      </c>
      <c r="AM58" s="106">
        <v>15303.6</v>
      </c>
      <c r="AN58" s="106">
        <v>16</v>
      </c>
      <c r="AO58" s="106">
        <v>18835.2</v>
      </c>
      <c r="AP58" s="106">
        <v>15</v>
      </c>
      <c r="AQ58" s="106">
        <v>17658</v>
      </c>
      <c r="AR58" s="106">
        <v>3</v>
      </c>
      <c r="AS58" s="106">
        <v>3531.6000000000004</v>
      </c>
      <c r="AT58" s="106">
        <v>3</v>
      </c>
      <c r="AU58" s="106">
        <v>3531.6000000000004</v>
      </c>
      <c r="AV58" s="106">
        <v>3</v>
      </c>
      <c r="AW58" s="106">
        <v>3531.6000000000004</v>
      </c>
      <c r="AX58" s="106">
        <v>4</v>
      </c>
      <c r="AY58" s="106">
        <v>4708.8</v>
      </c>
      <c r="AZ58" s="106">
        <v>4</v>
      </c>
      <c r="BA58" s="106">
        <v>4708.8</v>
      </c>
      <c r="BB58" s="106">
        <v>5</v>
      </c>
      <c r="BC58" s="106">
        <v>5886</v>
      </c>
      <c r="BD58" s="106">
        <v>4</v>
      </c>
      <c r="BE58" s="106">
        <v>4708.8</v>
      </c>
      <c r="BF58" s="106">
        <v>3</v>
      </c>
      <c r="BG58" s="106">
        <v>3531.6000000000004</v>
      </c>
      <c r="BH58" s="106">
        <v>5</v>
      </c>
      <c r="BI58" s="106">
        <v>5886</v>
      </c>
      <c r="BJ58" s="106">
        <v>6</v>
      </c>
      <c r="BK58" s="106">
        <v>7063.2000000000007</v>
      </c>
      <c r="BL58" s="106">
        <v>3</v>
      </c>
      <c r="BM58" s="106">
        <v>3531.6000000000004</v>
      </c>
      <c r="BN58" s="106">
        <v>4</v>
      </c>
      <c r="BO58" s="106">
        <v>4708.8</v>
      </c>
      <c r="BP58" s="106">
        <v>11</v>
      </c>
      <c r="BQ58" s="106">
        <v>12949.2</v>
      </c>
      <c r="BR58" s="106">
        <v>7</v>
      </c>
      <c r="BS58" s="106">
        <v>8240.4</v>
      </c>
      <c r="BT58" s="106">
        <v>7</v>
      </c>
      <c r="BU58" s="106">
        <v>8240.4</v>
      </c>
      <c r="BV58" s="106">
        <v>9</v>
      </c>
      <c r="BW58" s="106">
        <v>10594.800000000001</v>
      </c>
      <c r="BX58" s="106">
        <v>4</v>
      </c>
      <c r="BY58" s="106">
        <v>4708.8</v>
      </c>
      <c r="BZ58" s="106">
        <v>3</v>
      </c>
      <c r="CA58" s="106">
        <v>3531.6000000000004</v>
      </c>
      <c r="CB58" s="106">
        <v>4</v>
      </c>
      <c r="CC58" s="106">
        <v>4708.8</v>
      </c>
      <c r="CD58" s="106">
        <v>3</v>
      </c>
      <c r="CE58" s="106">
        <v>3531.6000000000004</v>
      </c>
      <c r="CF58" s="106">
        <v>51</v>
      </c>
      <c r="CG58" s="106">
        <v>60037.200000000004</v>
      </c>
      <c r="CH58" s="106">
        <v>44</v>
      </c>
      <c r="CI58" s="106">
        <v>51796.800000000003</v>
      </c>
      <c r="CJ58" s="106">
        <v>63</v>
      </c>
      <c r="CK58" s="106">
        <v>74163.600000000006</v>
      </c>
      <c r="CL58" s="106">
        <v>48</v>
      </c>
      <c r="CM58" s="106">
        <v>56505.600000000006</v>
      </c>
      <c r="CN58" s="106">
        <v>7</v>
      </c>
      <c r="CO58" s="106">
        <v>8240.4</v>
      </c>
      <c r="CP58" s="106">
        <v>8</v>
      </c>
      <c r="CQ58" s="106">
        <v>9417.6</v>
      </c>
      <c r="CR58" s="106">
        <v>5</v>
      </c>
      <c r="CS58" s="106">
        <v>5886</v>
      </c>
      <c r="CT58" s="106">
        <v>10</v>
      </c>
      <c r="CU58" s="106">
        <v>11772</v>
      </c>
    </row>
    <row r="59" spans="2:99" x14ac:dyDescent="0.2">
      <c r="C59" s="105" t="s">
        <v>226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227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228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229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230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231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232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233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234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235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236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237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238</v>
      </c>
      <c r="D71" s="106">
        <v>22</v>
      </c>
      <c r="E71" s="106">
        <v>12408</v>
      </c>
      <c r="F71" s="106">
        <v>30</v>
      </c>
      <c r="G71" s="106">
        <v>16920</v>
      </c>
      <c r="H71" s="106">
        <v>22</v>
      </c>
      <c r="I71" s="106">
        <v>12408</v>
      </c>
      <c r="J71" s="106">
        <v>22</v>
      </c>
      <c r="K71" s="106">
        <v>12408</v>
      </c>
      <c r="L71" s="106">
        <v>22</v>
      </c>
      <c r="M71" s="106">
        <v>12408</v>
      </c>
      <c r="N71" s="106">
        <v>31</v>
      </c>
      <c r="O71" s="106">
        <v>17484</v>
      </c>
      <c r="P71" s="106">
        <v>28</v>
      </c>
      <c r="Q71" s="106">
        <v>15792</v>
      </c>
      <c r="R71" s="106">
        <v>26</v>
      </c>
      <c r="S71" s="106">
        <v>14664</v>
      </c>
      <c r="T71" s="106">
        <v>15</v>
      </c>
      <c r="U71" s="106">
        <v>8460</v>
      </c>
      <c r="V71" s="106">
        <v>12</v>
      </c>
      <c r="W71" s="106">
        <v>6768</v>
      </c>
      <c r="X71" s="106">
        <v>10</v>
      </c>
      <c r="Y71" s="106">
        <v>5640</v>
      </c>
      <c r="Z71" s="106">
        <v>16</v>
      </c>
      <c r="AA71" s="106">
        <v>9024</v>
      </c>
      <c r="AB71" s="106">
        <v>7</v>
      </c>
      <c r="AC71" s="106">
        <v>3948</v>
      </c>
      <c r="AD71" s="106">
        <v>12</v>
      </c>
      <c r="AE71" s="106">
        <v>6768</v>
      </c>
      <c r="AF71" s="106">
        <v>13</v>
      </c>
      <c r="AG71" s="106">
        <v>7332</v>
      </c>
      <c r="AH71" s="106">
        <v>12</v>
      </c>
      <c r="AI71" s="106">
        <v>6768</v>
      </c>
      <c r="AJ71" s="106">
        <v>24</v>
      </c>
      <c r="AK71" s="106">
        <v>13536</v>
      </c>
      <c r="AL71" s="106">
        <v>27</v>
      </c>
      <c r="AM71" s="106">
        <v>15228</v>
      </c>
      <c r="AN71" s="106">
        <v>21</v>
      </c>
      <c r="AO71" s="106">
        <v>11844</v>
      </c>
      <c r="AP71" s="106">
        <v>29</v>
      </c>
      <c r="AQ71" s="106">
        <v>16356</v>
      </c>
      <c r="AR71" s="106">
        <v>40</v>
      </c>
      <c r="AS71" s="106">
        <v>22560</v>
      </c>
      <c r="AT71" s="106">
        <v>35</v>
      </c>
      <c r="AU71" s="106">
        <v>19740</v>
      </c>
      <c r="AV71" s="106">
        <v>22</v>
      </c>
      <c r="AW71" s="106">
        <v>12408</v>
      </c>
      <c r="AX71" s="106">
        <v>45</v>
      </c>
      <c r="AY71" s="106">
        <v>25380</v>
      </c>
      <c r="AZ71" s="106">
        <v>4</v>
      </c>
      <c r="BA71" s="106">
        <v>2256</v>
      </c>
      <c r="BB71" s="106">
        <v>3</v>
      </c>
      <c r="BC71" s="106">
        <v>1692</v>
      </c>
      <c r="BD71" s="106">
        <v>2</v>
      </c>
      <c r="BE71" s="106">
        <v>1128</v>
      </c>
      <c r="BF71" s="106">
        <v>3</v>
      </c>
      <c r="BG71" s="106">
        <v>1692</v>
      </c>
      <c r="BH71" s="106">
        <v>3</v>
      </c>
      <c r="BI71" s="106">
        <v>1692</v>
      </c>
      <c r="BJ71" s="106">
        <v>3</v>
      </c>
      <c r="BK71" s="106">
        <v>1692</v>
      </c>
      <c r="BL71" s="106">
        <v>4</v>
      </c>
      <c r="BM71" s="106">
        <v>2256</v>
      </c>
      <c r="BN71" s="106">
        <v>4</v>
      </c>
      <c r="BO71" s="106">
        <v>2256</v>
      </c>
      <c r="BP71" s="106">
        <v>4</v>
      </c>
      <c r="BQ71" s="106">
        <v>2256</v>
      </c>
      <c r="BR71" s="106">
        <v>4</v>
      </c>
      <c r="BS71" s="106">
        <v>2256</v>
      </c>
      <c r="BT71" s="106">
        <v>3</v>
      </c>
      <c r="BU71" s="106">
        <v>1692</v>
      </c>
      <c r="BV71" s="106">
        <v>5</v>
      </c>
      <c r="BW71" s="106">
        <v>2820</v>
      </c>
      <c r="BX71" s="106">
        <v>22</v>
      </c>
      <c r="BY71" s="106">
        <v>12408</v>
      </c>
      <c r="BZ71" s="106">
        <v>28</v>
      </c>
      <c r="CA71" s="106">
        <v>15792</v>
      </c>
      <c r="CB71" s="106">
        <v>18</v>
      </c>
      <c r="CC71" s="106">
        <v>10152</v>
      </c>
      <c r="CD71" s="106">
        <v>24</v>
      </c>
      <c r="CE71" s="106">
        <v>13536</v>
      </c>
      <c r="CF71" s="106">
        <v>4</v>
      </c>
      <c r="CG71" s="106">
        <v>2256</v>
      </c>
      <c r="CH71" s="106">
        <v>3</v>
      </c>
      <c r="CI71" s="106">
        <v>1692</v>
      </c>
      <c r="CJ71" s="106">
        <v>2</v>
      </c>
      <c r="CK71" s="106">
        <v>1128</v>
      </c>
      <c r="CL71" s="106">
        <v>3</v>
      </c>
      <c r="CM71" s="106">
        <v>1692</v>
      </c>
      <c r="CN71" s="106">
        <v>5</v>
      </c>
      <c r="CO71" s="106">
        <v>2820</v>
      </c>
      <c r="CP71" s="106">
        <v>5</v>
      </c>
      <c r="CQ71" s="106">
        <v>2820</v>
      </c>
      <c r="CR71" s="106">
        <v>3</v>
      </c>
      <c r="CS71" s="106">
        <v>1692</v>
      </c>
      <c r="CT71" s="106">
        <v>4</v>
      </c>
      <c r="CU71" s="106">
        <v>2256</v>
      </c>
    </row>
    <row r="72" spans="2:99" x14ac:dyDescent="0.2">
      <c r="C72" s="105" t="s">
        <v>239</v>
      </c>
      <c r="D72" s="106">
        <v>24</v>
      </c>
      <c r="E72" s="106">
        <v>1785.6</v>
      </c>
      <c r="F72" s="106">
        <v>30</v>
      </c>
      <c r="G72" s="106">
        <v>2231.9999999999995</v>
      </c>
      <c r="H72" s="106">
        <v>26</v>
      </c>
      <c r="I72" s="106">
        <v>1934.3999999999999</v>
      </c>
      <c r="J72" s="106">
        <v>22</v>
      </c>
      <c r="K72" s="106">
        <v>1636.7999999999997</v>
      </c>
      <c r="L72" s="106">
        <v>24</v>
      </c>
      <c r="M72" s="106">
        <v>1785.6</v>
      </c>
      <c r="N72" s="106">
        <v>32</v>
      </c>
      <c r="O72" s="106">
        <v>2380.7999999999997</v>
      </c>
      <c r="P72" s="106">
        <v>35</v>
      </c>
      <c r="Q72" s="106">
        <v>2603.9999999999995</v>
      </c>
      <c r="R72" s="106">
        <v>30</v>
      </c>
      <c r="S72" s="106">
        <v>2231.9999999999995</v>
      </c>
      <c r="T72" s="106">
        <v>15</v>
      </c>
      <c r="U72" s="106">
        <v>1115.9999999999998</v>
      </c>
      <c r="V72" s="106">
        <v>14</v>
      </c>
      <c r="W72" s="106">
        <v>1041.5999999999999</v>
      </c>
      <c r="X72" s="106">
        <v>10</v>
      </c>
      <c r="Y72" s="106">
        <v>743.99999999999989</v>
      </c>
      <c r="Z72" s="106">
        <v>19</v>
      </c>
      <c r="AA72" s="106">
        <v>1413.6</v>
      </c>
      <c r="AB72" s="106">
        <v>8</v>
      </c>
      <c r="AC72" s="106">
        <v>595.19999999999993</v>
      </c>
      <c r="AD72" s="106">
        <v>13</v>
      </c>
      <c r="AE72" s="106">
        <v>967.19999999999993</v>
      </c>
      <c r="AF72" s="106">
        <v>15</v>
      </c>
      <c r="AG72" s="106">
        <v>1115.9999999999998</v>
      </c>
      <c r="AH72" s="106">
        <v>15</v>
      </c>
      <c r="AI72" s="106">
        <v>1115.9999999999998</v>
      </c>
      <c r="AJ72" s="106">
        <v>27</v>
      </c>
      <c r="AK72" s="106">
        <v>2008.7999999999997</v>
      </c>
      <c r="AL72" s="106">
        <v>31</v>
      </c>
      <c r="AM72" s="106">
        <v>2306.3999999999996</v>
      </c>
      <c r="AN72" s="106">
        <v>26</v>
      </c>
      <c r="AO72" s="106">
        <v>1934.3999999999999</v>
      </c>
      <c r="AP72" s="106">
        <v>30</v>
      </c>
      <c r="AQ72" s="106">
        <v>2231.9999999999995</v>
      </c>
      <c r="AR72" s="106">
        <v>42</v>
      </c>
      <c r="AS72" s="106">
        <v>3124.7999999999997</v>
      </c>
      <c r="AT72" s="106">
        <v>39</v>
      </c>
      <c r="AU72" s="106">
        <v>2901.5999999999995</v>
      </c>
      <c r="AV72" s="106">
        <v>27</v>
      </c>
      <c r="AW72" s="106">
        <v>2008.7999999999997</v>
      </c>
      <c r="AX72" s="106">
        <v>47</v>
      </c>
      <c r="AY72" s="106">
        <v>3496.7999999999997</v>
      </c>
      <c r="AZ72" s="106">
        <v>4</v>
      </c>
      <c r="BA72" s="106">
        <v>297.59999999999997</v>
      </c>
      <c r="BB72" s="106">
        <v>4</v>
      </c>
      <c r="BC72" s="106">
        <v>297.59999999999997</v>
      </c>
      <c r="BD72" s="106">
        <v>2</v>
      </c>
      <c r="BE72" s="106">
        <v>148.79999999999998</v>
      </c>
      <c r="BF72" s="106">
        <v>3</v>
      </c>
      <c r="BG72" s="106">
        <v>223.2</v>
      </c>
      <c r="BH72" s="106">
        <v>3</v>
      </c>
      <c r="BI72" s="106">
        <v>223.2</v>
      </c>
      <c r="BJ72" s="106">
        <v>3</v>
      </c>
      <c r="BK72" s="106">
        <v>223.2</v>
      </c>
      <c r="BL72" s="106">
        <v>4</v>
      </c>
      <c r="BM72" s="106">
        <v>297.59999999999997</v>
      </c>
      <c r="BN72" s="106">
        <v>4</v>
      </c>
      <c r="BO72" s="106">
        <v>297.59999999999997</v>
      </c>
      <c r="BP72" s="106">
        <v>4</v>
      </c>
      <c r="BQ72" s="106">
        <v>297.59999999999997</v>
      </c>
      <c r="BR72" s="106">
        <v>3</v>
      </c>
      <c r="BS72" s="106">
        <v>223.2</v>
      </c>
      <c r="BT72" s="106">
        <v>4</v>
      </c>
      <c r="BU72" s="106">
        <v>297.59999999999997</v>
      </c>
      <c r="BV72" s="106">
        <v>4</v>
      </c>
      <c r="BW72" s="106">
        <v>297.59999999999997</v>
      </c>
      <c r="BX72" s="106">
        <v>23</v>
      </c>
      <c r="BY72" s="106">
        <v>1711.1999999999998</v>
      </c>
      <c r="BZ72" s="106">
        <v>30</v>
      </c>
      <c r="CA72" s="106">
        <v>2231.9999999999995</v>
      </c>
      <c r="CB72" s="106">
        <v>22</v>
      </c>
      <c r="CC72" s="106">
        <v>1636.7999999999997</v>
      </c>
      <c r="CD72" s="106">
        <v>26</v>
      </c>
      <c r="CE72" s="106">
        <v>1934.3999999999999</v>
      </c>
      <c r="CF72" s="106">
        <v>4</v>
      </c>
      <c r="CG72" s="106">
        <v>297.59999999999997</v>
      </c>
      <c r="CH72" s="106">
        <v>3</v>
      </c>
      <c r="CI72" s="106">
        <v>223.2</v>
      </c>
      <c r="CJ72" s="106">
        <v>2</v>
      </c>
      <c r="CK72" s="106">
        <v>148.79999999999998</v>
      </c>
      <c r="CL72" s="106">
        <v>3</v>
      </c>
      <c r="CM72" s="106">
        <v>223.2</v>
      </c>
      <c r="CN72" s="106">
        <v>5</v>
      </c>
      <c r="CO72" s="106">
        <v>371.99999999999994</v>
      </c>
      <c r="CP72" s="106">
        <v>6</v>
      </c>
      <c r="CQ72" s="106">
        <v>446.4</v>
      </c>
      <c r="CR72" s="106">
        <v>3</v>
      </c>
      <c r="CS72" s="106">
        <v>223.2</v>
      </c>
      <c r="CT72" s="106">
        <v>4</v>
      </c>
      <c r="CU72" s="106">
        <v>297.59999999999997</v>
      </c>
    </row>
    <row r="73" spans="2:99" x14ac:dyDescent="0.2">
      <c r="C73" s="105" t="s">
        <v>240</v>
      </c>
      <c r="D73" s="106">
        <v>23</v>
      </c>
      <c r="E73" s="106">
        <v>12861.599999999999</v>
      </c>
      <c r="F73" s="106">
        <v>30</v>
      </c>
      <c r="G73" s="106">
        <v>16775.999999999996</v>
      </c>
      <c r="H73" s="106">
        <v>20</v>
      </c>
      <c r="I73" s="106">
        <v>11183.999999999998</v>
      </c>
      <c r="J73" s="106">
        <v>21</v>
      </c>
      <c r="K73" s="106">
        <v>11743.199999999999</v>
      </c>
      <c r="L73" s="106">
        <v>24</v>
      </c>
      <c r="M73" s="106">
        <v>13420.8</v>
      </c>
      <c r="N73" s="106">
        <v>27</v>
      </c>
      <c r="O73" s="106">
        <v>15098.399999999998</v>
      </c>
      <c r="P73" s="106">
        <v>32</v>
      </c>
      <c r="Q73" s="106">
        <v>17894.399999999998</v>
      </c>
      <c r="R73" s="106">
        <v>27</v>
      </c>
      <c r="S73" s="106">
        <v>15098.399999999998</v>
      </c>
      <c r="T73" s="106">
        <v>13</v>
      </c>
      <c r="U73" s="106">
        <v>7269.5999999999995</v>
      </c>
      <c r="V73" s="106">
        <v>12</v>
      </c>
      <c r="W73" s="106">
        <v>6710.4</v>
      </c>
      <c r="X73" s="106">
        <v>10</v>
      </c>
      <c r="Y73" s="106">
        <v>5591.9999999999991</v>
      </c>
      <c r="Z73" s="106">
        <v>16</v>
      </c>
      <c r="AA73" s="106">
        <v>8947.1999999999989</v>
      </c>
      <c r="AB73" s="106">
        <v>7</v>
      </c>
      <c r="AC73" s="106">
        <v>3914.3999999999996</v>
      </c>
      <c r="AD73" s="106">
        <v>13</v>
      </c>
      <c r="AE73" s="106">
        <v>7269.5999999999995</v>
      </c>
      <c r="AF73" s="106">
        <v>14</v>
      </c>
      <c r="AG73" s="106">
        <v>7828.7999999999993</v>
      </c>
      <c r="AH73" s="106">
        <v>12</v>
      </c>
      <c r="AI73" s="106">
        <v>6710.4</v>
      </c>
      <c r="AJ73" s="106">
        <v>25</v>
      </c>
      <c r="AK73" s="106">
        <v>13979.999999999998</v>
      </c>
      <c r="AL73" s="106">
        <v>24</v>
      </c>
      <c r="AM73" s="106">
        <v>13420.8</v>
      </c>
      <c r="AN73" s="106">
        <v>21</v>
      </c>
      <c r="AO73" s="106">
        <v>11743.199999999999</v>
      </c>
      <c r="AP73" s="106">
        <v>27</v>
      </c>
      <c r="AQ73" s="106">
        <v>15098.399999999998</v>
      </c>
      <c r="AR73" s="106">
        <v>43</v>
      </c>
      <c r="AS73" s="106">
        <v>24045.599999999999</v>
      </c>
      <c r="AT73" s="106">
        <v>36</v>
      </c>
      <c r="AU73" s="106">
        <v>20131.199999999997</v>
      </c>
      <c r="AV73" s="106">
        <v>21</v>
      </c>
      <c r="AW73" s="106">
        <v>11743.199999999999</v>
      </c>
      <c r="AX73" s="106">
        <v>43</v>
      </c>
      <c r="AY73" s="106">
        <v>24045.599999999999</v>
      </c>
      <c r="AZ73" s="106">
        <v>4</v>
      </c>
      <c r="BA73" s="106">
        <v>2236.7999999999997</v>
      </c>
      <c r="BB73" s="106">
        <v>4</v>
      </c>
      <c r="BC73" s="106">
        <v>2236.7999999999997</v>
      </c>
      <c r="BD73" s="106">
        <v>2</v>
      </c>
      <c r="BE73" s="106">
        <v>1118.3999999999999</v>
      </c>
      <c r="BF73" s="106">
        <v>3</v>
      </c>
      <c r="BG73" s="106">
        <v>1677.6</v>
      </c>
      <c r="BH73" s="106">
        <v>3</v>
      </c>
      <c r="BI73" s="106">
        <v>1677.6</v>
      </c>
      <c r="BJ73" s="106">
        <v>2</v>
      </c>
      <c r="BK73" s="106">
        <v>1118.3999999999999</v>
      </c>
      <c r="BL73" s="106">
        <v>3</v>
      </c>
      <c r="BM73" s="106">
        <v>1677.6</v>
      </c>
      <c r="BN73" s="106">
        <v>3</v>
      </c>
      <c r="BO73" s="106">
        <v>1677.6</v>
      </c>
      <c r="BP73" s="106">
        <v>3</v>
      </c>
      <c r="BQ73" s="106">
        <v>1677.6</v>
      </c>
      <c r="BR73" s="106">
        <v>4</v>
      </c>
      <c r="BS73" s="106">
        <v>2236.7999999999997</v>
      </c>
      <c r="BT73" s="106">
        <v>4</v>
      </c>
      <c r="BU73" s="106">
        <v>2236.7999999999997</v>
      </c>
      <c r="BV73" s="106">
        <v>4</v>
      </c>
      <c r="BW73" s="106">
        <v>2236.7999999999997</v>
      </c>
      <c r="BX73" s="106">
        <v>22</v>
      </c>
      <c r="BY73" s="106">
        <v>12302.399999999998</v>
      </c>
      <c r="BZ73" s="106">
        <v>28</v>
      </c>
      <c r="CA73" s="106">
        <v>15657.599999999999</v>
      </c>
      <c r="CB73" s="106">
        <v>20</v>
      </c>
      <c r="CC73" s="106">
        <v>11183.999999999998</v>
      </c>
      <c r="CD73" s="106">
        <v>24</v>
      </c>
      <c r="CE73" s="106">
        <v>13420.8</v>
      </c>
      <c r="CF73" s="106">
        <v>3</v>
      </c>
      <c r="CG73" s="106">
        <v>1677.6</v>
      </c>
      <c r="CH73" s="106">
        <v>3</v>
      </c>
      <c r="CI73" s="106">
        <v>1677.6</v>
      </c>
      <c r="CJ73" s="106">
        <v>3</v>
      </c>
      <c r="CK73" s="106">
        <v>1677.6</v>
      </c>
      <c r="CL73" s="106">
        <v>3</v>
      </c>
      <c r="CM73" s="106">
        <v>1677.6</v>
      </c>
      <c r="CN73" s="106">
        <v>5</v>
      </c>
      <c r="CO73" s="106">
        <v>2795.9999999999995</v>
      </c>
      <c r="CP73" s="106">
        <v>6</v>
      </c>
      <c r="CQ73" s="106">
        <v>3355.2</v>
      </c>
      <c r="CR73" s="106">
        <v>3</v>
      </c>
      <c r="CS73" s="106">
        <v>1677.6</v>
      </c>
      <c r="CT73" s="106">
        <v>4</v>
      </c>
      <c r="CU73" s="106">
        <v>2236.7999999999997</v>
      </c>
    </row>
    <row r="74" spans="2:99" x14ac:dyDescent="0.2">
      <c r="C74" s="105" t="s">
        <v>241</v>
      </c>
      <c r="D74" s="106">
        <v>21</v>
      </c>
      <c r="E74" s="106">
        <v>8467.1999999999989</v>
      </c>
      <c r="F74" s="106">
        <v>29</v>
      </c>
      <c r="G74" s="106">
        <v>11692.8</v>
      </c>
      <c r="H74" s="106">
        <v>23</v>
      </c>
      <c r="I74" s="106">
        <v>9273.6</v>
      </c>
      <c r="J74" s="106">
        <v>22</v>
      </c>
      <c r="K74" s="106">
        <v>8870.4</v>
      </c>
      <c r="L74" s="106">
        <v>24</v>
      </c>
      <c r="M74" s="106">
        <v>9676.7999999999993</v>
      </c>
      <c r="N74" s="106">
        <v>30</v>
      </c>
      <c r="O74" s="106">
        <v>12096</v>
      </c>
      <c r="P74" s="106">
        <v>30</v>
      </c>
      <c r="Q74" s="106">
        <v>12096</v>
      </c>
      <c r="R74" s="106">
        <v>29</v>
      </c>
      <c r="S74" s="106">
        <v>11692.8</v>
      </c>
      <c r="T74" s="106">
        <v>13</v>
      </c>
      <c r="U74" s="106">
        <v>5241.5999999999995</v>
      </c>
      <c r="V74" s="106">
        <v>13</v>
      </c>
      <c r="W74" s="106">
        <v>5241.5999999999995</v>
      </c>
      <c r="X74" s="106">
        <v>10</v>
      </c>
      <c r="Y74" s="106">
        <v>4032</v>
      </c>
      <c r="Z74" s="106">
        <v>17</v>
      </c>
      <c r="AA74" s="106">
        <v>6854.4</v>
      </c>
      <c r="AB74" s="106">
        <v>8</v>
      </c>
      <c r="AC74" s="106">
        <v>3225.6</v>
      </c>
      <c r="AD74" s="106">
        <v>12</v>
      </c>
      <c r="AE74" s="106">
        <v>4838.3999999999996</v>
      </c>
      <c r="AF74" s="106">
        <v>14</v>
      </c>
      <c r="AG74" s="106">
        <v>5644.8</v>
      </c>
      <c r="AH74" s="106">
        <v>12</v>
      </c>
      <c r="AI74" s="106">
        <v>4838.3999999999996</v>
      </c>
      <c r="AJ74" s="106">
        <v>26</v>
      </c>
      <c r="AK74" s="106">
        <v>10483.199999999999</v>
      </c>
      <c r="AL74" s="106">
        <v>29</v>
      </c>
      <c r="AM74" s="106">
        <v>11692.8</v>
      </c>
      <c r="AN74" s="106">
        <v>23</v>
      </c>
      <c r="AO74" s="106">
        <v>9273.6</v>
      </c>
      <c r="AP74" s="106">
        <v>29</v>
      </c>
      <c r="AQ74" s="106">
        <v>11692.8</v>
      </c>
      <c r="AR74" s="106">
        <v>40</v>
      </c>
      <c r="AS74" s="106">
        <v>16128</v>
      </c>
      <c r="AT74" s="106">
        <v>34</v>
      </c>
      <c r="AU74" s="106">
        <v>13708.8</v>
      </c>
      <c r="AV74" s="106">
        <v>25</v>
      </c>
      <c r="AW74" s="106">
        <v>10080</v>
      </c>
      <c r="AX74" s="106">
        <v>44</v>
      </c>
      <c r="AY74" s="106">
        <v>17740.8</v>
      </c>
      <c r="AZ74" s="106">
        <v>3</v>
      </c>
      <c r="BA74" s="106">
        <v>1209.5999999999999</v>
      </c>
      <c r="BB74" s="106">
        <v>4</v>
      </c>
      <c r="BC74" s="106">
        <v>1612.8</v>
      </c>
      <c r="BD74" s="106">
        <v>2</v>
      </c>
      <c r="BE74" s="106">
        <v>806.4</v>
      </c>
      <c r="BF74" s="106">
        <v>3</v>
      </c>
      <c r="BG74" s="106">
        <v>1209.5999999999999</v>
      </c>
      <c r="BH74" s="106">
        <v>3</v>
      </c>
      <c r="BI74" s="106">
        <v>1209.5999999999999</v>
      </c>
      <c r="BJ74" s="106">
        <v>2</v>
      </c>
      <c r="BK74" s="106">
        <v>806.4</v>
      </c>
      <c r="BL74" s="106">
        <v>3</v>
      </c>
      <c r="BM74" s="106">
        <v>1209.5999999999999</v>
      </c>
      <c r="BN74" s="106">
        <v>4</v>
      </c>
      <c r="BO74" s="106">
        <v>1612.8</v>
      </c>
      <c r="BP74" s="106">
        <v>4</v>
      </c>
      <c r="BQ74" s="106">
        <v>1612.8</v>
      </c>
      <c r="BR74" s="106">
        <v>3</v>
      </c>
      <c r="BS74" s="106">
        <v>1209.5999999999999</v>
      </c>
      <c r="BT74" s="106">
        <v>3</v>
      </c>
      <c r="BU74" s="106">
        <v>1209.5999999999999</v>
      </c>
      <c r="BV74" s="106">
        <v>4</v>
      </c>
      <c r="BW74" s="106">
        <v>1612.8</v>
      </c>
      <c r="BX74" s="106">
        <v>22</v>
      </c>
      <c r="BY74" s="106">
        <v>8870.4</v>
      </c>
      <c r="BZ74" s="106">
        <v>27</v>
      </c>
      <c r="CA74" s="106">
        <v>10886.4</v>
      </c>
      <c r="CB74" s="106">
        <v>18</v>
      </c>
      <c r="CC74" s="106">
        <v>7257.5999999999995</v>
      </c>
      <c r="CD74" s="106">
        <v>24</v>
      </c>
      <c r="CE74" s="106">
        <v>9676.7999999999993</v>
      </c>
      <c r="CF74" s="106">
        <v>3</v>
      </c>
      <c r="CG74" s="106">
        <v>1209.5999999999999</v>
      </c>
      <c r="CH74" s="106">
        <v>2</v>
      </c>
      <c r="CI74" s="106">
        <v>806.4</v>
      </c>
      <c r="CJ74" s="106">
        <v>3</v>
      </c>
      <c r="CK74" s="106">
        <v>1209.5999999999999</v>
      </c>
      <c r="CL74" s="106">
        <v>4</v>
      </c>
      <c r="CM74" s="106">
        <v>1612.8</v>
      </c>
      <c r="CN74" s="106">
        <v>5</v>
      </c>
      <c r="CO74" s="106">
        <v>2016</v>
      </c>
      <c r="CP74" s="106">
        <v>5</v>
      </c>
      <c r="CQ74" s="106">
        <v>2016</v>
      </c>
      <c r="CR74" s="106">
        <v>3</v>
      </c>
      <c r="CS74" s="106">
        <v>1209.5999999999999</v>
      </c>
      <c r="CT74" s="106">
        <v>4</v>
      </c>
      <c r="CU74" s="106">
        <v>1612.8</v>
      </c>
    </row>
    <row r="75" spans="2:99" x14ac:dyDescent="0.2">
      <c r="C75" s="105" t="s">
        <v>242</v>
      </c>
      <c r="D75" s="106">
        <v>20</v>
      </c>
      <c r="E75" s="106">
        <v>12863.999999999998</v>
      </c>
      <c r="F75" s="106">
        <v>30</v>
      </c>
      <c r="G75" s="106">
        <v>19295.999999999996</v>
      </c>
      <c r="H75" s="106">
        <v>20</v>
      </c>
      <c r="I75" s="106">
        <v>12863.999999999998</v>
      </c>
      <c r="J75" s="106">
        <v>21</v>
      </c>
      <c r="K75" s="106">
        <v>13507.199999999999</v>
      </c>
      <c r="L75" s="106">
        <v>23</v>
      </c>
      <c r="M75" s="106">
        <v>14793.599999999999</v>
      </c>
      <c r="N75" s="106">
        <v>28</v>
      </c>
      <c r="O75" s="106">
        <v>18009.599999999999</v>
      </c>
      <c r="P75" s="106">
        <v>31</v>
      </c>
      <c r="Q75" s="106">
        <v>19939.199999999997</v>
      </c>
      <c r="R75" s="106">
        <v>29</v>
      </c>
      <c r="S75" s="106">
        <v>18652.8</v>
      </c>
      <c r="T75" s="106">
        <v>14</v>
      </c>
      <c r="U75" s="106">
        <v>9004.7999999999993</v>
      </c>
      <c r="V75" s="106">
        <v>11</v>
      </c>
      <c r="W75" s="106">
        <v>7075.1999999999989</v>
      </c>
      <c r="X75" s="106">
        <v>10</v>
      </c>
      <c r="Y75" s="106">
        <v>6431.9999999999991</v>
      </c>
      <c r="Z75" s="106">
        <v>18</v>
      </c>
      <c r="AA75" s="106">
        <v>11577.599999999999</v>
      </c>
      <c r="AB75" s="106">
        <v>8</v>
      </c>
      <c r="AC75" s="106">
        <v>5145.5999999999995</v>
      </c>
      <c r="AD75" s="106">
        <v>12</v>
      </c>
      <c r="AE75" s="106">
        <v>7718.4</v>
      </c>
      <c r="AF75" s="106">
        <v>12</v>
      </c>
      <c r="AG75" s="106">
        <v>7718.4</v>
      </c>
      <c r="AH75" s="106">
        <v>14</v>
      </c>
      <c r="AI75" s="106">
        <v>9004.7999999999993</v>
      </c>
      <c r="AJ75" s="106">
        <v>28</v>
      </c>
      <c r="AK75" s="106">
        <v>18009.599999999999</v>
      </c>
      <c r="AL75" s="106">
        <v>28</v>
      </c>
      <c r="AM75" s="106">
        <v>18009.599999999999</v>
      </c>
      <c r="AN75" s="106">
        <v>21</v>
      </c>
      <c r="AO75" s="106">
        <v>13507.199999999999</v>
      </c>
      <c r="AP75" s="106">
        <v>29</v>
      </c>
      <c r="AQ75" s="106">
        <v>18652.8</v>
      </c>
      <c r="AR75" s="106">
        <v>38</v>
      </c>
      <c r="AS75" s="106">
        <v>24441.599999999999</v>
      </c>
      <c r="AT75" s="106">
        <v>32</v>
      </c>
      <c r="AU75" s="106">
        <v>20582.399999999998</v>
      </c>
      <c r="AV75" s="106">
        <v>21</v>
      </c>
      <c r="AW75" s="106">
        <v>13507.199999999999</v>
      </c>
      <c r="AX75" s="106">
        <v>41</v>
      </c>
      <c r="AY75" s="106">
        <v>26371.199999999997</v>
      </c>
      <c r="AZ75" s="106">
        <v>3</v>
      </c>
      <c r="BA75" s="106">
        <v>1929.6</v>
      </c>
      <c r="BB75" s="106">
        <v>3</v>
      </c>
      <c r="BC75" s="106">
        <v>1929.6</v>
      </c>
      <c r="BD75" s="106">
        <v>2</v>
      </c>
      <c r="BE75" s="106">
        <v>1286.3999999999999</v>
      </c>
      <c r="BF75" s="106">
        <v>3</v>
      </c>
      <c r="BG75" s="106">
        <v>1929.6</v>
      </c>
      <c r="BH75" s="106">
        <v>3</v>
      </c>
      <c r="BI75" s="106">
        <v>1929.6</v>
      </c>
      <c r="BJ75" s="106">
        <v>2</v>
      </c>
      <c r="BK75" s="106">
        <v>1286.3999999999999</v>
      </c>
      <c r="BL75" s="106">
        <v>3</v>
      </c>
      <c r="BM75" s="106">
        <v>1929.6</v>
      </c>
      <c r="BN75" s="106">
        <v>3</v>
      </c>
      <c r="BO75" s="106">
        <v>1929.6</v>
      </c>
      <c r="BP75" s="106">
        <v>4</v>
      </c>
      <c r="BQ75" s="106">
        <v>2572.7999999999997</v>
      </c>
      <c r="BR75" s="106">
        <v>3</v>
      </c>
      <c r="BS75" s="106">
        <v>1929.6</v>
      </c>
      <c r="BT75" s="106">
        <v>3</v>
      </c>
      <c r="BU75" s="106">
        <v>1929.6</v>
      </c>
      <c r="BV75" s="106">
        <v>4</v>
      </c>
      <c r="BW75" s="106">
        <v>2572.7999999999997</v>
      </c>
      <c r="BX75" s="106">
        <v>22</v>
      </c>
      <c r="BY75" s="106">
        <v>14150.399999999998</v>
      </c>
      <c r="BZ75" s="106">
        <v>29</v>
      </c>
      <c r="CA75" s="106">
        <v>18652.8</v>
      </c>
      <c r="CB75" s="106">
        <v>20</v>
      </c>
      <c r="CC75" s="106">
        <v>12863.999999999998</v>
      </c>
      <c r="CD75" s="106">
        <v>23</v>
      </c>
      <c r="CE75" s="106">
        <v>14793.599999999999</v>
      </c>
      <c r="CF75" s="106">
        <v>4</v>
      </c>
      <c r="CG75" s="106">
        <v>2572.7999999999997</v>
      </c>
      <c r="CH75" s="106">
        <v>2</v>
      </c>
      <c r="CI75" s="106">
        <v>1286.3999999999999</v>
      </c>
      <c r="CJ75" s="106">
        <v>2</v>
      </c>
      <c r="CK75" s="106">
        <v>1286.3999999999999</v>
      </c>
      <c r="CL75" s="106">
        <v>4</v>
      </c>
      <c r="CM75" s="106">
        <v>2572.7999999999997</v>
      </c>
      <c r="CN75" s="106">
        <v>5</v>
      </c>
      <c r="CO75" s="106">
        <v>3215.9999999999995</v>
      </c>
      <c r="CP75" s="106">
        <v>5</v>
      </c>
      <c r="CQ75" s="106">
        <v>3215.9999999999995</v>
      </c>
      <c r="CR75" s="106">
        <v>3</v>
      </c>
      <c r="CS75" s="106">
        <v>1929.6</v>
      </c>
      <c r="CT75" s="106">
        <v>5</v>
      </c>
      <c r="CU75" s="106">
        <v>3215.9999999999995</v>
      </c>
    </row>
    <row r="76" spans="2:99" x14ac:dyDescent="0.2">
      <c r="C76" s="105" t="s">
        <v>243</v>
      </c>
      <c r="D76" s="106">
        <v>21</v>
      </c>
      <c r="E76" s="106">
        <v>16354.8</v>
      </c>
      <c r="F76" s="106">
        <v>28</v>
      </c>
      <c r="G76" s="106">
        <v>21806.399999999998</v>
      </c>
      <c r="H76" s="106">
        <v>23</v>
      </c>
      <c r="I76" s="106">
        <v>17912.399999999998</v>
      </c>
      <c r="J76" s="106">
        <v>18</v>
      </c>
      <c r="K76" s="106">
        <v>14018.4</v>
      </c>
      <c r="L76" s="106">
        <v>24</v>
      </c>
      <c r="M76" s="106">
        <v>18691.199999999997</v>
      </c>
      <c r="N76" s="106">
        <v>25</v>
      </c>
      <c r="O76" s="106">
        <v>19470</v>
      </c>
      <c r="P76" s="106">
        <v>29</v>
      </c>
      <c r="Q76" s="106">
        <v>22585.199999999997</v>
      </c>
      <c r="R76" s="106">
        <v>26</v>
      </c>
      <c r="S76" s="106">
        <v>20248.8</v>
      </c>
      <c r="T76" s="106">
        <v>12</v>
      </c>
      <c r="U76" s="106">
        <v>9345.5999999999985</v>
      </c>
      <c r="V76" s="106">
        <v>12</v>
      </c>
      <c r="W76" s="106">
        <v>9345.5999999999985</v>
      </c>
      <c r="X76" s="106">
        <v>10</v>
      </c>
      <c r="Y76" s="106">
        <v>7788</v>
      </c>
      <c r="Z76" s="106">
        <v>15</v>
      </c>
      <c r="AA76" s="106">
        <v>11682</v>
      </c>
      <c r="AB76" s="106">
        <v>7</v>
      </c>
      <c r="AC76" s="106">
        <v>5451.5999999999995</v>
      </c>
      <c r="AD76" s="106">
        <v>12</v>
      </c>
      <c r="AE76" s="106">
        <v>9345.5999999999985</v>
      </c>
      <c r="AF76" s="106">
        <v>13</v>
      </c>
      <c r="AG76" s="106">
        <v>10124.4</v>
      </c>
      <c r="AH76" s="106">
        <v>13</v>
      </c>
      <c r="AI76" s="106">
        <v>10124.4</v>
      </c>
      <c r="AJ76" s="106">
        <v>23</v>
      </c>
      <c r="AK76" s="106">
        <v>17912.399999999998</v>
      </c>
      <c r="AL76" s="106">
        <v>27</v>
      </c>
      <c r="AM76" s="106">
        <v>21027.599999999999</v>
      </c>
      <c r="AN76" s="106">
        <v>22</v>
      </c>
      <c r="AO76" s="106">
        <v>17133.599999999999</v>
      </c>
      <c r="AP76" s="106">
        <v>24</v>
      </c>
      <c r="AQ76" s="106">
        <v>18691.199999999997</v>
      </c>
      <c r="AR76" s="106">
        <v>42</v>
      </c>
      <c r="AS76" s="106">
        <v>32709.599999999999</v>
      </c>
      <c r="AT76" s="106">
        <v>30</v>
      </c>
      <c r="AU76" s="106">
        <v>23364</v>
      </c>
      <c r="AV76" s="106">
        <v>22</v>
      </c>
      <c r="AW76" s="106">
        <v>17133.599999999999</v>
      </c>
      <c r="AX76" s="106">
        <v>40</v>
      </c>
      <c r="AY76" s="106">
        <v>31152</v>
      </c>
      <c r="AZ76" s="106">
        <v>3</v>
      </c>
      <c r="BA76" s="106">
        <v>2336.3999999999996</v>
      </c>
      <c r="BB76" s="106">
        <v>4</v>
      </c>
      <c r="BC76" s="106">
        <v>3115.2</v>
      </c>
      <c r="BD76" s="106">
        <v>2</v>
      </c>
      <c r="BE76" s="106">
        <v>1557.6</v>
      </c>
      <c r="BF76" s="106">
        <v>3</v>
      </c>
      <c r="BG76" s="106">
        <v>2336.3999999999996</v>
      </c>
      <c r="BH76" s="106">
        <v>3</v>
      </c>
      <c r="BI76" s="106">
        <v>2336.3999999999996</v>
      </c>
      <c r="BJ76" s="106">
        <v>2</v>
      </c>
      <c r="BK76" s="106">
        <v>1557.6</v>
      </c>
      <c r="BL76" s="106">
        <v>3</v>
      </c>
      <c r="BM76" s="106">
        <v>2336.3999999999996</v>
      </c>
      <c r="BN76" s="106">
        <v>3</v>
      </c>
      <c r="BO76" s="106">
        <v>2336.3999999999996</v>
      </c>
      <c r="BP76" s="106">
        <v>4</v>
      </c>
      <c r="BQ76" s="106">
        <v>3115.2</v>
      </c>
      <c r="BR76" s="106">
        <v>4</v>
      </c>
      <c r="BS76" s="106">
        <v>3115.2</v>
      </c>
      <c r="BT76" s="106">
        <v>4</v>
      </c>
      <c r="BU76" s="106">
        <v>3115.2</v>
      </c>
      <c r="BV76" s="106">
        <v>4</v>
      </c>
      <c r="BW76" s="106">
        <v>3115.2</v>
      </c>
      <c r="BX76" s="106">
        <v>20</v>
      </c>
      <c r="BY76" s="106">
        <v>15576</v>
      </c>
      <c r="BZ76" s="106">
        <v>25</v>
      </c>
      <c r="CA76" s="106">
        <v>19470</v>
      </c>
      <c r="CB76" s="106">
        <v>18</v>
      </c>
      <c r="CC76" s="106">
        <v>14018.4</v>
      </c>
      <c r="CD76" s="106">
        <v>25</v>
      </c>
      <c r="CE76" s="106">
        <v>19470</v>
      </c>
      <c r="CF76" s="106">
        <v>3</v>
      </c>
      <c r="CG76" s="106">
        <v>2336.3999999999996</v>
      </c>
      <c r="CH76" s="106">
        <v>3</v>
      </c>
      <c r="CI76" s="106">
        <v>2336.3999999999996</v>
      </c>
      <c r="CJ76" s="106">
        <v>3</v>
      </c>
      <c r="CK76" s="106">
        <v>2336.3999999999996</v>
      </c>
      <c r="CL76" s="106">
        <v>3</v>
      </c>
      <c r="CM76" s="106">
        <v>2336.3999999999996</v>
      </c>
      <c r="CN76" s="106">
        <v>5</v>
      </c>
      <c r="CO76" s="106">
        <v>3894</v>
      </c>
      <c r="CP76" s="106">
        <v>5</v>
      </c>
      <c r="CQ76" s="106">
        <v>3894</v>
      </c>
      <c r="CR76" s="106">
        <v>3</v>
      </c>
      <c r="CS76" s="106">
        <v>2336.3999999999996</v>
      </c>
      <c r="CT76" s="106">
        <v>4</v>
      </c>
      <c r="CU76" s="106">
        <v>3115.2</v>
      </c>
    </row>
    <row r="77" spans="2:99" x14ac:dyDescent="0.2">
      <c r="C77" s="105" t="s">
        <v>244</v>
      </c>
      <c r="D77" s="106">
        <v>22</v>
      </c>
      <c r="E77" s="106">
        <v>6124.7999999999993</v>
      </c>
      <c r="F77" s="106">
        <v>32</v>
      </c>
      <c r="G77" s="106">
        <v>8908.7999999999993</v>
      </c>
      <c r="H77" s="106">
        <v>25</v>
      </c>
      <c r="I77" s="106">
        <v>6959.9999999999991</v>
      </c>
      <c r="J77" s="106">
        <v>23</v>
      </c>
      <c r="K77" s="106">
        <v>6403.2</v>
      </c>
      <c r="L77" s="106">
        <v>26</v>
      </c>
      <c r="M77" s="106">
        <v>7238.4</v>
      </c>
      <c r="N77" s="106">
        <v>28</v>
      </c>
      <c r="O77" s="106">
        <v>7795.1999999999989</v>
      </c>
      <c r="P77" s="106">
        <v>30</v>
      </c>
      <c r="Q77" s="106">
        <v>8352</v>
      </c>
      <c r="R77" s="106">
        <v>28</v>
      </c>
      <c r="S77" s="106">
        <v>7795.1999999999989</v>
      </c>
      <c r="T77" s="106">
        <v>15</v>
      </c>
      <c r="U77" s="106">
        <v>4176</v>
      </c>
      <c r="V77" s="106">
        <v>12</v>
      </c>
      <c r="W77" s="106">
        <v>3340.7999999999997</v>
      </c>
      <c r="X77" s="106">
        <v>10</v>
      </c>
      <c r="Y77" s="106">
        <v>2784</v>
      </c>
      <c r="Z77" s="106">
        <v>16</v>
      </c>
      <c r="AA77" s="106">
        <v>4454.3999999999996</v>
      </c>
      <c r="AB77" s="106">
        <v>7</v>
      </c>
      <c r="AC77" s="106">
        <v>1948.7999999999997</v>
      </c>
      <c r="AD77" s="106">
        <v>12</v>
      </c>
      <c r="AE77" s="106">
        <v>3340.7999999999997</v>
      </c>
      <c r="AF77" s="106">
        <v>13</v>
      </c>
      <c r="AG77" s="106">
        <v>3619.2</v>
      </c>
      <c r="AH77" s="106">
        <v>13</v>
      </c>
      <c r="AI77" s="106">
        <v>3619.2</v>
      </c>
      <c r="AJ77" s="106">
        <v>25</v>
      </c>
      <c r="AK77" s="106">
        <v>6959.9999999999991</v>
      </c>
      <c r="AL77" s="106">
        <v>27</v>
      </c>
      <c r="AM77" s="106">
        <v>7516.7999999999993</v>
      </c>
      <c r="AN77" s="106">
        <v>21</v>
      </c>
      <c r="AO77" s="106">
        <v>5846.4</v>
      </c>
      <c r="AP77" s="106">
        <v>29</v>
      </c>
      <c r="AQ77" s="106">
        <v>8073.5999999999995</v>
      </c>
      <c r="AR77" s="106">
        <v>47</v>
      </c>
      <c r="AS77" s="106">
        <v>13084.8</v>
      </c>
      <c r="AT77" s="106">
        <v>34</v>
      </c>
      <c r="AU77" s="106">
        <v>9465.5999999999985</v>
      </c>
      <c r="AV77" s="106">
        <v>24</v>
      </c>
      <c r="AW77" s="106">
        <v>6681.5999999999995</v>
      </c>
      <c r="AX77" s="106">
        <v>48</v>
      </c>
      <c r="AY77" s="106">
        <v>13363.199999999999</v>
      </c>
      <c r="AZ77" s="106">
        <v>4</v>
      </c>
      <c r="BA77" s="106">
        <v>1113.5999999999999</v>
      </c>
      <c r="BB77" s="106">
        <v>4</v>
      </c>
      <c r="BC77" s="106">
        <v>1113.5999999999999</v>
      </c>
      <c r="BD77" s="106">
        <v>2</v>
      </c>
      <c r="BE77" s="106">
        <v>556.79999999999995</v>
      </c>
      <c r="BF77" s="106">
        <v>3</v>
      </c>
      <c r="BG77" s="106">
        <v>835.19999999999993</v>
      </c>
      <c r="BH77" s="106">
        <v>3</v>
      </c>
      <c r="BI77" s="106">
        <v>835.19999999999993</v>
      </c>
      <c r="BJ77" s="106">
        <v>3</v>
      </c>
      <c r="BK77" s="106">
        <v>835.19999999999993</v>
      </c>
      <c r="BL77" s="106">
        <v>4</v>
      </c>
      <c r="BM77" s="106">
        <v>1113.5999999999999</v>
      </c>
      <c r="BN77" s="106">
        <v>4</v>
      </c>
      <c r="BO77" s="106">
        <v>1113.5999999999999</v>
      </c>
      <c r="BP77" s="106">
        <v>4</v>
      </c>
      <c r="BQ77" s="106">
        <v>1113.5999999999999</v>
      </c>
      <c r="BR77" s="106">
        <v>4</v>
      </c>
      <c r="BS77" s="106">
        <v>1113.5999999999999</v>
      </c>
      <c r="BT77" s="106">
        <v>4</v>
      </c>
      <c r="BU77" s="106">
        <v>1113.5999999999999</v>
      </c>
      <c r="BV77" s="106">
        <v>4</v>
      </c>
      <c r="BW77" s="106">
        <v>1113.5999999999999</v>
      </c>
      <c r="BX77" s="106">
        <v>21</v>
      </c>
      <c r="BY77" s="106">
        <v>5846.4</v>
      </c>
      <c r="BZ77" s="106">
        <v>29</v>
      </c>
      <c r="CA77" s="106">
        <v>8073.5999999999995</v>
      </c>
      <c r="CB77" s="106">
        <v>20</v>
      </c>
      <c r="CC77" s="106">
        <v>5568</v>
      </c>
      <c r="CD77" s="106">
        <v>26</v>
      </c>
      <c r="CE77" s="106">
        <v>7238.4</v>
      </c>
      <c r="CF77" s="106">
        <v>4</v>
      </c>
      <c r="CG77" s="106">
        <v>1113.5999999999999</v>
      </c>
      <c r="CH77" s="106">
        <v>2</v>
      </c>
      <c r="CI77" s="106">
        <v>556.79999999999995</v>
      </c>
      <c r="CJ77" s="106">
        <v>3</v>
      </c>
      <c r="CK77" s="106">
        <v>835.19999999999993</v>
      </c>
      <c r="CL77" s="106">
        <v>3</v>
      </c>
      <c r="CM77" s="106">
        <v>835.19999999999993</v>
      </c>
      <c r="CN77" s="106">
        <v>5</v>
      </c>
      <c r="CO77" s="106">
        <v>1392</v>
      </c>
      <c r="CP77" s="106">
        <v>5</v>
      </c>
      <c r="CQ77" s="106">
        <v>1392</v>
      </c>
      <c r="CR77" s="106">
        <v>4</v>
      </c>
      <c r="CS77" s="106">
        <v>1113.5999999999999</v>
      </c>
      <c r="CT77" s="106">
        <v>4</v>
      </c>
      <c r="CU77" s="106">
        <v>1113.5999999999999</v>
      </c>
    </row>
    <row r="78" spans="2:99" x14ac:dyDescent="0.2">
      <c r="C78" s="105" t="s">
        <v>245</v>
      </c>
      <c r="D78" s="106">
        <v>24</v>
      </c>
      <c r="E78" s="106">
        <v>13248</v>
      </c>
      <c r="F78" s="106">
        <v>28</v>
      </c>
      <c r="G78" s="106">
        <v>15456</v>
      </c>
      <c r="H78" s="106">
        <v>20</v>
      </c>
      <c r="I78" s="106">
        <v>11040</v>
      </c>
      <c r="J78" s="106">
        <v>20</v>
      </c>
      <c r="K78" s="106">
        <v>11040</v>
      </c>
      <c r="L78" s="106">
        <v>25</v>
      </c>
      <c r="M78" s="106">
        <v>13800</v>
      </c>
      <c r="N78" s="106">
        <v>26</v>
      </c>
      <c r="O78" s="106">
        <v>14352</v>
      </c>
      <c r="P78" s="106">
        <v>27</v>
      </c>
      <c r="Q78" s="106">
        <v>14904</v>
      </c>
      <c r="R78" s="106">
        <v>29</v>
      </c>
      <c r="S78" s="106">
        <v>16008</v>
      </c>
      <c r="T78" s="106">
        <v>13</v>
      </c>
      <c r="U78" s="106">
        <v>7176</v>
      </c>
      <c r="V78" s="106">
        <v>12</v>
      </c>
      <c r="W78" s="106">
        <v>6624</v>
      </c>
      <c r="X78" s="106">
        <v>10</v>
      </c>
      <c r="Y78" s="106">
        <v>5520</v>
      </c>
      <c r="Z78" s="106">
        <v>17</v>
      </c>
      <c r="AA78" s="106">
        <v>9384</v>
      </c>
      <c r="AB78" s="106">
        <v>8</v>
      </c>
      <c r="AC78" s="106">
        <v>4416</v>
      </c>
      <c r="AD78" s="106">
        <v>11</v>
      </c>
      <c r="AE78" s="106">
        <v>6072</v>
      </c>
      <c r="AF78" s="106">
        <v>13</v>
      </c>
      <c r="AG78" s="106">
        <v>7176</v>
      </c>
      <c r="AH78" s="106">
        <v>12</v>
      </c>
      <c r="AI78" s="106">
        <v>6624</v>
      </c>
      <c r="AJ78" s="106">
        <v>28</v>
      </c>
      <c r="AK78" s="106">
        <v>15456</v>
      </c>
      <c r="AL78" s="106">
        <v>28</v>
      </c>
      <c r="AM78" s="106">
        <v>15456</v>
      </c>
      <c r="AN78" s="106">
        <v>21</v>
      </c>
      <c r="AO78" s="106">
        <v>11592</v>
      </c>
      <c r="AP78" s="106">
        <v>29</v>
      </c>
      <c r="AQ78" s="106">
        <v>16008</v>
      </c>
      <c r="AR78" s="106">
        <v>43</v>
      </c>
      <c r="AS78" s="106">
        <v>23736</v>
      </c>
      <c r="AT78" s="106">
        <v>36</v>
      </c>
      <c r="AU78" s="106">
        <v>19872</v>
      </c>
      <c r="AV78" s="106">
        <v>23</v>
      </c>
      <c r="AW78" s="106">
        <v>12696</v>
      </c>
      <c r="AX78" s="106">
        <v>45</v>
      </c>
      <c r="AY78" s="106">
        <v>24840</v>
      </c>
      <c r="AZ78" s="106">
        <v>4</v>
      </c>
      <c r="BA78" s="106">
        <v>2208</v>
      </c>
      <c r="BB78" s="106">
        <v>4</v>
      </c>
      <c r="BC78" s="106">
        <v>2208</v>
      </c>
      <c r="BD78" s="106">
        <v>2</v>
      </c>
      <c r="BE78" s="106">
        <v>1104</v>
      </c>
      <c r="BF78" s="106">
        <v>3</v>
      </c>
      <c r="BG78" s="106">
        <v>1656</v>
      </c>
      <c r="BH78" s="106">
        <v>3</v>
      </c>
      <c r="BI78" s="106">
        <v>1656</v>
      </c>
      <c r="BJ78" s="106">
        <v>3</v>
      </c>
      <c r="BK78" s="106">
        <v>1656</v>
      </c>
      <c r="BL78" s="106">
        <v>3</v>
      </c>
      <c r="BM78" s="106">
        <v>1656</v>
      </c>
      <c r="BN78" s="106">
        <v>4</v>
      </c>
      <c r="BO78" s="106">
        <v>2208</v>
      </c>
      <c r="BP78" s="106">
        <v>4</v>
      </c>
      <c r="BQ78" s="106">
        <v>2208</v>
      </c>
      <c r="BR78" s="106">
        <v>3</v>
      </c>
      <c r="BS78" s="106">
        <v>1656</v>
      </c>
      <c r="BT78" s="106">
        <v>4</v>
      </c>
      <c r="BU78" s="106">
        <v>2208</v>
      </c>
      <c r="BV78" s="106">
        <v>4</v>
      </c>
      <c r="BW78" s="106">
        <v>2208</v>
      </c>
      <c r="BX78" s="106">
        <v>21</v>
      </c>
      <c r="BY78" s="106">
        <v>11592</v>
      </c>
      <c r="BZ78" s="106">
        <v>26</v>
      </c>
      <c r="CA78" s="106">
        <v>14352</v>
      </c>
      <c r="CB78" s="106">
        <v>18</v>
      </c>
      <c r="CC78" s="106">
        <v>9936</v>
      </c>
      <c r="CD78" s="106">
        <v>27</v>
      </c>
      <c r="CE78" s="106">
        <v>14904</v>
      </c>
      <c r="CF78" s="106">
        <v>3</v>
      </c>
      <c r="CG78" s="106">
        <v>1656</v>
      </c>
      <c r="CH78" s="106">
        <v>3</v>
      </c>
      <c r="CI78" s="106">
        <v>1656</v>
      </c>
      <c r="CJ78" s="106">
        <v>2</v>
      </c>
      <c r="CK78" s="106">
        <v>1104</v>
      </c>
      <c r="CL78" s="106">
        <v>4</v>
      </c>
      <c r="CM78" s="106">
        <v>2208</v>
      </c>
      <c r="CN78" s="106">
        <v>5</v>
      </c>
      <c r="CO78" s="106">
        <v>2760</v>
      </c>
      <c r="CP78" s="106">
        <v>6</v>
      </c>
      <c r="CQ78" s="106">
        <v>3312</v>
      </c>
      <c r="CR78" s="106">
        <v>4</v>
      </c>
      <c r="CS78" s="106">
        <v>2208</v>
      </c>
      <c r="CT78" s="106">
        <v>5</v>
      </c>
      <c r="CU78" s="106">
        <v>2760</v>
      </c>
    </row>
    <row r="79" spans="2:99" x14ac:dyDescent="0.2">
      <c r="C79" s="105" t="s">
        <v>246</v>
      </c>
      <c r="D79" s="106">
        <v>22</v>
      </c>
      <c r="E79" s="106">
        <v>16658.399999999998</v>
      </c>
      <c r="F79" s="106">
        <v>26</v>
      </c>
      <c r="G79" s="106">
        <v>19687.199999999997</v>
      </c>
      <c r="H79" s="106">
        <v>23</v>
      </c>
      <c r="I79" s="106">
        <v>17415.599999999999</v>
      </c>
      <c r="J79" s="106">
        <v>18</v>
      </c>
      <c r="K79" s="106">
        <v>13629.599999999999</v>
      </c>
      <c r="L79" s="106">
        <v>24</v>
      </c>
      <c r="M79" s="106">
        <v>18172.8</v>
      </c>
      <c r="N79" s="106">
        <v>27</v>
      </c>
      <c r="O79" s="106">
        <v>20444.399999999998</v>
      </c>
      <c r="P79" s="106">
        <v>30</v>
      </c>
      <c r="Q79" s="106">
        <v>22715.999999999996</v>
      </c>
      <c r="R79" s="106">
        <v>29</v>
      </c>
      <c r="S79" s="106">
        <v>21958.799999999999</v>
      </c>
      <c r="T79" s="106">
        <v>13</v>
      </c>
      <c r="U79" s="106">
        <v>9843.5999999999985</v>
      </c>
      <c r="V79" s="106">
        <v>13</v>
      </c>
      <c r="W79" s="106">
        <v>9843.5999999999985</v>
      </c>
      <c r="X79" s="106">
        <v>10</v>
      </c>
      <c r="Y79" s="106">
        <v>7571.9999999999991</v>
      </c>
      <c r="Z79" s="106">
        <v>15</v>
      </c>
      <c r="AA79" s="106">
        <v>11357.999999999998</v>
      </c>
      <c r="AB79" s="106">
        <v>7</v>
      </c>
      <c r="AC79" s="106">
        <v>5300.4</v>
      </c>
      <c r="AD79" s="106">
        <v>12</v>
      </c>
      <c r="AE79" s="106">
        <v>9086.4</v>
      </c>
      <c r="AF79" s="106">
        <v>12</v>
      </c>
      <c r="AG79" s="106">
        <v>9086.4</v>
      </c>
      <c r="AH79" s="106">
        <v>12</v>
      </c>
      <c r="AI79" s="106">
        <v>9086.4</v>
      </c>
      <c r="AJ79" s="106">
        <v>23</v>
      </c>
      <c r="AK79" s="106">
        <v>17415.599999999999</v>
      </c>
      <c r="AL79" s="106">
        <v>24</v>
      </c>
      <c r="AM79" s="106">
        <v>18172.8</v>
      </c>
      <c r="AN79" s="106">
        <v>23</v>
      </c>
      <c r="AO79" s="106">
        <v>17415.599999999999</v>
      </c>
      <c r="AP79" s="106">
        <v>26</v>
      </c>
      <c r="AQ79" s="106">
        <v>19687.199999999997</v>
      </c>
      <c r="AR79" s="106">
        <v>37</v>
      </c>
      <c r="AS79" s="106">
        <v>28016.399999999998</v>
      </c>
      <c r="AT79" s="106">
        <v>30</v>
      </c>
      <c r="AU79" s="106">
        <v>22715.999999999996</v>
      </c>
      <c r="AV79" s="106">
        <v>22</v>
      </c>
      <c r="AW79" s="106">
        <v>16658.399999999998</v>
      </c>
      <c r="AX79" s="106">
        <v>43</v>
      </c>
      <c r="AY79" s="106">
        <v>32559.599999999999</v>
      </c>
      <c r="AZ79" s="106">
        <v>4</v>
      </c>
      <c r="BA79" s="106">
        <v>3028.7999999999997</v>
      </c>
      <c r="BB79" s="106">
        <v>4</v>
      </c>
      <c r="BC79" s="106">
        <v>3028.7999999999997</v>
      </c>
      <c r="BD79" s="106">
        <v>2</v>
      </c>
      <c r="BE79" s="106">
        <v>1514.3999999999999</v>
      </c>
      <c r="BF79" s="106">
        <v>3</v>
      </c>
      <c r="BG79" s="106">
        <v>2271.6</v>
      </c>
      <c r="BH79" s="106">
        <v>3</v>
      </c>
      <c r="BI79" s="106">
        <v>2271.6</v>
      </c>
      <c r="BJ79" s="106">
        <v>2</v>
      </c>
      <c r="BK79" s="106">
        <v>1514.3999999999999</v>
      </c>
      <c r="BL79" s="106">
        <v>3</v>
      </c>
      <c r="BM79" s="106">
        <v>2271.6</v>
      </c>
      <c r="BN79" s="106">
        <v>3</v>
      </c>
      <c r="BO79" s="106">
        <v>2271.6</v>
      </c>
      <c r="BP79" s="106">
        <v>4</v>
      </c>
      <c r="BQ79" s="106">
        <v>3028.7999999999997</v>
      </c>
      <c r="BR79" s="106">
        <v>3</v>
      </c>
      <c r="BS79" s="106">
        <v>2271.6</v>
      </c>
      <c r="BT79" s="106">
        <v>4</v>
      </c>
      <c r="BU79" s="106">
        <v>3028.7999999999997</v>
      </c>
      <c r="BV79" s="106">
        <v>4</v>
      </c>
      <c r="BW79" s="106">
        <v>3028.7999999999997</v>
      </c>
      <c r="BX79" s="106">
        <v>21</v>
      </c>
      <c r="BY79" s="106">
        <v>15901.199999999999</v>
      </c>
      <c r="BZ79" s="106">
        <v>28</v>
      </c>
      <c r="CA79" s="106">
        <v>21201.599999999999</v>
      </c>
      <c r="CB79" s="106">
        <v>17</v>
      </c>
      <c r="CC79" s="106">
        <v>12872.4</v>
      </c>
      <c r="CD79" s="106">
        <v>23</v>
      </c>
      <c r="CE79" s="106">
        <v>17415.599999999999</v>
      </c>
      <c r="CF79" s="106">
        <v>3</v>
      </c>
      <c r="CG79" s="106">
        <v>2271.6</v>
      </c>
      <c r="CH79" s="106">
        <v>2</v>
      </c>
      <c r="CI79" s="106">
        <v>1514.3999999999999</v>
      </c>
      <c r="CJ79" s="106">
        <v>2</v>
      </c>
      <c r="CK79" s="106">
        <v>1514.3999999999999</v>
      </c>
      <c r="CL79" s="106">
        <v>4</v>
      </c>
      <c r="CM79" s="106">
        <v>3028.7999999999997</v>
      </c>
      <c r="CN79" s="106">
        <v>5</v>
      </c>
      <c r="CO79" s="106">
        <v>3785.9999999999995</v>
      </c>
      <c r="CP79" s="106">
        <v>5</v>
      </c>
      <c r="CQ79" s="106">
        <v>3785.9999999999995</v>
      </c>
      <c r="CR79" s="106">
        <v>3</v>
      </c>
      <c r="CS79" s="106">
        <v>2271.6</v>
      </c>
      <c r="CT79" s="106">
        <v>4</v>
      </c>
      <c r="CU79" s="106">
        <v>3028.7999999999997</v>
      </c>
    </row>
    <row r="80" spans="2:99" x14ac:dyDescent="0.2">
      <c r="C80" s="105" t="s">
        <v>247</v>
      </c>
      <c r="D80" s="106">
        <v>20</v>
      </c>
      <c r="E80" s="106">
        <v>16103.999999999998</v>
      </c>
      <c r="F80" s="106">
        <v>26</v>
      </c>
      <c r="G80" s="106">
        <v>20935.199999999997</v>
      </c>
      <c r="H80" s="106">
        <v>22</v>
      </c>
      <c r="I80" s="106">
        <v>17714.399999999998</v>
      </c>
      <c r="J80" s="106">
        <v>18</v>
      </c>
      <c r="K80" s="106">
        <v>14493.599999999999</v>
      </c>
      <c r="L80" s="106">
        <v>24</v>
      </c>
      <c r="M80" s="106">
        <v>19324.8</v>
      </c>
      <c r="N80" s="106">
        <v>25</v>
      </c>
      <c r="O80" s="106">
        <v>20130</v>
      </c>
      <c r="P80" s="106">
        <v>26</v>
      </c>
      <c r="Q80" s="106">
        <v>20935.199999999997</v>
      </c>
      <c r="R80" s="106">
        <v>29</v>
      </c>
      <c r="S80" s="106">
        <v>23350.799999999999</v>
      </c>
      <c r="T80" s="106">
        <v>14</v>
      </c>
      <c r="U80" s="106">
        <v>11272.8</v>
      </c>
      <c r="V80" s="106">
        <v>11</v>
      </c>
      <c r="W80" s="106">
        <v>8857.1999999999989</v>
      </c>
      <c r="X80" s="106">
        <v>11</v>
      </c>
      <c r="Y80" s="106">
        <v>8857.1999999999989</v>
      </c>
      <c r="Z80" s="106">
        <v>18</v>
      </c>
      <c r="AA80" s="106">
        <v>14493.599999999999</v>
      </c>
      <c r="AB80" s="106">
        <v>7</v>
      </c>
      <c r="AC80" s="106">
        <v>5636.4</v>
      </c>
      <c r="AD80" s="106">
        <v>11</v>
      </c>
      <c r="AE80" s="106">
        <v>8857.1999999999989</v>
      </c>
      <c r="AF80" s="106">
        <v>13</v>
      </c>
      <c r="AG80" s="106">
        <v>10467.599999999999</v>
      </c>
      <c r="AH80" s="106">
        <v>12</v>
      </c>
      <c r="AI80" s="106">
        <v>9662.4</v>
      </c>
      <c r="AJ80" s="106">
        <v>25</v>
      </c>
      <c r="AK80" s="106">
        <v>20130</v>
      </c>
      <c r="AL80" s="106">
        <v>25</v>
      </c>
      <c r="AM80" s="106">
        <v>20130</v>
      </c>
      <c r="AN80" s="106">
        <v>21</v>
      </c>
      <c r="AO80" s="106">
        <v>16909.199999999997</v>
      </c>
      <c r="AP80" s="106">
        <v>28</v>
      </c>
      <c r="AQ80" s="106">
        <v>22545.599999999999</v>
      </c>
      <c r="AR80" s="106">
        <v>42</v>
      </c>
      <c r="AS80" s="106">
        <v>33818.399999999994</v>
      </c>
      <c r="AT80" s="106">
        <v>33</v>
      </c>
      <c r="AU80" s="106">
        <v>26571.599999999999</v>
      </c>
      <c r="AV80" s="106">
        <v>21</v>
      </c>
      <c r="AW80" s="106">
        <v>16909.199999999997</v>
      </c>
      <c r="AX80" s="106">
        <v>39</v>
      </c>
      <c r="AY80" s="106">
        <v>31402.799999999996</v>
      </c>
      <c r="AZ80" s="106">
        <v>3</v>
      </c>
      <c r="BA80" s="106">
        <v>2415.6</v>
      </c>
      <c r="BB80" s="106">
        <v>4</v>
      </c>
      <c r="BC80" s="106">
        <v>3220.7999999999997</v>
      </c>
      <c r="BD80" s="106">
        <v>2</v>
      </c>
      <c r="BE80" s="106">
        <v>1610.3999999999999</v>
      </c>
      <c r="BF80" s="106">
        <v>3</v>
      </c>
      <c r="BG80" s="106">
        <v>2415.6</v>
      </c>
      <c r="BH80" s="106">
        <v>3</v>
      </c>
      <c r="BI80" s="106">
        <v>2415.6</v>
      </c>
      <c r="BJ80" s="106">
        <v>3</v>
      </c>
      <c r="BK80" s="106">
        <v>2415.6</v>
      </c>
      <c r="BL80" s="106">
        <v>4</v>
      </c>
      <c r="BM80" s="106">
        <v>3220.7999999999997</v>
      </c>
      <c r="BN80" s="106">
        <v>3</v>
      </c>
      <c r="BO80" s="106">
        <v>2415.6</v>
      </c>
      <c r="BP80" s="106">
        <v>4</v>
      </c>
      <c r="BQ80" s="106">
        <v>3220.7999999999997</v>
      </c>
      <c r="BR80" s="106">
        <v>3</v>
      </c>
      <c r="BS80" s="106">
        <v>2415.6</v>
      </c>
      <c r="BT80" s="106">
        <v>4</v>
      </c>
      <c r="BU80" s="106">
        <v>3220.7999999999997</v>
      </c>
      <c r="BV80" s="106">
        <v>4</v>
      </c>
      <c r="BW80" s="106">
        <v>3220.7999999999997</v>
      </c>
      <c r="BX80" s="106">
        <v>21</v>
      </c>
      <c r="BY80" s="106">
        <v>16909.199999999997</v>
      </c>
      <c r="BZ80" s="106">
        <v>25</v>
      </c>
      <c r="CA80" s="106">
        <v>20130</v>
      </c>
      <c r="CB80" s="106">
        <v>18</v>
      </c>
      <c r="CC80" s="106">
        <v>14493.599999999999</v>
      </c>
      <c r="CD80" s="106">
        <v>22</v>
      </c>
      <c r="CE80" s="106">
        <v>17714.399999999998</v>
      </c>
      <c r="CF80" s="106">
        <v>3</v>
      </c>
      <c r="CG80" s="106">
        <v>2415.6</v>
      </c>
      <c r="CH80" s="106">
        <v>2</v>
      </c>
      <c r="CI80" s="106">
        <v>1610.3999999999999</v>
      </c>
      <c r="CJ80" s="106">
        <v>3</v>
      </c>
      <c r="CK80" s="106">
        <v>2415.6</v>
      </c>
      <c r="CL80" s="106">
        <v>3</v>
      </c>
      <c r="CM80" s="106">
        <v>2415.6</v>
      </c>
      <c r="CN80" s="106">
        <v>5</v>
      </c>
      <c r="CO80" s="106">
        <v>4025.9999999999995</v>
      </c>
      <c r="CP80" s="106">
        <v>5</v>
      </c>
      <c r="CQ80" s="106">
        <v>4025.9999999999995</v>
      </c>
      <c r="CR80" s="106">
        <v>3</v>
      </c>
      <c r="CS80" s="106">
        <v>2415.6</v>
      </c>
      <c r="CT80" s="106">
        <v>4</v>
      </c>
      <c r="CU80" s="106">
        <v>3220.7999999999997</v>
      </c>
    </row>
    <row r="81" spans="2:99" x14ac:dyDescent="0.2">
      <c r="C81" s="105" t="s">
        <v>248</v>
      </c>
      <c r="D81" s="106">
        <v>20</v>
      </c>
      <c r="E81" s="106">
        <v>15072</v>
      </c>
      <c r="F81" s="106">
        <v>28</v>
      </c>
      <c r="G81" s="106">
        <v>21100.799999999999</v>
      </c>
      <c r="H81" s="106">
        <v>19</v>
      </c>
      <c r="I81" s="106">
        <v>14318.4</v>
      </c>
      <c r="J81" s="106">
        <v>20</v>
      </c>
      <c r="K81" s="106">
        <v>15072</v>
      </c>
      <c r="L81" s="106">
        <v>22</v>
      </c>
      <c r="M81" s="106">
        <v>16579.2</v>
      </c>
      <c r="N81" s="106">
        <v>28</v>
      </c>
      <c r="O81" s="106">
        <v>21100.799999999999</v>
      </c>
      <c r="P81" s="106">
        <v>30</v>
      </c>
      <c r="Q81" s="106">
        <v>22608</v>
      </c>
      <c r="R81" s="106">
        <v>29</v>
      </c>
      <c r="S81" s="106">
        <v>21854.400000000001</v>
      </c>
      <c r="T81" s="106">
        <v>14</v>
      </c>
      <c r="U81" s="106">
        <v>10550.4</v>
      </c>
      <c r="V81" s="106">
        <v>12</v>
      </c>
      <c r="W81" s="106">
        <v>9043.2000000000007</v>
      </c>
      <c r="X81" s="106">
        <v>9</v>
      </c>
      <c r="Y81" s="106">
        <v>6782.4000000000005</v>
      </c>
      <c r="Z81" s="106">
        <v>16</v>
      </c>
      <c r="AA81" s="106">
        <v>12057.6</v>
      </c>
      <c r="AB81" s="106">
        <v>7</v>
      </c>
      <c r="AC81" s="106">
        <v>5275.2</v>
      </c>
      <c r="AD81" s="106">
        <v>12</v>
      </c>
      <c r="AE81" s="106">
        <v>9043.2000000000007</v>
      </c>
      <c r="AF81" s="106">
        <v>14</v>
      </c>
      <c r="AG81" s="106">
        <v>10550.4</v>
      </c>
      <c r="AH81" s="106">
        <v>12</v>
      </c>
      <c r="AI81" s="106">
        <v>9043.2000000000007</v>
      </c>
      <c r="AJ81" s="106">
        <v>25</v>
      </c>
      <c r="AK81" s="106">
        <v>18840</v>
      </c>
      <c r="AL81" s="106">
        <v>27</v>
      </c>
      <c r="AM81" s="106">
        <v>20347.2</v>
      </c>
      <c r="AN81" s="106">
        <v>21</v>
      </c>
      <c r="AO81" s="106">
        <v>15825.6</v>
      </c>
      <c r="AP81" s="106">
        <v>25</v>
      </c>
      <c r="AQ81" s="106">
        <v>18840</v>
      </c>
      <c r="AR81" s="106">
        <v>43</v>
      </c>
      <c r="AS81" s="106">
        <v>32404.799999999999</v>
      </c>
      <c r="AT81" s="106">
        <v>32</v>
      </c>
      <c r="AU81" s="106">
        <v>24115.200000000001</v>
      </c>
      <c r="AV81" s="106">
        <v>23</v>
      </c>
      <c r="AW81" s="106">
        <v>17332.8</v>
      </c>
      <c r="AX81" s="106">
        <v>42</v>
      </c>
      <c r="AY81" s="106">
        <v>31651.200000000001</v>
      </c>
      <c r="AZ81" s="106">
        <v>4</v>
      </c>
      <c r="BA81" s="106">
        <v>3014.4</v>
      </c>
      <c r="BB81" s="106">
        <v>3</v>
      </c>
      <c r="BC81" s="106">
        <v>2260.8000000000002</v>
      </c>
      <c r="BD81" s="106">
        <v>2</v>
      </c>
      <c r="BE81" s="106">
        <v>1507.2</v>
      </c>
      <c r="BF81" s="106">
        <v>3</v>
      </c>
      <c r="BG81" s="106">
        <v>2260.8000000000002</v>
      </c>
      <c r="BH81" s="106">
        <v>3</v>
      </c>
      <c r="BI81" s="106">
        <v>2260.8000000000002</v>
      </c>
      <c r="BJ81" s="106">
        <v>2</v>
      </c>
      <c r="BK81" s="106">
        <v>1507.2</v>
      </c>
      <c r="BL81" s="106">
        <v>3</v>
      </c>
      <c r="BM81" s="106">
        <v>2260.8000000000002</v>
      </c>
      <c r="BN81" s="106">
        <v>4</v>
      </c>
      <c r="BO81" s="106">
        <v>3014.4</v>
      </c>
      <c r="BP81" s="106">
        <v>4</v>
      </c>
      <c r="BQ81" s="106">
        <v>3014.4</v>
      </c>
      <c r="BR81" s="106">
        <v>3</v>
      </c>
      <c r="BS81" s="106">
        <v>2260.8000000000002</v>
      </c>
      <c r="BT81" s="106">
        <v>4</v>
      </c>
      <c r="BU81" s="106">
        <v>3014.4</v>
      </c>
      <c r="BV81" s="106">
        <v>4</v>
      </c>
      <c r="BW81" s="106">
        <v>3014.4</v>
      </c>
      <c r="BX81" s="106">
        <v>22</v>
      </c>
      <c r="BY81" s="106">
        <v>16579.2</v>
      </c>
      <c r="BZ81" s="106">
        <v>25</v>
      </c>
      <c r="CA81" s="106">
        <v>18840</v>
      </c>
      <c r="CB81" s="106">
        <v>18</v>
      </c>
      <c r="CC81" s="106">
        <v>13564.800000000001</v>
      </c>
      <c r="CD81" s="106">
        <v>25</v>
      </c>
      <c r="CE81" s="106">
        <v>18840</v>
      </c>
      <c r="CF81" s="106">
        <v>3</v>
      </c>
      <c r="CG81" s="106">
        <v>2260.8000000000002</v>
      </c>
      <c r="CH81" s="106">
        <v>2</v>
      </c>
      <c r="CI81" s="106">
        <v>1507.2</v>
      </c>
      <c r="CJ81" s="106">
        <v>3</v>
      </c>
      <c r="CK81" s="106">
        <v>2260.8000000000002</v>
      </c>
      <c r="CL81" s="106">
        <v>3</v>
      </c>
      <c r="CM81" s="106">
        <v>2260.8000000000002</v>
      </c>
      <c r="CN81" s="106">
        <v>5</v>
      </c>
      <c r="CO81" s="106">
        <v>3768</v>
      </c>
      <c r="CP81" s="106">
        <v>5</v>
      </c>
      <c r="CQ81" s="106">
        <v>3768</v>
      </c>
      <c r="CR81" s="106">
        <v>3</v>
      </c>
      <c r="CS81" s="106">
        <v>2260.8000000000002</v>
      </c>
      <c r="CT81" s="106">
        <v>4</v>
      </c>
      <c r="CU81" s="106">
        <v>3014.4</v>
      </c>
    </row>
    <row r="82" spans="2:99" x14ac:dyDescent="0.2">
      <c r="C82" s="105" t="s">
        <v>249</v>
      </c>
      <c r="D82" s="106">
        <v>24</v>
      </c>
      <c r="E82" s="106">
        <v>12211.199999999997</v>
      </c>
      <c r="F82" s="106">
        <v>30</v>
      </c>
      <c r="G82" s="106">
        <v>15263.999999999996</v>
      </c>
      <c r="H82" s="106">
        <v>24</v>
      </c>
      <c r="I82" s="106">
        <v>12211.199999999997</v>
      </c>
      <c r="J82" s="106">
        <v>20</v>
      </c>
      <c r="K82" s="106">
        <v>10175.999999999998</v>
      </c>
      <c r="L82" s="106">
        <v>23</v>
      </c>
      <c r="M82" s="106">
        <v>11702.399999999998</v>
      </c>
      <c r="N82" s="106">
        <v>30</v>
      </c>
      <c r="O82" s="106">
        <v>15263.999999999996</v>
      </c>
      <c r="P82" s="106">
        <v>30</v>
      </c>
      <c r="Q82" s="106">
        <v>15263.999999999996</v>
      </c>
      <c r="R82" s="106">
        <v>29</v>
      </c>
      <c r="S82" s="106">
        <v>14755.199999999997</v>
      </c>
      <c r="T82" s="106">
        <v>13</v>
      </c>
      <c r="U82" s="106">
        <v>6614.3999999999987</v>
      </c>
      <c r="V82" s="106">
        <v>12</v>
      </c>
      <c r="W82" s="106">
        <v>6105.5999999999985</v>
      </c>
      <c r="X82" s="106">
        <v>10</v>
      </c>
      <c r="Y82" s="106">
        <v>5087.9999999999991</v>
      </c>
      <c r="Z82" s="106">
        <v>16</v>
      </c>
      <c r="AA82" s="106">
        <v>8140.7999999999984</v>
      </c>
      <c r="AB82" s="106">
        <v>7</v>
      </c>
      <c r="AC82" s="106">
        <v>3561.5999999999995</v>
      </c>
      <c r="AD82" s="106">
        <v>13</v>
      </c>
      <c r="AE82" s="106">
        <v>6614.3999999999987</v>
      </c>
      <c r="AF82" s="106">
        <v>14</v>
      </c>
      <c r="AG82" s="106">
        <v>7123.1999999999989</v>
      </c>
      <c r="AH82" s="106">
        <v>14</v>
      </c>
      <c r="AI82" s="106">
        <v>7123.1999999999989</v>
      </c>
      <c r="AJ82" s="106">
        <v>26</v>
      </c>
      <c r="AK82" s="106">
        <v>13228.799999999997</v>
      </c>
      <c r="AL82" s="106">
        <v>28</v>
      </c>
      <c r="AM82" s="106">
        <v>14246.399999999998</v>
      </c>
      <c r="AN82" s="106">
        <v>24</v>
      </c>
      <c r="AO82" s="106">
        <v>12211.199999999997</v>
      </c>
      <c r="AP82" s="106">
        <v>26</v>
      </c>
      <c r="AQ82" s="106">
        <v>13228.799999999997</v>
      </c>
      <c r="AR82" s="106">
        <v>39</v>
      </c>
      <c r="AS82" s="106">
        <v>19843.199999999997</v>
      </c>
      <c r="AT82" s="106">
        <v>35</v>
      </c>
      <c r="AU82" s="106">
        <v>17807.999999999996</v>
      </c>
      <c r="AV82" s="106">
        <v>22</v>
      </c>
      <c r="AW82" s="106">
        <v>11193.599999999999</v>
      </c>
      <c r="AX82" s="106">
        <v>38</v>
      </c>
      <c r="AY82" s="106">
        <v>19334.399999999998</v>
      </c>
      <c r="AZ82" s="106">
        <v>3</v>
      </c>
      <c r="BA82" s="106">
        <v>1526.3999999999996</v>
      </c>
      <c r="BB82" s="106">
        <v>3</v>
      </c>
      <c r="BC82" s="106">
        <v>1526.3999999999996</v>
      </c>
      <c r="BD82" s="106">
        <v>2</v>
      </c>
      <c r="BE82" s="106">
        <v>1017.5999999999998</v>
      </c>
      <c r="BF82" s="106">
        <v>3</v>
      </c>
      <c r="BG82" s="106">
        <v>1526.3999999999996</v>
      </c>
      <c r="BH82" s="106">
        <v>3</v>
      </c>
      <c r="BI82" s="106">
        <v>1526.3999999999996</v>
      </c>
      <c r="BJ82" s="106">
        <v>3</v>
      </c>
      <c r="BK82" s="106">
        <v>1526.3999999999996</v>
      </c>
      <c r="BL82" s="106">
        <v>4</v>
      </c>
      <c r="BM82" s="106">
        <v>2035.1999999999996</v>
      </c>
      <c r="BN82" s="106">
        <v>4</v>
      </c>
      <c r="BO82" s="106">
        <v>2035.1999999999996</v>
      </c>
      <c r="BP82" s="106">
        <v>4</v>
      </c>
      <c r="BQ82" s="106">
        <v>2035.1999999999996</v>
      </c>
      <c r="BR82" s="106">
        <v>4</v>
      </c>
      <c r="BS82" s="106">
        <v>2035.1999999999996</v>
      </c>
      <c r="BT82" s="106">
        <v>4</v>
      </c>
      <c r="BU82" s="106">
        <v>2035.1999999999996</v>
      </c>
      <c r="BV82" s="106">
        <v>5</v>
      </c>
      <c r="BW82" s="106">
        <v>2543.9999999999995</v>
      </c>
      <c r="BX82" s="106">
        <v>23</v>
      </c>
      <c r="BY82" s="106">
        <v>11702.399999999998</v>
      </c>
      <c r="BZ82" s="106">
        <v>28</v>
      </c>
      <c r="CA82" s="106">
        <v>14246.399999999998</v>
      </c>
      <c r="CB82" s="106">
        <v>20</v>
      </c>
      <c r="CC82" s="106">
        <v>10175.999999999998</v>
      </c>
      <c r="CD82" s="106">
        <v>26</v>
      </c>
      <c r="CE82" s="106">
        <v>13228.799999999997</v>
      </c>
      <c r="CF82" s="106">
        <v>3</v>
      </c>
      <c r="CG82" s="106">
        <v>1526.3999999999996</v>
      </c>
      <c r="CH82" s="106">
        <v>2</v>
      </c>
      <c r="CI82" s="106">
        <v>1017.5999999999998</v>
      </c>
      <c r="CJ82" s="106">
        <v>3</v>
      </c>
      <c r="CK82" s="106">
        <v>1526.3999999999996</v>
      </c>
      <c r="CL82" s="106">
        <v>3</v>
      </c>
      <c r="CM82" s="106">
        <v>1526.3999999999996</v>
      </c>
      <c r="CN82" s="106">
        <v>5</v>
      </c>
      <c r="CO82" s="106">
        <v>2543.9999999999995</v>
      </c>
      <c r="CP82" s="106">
        <v>6</v>
      </c>
      <c r="CQ82" s="106">
        <v>3052.7999999999993</v>
      </c>
      <c r="CR82" s="106">
        <v>4</v>
      </c>
      <c r="CS82" s="106">
        <v>2035.1999999999996</v>
      </c>
      <c r="CT82" s="106">
        <v>4</v>
      </c>
      <c r="CU82" s="106">
        <v>2035.1999999999996</v>
      </c>
    </row>
    <row r="83" spans="2:99" x14ac:dyDescent="0.2">
      <c r="C83" s="105" t="s">
        <v>250</v>
      </c>
      <c r="D83" s="106">
        <v>20</v>
      </c>
      <c r="E83" s="106">
        <v>17208</v>
      </c>
      <c r="F83" s="106">
        <v>28</v>
      </c>
      <c r="G83" s="106">
        <v>24091.200000000001</v>
      </c>
      <c r="H83" s="106">
        <v>21</v>
      </c>
      <c r="I83" s="106">
        <v>18068.399999999998</v>
      </c>
      <c r="J83" s="106">
        <v>18</v>
      </c>
      <c r="K83" s="106">
        <v>15487.199999999999</v>
      </c>
      <c r="L83" s="106">
        <v>21</v>
      </c>
      <c r="M83" s="106">
        <v>18068.399999999998</v>
      </c>
      <c r="N83" s="106">
        <v>28</v>
      </c>
      <c r="O83" s="106">
        <v>24091.200000000001</v>
      </c>
      <c r="P83" s="106">
        <v>28</v>
      </c>
      <c r="Q83" s="106">
        <v>24091.200000000001</v>
      </c>
      <c r="R83" s="106">
        <v>24</v>
      </c>
      <c r="S83" s="106">
        <v>20649.599999999999</v>
      </c>
      <c r="T83" s="106">
        <v>14</v>
      </c>
      <c r="U83" s="106">
        <v>12045.6</v>
      </c>
      <c r="V83" s="106">
        <v>12</v>
      </c>
      <c r="W83" s="106">
        <v>10324.799999999999</v>
      </c>
      <c r="X83" s="106">
        <v>10</v>
      </c>
      <c r="Y83" s="106">
        <v>8604</v>
      </c>
      <c r="Z83" s="106">
        <v>16</v>
      </c>
      <c r="AA83" s="106">
        <v>13766.4</v>
      </c>
      <c r="AB83" s="106">
        <v>7</v>
      </c>
      <c r="AC83" s="106">
        <v>6022.8</v>
      </c>
      <c r="AD83" s="106">
        <v>11</v>
      </c>
      <c r="AE83" s="106">
        <v>9464.4</v>
      </c>
      <c r="AF83" s="106">
        <v>13</v>
      </c>
      <c r="AG83" s="106">
        <v>11185.199999999999</v>
      </c>
      <c r="AH83" s="106">
        <v>13</v>
      </c>
      <c r="AI83" s="106">
        <v>11185.199999999999</v>
      </c>
      <c r="AJ83" s="106">
        <v>23</v>
      </c>
      <c r="AK83" s="106">
        <v>19789.2</v>
      </c>
      <c r="AL83" s="106">
        <v>24</v>
      </c>
      <c r="AM83" s="106">
        <v>20649.599999999999</v>
      </c>
      <c r="AN83" s="106">
        <v>21</v>
      </c>
      <c r="AO83" s="106">
        <v>18068.399999999998</v>
      </c>
      <c r="AP83" s="106">
        <v>24</v>
      </c>
      <c r="AQ83" s="106">
        <v>20649.599999999999</v>
      </c>
      <c r="AR83" s="106">
        <v>39</v>
      </c>
      <c r="AS83" s="106">
        <v>33555.599999999999</v>
      </c>
      <c r="AT83" s="106">
        <v>34</v>
      </c>
      <c r="AU83" s="106">
        <v>29253.599999999999</v>
      </c>
      <c r="AV83" s="106">
        <v>21</v>
      </c>
      <c r="AW83" s="106">
        <v>18068.399999999998</v>
      </c>
      <c r="AX83" s="106">
        <v>42</v>
      </c>
      <c r="AY83" s="106">
        <v>36136.799999999996</v>
      </c>
      <c r="AZ83" s="106">
        <v>4</v>
      </c>
      <c r="BA83" s="106">
        <v>3441.6</v>
      </c>
      <c r="BB83" s="106">
        <v>3</v>
      </c>
      <c r="BC83" s="106">
        <v>2581.1999999999998</v>
      </c>
      <c r="BD83" s="106">
        <v>2</v>
      </c>
      <c r="BE83" s="106">
        <v>1720.8</v>
      </c>
      <c r="BF83" s="106">
        <v>3</v>
      </c>
      <c r="BG83" s="106">
        <v>2581.1999999999998</v>
      </c>
      <c r="BH83" s="106">
        <v>3</v>
      </c>
      <c r="BI83" s="106">
        <v>2581.1999999999998</v>
      </c>
      <c r="BJ83" s="106">
        <v>2</v>
      </c>
      <c r="BK83" s="106">
        <v>1720.8</v>
      </c>
      <c r="BL83" s="106">
        <v>4</v>
      </c>
      <c r="BM83" s="106">
        <v>3441.6</v>
      </c>
      <c r="BN83" s="106">
        <v>4</v>
      </c>
      <c r="BO83" s="106">
        <v>3441.6</v>
      </c>
      <c r="BP83" s="106">
        <v>4</v>
      </c>
      <c r="BQ83" s="106">
        <v>3441.6</v>
      </c>
      <c r="BR83" s="106">
        <v>4</v>
      </c>
      <c r="BS83" s="106">
        <v>3441.6</v>
      </c>
      <c r="BT83" s="106">
        <v>3</v>
      </c>
      <c r="BU83" s="106">
        <v>2581.1999999999998</v>
      </c>
      <c r="BV83" s="106">
        <v>4</v>
      </c>
      <c r="BW83" s="106">
        <v>3441.6</v>
      </c>
      <c r="BX83" s="106">
        <v>19</v>
      </c>
      <c r="BY83" s="106">
        <v>16347.6</v>
      </c>
      <c r="BZ83" s="106">
        <v>25</v>
      </c>
      <c r="CA83" s="106">
        <v>21510</v>
      </c>
      <c r="CB83" s="106">
        <v>18</v>
      </c>
      <c r="CC83" s="106">
        <v>15487.199999999999</v>
      </c>
      <c r="CD83" s="106">
        <v>23</v>
      </c>
      <c r="CE83" s="106">
        <v>19789.2</v>
      </c>
      <c r="CF83" s="106">
        <v>3</v>
      </c>
      <c r="CG83" s="106">
        <v>2581.1999999999998</v>
      </c>
      <c r="CH83" s="106">
        <v>2</v>
      </c>
      <c r="CI83" s="106">
        <v>1720.8</v>
      </c>
      <c r="CJ83" s="106">
        <v>3</v>
      </c>
      <c r="CK83" s="106">
        <v>2581.1999999999998</v>
      </c>
      <c r="CL83" s="106">
        <v>3</v>
      </c>
      <c r="CM83" s="106">
        <v>2581.1999999999998</v>
      </c>
      <c r="CN83" s="106">
        <v>5</v>
      </c>
      <c r="CO83" s="106">
        <v>4302</v>
      </c>
      <c r="CP83" s="106">
        <v>6</v>
      </c>
      <c r="CQ83" s="106">
        <v>5162.3999999999996</v>
      </c>
      <c r="CR83" s="106">
        <v>3</v>
      </c>
      <c r="CS83" s="106">
        <v>2581.1999999999998</v>
      </c>
      <c r="CT83" s="106">
        <v>4</v>
      </c>
      <c r="CU83" s="106">
        <v>3441.6</v>
      </c>
    </row>
    <row r="84" spans="2:99" x14ac:dyDescent="0.2">
      <c r="C84" s="105" t="s">
        <v>251</v>
      </c>
      <c r="D84" s="106">
        <v>20</v>
      </c>
      <c r="E84" s="106">
        <v>15623.999999999998</v>
      </c>
      <c r="F84" s="106">
        <v>25</v>
      </c>
      <c r="G84" s="106">
        <v>19530</v>
      </c>
      <c r="H84" s="106">
        <v>20</v>
      </c>
      <c r="I84" s="106">
        <v>15623.999999999998</v>
      </c>
      <c r="J84" s="106">
        <v>18</v>
      </c>
      <c r="K84" s="106">
        <v>14061.599999999999</v>
      </c>
      <c r="L84" s="106">
        <v>24</v>
      </c>
      <c r="M84" s="106">
        <v>18748.8</v>
      </c>
      <c r="N84" s="106">
        <v>29</v>
      </c>
      <c r="O84" s="106">
        <v>22654.799999999999</v>
      </c>
      <c r="P84" s="106">
        <v>27</v>
      </c>
      <c r="Q84" s="106">
        <v>21092.399999999998</v>
      </c>
      <c r="R84" s="106">
        <v>26</v>
      </c>
      <c r="S84" s="106">
        <v>20311.199999999997</v>
      </c>
      <c r="T84" s="106">
        <v>14</v>
      </c>
      <c r="U84" s="106">
        <v>10936.8</v>
      </c>
      <c r="V84" s="106">
        <v>12</v>
      </c>
      <c r="W84" s="106">
        <v>9374.4</v>
      </c>
      <c r="X84" s="106">
        <v>10</v>
      </c>
      <c r="Y84" s="106">
        <v>7811.9999999999991</v>
      </c>
      <c r="Z84" s="106">
        <v>17</v>
      </c>
      <c r="AA84" s="106">
        <v>13280.4</v>
      </c>
      <c r="AB84" s="106">
        <v>6</v>
      </c>
      <c r="AC84" s="106">
        <v>4687.2</v>
      </c>
      <c r="AD84" s="106">
        <v>12</v>
      </c>
      <c r="AE84" s="106">
        <v>9374.4</v>
      </c>
      <c r="AF84" s="106">
        <v>12</v>
      </c>
      <c r="AG84" s="106">
        <v>9374.4</v>
      </c>
      <c r="AH84" s="106">
        <v>12</v>
      </c>
      <c r="AI84" s="106">
        <v>9374.4</v>
      </c>
      <c r="AJ84" s="106">
        <v>26</v>
      </c>
      <c r="AK84" s="106">
        <v>20311.199999999997</v>
      </c>
      <c r="AL84" s="106">
        <v>25</v>
      </c>
      <c r="AM84" s="106">
        <v>19530</v>
      </c>
      <c r="AN84" s="106">
        <v>19</v>
      </c>
      <c r="AO84" s="106">
        <v>14842.8</v>
      </c>
      <c r="AP84" s="106">
        <v>25</v>
      </c>
      <c r="AQ84" s="106">
        <v>19530</v>
      </c>
      <c r="AR84" s="106">
        <v>41</v>
      </c>
      <c r="AS84" s="106">
        <v>32029.199999999997</v>
      </c>
      <c r="AT84" s="106">
        <v>30</v>
      </c>
      <c r="AU84" s="106">
        <v>23435.999999999996</v>
      </c>
      <c r="AV84" s="106">
        <v>21</v>
      </c>
      <c r="AW84" s="106">
        <v>16405.199999999997</v>
      </c>
      <c r="AX84" s="106">
        <v>40</v>
      </c>
      <c r="AY84" s="106">
        <v>31247.999999999996</v>
      </c>
      <c r="AZ84" s="106">
        <v>3</v>
      </c>
      <c r="BA84" s="106">
        <v>2343.6</v>
      </c>
      <c r="BB84" s="106">
        <v>4</v>
      </c>
      <c r="BC84" s="106">
        <v>3124.7999999999997</v>
      </c>
      <c r="BD84" s="106">
        <v>2</v>
      </c>
      <c r="BE84" s="106">
        <v>1562.3999999999999</v>
      </c>
      <c r="BF84" s="106">
        <v>3</v>
      </c>
      <c r="BG84" s="106">
        <v>2343.6</v>
      </c>
      <c r="BH84" s="106">
        <v>3</v>
      </c>
      <c r="BI84" s="106">
        <v>2343.6</v>
      </c>
      <c r="BJ84" s="106">
        <v>3</v>
      </c>
      <c r="BK84" s="106">
        <v>2343.6</v>
      </c>
      <c r="BL84" s="106">
        <v>4</v>
      </c>
      <c r="BM84" s="106">
        <v>3124.7999999999997</v>
      </c>
      <c r="BN84" s="106">
        <v>3</v>
      </c>
      <c r="BO84" s="106">
        <v>2343.6</v>
      </c>
      <c r="BP84" s="106">
        <v>3</v>
      </c>
      <c r="BQ84" s="106">
        <v>2343.6</v>
      </c>
      <c r="BR84" s="106">
        <v>3</v>
      </c>
      <c r="BS84" s="106">
        <v>2343.6</v>
      </c>
      <c r="BT84" s="106">
        <v>3</v>
      </c>
      <c r="BU84" s="106">
        <v>2343.6</v>
      </c>
      <c r="BV84" s="106">
        <v>5</v>
      </c>
      <c r="BW84" s="106">
        <v>3905.9999999999995</v>
      </c>
      <c r="BX84" s="106">
        <v>19</v>
      </c>
      <c r="BY84" s="106">
        <v>14842.8</v>
      </c>
      <c r="BZ84" s="106">
        <v>25</v>
      </c>
      <c r="CA84" s="106">
        <v>19530</v>
      </c>
      <c r="CB84" s="106">
        <v>17</v>
      </c>
      <c r="CC84" s="106">
        <v>13280.4</v>
      </c>
      <c r="CD84" s="106">
        <v>22</v>
      </c>
      <c r="CE84" s="106">
        <v>17186.399999999998</v>
      </c>
      <c r="CF84" s="106">
        <v>4</v>
      </c>
      <c r="CG84" s="106">
        <v>3124.7999999999997</v>
      </c>
      <c r="CH84" s="106">
        <v>3</v>
      </c>
      <c r="CI84" s="106">
        <v>2343.6</v>
      </c>
      <c r="CJ84" s="106">
        <v>2</v>
      </c>
      <c r="CK84" s="106">
        <v>1562.3999999999999</v>
      </c>
      <c r="CL84" s="106">
        <v>3</v>
      </c>
      <c r="CM84" s="106">
        <v>2343.6</v>
      </c>
      <c r="CN84" s="106">
        <v>5</v>
      </c>
      <c r="CO84" s="106">
        <v>3905.9999999999995</v>
      </c>
      <c r="CP84" s="106">
        <v>5</v>
      </c>
      <c r="CQ84" s="106">
        <v>3905.9999999999995</v>
      </c>
      <c r="CR84" s="106">
        <v>3</v>
      </c>
      <c r="CS84" s="106">
        <v>2343.6</v>
      </c>
      <c r="CT84" s="106">
        <v>4</v>
      </c>
      <c r="CU84" s="106">
        <v>3124.7999999999997</v>
      </c>
    </row>
    <row r="85" spans="2:99" x14ac:dyDescent="0.2">
      <c r="C85" s="105" t="s">
        <v>252</v>
      </c>
      <c r="D85" s="106">
        <v>24</v>
      </c>
      <c r="E85" s="106">
        <v>3600</v>
      </c>
      <c r="F85" s="106">
        <v>31</v>
      </c>
      <c r="G85" s="106">
        <v>4650</v>
      </c>
      <c r="H85" s="106">
        <v>25</v>
      </c>
      <c r="I85" s="106">
        <v>3750</v>
      </c>
      <c r="J85" s="106">
        <v>22</v>
      </c>
      <c r="K85" s="106">
        <v>3300</v>
      </c>
      <c r="L85" s="106">
        <v>28</v>
      </c>
      <c r="M85" s="106">
        <v>4200</v>
      </c>
      <c r="N85" s="106">
        <v>28</v>
      </c>
      <c r="O85" s="106">
        <v>4200</v>
      </c>
      <c r="P85" s="106">
        <v>31</v>
      </c>
      <c r="Q85" s="106">
        <v>4650</v>
      </c>
      <c r="R85" s="106">
        <v>32</v>
      </c>
      <c r="S85" s="106">
        <v>4800</v>
      </c>
      <c r="T85" s="106">
        <v>14</v>
      </c>
      <c r="U85" s="106">
        <v>2100</v>
      </c>
      <c r="V85" s="106">
        <v>12</v>
      </c>
      <c r="W85" s="106">
        <v>1800</v>
      </c>
      <c r="X85" s="106">
        <v>11</v>
      </c>
      <c r="Y85" s="106">
        <v>1650</v>
      </c>
      <c r="Z85" s="106">
        <v>17</v>
      </c>
      <c r="AA85" s="106">
        <v>2550</v>
      </c>
      <c r="AB85" s="106">
        <v>7</v>
      </c>
      <c r="AC85" s="106">
        <v>1050</v>
      </c>
      <c r="AD85" s="106">
        <v>12</v>
      </c>
      <c r="AE85" s="106">
        <v>1800</v>
      </c>
      <c r="AF85" s="106">
        <v>15</v>
      </c>
      <c r="AG85" s="106">
        <v>2250</v>
      </c>
      <c r="AH85" s="106">
        <v>13</v>
      </c>
      <c r="AI85" s="106">
        <v>1950</v>
      </c>
      <c r="AJ85" s="106">
        <v>29</v>
      </c>
      <c r="AK85" s="106">
        <v>4350</v>
      </c>
      <c r="AL85" s="106">
        <v>28</v>
      </c>
      <c r="AM85" s="106">
        <v>4200</v>
      </c>
      <c r="AN85" s="106">
        <v>22</v>
      </c>
      <c r="AO85" s="106">
        <v>3300</v>
      </c>
      <c r="AP85" s="106">
        <v>28</v>
      </c>
      <c r="AQ85" s="106">
        <v>4200</v>
      </c>
      <c r="AR85" s="106">
        <v>44</v>
      </c>
      <c r="AS85" s="106">
        <v>6600</v>
      </c>
      <c r="AT85" s="106">
        <v>39</v>
      </c>
      <c r="AU85" s="106">
        <v>5850</v>
      </c>
      <c r="AV85" s="106">
        <v>26</v>
      </c>
      <c r="AW85" s="106">
        <v>3900</v>
      </c>
      <c r="AX85" s="106">
        <v>44</v>
      </c>
      <c r="AY85" s="106">
        <v>6600</v>
      </c>
      <c r="AZ85" s="106">
        <v>4</v>
      </c>
      <c r="BA85" s="106">
        <v>600</v>
      </c>
      <c r="BB85" s="106">
        <v>4</v>
      </c>
      <c r="BC85" s="106">
        <v>600</v>
      </c>
      <c r="BD85" s="106">
        <v>2</v>
      </c>
      <c r="BE85" s="106">
        <v>300</v>
      </c>
      <c r="BF85" s="106">
        <v>3</v>
      </c>
      <c r="BG85" s="106">
        <v>450</v>
      </c>
      <c r="BH85" s="106">
        <v>3</v>
      </c>
      <c r="BI85" s="106">
        <v>450</v>
      </c>
      <c r="BJ85" s="106">
        <v>3</v>
      </c>
      <c r="BK85" s="106">
        <v>450</v>
      </c>
      <c r="BL85" s="106">
        <v>3</v>
      </c>
      <c r="BM85" s="106">
        <v>450</v>
      </c>
      <c r="BN85" s="106">
        <v>4</v>
      </c>
      <c r="BO85" s="106">
        <v>600</v>
      </c>
      <c r="BP85" s="106">
        <v>4</v>
      </c>
      <c r="BQ85" s="106">
        <v>600</v>
      </c>
      <c r="BR85" s="106">
        <v>4</v>
      </c>
      <c r="BS85" s="106">
        <v>600</v>
      </c>
      <c r="BT85" s="106">
        <v>4</v>
      </c>
      <c r="BU85" s="106">
        <v>600</v>
      </c>
      <c r="BV85" s="106">
        <v>5</v>
      </c>
      <c r="BW85" s="106">
        <v>750</v>
      </c>
      <c r="BX85" s="106">
        <v>21</v>
      </c>
      <c r="BY85" s="106">
        <v>3150</v>
      </c>
      <c r="BZ85" s="106">
        <v>32</v>
      </c>
      <c r="CA85" s="106">
        <v>4800</v>
      </c>
      <c r="CB85" s="106">
        <v>19</v>
      </c>
      <c r="CC85" s="106">
        <v>2850</v>
      </c>
      <c r="CD85" s="106">
        <v>25</v>
      </c>
      <c r="CE85" s="106">
        <v>3750</v>
      </c>
      <c r="CF85" s="106">
        <v>4</v>
      </c>
      <c r="CG85" s="106">
        <v>600</v>
      </c>
      <c r="CH85" s="106">
        <v>3</v>
      </c>
      <c r="CI85" s="106">
        <v>450</v>
      </c>
      <c r="CJ85" s="106">
        <v>3</v>
      </c>
      <c r="CK85" s="106">
        <v>450</v>
      </c>
      <c r="CL85" s="106">
        <v>3</v>
      </c>
      <c r="CM85" s="106">
        <v>450</v>
      </c>
      <c r="CN85" s="106">
        <v>5</v>
      </c>
      <c r="CO85" s="106">
        <v>750</v>
      </c>
      <c r="CP85" s="106">
        <v>6</v>
      </c>
      <c r="CQ85" s="106">
        <v>900</v>
      </c>
      <c r="CR85" s="106">
        <v>4</v>
      </c>
      <c r="CS85" s="106">
        <v>600</v>
      </c>
      <c r="CT85" s="106">
        <v>5</v>
      </c>
      <c r="CU85" s="106">
        <v>750</v>
      </c>
    </row>
    <row r="86" spans="2:99" x14ac:dyDescent="0.2">
      <c r="C86" s="105" t="s">
        <v>253</v>
      </c>
      <c r="D86" s="106">
        <v>24</v>
      </c>
      <c r="E86" s="106">
        <v>12960</v>
      </c>
      <c r="F86" s="106">
        <v>29</v>
      </c>
      <c r="G86" s="106">
        <v>15660</v>
      </c>
      <c r="H86" s="106">
        <v>22</v>
      </c>
      <c r="I86" s="106">
        <v>11880</v>
      </c>
      <c r="J86" s="106">
        <v>22</v>
      </c>
      <c r="K86" s="106">
        <v>11880</v>
      </c>
      <c r="L86" s="106">
        <v>25</v>
      </c>
      <c r="M86" s="106">
        <v>13500</v>
      </c>
      <c r="N86" s="106">
        <v>26</v>
      </c>
      <c r="O86" s="106">
        <v>14040</v>
      </c>
      <c r="P86" s="106">
        <v>30</v>
      </c>
      <c r="Q86" s="106">
        <v>16200</v>
      </c>
      <c r="R86" s="106">
        <v>28</v>
      </c>
      <c r="S86" s="106">
        <v>15120</v>
      </c>
      <c r="T86" s="106">
        <v>13</v>
      </c>
      <c r="U86" s="106">
        <v>7020</v>
      </c>
      <c r="V86" s="106">
        <v>12</v>
      </c>
      <c r="W86" s="106">
        <v>6480</v>
      </c>
      <c r="X86" s="106">
        <v>10</v>
      </c>
      <c r="Y86" s="106">
        <v>5400</v>
      </c>
      <c r="Z86" s="106">
        <v>16</v>
      </c>
      <c r="AA86" s="106">
        <v>8640</v>
      </c>
      <c r="AB86" s="106">
        <v>7</v>
      </c>
      <c r="AC86" s="106">
        <v>3780</v>
      </c>
      <c r="AD86" s="106">
        <v>11</v>
      </c>
      <c r="AE86" s="106">
        <v>5940</v>
      </c>
      <c r="AF86" s="106">
        <v>13</v>
      </c>
      <c r="AG86" s="106">
        <v>7020</v>
      </c>
      <c r="AH86" s="106">
        <v>12</v>
      </c>
      <c r="AI86" s="106">
        <v>6480</v>
      </c>
      <c r="AJ86" s="106">
        <v>26</v>
      </c>
      <c r="AK86" s="106">
        <v>14040</v>
      </c>
      <c r="AL86" s="106">
        <v>27</v>
      </c>
      <c r="AM86" s="106">
        <v>14580</v>
      </c>
      <c r="AN86" s="106">
        <v>24</v>
      </c>
      <c r="AO86" s="106">
        <v>12960</v>
      </c>
      <c r="AP86" s="106">
        <v>28</v>
      </c>
      <c r="AQ86" s="106">
        <v>15120</v>
      </c>
      <c r="AR86" s="106">
        <v>44</v>
      </c>
      <c r="AS86" s="106">
        <v>23760</v>
      </c>
      <c r="AT86" s="106">
        <v>36</v>
      </c>
      <c r="AU86" s="106">
        <v>19440</v>
      </c>
      <c r="AV86" s="106">
        <v>21</v>
      </c>
      <c r="AW86" s="106">
        <v>11340</v>
      </c>
      <c r="AX86" s="106">
        <v>42</v>
      </c>
      <c r="AY86" s="106">
        <v>22680</v>
      </c>
      <c r="AZ86" s="106">
        <v>4</v>
      </c>
      <c r="BA86" s="106">
        <v>2160</v>
      </c>
      <c r="BB86" s="106">
        <v>4</v>
      </c>
      <c r="BC86" s="106">
        <v>2160</v>
      </c>
      <c r="BD86" s="106">
        <v>2</v>
      </c>
      <c r="BE86" s="106">
        <v>1080</v>
      </c>
      <c r="BF86" s="106">
        <v>3</v>
      </c>
      <c r="BG86" s="106">
        <v>1620</v>
      </c>
      <c r="BH86" s="106">
        <v>3</v>
      </c>
      <c r="BI86" s="106">
        <v>1620</v>
      </c>
      <c r="BJ86" s="106">
        <v>2</v>
      </c>
      <c r="BK86" s="106">
        <v>1080</v>
      </c>
      <c r="BL86" s="106">
        <v>3</v>
      </c>
      <c r="BM86" s="106">
        <v>1620</v>
      </c>
      <c r="BN86" s="106">
        <v>4</v>
      </c>
      <c r="BO86" s="106">
        <v>2160</v>
      </c>
      <c r="BP86" s="106">
        <v>4</v>
      </c>
      <c r="BQ86" s="106">
        <v>2160</v>
      </c>
      <c r="BR86" s="106">
        <v>3</v>
      </c>
      <c r="BS86" s="106">
        <v>1620</v>
      </c>
      <c r="BT86" s="106">
        <v>3</v>
      </c>
      <c r="BU86" s="106">
        <v>1620</v>
      </c>
      <c r="BV86" s="106">
        <v>4</v>
      </c>
      <c r="BW86" s="106">
        <v>2160</v>
      </c>
      <c r="BX86" s="106">
        <v>21</v>
      </c>
      <c r="BY86" s="106">
        <v>11340</v>
      </c>
      <c r="BZ86" s="106">
        <v>27</v>
      </c>
      <c r="CA86" s="106">
        <v>14580</v>
      </c>
      <c r="CB86" s="106">
        <v>20</v>
      </c>
      <c r="CC86" s="106">
        <v>10800</v>
      </c>
      <c r="CD86" s="106">
        <v>24</v>
      </c>
      <c r="CE86" s="106">
        <v>12960</v>
      </c>
      <c r="CF86" s="106">
        <v>4</v>
      </c>
      <c r="CG86" s="106">
        <v>2160</v>
      </c>
      <c r="CH86" s="106">
        <v>2</v>
      </c>
      <c r="CI86" s="106">
        <v>1080</v>
      </c>
      <c r="CJ86" s="106">
        <v>2</v>
      </c>
      <c r="CK86" s="106">
        <v>1080</v>
      </c>
      <c r="CL86" s="106">
        <v>4</v>
      </c>
      <c r="CM86" s="106">
        <v>2160</v>
      </c>
      <c r="CN86" s="106">
        <v>5</v>
      </c>
      <c r="CO86" s="106">
        <v>2700</v>
      </c>
      <c r="CP86" s="106">
        <v>6</v>
      </c>
      <c r="CQ86" s="106">
        <v>3240</v>
      </c>
      <c r="CR86" s="106">
        <v>3</v>
      </c>
      <c r="CS86" s="106">
        <v>1620</v>
      </c>
      <c r="CT86" s="106">
        <v>4</v>
      </c>
      <c r="CU86" s="106">
        <v>2160</v>
      </c>
    </row>
    <row r="87" spans="2:99" x14ac:dyDescent="0.2">
      <c r="B87" s="105" t="s">
        <v>131</v>
      </c>
      <c r="C87" s="105" t="s">
        <v>254</v>
      </c>
      <c r="D87" s="106">
        <v>4</v>
      </c>
      <c r="E87" s="106">
        <v>7819.2</v>
      </c>
      <c r="F87" s="106">
        <v>5</v>
      </c>
      <c r="G87" s="106">
        <v>9774</v>
      </c>
      <c r="H87" s="106">
        <v>3</v>
      </c>
      <c r="I87" s="106">
        <v>5864.4</v>
      </c>
      <c r="J87" s="106">
        <v>3</v>
      </c>
      <c r="K87" s="106">
        <v>5864.4</v>
      </c>
      <c r="L87" s="106">
        <v>10</v>
      </c>
      <c r="M87" s="106">
        <v>19548</v>
      </c>
      <c r="N87" s="106">
        <v>5</v>
      </c>
      <c r="O87" s="106">
        <v>9774</v>
      </c>
      <c r="P87" s="106">
        <v>6</v>
      </c>
      <c r="Q87" s="106">
        <v>11728.8</v>
      </c>
      <c r="R87" s="106">
        <v>8</v>
      </c>
      <c r="S87" s="106">
        <v>15638.4</v>
      </c>
      <c r="T87" s="106">
        <v>7</v>
      </c>
      <c r="U87" s="106">
        <v>13683.6</v>
      </c>
      <c r="V87" s="106">
        <v>8</v>
      </c>
      <c r="W87" s="106">
        <v>15638.4</v>
      </c>
      <c r="X87" s="106">
        <v>6</v>
      </c>
      <c r="Y87" s="106">
        <v>11728.8</v>
      </c>
      <c r="Z87" s="106">
        <v>4</v>
      </c>
      <c r="AA87" s="106">
        <v>7819.2</v>
      </c>
      <c r="AB87" s="106">
        <v>12</v>
      </c>
      <c r="AC87" s="106">
        <v>23457.599999999999</v>
      </c>
      <c r="AD87" s="106">
        <v>10</v>
      </c>
      <c r="AE87" s="106">
        <v>19548</v>
      </c>
      <c r="AF87" s="106">
        <v>16</v>
      </c>
      <c r="AG87" s="106">
        <v>31276.799999999999</v>
      </c>
      <c r="AH87" s="106">
        <v>15</v>
      </c>
      <c r="AI87" s="106">
        <v>29322</v>
      </c>
      <c r="AJ87" s="106">
        <v>11</v>
      </c>
      <c r="AK87" s="106">
        <v>21502.799999999999</v>
      </c>
      <c r="AL87" s="106">
        <v>7</v>
      </c>
      <c r="AM87" s="106">
        <v>13683.6</v>
      </c>
      <c r="AN87" s="106">
        <v>14</v>
      </c>
      <c r="AO87" s="106">
        <v>27367.200000000001</v>
      </c>
      <c r="AP87" s="106">
        <v>12</v>
      </c>
      <c r="AQ87" s="106">
        <v>23457.599999999999</v>
      </c>
      <c r="AR87" s="106">
        <v>19</v>
      </c>
      <c r="AS87" s="106">
        <v>37141.199999999997</v>
      </c>
      <c r="AT87" s="106">
        <v>14</v>
      </c>
      <c r="AU87" s="106">
        <v>27367.200000000001</v>
      </c>
      <c r="AV87" s="106">
        <v>16</v>
      </c>
      <c r="AW87" s="106">
        <v>31276.799999999999</v>
      </c>
      <c r="AX87" s="106">
        <v>22</v>
      </c>
      <c r="AY87" s="106">
        <v>43005.599999999999</v>
      </c>
      <c r="AZ87" s="106">
        <v>3</v>
      </c>
      <c r="BA87" s="106">
        <v>5864.4</v>
      </c>
      <c r="BB87" s="106">
        <v>5</v>
      </c>
      <c r="BC87" s="106">
        <v>9774</v>
      </c>
      <c r="BD87" s="106">
        <v>3</v>
      </c>
      <c r="BE87" s="106">
        <v>5864.4</v>
      </c>
      <c r="BF87" s="106">
        <v>4</v>
      </c>
      <c r="BG87" s="106">
        <v>7819.2</v>
      </c>
      <c r="BH87" s="106">
        <v>9</v>
      </c>
      <c r="BI87" s="106">
        <v>17593.2</v>
      </c>
      <c r="BJ87" s="106">
        <v>8</v>
      </c>
      <c r="BK87" s="106">
        <v>15638.4</v>
      </c>
      <c r="BL87" s="106">
        <v>11</v>
      </c>
      <c r="BM87" s="106">
        <v>21502.799999999999</v>
      </c>
      <c r="BN87" s="106">
        <v>9</v>
      </c>
      <c r="BO87" s="106">
        <v>17593.2</v>
      </c>
      <c r="BP87" s="106">
        <v>16</v>
      </c>
      <c r="BQ87" s="106">
        <v>31276.799999999999</v>
      </c>
      <c r="BR87" s="106">
        <v>21</v>
      </c>
      <c r="BS87" s="106">
        <v>41050.799999999996</v>
      </c>
      <c r="BT87" s="106">
        <v>20</v>
      </c>
      <c r="BU87" s="106">
        <v>39096</v>
      </c>
      <c r="BV87" s="106">
        <v>19</v>
      </c>
      <c r="BW87" s="106">
        <v>37141.199999999997</v>
      </c>
      <c r="BX87" s="106">
        <v>11</v>
      </c>
      <c r="BY87" s="106">
        <v>21502.799999999999</v>
      </c>
      <c r="BZ87" s="106">
        <v>9</v>
      </c>
      <c r="CA87" s="106">
        <v>17593.2</v>
      </c>
      <c r="CB87" s="106">
        <v>10</v>
      </c>
      <c r="CC87" s="106">
        <v>19548</v>
      </c>
      <c r="CD87" s="106">
        <v>10</v>
      </c>
      <c r="CE87" s="106">
        <v>19548</v>
      </c>
      <c r="CF87" s="106">
        <v>5</v>
      </c>
      <c r="CG87" s="106">
        <v>9774</v>
      </c>
      <c r="CH87" s="106">
        <v>4</v>
      </c>
      <c r="CI87" s="106">
        <v>7819.2</v>
      </c>
      <c r="CJ87" s="106">
        <v>4</v>
      </c>
      <c r="CK87" s="106">
        <v>7819.2</v>
      </c>
      <c r="CL87" s="106">
        <v>3</v>
      </c>
      <c r="CM87" s="106">
        <v>5864.4</v>
      </c>
      <c r="CN87" s="106">
        <v>3</v>
      </c>
      <c r="CO87" s="106">
        <v>5864.4</v>
      </c>
      <c r="CP87" s="106">
        <v>3</v>
      </c>
      <c r="CQ87" s="106">
        <v>5864.4</v>
      </c>
      <c r="CR87" s="106">
        <v>2</v>
      </c>
      <c r="CS87" s="106">
        <v>3909.6</v>
      </c>
      <c r="CT87" s="106">
        <v>4</v>
      </c>
      <c r="CU87" s="106">
        <v>7819.2</v>
      </c>
    </row>
    <row r="88" spans="2:99" x14ac:dyDescent="0.2">
      <c r="C88" s="105" t="s">
        <v>255</v>
      </c>
      <c r="D88" s="106">
        <v>4</v>
      </c>
      <c r="E88" s="106">
        <v>7569.5999999999995</v>
      </c>
      <c r="F88" s="106">
        <v>4</v>
      </c>
      <c r="G88" s="106">
        <v>7569.5999999999995</v>
      </c>
      <c r="H88" s="106">
        <v>3</v>
      </c>
      <c r="I88" s="106">
        <v>5677.2</v>
      </c>
      <c r="J88" s="106">
        <v>3</v>
      </c>
      <c r="K88" s="106">
        <v>5677.2</v>
      </c>
      <c r="L88" s="106">
        <v>9</v>
      </c>
      <c r="M88" s="106">
        <v>17031.599999999999</v>
      </c>
      <c r="N88" s="106">
        <v>5</v>
      </c>
      <c r="O88" s="106">
        <v>9462</v>
      </c>
      <c r="P88" s="106">
        <v>5</v>
      </c>
      <c r="Q88" s="106">
        <v>9462</v>
      </c>
      <c r="R88" s="106">
        <v>8</v>
      </c>
      <c r="S88" s="106">
        <v>15139.199999999999</v>
      </c>
      <c r="T88" s="106">
        <v>8</v>
      </c>
      <c r="U88" s="106">
        <v>15139.199999999999</v>
      </c>
      <c r="V88" s="106">
        <v>9</v>
      </c>
      <c r="W88" s="106">
        <v>17031.599999999999</v>
      </c>
      <c r="X88" s="106">
        <v>7</v>
      </c>
      <c r="Y88" s="106">
        <v>13246.8</v>
      </c>
      <c r="Z88" s="106">
        <v>5</v>
      </c>
      <c r="AA88" s="106">
        <v>9462</v>
      </c>
      <c r="AB88" s="106">
        <v>11</v>
      </c>
      <c r="AC88" s="106">
        <v>20816.399999999998</v>
      </c>
      <c r="AD88" s="106">
        <v>8</v>
      </c>
      <c r="AE88" s="106">
        <v>15139.199999999999</v>
      </c>
      <c r="AF88" s="106">
        <v>14</v>
      </c>
      <c r="AG88" s="106">
        <v>26493.599999999999</v>
      </c>
      <c r="AH88" s="106">
        <v>15</v>
      </c>
      <c r="AI88" s="106">
        <v>28385.999999999996</v>
      </c>
      <c r="AJ88" s="106">
        <v>11</v>
      </c>
      <c r="AK88" s="106">
        <v>20816.399999999998</v>
      </c>
      <c r="AL88" s="106">
        <v>6</v>
      </c>
      <c r="AM88" s="106">
        <v>11354.4</v>
      </c>
      <c r="AN88" s="106">
        <v>12</v>
      </c>
      <c r="AO88" s="106">
        <v>22708.799999999999</v>
      </c>
      <c r="AP88" s="106">
        <v>12</v>
      </c>
      <c r="AQ88" s="106">
        <v>22708.799999999999</v>
      </c>
      <c r="AR88" s="106">
        <v>22</v>
      </c>
      <c r="AS88" s="106">
        <v>41632.799999999996</v>
      </c>
      <c r="AT88" s="106">
        <v>15</v>
      </c>
      <c r="AU88" s="106">
        <v>28385.999999999996</v>
      </c>
      <c r="AV88" s="106">
        <v>15</v>
      </c>
      <c r="AW88" s="106">
        <v>28385.999999999996</v>
      </c>
      <c r="AX88" s="106">
        <v>23</v>
      </c>
      <c r="AY88" s="106">
        <v>43525.2</v>
      </c>
      <c r="AZ88" s="106">
        <v>3</v>
      </c>
      <c r="BA88" s="106">
        <v>5677.2</v>
      </c>
      <c r="BB88" s="106">
        <v>5</v>
      </c>
      <c r="BC88" s="106">
        <v>9462</v>
      </c>
      <c r="BD88" s="106">
        <v>3</v>
      </c>
      <c r="BE88" s="106">
        <v>5677.2</v>
      </c>
      <c r="BF88" s="106">
        <v>5</v>
      </c>
      <c r="BG88" s="106">
        <v>9462</v>
      </c>
      <c r="BH88" s="106">
        <v>7</v>
      </c>
      <c r="BI88" s="106">
        <v>13246.8</v>
      </c>
      <c r="BJ88" s="106">
        <v>8</v>
      </c>
      <c r="BK88" s="106">
        <v>15139.199999999999</v>
      </c>
      <c r="BL88" s="106">
        <v>11</v>
      </c>
      <c r="BM88" s="106">
        <v>20816.399999999998</v>
      </c>
      <c r="BN88" s="106">
        <v>10</v>
      </c>
      <c r="BO88" s="106">
        <v>18924</v>
      </c>
      <c r="BP88" s="106">
        <v>16</v>
      </c>
      <c r="BQ88" s="106">
        <v>30278.399999999998</v>
      </c>
      <c r="BR88" s="106">
        <v>19</v>
      </c>
      <c r="BS88" s="106">
        <v>35955.599999999999</v>
      </c>
      <c r="BT88" s="106">
        <v>19</v>
      </c>
      <c r="BU88" s="106">
        <v>35955.599999999999</v>
      </c>
      <c r="BV88" s="106">
        <v>18</v>
      </c>
      <c r="BW88" s="106">
        <v>34063.199999999997</v>
      </c>
      <c r="BX88" s="106">
        <v>10</v>
      </c>
      <c r="BY88" s="106">
        <v>18924</v>
      </c>
      <c r="BZ88" s="106">
        <v>9</v>
      </c>
      <c r="CA88" s="106">
        <v>17031.599999999999</v>
      </c>
      <c r="CB88" s="106">
        <v>9</v>
      </c>
      <c r="CC88" s="106">
        <v>17031.599999999999</v>
      </c>
      <c r="CD88" s="106">
        <v>11</v>
      </c>
      <c r="CE88" s="106">
        <v>20816.399999999998</v>
      </c>
      <c r="CF88" s="106">
        <v>5</v>
      </c>
      <c r="CG88" s="106">
        <v>9462</v>
      </c>
      <c r="CH88" s="106">
        <v>4</v>
      </c>
      <c r="CI88" s="106">
        <v>7569.5999999999995</v>
      </c>
      <c r="CJ88" s="106">
        <v>3</v>
      </c>
      <c r="CK88" s="106">
        <v>5677.2</v>
      </c>
      <c r="CL88" s="106">
        <v>3</v>
      </c>
      <c r="CM88" s="106">
        <v>5677.2</v>
      </c>
      <c r="CN88" s="106">
        <v>3</v>
      </c>
      <c r="CO88" s="106">
        <v>5677.2</v>
      </c>
      <c r="CP88" s="106">
        <v>3</v>
      </c>
      <c r="CQ88" s="106">
        <v>5677.2</v>
      </c>
      <c r="CR88" s="106">
        <v>3</v>
      </c>
      <c r="CS88" s="106">
        <v>5677.2</v>
      </c>
      <c r="CT88" s="106">
        <v>4</v>
      </c>
      <c r="CU88" s="106">
        <v>7569.5999999999995</v>
      </c>
    </row>
    <row r="89" spans="2:99" x14ac:dyDescent="0.2">
      <c r="C89" s="105" t="s">
        <v>256</v>
      </c>
      <c r="D89" s="106">
        <v>4</v>
      </c>
      <c r="E89" s="106">
        <v>9590.4</v>
      </c>
      <c r="F89" s="106">
        <v>5</v>
      </c>
      <c r="G89" s="106">
        <v>11988</v>
      </c>
      <c r="H89" s="106">
        <v>3</v>
      </c>
      <c r="I89" s="106">
        <v>7192.7999999999993</v>
      </c>
      <c r="J89" s="106">
        <v>3</v>
      </c>
      <c r="K89" s="106">
        <v>7192.7999999999993</v>
      </c>
      <c r="L89" s="106">
        <v>9</v>
      </c>
      <c r="M89" s="106">
        <v>21578.399999999998</v>
      </c>
      <c r="N89" s="106">
        <v>5</v>
      </c>
      <c r="O89" s="106">
        <v>11988</v>
      </c>
      <c r="P89" s="106">
        <v>5</v>
      </c>
      <c r="Q89" s="106">
        <v>11988</v>
      </c>
      <c r="R89" s="106">
        <v>8</v>
      </c>
      <c r="S89" s="106">
        <v>19180.8</v>
      </c>
      <c r="T89" s="106">
        <v>6</v>
      </c>
      <c r="U89" s="106">
        <v>14385.599999999999</v>
      </c>
      <c r="V89" s="106">
        <v>8</v>
      </c>
      <c r="W89" s="106">
        <v>19180.8</v>
      </c>
      <c r="X89" s="106">
        <v>5</v>
      </c>
      <c r="Y89" s="106">
        <v>11988</v>
      </c>
      <c r="Z89" s="106">
        <v>5</v>
      </c>
      <c r="AA89" s="106">
        <v>11988</v>
      </c>
      <c r="AB89" s="106">
        <v>12</v>
      </c>
      <c r="AC89" s="106">
        <v>28771.199999999997</v>
      </c>
      <c r="AD89" s="106">
        <v>8</v>
      </c>
      <c r="AE89" s="106">
        <v>19180.8</v>
      </c>
      <c r="AF89" s="106">
        <v>14</v>
      </c>
      <c r="AG89" s="106">
        <v>33566.400000000001</v>
      </c>
      <c r="AH89" s="106">
        <v>14</v>
      </c>
      <c r="AI89" s="106">
        <v>33566.400000000001</v>
      </c>
      <c r="AJ89" s="106">
        <v>11</v>
      </c>
      <c r="AK89" s="106">
        <v>26373.599999999999</v>
      </c>
      <c r="AL89" s="106">
        <v>6</v>
      </c>
      <c r="AM89" s="106">
        <v>14385.599999999999</v>
      </c>
      <c r="AN89" s="106">
        <v>14</v>
      </c>
      <c r="AO89" s="106">
        <v>33566.400000000001</v>
      </c>
      <c r="AP89" s="106">
        <v>11</v>
      </c>
      <c r="AQ89" s="106">
        <v>26373.599999999999</v>
      </c>
      <c r="AR89" s="106">
        <v>18</v>
      </c>
      <c r="AS89" s="106">
        <v>43156.799999999996</v>
      </c>
      <c r="AT89" s="106">
        <v>14</v>
      </c>
      <c r="AU89" s="106">
        <v>33566.400000000001</v>
      </c>
      <c r="AV89" s="106">
        <v>16</v>
      </c>
      <c r="AW89" s="106">
        <v>38361.599999999999</v>
      </c>
      <c r="AX89" s="106">
        <v>21</v>
      </c>
      <c r="AY89" s="106">
        <v>50349.599999999999</v>
      </c>
      <c r="AZ89" s="106">
        <v>3</v>
      </c>
      <c r="BA89" s="106">
        <v>7192.7999999999993</v>
      </c>
      <c r="BB89" s="106">
        <v>4</v>
      </c>
      <c r="BC89" s="106">
        <v>9590.4</v>
      </c>
      <c r="BD89" s="106">
        <v>3</v>
      </c>
      <c r="BE89" s="106">
        <v>7192.7999999999993</v>
      </c>
      <c r="BF89" s="106">
        <v>4</v>
      </c>
      <c r="BG89" s="106">
        <v>9590.4</v>
      </c>
      <c r="BH89" s="106">
        <v>7</v>
      </c>
      <c r="BI89" s="106">
        <v>16783.2</v>
      </c>
      <c r="BJ89" s="106">
        <v>8</v>
      </c>
      <c r="BK89" s="106">
        <v>19180.8</v>
      </c>
      <c r="BL89" s="106">
        <v>12</v>
      </c>
      <c r="BM89" s="106">
        <v>28771.199999999997</v>
      </c>
      <c r="BN89" s="106">
        <v>9</v>
      </c>
      <c r="BO89" s="106">
        <v>21578.399999999998</v>
      </c>
      <c r="BP89" s="106">
        <v>16</v>
      </c>
      <c r="BQ89" s="106">
        <v>38361.599999999999</v>
      </c>
      <c r="BR89" s="106">
        <v>18</v>
      </c>
      <c r="BS89" s="106">
        <v>43156.799999999996</v>
      </c>
      <c r="BT89" s="106">
        <v>22</v>
      </c>
      <c r="BU89" s="106">
        <v>52747.199999999997</v>
      </c>
      <c r="BV89" s="106">
        <v>17</v>
      </c>
      <c r="BW89" s="106">
        <v>40759.199999999997</v>
      </c>
      <c r="BX89" s="106">
        <v>10</v>
      </c>
      <c r="BY89" s="106">
        <v>23976</v>
      </c>
      <c r="BZ89" s="106">
        <v>8</v>
      </c>
      <c r="CA89" s="106">
        <v>19180.8</v>
      </c>
      <c r="CB89" s="106">
        <v>8</v>
      </c>
      <c r="CC89" s="106">
        <v>19180.8</v>
      </c>
      <c r="CD89" s="106">
        <v>10</v>
      </c>
      <c r="CE89" s="106">
        <v>23976</v>
      </c>
      <c r="CF89" s="106">
        <v>5</v>
      </c>
      <c r="CG89" s="106">
        <v>11988</v>
      </c>
      <c r="CH89" s="106">
        <v>4</v>
      </c>
      <c r="CI89" s="106">
        <v>9590.4</v>
      </c>
      <c r="CJ89" s="106">
        <v>4</v>
      </c>
      <c r="CK89" s="106">
        <v>9590.4</v>
      </c>
      <c r="CL89" s="106">
        <v>3</v>
      </c>
      <c r="CM89" s="106">
        <v>7192.7999999999993</v>
      </c>
      <c r="CN89" s="106">
        <v>3</v>
      </c>
      <c r="CO89" s="106">
        <v>7192.7999999999993</v>
      </c>
      <c r="CP89" s="106">
        <v>2</v>
      </c>
      <c r="CQ89" s="106">
        <v>4795.2</v>
      </c>
      <c r="CR89" s="106">
        <v>3</v>
      </c>
      <c r="CS89" s="106">
        <v>7192.7999999999993</v>
      </c>
      <c r="CT89" s="106">
        <v>4</v>
      </c>
      <c r="CU89" s="106">
        <v>9590.4</v>
      </c>
    </row>
    <row r="90" spans="2:99" x14ac:dyDescent="0.2">
      <c r="C90" s="105" t="s">
        <v>257</v>
      </c>
      <c r="D90" s="106">
        <v>4</v>
      </c>
      <c r="E90" s="106">
        <v>8788.7999999999993</v>
      </c>
      <c r="F90" s="106">
        <v>4</v>
      </c>
      <c r="G90" s="106">
        <v>8788.7999999999993</v>
      </c>
      <c r="H90" s="106">
        <v>3</v>
      </c>
      <c r="I90" s="106">
        <v>6591.5999999999995</v>
      </c>
      <c r="J90" s="106">
        <v>3</v>
      </c>
      <c r="K90" s="106">
        <v>6591.5999999999995</v>
      </c>
      <c r="L90" s="106">
        <v>8</v>
      </c>
      <c r="M90" s="106">
        <v>17577.599999999999</v>
      </c>
      <c r="N90" s="106">
        <v>5</v>
      </c>
      <c r="O90" s="106">
        <v>10986</v>
      </c>
      <c r="P90" s="106">
        <v>5</v>
      </c>
      <c r="Q90" s="106">
        <v>10986</v>
      </c>
      <c r="R90" s="106">
        <v>8</v>
      </c>
      <c r="S90" s="106">
        <v>17577.599999999999</v>
      </c>
      <c r="T90" s="106">
        <v>7</v>
      </c>
      <c r="U90" s="106">
        <v>15380.399999999998</v>
      </c>
      <c r="V90" s="106">
        <v>9</v>
      </c>
      <c r="W90" s="106">
        <v>19774.8</v>
      </c>
      <c r="X90" s="106">
        <v>6</v>
      </c>
      <c r="Y90" s="106">
        <v>13183.199999999999</v>
      </c>
      <c r="Z90" s="106">
        <v>4</v>
      </c>
      <c r="AA90" s="106">
        <v>8788.7999999999993</v>
      </c>
      <c r="AB90" s="106">
        <v>11</v>
      </c>
      <c r="AC90" s="106">
        <v>24169.199999999997</v>
      </c>
      <c r="AD90" s="106">
        <v>8</v>
      </c>
      <c r="AE90" s="106">
        <v>17577.599999999999</v>
      </c>
      <c r="AF90" s="106">
        <v>15</v>
      </c>
      <c r="AG90" s="106">
        <v>32958</v>
      </c>
      <c r="AH90" s="106">
        <v>15</v>
      </c>
      <c r="AI90" s="106">
        <v>32958</v>
      </c>
      <c r="AJ90" s="106">
        <v>11</v>
      </c>
      <c r="AK90" s="106">
        <v>24169.199999999997</v>
      </c>
      <c r="AL90" s="106">
        <v>6</v>
      </c>
      <c r="AM90" s="106">
        <v>13183.199999999999</v>
      </c>
      <c r="AN90" s="106">
        <v>13</v>
      </c>
      <c r="AO90" s="106">
        <v>28563.599999999999</v>
      </c>
      <c r="AP90" s="106">
        <v>12</v>
      </c>
      <c r="AQ90" s="106">
        <v>26366.399999999998</v>
      </c>
      <c r="AR90" s="106">
        <v>20</v>
      </c>
      <c r="AS90" s="106">
        <v>43944</v>
      </c>
      <c r="AT90" s="106">
        <v>15</v>
      </c>
      <c r="AU90" s="106">
        <v>32958</v>
      </c>
      <c r="AV90" s="106">
        <v>15</v>
      </c>
      <c r="AW90" s="106">
        <v>32958</v>
      </c>
      <c r="AX90" s="106">
        <v>25</v>
      </c>
      <c r="AY90" s="106">
        <v>54929.999999999993</v>
      </c>
      <c r="AZ90" s="106">
        <v>3</v>
      </c>
      <c r="BA90" s="106">
        <v>6591.5999999999995</v>
      </c>
      <c r="BB90" s="106">
        <v>4</v>
      </c>
      <c r="BC90" s="106">
        <v>8788.7999999999993</v>
      </c>
      <c r="BD90" s="106">
        <v>3</v>
      </c>
      <c r="BE90" s="106">
        <v>6591.5999999999995</v>
      </c>
      <c r="BF90" s="106">
        <v>4</v>
      </c>
      <c r="BG90" s="106">
        <v>8788.7999999999993</v>
      </c>
      <c r="BH90" s="106">
        <v>8</v>
      </c>
      <c r="BI90" s="106">
        <v>17577.599999999999</v>
      </c>
      <c r="BJ90" s="106">
        <v>8</v>
      </c>
      <c r="BK90" s="106">
        <v>17577.599999999999</v>
      </c>
      <c r="BL90" s="106">
        <v>12</v>
      </c>
      <c r="BM90" s="106">
        <v>26366.399999999998</v>
      </c>
      <c r="BN90" s="106">
        <v>10</v>
      </c>
      <c r="BO90" s="106">
        <v>21972</v>
      </c>
      <c r="BP90" s="106">
        <v>15</v>
      </c>
      <c r="BQ90" s="106">
        <v>32958</v>
      </c>
      <c r="BR90" s="106">
        <v>21</v>
      </c>
      <c r="BS90" s="106">
        <v>46141.2</v>
      </c>
      <c r="BT90" s="106">
        <v>21</v>
      </c>
      <c r="BU90" s="106">
        <v>46141.2</v>
      </c>
      <c r="BV90" s="106">
        <v>16</v>
      </c>
      <c r="BW90" s="106">
        <v>35155.199999999997</v>
      </c>
      <c r="BX90" s="106">
        <v>10</v>
      </c>
      <c r="BY90" s="106">
        <v>21972</v>
      </c>
      <c r="BZ90" s="106">
        <v>8</v>
      </c>
      <c r="CA90" s="106">
        <v>17577.599999999999</v>
      </c>
      <c r="CB90" s="106">
        <v>9</v>
      </c>
      <c r="CC90" s="106">
        <v>19774.8</v>
      </c>
      <c r="CD90" s="106">
        <v>10</v>
      </c>
      <c r="CE90" s="106">
        <v>21972</v>
      </c>
      <c r="CF90" s="106">
        <v>5</v>
      </c>
      <c r="CG90" s="106">
        <v>10986</v>
      </c>
      <c r="CH90" s="106">
        <v>4</v>
      </c>
      <c r="CI90" s="106">
        <v>8788.7999999999993</v>
      </c>
      <c r="CJ90" s="106">
        <v>4</v>
      </c>
      <c r="CK90" s="106">
        <v>8788.7999999999993</v>
      </c>
      <c r="CL90" s="106">
        <v>3</v>
      </c>
      <c r="CM90" s="106">
        <v>6591.5999999999995</v>
      </c>
      <c r="CN90" s="106">
        <v>3</v>
      </c>
      <c r="CO90" s="106">
        <v>6591.5999999999995</v>
      </c>
      <c r="CP90" s="106">
        <v>3</v>
      </c>
      <c r="CQ90" s="106">
        <v>6591.5999999999995</v>
      </c>
      <c r="CR90" s="106">
        <v>3</v>
      </c>
      <c r="CS90" s="106">
        <v>6591.5999999999995</v>
      </c>
      <c r="CT90" s="106">
        <v>4</v>
      </c>
      <c r="CU90" s="106">
        <v>8788.7999999999993</v>
      </c>
    </row>
    <row r="91" spans="2:99" x14ac:dyDescent="0.2">
      <c r="C91" s="105" t="s">
        <v>258</v>
      </c>
      <c r="D91" s="106">
        <v>4</v>
      </c>
      <c r="E91" s="106">
        <v>9187.1999999999989</v>
      </c>
      <c r="F91" s="106">
        <v>4</v>
      </c>
      <c r="G91" s="106">
        <v>9187.1999999999989</v>
      </c>
      <c r="H91" s="106">
        <v>3</v>
      </c>
      <c r="I91" s="106">
        <v>6890.4</v>
      </c>
      <c r="J91" s="106">
        <v>3</v>
      </c>
      <c r="K91" s="106">
        <v>6890.4</v>
      </c>
      <c r="L91" s="106">
        <v>8</v>
      </c>
      <c r="M91" s="106">
        <v>18374.399999999998</v>
      </c>
      <c r="N91" s="106">
        <v>5</v>
      </c>
      <c r="O91" s="106">
        <v>11483.999999999998</v>
      </c>
      <c r="P91" s="106">
        <v>5</v>
      </c>
      <c r="Q91" s="106">
        <v>11483.999999999998</v>
      </c>
      <c r="R91" s="106">
        <v>8</v>
      </c>
      <c r="S91" s="106">
        <v>18374.399999999998</v>
      </c>
      <c r="T91" s="106">
        <v>7</v>
      </c>
      <c r="U91" s="106">
        <v>16077.599999999999</v>
      </c>
      <c r="V91" s="106">
        <v>9</v>
      </c>
      <c r="W91" s="106">
        <v>20671.199999999997</v>
      </c>
      <c r="X91" s="106">
        <v>6</v>
      </c>
      <c r="Y91" s="106">
        <v>13780.8</v>
      </c>
      <c r="Z91" s="106">
        <v>4</v>
      </c>
      <c r="AA91" s="106">
        <v>9187.1999999999989</v>
      </c>
      <c r="AB91" s="106">
        <v>12</v>
      </c>
      <c r="AC91" s="106">
        <v>27561.599999999999</v>
      </c>
      <c r="AD91" s="106">
        <v>9</v>
      </c>
      <c r="AE91" s="106">
        <v>20671.199999999997</v>
      </c>
      <c r="AF91" s="106">
        <v>15</v>
      </c>
      <c r="AG91" s="106">
        <v>34451.999999999993</v>
      </c>
      <c r="AH91" s="106">
        <v>16</v>
      </c>
      <c r="AI91" s="106">
        <v>36748.799999999996</v>
      </c>
      <c r="AJ91" s="106">
        <v>10</v>
      </c>
      <c r="AK91" s="106">
        <v>22967.999999999996</v>
      </c>
      <c r="AL91" s="106">
        <v>6</v>
      </c>
      <c r="AM91" s="106">
        <v>13780.8</v>
      </c>
      <c r="AN91" s="106">
        <v>12</v>
      </c>
      <c r="AO91" s="106">
        <v>27561.599999999999</v>
      </c>
      <c r="AP91" s="106">
        <v>10</v>
      </c>
      <c r="AQ91" s="106">
        <v>22967.999999999996</v>
      </c>
      <c r="AR91" s="106">
        <v>18</v>
      </c>
      <c r="AS91" s="106">
        <v>41342.399999999994</v>
      </c>
      <c r="AT91" s="106">
        <v>14</v>
      </c>
      <c r="AU91" s="106">
        <v>32155.199999999997</v>
      </c>
      <c r="AV91" s="106">
        <v>17</v>
      </c>
      <c r="AW91" s="106">
        <v>39045.599999999999</v>
      </c>
      <c r="AX91" s="106">
        <v>23</v>
      </c>
      <c r="AY91" s="106">
        <v>52826.399999999994</v>
      </c>
      <c r="AZ91" s="106">
        <v>3</v>
      </c>
      <c r="BA91" s="106">
        <v>6890.4</v>
      </c>
      <c r="BB91" s="106">
        <v>5</v>
      </c>
      <c r="BC91" s="106">
        <v>11483.999999999998</v>
      </c>
      <c r="BD91" s="106">
        <v>3</v>
      </c>
      <c r="BE91" s="106">
        <v>6890.4</v>
      </c>
      <c r="BF91" s="106">
        <v>4</v>
      </c>
      <c r="BG91" s="106">
        <v>9187.1999999999989</v>
      </c>
      <c r="BH91" s="106">
        <v>8</v>
      </c>
      <c r="BI91" s="106">
        <v>18374.399999999998</v>
      </c>
      <c r="BJ91" s="106">
        <v>9</v>
      </c>
      <c r="BK91" s="106">
        <v>20671.199999999997</v>
      </c>
      <c r="BL91" s="106">
        <v>12</v>
      </c>
      <c r="BM91" s="106">
        <v>27561.599999999999</v>
      </c>
      <c r="BN91" s="106">
        <v>10</v>
      </c>
      <c r="BO91" s="106">
        <v>22967.999999999996</v>
      </c>
      <c r="BP91" s="106">
        <v>15</v>
      </c>
      <c r="BQ91" s="106">
        <v>34451.999999999993</v>
      </c>
      <c r="BR91" s="106">
        <v>20</v>
      </c>
      <c r="BS91" s="106">
        <v>45935.999999999993</v>
      </c>
      <c r="BT91" s="106">
        <v>22</v>
      </c>
      <c r="BU91" s="106">
        <v>50529.599999999991</v>
      </c>
      <c r="BV91" s="106">
        <v>16</v>
      </c>
      <c r="BW91" s="106">
        <v>36748.799999999996</v>
      </c>
      <c r="BX91" s="106">
        <v>10</v>
      </c>
      <c r="BY91" s="106">
        <v>22967.999999999996</v>
      </c>
      <c r="BZ91" s="106">
        <v>9</v>
      </c>
      <c r="CA91" s="106">
        <v>20671.199999999997</v>
      </c>
      <c r="CB91" s="106">
        <v>9</v>
      </c>
      <c r="CC91" s="106">
        <v>20671.199999999997</v>
      </c>
      <c r="CD91" s="106">
        <v>10</v>
      </c>
      <c r="CE91" s="106">
        <v>22967.999999999996</v>
      </c>
      <c r="CF91" s="106">
        <v>4</v>
      </c>
      <c r="CG91" s="106">
        <v>9187.1999999999989</v>
      </c>
      <c r="CH91" s="106">
        <v>3</v>
      </c>
      <c r="CI91" s="106">
        <v>6890.4</v>
      </c>
      <c r="CJ91" s="106">
        <v>4</v>
      </c>
      <c r="CK91" s="106">
        <v>9187.1999999999989</v>
      </c>
      <c r="CL91" s="106">
        <v>3</v>
      </c>
      <c r="CM91" s="106">
        <v>6890.4</v>
      </c>
      <c r="CN91" s="106">
        <v>3</v>
      </c>
      <c r="CO91" s="106">
        <v>6890.4</v>
      </c>
      <c r="CP91" s="106">
        <v>3</v>
      </c>
      <c r="CQ91" s="106">
        <v>6890.4</v>
      </c>
      <c r="CR91" s="106">
        <v>3</v>
      </c>
      <c r="CS91" s="106">
        <v>6890.4</v>
      </c>
      <c r="CT91" s="106">
        <v>4</v>
      </c>
      <c r="CU91" s="106">
        <v>9187.1999999999989</v>
      </c>
    </row>
    <row r="92" spans="2:99" x14ac:dyDescent="0.2">
      <c r="C92" s="105" t="s">
        <v>259</v>
      </c>
      <c r="D92" s="106">
        <v>4</v>
      </c>
      <c r="E92" s="106">
        <v>5683.2</v>
      </c>
      <c r="F92" s="106">
        <v>5</v>
      </c>
      <c r="G92" s="106">
        <v>7104</v>
      </c>
      <c r="H92" s="106">
        <v>3</v>
      </c>
      <c r="I92" s="106">
        <v>4262.3999999999996</v>
      </c>
      <c r="J92" s="106">
        <v>3</v>
      </c>
      <c r="K92" s="106">
        <v>4262.3999999999996</v>
      </c>
      <c r="L92" s="106">
        <v>8</v>
      </c>
      <c r="M92" s="106">
        <v>11366.4</v>
      </c>
      <c r="N92" s="106">
        <v>6</v>
      </c>
      <c r="O92" s="106">
        <v>8524.7999999999993</v>
      </c>
      <c r="P92" s="106">
        <v>6</v>
      </c>
      <c r="Q92" s="106">
        <v>8524.7999999999993</v>
      </c>
      <c r="R92" s="106">
        <v>8</v>
      </c>
      <c r="S92" s="106">
        <v>11366.4</v>
      </c>
      <c r="T92" s="106">
        <v>8</v>
      </c>
      <c r="U92" s="106">
        <v>11366.4</v>
      </c>
      <c r="V92" s="106">
        <v>9</v>
      </c>
      <c r="W92" s="106">
        <v>12787.199999999999</v>
      </c>
      <c r="X92" s="106">
        <v>7</v>
      </c>
      <c r="Y92" s="106">
        <v>9945.6</v>
      </c>
      <c r="Z92" s="106">
        <v>4</v>
      </c>
      <c r="AA92" s="106">
        <v>5683.2</v>
      </c>
      <c r="AB92" s="106">
        <v>13</v>
      </c>
      <c r="AC92" s="106">
        <v>18470.399999999998</v>
      </c>
      <c r="AD92" s="106">
        <v>10</v>
      </c>
      <c r="AE92" s="106">
        <v>14208</v>
      </c>
      <c r="AF92" s="106">
        <v>17</v>
      </c>
      <c r="AG92" s="106">
        <v>24153.599999999999</v>
      </c>
      <c r="AH92" s="106">
        <v>15</v>
      </c>
      <c r="AI92" s="106">
        <v>21312</v>
      </c>
      <c r="AJ92" s="106">
        <v>12</v>
      </c>
      <c r="AK92" s="106">
        <v>17049.599999999999</v>
      </c>
      <c r="AL92" s="106">
        <v>7</v>
      </c>
      <c r="AM92" s="106">
        <v>9945.6</v>
      </c>
      <c r="AN92" s="106">
        <v>15</v>
      </c>
      <c r="AO92" s="106">
        <v>21312</v>
      </c>
      <c r="AP92" s="106">
        <v>12</v>
      </c>
      <c r="AQ92" s="106">
        <v>17049.599999999999</v>
      </c>
      <c r="AR92" s="106">
        <v>22</v>
      </c>
      <c r="AS92" s="106">
        <v>31257.599999999999</v>
      </c>
      <c r="AT92" s="106">
        <v>16</v>
      </c>
      <c r="AU92" s="106">
        <v>22732.799999999999</v>
      </c>
      <c r="AV92" s="106">
        <v>18</v>
      </c>
      <c r="AW92" s="106">
        <v>25574.399999999998</v>
      </c>
      <c r="AX92" s="106">
        <v>27</v>
      </c>
      <c r="AY92" s="106">
        <v>38361.599999999999</v>
      </c>
      <c r="AZ92" s="106">
        <v>3</v>
      </c>
      <c r="BA92" s="106">
        <v>4262.3999999999996</v>
      </c>
      <c r="BB92" s="106">
        <v>5</v>
      </c>
      <c r="BC92" s="106">
        <v>7104</v>
      </c>
      <c r="BD92" s="106">
        <v>3</v>
      </c>
      <c r="BE92" s="106">
        <v>4262.3999999999996</v>
      </c>
      <c r="BF92" s="106">
        <v>4</v>
      </c>
      <c r="BG92" s="106">
        <v>5683.2</v>
      </c>
      <c r="BH92" s="106">
        <v>8</v>
      </c>
      <c r="BI92" s="106">
        <v>11366.4</v>
      </c>
      <c r="BJ92" s="106">
        <v>9</v>
      </c>
      <c r="BK92" s="106">
        <v>12787.199999999999</v>
      </c>
      <c r="BL92" s="106">
        <v>12</v>
      </c>
      <c r="BM92" s="106">
        <v>17049.599999999999</v>
      </c>
      <c r="BN92" s="106">
        <v>10</v>
      </c>
      <c r="BO92" s="106">
        <v>14208</v>
      </c>
      <c r="BP92" s="106">
        <v>16</v>
      </c>
      <c r="BQ92" s="106">
        <v>22732.799999999999</v>
      </c>
      <c r="BR92" s="106">
        <v>21</v>
      </c>
      <c r="BS92" s="106">
        <v>29836.799999999999</v>
      </c>
      <c r="BT92" s="106">
        <v>24</v>
      </c>
      <c r="BU92" s="106">
        <v>34099.199999999997</v>
      </c>
      <c r="BV92" s="106">
        <v>17</v>
      </c>
      <c r="BW92" s="106">
        <v>24153.599999999999</v>
      </c>
      <c r="BX92" s="106">
        <v>12</v>
      </c>
      <c r="BY92" s="106">
        <v>17049.599999999999</v>
      </c>
      <c r="BZ92" s="106">
        <v>9</v>
      </c>
      <c r="CA92" s="106">
        <v>12787.199999999999</v>
      </c>
      <c r="CB92" s="106">
        <v>11</v>
      </c>
      <c r="CC92" s="106">
        <v>15628.8</v>
      </c>
      <c r="CD92" s="106">
        <v>12</v>
      </c>
      <c r="CE92" s="106">
        <v>17049.599999999999</v>
      </c>
      <c r="CF92" s="106">
        <v>5</v>
      </c>
      <c r="CG92" s="106">
        <v>7104</v>
      </c>
      <c r="CH92" s="106">
        <v>4</v>
      </c>
      <c r="CI92" s="106">
        <v>5683.2</v>
      </c>
      <c r="CJ92" s="106">
        <v>3</v>
      </c>
      <c r="CK92" s="106">
        <v>4262.3999999999996</v>
      </c>
      <c r="CL92" s="106">
        <v>3</v>
      </c>
      <c r="CM92" s="106">
        <v>4262.3999999999996</v>
      </c>
      <c r="CN92" s="106">
        <v>3</v>
      </c>
      <c r="CO92" s="106">
        <v>4262.3999999999996</v>
      </c>
      <c r="CP92" s="106">
        <v>3</v>
      </c>
      <c r="CQ92" s="106">
        <v>4262.3999999999996</v>
      </c>
      <c r="CR92" s="106">
        <v>3</v>
      </c>
      <c r="CS92" s="106">
        <v>4262.3999999999996</v>
      </c>
      <c r="CT92" s="106">
        <v>5</v>
      </c>
      <c r="CU92" s="106">
        <v>7104</v>
      </c>
    </row>
    <row r="93" spans="2:99" x14ac:dyDescent="0.2">
      <c r="C93" s="105" t="s">
        <v>260</v>
      </c>
      <c r="D93" s="106">
        <v>4</v>
      </c>
      <c r="E93" s="106">
        <v>7089.5999999999995</v>
      </c>
      <c r="F93" s="106">
        <v>5</v>
      </c>
      <c r="G93" s="106">
        <v>8862</v>
      </c>
      <c r="H93" s="106">
        <v>3</v>
      </c>
      <c r="I93" s="106">
        <v>5317.2</v>
      </c>
      <c r="J93" s="106">
        <v>3</v>
      </c>
      <c r="K93" s="106">
        <v>5317.2</v>
      </c>
      <c r="L93" s="106">
        <v>10</v>
      </c>
      <c r="M93" s="106">
        <v>17724</v>
      </c>
      <c r="N93" s="106">
        <v>6</v>
      </c>
      <c r="O93" s="106">
        <v>10634.4</v>
      </c>
      <c r="P93" s="106">
        <v>5</v>
      </c>
      <c r="Q93" s="106">
        <v>8862</v>
      </c>
      <c r="R93" s="106">
        <v>8</v>
      </c>
      <c r="S93" s="106">
        <v>14179.199999999999</v>
      </c>
      <c r="T93" s="106">
        <v>8</v>
      </c>
      <c r="U93" s="106">
        <v>14179.199999999999</v>
      </c>
      <c r="V93" s="106">
        <v>10</v>
      </c>
      <c r="W93" s="106">
        <v>17724</v>
      </c>
      <c r="X93" s="106">
        <v>6</v>
      </c>
      <c r="Y93" s="106">
        <v>10634.4</v>
      </c>
      <c r="Z93" s="106">
        <v>5</v>
      </c>
      <c r="AA93" s="106">
        <v>8862</v>
      </c>
      <c r="AB93" s="106">
        <v>12</v>
      </c>
      <c r="AC93" s="106">
        <v>21268.799999999999</v>
      </c>
      <c r="AD93" s="106">
        <v>9</v>
      </c>
      <c r="AE93" s="106">
        <v>15951.599999999999</v>
      </c>
      <c r="AF93" s="106">
        <v>15</v>
      </c>
      <c r="AG93" s="106">
        <v>26585.999999999996</v>
      </c>
      <c r="AH93" s="106">
        <v>15</v>
      </c>
      <c r="AI93" s="106">
        <v>26585.999999999996</v>
      </c>
      <c r="AJ93" s="106">
        <v>11</v>
      </c>
      <c r="AK93" s="106">
        <v>19496.399999999998</v>
      </c>
      <c r="AL93" s="106">
        <v>7</v>
      </c>
      <c r="AM93" s="106">
        <v>12406.8</v>
      </c>
      <c r="AN93" s="106">
        <v>12</v>
      </c>
      <c r="AO93" s="106">
        <v>21268.799999999999</v>
      </c>
      <c r="AP93" s="106">
        <v>11</v>
      </c>
      <c r="AQ93" s="106">
        <v>19496.399999999998</v>
      </c>
      <c r="AR93" s="106">
        <v>19</v>
      </c>
      <c r="AS93" s="106">
        <v>33675.599999999999</v>
      </c>
      <c r="AT93" s="106">
        <v>15</v>
      </c>
      <c r="AU93" s="106">
        <v>26585.999999999996</v>
      </c>
      <c r="AV93" s="106">
        <v>15</v>
      </c>
      <c r="AW93" s="106">
        <v>26585.999999999996</v>
      </c>
      <c r="AX93" s="106">
        <v>26</v>
      </c>
      <c r="AY93" s="106">
        <v>46082.399999999994</v>
      </c>
      <c r="AZ93" s="106">
        <v>3</v>
      </c>
      <c r="BA93" s="106">
        <v>5317.2</v>
      </c>
      <c r="BB93" s="106">
        <v>5</v>
      </c>
      <c r="BC93" s="106">
        <v>8862</v>
      </c>
      <c r="BD93" s="106">
        <v>3</v>
      </c>
      <c r="BE93" s="106">
        <v>5317.2</v>
      </c>
      <c r="BF93" s="106">
        <v>4</v>
      </c>
      <c r="BG93" s="106">
        <v>7089.5999999999995</v>
      </c>
      <c r="BH93" s="106">
        <v>8</v>
      </c>
      <c r="BI93" s="106">
        <v>14179.199999999999</v>
      </c>
      <c r="BJ93" s="106">
        <v>8</v>
      </c>
      <c r="BK93" s="106">
        <v>14179.199999999999</v>
      </c>
      <c r="BL93" s="106">
        <v>11</v>
      </c>
      <c r="BM93" s="106">
        <v>19496.399999999998</v>
      </c>
      <c r="BN93" s="106">
        <v>9</v>
      </c>
      <c r="BO93" s="106">
        <v>15951.599999999999</v>
      </c>
      <c r="BP93" s="106">
        <v>16</v>
      </c>
      <c r="BQ93" s="106">
        <v>28358.399999999998</v>
      </c>
      <c r="BR93" s="106">
        <v>21</v>
      </c>
      <c r="BS93" s="106">
        <v>37220.399999999994</v>
      </c>
      <c r="BT93" s="106">
        <v>22</v>
      </c>
      <c r="BU93" s="106">
        <v>38992.799999999996</v>
      </c>
      <c r="BV93" s="106">
        <v>19</v>
      </c>
      <c r="BW93" s="106">
        <v>33675.599999999999</v>
      </c>
      <c r="BX93" s="106">
        <v>10</v>
      </c>
      <c r="BY93" s="106">
        <v>17724</v>
      </c>
      <c r="BZ93" s="106">
        <v>10</v>
      </c>
      <c r="CA93" s="106">
        <v>17724</v>
      </c>
      <c r="CB93" s="106">
        <v>9</v>
      </c>
      <c r="CC93" s="106">
        <v>15951.599999999999</v>
      </c>
      <c r="CD93" s="106">
        <v>11</v>
      </c>
      <c r="CE93" s="106">
        <v>19496.399999999998</v>
      </c>
      <c r="CF93" s="106">
        <v>5</v>
      </c>
      <c r="CG93" s="106">
        <v>8862</v>
      </c>
      <c r="CH93" s="106">
        <v>4</v>
      </c>
      <c r="CI93" s="106">
        <v>7089.5999999999995</v>
      </c>
      <c r="CJ93" s="106">
        <v>4</v>
      </c>
      <c r="CK93" s="106">
        <v>7089.5999999999995</v>
      </c>
      <c r="CL93" s="106">
        <v>3</v>
      </c>
      <c r="CM93" s="106">
        <v>5317.2</v>
      </c>
      <c r="CN93" s="106">
        <v>4</v>
      </c>
      <c r="CO93" s="106">
        <v>7089.5999999999995</v>
      </c>
      <c r="CP93" s="106">
        <v>2</v>
      </c>
      <c r="CQ93" s="106">
        <v>3544.7999999999997</v>
      </c>
      <c r="CR93" s="106">
        <v>3</v>
      </c>
      <c r="CS93" s="106">
        <v>5317.2</v>
      </c>
      <c r="CT93" s="106">
        <v>4</v>
      </c>
      <c r="CU93" s="106">
        <v>7089.5999999999995</v>
      </c>
    </row>
    <row r="94" spans="2:99" x14ac:dyDescent="0.2">
      <c r="C94" s="105" t="s">
        <v>261</v>
      </c>
      <c r="D94" s="106">
        <v>4</v>
      </c>
      <c r="E94" s="106">
        <v>9580.7999999999993</v>
      </c>
      <c r="F94" s="106">
        <v>5</v>
      </c>
      <c r="G94" s="106">
        <v>11976</v>
      </c>
      <c r="H94" s="106">
        <v>3</v>
      </c>
      <c r="I94" s="106">
        <v>7185.5999999999995</v>
      </c>
      <c r="J94" s="106">
        <v>3</v>
      </c>
      <c r="K94" s="106">
        <v>7185.5999999999995</v>
      </c>
      <c r="L94" s="106">
        <v>8</v>
      </c>
      <c r="M94" s="106">
        <v>19161.599999999999</v>
      </c>
      <c r="N94" s="106">
        <v>6</v>
      </c>
      <c r="O94" s="106">
        <v>14371.199999999999</v>
      </c>
      <c r="P94" s="106">
        <v>5</v>
      </c>
      <c r="Q94" s="106">
        <v>11976</v>
      </c>
      <c r="R94" s="106">
        <v>8</v>
      </c>
      <c r="S94" s="106">
        <v>19161.599999999999</v>
      </c>
      <c r="T94" s="106">
        <v>8</v>
      </c>
      <c r="U94" s="106">
        <v>19161.599999999999</v>
      </c>
      <c r="V94" s="106">
        <v>9</v>
      </c>
      <c r="W94" s="106">
        <v>21556.799999999999</v>
      </c>
      <c r="X94" s="106">
        <v>5</v>
      </c>
      <c r="Y94" s="106">
        <v>11976</v>
      </c>
      <c r="Z94" s="106">
        <v>4</v>
      </c>
      <c r="AA94" s="106">
        <v>9580.7999999999993</v>
      </c>
      <c r="AB94" s="106">
        <v>12</v>
      </c>
      <c r="AC94" s="106">
        <v>28742.399999999998</v>
      </c>
      <c r="AD94" s="106">
        <v>8</v>
      </c>
      <c r="AE94" s="106">
        <v>19161.599999999999</v>
      </c>
      <c r="AF94" s="106">
        <v>13</v>
      </c>
      <c r="AG94" s="106">
        <v>31137.599999999999</v>
      </c>
      <c r="AH94" s="106">
        <v>14</v>
      </c>
      <c r="AI94" s="106">
        <v>33532.799999999996</v>
      </c>
      <c r="AJ94" s="106">
        <v>11</v>
      </c>
      <c r="AK94" s="106">
        <v>26347.199999999997</v>
      </c>
      <c r="AL94" s="106">
        <v>7</v>
      </c>
      <c r="AM94" s="106">
        <v>16766.399999999998</v>
      </c>
      <c r="AN94" s="106">
        <v>13</v>
      </c>
      <c r="AO94" s="106">
        <v>31137.599999999999</v>
      </c>
      <c r="AP94" s="106">
        <v>10</v>
      </c>
      <c r="AQ94" s="106">
        <v>23952</v>
      </c>
      <c r="AR94" s="106">
        <v>18</v>
      </c>
      <c r="AS94" s="106">
        <v>43113.599999999999</v>
      </c>
      <c r="AT94" s="106">
        <v>16</v>
      </c>
      <c r="AU94" s="106">
        <v>38323.199999999997</v>
      </c>
      <c r="AV94" s="106">
        <v>15</v>
      </c>
      <c r="AW94" s="106">
        <v>35928</v>
      </c>
      <c r="AX94" s="106">
        <v>23</v>
      </c>
      <c r="AY94" s="106">
        <v>55089.599999999999</v>
      </c>
      <c r="AZ94" s="106">
        <v>3</v>
      </c>
      <c r="BA94" s="106">
        <v>7185.5999999999995</v>
      </c>
      <c r="BB94" s="106">
        <v>5</v>
      </c>
      <c r="BC94" s="106">
        <v>11976</v>
      </c>
      <c r="BD94" s="106">
        <v>3</v>
      </c>
      <c r="BE94" s="106">
        <v>7185.5999999999995</v>
      </c>
      <c r="BF94" s="106">
        <v>4</v>
      </c>
      <c r="BG94" s="106">
        <v>9580.7999999999993</v>
      </c>
      <c r="BH94" s="106">
        <v>8</v>
      </c>
      <c r="BI94" s="106">
        <v>19161.599999999999</v>
      </c>
      <c r="BJ94" s="106">
        <v>8</v>
      </c>
      <c r="BK94" s="106">
        <v>19161.599999999999</v>
      </c>
      <c r="BL94" s="106">
        <v>11</v>
      </c>
      <c r="BM94" s="106">
        <v>26347.199999999997</v>
      </c>
      <c r="BN94" s="106">
        <v>9</v>
      </c>
      <c r="BO94" s="106">
        <v>21556.799999999999</v>
      </c>
      <c r="BP94" s="106">
        <v>15</v>
      </c>
      <c r="BQ94" s="106">
        <v>35928</v>
      </c>
      <c r="BR94" s="106">
        <v>19</v>
      </c>
      <c r="BS94" s="106">
        <v>45508.799999999996</v>
      </c>
      <c r="BT94" s="106">
        <v>22</v>
      </c>
      <c r="BU94" s="106">
        <v>52694.399999999994</v>
      </c>
      <c r="BV94" s="106">
        <v>16</v>
      </c>
      <c r="BW94" s="106">
        <v>38323.199999999997</v>
      </c>
      <c r="BX94" s="106">
        <v>11</v>
      </c>
      <c r="BY94" s="106">
        <v>26347.199999999997</v>
      </c>
      <c r="BZ94" s="106">
        <v>9</v>
      </c>
      <c r="CA94" s="106">
        <v>21556.799999999999</v>
      </c>
      <c r="CB94" s="106">
        <v>9</v>
      </c>
      <c r="CC94" s="106">
        <v>21556.799999999999</v>
      </c>
      <c r="CD94" s="106">
        <v>10</v>
      </c>
      <c r="CE94" s="106">
        <v>23952</v>
      </c>
      <c r="CF94" s="106">
        <v>5</v>
      </c>
      <c r="CG94" s="106">
        <v>11976</v>
      </c>
      <c r="CH94" s="106">
        <v>4</v>
      </c>
      <c r="CI94" s="106">
        <v>9580.7999999999993</v>
      </c>
      <c r="CJ94" s="106">
        <v>4</v>
      </c>
      <c r="CK94" s="106">
        <v>9580.7999999999993</v>
      </c>
      <c r="CL94" s="106">
        <v>3</v>
      </c>
      <c r="CM94" s="106">
        <v>7185.5999999999995</v>
      </c>
      <c r="CN94" s="106">
        <v>3</v>
      </c>
      <c r="CO94" s="106">
        <v>7185.5999999999995</v>
      </c>
      <c r="CP94" s="106">
        <v>3</v>
      </c>
      <c r="CQ94" s="106">
        <v>7185.5999999999995</v>
      </c>
      <c r="CR94" s="106">
        <v>3</v>
      </c>
      <c r="CS94" s="106">
        <v>7185.5999999999995</v>
      </c>
      <c r="CT94" s="106">
        <v>4</v>
      </c>
      <c r="CU94" s="106">
        <v>9580.7999999999993</v>
      </c>
    </row>
    <row r="95" spans="2:99" x14ac:dyDescent="0.2">
      <c r="B95" s="105" t="s">
        <v>132</v>
      </c>
      <c r="C95" s="105" t="s">
        <v>262</v>
      </c>
      <c r="D95" s="106">
        <v>10</v>
      </c>
      <c r="E95" s="106">
        <v>17328</v>
      </c>
      <c r="F95" s="106">
        <v>12</v>
      </c>
      <c r="G95" s="106">
        <v>20793.599999999999</v>
      </c>
      <c r="H95" s="106">
        <v>9</v>
      </c>
      <c r="I95" s="106">
        <v>15595.199999999999</v>
      </c>
      <c r="J95" s="106">
        <v>15</v>
      </c>
      <c r="K95" s="106">
        <v>25992</v>
      </c>
      <c r="L95" s="106">
        <v>28</v>
      </c>
      <c r="M95" s="106">
        <v>48518.400000000001</v>
      </c>
      <c r="N95" s="106">
        <v>22</v>
      </c>
      <c r="O95" s="106">
        <v>38121.599999999999</v>
      </c>
      <c r="P95" s="106">
        <v>23</v>
      </c>
      <c r="Q95" s="106">
        <v>39854.400000000001</v>
      </c>
      <c r="R95" s="106">
        <v>29</v>
      </c>
      <c r="S95" s="106">
        <v>50251.199999999997</v>
      </c>
      <c r="T95" s="106">
        <v>18</v>
      </c>
      <c r="U95" s="106">
        <v>31190.399999999998</v>
      </c>
      <c r="V95" s="106">
        <v>13</v>
      </c>
      <c r="W95" s="106">
        <v>22526.399999999998</v>
      </c>
      <c r="X95" s="106">
        <v>14</v>
      </c>
      <c r="Y95" s="106">
        <v>24259.200000000001</v>
      </c>
      <c r="Z95" s="106">
        <v>14</v>
      </c>
      <c r="AA95" s="106">
        <v>24259.200000000001</v>
      </c>
      <c r="AB95" s="106">
        <v>6</v>
      </c>
      <c r="AC95" s="106">
        <v>10396.799999999999</v>
      </c>
      <c r="AD95" s="106">
        <v>7</v>
      </c>
      <c r="AE95" s="106">
        <v>12129.6</v>
      </c>
      <c r="AF95" s="106">
        <v>7</v>
      </c>
      <c r="AG95" s="106">
        <v>12129.6</v>
      </c>
      <c r="AH95" s="106">
        <v>6</v>
      </c>
      <c r="AI95" s="106">
        <v>10396.799999999999</v>
      </c>
      <c r="AJ95" s="106">
        <v>8</v>
      </c>
      <c r="AK95" s="106">
        <v>13862.4</v>
      </c>
      <c r="AL95" s="106">
        <v>9</v>
      </c>
      <c r="AM95" s="106">
        <v>15595.199999999999</v>
      </c>
      <c r="AN95" s="106">
        <v>8</v>
      </c>
      <c r="AO95" s="106">
        <v>13862.4</v>
      </c>
      <c r="AP95" s="106">
        <v>9</v>
      </c>
      <c r="AQ95" s="106">
        <v>15595.199999999999</v>
      </c>
      <c r="AR95" s="106">
        <v>3</v>
      </c>
      <c r="AS95" s="106">
        <v>5198.3999999999996</v>
      </c>
      <c r="AT95" s="106">
        <v>4</v>
      </c>
      <c r="AU95" s="106">
        <v>6931.2</v>
      </c>
      <c r="AV95" s="106">
        <v>4</v>
      </c>
      <c r="AW95" s="106">
        <v>6931.2</v>
      </c>
      <c r="AX95" s="106">
        <v>4</v>
      </c>
      <c r="AY95" s="106">
        <v>6931.2</v>
      </c>
      <c r="AZ95" s="106">
        <v>6</v>
      </c>
      <c r="BA95" s="106">
        <v>10396.799999999999</v>
      </c>
      <c r="BB95" s="106">
        <v>8</v>
      </c>
      <c r="BC95" s="106">
        <v>13862.4</v>
      </c>
      <c r="BD95" s="106">
        <v>7</v>
      </c>
      <c r="BE95" s="106">
        <v>12129.6</v>
      </c>
      <c r="BF95" s="106">
        <v>8</v>
      </c>
      <c r="BG95" s="106">
        <v>13862.4</v>
      </c>
      <c r="BH95" s="106">
        <v>8</v>
      </c>
      <c r="BI95" s="106">
        <v>13862.4</v>
      </c>
      <c r="BJ95" s="106">
        <v>6</v>
      </c>
      <c r="BK95" s="106">
        <v>10396.799999999999</v>
      </c>
      <c r="BL95" s="106">
        <v>6</v>
      </c>
      <c r="BM95" s="106">
        <v>10396.799999999999</v>
      </c>
      <c r="BN95" s="106">
        <v>11</v>
      </c>
      <c r="BO95" s="106">
        <v>19060.8</v>
      </c>
      <c r="BP95" s="106">
        <v>5</v>
      </c>
      <c r="BQ95" s="106">
        <v>8664</v>
      </c>
      <c r="BR95" s="106">
        <v>4</v>
      </c>
      <c r="BS95" s="106">
        <v>6931.2</v>
      </c>
      <c r="BT95" s="106">
        <v>2</v>
      </c>
      <c r="BU95" s="106">
        <v>3465.6</v>
      </c>
      <c r="BV95" s="106">
        <v>3</v>
      </c>
      <c r="BW95" s="106">
        <v>5198.3999999999996</v>
      </c>
      <c r="BX95" s="106">
        <v>7</v>
      </c>
      <c r="BY95" s="106">
        <v>12129.6</v>
      </c>
      <c r="BZ95" s="106">
        <v>7</v>
      </c>
      <c r="CA95" s="106">
        <v>12129.6</v>
      </c>
      <c r="CB95" s="106">
        <v>11</v>
      </c>
      <c r="CC95" s="106">
        <v>19060.8</v>
      </c>
      <c r="CD95" s="106">
        <v>11</v>
      </c>
      <c r="CE95" s="106">
        <v>19060.8</v>
      </c>
      <c r="CF95" s="106">
        <v>6</v>
      </c>
      <c r="CG95" s="106">
        <v>10396.799999999999</v>
      </c>
      <c r="CH95" s="106">
        <v>5</v>
      </c>
      <c r="CI95" s="106">
        <v>8664</v>
      </c>
      <c r="CJ95" s="106">
        <v>5</v>
      </c>
      <c r="CK95" s="106">
        <v>8664</v>
      </c>
      <c r="CL95" s="106">
        <v>6</v>
      </c>
      <c r="CM95" s="106">
        <v>10396.799999999999</v>
      </c>
      <c r="CN95" s="106">
        <v>6</v>
      </c>
      <c r="CO95" s="106">
        <v>10396.799999999999</v>
      </c>
      <c r="CP95" s="106">
        <v>8</v>
      </c>
      <c r="CQ95" s="106">
        <v>13862.4</v>
      </c>
      <c r="CR95" s="106">
        <v>7</v>
      </c>
      <c r="CS95" s="106">
        <v>12129.6</v>
      </c>
      <c r="CT95" s="106">
        <v>6</v>
      </c>
      <c r="CU95" s="106">
        <v>10396.799999999999</v>
      </c>
    </row>
    <row r="96" spans="2:99" x14ac:dyDescent="0.2">
      <c r="C96" s="105" t="s">
        <v>263</v>
      </c>
      <c r="D96" s="106">
        <v>12</v>
      </c>
      <c r="E96" s="106">
        <v>9878.4</v>
      </c>
      <c r="F96" s="106">
        <v>12</v>
      </c>
      <c r="G96" s="106">
        <v>9878.4</v>
      </c>
      <c r="H96" s="106">
        <v>10</v>
      </c>
      <c r="I96" s="106">
        <v>8232</v>
      </c>
      <c r="J96" s="106">
        <v>17</v>
      </c>
      <c r="K96" s="106">
        <v>13994.4</v>
      </c>
      <c r="L96" s="106">
        <v>29</v>
      </c>
      <c r="M96" s="106">
        <v>23872.799999999999</v>
      </c>
      <c r="N96" s="106">
        <v>24</v>
      </c>
      <c r="O96" s="106">
        <v>19756.8</v>
      </c>
      <c r="P96" s="106">
        <v>28</v>
      </c>
      <c r="Q96" s="106">
        <v>23049.599999999999</v>
      </c>
      <c r="R96" s="106">
        <v>40</v>
      </c>
      <c r="S96" s="106">
        <v>32928</v>
      </c>
      <c r="T96" s="106">
        <v>19</v>
      </c>
      <c r="U96" s="106">
        <v>15640.8</v>
      </c>
      <c r="V96" s="106">
        <v>16</v>
      </c>
      <c r="W96" s="106">
        <v>13171.199999999999</v>
      </c>
      <c r="X96" s="106">
        <v>14</v>
      </c>
      <c r="Y96" s="106">
        <v>11524.8</v>
      </c>
      <c r="Z96" s="106">
        <v>14</v>
      </c>
      <c r="AA96" s="106">
        <v>11524.8</v>
      </c>
      <c r="AB96" s="106">
        <v>7</v>
      </c>
      <c r="AC96" s="106">
        <v>5762.4</v>
      </c>
      <c r="AD96" s="106">
        <v>8</v>
      </c>
      <c r="AE96" s="106">
        <v>6585.5999999999995</v>
      </c>
      <c r="AF96" s="106">
        <v>8</v>
      </c>
      <c r="AG96" s="106">
        <v>6585.5999999999995</v>
      </c>
      <c r="AH96" s="106">
        <v>6</v>
      </c>
      <c r="AI96" s="106">
        <v>4939.2</v>
      </c>
      <c r="AJ96" s="106">
        <v>9</v>
      </c>
      <c r="AK96" s="106">
        <v>7408.7999999999993</v>
      </c>
      <c r="AL96" s="106">
        <v>9</v>
      </c>
      <c r="AM96" s="106">
        <v>7408.7999999999993</v>
      </c>
      <c r="AN96" s="106">
        <v>9</v>
      </c>
      <c r="AO96" s="106">
        <v>7408.7999999999993</v>
      </c>
      <c r="AP96" s="106">
        <v>11</v>
      </c>
      <c r="AQ96" s="106">
        <v>9055.1999999999989</v>
      </c>
      <c r="AR96" s="106">
        <v>3</v>
      </c>
      <c r="AS96" s="106">
        <v>2469.6</v>
      </c>
      <c r="AT96" s="106">
        <v>4</v>
      </c>
      <c r="AU96" s="106">
        <v>3292.7999999999997</v>
      </c>
      <c r="AV96" s="106">
        <v>5</v>
      </c>
      <c r="AW96" s="106">
        <v>4116</v>
      </c>
      <c r="AX96" s="106">
        <v>4</v>
      </c>
      <c r="AY96" s="106">
        <v>3292.7999999999997</v>
      </c>
      <c r="AZ96" s="106">
        <v>7</v>
      </c>
      <c r="BA96" s="106">
        <v>5762.4</v>
      </c>
      <c r="BB96" s="106">
        <v>10</v>
      </c>
      <c r="BC96" s="106">
        <v>8232</v>
      </c>
      <c r="BD96" s="106">
        <v>8</v>
      </c>
      <c r="BE96" s="106">
        <v>6585.5999999999995</v>
      </c>
      <c r="BF96" s="106">
        <v>8</v>
      </c>
      <c r="BG96" s="106">
        <v>6585.5999999999995</v>
      </c>
      <c r="BH96" s="106">
        <v>8</v>
      </c>
      <c r="BI96" s="106">
        <v>6585.5999999999995</v>
      </c>
      <c r="BJ96" s="106">
        <v>6</v>
      </c>
      <c r="BK96" s="106">
        <v>4939.2</v>
      </c>
      <c r="BL96" s="106">
        <v>6</v>
      </c>
      <c r="BM96" s="106">
        <v>4939.2</v>
      </c>
      <c r="BN96" s="106">
        <v>11</v>
      </c>
      <c r="BO96" s="106">
        <v>9055.1999999999989</v>
      </c>
      <c r="BP96" s="106">
        <v>4</v>
      </c>
      <c r="BQ96" s="106">
        <v>3292.7999999999997</v>
      </c>
      <c r="BR96" s="106">
        <v>4</v>
      </c>
      <c r="BS96" s="106">
        <v>3292.7999999999997</v>
      </c>
      <c r="BT96" s="106">
        <v>3</v>
      </c>
      <c r="BU96" s="106">
        <v>2469.6</v>
      </c>
      <c r="BV96" s="106">
        <v>3</v>
      </c>
      <c r="BW96" s="106">
        <v>2469.6</v>
      </c>
      <c r="BX96" s="106">
        <v>7</v>
      </c>
      <c r="BY96" s="106">
        <v>5762.4</v>
      </c>
      <c r="BZ96" s="106">
        <v>7</v>
      </c>
      <c r="CA96" s="106">
        <v>5762.4</v>
      </c>
      <c r="CB96" s="106">
        <v>11</v>
      </c>
      <c r="CC96" s="106">
        <v>9055.1999999999989</v>
      </c>
      <c r="CD96" s="106">
        <v>13</v>
      </c>
      <c r="CE96" s="106">
        <v>10701.599999999999</v>
      </c>
      <c r="CF96" s="106">
        <v>6</v>
      </c>
      <c r="CG96" s="106">
        <v>4939.2</v>
      </c>
      <c r="CH96" s="106">
        <v>5</v>
      </c>
      <c r="CI96" s="106">
        <v>4116</v>
      </c>
      <c r="CJ96" s="106">
        <v>5</v>
      </c>
      <c r="CK96" s="106">
        <v>4116</v>
      </c>
      <c r="CL96" s="106">
        <v>7</v>
      </c>
      <c r="CM96" s="106">
        <v>5762.4</v>
      </c>
      <c r="CN96" s="106">
        <v>6</v>
      </c>
      <c r="CO96" s="106">
        <v>4939.2</v>
      </c>
      <c r="CP96" s="106">
        <v>8</v>
      </c>
      <c r="CQ96" s="106">
        <v>6585.5999999999995</v>
      </c>
      <c r="CR96" s="106">
        <v>8</v>
      </c>
      <c r="CS96" s="106">
        <v>6585.5999999999995</v>
      </c>
      <c r="CT96" s="106">
        <v>7</v>
      </c>
      <c r="CU96" s="106">
        <v>5762.4</v>
      </c>
    </row>
    <row r="97" spans="2:99" x14ac:dyDescent="0.2">
      <c r="C97" s="105" t="s">
        <v>264</v>
      </c>
      <c r="D97" s="106">
        <v>11</v>
      </c>
      <c r="E97" s="106">
        <v>20116.8</v>
      </c>
      <c r="F97" s="106">
        <v>11</v>
      </c>
      <c r="G97" s="106">
        <v>20116.8</v>
      </c>
      <c r="H97" s="106">
        <v>10</v>
      </c>
      <c r="I97" s="106">
        <v>18288</v>
      </c>
      <c r="J97" s="106">
        <v>16</v>
      </c>
      <c r="K97" s="106">
        <v>29260.799999999999</v>
      </c>
      <c r="L97" s="106">
        <v>27</v>
      </c>
      <c r="M97" s="106">
        <v>49377.599999999999</v>
      </c>
      <c r="N97" s="106">
        <v>20</v>
      </c>
      <c r="O97" s="106">
        <v>36576</v>
      </c>
      <c r="P97" s="106">
        <v>23</v>
      </c>
      <c r="Q97" s="106">
        <v>42062.400000000001</v>
      </c>
      <c r="R97" s="106">
        <v>32</v>
      </c>
      <c r="S97" s="106">
        <v>58521.599999999999</v>
      </c>
      <c r="T97" s="106">
        <v>17</v>
      </c>
      <c r="U97" s="106">
        <v>31089.599999999999</v>
      </c>
      <c r="V97" s="106">
        <v>14</v>
      </c>
      <c r="W97" s="106">
        <v>25603.200000000001</v>
      </c>
      <c r="X97" s="106">
        <v>12</v>
      </c>
      <c r="Y97" s="106">
        <v>21945.599999999999</v>
      </c>
      <c r="Z97" s="106">
        <v>13</v>
      </c>
      <c r="AA97" s="106">
        <v>23774.399999999998</v>
      </c>
      <c r="AB97" s="106">
        <v>5</v>
      </c>
      <c r="AC97" s="106">
        <v>9144</v>
      </c>
      <c r="AD97" s="106">
        <v>7</v>
      </c>
      <c r="AE97" s="106">
        <v>12801.6</v>
      </c>
      <c r="AF97" s="106">
        <v>7</v>
      </c>
      <c r="AG97" s="106">
        <v>12801.6</v>
      </c>
      <c r="AH97" s="106">
        <v>6</v>
      </c>
      <c r="AI97" s="106">
        <v>10972.8</v>
      </c>
      <c r="AJ97" s="106">
        <v>9</v>
      </c>
      <c r="AK97" s="106">
        <v>16459.2</v>
      </c>
      <c r="AL97" s="106">
        <v>8</v>
      </c>
      <c r="AM97" s="106">
        <v>14630.4</v>
      </c>
      <c r="AN97" s="106">
        <v>7</v>
      </c>
      <c r="AO97" s="106">
        <v>12801.6</v>
      </c>
      <c r="AP97" s="106">
        <v>9</v>
      </c>
      <c r="AQ97" s="106">
        <v>16459.2</v>
      </c>
      <c r="AR97" s="106">
        <v>3</v>
      </c>
      <c r="AS97" s="106">
        <v>5486.4</v>
      </c>
      <c r="AT97" s="106">
        <v>4</v>
      </c>
      <c r="AU97" s="106">
        <v>7315.2</v>
      </c>
      <c r="AV97" s="106">
        <v>4</v>
      </c>
      <c r="AW97" s="106">
        <v>7315.2</v>
      </c>
      <c r="AX97" s="106">
        <v>4</v>
      </c>
      <c r="AY97" s="106">
        <v>7315.2</v>
      </c>
      <c r="AZ97" s="106">
        <v>7</v>
      </c>
      <c r="BA97" s="106">
        <v>12801.6</v>
      </c>
      <c r="BB97" s="106">
        <v>9</v>
      </c>
      <c r="BC97" s="106">
        <v>16459.2</v>
      </c>
      <c r="BD97" s="106">
        <v>7</v>
      </c>
      <c r="BE97" s="106">
        <v>12801.6</v>
      </c>
      <c r="BF97" s="106">
        <v>7</v>
      </c>
      <c r="BG97" s="106">
        <v>12801.6</v>
      </c>
      <c r="BH97" s="106">
        <v>7</v>
      </c>
      <c r="BI97" s="106">
        <v>12801.6</v>
      </c>
      <c r="BJ97" s="106">
        <v>6</v>
      </c>
      <c r="BK97" s="106">
        <v>10972.8</v>
      </c>
      <c r="BL97" s="106">
        <v>5</v>
      </c>
      <c r="BM97" s="106">
        <v>9144</v>
      </c>
      <c r="BN97" s="106">
        <v>10</v>
      </c>
      <c r="BO97" s="106">
        <v>18288</v>
      </c>
      <c r="BP97" s="106">
        <v>4</v>
      </c>
      <c r="BQ97" s="106">
        <v>7315.2</v>
      </c>
      <c r="BR97" s="106">
        <v>3</v>
      </c>
      <c r="BS97" s="106">
        <v>5486.4</v>
      </c>
      <c r="BT97" s="106">
        <v>3</v>
      </c>
      <c r="BU97" s="106">
        <v>5486.4</v>
      </c>
      <c r="BV97" s="106">
        <v>3</v>
      </c>
      <c r="BW97" s="106">
        <v>5486.4</v>
      </c>
      <c r="BX97" s="106">
        <v>7</v>
      </c>
      <c r="BY97" s="106">
        <v>12801.6</v>
      </c>
      <c r="BZ97" s="106">
        <v>6</v>
      </c>
      <c r="CA97" s="106">
        <v>10972.8</v>
      </c>
      <c r="CB97" s="106">
        <v>9</v>
      </c>
      <c r="CC97" s="106">
        <v>16459.2</v>
      </c>
      <c r="CD97" s="106">
        <v>11</v>
      </c>
      <c r="CE97" s="106">
        <v>20116.8</v>
      </c>
      <c r="CF97" s="106">
        <v>7</v>
      </c>
      <c r="CG97" s="106">
        <v>12801.6</v>
      </c>
      <c r="CH97" s="106">
        <v>5</v>
      </c>
      <c r="CI97" s="106">
        <v>9144</v>
      </c>
      <c r="CJ97" s="106">
        <v>5</v>
      </c>
      <c r="CK97" s="106">
        <v>9144</v>
      </c>
      <c r="CL97" s="106">
        <v>7</v>
      </c>
      <c r="CM97" s="106">
        <v>12801.6</v>
      </c>
      <c r="CN97" s="106">
        <v>6</v>
      </c>
      <c r="CO97" s="106">
        <v>10972.8</v>
      </c>
      <c r="CP97" s="106">
        <v>8</v>
      </c>
      <c r="CQ97" s="106">
        <v>14630.4</v>
      </c>
      <c r="CR97" s="106">
        <v>6</v>
      </c>
      <c r="CS97" s="106">
        <v>10972.8</v>
      </c>
      <c r="CT97" s="106">
        <v>6</v>
      </c>
      <c r="CU97" s="106">
        <v>10972.8</v>
      </c>
    </row>
    <row r="98" spans="2:99" x14ac:dyDescent="0.2">
      <c r="C98" s="105" t="s">
        <v>265</v>
      </c>
      <c r="D98" s="106">
        <v>12</v>
      </c>
      <c r="E98" s="106">
        <v>15163.199999999999</v>
      </c>
      <c r="F98" s="106">
        <v>11</v>
      </c>
      <c r="G98" s="106">
        <v>13899.599999999999</v>
      </c>
      <c r="H98" s="106">
        <v>11</v>
      </c>
      <c r="I98" s="106">
        <v>13899.599999999999</v>
      </c>
      <c r="J98" s="106">
        <v>17</v>
      </c>
      <c r="K98" s="106">
        <v>21481.199999999997</v>
      </c>
      <c r="L98" s="106">
        <v>30</v>
      </c>
      <c r="M98" s="106">
        <v>37908</v>
      </c>
      <c r="N98" s="106">
        <v>25</v>
      </c>
      <c r="O98" s="106">
        <v>31589.999999999996</v>
      </c>
      <c r="P98" s="106">
        <v>27</v>
      </c>
      <c r="Q98" s="106">
        <v>34117.199999999997</v>
      </c>
      <c r="R98" s="106">
        <v>37</v>
      </c>
      <c r="S98" s="106">
        <v>46753.2</v>
      </c>
      <c r="T98" s="106">
        <v>18</v>
      </c>
      <c r="U98" s="106">
        <v>22744.799999999999</v>
      </c>
      <c r="V98" s="106">
        <v>16</v>
      </c>
      <c r="W98" s="106">
        <v>20217.599999999999</v>
      </c>
      <c r="X98" s="106">
        <v>15</v>
      </c>
      <c r="Y98" s="106">
        <v>18954</v>
      </c>
      <c r="Z98" s="106">
        <v>15</v>
      </c>
      <c r="AA98" s="106">
        <v>18954</v>
      </c>
      <c r="AB98" s="106">
        <v>6</v>
      </c>
      <c r="AC98" s="106">
        <v>7581.5999999999995</v>
      </c>
      <c r="AD98" s="106">
        <v>7</v>
      </c>
      <c r="AE98" s="106">
        <v>8845.1999999999989</v>
      </c>
      <c r="AF98" s="106">
        <v>8</v>
      </c>
      <c r="AG98" s="106">
        <v>10108.799999999999</v>
      </c>
      <c r="AH98" s="106">
        <v>6</v>
      </c>
      <c r="AI98" s="106">
        <v>7581.5999999999995</v>
      </c>
      <c r="AJ98" s="106">
        <v>8</v>
      </c>
      <c r="AK98" s="106">
        <v>10108.799999999999</v>
      </c>
      <c r="AL98" s="106">
        <v>10</v>
      </c>
      <c r="AM98" s="106">
        <v>12636</v>
      </c>
      <c r="AN98" s="106">
        <v>8</v>
      </c>
      <c r="AO98" s="106">
        <v>10108.799999999999</v>
      </c>
      <c r="AP98" s="106">
        <v>10</v>
      </c>
      <c r="AQ98" s="106">
        <v>12636</v>
      </c>
      <c r="AR98" s="106">
        <v>3</v>
      </c>
      <c r="AS98" s="106">
        <v>3790.7999999999997</v>
      </c>
      <c r="AT98" s="106">
        <v>4</v>
      </c>
      <c r="AU98" s="106">
        <v>5054.3999999999996</v>
      </c>
      <c r="AV98" s="106">
        <v>4</v>
      </c>
      <c r="AW98" s="106">
        <v>5054.3999999999996</v>
      </c>
      <c r="AX98" s="106">
        <v>4</v>
      </c>
      <c r="AY98" s="106">
        <v>5054.3999999999996</v>
      </c>
      <c r="AZ98" s="106">
        <v>7</v>
      </c>
      <c r="BA98" s="106">
        <v>8845.1999999999989</v>
      </c>
      <c r="BB98" s="106">
        <v>9</v>
      </c>
      <c r="BC98" s="106">
        <v>11372.4</v>
      </c>
      <c r="BD98" s="106">
        <v>7</v>
      </c>
      <c r="BE98" s="106">
        <v>8845.1999999999989</v>
      </c>
      <c r="BF98" s="106">
        <v>8</v>
      </c>
      <c r="BG98" s="106">
        <v>10108.799999999999</v>
      </c>
      <c r="BH98" s="106">
        <v>8</v>
      </c>
      <c r="BI98" s="106">
        <v>10108.799999999999</v>
      </c>
      <c r="BJ98" s="106">
        <v>6</v>
      </c>
      <c r="BK98" s="106">
        <v>7581.5999999999995</v>
      </c>
      <c r="BL98" s="106">
        <v>6</v>
      </c>
      <c r="BM98" s="106">
        <v>7581.5999999999995</v>
      </c>
      <c r="BN98" s="106">
        <v>11</v>
      </c>
      <c r="BO98" s="106">
        <v>13899.599999999999</v>
      </c>
      <c r="BP98" s="106">
        <v>4</v>
      </c>
      <c r="BQ98" s="106">
        <v>5054.3999999999996</v>
      </c>
      <c r="BR98" s="106">
        <v>4</v>
      </c>
      <c r="BS98" s="106">
        <v>5054.3999999999996</v>
      </c>
      <c r="BT98" s="106">
        <v>3</v>
      </c>
      <c r="BU98" s="106">
        <v>3790.7999999999997</v>
      </c>
      <c r="BV98" s="106">
        <v>3</v>
      </c>
      <c r="BW98" s="106">
        <v>3790.7999999999997</v>
      </c>
      <c r="BX98" s="106">
        <v>7</v>
      </c>
      <c r="BY98" s="106">
        <v>8845.1999999999989</v>
      </c>
      <c r="BZ98" s="106">
        <v>6</v>
      </c>
      <c r="CA98" s="106">
        <v>7581.5999999999995</v>
      </c>
      <c r="CB98" s="106">
        <v>10</v>
      </c>
      <c r="CC98" s="106">
        <v>12636</v>
      </c>
      <c r="CD98" s="106">
        <v>13</v>
      </c>
      <c r="CE98" s="106">
        <v>16426.8</v>
      </c>
      <c r="CF98" s="106">
        <v>7</v>
      </c>
      <c r="CG98" s="106">
        <v>8845.1999999999989</v>
      </c>
      <c r="CH98" s="106">
        <v>4</v>
      </c>
      <c r="CI98" s="106">
        <v>5054.3999999999996</v>
      </c>
      <c r="CJ98" s="106">
        <v>5</v>
      </c>
      <c r="CK98" s="106">
        <v>6318</v>
      </c>
      <c r="CL98" s="106">
        <v>7</v>
      </c>
      <c r="CM98" s="106">
        <v>8845.1999999999989</v>
      </c>
      <c r="CN98" s="106">
        <v>6</v>
      </c>
      <c r="CO98" s="106">
        <v>7581.5999999999995</v>
      </c>
      <c r="CP98" s="106">
        <v>8</v>
      </c>
      <c r="CQ98" s="106">
        <v>10108.799999999999</v>
      </c>
      <c r="CR98" s="106">
        <v>7</v>
      </c>
      <c r="CS98" s="106">
        <v>8845.1999999999989</v>
      </c>
      <c r="CT98" s="106">
        <v>7</v>
      </c>
      <c r="CU98" s="106">
        <v>8845.1999999999989</v>
      </c>
    </row>
    <row r="99" spans="2:99" x14ac:dyDescent="0.2">
      <c r="C99" s="105" t="s">
        <v>266</v>
      </c>
      <c r="D99" s="106">
        <v>8</v>
      </c>
      <c r="E99" s="106">
        <v>43852.799999999996</v>
      </c>
      <c r="F99" s="106">
        <v>8</v>
      </c>
      <c r="G99" s="106">
        <v>43852.799999999996</v>
      </c>
      <c r="H99" s="106">
        <v>6</v>
      </c>
      <c r="I99" s="106">
        <v>32889.599999999999</v>
      </c>
      <c r="J99" s="106">
        <v>10</v>
      </c>
      <c r="K99" s="106">
        <v>54815.999999999993</v>
      </c>
      <c r="L99" s="106">
        <v>15</v>
      </c>
      <c r="M99" s="106">
        <v>82223.999999999985</v>
      </c>
      <c r="N99" s="106">
        <v>12</v>
      </c>
      <c r="O99" s="106">
        <v>65779.199999999997</v>
      </c>
      <c r="P99" s="106">
        <v>14</v>
      </c>
      <c r="Q99" s="106">
        <v>76742.399999999994</v>
      </c>
      <c r="R99" s="106">
        <v>20</v>
      </c>
      <c r="S99" s="106">
        <v>109631.99999999999</v>
      </c>
      <c r="T99" s="106">
        <v>11</v>
      </c>
      <c r="U99" s="106">
        <v>60297.599999999991</v>
      </c>
      <c r="V99" s="106">
        <v>10</v>
      </c>
      <c r="W99" s="106">
        <v>54815.999999999993</v>
      </c>
      <c r="X99" s="106">
        <v>9</v>
      </c>
      <c r="Y99" s="106">
        <v>49334.399999999994</v>
      </c>
      <c r="Z99" s="106">
        <v>8</v>
      </c>
      <c r="AA99" s="106">
        <v>43852.799999999996</v>
      </c>
      <c r="AB99" s="106">
        <v>4</v>
      </c>
      <c r="AC99" s="106">
        <v>21926.399999999998</v>
      </c>
      <c r="AD99" s="106">
        <v>6</v>
      </c>
      <c r="AE99" s="106">
        <v>32889.599999999999</v>
      </c>
      <c r="AF99" s="106">
        <v>6</v>
      </c>
      <c r="AG99" s="106">
        <v>32889.599999999999</v>
      </c>
      <c r="AH99" s="106">
        <v>4</v>
      </c>
      <c r="AI99" s="106">
        <v>21926.399999999998</v>
      </c>
      <c r="AJ99" s="106">
        <v>5</v>
      </c>
      <c r="AK99" s="106">
        <v>27407.999999999996</v>
      </c>
      <c r="AL99" s="106">
        <v>6</v>
      </c>
      <c r="AM99" s="106">
        <v>32889.599999999999</v>
      </c>
      <c r="AN99" s="106">
        <v>6</v>
      </c>
      <c r="AO99" s="106">
        <v>32889.599999999999</v>
      </c>
      <c r="AP99" s="106">
        <v>8</v>
      </c>
      <c r="AQ99" s="106">
        <v>43852.799999999996</v>
      </c>
      <c r="AR99" s="106">
        <v>2</v>
      </c>
      <c r="AS99" s="106">
        <v>10963.199999999999</v>
      </c>
      <c r="AT99" s="106">
        <v>3</v>
      </c>
      <c r="AU99" s="106">
        <v>16444.8</v>
      </c>
      <c r="AV99" s="106">
        <v>3</v>
      </c>
      <c r="AW99" s="106">
        <v>16444.8</v>
      </c>
      <c r="AX99" s="106">
        <v>3</v>
      </c>
      <c r="AY99" s="106">
        <v>16444.8</v>
      </c>
      <c r="AZ99" s="106">
        <v>5</v>
      </c>
      <c r="BA99" s="106">
        <v>27407.999999999996</v>
      </c>
      <c r="BB99" s="106">
        <v>6</v>
      </c>
      <c r="BC99" s="106">
        <v>32889.599999999999</v>
      </c>
      <c r="BD99" s="106">
        <v>6</v>
      </c>
      <c r="BE99" s="106">
        <v>32889.599999999999</v>
      </c>
      <c r="BF99" s="106">
        <v>5</v>
      </c>
      <c r="BG99" s="106">
        <v>27407.999999999996</v>
      </c>
      <c r="BH99" s="106">
        <v>5</v>
      </c>
      <c r="BI99" s="106">
        <v>27407.999999999996</v>
      </c>
      <c r="BJ99" s="106">
        <v>5</v>
      </c>
      <c r="BK99" s="106">
        <v>27407.999999999996</v>
      </c>
      <c r="BL99" s="106">
        <v>4</v>
      </c>
      <c r="BM99" s="106">
        <v>21926.399999999998</v>
      </c>
      <c r="BN99" s="106">
        <v>7</v>
      </c>
      <c r="BO99" s="106">
        <v>38371.199999999997</v>
      </c>
      <c r="BP99" s="106">
        <v>3</v>
      </c>
      <c r="BQ99" s="106">
        <v>16444.8</v>
      </c>
      <c r="BR99" s="106">
        <v>3</v>
      </c>
      <c r="BS99" s="106">
        <v>16444.8</v>
      </c>
      <c r="BT99" s="106">
        <v>2</v>
      </c>
      <c r="BU99" s="106">
        <v>10963.199999999999</v>
      </c>
      <c r="BV99" s="106">
        <v>2</v>
      </c>
      <c r="BW99" s="106">
        <v>10963.199999999999</v>
      </c>
      <c r="BX99" s="106">
        <v>5</v>
      </c>
      <c r="BY99" s="106">
        <v>27407.999999999996</v>
      </c>
      <c r="BZ99" s="106">
        <v>4</v>
      </c>
      <c r="CA99" s="106">
        <v>21926.399999999998</v>
      </c>
      <c r="CB99" s="106">
        <v>7</v>
      </c>
      <c r="CC99" s="106">
        <v>38371.199999999997</v>
      </c>
      <c r="CD99" s="106">
        <v>9</v>
      </c>
      <c r="CE99" s="106">
        <v>49334.399999999994</v>
      </c>
      <c r="CF99" s="106">
        <v>5</v>
      </c>
      <c r="CG99" s="106">
        <v>27407.999999999996</v>
      </c>
      <c r="CH99" s="106">
        <v>3</v>
      </c>
      <c r="CI99" s="106">
        <v>16444.8</v>
      </c>
      <c r="CJ99" s="106">
        <v>4</v>
      </c>
      <c r="CK99" s="106">
        <v>21926.399999999998</v>
      </c>
      <c r="CL99" s="106">
        <v>5</v>
      </c>
      <c r="CM99" s="106">
        <v>27407.999999999996</v>
      </c>
      <c r="CN99" s="106">
        <v>4</v>
      </c>
      <c r="CO99" s="106">
        <v>21926.399999999998</v>
      </c>
      <c r="CP99" s="106">
        <v>6</v>
      </c>
      <c r="CQ99" s="106">
        <v>32889.599999999999</v>
      </c>
      <c r="CR99" s="106">
        <v>5</v>
      </c>
      <c r="CS99" s="106">
        <v>27407.999999999996</v>
      </c>
      <c r="CT99" s="106">
        <v>4</v>
      </c>
      <c r="CU99" s="106">
        <v>21926.399999999998</v>
      </c>
    </row>
    <row r="100" spans="2:99" x14ac:dyDescent="0.2">
      <c r="C100" s="105" t="s">
        <v>267</v>
      </c>
      <c r="D100" s="106">
        <v>10</v>
      </c>
      <c r="E100" s="106">
        <v>16223.999999999998</v>
      </c>
      <c r="F100" s="106">
        <v>13</v>
      </c>
      <c r="G100" s="106">
        <v>21091.199999999997</v>
      </c>
      <c r="H100" s="106">
        <v>10</v>
      </c>
      <c r="I100" s="106">
        <v>16223.999999999998</v>
      </c>
      <c r="J100" s="106">
        <v>17</v>
      </c>
      <c r="K100" s="106">
        <v>27580.799999999999</v>
      </c>
      <c r="L100" s="106">
        <v>26</v>
      </c>
      <c r="M100" s="106">
        <v>42182.399999999994</v>
      </c>
      <c r="N100" s="106">
        <v>23</v>
      </c>
      <c r="O100" s="106">
        <v>37315.199999999997</v>
      </c>
      <c r="P100" s="106">
        <v>25</v>
      </c>
      <c r="Q100" s="106">
        <v>40560</v>
      </c>
      <c r="R100" s="106">
        <v>32</v>
      </c>
      <c r="S100" s="106">
        <v>51916.799999999996</v>
      </c>
      <c r="T100" s="106">
        <v>16</v>
      </c>
      <c r="U100" s="106">
        <v>25958.399999999998</v>
      </c>
      <c r="V100" s="106">
        <v>16</v>
      </c>
      <c r="W100" s="106">
        <v>25958.399999999998</v>
      </c>
      <c r="X100" s="106">
        <v>12</v>
      </c>
      <c r="Y100" s="106">
        <v>19468.8</v>
      </c>
      <c r="Z100" s="106">
        <v>15</v>
      </c>
      <c r="AA100" s="106">
        <v>24335.999999999996</v>
      </c>
      <c r="AB100" s="106">
        <v>6</v>
      </c>
      <c r="AC100" s="106">
        <v>9734.4</v>
      </c>
      <c r="AD100" s="106">
        <v>7</v>
      </c>
      <c r="AE100" s="106">
        <v>11356.8</v>
      </c>
      <c r="AF100" s="106">
        <v>7</v>
      </c>
      <c r="AG100" s="106">
        <v>11356.8</v>
      </c>
      <c r="AH100" s="106">
        <v>6</v>
      </c>
      <c r="AI100" s="106">
        <v>9734.4</v>
      </c>
      <c r="AJ100" s="106">
        <v>8</v>
      </c>
      <c r="AK100" s="106">
        <v>12979.199999999999</v>
      </c>
      <c r="AL100" s="106">
        <v>10</v>
      </c>
      <c r="AM100" s="106">
        <v>16223.999999999998</v>
      </c>
      <c r="AN100" s="106">
        <v>7</v>
      </c>
      <c r="AO100" s="106">
        <v>11356.8</v>
      </c>
      <c r="AP100" s="106">
        <v>11</v>
      </c>
      <c r="AQ100" s="106">
        <v>17846.399999999998</v>
      </c>
      <c r="AR100" s="106">
        <v>3</v>
      </c>
      <c r="AS100" s="106">
        <v>4867.2</v>
      </c>
      <c r="AT100" s="106">
        <v>4</v>
      </c>
      <c r="AU100" s="106">
        <v>6489.5999999999995</v>
      </c>
      <c r="AV100" s="106">
        <v>4</v>
      </c>
      <c r="AW100" s="106">
        <v>6489.5999999999995</v>
      </c>
      <c r="AX100" s="106">
        <v>4</v>
      </c>
      <c r="AY100" s="106">
        <v>6489.5999999999995</v>
      </c>
      <c r="AZ100" s="106">
        <v>7</v>
      </c>
      <c r="BA100" s="106">
        <v>11356.8</v>
      </c>
      <c r="BB100" s="106">
        <v>9</v>
      </c>
      <c r="BC100" s="106">
        <v>14601.599999999999</v>
      </c>
      <c r="BD100" s="106">
        <v>7</v>
      </c>
      <c r="BE100" s="106">
        <v>11356.8</v>
      </c>
      <c r="BF100" s="106">
        <v>7</v>
      </c>
      <c r="BG100" s="106">
        <v>11356.8</v>
      </c>
      <c r="BH100" s="106">
        <v>8</v>
      </c>
      <c r="BI100" s="106">
        <v>12979.199999999999</v>
      </c>
      <c r="BJ100" s="106">
        <v>6</v>
      </c>
      <c r="BK100" s="106">
        <v>9734.4</v>
      </c>
      <c r="BL100" s="106">
        <v>6</v>
      </c>
      <c r="BM100" s="106">
        <v>9734.4</v>
      </c>
      <c r="BN100" s="106">
        <v>10</v>
      </c>
      <c r="BO100" s="106">
        <v>16223.999999999998</v>
      </c>
      <c r="BP100" s="106">
        <v>4</v>
      </c>
      <c r="BQ100" s="106">
        <v>6489.5999999999995</v>
      </c>
      <c r="BR100" s="106">
        <v>3</v>
      </c>
      <c r="BS100" s="106">
        <v>4867.2</v>
      </c>
      <c r="BT100" s="106">
        <v>3</v>
      </c>
      <c r="BU100" s="106">
        <v>4867.2</v>
      </c>
      <c r="BV100" s="106">
        <v>3</v>
      </c>
      <c r="BW100" s="106">
        <v>4867.2</v>
      </c>
      <c r="BX100" s="106">
        <v>8</v>
      </c>
      <c r="BY100" s="106">
        <v>12979.199999999999</v>
      </c>
      <c r="BZ100" s="106">
        <v>6</v>
      </c>
      <c r="CA100" s="106">
        <v>9734.4</v>
      </c>
      <c r="CB100" s="106">
        <v>11</v>
      </c>
      <c r="CC100" s="106">
        <v>17846.399999999998</v>
      </c>
      <c r="CD100" s="106">
        <v>13</v>
      </c>
      <c r="CE100" s="106">
        <v>21091.199999999997</v>
      </c>
      <c r="CF100" s="106">
        <v>7</v>
      </c>
      <c r="CG100" s="106">
        <v>11356.8</v>
      </c>
      <c r="CH100" s="106">
        <v>4</v>
      </c>
      <c r="CI100" s="106">
        <v>6489.5999999999995</v>
      </c>
      <c r="CJ100" s="106">
        <v>5</v>
      </c>
      <c r="CK100" s="106">
        <v>8111.9999999999991</v>
      </c>
      <c r="CL100" s="106">
        <v>6</v>
      </c>
      <c r="CM100" s="106">
        <v>9734.4</v>
      </c>
      <c r="CN100" s="106">
        <v>6</v>
      </c>
      <c r="CO100" s="106">
        <v>9734.4</v>
      </c>
      <c r="CP100" s="106">
        <v>9</v>
      </c>
      <c r="CQ100" s="106">
        <v>14601.599999999999</v>
      </c>
      <c r="CR100" s="106">
        <v>7</v>
      </c>
      <c r="CS100" s="106">
        <v>11356.8</v>
      </c>
      <c r="CT100" s="106">
        <v>6</v>
      </c>
      <c r="CU100" s="106">
        <v>9734.4</v>
      </c>
    </row>
    <row r="101" spans="2:99" x14ac:dyDescent="0.2">
      <c r="C101" s="105" t="s">
        <v>268</v>
      </c>
      <c r="D101" s="106">
        <v>12</v>
      </c>
      <c r="E101" s="106">
        <v>14284.8</v>
      </c>
      <c r="F101" s="106">
        <v>11</v>
      </c>
      <c r="G101" s="106">
        <v>13094.399999999998</v>
      </c>
      <c r="H101" s="106">
        <v>10</v>
      </c>
      <c r="I101" s="106">
        <v>11903.999999999998</v>
      </c>
      <c r="J101" s="106">
        <v>17</v>
      </c>
      <c r="K101" s="106">
        <v>20236.8</v>
      </c>
      <c r="L101" s="106">
        <v>30</v>
      </c>
      <c r="M101" s="106">
        <v>35711.999999999993</v>
      </c>
      <c r="N101" s="106">
        <v>25</v>
      </c>
      <c r="O101" s="106">
        <v>29759.999999999996</v>
      </c>
      <c r="P101" s="106">
        <v>27</v>
      </c>
      <c r="Q101" s="106">
        <v>32140.799999999996</v>
      </c>
      <c r="R101" s="106">
        <v>36</v>
      </c>
      <c r="S101" s="106">
        <v>42854.399999999994</v>
      </c>
      <c r="T101" s="106">
        <v>19</v>
      </c>
      <c r="U101" s="106">
        <v>22617.599999999999</v>
      </c>
      <c r="V101" s="106">
        <v>14</v>
      </c>
      <c r="W101" s="106">
        <v>16665.599999999999</v>
      </c>
      <c r="X101" s="106">
        <v>13</v>
      </c>
      <c r="Y101" s="106">
        <v>15475.199999999999</v>
      </c>
      <c r="Z101" s="106">
        <v>15</v>
      </c>
      <c r="AA101" s="106">
        <v>17855.999999999996</v>
      </c>
      <c r="AB101" s="106">
        <v>6</v>
      </c>
      <c r="AC101" s="106">
        <v>7142.4</v>
      </c>
      <c r="AD101" s="106">
        <v>7</v>
      </c>
      <c r="AE101" s="106">
        <v>8332.7999999999993</v>
      </c>
      <c r="AF101" s="106">
        <v>8</v>
      </c>
      <c r="AG101" s="106">
        <v>9523.1999999999989</v>
      </c>
      <c r="AH101" s="106">
        <v>6</v>
      </c>
      <c r="AI101" s="106">
        <v>7142.4</v>
      </c>
      <c r="AJ101" s="106">
        <v>8</v>
      </c>
      <c r="AK101" s="106">
        <v>9523.1999999999989</v>
      </c>
      <c r="AL101" s="106">
        <v>9</v>
      </c>
      <c r="AM101" s="106">
        <v>10713.599999999999</v>
      </c>
      <c r="AN101" s="106">
        <v>8</v>
      </c>
      <c r="AO101" s="106">
        <v>9523.1999999999989</v>
      </c>
      <c r="AP101" s="106">
        <v>11</v>
      </c>
      <c r="AQ101" s="106">
        <v>13094.399999999998</v>
      </c>
      <c r="AR101" s="106">
        <v>3</v>
      </c>
      <c r="AS101" s="106">
        <v>3571.2</v>
      </c>
      <c r="AT101" s="106">
        <v>4</v>
      </c>
      <c r="AU101" s="106">
        <v>4761.5999999999995</v>
      </c>
      <c r="AV101" s="106">
        <v>4</v>
      </c>
      <c r="AW101" s="106">
        <v>4761.5999999999995</v>
      </c>
      <c r="AX101" s="106">
        <v>5</v>
      </c>
      <c r="AY101" s="106">
        <v>5951.9999999999991</v>
      </c>
      <c r="AZ101" s="106">
        <v>7</v>
      </c>
      <c r="BA101" s="106">
        <v>8332.7999999999993</v>
      </c>
      <c r="BB101" s="106">
        <v>10</v>
      </c>
      <c r="BC101" s="106">
        <v>11903.999999999998</v>
      </c>
      <c r="BD101" s="106">
        <v>8</v>
      </c>
      <c r="BE101" s="106">
        <v>9523.1999999999989</v>
      </c>
      <c r="BF101" s="106">
        <v>8</v>
      </c>
      <c r="BG101" s="106">
        <v>9523.1999999999989</v>
      </c>
      <c r="BH101" s="106">
        <v>7</v>
      </c>
      <c r="BI101" s="106">
        <v>8332.7999999999993</v>
      </c>
      <c r="BJ101" s="106">
        <v>6</v>
      </c>
      <c r="BK101" s="106">
        <v>7142.4</v>
      </c>
      <c r="BL101" s="106">
        <v>6</v>
      </c>
      <c r="BM101" s="106">
        <v>7142.4</v>
      </c>
      <c r="BN101" s="106">
        <v>10</v>
      </c>
      <c r="BO101" s="106">
        <v>11903.999999999998</v>
      </c>
      <c r="BP101" s="106">
        <v>4</v>
      </c>
      <c r="BQ101" s="106">
        <v>4761.5999999999995</v>
      </c>
      <c r="BR101" s="106">
        <v>4</v>
      </c>
      <c r="BS101" s="106">
        <v>4761.5999999999995</v>
      </c>
      <c r="BT101" s="106">
        <v>3</v>
      </c>
      <c r="BU101" s="106">
        <v>3571.2</v>
      </c>
      <c r="BV101" s="106">
        <v>3</v>
      </c>
      <c r="BW101" s="106">
        <v>3571.2</v>
      </c>
      <c r="BX101" s="106">
        <v>7</v>
      </c>
      <c r="BY101" s="106">
        <v>8332.7999999999993</v>
      </c>
      <c r="BZ101" s="106">
        <v>7</v>
      </c>
      <c r="CA101" s="106">
        <v>8332.7999999999993</v>
      </c>
      <c r="CB101" s="106">
        <v>10</v>
      </c>
      <c r="CC101" s="106">
        <v>11903.999999999998</v>
      </c>
      <c r="CD101" s="106">
        <v>13</v>
      </c>
      <c r="CE101" s="106">
        <v>15475.199999999999</v>
      </c>
      <c r="CF101" s="106">
        <v>6</v>
      </c>
      <c r="CG101" s="106">
        <v>7142.4</v>
      </c>
      <c r="CH101" s="106">
        <v>4</v>
      </c>
      <c r="CI101" s="106">
        <v>4761.5999999999995</v>
      </c>
      <c r="CJ101" s="106">
        <v>5</v>
      </c>
      <c r="CK101" s="106">
        <v>5951.9999999999991</v>
      </c>
      <c r="CL101" s="106">
        <v>6</v>
      </c>
      <c r="CM101" s="106">
        <v>7142.4</v>
      </c>
      <c r="CN101" s="106">
        <v>7</v>
      </c>
      <c r="CO101" s="106">
        <v>8332.7999999999993</v>
      </c>
      <c r="CP101" s="106">
        <v>8</v>
      </c>
      <c r="CQ101" s="106">
        <v>9523.1999999999989</v>
      </c>
      <c r="CR101" s="106">
        <v>7</v>
      </c>
      <c r="CS101" s="106">
        <v>8332.7999999999993</v>
      </c>
      <c r="CT101" s="106">
        <v>6</v>
      </c>
      <c r="CU101" s="106">
        <v>7142.4</v>
      </c>
    </row>
    <row r="102" spans="2:99" x14ac:dyDescent="0.2">
      <c r="C102" s="105" t="s">
        <v>269</v>
      </c>
      <c r="D102" s="106">
        <v>10</v>
      </c>
      <c r="E102" s="106">
        <v>19392</v>
      </c>
      <c r="F102" s="106">
        <v>12</v>
      </c>
      <c r="G102" s="106">
        <v>23270.399999999998</v>
      </c>
      <c r="H102" s="106">
        <v>9</v>
      </c>
      <c r="I102" s="106">
        <v>17452.8</v>
      </c>
      <c r="J102" s="106">
        <v>17</v>
      </c>
      <c r="K102" s="106">
        <v>32966.399999999994</v>
      </c>
      <c r="L102" s="106">
        <v>25</v>
      </c>
      <c r="M102" s="106">
        <v>48479.999999999993</v>
      </c>
      <c r="N102" s="106">
        <v>21</v>
      </c>
      <c r="O102" s="106">
        <v>40723.199999999997</v>
      </c>
      <c r="P102" s="106">
        <v>22</v>
      </c>
      <c r="Q102" s="106">
        <v>42662.399999999994</v>
      </c>
      <c r="R102" s="106">
        <v>32</v>
      </c>
      <c r="S102" s="106">
        <v>62054.399999999994</v>
      </c>
      <c r="T102" s="106">
        <v>16</v>
      </c>
      <c r="U102" s="106">
        <v>31027.199999999997</v>
      </c>
      <c r="V102" s="106">
        <v>13</v>
      </c>
      <c r="W102" s="106">
        <v>25209.599999999999</v>
      </c>
      <c r="X102" s="106">
        <v>12</v>
      </c>
      <c r="Y102" s="106">
        <v>23270.399999999998</v>
      </c>
      <c r="Z102" s="106">
        <v>13</v>
      </c>
      <c r="AA102" s="106">
        <v>25209.599999999999</v>
      </c>
      <c r="AB102" s="106">
        <v>6</v>
      </c>
      <c r="AC102" s="106">
        <v>11635.199999999999</v>
      </c>
      <c r="AD102" s="106">
        <v>7</v>
      </c>
      <c r="AE102" s="106">
        <v>13574.399999999998</v>
      </c>
      <c r="AF102" s="106">
        <v>8</v>
      </c>
      <c r="AG102" s="106">
        <v>15513.599999999999</v>
      </c>
      <c r="AH102" s="106">
        <v>6</v>
      </c>
      <c r="AI102" s="106">
        <v>11635.199999999999</v>
      </c>
      <c r="AJ102" s="106">
        <v>7</v>
      </c>
      <c r="AK102" s="106">
        <v>13574.399999999998</v>
      </c>
      <c r="AL102" s="106">
        <v>10</v>
      </c>
      <c r="AM102" s="106">
        <v>19392</v>
      </c>
      <c r="AN102" s="106">
        <v>7</v>
      </c>
      <c r="AO102" s="106">
        <v>13574.399999999998</v>
      </c>
      <c r="AP102" s="106">
        <v>10</v>
      </c>
      <c r="AQ102" s="106">
        <v>19392</v>
      </c>
      <c r="AR102" s="106">
        <v>3</v>
      </c>
      <c r="AS102" s="106">
        <v>5817.5999999999995</v>
      </c>
      <c r="AT102" s="106">
        <v>4</v>
      </c>
      <c r="AU102" s="106">
        <v>7756.7999999999993</v>
      </c>
      <c r="AV102" s="106">
        <v>5</v>
      </c>
      <c r="AW102" s="106">
        <v>9696</v>
      </c>
      <c r="AX102" s="106">
        <v>4</v>
      </c>
      <c r="AY102" s="106">
        <v>7756.7999999999993</v>
      </c>
      <c r="AZ102" s="106">
        <v>6</v>
      </c>
      <c r="BA102" s="106">
        <v>11635.199999999999</v>
      </c>
      <c r="BB102" s="106">
        <v>9</v>
      </c>
      <c r="BC102" s="106">
        <v>17452.8</v>
      </c>
      <c r="BD102" s="106">
        <v>7</v>
      </c>
      <c r="BE102" s="106">
        <v>13574.399999999998</v>
      </c>
      <c r="BF102" s="106">
        <v>8</v>
      </c>
      <c r="BG102" s="106">
        <v>15513.599999999999</v>
      </c>
      <c r="BH102" s="106">
        <v>8</v>
      </c>
      <c r="BI102" s="106">
        <v>15513.599999999999</v>
      </c>
      <c r="BJ102" s="106">
        <v>6</v>
      </c>
      <c r="BK102" s="106">
        <v>11635.199999999999</v>
      </c>
      <c r="BL102" s="106">
        <v>5</v>
      </c>
      <c r="BM102" s="106">
        <v>9696</v>
      </c>
      <c r="BN102" s="106">
        <v>11</v>
      </c>
      <c r="BO102" s="106">
        <v>21331.199999999997</v>
      </c>
      <c r="BP102" s="106">
        <v>4</v>
      </c>
      <c r="BQ102" s="106">
        <v>7756.7999999999993</v>
      </c>
      <c r="BR102" s="106">
        <v>4</v>
      </c>
      <c r="BS102" s="106">
        <v>7756.7999999999993</v>
      </c>
      <c r="BT102" s="106">
        <v>3</v>
      </c>
      <c r="BU102" s="106">
        <v>5817.5999999999995</v>
      </c>
      <c r="BV102" s="106">
        <v>3</v>
      </c>
      <c r="BW102" s="106">
        <v>5817.5999999999995</v>
      </c>
      <c r="BX102" s="106">
        <v>7</v>
      </c>
      <c r="BY102" s="106">
        <v>13574.399999999998</v>
      </c>
      <c r="BZ102" s="106">
        <v>7</v>
      </c>
      <c r="CA102" s="106">
        <v>13574.399999999998</v>
      </c>
      <c r="CB102" s="106">
        <v>10</v>
      </c>
      <c r="CC102" s="106">
        <v>19392</v>
      </c>
      <c r="CD102" s="106">
        <v>11</v>
      </c>
      <c r="CE102" s="106">
        <v>21331.199999999997</v>
      </c>
      <c r="CF102" s="106">
        <v>7</v>
      </c>
      <c r="CG102" s="106">
        <v>13574.399999999998</v>
      </c>
      <c r="CH102" s="106">
        <v>5</v>
      </c>
      <c r="CI102" s="106">
        <v>9696</v>
      </c>
      <c r="CJ102" s="106">
        <v>5</v>
      </c>
      <c r="CK102" s="106">
        <v>9696</v>
      </c>
      <c r="CL102" s="106">
        <v>6</v>
      </c>
      <c r="CM102" s="106">
        <v>11635.199999999999</v>
      </c>
      <c r="CN102" s="106">
        <v>6</v>
      </c>
      <c r="CO102" s="106">
        <v>11635.199999999999</v>
      </c>
      <c r="CP102" s="106">
        <v>8</v>
      </c>
      <c r="CQ102" s="106">
        <v>15513.599999999999</v>
      </c>
      <c r="CR102" s="106">
        <v>7</v>
      </c>
      <c r="CS102" s="106">
        <v>13574.399999999998</v>
      </c>
      <c r="CT102" s="106">
        <v>6</v>
      </c>
      <c r="CU102" s="106">
        <v>11635.199999999999</v>
      </c>
    </row>
    <row r="103" spans="2:99" x14ac:dyDescent="0.2">
      <c r="C103" s="105" t="s">
        <v>270</v>
      </c>
      <c r="D103" s="106">
        <v>9</v>
      </c>
      <c r="E103" s="106">
        <v>18252</v>
      </c>
      <c r="F103" s="106">
        <v>10</v>
      </c>
      <c r="G103" s="106">
        <v>20280</v>
      </c>
      <c r="H103" s="106">
        <v>8</v>
      </c>
      <c r="I103" s="106">
        <v>16224</v>
      </c>
      <c r="J103" s="106">
        <v>14</v>
      </c>
      <c r="K103" s="106">
        <v>28392</v>
      </c>
      <c r="L103" s="106">
        <v>27</v>
      </c>
      <c r="M103" s="106">
        <v>54756</v>
      </c>
      <c r="N103" s="106">
        <v>21</v>
      </c>
      <c r="O103" s="106">
        <v>42588</v>
      </c>
      <c r="P103" s="106">
        <v>25</v>
      </c>
      <c r="Q103" s="106">
        <v>50700</v>
      </c>
      <c r="R103" s="106">
        <v>30</v>
      </c>
      <c r="S103" s="106">
        <v>60840</v>
      </c>
      <c r="T103" s="106">
        <v>17</v>
      </c>
      <c r="U103" s="106">
        <v>34476</v>
      </c>
      <c r="V103" s="106">
        <v>13</v>
      </c>
      <c r="W103" s="106">
        <v>26364</v>
      </c>
      <c r="X103" s="106">
        <v>13</v>
      </c>
      <c r="Y103" s="106">
        <v>26364</v>
      </c>
      <c r="Z103" s="106">
        <v>12</v>
      </c>
      <c r="AA103" s="106">
        <v>24336</v>
      </c>
      <c r="AB103" s="106">
        <v>6</v>
      </c>
      <c r="AC103" s="106">
        <v>12168</v>
      </c>
      <c r="AD103" s="106">
        <v>7</v>
      </c>
      <c r="AE103" s="106">
        <v>14196</v>
      </c>
      <c r="AF103" s="106">
        <v>7</v>
      </c>
      <c r="AG103" s="106">
        <v>14196</v>
      </c>
      <c r="AH103" s="106">
        <v>5</v>
      </c>
      <c r="AI103" s="106">
        <v>10140</v>
      </c>
      <c r="AJ103" s="106">
        <v>7</v>
      </c>
      <c r="AK103" s="106">
        <v>14196</v>
      </c>
      <c r="AL103" s="106">
        <v>9</v>
      </c>
      <c r="AM103" s="106">
        <v>18252</v>
      </c>
      <c r="AN103" s="106">
        <v>7</v>
      </c>
      <c r="AO103" s="106">
        <v>14196</v>
      </c>
      <c r="AP103" s="106">
        <v>10</v>
      </c>
      <c r="AQ103" s="106">
        <v>20280</v>
      </c>
      <c r="AR103" s="106">
        <v>3</v>
      </c>
      <c r="AS103" s="106">
        <v>6084</v>
      </c>
      <c r="AT103" s="106">
        <v>4</v>
      </c>
      <c r="AU103" s="106">
        <v>8112</v>
      </c>
      <c r="AV103" s="106">
        <v>5</v>
      </c>
      <c r="AW103" s="106">
        <v>10140</v>
      </c>
      <c r="AX103" s="106">
        <v>5</v>
      </c>
      <c r="AY103" s="106">
        <v>10140</v>
      </c>
      <c r="AZ103" s="106">
        <v>6</v>
      </c>
      <c r="BA103" s="106">
        <v>12168</v>
      </c>
      <c r="BB103" s="106">
        <v>9</v>
      </c>
      <c r="BC103" s="106">
        <v>18252</v>
      </c>
      <c r="BD103" s="106">
        <v>8</v>
      </c>
      <c r="BE103" s="106">
        <v>16224</v>
      </c>
      <c r="BF103" s="106">
        <v>8</v>
      </c>
      <c r="BG103" s="106">
        <v>16224</v>
      </c>
      <c r="BH103" s="106">
        <v>7</v>
      </c>
      <c r="BI103" s="106">
        <v>14196</v>
      </c>
      <c r="BJ103" s="106">
        <v>5</v>
      </c>
      <c r="BK103" s="106">
        <v>10140</v>
      </c>
      <c r="BL103" s="106">
        <v>6</v>
      </c>
      <c r="BM103" s="106">
        <v>12168</v>
      </c>
      <c r="BN103" s="106">
        <v>10</v>
      </c>
      <c r="BO103" s="106">
        <v>20280</v>
      </c>
      <c r="BP103" s="106">
        <v>4</v>
      </c>
      <c r="BQ103" s="106">
        <v>8112</v>
      </c>
      <c r="BR103" s="106">
        <v>3</v>
      </c>
      <c r="BS103" s="106">
        <v>6084</v>
      </c>
      <c r="BT103" s="106">
        <v>3</v>
      </c>
      <c r="BU103" s="106">
        <v>6084</v>
      </c>
      <c r="BV103" s="106">
        <v>3</v>
      </c>
      <c r="BW103" s="106">
        <v>6084</v>
      </c>
      <c r="BX103" s="106">
        <v>7</v>
      </c>
      <c r="BY103" s="106">
        <v>14196</v>
      </c>
      <c r="BZ103" s="106">
        <v>7</v>
      </c>
      <c r="CA103" s="106">
        <v>14196</v>
      </c>
      <c r="CB103" s="106">
        <v>9</v>
      </c>
      <c r="CC103" s="106">
        <v>18252</v>
      </c>
      <c r="CD103" s="106">
        <v>11</v>
      </c>
      <c r="CE103" s="106">
        <v>22308</v>
      </c>
      <c r="CF103" s="106">
        <v>6</v>
      </c>
      <c r="CG103" s="106">
        <v>12168</v>
      </c>
      <c r="CH103" s="106">
        <v>5</v>
      </c>
      <c r="CI103" s="106">
        <v>10140</v>
      </c>
      <c r="CJ103" s="106">
        <v>5</v>
      </c>
      <c r="CK103" s="106">
        <v>10140</v>
      </c>
      <c r="CL103" s="106">
        <v>6</v>
      </c>
      <c r="CM103" s="106">
        <v>12168</v>
      </c>
      <c r="CN103" s="106">
        <v>6</v>
      </c>
      <c r="CO103" s="106">
        <v>12168</v>
      </c>
      <c r="CP103" s="106">
        <v>8</v>
      </c>
      <c r="CQ103" s="106">
        <v>16224</v>
      </c>
      <c r="CR103" s="106">
        <v>6</v>
      </c>
      <c r="CS103" s="106">
        <v>12168</v>
      </c>
      <c r="CT103" s="106">
        <v>6</v>
      </c>
      <c r="CU103" s="106">
        <v>12168</v>
      </c>
    </row>
    <row r="104" spans="2:99" x14ac:dyDescent="0.2">
      <c r="C104" s="105" t="s">
        <v>271</v>
      </c>
      <c r="D104" s="106">
        <v>9</v>
      </c>
      <c r="E104" s="106">
        <v>18651.600000000002</v>
      </c>
      <c r="F104" s="106">
        <v>11</v>
      </c>
      <c r="G104" s="106">
        <v>22796.400000000001</v>
      </c>
      <c r="H104" s="106">
        <v>9</v>
      </c>
      <c r="I104" s="106">
        <v>18651.600000000002</v>
      </c>
      <c r="J104" s="106">
        <v>15</v>
      </c>
      <c r="K104" s="106">
        <v>31086</v>
      </c>
      <c r="L104" s="106">
        <v>26</v>
      </c>
      <c r="M104" s="106">
        <v>53882.400000000001</v>
      </c>
      <c r="N104" s="106">
        <v>20</v>
      </c>
      <c r="O104" s="106">
        <v>41448</v>
      </c>
      <c r="P104" s="106">
        <v>22</v>
      </c>
      <c r="Q104" s="106">
        <v>45592.800000000003</v>
      </c>
      <c r="R104" s="106">
        <v>28</v>
      </c>
      <c r="S104" s="106">
        <v>58027.200000000004</v>
      </c>
      <c r="T104" s="106">
        <v>17</v>
      </c>
      <c r="U104" s="106">
        <v>35230.800000000003</v>
      </c>
      <c r="V104" s="106">
        <v>14</v>
      </c>
      <c r="W104" s="106">
        <v>29013.600000000002</v>
      </c>
      <c r="X104" s="106">
        <v>13</v>
      </c>
      <c r="Y104" s="106">
        <v>26941.200000000001</v>
      </c>
      <c r="Z104" s="106">
        <v>12</v>
      </c>
      <c r="AA104" s="106">
        <v>24868.800000000003</v>
      </c>
      <c r="AB104" s="106">
        <v>5</v>
      </c>
      <c r="AC104" s="106">
        <v>10362</v>
      </c>
      <c r="AD104" s="106">
        <v>7</v>
      </c>
      <c r="AE104" s="106">
        <v>14506.800000000001</v>
      </c>
      <c r="AF104" s="106">
        <v>7</v>
      </c>
      <c r="AG104" s="106">
        <v>14506.800000000001</v>
      </c>
      <c r="AH104" s="106">
        <v>5</v>
      </c>
      <c r="AI104" s="106">
        <v>10362</v>
      </c>
      <c r="AJ104" s="106">
        <v>8</v>
      </c>
      <c r="AK104" s="106">
        <v>16579.2</v>
      </c>
      <c r="AL104" s="106">
        <v>10</v>
      </c>
      <c r="AM104" s="106">
        <v>20724</v>
      </c>
      <c r="AN104" s="106">
        <v>8</v>
      </c>
      <c r="AO104" s="106">
        <v>16579.2</v>
      </c>
      <c r="AP104" s="106">
        <v>10</v>
      </c>
      <c r="AQ104" s="106">
        <v>20724</v>
      </c>
      <c r="AR104" s="106">
        <v>3</v>
      </c>
      <c r="AS104" s="106">
        <v>6217.2000000000007</v>
      </c>
      <c r="AT104" s="106">
        <v>4</v>
      </c>
      <c r="AU104" s="106">
        <v>8289.6</v>
      </c>
      <c r="AV104" s="106">
        <v>4</v>
      </c>
      <c r="AW104" s="106">
        <v>8289.6</v>
      </c>
      <c r="AX104" s="106">
        <v>4</v>
      </c>
      <c r="AY104" s="106">
        <v>8289.6</v>
      </c>
      <c r="AZ104" s="106">
        <v>6</v>
      </c>
      <c r="BA104" s="106">
        <v>12434.400000000001</v>
      </c>
      <c r="BB104" s="106">
        <v>8</v>
      </c>
      <c r="BC104" s="106">
        <v>16579.2</v>
      </c>
      <c r="BD104" s="106">
        <v>8</v>
      </c>
      <c r="BE104" s="106">
        <v>16579.2</v>
      </c>
      <c r="BF104" s="106">
        <v>8</v>
      </c>
      <c r="BG104" s="106">
        <v>16579.2</v>
      </c>
      <c r="BH104" s="106">
        <v>8</v>
      </c>
      <c r="BI104" s="106">
        <v>16579.2</v>
      </c>
      <c r="BJ104" s="106">
        <v>6</v>
      </c>
      <c r="BK104" s="106">
        <v>12434.400000000001</v>
      </c>
      <c r="BL104" s="106">
        <v>5</v>
      </c>
      <c r="BM104" s="106">
        <v>10362</v>
      </c>
      <c r="BN104" s="106">
        <v>9</v>
      </c>
      <c r="BO104" s="106">
        <v>18651.600000000002</v>
      </c>
      <c r="BP104" s="106">
        <v>4</v>
      </c>
      <c r="BQ104" s="106">
        <v>8289.6</v>
      </c>
      <c r="BR104" s="106">
        <v>4</v>
      </c>
      <c r="BS104" s="106">
        <v>8289.6</v>
      </c>
      <c r="BT104" s="106">
        <v>3</v>
      </c>
      <c r="BU104" s="106">
        <v>6217.2000000000007</v>
      </c>
      <c r="BV104" s="106">
        <v>3</v>
      </c>
      <c r="BW104" s="106">
        <v>6217.2000000000007</v>
      </c>
      <c r="BX104" s="106">
        <v>6</v>
      </c>
      <c r="BY104" s="106">
        <v>12434.400000000001</v>
      </c>
      <c r="BZ104" s="106">
        <v>6</v>
      </c>
      <c r="CA104" s="106">
        <v>12434.400000000001</v>
      </c>
      <c r="CB104" s="106">
        <v>10</v>
      </c>
      <c r="CC104" s="106">
        <v>20724</v>
      </c>
      <c r="CD104" s="106">
        <v>12</v>
      </c>
      <c r="CE104" s="106">
        <v>24868.800000000003</v>
      </c>
      <c r="CF104" s="106">
        <v>7</v>
      </c>
      <c r="CG104" s="106">
        <v>14506.800000000001</v>
      </c>
      <c r="CH104" s="106">
        <v>4</v>
      </c>
      <c r="CI104" s="106">
        <v>8289.6</v>
      </c>
      <c r="CJ104" s="106">
        <v>5</v>
      </c>
      <c r="CK104" s="106">
        <v>10362</v>
      </c>
      <c r="CL104" s="106">
        <v>7</v>
      </c>
      <c r="CM104" s="106">
        <v>14506.800000000001</v>
      </c>
      <c r="CN104" s="106">
        <v>6</v>
      </c>
      <c r="CO104" s="106">
        <v>12434.400000000001</v>
      </c>
      <c r="CP104" s="106">
        <v>8</v>
      </c>
      <c r="CQ104" s="106">
        <v>16579.2</v>
      </c>
      <c r="CR104" s="106">
        <v>7</v>
      </c>
      <c r="CS104" s="106">
        <v>14506.800000000001</v>
      </c>
      <c r="CT104" s="106">
        <v>6</v>
      </c>
      <c r="CU104" s="106">
        <v>12434.400000000001</v>
      </c>
    </row>
    <row r="105" spans="2:99" x14ac:dyDescent="0.2">
      <c r="C105" s="105" t="s">
        <v>272</v>
      </c>
      <c r="D105" s="106">
        <v>11</v>
      </c>
      <c r="E105" s="106">
        <v>21978</v>
      </c>
      <c r="F105" s="106">
        <v>11</v>
      </c>
      <c r="G105" s="106">
        <v>21978</v>
      </c>
      <c r="H105" s="106">
        <v>9</v>
      </c>
      <c r="I105" s="106">
        <v>17982</v>
      </c>
      <c r="J105" s="106">
        <v>16</v>
      </c>
      <c r="K105" s="106">
        <v>31968</v>
      </c>
      <c r="L105" s="106">
        <v>26</v>
      </c>
      <c r="M105" s="106">
        <v>51948</v>
      </c>
      <c r="N105" s="106">
        <v>19</v>
      </c>
      <c r="O105" s="106">
        <v>37962</v>
      </c>
      <c r="P105" s="106">
        <v>25</v>
      </c>
      <c r="Q105" s="106">
        <v>49950</v>
      </c>
      <c r="R105" s="106">
        <v>29</v>
      </c>
      <c r="S105" s="106">
        <v>57942</v>
      </c>
      <c r="T105" s="106">
        <v>16</v>
      </c>
      <c r="U105" s="106">
        <v>31968</v>
      </c>
      <c r="V105" s="106">
        <v>13</v>
      </c>
      <c r="W105" s="106">
        <v>25974</v>
      </c>
      <c r="X105" s="106">
        <v>12</v>
      </c>
      <c r="Y105" s="106">
        <v>23976</v>
      </c>
      <c r="Z105" s="106">
        <v>14</v>
      </c>
      <c r="AA105" s="106">
        <v>27972</v>
      </c>
      <c r="AB105" s="106">
        <v>6</v>
      </c>
      <c r="AC105" s="106">
        <v>11988</v>
      </c>
      <c r="AD105" s="106">
        <v>7</v>
      </c>
      <c r="AE105" s="106">
        <v>13986</v>
      </c>
      <c r="AF105" s="106">
        <v>8</v>
      </c>
      <c r="AG105" s="106">
        <v>15984</v>
      </c>
      <c r="AH105" s="106">
        <v>6</v>
      </c>
      <c r="AI105" s="106">
        <v>11988</v>
      </c>
      <c r="AJ105" s="106">
        <v>8</v>
      </c>
      <c r="AK105" s="106">
        <v>15984</v>
      </c>
      <c r="AL105" s="106">
        <v>10</v>
      </c>
      <c r="AM105" s="106">
        <v>19980</v>
      </c>
      <c r="AN105" s="106">
        <v>7</v>
      </c>
      <c r="AO105" s="106">
        <v>13986</v>
      </c>
      <c r="AP105" s="106">
        <v>10</v>
      </c>
      <c r="AQ105" s="106">
        <v>19980</v>
      </c>
      <c r="AR105" s="106">
        <v>3</v>
      </c>
      <c r="AS105" s="106">
        <v>5994</v>
      </c>
      <c r="AT105" s="106">
        <v>4</v>
      </c>
      <c r="AU105" s="106">
        <v>7992</v>
      </c>
      <c r="AV105" s="106">
        <v>4</v>
      </c>
      <c r="AW105" s="106">
        <v>7992</v>
      </c>
      <c r="AX105" s="106">
        <v>4</v>
      </c>
      <c r="AY105" s="106">
        <v>7992</v>
      </c>
      <c r="AZ105" s="106">
        <v>6</v>
      </c>
      <c r="BA105" s="106">
        <v>11988</v>
      </c>
      <c r="BB105" s="106">
        <v>8</v>
      </c>
      <c r="BC105" s="106">
        <v>15984</v>
      </c>
      <c r="BD105" s="106">
        <v>7</v>
      </c>
      <c r="BE105" s="106">
        <v>13986</v>
      </c>
      <c r="BF105" s="106">
        <v>7</v>
      </c>
      <c r="BG105" s="106">
        <v>13986</v>
      </c>
      <c r="BH105" s="106">
        <v>7</v>
      </c>
      <c r="BI105" s="106">
        <v>13986</v>
      </c>
      <c r="BJ105" s="106">
        <v>5</v>
      </c>
      <c r="BK105" s="106">
        <v>9990</v>
      </c>
      <c r="BL105" s="106">
        <v>5</v>
      </c>
      <c r="BM105" s="106">
        <v>9990</v>
      </c>
      <c r="BN105" s="106">
        <v>9</v>
      </c>
      <c r="BO105" s="106">
        <v>17982</v>
      </c>
      <c r="BP105" s="106">
        <v>4</v>
      </c>
      <c r="BQ105" s="106">
        <v>7992</v>
      </c>
      <c r="BR105" s="106">
        <v>3</v>
      </c>
      <c r="BS105" s="106">
        <v>5994</v>
      </c>
      <c r="BT105" s="106">
        <v>3</v>
      </c>
      <c r="BU105" s="106">
        <v>5994</v>
      </c>
      <c r="BV105" s="106">
        <v>3</v>
      </c>
      <c r="BW105" s="106">
        <v>5994</v>
      </c>
      <c r="BX105" s="106">
        <v>6</v>
      </c>
      <c r="BY105" s="106">
        <v>11988</v>
      </c>
      <c r="BZ105" s="106">
        <v>6</v>
      </c>
      <c r="CA105" s="106">
        <v>11988</v>
      </c>
      <c r="CB105" s="106">
        <v>9</v>
      </c>
      <c r="CC105" s="106">
        <v>17982</v>
      </c>
      <c r="CD105" s="106">
        <v>11</v>
      </c>
      <c r="CE105" s="106">
        <v>21978</v>
      </c>
      <c r="CF105" s="106">
        <v>7</v>
      </c>
      <c r="CG105" s="106">
        <v>13986</v>
      </c>
      <c r="CH105" s="106">
        <v>5</v>
      </c>
      <c r="CI105" s="106">
        <v>9990</v>
      </c>
      <c r="CJ105" s="106">
        <v>5</v>
      </c>
      <c r="CK105" s="106">
        <v>9990</v>
      </c>
      <c r="CL105" s="106">
        <v>6</v>
      </c>
      <c r="CM105" s="106">
        <v>11988</v>
      </c>
      <c r="CN105" s="106">
        <v>6</v>
      </c>
      <c r="CO105" s="106">
        <v>11988</v>
      </c>
      <c r="CP105" s="106">
        <v>8</v>
      </c>
      <c r="CQ105" s="106">
        <v>15984</v>
      </c>
      <c r="CR105" s="106">
        <v>6</v>
      </c>
      <c r="CS105" s="106">
        <v>11988</v>
      </c>
      <c r="CT105" s="106">
        <v>6</v>
      </c>
      <c r="CU105" s="106">
        <v>11988</v>
      </c>
    </row>
    <row r="107" spans="2:99" x14ac:dyDescent="0.2">
      <c r="B107" s="110" t="s">
        <v>277</v>
      </c>
    </row>
    <row r="108" spans="2:99" x14ac:dyDescent="0.2">
      <c r="C108" s="105" t="s">
        <v>278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49</v>
      </c>
      <c r="E112" s="106">
        <f>SUM(L$49:L$70)+SUM(N$49:N$70)+SUM(P$49:P$70)+SUM(R$49:R$70)</f>
        <v>50</v>
      </c>
      <c r="F112" s="106">
        <f>SUM(T$49:T$70)+SUM(V$49:V$70)+SUM(X$49:X$70)+SUM(Z$49:Z$70)</f>
        <v>425</v>
      </c>
      <c r="G112" s="106">
        <f>SUM(AB$49:AB$70)+SUM(AD$49:AD$70)+SUM(AF$49:AF$70)+SUM(AH$49:AH$70)</f>
        <v>111</v>
      </c>
      <c r="H112" s="106">
        <f>SUM(AJ$49:AJ$70)+SUM(AL$49:AL$70)+SUM(AN$49:AN$70)+SUM(AP$49:AP$70)</f>
        <v>174</v>
      </c>
      <c r="I112" s="106">
        <f>SUM(AR$49:AR$70)+SUM(AT$49:AT$70)+SUM(AV$49:AV$70)+SUM(AX$49:AX$70)</f>
        <v>37</v>
      </c>
      <c r="J112" s="106">
        <f>SUM(AZ$49:AZ$70)+SUM(BB$49:BB$70)+SUM(BD$49:BD$70)+SUM(BF$49:BF$70)</f>
        <v>48</v>
      </c>
      <c r="K112" s="106">
        <f>SUM(BH$49:BH$70)+SUM(BJ$49:BJ$70)+SUM(BL$49:BL$70)+SUM(BN$49:BN$70)</f>
        <v>57</v>
      </c>
      <c r="L112" s="106">
        <f>SUM(BP$49:BP$70)+SUM(BR$49:BR$70)+SUM(BT$49:BT$70)+SUM(BV$49:BV$70)</f>
        <v>102</v>
      </c>
      <c r="M112" s="106">
        <f>SUM(BX$49:BX$70)+SUM(BZ$49:BZ$70)+SUM(CB$49:CB$70)+SUM(CD$49:CD$70)</f>
        <v>42</v>
      </c>
      <c r="N112" s="106">
        <f>SUM(CF$49:CF$70)+SUM(CH$49:CH$70)+SUM(CJ$49:CJ$70)+SUM(CL$49:CL$70)</f>
        <v>638</v>
      </c>
      <c r="O112" s="106">
        <f>SUM(CN$49:CN$70)+SUM(CP$49:CP$70)+SUM(CR$49:CR$70)+SUM(CT$49:CT$70)</f>
        <v>84</v>
      </c>
    </row>
    <row r="113" spans="2:15" x14ac:dyDescent="0.2">
      <c r="C113" s="105" t="s">
        <v>130</v>
      </c>
      <c r="D113" s="106">
        <f>SUM(D$71:D$86)+SUM(F$71:F$86)+SUM(H$71:H$86)+SUM(J$71:J$86)</f>
        <v>1491</v>
      </c>
      <c r="E113" s="106">
        <f>SUM(L$71:L$86)+SUM(N$71:N$86)+SUM(P$71:P$86)+SUM(R$71:R$86)</f>
        <v>1755</v>
      </c>
      <c r="F113" s="106">
        <f>SUM(T$71:T$86)+SUM(V$71:V$86)+SUM(X$71:X$86)+SUM(Z$71:Z$86)</f>
        <v>839</v>
      </c>
      <c r="G113" s="106">
        <f>SUM(AB$71:AB$86)+SUM(AD$71:AD$86)+SUM(AF$71:AF$86)+SUM(AH$71:AH$86)</f>
        <v>722</v>
      </c>
      <c r="H113" s="106">
        <f>SUM(AJ$71:AJ$86)+SUM(AL$71:AL$86)+SUM(AN$71:AN$86)+SUM(AP$71:AP$86)</f>
        <v>1625</v>
      </c>
      <c r="I113" s="106">
        <f>SUM(AR$71:AR$86)+SUM(AT$71:AT$86)+SUM(AV$71:AV$86)+SUM(AX$71:AX$86)</f>
        <v>2254</v>
      </c>
      <c r="J113" s="106">
        <f>SUM(AZ$71:AZ$86)+SUM(BB$71:BB$86)+SUM(BD$71:BD$86)+SUM(BF$71:BF$86)</f>
        <v>197</v>
      </c>
      <c r="K113" s="106">
        <f>SUM(BH$71:BH$86)+SUM(BJ$71:BJ$86)+SUM(BL$71:BL$86)+SUM(BN$71:BN$86)</f>
        <v>201</v>
      </c>
      <c r="L113" s="106">
        <f>SUM(BP$71:BP$86)+SUM(BR$71:BR$86)+SUM(BT$71:BT$86)+SUM(BV$71:BV$86)</f>
        <v>243</v>
      </c>
      <c r="M113" s="106">
        <f>SUM(BX$71:BX$86)+SUM(BZ$71:BZ$86)+SUM(CB$71:CB$86)+SUM(CD$71:CD$86)</f>
        <v>1467</v>
      </c>
      <c r="N113" s="106">
        <f>SUM(CF$71:CF$86)+SUM(CH$71:CH$86)+SUM(CJ$71:CJ$86)+SUM(CL$71:CL$86)</f>
        <v>188</v>
      </c>
      <c r="O113" s="106">
        <f>SUM(CN$71:CN$86)+SUM(CP$71:CP$86)+SUM(CR$71:CR$86)+SUM(CT$71:CT$86)</f>
        <v>286</v>
      </c>
    </row>
    <row r="114" spans="2:15" x14ac:dyDescent="0.2">
      <c r="C114" s="105" t="s">
        <v>131</v>
      </c>
      <c r="D114" s="106">
        <f>SUM(D$87:D$94)+SUM(F$87:F$94)+SUM(H$87:H$94)+SUM(J$87:J$94)</f>
        <v>117</v>
      </c>
      <c r="E114" s="106">
        <f>SUM(L$87:L$94)+SUM(N$87:N$94)+SUM(P$87:P$94)+SUM(R$87:R$94)</f>
        <v>219</v>
      </c>
      <c r="F114" s="106">
        <f>SUM(T$87:T$94)+SUM(V$87:V$94)+SUM(X$87:X$94)+SUM(Z$87:Z$94)</f>
        <v>213</v>
      </c>
      <c r="G114" s="106">
        <f>SUM(AB$87:AB$94)+SUM(AD$87:AD$94)+SUM(AF$87:AF$94)+SUM(AH$87:AH$94)</f>
        <v>403</v>
      </c>
      <c r="H114" s="106">
        <f>SUM(AJ$87:AJ$94)+SUM(AL$87:AL$94)+SUM(AN$87:AN$94)+SUM(AP$87:AP$94)</f>
        <v>335</v>
      </c>
      <c r="I114" s="106">
        <f>SUM(AR$87:AR$94)+SUM(AT$87:AT$94)+SUM(AV$87:AV$94)+SUM(AX$87:AX$94)</f>
        <v>592</v>
      </c>
      <c r="J114" s="106">
        <f>SUM(AZ$87:AZ$94)+SUM(BB$87:BB$94)+SUM(BD$87:BD$94)+SUM(BF$87:BF$94)</f>
        <v>119</v>
      </c>
      <c r="K114" s="106">
        <f>SUM(BH$87:BH$94)+SUM(BJ$87:BJ$94)+SUM(BL$87:BL$94)+SUM(BN$87:BN$94)</f>
        <v>297</v>
      </c>
      <c r="L114" s="106">
        <f>SUM(BP$87:BP$94)+SUM(BR$87:BR$94)+SUM(BT$87:BT$94)+SUM(BV$87:BV$94)</f>
        <v>595</v>
      </c>
      <c r="M114" s="106">
        <f>SUM(BX$87:BX$94)+SUM(BZ$87:BZ$94)+SUM(CB$87:CB$94)+SUM(CD$87:CD$94)</f>
        <v>313</v>
      </c>
      <c r="N114" s="106">
        <f>SUM(CF$87:CF$94)+SUM(CH$87:CH$94)+SUM(CJ$87:CJ$94)+SUM(CL$87:CL$94)</f>
        <v>124</v>
      </c>
      <c r="O114" s="106">
        <f>SUM(CN$87:CN$94)+SUM(CP$87:CP$94)+SUM(CR$87:CR$94)+SUM(CT$87:CT$94)</f>
        <v>103</v>
      </c>
    </row>
    <row r="115" spans="2:15" x14ac:dyDescent="0.2">
      <c r="C115" s="105" t="s">
        <v>132</v>
      </c>
      <c r="D115" s="106">
        <f>SUM(D$95:D$105)+SUM(F$95:F$105)+SUM(H$95:H$105)+SUM(J$95:J$105)</f>
        <v>508</v>
      </c>
      <c r="E115" s="106">
        <f>SUM(L$95:L$105)+SUM(N$95:N$105)+SUM(P$95:P$105)+SUM(R$95:R$105)</f>
        <v>1127</v>
      </c>
      <c r="F115" s="106">
        <f>SUM(T$95:T$105)+SUM(V$95:V$105)+SUM(X$95:X$105)+SUM(Z$95:Z$105)</f>
        <v>620</v>
      </c>
      <c r="G115" s="106">
        <f>SUM(AB$95:AB$105)+SUM(AD$95:AD$105)+SUM(AF$95:AF$105)+SUM(AH$95:AH$105)</f>
        <v>283</v>
      </c>
      <c r="H115" s="106">
        <f>SUM(AJ$95:AJ$105)+SUM(AL$95:AL$105)+SUM(AN$95:AN$105)+SUM(AP$95:AP$105)</f>
        <v>376</v>
      </c>
      <c r="I115" s="106">
        <f>SUM(AR$95:AR$105)+SUM(AT$95:AT$105)+SUM(AV$95:AV$105)+SUM(AX$95:AX$105)</f>
        <v>166</v>
      </c>
      <c r="J115" s="106">
        <f>SUM(AZ$95:AZ$105)+SUM(BB$95:BB$105)+SUM(BD$95:BD$105)+SUM(BF$95:BF$105)</f>
        <v>327</v>
      </c>
      <c r="K115" s="106">
        <f>SUM(BH$95:BH$105)+SUM(BJ$95:BJ$105)+SUM(BL$95:BL$105)+SUM(BN$95:BN$105)</f>
        <v>313</v>
      </c>
      <c r="L115" s="106">
        <f>SUM(BP$95:BP$105)+SUM(BR$95:BR$105)+SUM(BT$95:BT$105)+SUM(BV$95:BV$105)</f>
        <v>146</v>
      </c>
      <c r="M115" s="106">
        <f>SUM(BX$95:BX$105)+SUM(BZ$95:BZ$105)+SUM(CB$95:CB$105)+SUM(CD$95:CD$105)</f>
        <v>378</v>
      </c>
      <c r="N115" s="106">
        <f>SUM(CF$95:CF$105)+SUM(CH$95:CH$105)+SUM(CJ$95:CJ$105)+SUM(CL$95:CL$105)</f>
        <v>243</v>
      </c>
      <c r="O115" s="106">
        <f>SUM(CN$95:CN$105)+SUM(CP$95:CP$105)+SUM(CR$95:CR$105)+SUM(CT$95:CT$105)</f>
        <v>291</v>
      </c>
    </row>
    <row r="116" spans="2:15" x14ac:dyDescent="0.2">
      <c r="C116" s="105" t="s">
        <v>279</v>
      </c>
      <c r="D116" s="106">
        <f t="shared" ref="D116:O116" si="0">SUM(D$109:D$115)</f>
        <v>2165</v>
      </c>
      <c r="E116" s="106">
        <f t="shared" si="0"/>
        <v>3151</v>
      </c>
      <c r="F116" s="106">
        <f t="shared" si="0"/>
        <v>2097</v>
      </c>
      <c r="G116" s="106">
        <f t="shared" si="0"/>
        <v>1519</v>
      </c>
      <c r="H116" s="106">
        <f t="shared" si="0"/>
        <v>2510</v>
      </c>
      <c r="I116" s="106">
        <f t="shared" si="0"/>
        <v>3049</v>
      </c>
      <c r="J116" s="106">
        <f t="shared" si="0"/>
        <v>691</v>
      </c>
      <c r="K116" s="106">
        <f t="shared" si="0"/>
        <v>868</v>
      </c>
      <c r="L116" s="106">
        <f t="shared" si="0"/>
        <v>1086</v>
      </c>
      <c r="M116" s="106">
        <f t="shared" si="0"/>
        <v>2200</v>
      </c>
      <c r="N116" s="106">
        <f t="shared" si="0"/>
        <v>1193</v>
      </c>
      <c r="O116" s="106">
        <f t="shared" si="0"/>
        <v>764</v>
      </c>
    </row>
    <row r="118" spans="2:15" x14ac:dyDescent="0.2">
      <c r="B118" s="109" t="s">
        <v>280</v>
      </c>
    </row>
    <row r="119" spans="2:15" x14ac:dyDescent="0.2">
      <c r="C119" s="105" t="s">
        <v>278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0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0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0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328121.78546206537</v>
      </c>
      <c r="E123" s="106">
        <f>E112*pricing!E9*2000</f>
        <v>336169.93082083843</v>
      </c>
      <c r="F123" s="106">
        <f>F112*pricing!F9*2000</f>
        <v>986993.73527776578</v>
      </c>
      <c r="G123" s="106">
        <f>G112*pricing!G9*2000</f>
        <v>523601.97091356007</v>
      </c>
      <c r="H123" s="106">
        <f>H112*pricing!H9*2000</f>
        <v>677123.00368566101</v>
      </c>
      <c r="I123" s="106">
        <f>I112*pricing!I9*2000</f>
        <v>266025.87149794272</v>
      </c>
      <c r="J123" s="106">
        <f>J112*pricing!J9*2000</f>
        <v>317136.9120314389</v>
      </c>
      <c r="K123" s="106">
        <f>K112*pricing!K9*2000</f>
        <v>345158.06401905773</v>
      </c>
      <c r="L123" s="106">
        <f>L112*pricing!L9*2000</f>
        <v>464648.85842498776</v>
      </c>
      <c r="M123" s="106">
        <f>M112*pricing!M9*2000</f>
        <v>301798.91998126853</v>
      </c>
      <c r="N123" s="106">
        <f>N112*pricing!N9*2000</f>
        <v>1419061.1203354916</v>
      </c>
      <c r="O123" s="106">
        <f>O112*pricing!O9*2000</f>
        <v>438837.66926617007</v>
      </c>
    </row>
    <row r="124" spans="2:15" x14ac:dyDescent="0.2">
      <c r="C124" s="105" t="s">
        <v>130</v>
      </c>
      <c r="D124" s="106">
        <f>D113*pricing!D10*2000</f>
        <v>4000947.4386640438</v>
      </c>
      <c r="E124" s="106">
        <f>E113*pricing!E10*2000</f>
        <v>4686729.6789116319</v>
      </c>
      <c r="F124" s="106">
        <f>F113*pricing!F10*2000</f>
        <v>2943045.6639090013</v>
      </c>
      <c r="G124" s="106">
        <f>G113*pricing!G10*2000</f>
        <v>2790804.1722759791</v>
      </c>
      <c r="H124" s="106">
        <f>H113*pricing!H10*2000</f>
        <v>4578127.413797278</v>
      </c>
      <c r="I124" s="106">
        <f>I113*pricing!I10*2000</f>
        <v>5490408.5749996398</v>
      </c>
      <c r="J124" s="106">
        <f>J113*pricing!J10*2000</f>
        <v>1295243.0838080102</v>
      </c>
      <c r="K124" s="106">
        <f>K113*pricing!K10*2000</f>
        <v>1405437.2243114833</v>
      </c>
      <c r="L124" s="106">
        <f>L113*pricing!L10*2000</f>
        <v>1498807.1131983732</v>
      </c>
      <c r="M124" s="106">
        <f>M113*pricing!M10*2000</f>
        <v>4315661.0722485045</v>
      </c>
      <c r="N124" s="106">
        <f>N113*pricing!N10*2000</f>
        <v>1336784.3466050527</v>
      </c>
      <c r="O124" s="106">
        <f>O113*pricing!O10*2000</f>
        <v>1624000.4327659698</v>
      </c>
    </row>
    <row r="125" spans="2:15" x14ac:dyDescent="0.2">
      <c r="C125" s="105" t="s">
        <v>131</v>
      </c>
      <c r="D125" s="106">
        <f>D114*pricing!D11*2000</f>
        <v>754308.64646015351</v>
      </c>
      <c r="E125" s="106">
        <f>E114*pricing!E11*2000</f>
        <v>1098882.4282705209</v>
      </c>
      <c r="F125" s="106">
        <f>F114*pricing!F11*2000</f>
        <v>1062159.179164137</v>
      </c>
      <c r="G125" s="106">
        <f>G114*pricing!G11*2000</f>
        <v>1584038.9435764449</v>
      </c>
      <c r="H125" s="106">
        <f>H114*pricing!H11*2000</f>
        <v>1442894.5227271323</v>
      </c>
      <c r="I125" s="106">
        <f>I114*pricing!I11*2000</f>
        <v>1904355.4717512426</v>
      </c>
      <c r="J125" s="106">
        <f>J114*pricing!J11*2000</f>
        <v>790427.37184559833</v>
      </c>
      <c r="K125" s="106">
        <f>K114*pricing!K11*2000</f>
        <v>1338894.9510226529</v>
      </c>
      <c r="L125" s="106">
        <f>L114*pricing!L11*2000</f>
        <v>2028342.4588089772</v>
      </c>
      <c r="M125" s="106">
        <f>M114*pricing!M11*2000</f>
        <v>1504678.9763231373</v>
      </c>
      <c r="N125" s="106">
        <f>N114*pricing!N11*2000</f>
        <v>786186.71994820051</v>
      </c>
      <c r="O125" s="106">
        <f>O114*pricing!O11*2000</f>
        <v>740977.76061410713</v>
      </c>
    </row>
    <row r="126" spans="2:15" x14ac:dyDescent="0.2">
      <c r="C126" s="105" t="s">
        <v>132</v>
      </c>
      <c r="D126" s="106">
        <f>D115*pricing!D12*2000</f>
        <v>1961544.1734585278</v>
      </c>
      <c r="E126" s="106">
        <f>E115*pricing!E12*2000</f>
        <v>3022948.2850833633</v>
      </c>
      <c r="F126" s="106">
        <f>F115*pricing!F12*2000</f>
        <v>2285072.0146857947</v>
      </c>
      <c r="G126" s="106">
        <f>G115*pricing!G12*2000</f>
        <v>1527112.4884728687</v>
      </c>
      <c r="H126" s="106">
        <f>H115*pricing!H12*2000</f>
        <v>1827541.8186026374</v>
      </c>
      <c r="I126" s="106">
        <f>I115*pricing!I12*2000</f>
        <v>1141263.7336531549</v>
      </c>
      <c r="J126" s="106">
        <f>J115*pricing!J12*2000</f>
        <v>1593589.7508424346</v>
      </c>
      <c r="K126" s="106">
        <f>K115*pricing!K12*2000</f>
        <v>1487027.91471579</v>
      </c>
      <c r="L126" s="106">
        <f>L115*pricing!L12*2000</f>
        <v>976707.22068474325</v>
      </c>
      <c r="M126" s="106">
        <f>M115*pricing!M12*2000</f>
        <v>1742148.8339237294</v>
      </c>
      <c r="N126" s="106">
        <f>N115*pricing!N12*2000</f>
        <v>1447959.8410310915</v>
      </c>
      <c r="O126" s="106">
        <f>O115*pricing!O12*2000</f>
        <v>1380371.6878630409</v>
      </c>
    </row>
    <row r="127" spans="2:15" x14ac:dyDescent="0.2">
      <c r="C127" s="105" t="s">
        <v>279</v>
      </c>
      <c r="D127" s="106">
        <f t="shared" ref="D127:O127" si="1">SUM(D$120:D$126)</f>
        <v>7044922.0440447899</v>
      </c>
      <c r="E127" s="106">
        <f t="shared" si="1"/>
        <v>9144730.3230863549</v>
      </c>
      <c r="F127" s="106">
        <f t="shared" si="1"/>
        <v>7277270.5930366991</v>
      </c>
      <c r="G127" s="106">
        <f t="shared" si="1"/>
        <v>6425557.5752388528</v>
      </c>
      <c r="H127" s="106">
        <f t="shared" si="1"/>
        <v>8525686.7588127069</v>
      </c>
      <c r="I127" s="106">
        <f t="shared" si="1"/>
        <v>8802053.6519019809</v>
      </c>
      <c r="J127" s="106">
        <f t="shared" si="1"/>
        <v>3996397.1185274823</v>
      </c>
      <c r="K127" s="106">
        <f t="shared" si="1"/>
        <v>4576518.1540689841</v>
      </c>
      <c r="L127" s="106">
        <f t="shared" si="1"/>
        <v>4968505.6511170818</v>
      </c>
      <c r="M127" s="106">
        <f t="shared" si="1"/>
        <v>7864287.8024766389</v>
      </c>
      <c r="N127" s="106">
        <f t="shared" si="1"/>
        <v>4989992.0279198363</v>
      </c>
      <c r="O127" s="106">
        <f t="shared" si="1"/>
        <v>4184187.550509288</v>
      </c>
    </row>
    <row r="129" spans="2:15" x14ac:dyDescent="0.2">
      <c r="B129" s="109" t="s">
        <v>281</v>
      </c>
    </row>
    <row r="130" spans="2:15" x14ac:dyDescent="0.2">
      <c r="C130" s="111" t="s">
        <v>278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53970</v>
      </c>
      <c r="E134" s="112">
        <f>SUM(M$49:M$70)+SUM(O$49:O$70)+SUM(Q$49:Q$70)+SUM(S$49:S$70)</f>
        <v>55147.199999999997</v>
      </c>
      <c r="F134" s="112">
        <f>SUM(U$49:U$70)+SUM(W$49:W$70)+SUM(Y$49:Y$70)+SUM(AA$49:AA$70)</f>
        <v>467866.80000000005</v>
      </c>
      <c r="G134" s="112">
        <f>SUM(AC$49:AC$70)+SUM(AE$49:AE$70)+SUM(AG$49:AG$70)+SUM(AI$49:AI$70)</f>
        <v>122754</v>
      </c>
      <c r="H134" s="112">
        <f>SUM(AK$49:AK$70)+SUM(AM$49:AM$70)+SUM(AO$49:AO$70)+SUM(AQ$49:AQ$70)</f>
        <v>192165.6</v>
      </c>
      <c r="I134" s="112">
        <f>SUM(AS$49:AS$70)+SUM(AU$49:AU$70)+SUM(AW$49:AW$70)+SUM(AY$49:AY$70)</f>
        <v>40935.600000000006</v>
      </c>
      <c r="J134" s="112">
        <f>SUM(BA$49:BA$70)+SUM(BC$49:BC$70)+SUM(BE$49:BE$70)+SUM(BG$49:BG$70)</f>
        <v>53011.199999999997</v>
      </c>
      <c r="K134" s="112">
        <f>SUM(BI$49:BI$70)+SUM(BK$49:BK$70)+SUM(BM$49:BM$70)+SUM(BO$49:BO$70)</f>
        <v>62924.399999999994</v>
      </c>
      <c r="L134" s="112">
        <f>SUM(BQ$49:BQ$70)+SUM(BS$49:BS$70)+SUM(BU$49:BU$70)+SUM(BW$49:BW$70)</f>
        <v>112317.6</v>
      </c>
      <c r="M134" s="112">
        <f>SUM(BY$49:BY$70)+SUM(CA$49:CA$70)+SUM(CC$49:CC$70)+SUM(CE$49:CE$70)</f>
        <v>46384.799999999996</v>
      </c>
      <c r="N134" s="112">
        <f>SUM(CG$49:CG$70)+SUM(CI$49:CI$70)+SUM(CK$49:CK$70)+SUM(CM$49:CM$70)</f>
        <v>703548</v>
      </c>
      <c r="O134" s="112">
        <f>SUM(CO$49:CO$70)+SUM(CQ$49:CQ$70)+SUM(CS$49:CS$70)+SUM(CU$49:CU$70)</f>
        <v>93153.600000000006</v>
      </c>
    </row>
    <row r="135" spans="2:15" x14ac:dyDescent="0.2">
      <c r="C135" s="111" t="s">
        <v>130</v>
      </c>
      <c r="D135" s="112">
        <f>SUM(E$71:E$86)+SUM(G$71:G$86)+SUM(I$71:I$86)+SUM(K$71:K$86)</f>
        <v>819843.60000000009</v>
      </c>
      <c r="E135" s="112">
        <f>SUM(M$71:M$86)+SUM(O$71:O$86)+SUM(Q$71:Q$86)+SUM(S$71:S$86)</f>
        <v>971637.6</v>
      </c>
      <c r="F135" s="112">
        <f>SUM(U$71:U$86)+SUM(W$71:W$86)+SUM(Y$71:Y$86)+SUM(AA$71:AA$86)</f>
        <v>468070.79999999993</v>
      </c>
      <c r="G135" s="112">
        <f>SUM(AC$71:AC$86)+SUM(AE$71:AE$86)+SUM(AG$71:AG$86)+SUM(AI$71:AI$86)</f>
        <v>400785.6</v>
      </c>
      <c r="H135" s="112">
        <f>SUM(AK$71:AK$86)+SUM(AM$71:AM$86)+SUM(AO$71:AO$86)+SUM(AQ$71:AQ$86)</f>
        <v>897978</v>
      </c>
      <c r="I135" s="112">
        <f>SUM(AS$71:AS$86)+SUM(AU$71:AU$86)+SUM(AW$71:AW$86)+SUM(AY$71:AY$86)</f>
        <v>1244882.3999999999</v>
      </c>
      <c r="J135" s="112">
        <f>SUM(BA$71:BA$86)+SUM(BC$71:BC$86)+SUM(BE$71:BE$86)+SUM(BG$71:BG$86)</f>
        <v>109874.40000000001</v>
      </c>
      <c r="K135" s="112">
        <f>SUM(BI$71:BI$86)+SUM(BK$71:BK$86)+SUM(BM$71:BM$86)+SUM(BO$71:BO$86)</f>
        <v>111376.79999999999</v>
      </c>
      <c r="L135" s="112">
        <f>SUM(BQ$71:BQ$86)+SUM(BS$71:BS$86)+SUM(BU$71:BU$86)+SUM(BW$71:BW$86)</f>
        <v>135715.19999999998</v>
      </c>
      <c r="M135" s="112">
        <f>SUM(BY$71:BY$86)+SUM(CA$71:CA$86)+SUM(CC$71:CC$86)+SUM(CE$71:CE$86)</f>
        <v>811183.2</v>
      </c>
      <c r="N135" s="112">
        <f>SUM(CG$71:CG$86)+SUM(CI$71:CI$86)+SUM(CK$71:CK$86)+SUM(CM$71:CM$86)</f>
        <v>104580</v>
      </c>
      <c r="O135" s="112">
        <f>SUM(CO$71:CO$86)+SUM(CQ$71:CQ$86)+SUM(CS$71:CS$86)+SUM(CU$71:CU$86)</f>
        <v>159242.4</v>
      </c>
    </row>
    <row r="136" spans="2:15" x14ac:dyDescent="0.2">
      <c r="C136" s="111" t="s">
        <v>131</v>
      </c>
      <c r="D136" s="112">
        <f>SUM(E$87:E$94)+SUM(G$87:G$94)+SUM(I$87:I$94)+SUM(K$87:K$94)</f>
        <v>238521.59999999992</v>
      </c>
      <c r="E136" s="112">
        <f>SUM(M$87:M$94)+SUM(O$87:O$94)+SUM(Q$87:Q$94)+SUM(S$87:S$94)</f>
        <v>445215.6</v>
      </c>
      <c r="F136" s="112">
        <f>SUM(U$87:U$94)+SUM(W$87:W$94)+SUM(Y$87:Y$94)+SUM(AA$87:AA$94)</f>
        <v>431593.19999999995</v>
      </c>
      <c r="G136" s="112">
        <f>SUM(AC$87:AC$94)+SUM(AE$87:AE$94)+SUM(AG$87:AG$94)+SUM(AI$87:AI$94)</f>
        <v>817731.6</v>
      </c>
      <c r="H136" s="112">
        <f>SUM(AK$87:AK$94)+SUM(AM$87:AM$94)+SUM(AO$87:AO$94)+SUM(AQ$87:AQ$94)</f>
        <v>680088</v>
      </c>
      <c r="I136" s="112">
        <f>SUM(AS$87:AS$94)+SUM(AU$87:AU$94)+SUM(AW$87:AW$94)+SUM(AY$87:AY$94)</f>
        <v>1199625.5999999999</v>
      </c>
      <c r="J136" s="112">
        <f>SUM(BA$87:BA$94)+SUM(BC$87:BC$94)+SUM(BE$87:BE$94)+SUM(BG$87:BG$94)</f>
        <v>242205.59999999995</v>
      </c>
      <c r="K136" s="112">
        <f>SUM(BI$87:BI$94)+SUM(BK$87:BK$94)+SUM(BM$87:BM$94)+SUM(BO$87:BO$94)</f>
        <v>605281.19999999995</v>
      </c>
      <c r="L136" s="112">
        <f>SUM(BQ$87:BQ$94)+SUM(BS$87:BS$94)+SUM(BU$87:BU$94)+SUM(BW$87:BW$94)</f>
        <v>1209428.3999999999</v>
      </c>
      <c r="M136" s="112">
        <f>SUM(BY$87:BY$94)+SUM(CA$87:CA$94)+SUM(CC$87:CC$94)+SUM(CE$87:CE$94)</f>
        <v>633708</v>
      </c>
      <c r="N136" s="112">
        <f>SUM(CG$87:CG$94)+SUM(CI$87:CI$94)+SUM(CK$87:CK$94)+SUM(CM$87:CM$94)</f>
        <v>253328.39999999997</v>
      </c>
      <c r="O136" s="112">
        <f>SUM(CO$87:CO$94)+SUM(CQ$87:CQ$94)+SUM(CS$87:CS$94)+SUM(CU$87:CU$94)</f>
        <v>209322</v>
      </c>
    </row>
    <row r="137" spans="2:15" x14ac:dyDescent="0.2">
      <c r="C137" s="111" t="s">
        <v>132</v>
      </c>
      <c r="D137" s="112">
        <f>SUM(E$95:E$105)+SUM(G$95:G$105)+SUM(I$95:I$105)+SUM(K$95:K$105)</f>
        <v>951290.39999999991</v>
      </c>
      <c r="E137" s="112">
        <f>SUM(M$95:M$105)+SUM(O$95:O$105)+SUM(Q$95:Q$105)+SUM(S$95:S$105)</f>
        <v>2059634.4</v>
      </c>
      <c r="F137" s="112">
        <f>SUM(U$95:U$105)+SUM(W$95:W$105)+SUM(Y$95:Y$105)+SUM(AA$95:AA$105)</f>
        <v>1156218</v>
      </c>
      <c r="G137" s="112">
        <f>SUM(AC$95:AC$105)+SUM(AE$95:AE$105)+SUM(AG$95:AG$105)+SUM(AI$95:AI$105)</f>
        <v>539460</v>
      </c>
      <c r="H137" s="112">
        <f>SUM(AK$95:AK$105)+SUM(AM$95:AM$105)+SUM(AO$95:AO$105)+SUM(AQ$95:AQ$105)</f>
        <v>711730.79999999993</v>
      </c>
      <c r="I137" s="112">
        <f>SUM(AS$95:AS$105)+SUM(AU$95:AU$105)+SUM(AW$95:AW$105)+SUM(AY$95:AY$105)</f>
        <v>315788.40000000002</v>
      </c>
      <c r="J137" s="112">
        <f>SUM(BA$95:BA$105)+SUM(BC$95:BC$105)+SUM(BE$95:BE$105)+SUM(BG$95:BG$105)</f>
        <v>619162.80000000005</v>
      </c>
      <c r="K137" s="112">
        <f>SUM(BI$95:BI$105)+SUM(BK$95:BK$105)+SUM(BM$95:BM$105)+SUM(BO$95:BO$105)</f>
        <v>592856.4</v>
      </c>
      <c r="L137" s="112">
        <f>SUM(BQ$95:BQ$105)+SUM(BS$95:BS$105)+SUM(BU$95:BU$105)+SUM(BW$95:BW$105)</f>
        <v>278322</v>
      </c>
      <c r="M137" s="112">
        <f>SUM(BY$95:BY$105)+SUM(CA$95:CA$105)+SUM(CC$95:CC$105)+SUM(CE$95:CE$105)</f>
        <v>713460</v>
      </c>
      <c r="N137" s="112">
        <f>SUM(CG$95:CG$105)+SUM(CI$95:CI$105)+SUM(CK$95:CK$105)+SUM(CM$95:CM$105)</f>
        <v>466724.39999999997</v>
      </c>
      <c r="O137" s="112">
        <f>SUM(CO$95:CO$105)+SUM(CQ$95:CQ$105)+SUM(CS$95:CS$105)+SUM(CU$95:CU$105)</f>
        <v>549486</v>
      </c>
    </row>
    <row r="138" spans="2:15" x14ac:dyDescent="0.2">
      <c r="C138" s="111" t="s">
        <v>279</v>
      </c>
      <c r="D138" s="106">
        <f t="shared" ref="D138:O138" si="2">SUM(D$131:D$137)</f>
        <v>2063625.5999999999</v>
      </c>
      <c r="E138" s="106">
        <f t="shared" si="2"/>
        <v>3531634.8</v>
      </c>
      <c r="F138" s="106">
        <f t="shared" si="2"/>
        <v>2523748.7999999998</v>
      </c>
      <c r="G138" s="106">
        <f t="shared" si="2"/>
        <v>1880731.2</v>
      </c>
      <c r="H138" s="106">
        <f t="shared" si="2"/>
        <v>2481962.4</v>
      </c>
      <c r="I138" s="106">
        <f t="shared" si="2"/>
        <v>2801231.9999999995</v>
      </c>
      <c r="J138" s="106">
        <f t="shared" si="2"/>
        <v>1024254</v>
      </c>
      <c r="K138" s="106">
        <f t="shared" si="2"/>
        <v>1372438.7999999998</v>
      </c>
      <c r="L138" s="106">
        <f t="shared" si="2"/>
        <v>1735783.2</v>
      </c>
      <c r="M138" s="106">
        <f t="shared" si="2"/>
        <v>2204736</v>
      </c>
      <c r="N138" s="106">
        <f t="shared" si="2"/>
        <v>1528180.7999999998</v>
      </c>
      <c r="O138" s="106">
        <f t="shared" si="2"/>
        <v>1011204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273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275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168</v>
      </c>
      <c r="C5" s="105" t="s">
        <v>276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173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174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175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176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177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178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179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180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181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182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183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184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185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186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187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188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189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190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191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192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193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194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195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196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197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198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199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200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201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202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203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204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205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206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207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208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209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210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211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212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213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214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215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216</v>
      </c>
      <c r="D49" s="106">
        <v>0.51222351571594882</v>
      </c>
      <c r="E49" s="106">
        <v>504.64260768335276</v>
      </c>
      <c r="F49" s="106">
        <v>0.48653846153846159</v>
      </c>
      <c r="G49" s="106">
        <v>479.33769230769229</v>
      </c>
      <c r="H49" s="106">
        <v>0.60956175298804782</v>
      </c>
      <c r="I49" s="106">
        <v>600.54023904382473</v>
      </c>
      <c r="J49" s="106">
        <v>4.8218029350104823E-2</v>
      </c>
      <c r="K49" s="106">
        <v>47.504402515723271</v>
      </c>
      <c r="L49" s="106">
        <v>9.8911968348170121E-3</v>
      </c>
      <c r="M49" s="106">
        <v>9.7448071216617205</v>
      </c>
      <c r="N49" s="106">
        <v>0</v>
      </c>
      <c r="O49" s="106">
        <v>0</v>
      </c>
      <c r="P49" s="106">
        <v>0</v>
      </c>
      <c r="Q49" s="106">
        <v>0</v>
      </c>
      <c r="R49" s="106">
        <v>1.4754098360655738E-2</v>
      </c>
      <c r="S49" s="106">
        <v>14.535737704918033</v>
      </c>
      <c r="T49" s="106">
        <v>9.562841530054645E-3</v>
      </c>
      <c r="U49" s="106">
        <v>9.4213114754098353</v>
      </c>
      <c r="V49" s="106">
        <v>9.2748735244519397E-3</v>
      </c>
      <c r="W49" s="106">
        <v>9.1376053962900503</v>
      </c>
      <c r="X49" s="106">
        <v>8.5034013605442185E-3</v>
      </c>
      <c r="Y49" s="106">
        <v>8.3775510204081627</v>
      </c>
      <c r="Z49" s="106">
        <v>7.1428571428571426E-3</v>
      </c>
      <c r="AA49" s="106">
        <v>7.0371428571428565</v>
      </c>
      <c r="AB49" s="106">
        <v>1.1415525114155251E-2</v>
      </c>
      <c r="AC49" s="106">
        <v>11.246575342465752</v>
      </c>
      <c r="AD49" s="106">
        <v>1.3793103448275862E-2</v>
      </c>
      <c r="AE49" s="106">
        <v>13.588965517241379</v>
      </c>
      <c r="AF49" s="106">
        <v>7.716049382716049E-3</v>
      </c>
      <c r="AG49" s="106">
        <v>7.6018518518518512</v>
      </c>
      <c r="AH49" s="106">
        <v>1.5625E-2</v>
      </c>
      <c r="AI49" s="106">
        <v>15.393749999999999</v>
      </c>
      <c r="AJ49" s="106">
        <v>3.2412965186074429E-2</v>
      </c>
      <c r="AK49" s="106">
        <v>31.933253301320526</v>
      </c>
      <c r="AL49" s="106">
        <v>0</v>
      </c>
      <c r="AM49" s="106">
        <v>0</v>
      </c>
      <c r="AN49" s="106">
        <v>5.1495016611295678E-2</v>
      </c>
      <c r="AO49" s="106">
        <v>50.732890365448498</v>
      </c>
      <c r="AP49" s="106">
        <v>0</v>
      </c>
      <c r="AQ49" s="106">
        <v>0</v>
      </c>
      <c r="AR49" s="106">
        <v>1.6358839050131926E-2</v>
      </c>
      <c r="AS49" s="106">
        <v>16.116728232189974</v>
      </c>
      <c r="AT49" s="106">
        <v>1.051980198019802E-2</v>
      </c>
      <c r="AU49" s="106">
        <v>10.364108910891089</v>
      </c>
      <c r="AV49" s="106">
        <v>3.8132807363576597E-2</v>
      </c>
      <c r="AW49" s="106">
        <v>37.568441814595658</v>
      </c>
      <c r="AX49" s="106">
        <v>1.2332990750256937E-2</v>
      </c>
      <c r="AY49" s="106">
        <v>12.150462487153133</v>
      </c>
      <c r="AZ49" s="106">
        <v>0</v>
      </c>
      <c r="BA49" s="106">
        <v>0</v>
      </c>
      <c r="BB49" s="106">
        <v>2.1072796934865901E-2</v>
      </c>
      <c r="BC49" s="106">
        <v>20.760919540229885</v>
      </c>
      <c r="BD49" s="106">
        <v>3.350083752093802E-2</v>
      </c>
      <c r="BE49" s="106">
        <v>33.005025125628137</v>
      </c>
      <c r="BF49" s="106">
        <v>2.4390243902439025E-2</v>
      </c>
      <c r="BG49" s="106">
        <v>24.029268292682925</v>
      </c>
      <c r="BH49" s="106">
        <v>1.0932944606413994E-2</v>
      </c>
      <c r="BI49" s="106">
        <v>10.771137026239066</v>
      </c>
      <c r="BJ49" s="106">
        <v>0</v>
      </c>
      <c r="BK49" s="106">
        <v>0</v>
      </c>
      <c r="BL49" s="106">
        <v>2.7372262773722629E-2</v>
      </c>
      <c r="BM49" s="106">
        <v>26.967153284671532</v>
      </c>
      <c r="BN49" s="106">
        <v>2.0220588235294119E-2</v>
      </c>
      <c r="BO49" s="106">
        <v>19.921323529411765</v>
      </c>
      <c r="BP49" s="106">
        <v>2.1276595744680851E-2</v>
      </c>
      <c r="BQ49" s="106">
        <v>20.961702127659571</v>
      </c>
      <c r="BR49" s="106">
        <v>0</v>
      </c>
      <c r="BS49" s="106">
        <v>0</v>
      </c>
      <c r="BT49" s="106">
        <v>3.3797216699801194E-2</v>
      </c>
      <c r="BU49" s="106">
        <v>33.297017892644135</v>
      </c>
      <c r="BV49" s="106">
        <v>0</v>
      </c>
      <c r="BW49" s="106">
        <v>0</v>
      </c>
      <c r="BX49" s="106">
        <v>0</v>
      </c>
      <c r="BY49" s="106">
        <v>0</v>
      </c>
      <c r="BZ49" s="106">
        <v>5.8724832214765099E-2</v>
      </c>
      <c r="CA49" s="106">
        <v>57.855704697986575</v>
      </c>
      <c r="CB49" s="106">
        <v>2.3217247097844111E-2</v>
      </c>
      <c r="CC49" s="106">
        <v>22.873631840796016</v>
      </c>
      <c r="CD49" s="106">
        <v>3.3219761499148209E-2</v>
      </c>
      <c r="CE49" s="106">
        <v>32.728109028960816</v>
      </c>
      <c r="CF49" s="106">
        <v>2.967359050445104E-2</v>
      </c>
      <c r="CG49" s="106">
        <v>29.234421364985163</v>
      </c>
      <c r="CH49" s="106">
        <v>4.0561622464898597E-2</v>
      </c>
      <c r="CI49" s="106">
        <v>39.961310452418097</v>
      </c>
      <c r="CJ49" s="106">
        <v>7.5134168157423978E-2</v>
      </c>
      <c r="CK49" s="106">
        <v>74.022182468694098</v>
      </c>
      <c r="CL49" s="106">
        <v>3.3018867924528301E-2</v>
      </c>
      <c r="CM49" s="106">
        <v>32.530188679245278</v>
      </c>
      <c r="CN49" s="106">
        <v>2.3661270236612703E-2</v>
      </c>
      <c r="CO49" s="106">
        <v>23.311083437110835</v>
      </c>
      <c r="CP49" s="106">
        <v>0</v>
      </c>
      <c r="CQ49" s="106">
        <v>0</v>
      </c>
      <c r="CR49" s="106">
        <v>0</v>
      </c>
      <c r="CS49" s="106">
        <v>0</v>
      </c>
      <c r="CT49" s="106">
        <v>4.9566294919454773E-2</v>
      </c>
      <c r="CU49" s="106">
        <v>48.832713754646839</v>
      </c>
    </row>
    <row r="50" spans="2:99" x14ac:dyDescent="0.2">
      <c r="C50" s="105" t="s">
        <v>217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218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219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220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221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222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223</v>
      </c>
      <c r="D56" s="106">
        <v>0.49941792782305006</v>
      </c>
      <c r="E56" s="106">
        <v>574.73015133876595</v>
      </c>
      <c r="F56" s="106">
        <v>0.47596153846153844</v>
      </c>
      <c r="G56" s="106">
        <v>547.73653846153843</v>
      </c>
      <c r="H56" s="106">
        <v>0.56175298804780871</v>
      </c>
      <c r="I56" s="106">
        <v>646.46533864541823</v>
      </c>
      <c r="J56" s="106">
        <v>4.6121593291404611E-2</v>
      </c>
      <c r="K56" s="106">
        <v>53.076729559748422</v>
      </c>
      <c r="L56" s="106">
        <v>9.8911968348170121E-3</v>
      </c>
      <c r="M56" s="106">
        <v>11.382789317507417</v>
      </c>
      <c r="N56" s="106">
        <v>0</v>
      </c>
      <c r="O56" s="106">
        <v>0</v>
      </c>
      <c r="P56" s="106">
        <v>0</v>
      </c>
      <c r="Q56" s="106">
        <v>0</v>
      </c>
      <c r="R56" s="106">
        <v>1.4754098360655738E-2</v>
      </c>
      <c r="S56" s="106">
        <v>16.979016393442624</v>
      </c>
      <c r="T56" s="106">
        <v>9.562841530054645E-3</v>
      </c>
      <c r="U56" s="106">
        <v>11.004918032786884</v>
      </c>
      <c r="V56" s="106">
        <v>8.4317032040472171E-3</v>
      </c>
      <c r="W56" s="106">
        <v>9.7032040472175378</v>
      </c>
      <c r="X56" s="106">
        <v>7.6530612244897957E-3</v>
      </c>
      <c r="Y56" s="106">
        <v>8.8071428571428569</v>
      </c>
      <c r="Z56" s="106">
        <v>7.9365079365079361E-3</v>
      </c>
      <c r="AA56" s="106">
        <v>9.1333333333333329</v>
      </c>
      <c r="AB56" s="106">
        <v>1.1415525114155251E-2</v>
      </c>
      <c r="AC56" s="106">
        <v>13.136986301369861</v>
      </c>
      <c r="AD56" s="106">
        <v>1.5517241379310345E-2</v>
      </c>
      <c r="AE56" s="106">
        <v>17.857241379310345</v>
      </c>
      <c r="AF56" s="106">
        <v>7.716049382716049E-3</v>
      </c>
      <c r="AG56" s="106">
        <v>8.879629629629628</v>
      </c>
      <c r="AH56" s="106">
        <v>1.3671875E-2</v>
      </c>
      <c r="AI56" s="106">
        <v>15.733593749999999</v>
      </c>
      <c r="AJ56" s="106">
        <v>3.3613445378151259E-2</v>
      </c>
      <c r="AK56" s="106">
        <v>38.682352941176468</v>
      </c>
      <c r="AL56" s="106">
        <v>0</v>
      </c>
      <c r="AM56" s="106">
        <v>0</v>
      </c>
      <c r="AN56" s="106">
        <v>4.4850498338870434E-2</v>
      </c>
      <c r="AO56" s="106">
        <v>51.613953488372097</v>
      </c>
      <c r="AP56" s="106">
        <v>0</v>
      </c>
      <c r="AQ56" s="106">
        <v>0</v>
      </c>
      <c r="AR56" s="106">
        <v>1.7414248021108178E-2</v>
      </c>
      <c r="AS56" s="106">
        <v>20.040316622691289</v>
      </c>
      <c r="AT56" s="106">
        <v>9.9009900990099011E-3</v>
      </c>
      <c r="AU56" s="106">
        <v>11.394059405940594</v>
      </c>
      <c r="AV56" s="106">
        <v>3.6817882971729124E-2</v>
      </c>
      <c r="AW56" s="106">
        <v>42.370019723865873</v>
      </c>
      <c r="AX56" s="106">
        <v>1.3360739979445015E-2</v>
      </c>
      <c r="AY56" s="106">
        <v>15.375539568345323</v>
      </c>
      <c r="AZ56" s="106">
        <v>0</v>
      </c>
      <c r="BA56" s="106">
        <v>0</v>
      </c>
      <c r="BB56" s="106">
        <v>1.9157088122605363E-2</v>
      </c>
      <c r="BC56" s="106">
        <v>22.045977011494251</v>
      </c>
      <c r="BD56" s="106">
        <v>3.350083752093802E-2</v>
      </c>
      <c r="BE56" s="106">
        <v>38.552763819095475</v>
      </c>
      <c r="BF56" s="106">
        <v>2.2648083623693381E-2</v>
      </c>
      <c r="BG56" s="106">
        <v>26.063414634146341</v>
      </c>
      <c r="BH56" s="106">
        <v>1.239067055393586E-2</v>
      </c>
      <c r="BI56" s="106">
        <v>14.259183673469387</v>
      </c>
      <c r="BJ56" s="106">
        <v>0</v>
      </c>
      <c r="BK56" s="106">
        <v>0</v>
      </c>
      <c r="BL56" s="106">
        <v>2.5547445255474453E-2</v>
      </c>
      <c r="BM56" s="106">
        <v>29.4</v>
      </c>
      <c r="BN56" s="106">
        <v>2.0220588235294119E-2</v>
      </c>
      <c r="BO56" s="106">
        <v>23.26985294117647</v>
      </c>
      <c r="BP56" s="106">
        <v>2.0309477756286266E-2</v>
      </c>
      <c r="BQ56" s="106">
        <v>23.372147001934234</v>
      </c>
      <c r="BR56" s="106">
        <v>0</v>
      </c>
      <c r="BS56" s="106">
        <v>0</v>
      </c>
      <c r="BT56" s="106">
        <v>2.982107355864811E-2</v>
      </c>
      <c r="BU56" s="106">
        <v>34.318091451292247</v>
      </c>
      <c r="BV56" s="106">
        <v>0</v>
      </c>
      <c r="BW56" s="106">
        <v>0</v>
      </c>
      <c r="BX56" s="106">
        <v>0</v>
      </c>
      <c r="BY56" s="106">
        <v>0</v>
      </c>
      <c r="BZ56" s="106">
        <v>5.5369127516778527E-2</v>
      </c>
      <c r="CA56" s="106">
        <v>63.718791946308727</v>
      </c>
      <c r="CB56" s="106">
        <v>2.3217247097844111E-2</v>
      </c>
      <c r="CC56" s="106">
        <v>26.718407960199002</v>
      </c>
      <c r="CD56" s="106">
        <v>2.8960817717206135E-2</v>
      </c>
      <c r="CE56" s="106">
        <v>33.328109028960817</v>
      </c>
      <c r="CF56" s="106">
        <v>2.5222551928783383E-2</v>
      </c>
      <c r="CG56" s="106">
        <v>29.026112759643915</v>
      </c>
      <c r="CH56" s="106">
        <v>3.5881435257410298E-2</v>
      </c>
      <c r="CI56" s="106">
        <v>41.292355694227766</v>
      </c>
      <c r="CJ56" s="106">
        <v>7.5134168157423978E-2</v>
      </c>
      <c r="CK56" s="106">
        <v>86.464400715563514</v>
      </c>
      <c r="CL56" s="106">
        <v>3.3018867924528301E-2</v>
      </c>
      <c r="CM56" s="106">
        <v>37.998113207547171</v>
      </c>
      <c r="CN56" s="106">
        <v>1.9925280199252802E-2</v>
      </c>
      <c r="CO56" s="106">
        <v>22.930012453300122</v>
      </c>
      <c r="CP56" s="106">
        <v>0</v>
      </c>
      <c r="CQ56" s="106">
        <v>0</v>
      </c>
      <c r="CR56" s="106">
        <v>0</v>
      </c>
      <c r="CS56" s="106">
        <v>0</v>
      </c>
      <c r="CT56" s="106">
        <v>4.9566294919454773E-2</v>
      </c>
      <c r="CU56" s="106">
        <v>57.040892193308551</v>
      </c>
    </row>
    <row r="57" spans="2:99" x14ac:dyDescent="0.2">
      <c r="C57" s="105" t="s">
        <v>224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225</v>
      </c>
      <c r="D58" s="106">
        <v>0.49941792782305006</v>
      </c>
      <c r="E58" s="106">
        <v>587.91478463329452</v>
      </c>
      <c r="F58" s="106">
        <v>0.43365384615384617</v>
      </c>
      <c r="G58" s="106">
        <v>510.49730769230774</v>
      </c>
      <c r="H58" s="106">
        <v>0.62151394422310757</v>
      </c>
      <c r="I58" s="106">
        <v>731.64621513944223</v>
      </c>
      <c r="J58" s="106">
        <v>4.716981132075472E-2</v>
      </c>
      <c r="K58" s="106">
        <v>55.528301886792462</v>
      </c>
      <c r="L58" s="106">
        <v>9.8911968348170121E-3</v>
      </c>
      <c r="M58" s="106">
        <v>11.643916913946587</v>
      </c>
      <c r="N58" s="106">
        <v>0</v>
      </c>
      <c r="O58" s="106">
        <v>0</v>
      </c>
      <c r="P58" s="106">
        <v>0</v>
      </c>
      <c r="Q58" s="106">
        <v>0</v>
      </c>
      <c r="R58" s="106">
        <v>1.4754098360655738E-2</v>
      </c>
      <c r="S58" s="106">
        <v>17.368524590163936</v>
      </c>
      <c r="T58" s="106">
        <v>9.562841530054645E-3</v>
      </c>
      <c r="U58" s="106">
        <v>11.257377049180329</v>
      </c>
      <c r="V58" s="106">
        <v>9.2748735244519397E-3</v>
      </c>
      <c r="W58" s="106">
        <v>10.918381112984823</v>
      </c>
      <c r="X58" s="106">
        <v>6.8027210884353739E-3</v>
      </c>
      <c r="Y58" s="106">
        <v>8.0081632653061217</v>
      </c>
      <c r="Z58" s="106">
        <v>7.1428571428571426E-3</v>
      </c>
      <c r="AA58" s="106">
        <v>8.4085714285714293</v>
      </c>
      <c r="AB58" s="106">
        <v>1.1415525114155251E-2</v>
      </c>
      <c r="AC58" s="106">
        <v>13.438356164383562</v>
      </c>
      <c r="AD58" s="106">
        <v>1.5517241379310345E-2</v>
      </c>
      <c r="AE58" s="106">
        <v>18.266896551724138</v>
      </c>
      <c r="AF58" s="106">
        <v>7.716049382716049E-3</v>
      </c>
      <c r="AG58" s="106">
        <v>9.0833333333333339</v>
      </c>
      <c r="AH58" s="106">
        <v>1.3671875E-2</v>
      </c>
      <c r="AI58" s="106">
        <v>16.094531249999999</v>
      </c>
      <c r="AJ58" s="106">
        <v>3.1212484993997598E-2</v>
      </c>
      <c r="AK58" s="106">
        <v>36.743337334933976</v>
      </c>
      <c r="AL58" s="106">
        <v>0</v>
      </c>
      <c r="AM58" s="106">
        <v>0</v>
      </c>
      <c r="AN58" s="106">
        <v>5.1495016611295678E-2</v>
      </c>
      <c r="AO58" s="106">
        <v>60.619933554817273</v>
      </c>
      <c r="AP58" s="106">
        <v>0</v>
      </c>
      <c r="AQ58" s="106">
        <v>0</v>
      </c>
      <c r="AR58" s="106">
        <v>1.4775725593667546E-2</v>
      </c>
      <c r="AS58" s="106">
        <v>17.393984168865437</v>
      </c>
      <c r="AT58" s="106">
        <v>1.051980198019802E-2</v>
      </c>
      <c r="AU58" s="106">
        <v>12.38391089108911</v>
      </c>
      <c r="AV58" s="106">
        <v>3.8132807363576597E-2</v>
      </c>
      <c r="AW58" s="106">
        <v>44.889940828402374</v>
      </c>
      <c r="AX58" s="106">
        <v>1.1819116135662899E-2</v>
      </c>
      <c r="AY58" s="106">
        <v>13.913463514902364</v>
      </c>
      <c r="AZ58" s="106">
        <v>0</v>
      </c>
      <c r="BA58" s="106">
        <v>0</v>
      </c>
      <c r="BB58" s="106">
        <v>1.9157088122605363E-2</v>
      </c>
      <c r="BC58" s="106">
        <v>22.551724137931032</v>
      </c>
      <c r="BD58" s="106">
        <v>3.350083752093802E-2</v>
      </c>
      <c r="BE58" s="106">
        <v>39.437185929648237</v>
      </c>
      <c r="BF58" s="106">
        <v>2.4390243902439025E-2</v>
      </c>
      <c r="BG58" s="106">
        <v>28.712195121951222</v>
      </c>
      <c r="BH58" s="106">
        <v>1.1661807580174927E-2</v>
      </c>
      <c r="BI58" s="106">
        <v>13.728279883381925</v>
      </c>
      <c r="BJ58" s="106">
        <v>0</v>
      </c>
      <c r="BK58" s="106">
        <v>0</v>
      </c>
      <c r="BL58" s="106">
        <v>2.9197080291970802E-2</v>
      </c>
      <c r="BM58" s="106">
        <v>34.370802919708026</v>
      </c>
      <c r="BN58" s="106">
        <v>2.1139705882352942E-2</v>
      </c>
      <c r="BO58" s="106">
        <v>24.885661764705883</v>
      </c>
      <c r="BP58" s="106">
        <v>2.0309477756286266E-2</v>
      </c>
      <c r="BQ58" s="106">
        <v>23.908317214700194</v>
      </c>
      <c r="BR58" s="106">
        <v>0</v>
      </c>
      <c r="BS58" s="106">
        <v>0</v>
      </c>
      <c r="BT58" s="106">
        <v>3.5785288270377733E-2</v>
      </c>
      <c r="BU58" s="106">
        <v>42.126441351888666</v>
      </c>
      <c r="BV58" s="106">
        <v>0</v>
      </c>
      <c r="BW58" s="106">
        <v>0</v>
      </c>
      <c r="BX58" s="106">
        <v>0</v>
      </c>
      <c r="BY58" s="106">
        <v>0</v>
      </c>
      <c r="BZ58" s="106">
        <v>5.3691275167785234E-2</v>
      </c>
      <c r="CA58" s="106">
        <v>63.205369127516782</v>
      </c>
      <c r="CB58" s="106">
        <v>1.9900497512437811E-2</v>
      </c>
      <c r="CC58" s="106">
        <v>23.426865671641792</v>
      </c>
      <c r="CD58" s="106">
        <v>3.4071550255536626E-2</v>
      </c>
      <c r="CE58" s="106">
        <v>40.109028960817717</v>
      </c>
      <c r="CF58" s="106">
        <v>2.6706231454005934E-2</v>
      </c>
      <c r="CG58" s="106">
        <v>31.438575667655787</v>
      </c>
      <c r="CH58" s="106">
        <v>3.5881435257410298E-2</v>
      </c>
      <c r="CI58" s="106">
        <v>42.239625585023404</v>
      </c>
      <c r="CJ58" s="106">
        <v>6.7978533094812166E-2</v>
      </c>
      <c r="CK58" s="106">
        <v>80.024329159212883</v>
      </c>
      <c r="CL58" s="106">
        <v>3.3018867924528301E-2</v>
      </c>
      <c r="CM58" s="106">
        <v>38.869811320754721</v>
      </c>
      <c r="CN58" s="106">
        <v>1.9925280199252802E-2</v>
      </c>
      <c r="CO58" s="106">
        <v>23.456039850560398</v>
      </c>
      <c r="CP58" s="106">
        <v>0</v>
      </c>
      <c r="CQ58" s="106">
        <v>0</v>
      </c>
      <c r="CR58" s="106">
        <v>0</v>
      </c>
      <c r="CS58" s="106">
        <v>0</v>
      </c>
      <c r="CT58" s="106">
        <v>4.2131350681536554E-2</v>
      </c>
      <c r="CU58" s="106">
        <v>49.597026022304831</v>
      </c>
    </row>
    <row r="59" spans="2:99" x14ac:dyDescent="0.2">
      <c r="C59" s="105" t="s">
        <v>226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227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228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229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230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231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232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233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234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235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236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237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238</v>
      </c>
      <c r="D71" s="106">
        <v>0.23050058207217694</v>
      </c>
      <c r="E71" s="106">
        <v>130.00232828870779</v>
      </c>
      <c r="F71" s="106">
        <v>0.20096153846153847</v>
      </c>
      <c r="G71" s="106">
        <v>113.3423076923077</v>
      </c>
      <c r="H71" s="106">
        <v>0.19123505976095617</v>
      </c>
      <c r="I71" s="106">
        <v>107.85657370517929</v>
      </c>
      <c r="J71" s="106">
        <v>1.5723270440251572E-2</v>
      </c>
      <c r="K71" s="106">
        <v>8.8679245283018862</v>
      </c>
      <c r="L71" s="106">
        <v>2.3738872403560832E-2</v>
      </c>
      <c r="M71" s="106">
        <v>13.388724035608309</v>
      </c>
      <c r="N71" s="106">
        <v>0</v>
      </c>
      <c r="O71" s="106">
        <v>0</v>
      </c>
      <c r="P71" s="106">
        <v>0</v>
      </c>
      <c r="Q71" s="106">
        <v>0</v>
      </c>
      <c r="R71" s="106">
        <v>5.0819672131147541E-2</v>
      </c>
      <c r="S71" s="106">
        <v>28.662295081967212</v>
      </c>
      <c r="T71" s="106">
        <v>2.3224043715846996E-2</v>
      </c>
      <c r="U71" s="106">
        <v>13.098360655737705</v>
      </c>
      <c r="V71" s="106">
        <v>1.2647554806070826E-2</v>
      </c>
      <c r="W71" s="106">
        <v>7.1332209106239457</v>
      </c>
      <c r="X71" s="106">
        <v>1.5306122448979591E-2</v>
      </c>
      <c r="Y71" s="106">
        <v>8.6326530612244898</v>
      </c>
      <c r="Z71" s="106">
        <v>1.1904761904761904E-2</v>
      </c>
      <c r="AA71" s="106">
        <v>6.7142857142857135</v>
      </c>
      <c r="AB71" s="106">
        <v>2.9680365296803651E-2</v>
      </c>
      <c r="AC71" s="106">
        <v>16.739726027397261</v>
      </c>
      <c r="AD71" s="106">
        <v>2.9310344827586206E-2</v>
      </c>
      <c r="AE71" s="106">
        <v>16.531034482758621</v>
      </c>
      <c r="AF71" s="106">
        <v>3.2407407407407406E-2</v>
      </c>
      <c r="AG71" s="106">
        <v>18.277777777777775</v>
      </c>
      <c r="AH71" s="106">
        <v>3.125E-2</v>
      </c>
      <c r="AI71" s="106">
        <v>17.625</v>
      </c>
      <c r="AJ71" s="106">
        <v>9.6038415366146452E-3</v>
      </c>
      <c r="AK71" s="106">
        <v>5.4165666266506598</v>
      </c>
      <c r="AL71" s="106">
        <v>0</v>
      </c>
      <c r="AM71" s="106">
        <v>0</v>
      </c>
      <c r="AN71" s="106">
        <v>2.1594684385382059E-2</v>
      </c>
      <c r="AO71" s="106">
        <v>12.179401993355482</v>
      </c>
      <c r="AP71" s="106">
        <v>0</v>
      </c>
      <c r="AQ71" s="106">
        <v>0</v>
      </c>
      <c r="AR71" s="106">
        <v>4.3799472295514515E-2</v>
      </c>
      <c r="AS71" s="106">
        <v>24.702902374670185</v>
      </c>
      <c r="AT71" s="106">
        <v>4.2698019801980201E-2</v>
      </c>
      <c r="AU71" s="106">
        <v>24.081683168316832</v>
      </c>
      <c r="AV71" s="106">
        <v>8.4155161078238006E-2</v>
      </c>
      <c r="AW71" s="106">
        <v>47.463510848126234</v>
      </c>
      <c r="AX71" s="106">
        <v>4.6762589928057555E-2</v>
      </c>
      <c r="AY71" s="106">
        <v>26.374100719424462</v>
      </c>
      <c r="AZ71" s="106">
        <v>0</v>
      </c>
      <c r="BA71" s="106">
        <v>0</v>
      </c>
      <c r="BB71" s="106">
        <v>2.2988505747126436E-2</v>
      </c>
      <c r="BC71" s="106">
        <v>12.96551724137931</v>
      </c>
      <c r="BD71" s="106">
        <v>4.690117252931323E-2</v>
      </c>
      <c r="BE71" s="106">
        <v>26.452261306532662</v>
      </c>
      <c r="BF71" s="106">
        <v>1.2195121951219513E-2</v>
      </c>
      <c r="BG71" s="106">
        <v>6.8780487804878048</v>
      </c>
      <c r="BH71" s="106">
        <v>4.0816326530612242E-2</v>
      </c>
      <c r="BI71" s="106">
        <v>23.020408163265305</v>
      </c>
      <c r="BJ71" s="106">
        <v>0</v>
      </c>
      <c r="BK71" s="106">
        <v>0</v>
      </c>
      <c r="BL71" s="106">
        <v>8.0291970802919707E-2</v>
      </c>
      <c r="BM71" s="106">
        <v>45.284671532846716</v>
      </c>
      <c r="BN71" s="106">
        <v>2.9411764705882353E-2</v>
      </c>
      <c r="BO71" s="106">
        <v>16.588235294117649</v>
      </c>
      <c r="BP71" s="106">
        <v>1.3539651837524178E-2</v>
      </c>
      <c r="BQ71" s="106">
        <v>7.6363636363636367</v>
      </c>
      <c r="BR71" s="106">
        <v>0</v>
      </c>
      <c r="BS71" s="106">
        <v>0</v>
      </c>
      <c r="BT71" s="106">
        <v>2.7833001988071572E-2</v>
      </c>
      <c r="BU71" s="106">
        <v>15.697813121272366</v>
      </c>
      <c r="BV71" s="106">
        <v>0</v>
      </c>
      <c r="BW71" s="106">
        <v>0</v>
      </c>
      <c r="BX71" s="106">
        <v>0</v>
      </c>
      <c r="BY71" s="106">
        <v>0</v>
      </c>
      <c r="BZ71" s="106">
        <v>2.8523489932885907E-2</v>
      </c>
      <c r="CA71" s="106">
        <v>16.087248322147651</v>
      </c>
      <c r="CB71" s="106">
        <v>1.2437810945273632E-2</v>
      </c>
      <c r="CC71" s="106">
        <v>7.0149253731343286</v>
      </c>
      <c r="CD71" s="106">
        <v>1.2776831345826235E-2</v>
      </c>
      <c r="CE71" s="106">
        <v>7.2061328790459962</v>
      </c>
      <c r="CF71" s="106">
        <v>1.3353115727002967E-2</v>
      </c>
      <c r="CG71" s="106">
        <v>7.5311572700296736</v>
      </c>
      <c r="CH71" s="106">
        <v>2.1840873634945399E-2</v>
      </c>
      <c r="CI71" s="106">
        <v>12.318252730109204</v>
      </c>
      <c r="CJ71" s="106">
        <v>3.5778175313059032E-2</v>
      </c>
      <c r="CK71" s="106">
        <v>20.178890876565294</v>
      </c>
      <c r="CL71" s="106">
        <v>2.5157232704402517E-2</v>
      </c>
      <c r="CM71" s="106">
        <v>14.188679245283019</v>
      </c>
      <c r="CN71" s="106">
        <v>1.61892901618929E-2</v>
      </c>
      <c r="CO71" s="106">
        <v>9.1307596513075957</v>
      </c>
      <c r="CP71" s="106">
        <v>0</v>
      </c>
      <c r="CQ71" s="106">
        <v>0</v>
      </c>
      <c r="CR71" s="106">
        <v>0</v>
      </c>
      <c r="CS71" s="106">
        <v>0</v>
      </c>
      <c r="CT71" s="106">
        <v>3.4696406443618343E-2</v>
      </c>
      <c r="CU71" s="106">
        <v>19.568773234200744</v>
      </c>
    </row>
    <row r="72" spans="2:99" x14ac:dyDescent="0.2">
      <c r="C72" s="105" t="s">
        <v>239</v>
      </c>
      <c r="D72" s="106">
        <v>0.23050058207217694</v>
      </c>
      <c r="E72" s="106">
        <v>17.149243306169961</v>
      </c>
      <c r="F72" s="106">
        <v>0.21153846153846156</v>
      </c>
      <c r="G72" s="106">
        <v>15.738461538461539</v>
      </c>
      <c r="H72" s="106">
        <v>0.19123505976095617</v>
      </c>
      <c r="I72" s="106">
        <v>14.227888446215138</v>
      </c>
      <c r="J72" s="106">
        <v>1.6771488469601678E-2</v>
      </c>
      <c r="K72" s="106">
        <v>1.2477987421383647</v>
      </c>
      <c r="L72" s="106">
        <v>2.7695351137487636E-2</v>
      </c>
      <c r="M72" s="106">
        <v>2.06053412462908</v>
      </c>
      <c r="N72" s="106">
        <v>0</v>
      </c>
      <c r="O72" s="106">
        <v>0</v>
      </c>
      <c r="P72" s="106">
        <v>0</v>
      </c>
      <c r="Q72" s="106">
        <v>0</v>
      </c>
      <c r="R72" s="106">
        <v>5.0819672131147541E-2</v>
      </c>
      <c r="S72" s="106">
        <v>3.7809836065573768</v>
      </c>
      <c r="T72" s="106">
        <v>2.8688524590163935E-2</v>
      </c>
      <c r="U72" s="106">
        <v>2.1344262295081964</v>
      </c>
      <c r="V72" s="106">
        <v>1.2647554806070826E-2</v>
      </c>
      <c r="W72" s="106">
        <v>0.9409780775716694</v>
      </c>
      <c r="X72" s="106">
        <v>1.5306122448979591E-2</v>
      </c>
      <c r="Y72" s="106">
        <v>1.1387755102040815</v>
      </c>
      <c r="Z72" s="106">
        <v>1.2698412698412698E-2</v>
      </c>
      <c r="AA72" s="106">
        <v>0.94476190476190469</v>
      </c>
      <c r="AB72" s="106">
        <v>2.9680365296803651E-2</v>
      </c>
      <c r="AC72" s="106">
        <v>2.2082191780821914</v>
      </c>
      <c r="AD72" s="106">
        <v>3.1034482758620689E-2</v>
      </c>
      <c r="AE72" s="106">
        <v>2.3089655172413792</v>
      </c>
      <c r="AF72" s="106">
        <v>3.0864197530864196E-2</v>
      </c>
      <c r="AG72" s="106">
        <v>2.2962962962962958</v>
      </c>
      <c r="AH72" s="106">
        <v>3.125E-2</v>
      </c>
      <c r="AI72" s="106">
        <v>2.3249999999999997</v>
      </c>
      <c r="AJ72" s="106">
        <v>1.0804321728691477E-2</v>
      </c>
      <c r="AK72" s="106">
        <v>0.80384153661464586</v>
      </c>
      <c r="AL72" s="106">
        <v>0</v>
      </c>
      <c r="AM72" s="106">
        <v>0</v>
      </c>
      <c r="AN72" s="106">
        <v>2.3255813953488372E-2</v>
      </c>
      <c r="AO72" s="106">
        <v>1.7302325581395346</v>
      </c>
      <c r="AP72" s="106">
        <v>0</v>
      </c>
      <c r="AQ72" s="106">
        <v>0</v>
      </c>
      <c r="AR72" s="106">
        <v>4.4854881266490766E-2</v>
      </c>
      <c r="AS72" s="106">
        <v>3.3372031662269128</v>
      </c>
      <c r="AT72" s="106">
        <v>4.4554455445544552E-2</v>
      </c>
      <c r="AU72" s="106">
        <v>3.3148514851485142</v>
      </c>
      <c r="AV72" s="106">
        <v>9.0729783037475351E-2</v>
      </c>
      <c r="AW72" s="106">
        <v>6.7502958579881653</v>
      </c>
      <c r="AX72" s="106">
        <v>5.0873586844809866E-2</v>
      </c>
      <c r="AY72" s="106">
        <v>3.7849948612538538</v>
      </c>
      <c r="AZ72" s="106">
        <v>0</v>
      </c>
      <c r="BA72" s="106">
        <v>0</v>
      </c>
      <c r="BB72" s="106">
        <v>2.1072796934865901E-2</v>
      </c>
      <c r="BC72" s="106">
        <v>1.5678160919540229</v>
      </c>
      <c r="BD72" s="106">
        <v>4.0201005025125629E-2</v>
      </c>
      <c r="BE72" s="106">
        <v>2.9909547738693463</v>
      </c>
      <c r="BF72" s="106">
        <v>1.3937282229965157E-2</v>
      </c>
      <c r="BG72" s="106">
        <v>1.0369337979094075</v>
      </c>
      <c r="BH72" s="106">
        <v>3.8629737609329445E-2</v>
      </c>
      <c r="BI72" s="106">
        <v>2.8740524781341104</v>
      </c>
      <c r="BJ72" s="106">
        <v>0</v>
      </c>
      <c r="BK72" s="106">
        <v>0</v>
      </c>
      <c r="BL72" s="106">
        <v>7.4817518248175188E-2</v>
      </c>
      <c r="BM72" s="106">
        <v>5.5664233576642337</v>
      </c>
      <c r="BN72" s="106">
        <v>2.9411764705882353E-2</v>
      </c>
      <c r="BO72" s="106">
        <v>2.1882352941176468</v>
      </c>
      <c r="BP72" s="106">
        <v>1.4506769825918761E-2</v>
      </c>
      <c r="BQ72" s="106">
        <v>1.0793036750483558</v>
      </c>
      <c r="BR72" s="106">
        <v>0</v>
      </c>
      <c r="BS72" s="106">
        <v>0</v>
      </c>
      <c r="BT72" s="106">
        <v>2.7833001988071572E-2</v>
      </c>
      <c r="BU72" s="106">
        <v>2.0707753479125248</v>
      </c>
      <c r="BV72" s="106">
        <v>0</v>
      </c>
      <c r="BW72" s="106">
        <v>0</v>
      </c>
      <c r="BX72" s="106">
        <v>0</v>
      </c>
      <c r="BY72" s="106">
        <v>0</v>
      </c>
      <c r="BZ72" s="106">
        <v>3.3557046979865772E-2</v>
      </c>
      <c r="CA72" s="106">
        <v>2.4966442953020129</v>
      </c>
      <c r="CB72" s="106">
        <v>1.1608623548922056E-2</v>
      </c>
      <c r="CC72" s="106">
        <v>0.86368159203980088</v>
      </c>
      <c r="CD72" s="106">
        <v>1.4480408858603067E-2</v>
      </c>
      <c r="CE72" s="106">
        <v>1.077342419080068</v>
      </c>
      <c r="CF72" s="106">
        <v>1.483679525222552E-2</v>
      </c>
      <c r="CG72" s="106">
        <v>1.1038575667655786</v>
      </c>
      <c r="CH72" s="106">
        <v>2.4960998439937598E-2</v>
      </c>
      <c r="CI72" s="106">
        <v>1.857098283931357</v>
      </c>
      <c r="CJ72" s="106">
        <v>4.2933810375670838E-2</v>
      </c>
      <c r="CK72" s="106">
        <v>3.1942754919499099</v>
      </c>
      <c r="CL72" s="106">
        <v>2.358490566037736E-2</v>
      </c>
      <c r="CM72" s="106">
        <v>1.7547169811320753</v>
      </c>
      <c r="CN72" s="106">
        <v>1.61892901618929E-2</v>
      </c>
      <c r="CO72" s="106">
        <v>1.2044831880448317</v>
      </c>
      <c r="CP72" s="106">
        <v>0</v>
      </c>
      <c r="CQ72" s="106">
        <v>0</v>
      </c>
      <c r="CR72" s="106">
        <v>0</v>
      </c>
      <c r="CS72" s="106">
        <v>0</v>
      </c>
      <c r="CT72" s="106">
        <v>3.717472118959108E-2</v>
      </c>
      <c r="CU72" s="106">
        <v>2.7657992565055762</v>
      </c>
    </row>
    <row r="73" spans="2:99" x14ac:dyDescent="0.2">
      <c r="C73" s="105" t="s">
        <v>240</v>
      </c>
      <c r="D73" s="106">
        <v>0.2048894062863795</v>
      </c>
      <c r="E73" s="106">
        <v>114.5741559953434</v>
      </c>
      <c r="F73" s="106">
        <v>0.21153846153846156</v>
      </c>
      <c r="G73" s="106">
        <v>118.29230769230769</v>
      </c>
      <c r="H73" s="106">
        <v>0.17928286852589642</v>
      </c>
      <c r="I73" s="106">
        <v>100.25498007968126</v>
      </c>
      <c r="J73" s="106">
        <v>1.5723270440251572E-2</v>
      </c>
      <c r="K73" s="106">
        <v>8.7924528301886777</v>
      </c>
      <c r="L73" s="106">
        <v>2.4727992087042534E-2</v>
      </c>
      <c r="M73" s="106">
        <v>13.827893175074182</v>
      </c>
      <c r="N73" s="106">
        <v>0</v>
      </c>
      <c r="O73" s="106">
        <v>0</v>
      </c>
      <c r="P73" s="106">
        <v>0</v>
      </c>
      <c r="Q73" s="106">
        <v>0</v>
      </c>
      <c r="R73" s="106">
        <v>4.7540983606557376E-2</v>
      </c>
      <c r="S73" s="106">
        <v>26.584918032786881</v>
      </c>
      <c r="T73" s="106">
        <v>2.5956284153005466E-2</v>
      </c>
      <c r="U73" s="106">
        <v>14.514754098360655</v>
      </c>
      <c r="V73" s="106">
        <v>1.2647554806070826E-2</v>
      </c>
      <c r="W73" s="106">
        <v>7.072512647554805</v>
      </c>
      <c r="X73" s="106">
        <v>1.6156462585034014E-2</v>
      </c>
      <c r="Y73" s="106">
        <v>9.0346938775510193</v>
      </c>
      <c r="Z73" s="106">
        <v>1.3492063492063493E-2</v>
      </c>
      <c r="AA73" s="106">
        <v>7.5447619047619039</v>
      </c>
      <c r="AB73" s="106">
        <v>2.7397260273972601E-2</v>
      </c>
      <c r="AC73" s="106">
        <v>15.320547945205476</v>
      </c>
      <c r="AD73" s="106">
        <v>2.9310344827586206E-2</v>
      </c>
      <c r="AE73" s="106">
        <v>16.390344827586205</v>
      </c>
      <c r="AF73" s="106">
        <v>3.0864197530864196E-2</v>
      </c>
      <c r="AG73" s="106">
        <v>17.259259259259256</v>
      </c>
      <c r="AH73" s="106">
        <v>2.9296875E-2</v>
      </c>
      <c r="AI73" s="106">
        <v>16.382812499999996</v>
      </c>
      <c r="AJ73" s="106">
        <v>1.0804321728691477E-2</v>
      </c>
      <c r="AK73" s="106">
        <v>6.0417767106842737</v>
      </c>
      <c r="AL73" s="106">
        <v>0</v>
      </c>
      <c r="AM73" s="106">
        <v>0</v>
      </c>
      <c r="AN73" s="106">
        <v>2.1594684385382059E-2</v>
      </c>
      <c r="AO73" s="106">
        <v>12.075747508305646</v>
      </c>
      <c r="AP73" s="106">
        <v>0</v>
      </c>
      <c r="AQ73" s="106">
        <v>0</v>
      </c>
      <c r="AR73" s="106">
        <v>4.3271767810026382E-2</v>
      </c>
      <c r="AS73" s="106">
        <v>24.197572559366751</v>
      </c>
      <c r="AT73" s="106">
        <v>3.9603960396039604E-2</v>
      </c>
      <c r="AU73" s="106">
        <v>22.146534653465345</v>
      </c>
      <c r="AV73" s="106">
        <v>8.2840236686390539E-2</v>
      </c>
      <c r="AW73" s="106">
        <v>46.324260355029587</v>
      </c>
      <c r="AX73" s="106">
        <v>4.1109969167523124E-2</v>
      </c>
      <c r="AY73" s="106">
        <v>22.988694758478928</v>
      </c>
      <c r="AZ73" s="106">
        <v>0</v>
      </c>
      <c r="BA73" s="106">
        <v>0</v>
      </c>
      <c r="BB73" s="106">
        <v>2.1072796934865901E-2</v>
      </c>
      <c r="BC73" s="106">
        <v>11.783908045977011</v>
      </c>
      <c r="BD73" s="106">
        <v>4.3551088777219429E-2</v>
      </c>
      <c r="BE73" s="106">
        <v>24.353768844221101</v>
      </c>
      <c r="BF73" s="106">
        <v>1.3937282229965157E-2</v>
      </c>
      <c r="BG73" s="106">
        <v>7.7937282229965144</v>
      </c>
      <c r="BH73" s="106">
        <v>3.7900874635568516E-2</v>
      </c>
      <c r="BI73" s="106">
        <v>21.194169096209912</v>
      </c>
      <c r="BJ73" s="106">
        <v>0</v>
      </c>
      <c r="BK73" s="106">
        <v>0</v>
      </c>
      <c r="BL73" s="106">
        <v>7.2992700729927001E-2</v>
      </c>
      <c r="BM73" s="106">
        <v>40.817518248175176</v>
      </c>
      <c r="BN73" s="106">
        <v>2.5735294117647058E-2</v>
      </c>
      <c r="BO73" s="106">
        <v>14.391176470588233</v>
      </c>
      <c r="BP73" s="106">
        <v>1.3539651837524178E-2</v>
      </c>
      <c r="BQ73" s="106">
        <v>7.5713733075435199</v>
      </c>
      <c r="BR73" s="106">
        <v>0</v>
      </c>
      <c r="BS73" s="106">
        <v>0</v>
      </c>
      <c r="BT73" s="106">
        <v>2.584493041749503E-2</v>
      </c>
      <c r="BU73" s="106">
        <v>14.452485089463218</v>
      </c>
      <c r="BV73" s="106">
        <v>0</v>
      </c>
      <c r="BW73" s="106">
        <v>0</v>
      </c>
      <c r="BX73" s="106">
        <v>0</v>
      </c>
      <c r="BY73" s="106">
        <v>0</v>
      </c>
      <c r="BZ73" s="106">
        <v>3.1879194630872486E-2</v>
      </c>
      <c r="CA73" s="106">
        <v>17.82684563758389</v>
      </c>
      <c r="CB73" s="106">
        <v>1.1608623548922056E-2</v>
      </c>
      <c r="CC73" s="106">
        <v>6.4915422885572127</v>
      </c>
      <c r="CD73" s="106">
        <v>1.192504258943782E-2</v>
      </c>
      <c r="CE73" s="106">
        <v>6.6684838160136284</v>
      </c>
      <c r="CF73" s="106">
        <v>1.483679525222552E-2</v>
      </c>
      <c r="CG73" s="106">
        <v>8.2967359050445104</v>
      </c>
      <c r="CH73" s="106">
        <v>2.4960998439937598E-2</v>
      </c>
      <c r="CI73" s="106">
        <v>13.958190327613103</v>
      </c>
      <c r="CJ73" s="106">
        <v>3.9355992844364938E-2</v>
      </c>
      <c r="CK73" s="106">
        <v>22.007871198568871</v>
      </c>
      <c r="CL73" s="106">
        <v>2.20125786163522E-2</v>
      </c>
      <c r="CM73" s="106">
        <v>12.309433962264148</v>
      </c>
      <c r="CN73" s="106">
        <v>1.61892901618929E-2</v>
      </c>
      <c r="CO73" s="106">
        <v>9.0530510585305084</v>
      </c>
      <c r="CP73" s="106">
        <v>0</v>
      </c>
      <c r="CQ73" s="106">
        <v>0</v>
      </c>
      <c r="CR73" s="106">
        <v>0</v>
      </c>
      <c r="CS73" s="106">
        <v>0</v>
      </c>
      <c r="CT73" s="106">
        <v>3.717472118959108E-2</v>
      </c>
      <c r="CU73" s="106">
        <v>20.788104089219328</v>
      </c>
    </row>
    <row r="74" spans="2:99" x14ac:dyDescent="0.2">
      <c r="C74" s="105" t="s">
        <v>241</v>
      </c>
      <c r="D74" s="106">
        <v>0.21769499417927823</v>
      </c>
      <c r="E74" s="106">
        <v>87.774621653084978</v>
      </c>
      <c r="F74" s="106">
        <v>0.1903846153846154</v>
      </c>
      <c r="G74" s="106">
        <v>76.763076923076923</v>
      </c>
      <c r="H74" s="106">
        <v>0.19123505976095617</v>
      </c>
      <c r="I74" s="106">
        <v>77.105976095617521</v>
      </c>
      <c r="J74" s="106">
        <v>1.5723270440251572E-2</v>
      </c>
      <c r="K74" s="106">
        <v>6.3396226415094334</v>
      </c>
      <c r="L74" s="106">
        <v>2.6706231454005934E-2</v>
      </c>
      <c r="M74" s="106">
        <v>10.767952522255193</v>
      </c>
      <c r="N74" s="106">
        <v>0</v>
      </c>
      <c r="O74" s="106">
        <v>0</v>
      </c>
      <c r="P74" s="106">
        <v>0</v>
      </c>
      <c r="Q74" s="106">
        <v>0</v>
      </c>
      <c r="R74" s="106">
        <v>4.7540983606557376E-2</v>
      </c>
      <c r="S74" s="106">
        <v>19.168524590163933</v>
      </c>
      <c r="T74" s="106">
        <v>2.5956284153005466E-2</v>
      </c>
      <c r="U74" s="106">
        <v>10.465573770491803</v>
      </c>
      <c r="V74" s="106">
        <v>1.2647554806070826E-2</v>
      </c>
      <c r="W74" s="106">
        <v>5.0994940978077574</v>
      </c>
      <c r="X74" s="106">
        <v>1.5306122448979591E-2</v>
      </c>
      <c r="Y74" s="106">
        <v>6.1714285714285708</v>
      </c>
      <c r="Z74" s="106">
        <v>1.3492063492063493E-2</v>
      </c>
      <c r="AA74" s="106">
        <v>5.44</v>
      </c>
      <c r="AB74" s="106">
        <v>2.7397260273972601E-2</v>
      </c>
      <c r="AC74" s="106">
        <v>11.046575342465752</v>
      </c>
      <c r="AD74" s="106">
        <v>3.1034482758620689E-2</v>
      </c>
      <c r="AE74" s="106">
        <v>12.513103448275862</v>
      </c>
      <c r="AF74" s="106">
        <v>2.7777777777777776E-2</v>
      </c>
      <c r="AG74" s="106">
        <v>11.2</v>
      </c>
      <c r="AH74" s="106">
        <v>3.515625E-2</v>
      </c>
      <c r="AI74" s="106">
        <v>14.174999999999999</v>
      </c>
      <c r="AJ74" s="106">
        <v>9.6038415366146452E-3</v>
      </c>
      <c r="AK74" s="106">
        <v>3.8722689075630248</v>
      </c>
      <c r="AL74" s="106">
        <v>0</v>
      </c>
      <c r="AM74" s="106">
        <v>0</v>
      </c>
      <c r="AN74" s="106">
        <v>2.3255813953488372E-2</v>
      </c>
      <c r="AO74" s="106">
        <v>9.3767441860465119</v>
      </c>
      <c r="AP74" s="106">
        <v>0</v>
      </c>
      <c r="AQ74" s="106">
        <v>0</v>
      </c>
      <c r="AR74" s="106">
        <v>4.4854881266490766E-2</v>
      </c>
      <c r="AS74" s="106">
        <v>18.085488126649075</v>
      </c>
      <c r="AT74" s="106">
        <v>4.0841584158415843E-2</v>
      </c>
      <c r="AU74" s="106">
        <v>16.467326732673268</v>
      </c>
      <c r="AV74" s="106">
        <v>7.8895463510848127E-2</v>
      </c>
      <c r="AW74" s="106">
        <v>31.810650887573964</v>
      </c>
      <c r="AX74" s="106">
        <v>4.1109969167523124E-2</v>
      </c>
      <c r="AY74" s="106">
        <v>16.575539568345324</v>
      </c>
      <c r="AZ74" s="106">
        <v>0</v>
      </c>
      <c r="BA74" s="106">
        <v>0</v>
      </c>
      <c r="BB74" s="106">
        <v>2.2988505747126436E-2</v>
      </c>
      <c r="BC74" s="106">
        <v>9.2689655172413783</v>
      </c>
      <c r="BD74" s="106">
        <v>4.0201005025125629E-2</v>
      </c>
      <c r="BE74" s="106">
        <v>16.209045226130652</v>
      </c>
      <c r="BF74" s="106">
        <v>1.3937282229965157E-2</v>
      </c>
      <c r="BG74" s="106">
        <v>5.6195121951219509</v>
      </c>
      <c r="BH74" s="106">
        <v>3.7900874635568516E-2</v>
      </c>
      <c r="BI74" s="106">
        <v>15.281632653061225</v>
      </c>
      <c r="BJ74" s="106">
        <v>0</v>
      </c>
      <c r="BK74" s="106">
        <v>0</v>
      </c>
      <c r="BL74" s="106">
        <v>7.4817518248175188E-2</v>
      </c>
      <c r="BM74" s="106">
        <v>30.166423357664236</v>
      </c>
      <c r="BN74" s="106">
        <v>2.6654411764705881E-2</v>
      </c>
      <c r="BO74" s="106">
        <v>10.747058823529411</v>
      </c>
      <c r="BP74" s="106">
        <v>1.4506769825918761E-2</v>
      </c>
      <c r="BQ74" s="106">
        <v>5.8491295938104448</v>
      </c>
      <c r="BR74" s="106">
        <v>0</v>
      </c>
      <c r="BS74" s="106">
        <v>0</v>
      </c>
      <c r="BT74" s="106">
        <v>2.584493041749503E-2</v>
      </c>
      <c r="BU74" s="106">
        <v>10.420675944333995</v>
      </c>
      <c r="BV74" s="106">
        <v>0</v>
      </c>
      <c r="BW74" s="106">
        <v>0</v>
      </c>
      <c r="BX74" s="106">
        <v>0</v>
      </c>
      <c r="BY74" s="106">
        <v>0</v>
      </c>
      <c r="BZ74" s="106">
        <v>3.0201342281879196E-2</v>
      </c>
      <c r="CA74" s="106">
        <v>12.177181208053691</v>
      </c>
      <c r="CB74" s="106">
        <v>1.1608623548922056E-2</v>
      </c>
      <c r="CC74" s="106">
        <v>4.6805970149253726</v>
      </c>
      <c r="CD74" s="106">
        <v>1.192504258943782E-2</v>
      </c>
      <c r="CE74" s="106">
        <v>4.8081771720613293</v>
      </c>
      <c r="CF74" s="106">
        <v>1.3353115727002967E-2</v>
      </c>
      <c r="CG74" s="106">
        <v>5.3839762611275965</v>
      </c>
      <c r="CH74" s="106">
        <v>2.4960998439937598E-2</v>
      </c>
      <c r="CI74" s="106">
        <v>10.064274570982839</v>
      </c>
      <c r="CJ74" s="106">
        <v>4.6511627906976744E-2</v>
      </c>
      <c r="CK74" s="106">
        <v>18.753488372093024</v>
      </c>
      <c r="CL74" s="106">
        <v>2.20125786163522E-2</v>
      </c>
      <c r="CM74" s="106">
        <v>8.8754716981132074</v>
      </c>
      <c r="CN74" s="106">
        <v>1.3698630136986301E-2</v>
      </c>
      <c r="CO74" s="106">
        <v>5.5232876712328762</v>
      </c>
      <c r="CP74" s="106">
        <v>0</v>
      </c>
      <c r="CQ74" s="106">
        <v>0</v>
      </c>
      <c r="CR74" s="106">
        <v>0</v>
      </c>
      <c r="CS74" s="106">
        <v>0</v>
      </c>
      <c r="CT74" s="106">
        <v>3.717472118959108E-2</v>
      </c>
      <c r="CU74" s="106">
        <v>14.988847583643123</v>
      </c>
    </row>
    <row r="75" spans="2:99" x14ac:dyDescent="0.2">
      <c r="C75" s="105" t="s">
        <v>242</v>
      </c>
      <c r="D75" s="106">
        <v>0.21769499417927823</v>
      </c>
      <c r="E75" s="106">
        <v>140.02142025611175</v>
      </c>
      <c r="F75" s="106">
        <v>0.20096153846153847</v>
      </c>
      <c r="G75" s="106">
        <v>129.25846153846152</v>
      </c>
      <c r="H75" s="106">
        <v>0.20318725099601592</v>
      </c>
      <c r="I75" s="106">
        <v>130.69003984063744</v>
      </c>
      <c r="J75" s="106">
        <v>1.4675052410901468E-2</v>
      </c>
      <c r="K75" s="106">
        <v>9.4389937106918236</v>
      </c>
      <c r="L75" s="106">
        <v>2.6706231454005934E-2</v>
      </c>
      <c r="M75" s="106">
        <v>17.177448071216617</v>
      </c>
      <c r="N75" s="106">
        <v>0</v>
      </c>
      <c r="O75" s="106">
        <v>0</v>
      </c>
      <c r="P75" s="106">
        <v>0</v>
      </c>
      <c r="Q75" s="106">
        <v>0</v>
      </c>
      <c r="R75" s="106">
        <v>5.4098360655737705E-2</v>
      </c>
      <c r="S75" s="106">
        <v>34.796065573770491</v>
      </c>
      <c r="T75" s="106">
        <v>2.4590163934426229E-2</v>
      </c>
      <c r="U75" s="106">
        <v>15.81639344262295</v>
      </c>
      <c r="V75" s="106">
        <v>1.2647554806070826E-2</v>
      </c>
      <c r="W75" s="106">
        <v>8.1349072512647549</v>
      </c>
      <c r="X75" s="106">
        <v>1.6156462585034014E-2</v>
      </c>
      <c r="Y75" s="106">
        <v>10.391836734693877</v>
      </c>
      <c r="Z75" s="106">
        <v>1.2698412698412698E-2</v>
      </c>
      <c r="AA75" s="106">
        <v>8.1676190476190467</v>
      </c>
      <c r="AB75" s="106">
        <v>2.7397260273972601E-2</v>
      </c>
      <c r="AC75" s="106">
        <v>17.621917808219177</v>
      </c>
      <c r="AD75" s="106">
        <v>3.2758620689655175E-2</v>
      </c>
      <c r="AE75" s="106">
        <v>21.070344827586208</v>
      </c>
      <c r="AF75" s="106">
        <v>3.0864197530864196E-2</v>
      </c>
      <c r="AG75" s="106">
        <v>19.851851851851848</v>
      </c>
      <c r="AH75" s="106">
        <v>3.3203125E-2</v>
      </c>
      <c r="AI75" s="106">
        <v>21.356249999999999</v>
      </c>
      <c r="AJ75" s="106">
        <v>1.0804321728691477E-2</v>
      </c>
      <c r="AK75" s="106">
        <v>6.9493397358943572</v>
      </c>
      <c r="AL75" s="106">
        <v>0</v>
      </c>
      <c r="AM75" s="106">
        <v>0</v>
      </c>
      <c r="AN75" s="106">
        <v>2.4916943521594685E-2</v>
      </c>
      <c r="AO75" s="106">
        <v>16.026578073089699</v>
      </c>
      <c r="AP75" s="106">
        <v>0</v>
      </c>
      <c r="AQ75" s="106">
        <v>0</v>
      </c>
      <c r="AR75" s="106">
        <v>4.2744063324538256E-2</v>
      </c>
      <c r="AS75" s="106">
        <v>27.492981530343002</v>
      </c>
      <c r="AT75" s="106">
        <v>4.0222772277227724E-2</v>
      </c>
      <c r="AU75" s="106">
        <v>25.871287128712869</v>
      </c>
      <c r="AV75" s="106">
        <v>7.8895463510848127E-2</v>
      </c>
      <c r="AW75" s="106">
        <v>50.745562130177511</v>
      </c>
      <c r="AX75" s="106">
        <v>4.1623843782117163E-2</v>
      </c>
      <c r="AY75" s="106">
        <v>26.772456320657756</v>
      </c>
      <c r="AZ75" s="106">
        <v>0</v>
      </c>
      <c r="BA75" s="106">
        <v>0</v>
      </c>
      <c r="BB75" s="106">
        <v>1.9157088122605363E-2</v>
      </c>
      <c r="BC75" s="106">
        <v>12.321839080459768</v>
      </c>
      <c r="BD75" s="106">
        <v>3.6850921273031828E-2</v>
      </c>
      <c r="BE75" s="106">
        <v>23.702512562814068</v>
      </c>
      <c r="BF75" s="106">
        <v>1.2195121951219513E-2</v>
      </c>
      <c r="BG75" s="106">
        <v>7.8439024390243901</v>
      </c>
      <c r="BH75" s="106">
        <v>4.3731778425655975E-2</v>
      </c>
      <c r="BI75" s="106">
        <v>28.128279883381921</v>
      </c>
      <c r="BJ75" s="106">
        <v>0</v>
      </c>
      <c r="BK75" s="106">
        <v>0</v>
      </c>
      <c r="BL75" s="106">
        <v>7.1167883211678828E-2</v>
      </c>
      <c r="BM75" s="106">
        <v>45.77518248175182</v>
      </c>
      <c r="BN75" s="106">
        <v>2.6654411764705881E-2</v>
      </c>
      <c r="BO75" s="106">
        <v>17.14411764705882</v>
      </c>
      <c r="BP75" s="106">
        <v>1.3539651837524178E-2</v>
      </c>
      <c r="BQ75" s="106">
        <v>8.7087040618955509</v>
      </c>
      <c r="BR75" s="106">
        <v>0</v>
      </c>
      <c r="BS75" s="106">
        <v>0</v>
      </c>
      <c r="BT75" s="106">
        <v>2.3856858846918488E-2</v>
      </c>
      <c r="BU75" s="106">
        <v>15.34473161033797</v>
      </c>
      <c r="BV75" s="106">
        <v>0</v>
      </c>
      <c r="BW75" s="106">
        <v>0</v>
      </c>
      <c r="BX75" s="106">
        <v>0</v>
      </c>
      <c r="BY75" s="106">
        <v>0</v>
      </c>
      <c r="BZ75" s="106">
        <v>3.1879194630872486E-2</v>
      </c>
      <c r="CA75" s="106">
        <v>20.504697986577181</v>
      </c>
      <c r="CB75" s="106">
        <v>1.3266998341625208E-2</v>
      </c>
      <c r="CC75" s="106">
        <v>8.5333333333333332</v>
      </c>
      <c r="CD75" s="106">
        <v>1.2776831345826235E-2</v>
      </c>
      <c r="CE75" s="106">
        <v>8.2180579216354328</v>
      </c>
      <c r="CF75" s="106">
        <v>1.3353115727002967E-2</v>
      </c>
      <c r="CG75" s="106">
        <v>8.5887240356083083</v>
      </c>
      <c r="CH75" s="106">
        <v>2.1840873634945399E-2</v>
      </c>
      <c r="CI75" s="106">
        <v>14.04804992199688</v>
      </c>
      <c r="CJ75" s="106">
        <v>3.9355992844364938E-2</v>
      </c>
      <c r="CK75" s="106">
        <v>25.313774597495527</v>
      </c>
      <c r="CL75" s="106">
        <v>2.20125786163522E-2</v>
      </c>
      <c r="CM75" s="106">
        <v>14.158490566037733</v>
      </c>
      <c r="CN75" s="106">
        <v>1.4943960149439602E-2</v>
      </c>
      <c r="CO75" s="106">
        <v>9.6119551681195503</v>
      </c>
      <c r="CP75" s="106">
        <v>0</v>
      </c>
      <c r="CQ75" s="106">
        <v>0</v>
      </c>
      <c r="CR75" s="106">
        <v>0</v>
      </c>
      <c r="CS75" s="106">
        <v>0</v>
      </c>
      <c r="CT75" s="106">
        <v>3.717472118959108E-2</v>
      </c>
      <c r="CU75" s="106">
        <v>23.91078066914498</v>
      </c>
    </row>
    <row r="76" spans="2:99" x14ac:dyDescent="0.2">
      <c r="C76" s="105" t="s">
        <v>243</v>
      </c>
      <c r="D76" s="106">
        <v>0.21769499417927823</v>
      </c>
      <c r="E76" s="106">
        <v>169.54086146682187</v>
      </c>
      <c r="F76" s="106">
        <v>0.22211538461538463</v>
      </c>
      <c r="G76" s="106">
        <v>172.98346153846154</v>
      </c>
      <c r="H76" s="106">
        <v>0.16733067729083664</v>
      </c>
      <c r="I76" s="106">
        <v>130.31713147410358</v>
      </c>
      <c r="J76" s="106">
        <v>1.6771488469601678E-2</v>
      </c>
      <c r="K76" s="106">
        <v>13.061635220125787</v>
      </c>
      <c r="L76" s="106">
        <v>2.3738872403560832E-2</v>
      </c>
      <c r="M76" s="106">
        <v>18.487833827893176</v>
      </c>
      <c r="N76" s="106">
        <v>0</v>
      </c>
      <c r="O76" s="106">
        <v>0</v>
      </c>
      <c r="P76" s="106">
        <v>0</v>
      </c>
      <c r="Q76" s="106">
        <v>0</v>
      </c>
      <c r="R76" s="106">
        <v>5.4098360655737705E-2</v>
      </c>
      <c r="S76" s="106">
        <v>42.131803278688523</v>
      </c>
      <c r="T76" s="106">
        <v>2.7322404371584699E-2</v>
      </c>
      <c r="U76" s="106">
        <v>21.278688524590162</v>
      </c>
      <c r="V76" s="106">
        <v>1.1804384485666104E-2</v>
      </c>
      <c r="W76" s="106">
        <v>9.1932546374367607</v>
      </c>
      <c r="X76" s="106">
        <v>1.5306122448979591E-2</v>
      </c>
      <c r="Y76" s="106">
        <v>11.920408163265305</v>
      </c>
      <c r="Z76" s="106">
        <v>1.2698412698412698E-2</v>
      </c>
      <c r="AA76" s="106">
        <v>9.8895238095238085</v>
      </c>
      <c r="AB76" s="106">
        <v>2.7397260273972601E-2</v>
      </c>
      <c r="AC76" s="106">
        <v>21.336986301369862</v>
      </c>
      <c r="AD76" s="106">
        <v>3.1034482758620689E-2</v>
      </c>
      <c r="AE76" s="106">
        <v>24.16965517241379</v>
      </c>
      <c r="AF76" s="106">
        <v>3.0864197530864196E-2</v>
      </c>
      <c r="AG76" s="106">
        <v>24.037037037037035</v>
      </c>
      <c r="AH76" s="106">
        <v>3.3203125E-2</v>
      </c>
      <c r="AI76" s="106">
        <v>25.858593749999997</v>
      </c>
      <c r="AJ76" s="106">
        <v>9.6038415366146452E-3</v>
      </c>
      <c r="AK76" s="106">
        <v>7.4794717887154851</v>
      </c>
      <c r="AL76" s="106">
        <v>0</v>
      </c>
      <c r="AM76" s="106">
        <v>0</v>
      </c>
      <c r="AN76" s="106">
        <v>2.4916943521594685E-2</v>
      </c>
      <c r="AO76" s="106">
        <v>19.40531561461794</v>
      </c>
      <c r="AP76" s="106">
        <v>0</v>
      </c>
      <c r="AQ76" s="106">
        <v>0</v>
      </c>
      <c r="AR76" s="106">
        <v>4.1160949868073879E-2</v>
      </c>
      <c r="AS76" s="106">
        <v>32.056147757255935</v>
      </c>
      <c r="AT76" s="106">
        <v>4.3316831683168314E-2</v>
      </c>
      <c r="AU76" s="106">
        <v>33.735148514851481</v>
      </c>
      <c r="AV76" s="106">
        <v>6.8376068376068383E-2</v>
      </c>
      <c r="AW76" s="106">
        <v>53.251282051282054</v>
      </c>
      <c r="AX76" s="106">
        <v>4.2651593011305243E-2</v>
      </c>
      <c r="AY76" s="106">
        <v>33.217060637204519</v>
      </c>
      <c r="AZ76" s="106">
        <v>0</v>
      </c>
      <c r="BA76" s="106">
        <v>0</v>
      </c>
      <c r="BB76" s="106">
        <v>2.1072796934865901E-2</v>
      </c>
      <c r="BC76" s="106">
        <v>16.411494252873563</v>
      </c>
      <c r="BD76" s="106">
        <v>4.3551088777219429E-2</v>
      </c>
      <c r="BE76" s="106">
        <v>33.917587939698493</v>
      </c>
      <c r="BF76" s="106">
        <v>1.2195121951219513E-2</v>
      </c>
      <c r="BG76" s="106">
        <v>9.4975609756097565</v>
      </c>
      <c r="BH76" s="106">
        <v>3.7900874635568516E-2</v>
      </c>
      <c r="BI76" s="106">
        <v>29.517201166180758</v>
      </c>
      <c r="BJ76" s="106">
        <v>0</v>
      </c>
      <c r="BK76" s="106">
        <v>0</v>
      </c>
      <c r="BL76" s="106">
        <v>7.6642335766423361E-2</v>
      </c>
      <c r="BM76" s="106">
        <v>59.689051094890509</v>
      </c>
      <c r="BN76" s="106">
        <v>2.5735294117647058E-2</v>
      </c>
      <c r="BO76" s="106">
        <v>20.042647058823526</v>
      </c>
      <c r="BP76" s="106">
        <v>1.3539651837524178E-2</v>
      </c>
      <c r="BQ76" s="106">
        <v>10.544680851063829</v>
      </c>
      <c r="BR76" s="106">
        <v>0</v>
      </c>
      <c r="BS76" s="106">
        <v>0</v>
      </c>
      <c r="BT76" s="106">
        <v>2.3856858846918488E-2</v>
      </c>
      <c r="BU76" s="106">
        <v>18.579721669980117</v>
      </c>
      <c r="BV76" s="106">
        <v>0</v>
      </c>
      <c r="BW76" s="106">
        <v>0</v>
      </c>
      <c r="BX76" s="106">
        <v>0</v>
      </c>
      <c r="BY76" s="106">
        <v>0</v>
      </c>
      <c r="BZ76" s="106">
        <v>3.1879194630872486E-2</v>
      </c>
      <c r="CA76" s="106">
        <v>24.827516778523492</v>
      </c>
      <c r="CB76" s="106">
        <v>1.3266998341625208E-2</v>
      </c>
      <c r="CC76" s="106">
        <v>10.332338308457711</v>
      </c>
      <c r="CD76" s="106">
        <v>1.2776831345826235E-2</v>
      </c>
      <c r="CE76" s="106">
        <v>9.9505962521294702</v>
      </c>
      <c r="CF76" s="106">
        <v>1.3353115727002967E-2</v>
      </c>
      <c r="CG76" s="106">
        <v>10.39940652818991</v>
      </c>
      <c r="CH76" s="106">
        <v>2.4960998439937598E-2</v>
      </c>
      <c r="CI76" s="106">
        <v>19.4396255850234</v>
      </c>
      <c r="CJ76" s="106">
        <v>3.9355992844364938E-2</v>
      </c>
      <c r="CK76" s="106">
        <v>30.650447227191414</v>
      </c>
      <c r="CL76" s="106">
        <v>2.20125786163522E-2</v>
      </c>
      <c r="CM76" s="106">
        <v>17.143396226415092</v>
      </c>
      <c r="CN76" s="106">
        <v>1.3698630136986301E-2</v>
      </c>
      <c r="CO76" s="106">
        <v>10.668493150684931</v>
      </c>
      <c r="CP76" s="106">
        <v>0</v>
      </c>
      <c r="CQ76" s="106">
        <v>0</v>
      </c>
      <c r="CR76" s="106">
        <v>0</v>
      </c>
      <c r="CS76" s="106">
        <v>0</v>
      </c>
      <c r="CT76" s="106">
        <v>2.9739776951672861E-2</v>
      </c>
      <c r="CU76" s="106">
        <v>23.161338289962824</v>
      </c>
    </row>
    <row r="77" spans="2:99" x14ac:dyDescent="0.2">
      <c r="C77" s="105" t="s">
        <v>244</v>
      </c>
      <c r="D77" s="106">
        <v>0.23050058207217694</v>
      </c>
      <c r="E77" s="106">
        <v>64.171362048894053</v>
      </c>
      <c r="F77" s="106">
        <v>0.22211538461538463</v>
      </c>
      <c r="G77" s="106">
        <v>61.836923076923078</v>
      </c>
      <c r="H77" s="106">
        <v>0.20318725099601592</v>
      </c>
      <c r="I77" s="106">
        <v>56.567330677290826</v>
      </c>
      <c r="J77" s="106">
        <v>1.781970649895178E-2</v>
      </c>
      <c r="K77" s="106">
        <v>4.961006289308175</v>
      </c>
      <c r="L77" s="106">
        <v>2.6706231454005934E-2</v>
      </c>
      <c r="M77" s="106">
        <v>7.4350148367952515</v>
      </c>
      <c r="N77" s="106">
        <v>0</v>
      </c>
      <c r="O77" s="106">
        <v>0</v>
      </c>
      <c r="P77" s="106">
        <v>0</v>
      </c>
      <c r="Q77" s="106">
        <v>0</v>
      </c>
      <c r="R77" s="106">
        <v>5.737704918032787E-2</v>
      </c>
      <c r="S77" s="106">
        <v>15.973770491803277</v>
      </c>
      <c r="T77" s="106">
        <v>2.4590163934426229E-2</v>
      </c>
      <c r="U77" s="106">
        <v>6.8459016393442615</v>
      </c>
      <c r="V77" s="106">
        <v>1.3490725126475547E-2</v>
      </c>
      <c r="W77" s="106">
        <v>3.7558178752107922</v>
      </c>
      <c r="X77" s="106">
        <v>1.6156462585034014E-2</v>
      </c>
      <c r="Y77" s="106">
        <v>4.4979591836734691</v>
      </c>
      <c r="Z77" s="106">
        <v>1.3492063492063493E-2</v>
      </c>
      <c r="AA77" s="106">
        <v>3.7561904761904761</v>
      </c>
      <c r="AB77" s="106">
        <v>2.9680365296803651E-2</v>
      </c>
      <c r="AC77" s="106">
        <v>8.2630136986301359</v>
      </c>
      <c r="AD77" s="106">
        <v>3.2758620689655175E-2</v>
      </c>
      <c r="AE77" s="106">
        <v>9.1199999999999992</v>
      </c>
      <c r="AF77" s="106">
        <v>3.2407407407407406E-2</v>
      </c>
      <c r="AG77" s="106">
        <v>9.0222222222222204</v>
      </c>
      <c r="AH77" s="106">
        <v>3.3203125E-2</v>
      </c>
      <c r="AI77" s="106">
        <v>9.2437499999999986</v>
      </c>
      <c r="AJ77" s="106">
        <v>1.0804321728691477E-2</v>
      </c>
      <c r="AK77" s="106">
        <v>3.0079231692677069</v>
      </c>
      <c r="AL77" s="106">
        <v>0</v>
      </c>
      <c r="AM77" s="106">
        <v>0</v>
      </c>
      <c r="AN77" s="106">
        <v>2.4916943521594685E-2</v>
      </c>
      <c r="AO77" s="106">
        <v>6.9368770764119594</v>
      </c>
      <c r="AP77" s="106">
        <v>0</v>
      </c>
      <c r="AQ77" s="106">
        <v>0</v>
      </c>
      <c r="AR77" s="106">
        <v>4.1688654353562005E-2</v>
      </c>
      <c r="AS77" s="106">
        <v>11.60612137203166</v>
      </c>
      <c r="AT77" s="106">
        <v>4.5173267326732672E-2</v>
      </c>
      <c r="AU77" s="106">
        <v>12.576237623762374</v>
      </c>
      <c r="AV77" s="106">
        <v>7.4950690335305714E-2</v>
      </c>
      <c r="AW77" s="106">
        <v>20.866272189349107</v>
      </c>
      <c r="AX77" s="106">
        <v>4.3165467625899283E-2</v>
      </c>
      <c r="AY77" s="106">
        <v>12.017266187050359</v>
      </c>
      <c r="AZ77" s="106">
        <v>0</v>
      </c>
      <c r="BA77" s="106">
        <v>0</v>
      </c>
      <c r="BB77" s="106">
        <v>2.1072796934865901E-2</v>
      </c>
      <c r="BC77" s="106">
        <v>5.8666666666666663</v>
      </c>
      <c r="BD77" s="106">
        <v>4.3551088777219429E-2</v>
      </c>
      <c r="BE77" s="106">
        <v>12.124623115577888</v>
      </c>
      <c r="BF77" s="106">
        <v>1.3937282229965157E-2</v>
      </c>
      <c r="BG77" s="106">
        <v>3.8801393728222995</v>
      </c>
      <c r="BH77" s="106">
        <v>4.0087463556851312E-2</v>
      </c>
      <c r="BI77" s="106">
        <v>11.160349854227404</v>
      </c>
      <c r="BJ77" s="106">
        <v>0</v>
      </c>
      <c r="BK77" s="106">
        <v>0</v>
      </c>
      <c r="BL77" s="106">
        <v>7.6642335766423361E-2</v>
      </c>
      <c r="BM77" s="106">
        <v>21.337226277372263</v>
      </c>
      <c r="BN77" s="106">
        <v>2.6654411764705881E-2</v>
      </c>
      <c r="BO77" s="106">
        <v>7.420588235294117</v>
      </c>
      <c r="BP77" s="106">
        <v>1.4506769825918761E-2</v>
      </c>
      <c r="BQ77" s="106">
        <v>4.0386847195357829</v>
      </c>
      <c r="BR77" s="106">
        <v>0</v>
      </c>
      <c r="BS77" s="106">
        <v>0</v>
      </c>
      <c r="BT77" s="106">
        <v>2.7833001988071572E-2</v>
      </c>
      <c r="BU77" s="106">
        <v>7.7487077534791249</v>
      </c>
      <c r="BV77" s="106">
        <v>0</v>
      </c>
      <c r="BW77" s="106">
        <v>0</v>
      </c>
      <c r="BX77" s="106">
        <v>0</v>
      </c>
      <c r="BY77" s="106">
        <v>0</v>
      </c>
      <c r="BZ77" s="106">
        <v>3.1879194630872486E-2</v>
      </c>
      <c r="CA77" s="106">
        <v>8.8751677852348987</v>
      </c>
      <c r="CB77" s="106">
        <v>1.2437810945273632E-2</v>
      </c>
      <c r="CC77" s="106">
        <v>3.4626865671641789</v>
      </c>
      <c r="CD77" s="106">
        <v>1.2776831345826235E-2</v>
      </c>
      <c r="CE77" s="106">
        <v>3.5570698466780235</v>
      </c>
      <c r="CF77" s="106">
        <v>1.483679525222552E-2</v>
      </c>
      <c r="CG77" s="106">
        <v>4.1305637982195842</v>
      </c>
      <c r="CH77" s="106">
        <v>2.3400936037441498E-2</v>
      </c>
      <c r="CI77" s="106">
        <v>6.5148205928237131</v>
      </c>
      <c r="CJ77" s="106">
        <v>4.2933810375670838E-2</v>
      </c>
      <c r="CK77" s="106">
        <v>11.95277280858676</v>
      </c>
      <c r="CL77" s="106">
        <v>2.20125786163522E-2</v>
      </c>
      <c r="CM77" s="106">
        <v>6.1283018867924524</v>
      </c>
      <c r="CN77" s="106">
        <v>1.3698630136986301E-2</v>
      </c>
      <c r="CO77" s="106">
        <v>3.8136986301369857</v>
      </c>
      <c r="CP77" s="106">
        <v>0</v>
      </c>
      <c r="CQ77" s="106">
        <v>0</v>
      </c>
      <c r="CR77" s="106">
        <v>0</v>
      </c>
      <c r="CS77" s="106">
        <v>0</v>
      </c>
      <c r="CT77" s="106">
        <v>3.717472118959108E-2</v>
      </c>
      <c r="CU77" s="106">
        <v>10.349442379182156</v>
      </c>
    </row>
    <row r="78" spans="2:99" x14ac:dyDescent="0.2">
      <c r="C78" s="105" t="s">
        <v>245</v>
      </c>
      <c r="D78" s="106">
        <v>0.21769499417927823</v>
      </c>
      <c r="E78" s="106">
        <v>120.16763678696158</v>
      </c>
      <c r="F78" s="106">
        <v>0.21153846153846156</v>
      </c>
      <c r="G78" s="106">
        <v>116.76923076923079</v>
      </c>
      <c r="H78" s="106">
        <v>0.17928286852589642</v>
      </c>
      <c r="I78" s="106">
        <v>98.964143426294825</v>
      </c>
      <c r="J78" s="106">
        <v>1.781970649895178E-2</v>
      </c>
      <c r="K78" s="106">
        <v>9.8364779874213824</v>
      </c>
      <c r="L78" s="106">
        <v>2.6706231454005934E-2</v>
      </c>
      <c r="M78" s="106">
        <v>14.741839762611276</v>
      </c>
      <c r="N78" s="106">
        <v>0</v>
      </c>
      <c r="O78" s="106">
        <v>0</v>
      </c>
      <c r="P78" s="106">
        <v>0</v>
      </c>
      <c r="Q78" s="106">
        <v>0</v>
      </c>
      <c r="R78" s="106">
        <v>5.4098360655737705E-2</v>
      </c>
      <c r="S78" s="106">
        <v>29.862295081967215</v>
      </c>
      <c r="T78" s="106">
        <v>2.4590163934426229E-2</v>
      </c>
      <c r="U78" s="106">
        <v>13.573770491803279</v>
      </c>
      <c r="V78" s="106">
        <v>1.2647554806070826E-2</v>
      </c>
      <c r="W78" s="106">
        <v>6.9814502529510962</v>
      </c>
      <c r="X78" s="106">
        <v>1.6156462585034014E-2</v>
      </c>
      <c r="Y78" s="106">
        <v>8.9183673469387763</v>
      </c>
      <c r="Z78" s="106">
        <v>1.3492063492063493E-2</v>
      </c>
      <c r="AA78" s="106">
        <v>7.4476190476190478</v>
      </c>
      <c r="AB78" s="106">
        <v>2.9680365296803651E-2</v>
      </c>
      <c r="AC78" s="106">
        <v>16.383561643835616</v>
      </c>
      <c r="AD78" s="106">
        <v>3.1034482758620689E-2</v>
      </c>
      <c r="AE78" s="106">
        <v>17.131034482758622</v>
      </c>
      <c r="AF78" s="106">
        <v>2.7777777777777776E-2</v>
      </c>
      <c r="AG78" s="106">
        <v>15.333333333333332</v>
      </c>
      <c r="AH78" s="106">
        <v>3.125E-2</v>
      </c>
      <c r="AI78" s="106">
        <v>17.25</v>
      </c>
      <c r="AJ78" s="106">
        <v>1.0804321728691477E-2</v>
      </c>
      <c r="AK78" s="106">
        <v>5.9639855942376956</v>
      </c>
      <c r="AL78" s="106">
        <v>0</v>
      </c>
      <c r="AM78" s="106">
        <v>0</v>
      </c>
      <c r="AN78" s="106">
        <v>2.4916943521594685E-2</v>
      </c>
      <c r="AO78" s="106">
        <v>13.754152823920267</v>
      </c>
      <c r="AP78" s="106">
        <v>0</v>
      </c>
      <c r="AQ78" s="106">
        <v>0</v>
      </c>
      <c r="AR78" s="106">
        <v>3.8522427440633243E-2</v>
      </c>
      <c r="AS78" s="106">
        <v>21.26437994722955</v>
      </c>
      <c r="AT78" s="106">
        <v>4.5792079207920791E-2</v>
      </c>
      <c r="AU78" s="106">
        <v>25.277227722772277</v>
      </c>
      <c r="AV78" s="106">
        <v>7.8895463510848127E-2</v>
      </c>
      <c r="AW78" s="106">
        <v>43.550295857988168</v>
      </c>
      <c r="AX78" s="106">
        <v>4.2651593011305243E-2</v>
      </c>
      <c r="AY78" s="106">
        <v>23.543679342240495</v>
      </c>
      <c r="AZ78" s="106">
        <v>0</v>
      </c>
      <c r="BA78" s="106">
        <v>0</v>
      </c>
      <c r="BB78" s="106">
        <v>1.9157088122605363E-2</v>
      </c>
      <c r="BC78" s="106">
        <v>10.57471264367816</v>
      </c>
      <c r="BD78" s="106">
        <v>4.0201005025125629E-2</v>
      </c>
      <c r="BE78" s="106">
        <v>22.190954773869347</v>
      </c>
      <c r="BF78" s="106">
        <v>1.3937282229965157E-2</v>
      </c>
      <c r="BG78" s="106">
        <v>7.6933797909407664</v>
      </c>
      <c r="BH78" s="106">
        <v>3.7900874635568516E-2</v>
      </c>
      <c r="BI78" s="106">
        <v>20.921282798833822</v>
      </c>
      <c r="BJ78" s="106">
        <v>0</v>
      </c>
      <c r="BK78" s="106">
        <v>0</v>
      </c>
      <c r="BL78" s="106">
        <v>8.0291970802919707E-2</v>
      </c>
      <c r="BM78" s="106">
        <v>44.321167883211679</v>
      </c>
      <c r="BN78" s="106">
        <v>2.6654411764705881E-2</v>
      </c>
      <c r="BO78" s="106">
        <v>14.713235294117647</v>
      </c>
      <c r="BP78" s="106">
        <v>1.2572533849129593E-2</v>
      </c>
      <c r="BQ78" s="106">
        <v>6.9400386847195357</v>
      </c>
      <c r="BR78" s="106">
        <v>0</v>
      </c>
      <c r="BS78" s="106">
        <v>0</v>
      </c>
      <c r="BT78" s="106">
        <v>2.3856858846918488E-2</v>
      </c>
      <c r="BU78" s="106">
        <v>13.168986083499005</v>
      </c>
      <c r="BV78" s="106">
        <v>0</v>
      </c>
      <c r="BW78" s="106">
        <v>0</v>
      </c>
      <c r="BX78" s="106">
        <v>0</v>
      </c>
      <c r="BY78" s="106">
        <v>0</v>
      </c>
      <c r="BZ78" s="106">
        <v>3.1879194630872486E-2</v>
      </c>
      <c r="CA78" s="106">
        <v>17.597315436241612</v>
      </c>
      <c r="CB78" s="106">
        <v>1.3266998341625208E-2</v>
      </c>
      <c r="CC78" s="106">
        <v>7.3233830845771148</v>
      </c>
      <c r="CD78" s="106">
        <v>1.2776831345826235E-2</v>
      </c>
      <c r="CE78" s="106">
        <v>7.0528109028960815</v>
      </c>
      <c r="CF78" s="106">
        <v>1.483679525222552E-2</v>
      </c>
      <c r="CG78" s="106">
        <v>8.1899109792284861</v>
      </c>
      <c r="CH78" s="106">
        <v>2.3400936037441498E-2</v>
      </c>
      <c r="CI78" s="106">
        <v>12.917316692667708</v>
      </c>
      <c r="CJ78" s="106">
        <v>4.2933810375670838E-2</v>
      </c>
      <c r="CK78" s="106">
        <v>23.699463327370303</v>
      </c>
      <c r="CL78" s="106">
        <v>2.20125786163522E-2</v>
      </c>
      <c r="CM78" s="106">
        <v>12.150943396226415</v>
      </c>
      <c r="CN78" s="106">
        <v>1.4943960149439602E-2</v>
      </c>
      <c r="CO78" s="106">
        <v>8.249066002490661</v>
      </c>
      <c r="CP78" s="106">
        <v>0</v>
      </c>
      <c r="CQ78" s="106">
        <v>0</v>
      </c>
      <c r="CR78" s="106">
        <v>0</v>
      </c>
      <c r="CS78" s="106">
        <v>0</v>
      </c>
      <c r="CT78" s="106">
        <v>3.4696406443618343E-2</v>
      </c>
      <c r="CU78" s="106">
        <v>19.152416356877325</v>
      </c>
    </row>
    <row r="79" spans="2:99" x14ac:dyDescent="0.2">
      <c r="C79" s="105" t="s">
        <v>246</v>
      </c>
      <c r="D79" s="106">
        <v>0.19208381839348079</v>
      </c>
      <c r="E79" s="106">
        <v>145.44586728754365</v>
      </c>
      <c r="F79" s="106">
        <v>0.20096153846153847</v>
      </c>
      <c r="G79" s="106">
        <v>152.16807692307691</v>
      </c>
      <c r="H79" s="106">
        <v>0.20318725099601592</v>
      </c>
      <c r="I79" s="106">
        <v>153.85338645418324</v>
      </c>
      <c r="J79" s="106">
        <v>1.4675052410901468E-2</v>
      </c>
      <c r="K79" s="106">
        <v>11.11194968553459</v>
      </c>
      <c r="L79" s="106">
        <v>2.3738872403560832E-2</v>
      </c>
      <c r="M79" s="106">
        <v>17.975074183976261</v>
      </c>
      <c r="N79" s="106">
        <v>0</v>
      </c>
      <c r="O79" s="106">
        <v>0</v>
      </c>
      <c r="P79" s="106">
        <v>0</v>
      </c>
      <c r="Q79" s="106">
        <v>0</v>
      </c>
      <c r="R79" s="106">
        <v>4.9180327868852458E-2</v>
      </c>
      <c r="S79" s="106">
        <v>37.239344262295077</v>
      </c>
      <c r="T79" s="106">
        <v>2.3224043715846996E-2</v>
      </c>
      <c r="U79" s="106">
        <v>17.585245901639343</v>
      </c>
      <c r="V79" s="106">
        <v>1.1804384485666104E-2</v>
      </c>
      <c r="W79" s="106">
        <v>8.9382799325463722</v>
      </c>
      <c r="X79" s="106">
        <v>1.4455782312925171E-2</v>
      </c>
      <c r="Y79" s="106">
        <v>10.945918367346938</v>
      </c>
      <c r="Z79" s="106">
        <v>1.3492063492063493E-2</v>
      </c>
      <c r="AA79" s="106">
        <v>10.216190476190476</v>
      </c>
      <c r="AB79" s="106">
        <v>2.5114155251141551E-2</v>
      </c>
      <c r="AC79" s="106">
        <v>19.016438356164382</v>
      </c>
      <c r="AD79" s="106">
        <v>2.7586206896551724E-2</v>
      </c>
      <c r="AE79" s="106">
        <v>20.888275862068962</v>
      </c>
      <c r="AF79" s="106">
        <v>3.0864197530864196E-2</v>
      </c>
      <c r="AG79" s="106">
        <v>23.370370370370367</v>
      </c>
      <c r="AH79" s="106">
        <v>3.125E-2</v>
      </c>
      <c r="AI79" s="106">
        <v>23.662499999999998</v>
      </c>
      <c r="AJ79" s="106">
        <v>9.6038415366146452E-3</v>
      </c>
      <c r="AK79" s="106">
        <v>7.272028811524609</v>
      </c>
      <c r="AL79" s="106">
        <v>0</v>
      </c>
      <c r="AM79" s="106">
        <v>0</v>
      </c>
      <c r="AN79" s="106">
        <v>2.1594684385382059E-2</v>
      </c>
      <c r="AO79" s="106">
        <v>16.351495016611295</v>
      </c>
      <c r="AP79" s="106">
        <v>0</v>
      </c>
      <c r="AQ79" s="106">
        <v>0</v>
      </c>
      <c r="AR79" s="106">
        <v>4.0633245382585753E-2</v>
      </c>
      <c r="AS79" s="106">
        <v>30.76749340369393</v>
      </c>
      <c r="AT79" s="106">
        <v>4.2698019801980201E-2</v>
      </c>
      <c r="AU79" s="106">
        <v>32.330940594059406</v>
      </c>
      <c r="AV79" s="106">
        <v>7.2320841551610782E-2</v>
      </c>
      <c r="AW79" s="106">
        <v>54.761341222879679</v>
      </c>
      <c r="AX79" s="106">
        <v>4.3679342240493323E-2</v>
      </c>
      <c r="AY79" s="106">
        <v>33.073997944501542</v>
      </c>
      <c r="AZ79" s="106">
        <v>0</v>
      </c>
      <c r="BA79" s="106">
        <v>0</v>
      </c>
      <c r="BB79" s="106">
        <v>1.9157088122605363E-2</v>
      </c>
      <c r="BC79" s="106">
        <v>14.505747126436779</v>
      </c>
      <c r="BD79" s="106">
        <v>4.3551088777219429E-2</v>
      </c>
      <c r="BE79" s="106">
        <v>32.976884422110551</v>
      </c>
      <c r="BF79" s="106">
        <v>1.2195121951219513E-2</v>
      </c>
      <c r="BG79" s="106">
        <v>9.2341463414634148</v>
      </c>
      <c r="BH79" s="106">
        <v>4.0087463556851312E-2</v>
      </c>
      <c r="BI79" s="106">
        <v>30.354227405247812</v>
      </c>
      <c r="BJ79" s="106">
        <v>0</v>
      </c>
      <c r="BK79" s="106">
        <v>0</v>
      </c>
      <c r="BL79" s="106">
        <v>7.2992700729927001E-2</v>
      </c>
      <c r="BM79" s="106">
        <v>55.270072992700719</v>
      </c>
      <c r="BN79" s="106">
        <v>2.5735294117647058E-2</v>
      </c>
      <c r="BO79" s="106">
        <v>19.486764705882351</v>
      </c>
      <c r="BP79" s="106">
        <v>1.3539651837524178E-2</v>
      </c>
      <c r="BQ79" s="106">
        <v>10.252224371373307</v>
      </c>
      <c r="BR79" s="106">
        <v>0</v>
      </c>
      <c r="BS79" s="106">
        <v>0</v>
      </c>
      <c r="BT79" s="106">
        <v>2.7833001988071572E-2</v>
      </c>
      <c r="BU79" s="106">
        <v>21.075149105367792</v>
      </c>
      <c r="BV79" s="106">
        <v>0</v>
      </c>
      <c r="BW79" s="106">
        <v>0</v>
      </c>
      <c r="BX79" s="106">
        <v>0</v>
      </c>
      <c r="BY79" s="106">
        <v>0</v>
      </c>
      <c r="BZ79" s="106">
        <v>3.1879194630872486E-2</v>
      </c>
      <c r="CA79" s="106">
        <v>24.138926174496643</v>
      </c>
      <c r="CB79" s="106">
        <v>1.2437810945273632E-2</v>
      </c>
      <c r="CC79" s="106">
        <v>9.4179104477611943</v>
      </c>
      <c r="CD79" s="106">
        <v>1.3628620102214651E-2</v>
      </c>
      <c r="CE79" s="106">
        <v>10.319591141396932</v>
      </c>
      <c r="CF79" s="106">
        <v>1.3353115727002967E-2</v>
      </c>
      <c r="CG79" s="106">
        <v>10.110979228486645</v>
      </c>
      <c r="CH79" s="106">
        <v>2.3400936037441498E-2</v>
      </c>
      <c r="CI79" s="106">
        <v>17.719188767550701</v>
      </c>
      <c r="CJ79" s="106">
        <v>3.9355992844364938E-2</v>
      </c>
      <c r="CK79" s="106">
        <v>29.800357781753128</v>
      </c>
      <c r="CL79" s="106">
        <v>2.5157232704402517E-2</v>
      </c>
      <c r="CM79" s="106">
        <v>19.049056603773582</v>
      </c>
      <c r="CN79" s="106">
        <v>1.4943960149439602E-2</v>
      </c>
      <c r="CO79" s="106">
        <v>11.315566625155666</v>
      </c>
      <c r="CP79" s="106">
        <v>0</v>
      </c>
      <c r="CQ79" s="106">
        <v>0</v>
      </c>
      <c r="CR79" s="106">
        <v>0</v>
      </c>
      <c r="CS79" s="106">
        <v>0</v>
      </c>
      <c r="CT79" s="106">
        <v>3.2218091697645598E-2</v>
      </c>
      <c r="CU79" s="106">
        <v>24.395539033457244</v>
      </c>
    </row>
    <row r="80" spans="2:99" x14ac:dyDescent="0.2">
      <c r="C80" s="105" t="s">
        <v>247</v>
      </c>
      <c r="D80" s="106">
        <v>0.19208381839348079</v>
      </c>
      <c r="E80" s="106">
        <v>154.66589057043072</v>
      </c>
      <c r="F80" s="106">
        <v>0.20096153846153847</v>
      </c>
      <c r="G80" s="106">
        <v>161.81423076923076</v>
      </c>
      <c r="H80" s="106">
        <v>0.20318725099601592</v>
      </c>
      <c r="I80" s="106">
        <v>163.60637450199201</v>
      </c>
      <c r="J80" s="106">
        <v>1.4675052410901468E-2</v>
      </c>
      <c r="K80" s="106">
        <v>11.816352201257862</v>
      </c>
      <c r="L80" s="106">
        <v>2.1760633036597428E-2</v>
      </c>
      <c r="M80" s="106">
        <v>17.521661721068249</v>
      </c>
      <c r="N80" s="106">
        <v>0</v>
      </c>
      <c r="O80" s="106">
        <v>0</v>
      </c>
      <c r="P80" s="106">
        <v>0</v>
      </c>
      <c r="Q80" s="106">
        <v>0</v>
      </c>
      <c r="R80" s="106">
        <v>4.7540983606557376E-2</v>
      </c>
      <c r="S80" s="106">
        <v>38.279999999999994</v>
      </c>
      <c r="T80" s="106">
        <v>2.5956284153005466E-2</v>
      </c>
      <c r="U80" s="106">
        <v>20.9</v>
      </c>
      <c r="V80" s="106">
        <v>1.1804384485666104E-2</v>
      </c>
      <c r="W80" s="106">
        <v>9.5048903878583459</v>
      </c>
      <c r="X80" s="106">
        <v>1.5306122448979591E-2</v>
      </c>
      <c r="Y80" s="106">
        <v>12.324489795918366</v>
      </c>
      <c r="Z80" s="106">
        <v>1.3492063492063493E-2</v>
      </c>
      <c r="AA80" s="106">
        <v>10.863809523809524</v>
      </c>
      <c r="AB80" s="106">
        <v>2.9680365296803651E-2</v>
      </c>
      <c r="AC80" s="106">
        <v>23.898630136986299</v>
      </c>
      <c r="AD80" s="106">
        <v>3.1034482758620689E-2</v>
      </c>
      <c r="AE80" s="106">
        <v>24.988965517241375</v>
      </c>
      <c r="AF80" s="106">
        <v>3.0864197530864196E-2</v>
      </c>
      <c r="AG80" s="106">
        <v>24.851851851851848</v>
      </c>
      <c r="AH80" s="106">
        <v>2.9296875E-2</v>
      </c>
      <c r="AI80" s="106">
        <v>23.589843749999996</v>
      </c>
      <c r="AJ80" s="106">
        <v>9.6038415366146452E-3</v>
      </c>
      <c r="AK80" s="106">
        <v>7.7330132052821119</v>
      </c>
      <c r="AL80" s="106">
        <v>0</v>
      </c>
      <c r="AM80" s="106">
        <v>0</v>
      </c>
      <c r="AN80" s="106">
        <v>2.4916943521594685E-2</v>
      </c>
      <c r="AO80" s="106">
        <v>20.06312292358804</v>
      </c>
      <c r="AP80" s="106">
        <v>0</v>
      </c>
      <c r="AQ80" s="106">
        <v>0</v>
      </c>
      <c r="AR80" s="106">
        <v>3.5356200527704489E-2</v>
      </c>
      <c r="AS80" s="106">
        <v>28.468812664907652</v>
      </c>
      <c r="AT80" s="106">
        <v>4.0222772277227724E-2</v>
      </c>
      <c r="AU80" s="106">
        <v>32.387376237623762</v>
      </c>
      <c r="AV80" s="106">
        <v>7.4950690335305714E-2</v>
      </c>
      <c r="AW80" s="106">
        <v>60.350295857988158</v>
      </c>
      <c r="AX80" s="106">
        <v>4.2137718396711203E-2</v>
      </c>
      <c r="AY80" s="106">
        <v>33.929290853031858</v>
      </c>
      <c r="AZ80" s="106">
        <v>0</v>
      </c>
      <c r="BA80" s="106">
        <v>0</v>
      </c>
      <c r="BB80" s="106">
        <v>2.1072796934865901E-2</v>
      </c>
      <c r="BC80" s="106">
        <v>16.967816091954024</v>
      </c>
      <c r="BD80" s="106">
        <v>4.3551088777219429E-2</v>
      </c>
      <c r="BE80" s="106">
        <v>35.067336683417082</v>
      </c>
      <c r="BF80" s="106">
        <v>1.2195121951219513E-2</v>
      </c>
      <c r="BG80" s="106">
        <v>9.8195121951219502</v>
      </c>
      <c r="BH80" s="106">
        <v>3.9358600583090382E-2</v>
      </c>
      <c r="BI80" s="106">
        <v>31.691545189504374</v>
      </c>
      <c r="BJ80" s="106">
        <v>0</v>
      </c>
      <c r="BK80" s="106">
        <v>0</v>
      </c>
      <c r="BL80" s="106">
        <v>6.7518248175182483E-2</v>
      </c>
      <c r="BM80" s="106">
        <v>54.365693430656933</v>
      </c>
      <c r="BN80" s="106">
        <v>2.389705882352941E-2</v>
      </c>
      <c r="BO80" s="106">
        <v>19.241911764705879</v>
      </c>
      <c r="BP80" s="106">
        <v>1.3539651837524178E-2</v>
      </c>
      <c r="BQ80" s="106">
        <v>10.902127659574468</v>
      </c>
      <c r="BR80" s="106">
        <v>0</v>
      </c>
      <c r="BS80" s="106">
        <v>0</v>
      </c>
      <c r="BT80" s="106">
        <v>2.584493041749503E-2</v>
      </c>
      <c r="BU80" s="106">
        <v>20.810337972166998</v>
      </c>
      <c r="BV80" s="106">
        <v>0</v>
      </c>
      <c r="BW80" s="106">
        <v>0</v>
      </c>
      <c r="BX80" s="106">
        <v>0</v>
      </c>
      <c r="BY80" s="106">
        <v>0</v>
      </c>
      <c r="BZ80" s="106">
        <v>2.8523489932885907E-2</v>
      </c>
      <c r="CA80" s="106">
        <v>22.967114093959729</v>
      </c>
      <c r="CB80" s="106">
        <v>1.1608623548922056E-2</v>
      </c>
      <c r="CC80" s="106">
        <v>9.3472636815920378</v>
      </c>
      <c r="CD80" s="106">
        <v>1.192504258943782E-2</v>
      </c>
      <c r="CE80" s="106">
        <v>9.6020442930153322</v>
      </c>
      <c r="CF80" s="106">
        <v>1.3353115727002967E-2</v>
      </c>
      <c r="CG80" s="106">
        <v>10.751928783382787</v>
      </c>
      <c r="CH80" s="106">
        <v>2.4960998439937598E-2</v>
      </c>
      <c r="CI80" s="106">
        <v>20.098595943837754</v>
      </c>
      <c r="CJ80" s="106">
        <v>3.9355992844364938E-2</v>
      </c>
      <c r="CK80" s="106">
        <v>31.689445438282647</v>
      </c>
      <c r="CL80" s="106">
        <v>2.20125786163522E-2</v>
      </c>
      <c r="CM80" s="106">
        <v>17.724528301886789</v>
      </c>
      <c r="CN80" s="106">
        <v>1.3698630136986301E-2</v>
      </c>
      <c r="CO80" s="106">
        <v>11.030136986301368</v>
      </c>
      <c r="CP80" s="106">
        <v>0</v>
      </c>
      <c r="CQ80" s="106">
        <v>0</v>
      </c>
      <c r="CR80" s="106">
        <v>0</v>
      </c>
      <c r="CS80" s="106">
        <v>0</v>
      </c>
      <c r="CT80" s="106">
        <v>3.4696406443618343E-2</v>
      </c>
      <c r="CU80" s="106">
        <v>27.937546468401486</v>
      </c>
    </row>
    <row r="81" spans="2:99" x14ac:dyDescent="0.2">
      <c r="C81" s="105" t="s">
        <v>248</v>
      </c>
      <c r="D81" s="106">
        <v>0.21769499417927823</v>
      </c>
      <c r="E81" s="106">
        <v>164.05494761350408</v>
      </c>
      <c r="F81" s="106">
        <v>0.20096153846153847</v>
      </c>
      <c r="G81" s="106">
        <v>151.44461538461539</v>
      </c>
      <c r="H81" s="106">
        <v>0.17928286852589642</v>
      </c>
      <c r="I81" s="106">
        <v>135.10756972111554</v>
      </c>
      <c r="J81" s="106">
        <v>1.4675052410901468E-2</v>
      </c>
      <c r="K81" s="106">
        <v>11.059119496855347</v>
      </c>
      <c r="L81" s="106">
        <v>2.5717111770524232E-2</v>
      </c>
      <c r="M81" s="106">
        <v>19.38041543026706</v>
      </c>
      <c r="N81" s="106">
        <v>0</v>
      </c>
      <c r="O81" s="106">
        <v>0</v>
      </c>
      <c r="P81" s="106">
        <v>0</v>
      </c>
      <c r="Q81" s="106">
        <v>0</v>
      </c>
      <c r="R81" s="106">
        <v>4.7540983606557376E-2</v>
      </c>
      <c r="S81" s="106">
        <v>35.826885245901643</v>
      </c>
      <c r="T81" s="106">
        <v>2.4590163934426229E-2</v>
      </c>
      <c r="U81" s="106">
        <v>18.531147540983607</v>
      </c>
      <c r="V81" s="106">
        <v>1.3490725126475547E-2</v>
      </c>
      <c r="W81" s="106">
        <v>10.166610455311973</v>
      </c>
      <c r="X81" s="106">
        <v>1.5306122448979591E-2</v>
      </c>
      <c r="Y81" s="106">
        <v>11.534693877551021</v>
      </c>
      <c r="Z81" s="106">
        <v>1.3492063492063493E-2</v>
      </c>
      <c r="AA81" s="106">
        <v>10.167619047619048</v>
      </c>
      <c r="AB81" s="106">
        <v>2.7397260273972601E-2</v>
      </c>
      <c r="AC81" s="106">
        <v>20.646575342465752</v>
      </c>
      <c r="AD81" s="106">
        <v>3.1034482758620689E-2</v>
      </c>
      <c r="AE81" s="106">
        <v>23.387586206896554</v>
      </c>
      <c r="AF81" s="106">
        <v>2.6234567901234566E-2</v>
      </c>
      <c r="AG81" s="106">
        <v>19.770370370370369</v>
      </c>
      <c r="AH81" s="106">
        <v>3.3203125E-2</v>
      </c>
      <c r="AI81" s="106">
        <v>25.021875000000001</v>
      </c>
      <c r="AJ81" s="106">
        <v>1.0804321728691477E-2</v>
      </c>
      <c r="AK81" s="106">
        <v>8.1421368547418975</v>
      </c>
      <c r="AL81" s="106">
        <v>0</v>
      </c>
      <c r="AM81" s="106">
        <v>0</v>
      </c>
      <c r="AN81" s="106">
        <v>2.3255813953488372E-2</v>
      </c>
      <c r="AO81" s="106">
        <v>17.525581395348837</v>
      </c>
      <c r="AP81" s="106">
        <v>0</v>
      </c>
      <c r="AQ81" s="106">
        <v>0</v>
      </c>
      <c r="AR81" s="106">
        <v>3.8522427440633243E-2</v>
      </c>
      <c r="AS81" s="106">
        <v>29.030501319261212</v>
      </c>
      <c r="AT81" s="106">
        <v>3.7747524752475246E-2</v>
      </c>
      <c r="AU81" s="106">
        <v>28.446534653465346</v>
      </c>
      <c r="AV81" s="106">
        <v>7.3635765943458248E-2</v>
      </c>
      <c r="AW81" s="106">
        <v>55.491913214990134</v>
      </c>
      <c r="AX81" s="106">
        <v>4.4193216855087356E-2</v>
      </c>
      <c r="AY81" s="106">
        <v>33.304008221993833</v>
      </c>
      <c r="AZ81" s="106">
        <v>0</v>
      </c>
      <c r="BA81" s="106">
        <v>0</v>
      </c>
      <c r="BB81" s="106">
        <v>2.1072796934865901E-2</v>
      </c>
      <c r="BC81" s="106">
        <v>15.880459770114944</v>
      </c>
      <c r="BD81" s="106">
        <v>4.0201005025125629E-2</v>
      </c>
      <c r="BE81" s="106">
        <v>30.295477386934675</v>
      </c>
      <c r="BF81" s="106">
        <v>1.2195121951219513E-2</v>
      </c>
      <c r="BG81" s="106">
        <v>9.1902439024390254</v>
      </c>
      <c r="BH81" s="106">
        <v>4.2274052478134108E-2</v>
      </c>
      <c r="BI81" s="106">
        <v>31.857725947521864</v>
      </c>
      <c r="BJ81" s="106">
        <v>0</v>
      </c>
      <c r="BK81" s="106">
        <v>0</v>
      </c>
      <c r="BL81" s="106">
        <v>6.9343065693430656E-2</v>
      </c>
      <c r="BM81" s="106">
        <v>52.256934306569342</v>
      </c>
      <c r="BN81" s="106">
        <v>2.7573529411764705E-2</v>
      </c>
      <c r="BO81" s="106">
        <v>20.779411764705884</v>
      </c>
      <c r="BP81" s="106">
        <v>1.4506769825918761E-2</v>
      </c>
      <c r="BQ81" s="106">
        <v>10.932301740812379</v>
      </c>
      <c r="BR81" s="106">
        <v>0</v>
      </c>
      <c r="BS81" s="106">
        <v>0</v>
      </c>
      <c r="BT81" s="106">
        <v>2.3856858846918488E-2</v>
      </c>
      <c r="BU81" s="106">
        <v>17.978528827037774</v>
      </c>
      <c r="BV81" s="106">
        <v>0</v>
      </c>
      <c r="BW81" s="106">
        <v>0</v>
      </c>
      <c r="BX81" s="106">
        <v>0</v>
      </c>
      <c r="BY81" s="106">
        <v>0</v>
      </c>
      <c r="BZ81" s="106">
        <v>3.3557046979865772E-2</v>
      </c>
      <c r="CA81" s="106">
        <v>25.288590604026847</v>
      </c>
      <c r="CB81" s="106">
        <v>1.2437810945273632E-2</v>
      </c>
      <c r="CC81" s="106">
        <v>9.3731343283582103</v>
      </c>
      <c r="CD81" s="106">
        <v>1.2776831345826235E-2</v>
      </c>
      <c r="CE81" s="106">
        <v>9.6286201022146507</v>
      </c>
      <c r="CF81" s="106">
        <v>1.3353115727002967E-2</v>
      </c>
      <c r="CG81" s="106">
        <v>10.062908011869435</v>
      </c>
      <c r="CH81" s="106">
        <v>2.3400936037441498E-2</v>
      </c>
      <c r="CI81" s="106">
        <v>17.634945397815915</v>
      </c>
      <c r="CJ81" s="106">
        <v>3.9355992844364938E-2</v>
      </c>
      <c r="CK81" s="106">
        <v>29.65867620751342</v>
      </c>
      <c r="CL81" s="106">
        <v>2.20125786163522E-2</v>
      </c>
      <c r="CM81" s="106">
        <v>16.588679245283018</v>
      </c>
      <c r="CN81" s="106">
        <v>1.3698630136986301E-2</v>
      </c>
      <c r="CO81" s="106">
        <v>10.323287671232876</v>
      </c>
      <c r="CP81" s="106">
        <v>0</v>
      </c>
      <c r="CQ81" s="106">
        <v>0</v>
      </c>
      <c r="CR81" s="106">
        <v>0</v>
      </c>
      <c r="CS81" s="106">
        <v>0</v>
      </c>
      <c r="CT81" s="106">
        <v>3.4696406443618343E-2</v>
      </c>
      <c r="CU81" s="106">
        <v>26.147211895910782</v>
      </c>
    </row>
    <row r="82" spans="2:99" x14ac:dyDescent="0.2">
      <c r="C82" s="105" t="s">
        <v>249</v>
      </c>
      <c r="D82" s="106">
        <v>0.21769499417927823</v>
      </c>
      <c r="E82" s="106">
        <v>110.76321303841674</v>
      </c>
      <c r="F82" s="106">
        <v>0.22211538461538463</v>
      </c>
      <c r="G82" s="106">
        <v>113.01230769230767</v>
      </c>
      <c r="H82" s="106">
        <v>0.17928286852589642</v>
      </c>
      <c r="I82" s="106">
        <v>91.219123505976086</v>
      </c>
      <c r="J82" s="106">
        <v>1.5723270440251572E-2</v>
      </c>
      <c r="K82" s="106">
        <v>7.9999999999999982</v>
      </c>
      <c r="L82" s="106">
        <v>2.4727992087042534E-2</v>
      </c>
      <c r="M82" s="106">
        <v>12.581602373887238</v>
      </c>
      <c r="N82" s="106">
        <v>0</v>
      </c>
      <c r="O82" s="106">
        <v>0</v>
      </c>
      <c r="P82" s="106">
        <v>0</v>
      </c>
      <c r="Q82" s="106">
        <v>0</v>
      </c>
      <c r="R82" s="106">
        <v>5.5737704918032788E-2</v>
      </c>
      <c r="S82" s="106">
        <v>28.359344262295078</v>
      </c>
      <c r="T82" s="106">
        <v>2.4590163934426229E-2</v>
      </c>
      <c r="U82" s="106">
        <v>12.511475409836063</v>
      </c>
      <c r="V82" s="106">
        <v>1.2647554806070826E-2</v>
      </c>
      <c r="W82" s="106">
        <v>6.4350758853288355</v>
      </c>
      <c r="X82" s="106">
        <v>1.5306122448979591E-2</v>
      </c>
      <c r="Y82" s="106">
        <v>7.7877551020408147</v>
      </c>
      <c r="Z82" s="106">
        <v>1.3492063492063493E-2</v>
      </c>
      <c r="AA82" s="106">
        <v>6.8647619047619033</v>
      </c>
      <c r="AB82" s="106">
        <v>2.9680365296803651E-2</v>
      </c>
      <c r="AC82" s="106">
        <v>15.101369863013694</v>
      </c>
      <c r="AD82" s="106">
        <v>2.7586206896551724E-2</v>
      </c>
      <c r="AE82" s="106">
        <v>14.035862068965514</v>
      </c>
      <c r="AF82" s="106">
        <v>3.0864197530864196E-2</v>
      </c>
      <c r="AG82" s="106">
        <v>15.703703703703699</v>
      </c>
      <c r="AH82" s="106">
        <v>2.9296875E-2</v>
      </c>
      <c r="AI82" s="106">
        <v>14.906249999999996</v>
      </c>
      <c r="AJ82" s="106">
        <v>9.6038415366146452E-3</v>
      </c>
      <c r="AK82" s="106">
        <v>4.8864345738295301</v>
      </c>
      <c r="AL82" s="106">
        <v>0</v>
      </c>
      <c r="AM82" s="106">
        <v>0</v>
      </c>
      <c r="AN82" s="106">
        <v>2.3255813953488372E-2</v>
      </c>
      <c r="AO82" s="106">
        <v>11.832558139534882</v>
      </c>
      <c r="AP82" s="106">
        <v>0</v>
      </c>
      <c r="AQ82" s="106">
        <v>0</v>
      </c>
      <c r="AR82" s="106">
        <v>4.432717678100264E-2</v>
      </c>
      <c r="AS82" s="106">
        <v>22.55366754617414</v>
      </c>
      <c r="AT82" s="106">
        <v>4.3316831683168314E-2</v>
      </c>
      <c r="AU82" s="106">
        <v>22.039603960396033</v>
      </c>
      <c r="AV82" s="106">
        <v>7.3635765943458248E-2</v>
      </c>
      <c r="AW82" s="106">
        <v>37.465877712031549</v>
      </c>
      <c r="AX82" s="106">
        <v>4.6762589928057555E-2</v>
      </c>
      <c r="AY82" s="106">
        <v>23.79280575539568</v>
      </c>
      <c r="AZ82" s="106">
        <v>0</v>
      </c>
      <c r="BA82" s="106">
        <v>0</v>
      </c>
      <c r="BB82" s="106">
        <v>1.9157088122605363E-2</v>
      </c>
      <c r="BC82" s="106">
        <v>9.7471264367816062</v>
      </c>
      <c r="BD82" s="106">
        <v>4.3551088777219429E-2</v>
      </c>
      <c r="BE82" s="106">
        <v>22.158793969849242</v>
      </c>
      <c r="BF82" s="106">
        <v>1.3937282229965157E-2</v>
      </c>
      <c r="BG82" s="106">
        <v>7.0912891986062707</v>
      </c>
      <c r="BH82" s="106">
        <v>4.4460641399416911E-2</v>
      </c>
      <c r="BI82" s="106">
        <v>22.621574344023319</v>
      </c>
      <c r="BJ82" s="106">
        <v>0</v>
      </c>
      <c r="BK82" s="106">
        <v>0</v>
      </c>
      <c r="BL82" s="106">
        <v>7.4817518248175188E-2</v>
      </c>
      <c r="BM82" s="106">
        <v>38.067153284671527</v>
      </c>
      <c r="BN82" s="106">
        <v>2.6654411764705881E-2</v>
      </c>
      <c r="BO82" s="106">
        <v>13.56176470588235</v>
      </c>
      <c r="BP82" s="106">
        <v>1.4506769825918761E-2</v>
      </c>
      <c r="BQ82" s="106">
        <v>7.3810444874274639</v>
      </c>
      <c r="BR82" s="106">
        <v>0</v>
      </c>
      <c r="BS82" s="106">
        <v>0</v>
      </c>
      <c r="BT82" s="106">
        <v>2.7833001988071572E-2</v>
      </c>
      <c r="BU82" s="106">
        <v>14.161431411530813</v>
      </c>
      <c r="BV82" s="106">
        <v>0</v>
      </c>
      <c r="BW82" s="106">
        <v>0</v>
      </c>
      <c r="BX82" s="106">
        <v>0</v>
      </c>
      <c r="BY82" s="106">
        <v>0</v>
      </c>
      <c r="BZ82" s="106">
        <v>3.1879194630872486E-2</v>
      </c>
      <c r="CA82" s="106">
        <v>16.220134228187916</v>
      </c>
      <c r="CB82" s="106">
        <v>1.2437810945273632E-2</v>
      </c>
      <c r="CC82" s="106">
        <v>6.3283582089552226</v>
      </c>
      <c r="CD82" s="106">
        <v>1.3628620102214651E-2</v>
      </c>
      <c r="CE82" s="106">
        <v>6.9342419080068129</v>
      </c>
      <c r="CF82" s="106">
        <v>1.3353115727002967E-2</v>
      </c>
      <c r="CG82" s="106">
        <v>6.7940652818991083</v>
      </c>
      <c r="CH82" s="106">
        <v>2.3400936037441498E-2</v>
      </c>
      <c r="CI82" s="106">
        <v>11.906396255850233</v>
      </c>
      <c r="CJ82" s="106">
        <v>4.6511627906976744E-2</v>
      </c>
      <c r="CK82" s="106">
        <v>23.665116279069764</v>
      </c>
      <c r="CL82" s="106">
        <v>2.358490566037736E-2</v>
      </c>
      <c r="CM82" s="106">
        <v>11.999999999999998</v>
      </c>
      <c r="CN82" s="106">
        <v>1.3698630136986301E-2</v>
      </c>
      <c r="CO82" s="106">
        <v>6.9698630136986282</v>
      </c>
      <c r="CP82" s="106">
        <v>0</v>
      </c>
      <c r="CQ82" s="106">
        <v>0</v>
      </c>
      <c r="CR82" s="106">
        <v>0</v>
      </c>
      <c r="CS82" s="106">
        <v>0</v>
      </c>
      <c r="CT82" s="106">
        <v>3.4696406443618343E-2</v>
      </c>
      <c r="CU82" s="106">
        <v>17.653531598513009</v>
      </c>
    </row>
    <row r="83" spans="2:99" x14ac:dyDescent="0.2">
      <c r="C83" s="105" t="s">
        <v>250</v>
      </c>
      <c r="D83" s="106">
        <v>0.19208381839348079</v>
      </c>
      <c r="E83" s="106">
        <v>165.26891734575088</v>
      </c>
      <c r="F83" s="106">
        <v>0.22211538461538463</v>
      </c>
      <c r="G83" s="106">
        <v>191.10807692307694</v>
      </c>
      <c r="H83" s="106">
        <v>0.20318725099601592</v>
      </c>
      <c r="I83" s="106">
        <v>174.82231075697209</v>
      </c>
      <c r="J83" s="106">
        <v>1.6771488469601678E-2</v>
      </c>
      <c r="K83" s="106">
        <v>14.430188679245283</v>
      </c>
      <c r="L83" s="106">
        <v>2.274975272007913E-2</v>
      </c>
      <c r="M83" s="106">
        <v>19.573887240356083</v>
      </c>
      <c r="N83" s="106">
        <v>0</v>
      </c>
      <c r="O83" s="106">
        <v>0</v>
      </c>
      <c r="P83" s="106">
        <v>0</v>
      </c>
      <c r="Q83" s="106">
        <v>0</v>
      </c>
      <c r="R83" s="106">
        <v>4.5901639344262293E-2</v>
      </c>
      <c r="S83" s="106">
        <v>39.493770491803275</v>
      </c>
      <c r="T83" s="106">
        <v>2.7322404371584699E-2</v>
      </c>
      <c r="U83" s="106">
        <v>23.508196721311474</v>
      </c>
      <c r="V83" s="106">
        <v>1.3490725126475547E-2</v>
      </c>
      <c r="W83" s="106">
        <v>11.607419898819561</v>
      </c>
      <c r="X83" s="106">
        <v>1.5306122448979591E-2</v>
      </c>
      <c r="Y83" s="106">
        <v>13.16938775510204</v>
      </c>
      <c r="Z83" s="106">
        <v>1.2698412698412698E-2</v>
      </c>
      <c r="AA83" s="106">
        <v>10.925714285714285</v>
      </c>
      <c r="AB83" s="106">
        <v>2.9680365296803651E-2</v>
      </c>
      <c r="AC83" s="106">
        <v>25.536986301369861</v>
      </c>
      <c r="AD83" s="106">
        <v>2.9310344827586206E-2</v>
      </c>
      <c r="AE83" s="106">
        <v>25.218620689655172</v>
      </c>
      <c r="AF83" s="106">
        <v>3.0864197530864196E-2</v>
      </c>
      <c r="AG83" s="106">
        <v>26.555555555555554</v>
      </c>
      <c r="AH83" s="106">
        <v>3.125E-2</v>
      </c>
      <c r="AI83" s="106">
        <v>26.887499999999999</v>
      </c>
      <c r="AJ83" s="106">
        <v>1.0804321728691477E-2</v>
      </c>
      <c r="AK83" s="106">
        <v>9.2960384153661462</v>
      </c>
      <c r="AL83" s="106">
        <v>0</v>
      </c>
      <c r="AM83" s="106">
        <v>0</v>
      </c>
      <c r="AN83" s="106">
        <v>2.3255813953488372E-2</v>
      </c>
      <c r="AO83" s="106">
        <v>20.009302325581395</v>
      </c>
      <c r="AP83" s="106">
        <v>0</v>
      </c>
      <c r="AQ83" s="106">
        <v>0</v>
      </c>
      <c r="AR83" s="106">
        <v>4.2744063324538256E-2</v>
      </c>
      <c r="AS83" s="106">
        <v>36.776992084432713</v>
      </c>
      <c r="AT83" s="106">
        <v>3.7747524752475246E-2</v>
      </c>
      <c r="AU83" s="106">
        <v>32.4779702970297</v>
      </c>
      <c r="AV83" s="106">
        <v>7.3635765943458248E-2</v>
      </c>
      <c r="AW83" s="106">
        <v>63.356213017751472</v>
      </c>
      <c r="AX83" s="106">
        <v>4.4707091469681395E-2</v>
      </c>
      <c r="AY83" s="106">
        <v>38.46598150051387</v>
      </c>
      <c r="AZ83" s="106">
        <v>0</v>
      </c>
      <c r="BA83" s="106">
        <v>0</v>
      </c>
      <c r="BB83" s="106">
        <v>2.1072796934865901E-2</v>
      </c>
      <c r="BC83" s="106">
        <v>18.131034482758622</v>
      </c>
      <c r="BD83" s="106">
        <v>4.3551088777219429E-2</v>
      </c>
      <c r="BE83" s="106">
        <v>37.471356783919596</v>
      </c>
      <c r="BF83" s="106">
        <v>1.3937282229965157E-2</v>
      </c>
      <c r="BG83" s="106">
        <v>11.991637630662021</v>
      </c>
      <c r="BH83" s="106">
        <v>4.2274052478134108E-2</v>
      </c>
      <c r="BI83" s="106">
        <v>36.372594752186586</v>
      </c>
      <c r="BJ83" s="106">
        <v>0</v>
      </c>
      <c r="BK83" s="106">
        <v>0</v>
      </c>
      <c r="BL83" s="106">
        <v>7.1167883211678828E-2</v>
      </c>
      <c r="BM83" s="106">
        <v>61.232846715328463</v>
      </c>
      <c r="BN83" s="106">
        <v>2.6654411764705881E-2</v>
      </c>
      <c r="BO83" s="106">
        <v>22.933455882352941</v>
      </c>
      <c r="BP83" s="106">
        <v>1.3539651837524178E-2</v>
      </c>
      <c r="BQ83" s="106">
        <v>11.649516441005803</v>
      </c>
      <c r="BR83" s="106">
        <v>0</v>
      </c>
      <c r="BS83" s="106">
        <v>0</v>
      </c>
      <c r="BT83" s="106">
        <v>2.3856858846918488E-2</v>
      </c>
      <c r="BU83" s="106">
        <v>20.526441351888668</v>
      </c>
      <c r="BV83" s="106">
        <v>0</v>
      </c>
      <c r="BW83" s="106">
        <v>0</v>
      </c>
      <c r="BX83" s="106">
        <v>0</v>
      </c>
      <c r="BY83" s="106">
        <v>0</v>
      </c>
      <c r="BZ83" s="106">
        <v>3.1879194630872486E-2</v>
      </c>
      <c r="CA83" s="106">
        <v>27.428859060402687</v>
      </c>
      <c r="CB83" s="106">
        <v>1.1608623548922056E-2</v>
      </c>
      <c r="CC83" s="106">
        <v>9.9880597014925367</v>
      </c>
      <c r="CD83" s="106">
        <v>1.192504258943782E-2</v>
      </c>
      <c r="CE83" s="106">
        <v>10.260306643952299</v>
      </c>
      <c r="CF83" s="106">
        <v>1.3353115727002967E-2</v>
      </c>
      <c r="CG83" s="106">
        <v>11.489020771513353</v>
      </c>
      <c r="CH83" s="106">
        <v>2.3400936037441498E-2</v>
      </c>
      <c r="CI83" s="106">
        <v>20.134165366614663</v>
      </c>
      <c r="CJ83" s="106">
        <v>3.9355992844364938E-2</v>
      </c>
      <c r="CK83" s="106">
        <v>33.861896243291589</v>
      </c>
      <c r="CL83" s="106">
        <v>2.358490566037736E-2</v>
      </c>
      <c r="CM83" s="106">
        <v>20.29245283018868</v>
      </c>
      <c r="CN83" s="106">
        <v>1.4943960149439602E-2</v>
      </c>
      <c r="CO83" s="106">
        <v>12.857783312577833</v>
      </c>
      <c r="CP83" s="106">
        <v>0</v>
      </c>
      <c r="CQ83" s="106">
        <v>0</v>
      </c>
      <c r="CR83" s="106">
        <v>0</v>
      </c>
      <c r="CS83" s="106">
        <v>0</v>
      </c>
      <c r="CT83" s="106">
        <v>3.4696406443618343E-2</v>
      </c>
      <c r="CU83" s="106">
        <v>29.852788104089221</v>
      </c>
    </row>
    <row r="84" spans="2:99" x14ac:dyDescent="0.2">
      <c r="C84" s="105" t="s">
        <v>251</v>
      </c>
      <c r="D84" s="106">
        <v>0.2048894062863795</v>
      </c>
      <c r="E84" s="106">
        <v>160.05960419091966</v>
      </c>
      <c r="F84" s="106">
        <v>0.22211538461538463</v>
      </c>
      <c r="G84" s="106">
        <v>173.51653846153846</v>
      </c>
      <c r="H84" s="106">
        <v>0.19123505976095617</v>
      </c>
      <c r="I84" s="106">
        <v>149.39282868525896</v>
      </c>
      <c r="J84" s="106">
        <v>1.6771488469601678E-2</v>
      </c>
      <c r="K84" s="106">
        <v>13.101886792452829</v>
      </c>
      <c r="L84" s="106">
        <v>2.4727992087042534E-2</v>
      </c>
      <c r="M84" s="106">
        <v>19.317507418397625</v>
      </c>
      <c r="N84" s="106">
        <v>0</v>
      </c>
      <c r="O84" s="106">
        <v>0</v>
      </c>
      <c r="P84" s="106">
        <v>0</v>
      </c>
      <c r="Q84" s="106">
        <v>0</v>
      </c>
      <c r="R84" s="106">
        <v>5.2459016393442623E-2</v>
      </c>
      <c r="S84" s="106">
        <v>40.980983606557373</v>
      </c>
      <c r="T84" s="106">
        <v>2.5956284153005466E-2</v>
      </c>
      <c r="U84" s="106">
        <v>20.277049180327868</v>
      </c>
      <c r="V84" s="106">
        <v>1.2647554806070826E-2</v>
      </c>
      <c r="W84" s="106">
        <v>9.8802698145025296</v>
      </c>
      <c r="X84" s="106">
        <v>1.5306122448979591E-2</v>
      </c>
      <c r="Y84" s="106">
        <v>11.957142857142856</v>
      </c>
      <c r="Z84" s="106">
        <v>1.1111111111111112E-2</v>
      </c>
      <c r="AA84" s="106">
        <v>8.68</v>
      </c>
      <c r="AB84" s="106">
        <v>2.9680365296803651E-2</v>
      </c>
      <c r="AC84" s="106">
        <v>23.18630136986301</v>
      </c>
      <c r="AD84" s="106">
        <v>2.7586206896551724E-2</v>
      </c>
      <c r="AE84" s="106">
        <v>21.550344827586205</v>
      </c>
      <c r="AF84" s="106">
        <v>2.9320987654320986E-2</v>
      </c>
      <c r="AG84" s="106">
        <v>22.905555555555551</v>
      </c>
      <c r="AH84" s="106">
        <v>3.3203125E-2</v>
      </c>
      <c r="AI84" s="106">
        <v>25.938281249999999</v>
      </c>
      <c r="AJ84" s="106">
        <v>1.0804321728691477E-2</v>
      </c>
      <c r="AK84" s="106">
        <v>8.4403361344537817</v>
      </c>
      <c r="AL84" s="106">
        <v>0</v>
      </c>
      <c r="AM84" s="106">
        <v>0</v>
      </c>
      <c r="AN84" s="106">
        <v>2.1594684385382059E-2</v>
      </c>
      <c r="AO84" s="106">
        <v>16.869767441860464</v>
      </c>
      <c r="AP84" s="106">
        <v>0</v>
      </c>
      <c r="AQ84" s="106">
        <v>0</v>
      </c>
      <c r="AR84" s="106">
        <v>3.8522427440633243E-2</v>
      </c>
      <c r="AS84" s="106">
        <v>30.093720316622687</v>
      </c>
      <c r="AT84" s="106">
        <v>3.8366336633663366E-2</v>
      </c>
      <c r="AU84" s="106">
        <v>29.971782178217818</v>
      </c>
      <c r="AV84" s="106">
        <v>6.8376068376068383E-2</v>
      </c>
      <c r="AW84" s="106">
        <v>53.415384615384617</v>
      </c>
      <c r="AX84" s="106">
        <v>3.9054470709146971E-2</v>
      </c>
      <c r="AY84" s="106">
        <v>30.509352517985612</v>
      </c>
      <c r="AZ84" s="106">
        <v>0</v>
      </c>
      <c r="BA84" s="106">
        <v>0</v>
      </c>
      <c r="BB84" s="106">
        <v>1.9157088122605363E-2</v>
      </c>
      <c r="BC84" s="106">
        <v>14.965517241379308</v>
      </c>
      <c r="BD84" s="106">
        <v>4.0201005025125629E-2</v>
      </c>
      <c r="BE84" s="106">
        <v>31.405025125628139</v>
      </c>
      <c r="BF84" s="106">
        <v>1.2195121951219513E-2</v>
      </c>
      <c r="BG84" s="106">
        <v>9.5268292682926816</v>
      </c>
      <c r="BH84" s="106">
        <v>4.3002915451895045E-2</v>
      </c>
      <c r="BI84" s="106">
        <v>33.593877551020405</v>
      </c>
      <c r="BJ84" s="106">
        <v>0</v>
      </c>
      <c r="BK84" s="106">
        <v>0</v>
      </c>
      <c r="BL84" s="106">
        <v>7.4817518248175188E-2</v>
      </c>
      <c r="BM84" s="106">
        <v>58.447445255474449</v>
      </c>
      <c r="BN84" s="106">
        <v>2.5735294117647058E-2</v>
      </c>
      <c r="BO84" s="106">
        <v>20.10441176470588</v>
      </c>
      <c r="BP84" s="106">
        <v>1.3539651837524178E-2</v>
      </c>
      <c r="BQ84" s="106">
        <v>10.577176015473887</v>
      </c>
      <c r="BR84" s="106">
        <v>0</v>
      </c>
      <c r="BS84" s="106">
        <v>0</v>
      </c>
      <c r="BT84" s="106">
        <v>2.584493041749503E-2</v>
      </c>
      <c r="BU84" s="106">
        <v>20.190059642147116</v>
      </c>
      <c r="BV84" s="106">
        <v>0</v>
      </c>
      <c r="BW84" s="106">
        <v>0</v>
      </c>
      <c r="BX84" s="106">
        <v>0</v>
      </c>
      <c r="BY84" s="106">
        <v>0</v>
      </c>
      <c r="BZ84" s="106">
        <v>3.0201342281879196E-2</v>
      </c>
      <c r="CA84" s="106">
        <v>23.593288590604026</v>
      </c>
      <c r="CB84" s="106">
        <v>1.2437810945273632E-2</v>
      </c>
      <c r="CC84" s="106">
        <v>9.7164179104477615</v>
      </c>
      <c r="CD84" s="106">
        <v>1.2776831345826235E-2</v>
      </c>
      <c r="CE84" s="106">
        <v>9.9812606473594538</v>
      </c>
      <c r="CF84" s="106">
        <v>1.483679525222552E-2</v>
      </c>
      <c r="CG84" s="106">
        <v>11.590504451038575</v>
      </c>
      <c r="CH84" s="106">
        <v>2.3400936037441498E-2</v>
      </c>
      <c r="CI84" s="106">
        <v>18.280811232449295</v>
      </c>
      <c r="CJ84" s="106">
        <v>4.2933810375670838E-2</v>
      </c>
      <c r="CK84" s="106">
        <v>33.539892665474056</v>
      </c>
      <c r="CL84" s="106">
        <v>2.20125786163522E-2</v>
      </c>
      <c r="CM84" s="106">
        <v>17.196226415094337</v>
      </c>
      <c r="CN84" s="106">
        <v>1.61892901618929E-2</v>
      </c>
      <c r="CO84" s="106">
        <v>12.647073474470732</v>
      </c>
      <c r="CP84" s="106">
        <v>0</v>
      </c>
      <c r="CQ84" s="106">
        <v>0</v>
      </c>
      <c r="CR84" s="106">
        <v>0</v>
      </c>
      <c r="CS84" s="106">
        <v>0</v>
      </c>
      <c r="CT84" s="106">
        <v>3.2218091697645598E-2</v>
      </c>
      <c r="CU84" s="106">
        <v>25.168773234200739</v>
      </c>
    </row>
    <row r="85" spans="2:99" x14ac:dyDescent="0.2">
      <c r="C85" s="105" t="s">
        <v>252</v>
      </c>
      <c r="D85" s="106">
        <v>0.2048894062863795</v>
      </c>
      <c r="E85" s="106">
        <v>30.733410942956926</v>
      </c>
      <c r="F85" s="106">
        <v>0.2326923076923077</v>
      </c>
      <c r="G85" s="106">
        <v>34.903846153846153</v>
      </c>
      <c r="H85" s="106">
        <v>0.17928286852589642</v>
      </c>
      <c r="I85" s="106">
        <v>26.892430278884465</v>
      </c>
      <c r="J85" s="106">
        <v>1.8867924528301886E-2</v>
      </c>
      <c r="K85" s="106">
        <v>2.8301886792452828</v>
      </c>
      <c r="L85" s="106">
        <v>2.4727992087042534E-2</v>
      </c>
      <c r="M85" s="106">
        <v>3.7091988130563802</v>
      </c>
      <c r="N85" s="106">
        <v>0</v>
      </c>
      <c r="O85" s="106">
        <v>0</v>
      </c>
      <c r="P85" s="106">
        <v>0</v>
      </c>
      <c r="Q85" s="106">
        <v>0</v>
      </c>
      <c r="R85" s="106">
        <v>5.0819672131147541E-2</v>
      </c>
      <c r="S85" s="106">
        <v>7.6229508196721314</v>
      </c>
      <c r="T85" s="106">
        <v>2.5956284153005466E-2</v>
      </c>
      <c r="U85" s="106">
        <v>3.8934426229508197</v>
      </c>
      <c r="V85" s="106">
        <v>1.3490725126475547E-2</v>
      </c>
      <c r="W85" s="106">
        <v>2.0236087689713322</v>
      </c>
      <c r="X85" s="106">
        <v>1.7006802721088437E-2</v>
      </c>
      <c r="Y85" s="106">
        <v>2.5510204081632657</v>
      </c>
      <c r="Z85" s="106">
        <v>1.2698412698412698E-2</v>
      </c>
      <c r="AA85" s="106">
        <v>1.9047619047619047</v>
      </c>
      <c r="AB85" s="106">
        <v>2.9680365296803651E-2</v>
      </c>
      <c r="AC85" s="106">
        <v>4.4520547945205475</v>
      </c>
      <c r="AD85" s="106">
        <v>3.1034482758620689E-2</v>
      </c>
      <c r="AE85" s="106">
        <v>4.6551724137931032</v>
      </c>
      <c r="AF85" s="106">
        <v>2.7777777777777776E-2</v>
      </c>
      <c r="AG85" s="106">
        <v>4.1666666666666661</v>
      </c>
      <c r="AH85" s="106">
        <v>3.515625E-2</v>
      </c>
      <c r="AI85" s="106">
        <v>5.2734375</v>
      </c>
      <c r="AJ85" s="106">
        <v>1.2004801920768308E-2</v>
      </c>
      <c r="AK85" s="106">
        <v>1.8007202881152462</v>
      </c>
      <c r="AL85" s="106">
        <v>0</v>
      </c>
      <c r="AM85" s="106">
        <v>0</v>
      </c>
      <c r="AN85" s="106">
        <v>2.4916943521594685E-2</v>
      </c>
      <c r="AO85" s="106">
        <v>3.7375415282392028</v>
      </c>
      <c r="AP85" s="106">
        <v>0</v>
      </c>
      <c r="AQ85" s="106">
        <v>0</v>
      </c>
      <c r="AR85" s="106">
        <v>4.3271767810026382E-2</v>
      </c>
      <c r="AS85" s="106">
        <v>6.4907651715039574</v>
      </c>
      <c r="AT85" s="106">
        <v>4.702970297029703E-2</v>
      </c>
      <c r="AU85" s="106">
        <v>7.0544554455445541</v>
      </c>
      <c r="AV85" s="106">
        <v>7.758053911900066E-2</v>
      </c>
      <c r="AW85" s="106">
        <v>11.637080867850099</v>
      </c>
      <c r="AX85" s="106">
        <v>4.3165467625899283E-2</v>
      </c>
      <c r="AY85" s="106">
        <v>6.4748201438848927</v>
      </c>
      <c r="AZ85" s="106">
        <v>0</v>
      </c>
      <c r="BA85" s="106">
        <v>0</v>
      </c>
      <c r="BB85" s="106">
        <v>2.1072796934865901E-2</v>
      </c>
      <c r="BC85" s="106">
        <v>3.1609195402298851</v>
      </c>
      <c r="BD85" s="106">
        <v>4.0201005025125629E-2</v>
      </c>
      <c r="BE85" s="106">
        <v>6.0301507537688446</v>
      </c>
      <c r="BF85" s="106">
        <v>1.2195121951219513E-2</v>
      </c>
      <c r="BG85" s="106">
        <v>1.8292682926829269</v>
      </c>
      <c r="BH85" s="106">
        <v>4.3731778425655975E-2</v>
      </c>
      <c r="BI85" s="106">
        <v>6.5597667638483959</v>
      </c>
      <c r="BJ85" s="106">
        <v>0</v>
      </c>
      <c r="BK85" s="106">
        <v>0</v>
      </c>
      <c r="BL85" s="106">
        <v>8.576642335766424E-2</v>
      </c>
      <c r="BM85" s="106">
        <v>12.864963503649635</v>
      </c>
      <c r="BN85" s="106">
        <v>3.0330882352941176E-2</v>
      </c>
      <c r="BO85" s="106">
        <v>4.5496323529411766</v>
      </c>
      <c r="BP85" s="106">
        <v>1.4506769825918761E-2</v>
      </c>
      <c r="BQ85" s="106">
        <v>2.1760154738878144</v>
      </c>
      <c r="BR85" s="106">
        <v>0</v>
      </c>
      <c r="BS85" s="106">
        <v>0</v>
      </c>
      <c r="BT85" s="106">
        <v>2.3856858846918488E-2</v>
      </c>
      <c r="BU85" s="106">
        <v>3.5785288270377733</v>
      </c>
      <c r="BV85" s="106">
        <v>0</v>
      </c>
      <c r="BW85" s="106">
        <v>0</v>
      </c>
      <c r="BX85" s="106">
        <v>0</v>
      </c>
      <c r="BY85" s="106">
        <v>0</v>
      </c>
      <c r="BZ85" s="106">
        <v>3.1879194630872486E-2</v>
      </c>
      <c r="CA85" s="106">
        <v>4.7818791946308732</v>
      </c>
      <c r="CB85" s="106">
        <v>1.3266998341625208E-2</v>
      </c>
      <c r="CC85" s="106">
        <v>1.9900497512437811</v>
      </c>
      <c r="CD85" s="106">
        <v>1.3628620102214651E-2</v>
      </c>
      <c r="CE85" s="106">
        <v>2.0442930153321974</v>
      </c>
      <c r="CF85" s="106">
        <v>1.3353115727002967E-2</v>
      </c>
      <c r="CG85" s="106">
        <v>2.0029673590504449</v>
      </c>
      <c r="CH85" s="106">
        <v>2.4960998439937598E-2</v>
      </c>
      <c r="CI85" s="106">
        <v>3.74414976599064</v>
      </c>
      <c r="CJ85" s="106">
        <v>3.9355992844364938E-2</v>
      </c>
      <c r="CK85" s="106">
        <v>5.9033989266547406</v>
      </c>
      <c r="CL85" s="106">
        <v>2.5157232704402517E-2</v>
      </c>
      <c r="CM85" s="106">
        <v>3.7735849056603774</v>
      </c>
      <c r="CN85" s="106">
        <v>1.61892901618929E-2</v>
      </c>
      <c r="CO85" s="106">
        <v>2.4283935242839352</v>
      </c>
      <c r="CP85" s="106">
        <v>0</v>
      </c>
      <c r="CQ85" s="106">
        <v>0</v>
      </c>
      <c r="CR85" s="106">
        <v>0</v>
      </c>
      <c r="CS85" s="106">
        <v>0</v>
      </c>
      <c r="CT85" s="106">
        <v>3.4696406443618343E-2</v>
      </c>
      <c r="CU85" s="106">
        <v>5.2044609665427517</v>
      </c>
    </row>
    <row r="86" spans="2:99" x14ac:dyDescent="0.2">
      <c r="C86" s="105" t="s">
        <v>253</v>
      </c>
      <c r="D86" s="106">
        <v>0.21769499417927823</v>
      </c>
      <c r="E86" s="106">
        <v>117.55529685681024</v>
      </c>
      <c r="F86" s="106">
        <v>0.20096153846153847</v>
      </c>
      <c r="G86" s="106">
        <v>108.51923076923077</v>
      </c>
      <c r="H86" s="106">
        <v>0.19123505976095617</v>
      </c>
      <c r="I86" s="106">
        <v>103.26693227091633</v>
      </c>
      <c r="J86" s="106">
        <v>1.6771488469601678E-2</v>
      </c>
      <c r="K86" s="106">
        <v>9.0566037735849054</v>
      </c>
      <c r="L86" s="106">
        <v>2.4727992087042534E-2</v>
      </c>
      <c r="M86" s="106">
        <v>13.353115727002969</v>
      </c>
      <c r="N86" s="106">
        <v>0</v>
      </c>
      <c r="O86" s="106">
        <v>0</v>
      </c>
      <c r="P86" s="106">
        <v>0</v>
      </c>
      <c r="Q86" s="106">
        <v>0</v>
      </c>
      <c r="R86" s="106">
        <v>5.5737704918032788E-2</v>
      </c>
      <c r="S86" s="106">
        <v>30.098360655737704</v>
      </c>
      <c r="T86" s="106">
        <v>2.5956284153005466E-2</v>
      </c>
      <c r="U86" s="106">
        <v>14.016393442622951</v>
      </c>
      <c r="V86" s="106">
        <v>1.3490725126475547E-2</v>
      </c>
      <c r="W86" s="106">
        <v>7.2849915682967952</v>
      </c>
      <c r="X86" s="106">
        <v>1.4455782312925171E-2</v>
      </c>
      <c r="Y86" s="106">
        <v>7.8061224489795924</v>
      </c>
      <c r="Z86" s="106">
        <v>1.2698412698412698E-2</v>
      </c>
      <c r="AA86" s="106">
        <v>6.8571428571428568</v>
      </c>
      <c r="AB86" s="106">
        <v>2.5114155251141551E-2</v>
      </c>
      <c r="AC86" s="106">
        <v>13.561643835616438</v>
      </c>
      <c r="AD86" s="106">
        <v>2.9310344827586206E-2</v>
      </c>
      <c r="AE86" s="106">
        <v>15.827586206896552</v>
      </c>
      <c r="AF86" s="106">
        <v>2.9320987654320986E-2</v>
      </c>
      <c r="AG86" s="106">
        <v>15.833333333333332</v>
      </c>
      <c r="AH86" s="106">
        <v>3.515625E-2</v>
      </c>
      <c r="AI86" s="106">
        <v>18.984375</v>
      </c>
      <c r="AJ86" s="106">
        <v>9.6038415366146452E-3</v>
      </c>
      <c r="AK86" s="106">
        <v>5.1860744297719084</v>
      </c>
      <c r="AL86" s="106">
        <v>0</v>
      </c>
      <c r="AM86" s="106">
        <v>0</v>
      </c>
      <c r="AN86" s="106">
        <v>2.1594684385382059E-2</v>
      </c>
      <c r="AO86" s="106">
        <v>11.661129568106311</v>
      </c>
      <c r="AP86" s="106">
        <v>0</v>
      </c>
      <c r="AQ86" s="106">
        <v>0</v>
      </c>
      <c r="AR86" s="106">
        <v>3.7994722955145117E-2</v>
      </c>
      <c r="AS86" s="106">
        <v>20.517150395778362</v>
      </c>
      <c r="AT86" s="106">
        <v>3.9603960396039604E-2</v>
      </c>
      <c r="AU86" s="106">
        <v>21.386138613861387</v>
      </c>
      <c r="AV86" s="106">
        <v>7.758053911900066E-2</v>
      </c>
      <c r="AW86" s="106">
        <v>41.893491124260358</v>
      </c>
      <c r="AX86" s="106">
        <v>3.9568345323741004E-2</v>
      </c>
      <c r="AY86" s="106">
        <v>21.366906474820141</v>
      </c>
      <c r="AZ86" s="106">
        <v>0</v>
      </c>
      <c r="BA86" s="106">
        <v>0</v>
      </c>
      <c r="BB86" s="106">
        <v>2.1072796934865901E-2</v>
      </c>
      <c r="BC86" s="106">
        <v>11.379310344827587</v>
      </c>
      <c r="BD86" s="106">
        <v>4.0201005025125629E-2</v>
      </c>
      <c r="BE86" s="106">
        <v>21.708542713567841</v>
      </c>
      <c r="BF86" s="106">
        <v>1.2195121951219513E-2</v>
      </c>
      <c r="BG86" s="106">
        <v>6.5853658536585371</v>
      </c>
      <c r="BH86" s="106">
        <v>4.3731778425655975E-2</v>
      </c>
      <c r="BI86" s="106">
        <v>23.615160349854225</v>
      </c>
      <c r="BJ86" s="106">
        <v>0</v>
      </c>
      <c r="BK86" s="106">
        <v>0</v>
      </c>
      <c r="BL86" s="106">
        <v>7.1167883211678828E-2</v>
      </c>
      <c r="BM86" s="106">
        <v>38.430656934306569</v>
      </c>
      <c r="BN86" s="106">
        <v>2.5735294117647058E-2</v>
      </c>
      <c r="BO86" s="106">
        <v>13.897058823529411</v>
      </c>
      <c r="BP86" s="106">
        <v>1.4506769825918761E-2</v>
      </c>
      <c r="BQ86" s="106">
        <v>7.8336557059961311</v>
      </c>
      <c r="BR86" s="106">
        <v>0</v>
      </c>
      <c r="BS86" s="106">
        <v>0</v>
      </c>
      <c r="BT86" s="106">
        <v>2.7833001988071572E-2</v>
      </c>
      <c r="BU86" s="106">
        <v>15.029821073558649</v>
      </c>
      <c r="BV86" s="106">
        <v>0</v>
      </c>
      <c r="BW86" s="106">
        <v>0</v>
      </c>
      <c r="BX86" s="106">
        <v>0</v>
      </c>
      <c r="BY86" s="106">
        <v>0</v>
      </c>
      <c r="BZ86" s="106">
        <v>3.3557046979865772E-2</v>
      </c>
      <c r="CA86" s="106">
        <v>18.120805369127517</v>
      </c>
      <c r="CB86" s="106">
        <v>1.2437810945273632E-2</v>
      </c>
      <c r="CC86" s="106">
        <v>6.7164179104477615</v>
      </c>
      <c r="CD86" s="106">
        <v>1.3628620102214651E-2</v>
      </c>
      <c r="CE86" s="106">
        <v>7.3594548551959118</v>
      </c>
      <c r="CF86" s="106">
        <v>1.3353115727002967E-2</v>
      </c>
      <c r="CG86" s="106">
        <v>7.2106824925816024</v>
      </c>
      <c r="CH86" s="106">
        <v>2.3400936037441498E-2</v>
      </c>
      <c r="CI86" s="106">
        <v>12.636505460218409</v>
      </c>
      <c r="CJ86" s="106">
        <v>3.9355992844364938E-2</v>
      </c>
      <c r="CK86" s="106">
        <v>21.252236135957066</v>
      </c>
      <c r="CL86" s="106">
        <v>2.6729559748427674E-2</v>
      </c>
      <c r="CM86" s="106">
        <v>14.433962264150944</v>
      </c>
      <c r="CN86" s="106">
        <v>1.3698630136986301E-2</v>
      </c>
      <c r="CO86" s="106">
        <v>7.3972602739726021</v>
      </c>
      <c r="CP86" s="106">
        <v>0</v>
      </c>
      <c r="CQ86" s="106">
        <v>0</v>
      </c>
      <c r="CR86" s="106">
        <v>0</v>
      </c>
      <c r="CS86" s="106">
        <v>0</v>
      </c>
      <c r="CT86" s="106">
        <v>3.4696406443618343E-2</v>
      </c>
      <c r="CU86" s="106">
        <v>18.736059479553905</v>
      </c>
    </row>
    <row r="87" spans="2:99" x14ac:dyDescent="0.2">
      <c r="B87" s="105" t="s">
        <v>131</v>
      </c>
      <c r="C87" s="105" t="s">
        <v>254</v>
      </c>
      <c r="D87" s="106">
        <v>0.15366705471478462</v>
      </c>
      <c r="E87" s="106">
        <v>300.38835855646096</v>
      </c>
      <c r="F87" s="106">
        <v>0.11634615384615385</v>
      </c>
      <c r="G87" s="106">
        <v>227.43346153846153</v>
      </c>
      <c r="H87" s="106">
        <v>0.15537848605577689</v>
      </c>
      <c r="I87" s="106">
        <v>303.73386454183265</v>
      </c>
      <c r="J87" s="106">
        <v>1.1530398322851153E-2</v>
      </c>
      <c r="K87" s="106">
        <v>22.539622641509432</v>
      </c>
      <c r="L87" s="106">
        <v>2.6706231454005934E-2</v>
      </c>
      <c r="M87" s="106">
        <v>52.2053412462908</v>
      </c>
      <c r="N87" s="106">
        <v>0</v>
      </c>
      <c r="O87" s="106">
        <v>0</v>
      </c>
      <c r="P87" s="106">
        <v>0</v>
      </c>
      <c r="Q87" s="106">
        <v>0</v>
      </c>
      <c r="R87" s="106">
        <v>8.5245901639344257E-2</v>
      </c>
      <c r="S87" s="106">
        <v>166.63868852459015</v>
      </c>
      <c r="T87" s="106">
        <v>9.9726775956284153E-2</v>
      </c>
      <c r="U87" s="106">
        <v>194.94590163934427</v>
      </c>
      <c r="V87" s="106">
        <v>3.3726812816188868E-2</v>
      </c>
      <c r="W87" s="106">
        <v>65.929173693086</v>
      </c>
      <c r="X87" s="106">
        <v>3.2312925170068028E-2</v>
      </c>
      <c r="Y87" s="106">
        <v>63.165306122448982</v>
      </c>
      <c r="Z87" s="106">
        <v>4.5238095238095237E-2</v>
      </c>
      <c r="AA87" s="106">
        <v>88.431428571428569</v>
      </c>
      <c r="AB87" s="106">
        <v>4.1095890410958902E-2</v>
      </c>
      <c r="AC87" s="106">
        <v>80.334246575342462</v>
      </c>
      <c r="AD87" s="106">
        <v>3.4482758620689655E-2</v>
      </c>
      <c r="AE87" s="106">
        <v>67.406896551724131</v>
      </c>
      <c r="AF87" s="106">
        <v>3.8580246913580245E-2</v>
      </c>
      <c r="AG87" s="106">
        <v>75.416666666666657</v>
      </c>
      <c r="AH87" s="106">
        <v>3.515625E-2</v>
      </c>
      <c r="AI87" s="106">
        <v>68.723437500000003</v>
      </c>
      <c r="AJ87" s="106">
        <v>5.6422569027611044E-2</v>
      </c>
      <c r="AK87" s="106">
        <v>110.29483793517407</v>
      </c>
      <c r="AL87" s="106">
        <v>0</v>
      </c>
      <c r="AM87" s="106">
        <v>0</v>
      </c>
      <c r="AN87" s="106">
        <v>0.10465116279069768</v>
      </c>
      <c r="AO87" s="106">
        <v>204.57209302325583</v>
      </c>
      <c r="AP87" s="106">
        <v>0</v>
      </c>
      <c r="AQ87" s="106">
        <v>0</v>
      </c>
      <c r="AR87" s="106">
        <v>5.2770448548812663E-3</v>
      </c>
      <c r="AS87" s="106">
        <v>10.315567282321899</v>
      </c>
      <c r="AT87" s="106">
        <v>9.9009900990099011E-3</v>
      </c>
      <c r="AU87" s="106">
        <v>19.354455445544556</v>
      </c>
      <c r="AV87" s="106">
        <v>1.8408941485864562E-2</v>
      </c>
      <c r="AW87" s="106">
        <v>35.985798816568042</v>
      </c>
      <c r="AX87" s="106">
        <v>5.6526207605344294E-3</v>
      </c>
      <c r="AY87" s="106">
        <v>11.049743062692702</v>
      </c>
      <c r="AZ87" s="106">
        <v>0</v>
      </c>
      <c r="BA87" s="106">
        <v>0</v>
      </c>
      <c r="BB87" s="106">
        <v>4.2145593869731802E-2</v>
      </c>
      <c r="BC87" s="106">
        <v>82.386206896551727</v>
      </c>
      <c r="BD87" s="106">
        <v>0.10385259631490787</v>
      </c>
      <c r="BE87" s="106">
        <v>203.01105527638191</v>
      </c>
      <c r="BF87" s="106">
        <v>5.0522648083623695E-2</v>
      </c>
      <c r="BG87" s="106">
        <v>98.761672473867591</v>
      </c>
      <c r="BH87" s="106">
        <v>1.6763848396501458E-2</v>
      </c>
      <c r="BI87" s="106">
        <v>32.769970845481048</v>
      </c>
      <c r="BJ87" s="106">
        <v>0</v>
      </c>
      <c r="BK87" s="106">
        <v>0</v>
      </c>
      <c r="BL87" s="106">
        <v>3.8321167883211681E-2</v>
      </c>
      <c r="BM87" s="106">
        <v>74.910218978102193</v>
      </c>
      <c r="BN87" s="106">
        <v>2.6654411764705881E-2</v>
      </c>
      <c r="BO87" s="106">
        <v>52.104044117647057</v>
      </c>
      <c r="BP87" s="106">
        <v>3.6750483558994199E-2</v>
      </c>
      <c r="BQ87" s="106">
        <v>71.839845261121852</v>
      </c>
      <c r="BR87" s="106">
        <v>0</v>
      </c>
      <c r="BS87" s="106">
        <v>0</v>
      </c>
      <c r="BT87" s="106">
        <v>0.10536779324055666</v>
      </c>
      <c r="BU87" s="106">
        <v>205.97296222664016</v>
      </c>
      <c r="BV87" s="106">
        <v>0</v>
      </c>
      <c r="BW87" s="106">
        <v>0</v>
      </c>
      <c r="BX87" s="106">
        <v>0</v>
      </c>
      <c r="BY87" s="106">
        <v>0</v>
      </c>
      <c r="BZ87" s="106">
        <v>2.8523489932885907E-2</v>
      </c>
      <c r="CA87" s="106">
        <v>55.757718120805372</v>
      </c>
      <c r="CB87" s="106">
        <v>9.9502487562189053E-3</v>
      </c>
      <c r="CC87" s="106">
        <v>19.450746268656715</v>
      </c>
      <c r="CD87" s="106">
        <v>1.7035775127768313E-2</v>
      </c>
      <c r="CE87" s="106">
        <v>33.301533219761495</v>
      </c>
      <c r="CF87" s="106">
        <v>6.0830860534124627E-2</v>
      </c>
      <c r="CG87" s="106">
        <v>118.91216617210682</v>
      </c>
      <c r="CH87" s="106">
        <v>4.2121684867394697E-2</v>
      </c>
      <c r="CI87" s="106">
        <v>82.339469578783152</v>
      </c>
      <c r="CJ87" s="106">
        <v>8.5867620751341675E-2</v>
      </c>
      <c r="CK87" s="106">
        <v>167.8540250447227</v>
      </c>
      <c r="CL87" s="106">
        <v>3.7735849056603772E-2</v>
      </c>
      <c r="CM87" s="106">
        <v>73.766037735849054</v>
      </c>
      <c r="CN87" s="106">
        <v>1.1207970112079701E-2</v>
      </c>
      <c r="CO87" s="106">
        <v>21.909339975093399</v>
      </c>
      <c r="CP87" s="106">
        <v>0</v>
      </c>
      <c r="CQ87" s="106">
        <v>0</v>
      </c>
      <c r="CR87" s="106">
        <v>0</v>
      </c>
      <c r="CS87" s="106">
        <v>0</v>
      </c>
      <c r="CT87" s="106">
        <v>1.7348203221809171E-2</v>
      </c>
      <c r="CU87" s="106">
        <v>33.912267657992565</v>
      </c>
    </row>
    <row r="88" spans="2:99" x14ac:dyDescent="0.2">
      <c r="C88" s="105" t="s">
        <v>255</v>
      </c>
      <c r="D88" s="106">
        <v>0.16647264260768335</v>
      </c>
      <c r="E88" s="106">
        <v>315.03282887077995</v>
      </c>
      <c r="F88" s="106">
        <v>0.12692307692307692</v>
      </c>
      <c r="G88" s="106">
        <v>240.18923076923073</v>
      </c>
      <c r="H88" s="106">
        <v>0.13147410358565736</v>
      </c>
      <c r="I88" s="106">
        <v>248.80159362549799</v>
      </c>
      <c r="J88" s="106">
        <v>1.2578616352201259E-2</v>
      </c>
      <c r="K88" s="106">
        <v>23.80377358490566</v>
      </c>
      <c r="L88" s="106">
        <v>3.2640949554896145E-2</v>
      </c>
      <c r="M88" s="106">
        <v>61.769732937685461</v>
      </c>
      <c r="N88" s="106">
        <v>0</v>
      </c>
      <c r="O88" s="106">
        <v>0</v>
      </c>
      <c r="P88" s="106">
        <v>0</v>
      </c>
      <c r="Q88" s="106">
        <v>0</v>
      </c>
      <c r="R88" s="106">
        <v>7.3770491803278687E-2</v>
      </c>
      <c r="S88" s="106">
        <v>139.60327868852457</v>
      </c>
      <c r="T88" s="106">
        <v>9.8360655737704916E-2</v>
      </c>
      <c r="U88" s="106">
        <v>186.13770491803277</v>
      </c>
      <c r="V88" s="106">
        <v>3.2883642495784147E-2</v>
      </c>
      <c r="W88" s="106">
        <v>62.229005059021915</v>
      </c>
      <c r="X88" s="106">
        <v>3.5714285714285712E-2</v>
      </c>
      <c r="Y88" s="106">
        <v>67.585714285714275</v>
      </c>
      <c r="Z88" s="106">
        <v>4.3650793650793648E-2</v>
      </c>
      <c r="AA88" s="106">
        <v>82.604761904761901</v>
      </c>
      <c r="AB88" s="106">
        <v>3.8812785388127852E-2</v>
      </c>
      <c r="AC88" s="106">
        <v>73.449315068493135</v>
      </c>
      <c r="AD88" s="106">
        <v>3.4482758620689655E-2</v>
      </c>
      <c r="AE88" s="106">
        <v>65.255172413793105</v>
      </c>
      <c r="AF88" s="106">
        <v>3.8580246913580245E-2</v>
      </c>
      <c r="AG88" s="106">
        <v>73.009259259259252</v>
      </c>
      <c r="AH88" s="106">
        <v>3.515625E-2</v>
      </c>
      <c r="AI88" s="106">
        <v>66.529687499999994</v>
      </c>
      <c r="AJ88" s="106">
        <v>4.9219687875150062E-2</v>
      </c>
      <c r="AK88" s="106">
        <v>93.143337334933975</v>
      </c>
      <c r="AL88" s="106">
        <v>0</v>
      </c>
      <c r="AM88" s="106">
        <v>0</v>
      </c>
      <c r="AN88" s="106">
        <v>0.11960132890365449</v>
      </c>
      <c r="AO88" s="106">
        <v>226.33355481727574</v>
      </c>
      <c r="AP88" s="106">
        <v>0</v>
      </c>
      <c r="AQ88" s="106">
        <v>0</v>
      </c>
      <c r="AR88" s="106">
        <v>4.7493403693931397E-3</v>
      </c>
      <c r="AS88" s="106">
        <v>8.9876517150395774</v>
      </c>
      <c r="AT88" s="106">
        <v>9.2821782178217817E-3</v>
      </c>
      <c r="AU88" s="106">
        <v>17.565594059405939</v>
      </c>
      <c r="AV88" s="106">
        <v>1.9723865877712032E-2</v>
      </c>
      <c r="AW88" s="106">
        <v>37.325443786982248</v>
      </c>
      <c r="AX88" s="106">
        <v>6.6803699897225073E-3</v>
      </c>
      <c r="AY88" s="106">
        <v>12.641932168550872</v>
      </c>
      <c r="AZ88" s="106">
        <v>0</v>
      </c>
      <c r="BA88" s="106">
        <v>0</v>
      </c>
      <c r="BB88" s="106">
        <v>3.6398467432950193E-2</v>
      </c>
      <c r="BC88" s="106">
        <v>68.880459770114939</v>
      </c>
      <c r="BD88" s="106">
        <v>9.7152428810720268E-2</v>
      </c>
      <c r="BE88" s="106">
        <v>183.85125628140702</v>
      </c>
      <c r="BF88" s="106">
        <v>5.9233449477351915E-2</v>
      </c>
      <c r="BG88" s="106">
        <v>112.09337979094076</v>
      </c>
      <c r="BH88" s="106">
        <v>1.7492711370262391E-2</v>
      </c>
      <c r="BI88" s="106">
        <v>33.103206997084548</v>
      </c>
      <c r="BJ88" s="106">
        <v>0</v>
      </c>
      <c r="BK88" s="106">
        <v>0</v>
      </c>
      <c r="BL88" s="106">
        <v>3.6496350364963501E-2</v>
      </c>
      <c r="BM88" s="106">
        <v>69.065693430656921</v>
      </c>
      <c r="BN88" s="106">
        <v>2.7573529411764705E-2</v>
      </c>
      <c r="BO88" s="106">
        <v>52.180147058823522</v>
      </c>
      <c r="BP88" s="106">
        <v>4.0618955512572531E-2</v>
      </c>
      <c r="BQ88" s="106">
        <v>76.867311411992247</v>
      </c>
      <c r="BR88" s="106">
        <v>0</v>
      </c>
      <c r="BS88" s="106">
        <v>0</v>
      </c>
      <c r="BT88" s="106">
        <v>9.7415506958250492E-2</v>
      </c>
      <c r="BU88" s="106">
        <v>184.34910536779321</v>
      </c>
      <c r="BV88" s="106">
        <v>0</v>
      </c>
      <c r="BW88" s="106">
        <v>0</v>
      </c>
      <c r="BX88" s="106">
        <v>0</v>
      </c>
      <c r="BY88" s="106">
        <v>0</v>
      </c>
      <c r="BZ88" s="106">
        <v>3.3557046979865772E-2</v>
      </c>
      <c r="CA88" s="106">
        <v>63.503355704697981</v>
      </c>
      <c r="CB88" s="106">
        <v>1.077943615257048E-2</v>
      </c>
      <c r="CC88" s="106">
        <v>20.399004975124377</v>
      </c>
      <c r="CD88" s="106">
        <v>1.7035775127768313E-2</v>
      </c>
      <c r="CE88" s="106">
        <v>32.23850085178875</v>
      </c>
      <c r="CF88" s="106">
        <v>5.637982195845697E-2</v>
      </c>
      <c r="CG88" s="106">
        <v>106.69317507418397</v>
      </c>
      <c r="CH88" s="106">
        <v>4.2121684867394697E-2</v>
      </c>
      <c r="CI88" s="106">
        <v>79.711076443057721</v>
      </c>
      <c r="CJ88" s="106">
        <v>7.8711985688729877E-2</v>
      </c>
      <c r="CK88" s="106">
        <v>148.95456171735242</v>
      </c>
      <c r="CL88" s="106">
        <v>3.9308176100628929E-2</v>
      </c>
      <c r="CM88" s="106">
        <v>74.386792452830178</v>
      </c>
      <c r="CN88" s="106">
        <v>1.2453300124533001E-2</v>
      </c>
      <c r="CO88" s="106">
        <v>23.566625155666248</v>
      </c>
      <c r="CP88" s="106">
        <v>0</v>
      </c>
      <c r="CQ88" s="106">
        <v>0</v>
      </c>
      <c r="CR88" s="106">
        <v>0</v>
      </c>
      <c r="CS88" s="106">
        <v>0</v>
      </c>
      <c r="CT88" s="106">
        <v>1.9826517967781909E-2</v>
      </c>
      <c r="CU88" s="106">
        <v>37.519702602230481</v>
      </c>
    </row>
    <row r="89" spans="2:99" x14ac:dyDescent="0.2">
      <c r="C89" s="105" t="s">
        <v>256</v>
      </c>
      <c r="D89" s="106">
        <v>0.15366705471478462</v>
      </c>
      <c r="E89" s="106">
        <v>368.43213038416758</v>
      </c>
      <c r="F89" s="106">
        <v>0.11634615384615385</v>
      </c>
      <c r="G89" s="106">
        <v>278.95153846153846</v>
      </c>
      <c r="H89" s="106">
        <v>0.11952191235059761</v>
      </c>
      <c r="I89" s="106">
        <v>286.56573705179284</v>
      </c>
      <c r="J89" s="106">
        <v>1.1530398322851153E-2</v>
      </c>
      <c r="K89" s="106">
        <v>27.645283018867921</v>
      </c>
      <c r="L89" s="106">
        <v>2.967359050445104E-2</v>
      </c>
      <c r="M89" s="106">
        <v>71.145400593471805</v>
      </c>
      <c r="N89" s="106">
        <v>0</v>
      </c>
      <c r="O89" s="106">
        <v>0</v>
      </c>
      <c r="P89" s="106">
        <v>0</v>
      </c>
      <c r="Q89" s="106">
        <v>0</v>
      </c>
      <c r="R89" s="106">
        <v>8.3606557377049182E-2</v>
      </c>
      <c r="S89" s="106">
        <v>200.45508196721312</v>
      </c>
      <c r="T89" s="106">
        <v>8.8797814207650275E-2</v>
      </c>
      <c r="U89" s="106">
        <v>212.90163934426229</v>
      </c>
      <c r="V89" s="106">
        <v>3.2883642495784147E-2</v>
      </c>
      <c r="W89" s="106">
        <v>78.841821247892071</v>
      </c>
      <c r="X89" s="106">
        <v>3.1462585034013606E-2</v>
      </c>
      <c r="Y89" s="106">
        <v>75.434693877551013</v>
      </c>
      <c r="Z89" s="106">
        <v>4.9206349206349205E-2</v>
      </c>
      <c r="AA89" s="106">
        <v>117.97714285714285</v>
      </c>
      <c r="AB89" s="106">
        <v>3.6529680365296802E-2</v>
      </c>
      <c r="AC89" s="106">
        <v>87.583561643835608</v>
      </c>
      <c r="AD89" s="106">
        <v>3.1034482758620689E-2</v>
      </c>
      <c r="AE89" s="106">
        <v>74.408275862068962</v>
      </c>
      <c r="AF89" s="106">
        <v>3.5493827160493825E-2</v>
      </c>
      <c r="AG89" s="106">
        <v>85.1</v>
      </c>
      <c r="AH89" s="106">
        <v>3.125E-2</v>
      </c>
      <c r="AI89" s="106">
        <v>74.924999999999997</v>
      </c>
      <c r="AJ89" s="106">
        <v>4.561824729891957E-2</v>
      </c>
      <c r="AK89" s="106">
        <v>109.37430972388955</v>
      </c>
      <c r="AL89" s="106">
        <v>0</v>
      </c>
      <c r="AM89" s="106">
        <v>0</v>
      </c>
      <c r="AN89" s="106">
        <v>0.1079734219269103</v>
      </c>
      <c r="AO89" s="106">
        <v>258.8770764119601</v>
      </c>
      <c r="AP89" s="106">
        <v>0</v>
      </c>
      <c r="AQ89" s="106">
        <v>0</v>
      </c>
      <c r="AR89" s="106">
        <v>4.7493403693931397E-3</v>
      </c>
      <c r="AS89" s="106">
        <v>11.387018469656992</v>
      </c>
      <c r="AT89" s="106">
        <v>1.051980198019802E-2</v>
      </c>
      <c r="AU89" s="106">
        <v>25.222277227722774</v>
      </c>
      <c r="AV89" s="106">
        <v>1.7094017094017096E-2</v>
      </c>
      <c r="AW89" s="106">
        <v>40.984615384615388</v>
      </c>
      <c r="AX89" s="106">
        <v>6.1664953751284684E-3</v>
      </c>
      <c r="AY89" s="106">
        <v>14.784789311408016</v>
      </c>
      <c r="AZ89" s="106">
        <v>0</v>
      </c>
      <c r="BA89" s="106">
        <v>0</v>
      </c>
      <c r="BB89" s="106">
        <v>3.4482758620689655E-2</v>
      </c>
      <c r="BC89" s="106">
        <v>82.675862068965515</v>
      </c>
      <c r="BD89" s="106">
        <v>0.10050251256281408</v>
      </c>
      <c r="BE89" s="106">
        <v>240.96482412060303</v>
      </c>
      <c r="BF89" s="106">
        <v>5.5749128919860627E-2</v>
      </c>
      <c r="BG89" s="106">
        <v>133.66411149825782</v>
      </c>
      <c r="BH89" s="106">
        <v>1.5306122448979591E-2</v>
      </c>
      <c r="BI89" s="106">
        <v>36.697959183673468</v>
      </c>
      <c r="BJ89" s="106">
        <v>0</v>
      </c>
      <c r="BK89" s="106">
        <v>0</v>
      </c>
      <c r="BL89" s="106">
        <v>4.1970802919708027E-2</v>
      </c>
      <c r="BM89" s="106">
        <v>100.62919708029196</v>
      </c>
      <c r="BN89" s="106">
        <v>2.4816176470588234E-2</v>
      </c>
      <c r="BO89" s="106">
        <v>59.499264705882347</v>
      </c>
      <c r="BP89" s="106">
        <v>3.1914893617021274E-2</v>
      </c>
      <c r="BQ89" s="106">
        <v>76.519148936170197</v>
      </c>
      <c r="BR89" s="106">
        <v>0</v>
      </c>
      <c r="BS89" s="106">
        <v>0</v>
      </c>
      <c r="BT89" s="106">
        <v>8.74751491053678E-2</v>
      </c>
      <c r="BU89" s="106">
        <v>209.73041749502983</v>
      </c>
      <c r="BV89" s="106">
        <v>0</v>
      </c>
      <c r="BW89" s="106">
        <v>0</v>
      </c>
      <c r="BX89" s="106">
        <v>0</v>
      </c>
      <c r="BY89" s="106">
        <v>0</v>
      </c>
      <c r="BZ89" s="106">
        <v>3.1879194630872486E-2</v>
      </c>
      <c r="CA89" s="106">
        <v>76.433557046979871</v>
      </c>
      <c r="CB89" s="106">
        <v>1.077943615257048E-2</v>
      </c>
      <c r="CC89" s="106">
        <v>25.844776119402983</v>
      </c>
      <c r="CD89" s="106">
        <v>1.5332197614991482E-2</v>
      </c>
      <c r="CE89" s="106">
        <v>36.760477001703578</v>
      </c>
      <c r="CF89" s="106">
        <v>6.0830860534124627E-2</v>
      </c>
      <c r="CG89" s="106">
        <v>145.8480712166172</v>
      </c>
      <c r="CH89" s="106">
        <v>4.3681747269890797E-2</v>
      </c>
      <c r="CI89" s="106">
        <v>104.73135725429017</v>
      </c>
      <c r="CJ89" s="106">
        <v>8.5867620751341675E-2</v>
      </c>
      <c r="CK89" s="106">
        <v>205.8762075134168</v>
      </c>
      <c r="CL89" s="106">
        <v>3.7735849056603772E-2</v>
      </c>
      <c r="CM89" s="106">
        <v>90.475471698113196</v>
      </c>
      <c r="CN89" s="106">
        <v>9.9626400996264009E-3</v>
      </c>
      <c r="CO89" s="106">
        <v>23.886425902864257</v>
      </c>
      <c r="CP89" s="106">
        <v>0</v>
      </c>
      <c r="CQ89" s="106">
        <v>0</v>
      </c>
      <c r="CR89" s="106">
        <v>0</v>
      </c>
      <c r="CS89" s="106">
        <v>0</v>
      </c>
      <c r="CT89" s="106">
        <v>1.7348203221809171E-2</v>
      </c>
      <c r="CU89" s="106">
        <v>41.594052044609668</v>
      </c>
    </row>
    <row r="90" spans="2:99" x14ac:dyDescent="0.2">
      <c r="C90" s="105" t="s">
        <v>257</v>
      </c>
      <c r="D90" s="106">
        <v>0.16647264260768335</v>
      </c>
      <c r="E90" s="106">
        <v>365.77369033760181</v>
      </c>
      <c r="F90" s="106">
        <v>0.10576923076923078</v>
      </c>
      <c r="G90" s="106">
        <v>232.39615384615385</v>
      </c>
      <c r="H90" s="106">
        <v>0.13147410358565736</v>
      </c>
      <c r="I90" s="106">
        <v>288.87490039840634</v>
      </c>
      <c r="J90" s="106">
        <v>1.2578616352201259E-2</v>
      </c>
      <c r="K90" s="106">
        <v>27.637735849056604</v>
      </c>
      <c r="L90" s="106">
        <v>2.7695351137487636E-2</v>
      </c>
      <c r="M90" s="106">
        <v>60.852225519287828</v>
      </c>
      <c r="N90" s="106">
        <v>0</v>
      </c>
      <c r="O90" s="106">
        <v>0</v>
      </c>
      <c r="P90" s="106">
        <v>0</v>
      </c>
      <c r="Q90" s="106">
        <v>0</v>
      </c>
      <c r="R90" s="106">
        <v>7.0491803278688522E-2</v>
      </c>
      <c r="S90" s="106">
        <v>154.8845901639344</v>
      </c>
      <c r="T90" s="106">
        <v>9.0163934426229511E-2</v>
      </c>
      <c r="U90" s="106">
        <v>198.10819672131146</v>
      </c>
      <c r="V90" s="106">
        <v>3.2883642495784147E-2</v>
      </c>
      <c r="W90" s="106">
        <v>72.251939291736917</v>
      </c>
      <c r="X90" s="106">
        <v>3.0612244897959183E-2</v>
      </c>
      <c r="Y90" s="106">
        <v>67.261224489795907</v>
      </c>
      <c r="Z90" s="106">
        <v>4.6031746031746035E-2</v>
      </c>
      <c r="AA90" s="106">
        <v>101.14095238095238</v>
      </c>
      <c r="AB90" s="106">
        <v>3.6529680365296802E-2</v>
      </c>
      <c r="AC90" s="106">
        <v>80.263013698630132</v>
      </c>
      <c r="AD90" s="106">
        <v>3.2758620689655175E-2</v>
      </c>
      <c r="AE90" s="106">
        <v>71.977241379310342</v>
      </c>
      <c r="AF90" s="106">
        <v>3.5493827160493825E-2</v>
      </c>
      <c r="AG90" s="106">
        <v>77.987037037037027</v>
      </c>
      <c r="AH90" s="106">
        <v>2.9296875E-2</v>
      </c>
      <c r="AI90" s="106">
        <v>64.37109375</v>
      </c>
      <c r="AJ90" s="106">
        <v>4.8019207683073231E-2</v>
      </c>
      <c r="AK90" s="106">
        <v>105.5078031212485</v>
      </c>
      <c r="AL90" s="106">
        <v>0</v>
      </c>
      <c r="AM90" s="106">
        <v>0</v>
      </c>
      <c r="AN90" s="106">
        <v>0.1079734219269103</v>
      </c>
      <c r="AO90" s="106">
        <v>237.23920265780728</v>
      </c>
      <c r="AP90" s="106">
        <v>0</v>
      </c>
      <c r="AQ90" s="106">
        <v>0</v>
      </c>
      <c r="AR90" s="106">
        <v>4.221635883905013E-3</v>
      </c>
      <c r="AS90" s="106">
        <v>9.2757783641160945</v>
      </c>
      <c r="AT90" s="106">
        <v>9.2821782178217817E-3</v>
      </c>
      <c r="AU90" s="106">
        <v>20.394801980198018</v>
      </c>
      <c r="AV90" s="106">
        <v>1.8408941485864562E-2</v>
      </c>
      <c r="AW90" s="106">
        <v>40.448126232741615</v>
      </c>
      <c r="AX90" s="106">
        <v>5.6526207605344294E-3</v>
      </c>
      <c r="AY90" s="106">
        <v>12.419938335046247</v>
      </c>
      <c r="AZ90" s="106">
        <v>0</v>
      </c>
      <c r="BA90" s="106">
        <v>0</v>
      </c>
      <c r="BB90" s="106">
        <v>4.0229885057471264E-2</v>
      </c>
      <c r="BC90" s="106">
        <v>88.393103448275852</v>
      </c>
      <c r="BD90" s="106">
        <v>0.11390284757118928</v>
      </c>
      <c r="BE90" s="106">
        <v>250.26733668341706</v>
      </c>
      <c r="BF90" s="106">
        <v>5.7491289198606271E-2</v>
      </c>
      <c r="BG90" s="106">
        <v>126.31986062717769</v>
      </c>
      <c r="BH90" s="106">
        <v>1.5306122448979591E-2</v>
      </c>
      <c r="BI90" s="106">
        <v>33.630612244897954</v>
      </c>
      <c r="BJ90" s="106">
        <v>0</v>
      </c>
      <c r="BK90" s="106">
        <v>0</v>
      </c>
      <c r="BL90" s="106">
        <v>3.6496350364963501E-2</v>
      </c>
      <c r="BM90" s="106">
        <v>80.189781021897801</v>
      </c>
      <c r="BN90" s="106">
        <v>2.389705882352941E-2</v>
      </c>
      <c r="BO90" s="106">
        <v>52.506617647058818</v>
      </c>
      <c r="BP90" s="106">
        <v>3.1914893617021274E-2</v>
      </c>
      <c r="BQ90" s="106">
        <v>70.123404255319144</v>
      </c>
      <c r="BR90" s="106">
        <v>0</v>
      </c>
      <c r="BS90" s="106">
        <v>0</v>
      </c>
      <c r="BT90" s="106">
        <v>8.74751491053678E-2</v>
      </c>
      <c r="BU90" s="106">
        <v>192.20039761431411</v>
      </c>
      <c r="BV90" s="106">
        <v>0</v>
      </c>
      <c r="BW90" s="106">
        <v>0</v>
      </c>
      <c r="BX90" s="106">
        <v>0</v>
      </c>
      <c r="BY90" s="106">
        <v>0</v>
      </c>
      <c r="BZ90" s="106">
        <v>2.8523489932885907E-2</v>
      </c>
      <c r="CA90" s="106">
        <v>62.67181208053691</v>
      </c>
      <c r="CB90" s="106">
        <v>1.1608623548922056E-2</v>
      </c>
      <c r="CC90" s="106">
        <v>25.506467661691538</v>
      </c>
      <c r="CD90" s="106">
        <v>1.6183986371379896E-2</v>
      </c>
      <c r="CE90" s="106">
        <v>35.559454855195902</v>
      </c>
      <c r="CF90" s="106">
        <v>6.3798219584569729E-2</v>
      </c>
      <c r="CG90" s="106">
        <v>140.17744807121659</v>
      </c>
      <c r="CH90" s="106">
        <v>4.6801872074882997E-2</v>
      </c>
      <c r="CI90" s="106">
        <v>102.83307332293292</v>
      </c>
      <c r="CJ90" s="106">
        <v>8.9445438282647588E-2</v>
      </c>
      <c r="CK90" s="106">
        <v>196.52951699463327</v>
      </c>
      <c r="CL90" s="106">
        <v>3.9308176100628929E-2</v>
      </c>
      <c r="CM90" s="106">
        <v>86.36792452830187</v>
      </c>
      <c r="CN90" s="106">
        <v>9.9626400996264009E-3</v>
      </c>
      <c r="CO90" s="106">
        <v>21.889912826899128</v>
      </c>
      <c r="CP90" s="106">
        <v>0</v>
      </c>
      <c r="CQ90" s="106">
        <v>0</v>
      </c>
      <c r="CR90" s="106">
        <v>0</v>
      </c>
      <c r="CS90" s="106">
        <v>0</v>
      </c>
      <c r="CT90" s="106">
        <v>1.7348203221809171E-2</v>
      </c>
      <c r="CU90" s="106">
        <v>38.117472118959107</v>
      </c>
    </row>
    <row r="91" spans="2:99" x14ac:dyDescent="0.2">
      <c r="C91" s="105" t="s">
        <v>258</v>
      </c>
      <c r="D91" s="106">
        <v>0.15366705471478462</v>
      </c>
      <c r="E91" s="106">
        <v>352.94249126891725</v>
      </c>
      <c r="F91" s="106">
        <v>0.11634615384615385</v>
      </c>
      <c r="G91" s="106">
        <v>267.22384615384613</v>
      </c>
      <c r="H91" s="106">
        <v>0.13147410358565736</v>
      </c>
      <c r="I91" s="106">
        <v>301.96972111553782</v>
      </c>
      <c r="J91" s="106">
        <v>1.1530398322851153E-2</v>
      </c>
      <c r="K91" s="106">
        <v>26.483018867924525</v>
      </c>
      <c r="L91" s="106">
        <v>2.7695351137487636E-2</v>
      </c>
      <c r="M91" s="106">
        <v>63.610682492581596</v>
      </c>
      <c r="N91" s="106">
        <v>0</v>
      </c>
      <c r="O91" s="106">
        <v>0</v>
      </c>
      <c r="P91" s="106">
        <v>0</v>
      </c>
      <c r="Q91" s="106">
        <v>0</v>
      </c>
      <c r="R91" s="106">
        <v>7.3770491803278687E-2</v>
      </c>
      <c r="S91" s="106">
        <v>169.43606557377046</v>
      </c>
      <c r="T91" s="106">
        <v>9.1530054644808748E-2</v>
      </c>
      <c r="U91" s="106">
        <v>210.2262295081967</v>
      </c>
      <c r="V91" s="106">
        <v>2.866779089376054E-2</v>
      </c>
      <c r="W91" s="106">
        <v>65.844182124789199</v>
      </c>
      <c r="X91" s="106">
        <v>3.486394557823129E-2</v>
      </c>
      <c r="Y91" s="106">
        <v>80.07551020408161</v>
      </c>
      <c r="Z91" s="106">
        <v>4.7619047619047616E-2</v>
      </c>
      <c r="AA91" s="106">
        <v>109.37142857142855</v>
      </c>
      <c r="AB91" s="106">
        <v>3.8812785388127852E-2</v>
      </c>
      <c r="AC91" s="106">
        <v>89.145205479452045</v>
      </c>
      <c r="AD91" s="106">
        <v>3.4482758620689655E-2</v>
      </c>
      <c r="AE91" s="106">
        <v>79.199999999999989</v>
      </c>
      <c r="AF91" s="106">
        <v>3.5493827160493825E-2</v>
      </c>
      <c r="AG91" s="106">
        <v>81.522222222222211</v>
      </c>
      <c r="AH91" s="106">
        <v>2.9296875E-2</v>
      </c>
      <c r="AI91" s="106">
        <v>67.289062499999986</v>
      </c>
      <c r="AJ91" s="106">
        <v>4.9219687875150062E-2</v>
      </c>
      <c r="AK91" s="106">
        <v>113.04777911164464</v>
      </c>
      <c r="AL91" s="106">
        <v>0</v>
      </c>
      <c r="AM91" s="106">
        <v>0</v>
      </c>
      <c r="AN91" s="106">
        <v>0.11129568106312292</v>
      </c>
      <c r="AO91" s="106">
        <v>255.6239202657807</v>
      </c>
      <c r="AP91" s="106">
        <v>0</v>
      </c>
      <c r="AQ91" s="106">
        <v>0</v>
      </c>
      <c r="AR91" s="106">
        <v>5.2770448548812663E-3</v>
      </c>
      <c r="AS91" s="106">
        <v>12.120316622691291</v>
      </c>
      <c r="AT91" s="106">
        <v>9.2821782178217817E-3</v>
      </c>
      <c r="AU91" s="106">
        <v>21.319306930693067</v>
      </c>
      <c r="AV91" s="106">
        <v>1.7094017094017096E-2</v>
      </c>
      <c r="AW91" s="106">
        <v>39.261538461538464</v>
      </c>
      <c r="AX91" s="106">
        <v>5.6526207605344294E-3</v>
      </c>
      <c r="AY91" s="106">
        <v>12.982939362795475</v>
      </c>
      <c r="AZ91" s="106">
        <v>0</v>
      </c>
      <c r="BA91" s="106">
        <v>0</v>
      </c>
      <c r="BB91" s="106">
        <v>3.4482758620689655E-2</v>
      </c>
      <c r="BC91" s="106">
        <v>79.199999999999989</v>
      </c>
      <c r="BD91" s="106">
        <v>9.380234505862646E-2</v>
      </c>
      <c r="BE91" s="106">
        <v>215.44522613065323</v>
      </c>
      <c r="BF91" s="106">
        <v>5.4006968641114983E-2</v>
      </c>
      <c r="BG91" s="106">
        <v>124.04320557491288</v>
      </c>
      <c r="BH91" s="106">
        <v>1.6763848396501458E-2</v>
      </c>
      <c r="BI91" s="106">
        <v>38.503206997084547</v>
      </c>
      <c r="BJ91" s="106">
        <v>0</v>
      </c>
      <c r="BK91" s="106">
        <v>0</v>
      </c>
      <c r="BL91" s="106">
        <v>3.6496350364963501E-2</v>
      </c>
      <c r="BM91" s="106">
        <v>83.824817518248153</v>
      </c>
      <c r="BN91" s="106">
        <v>2.389705882352941E-2</v>
      </c>
      <c r="BO91" s="106">
        <v>54.886764705882342</v>
      </c>
      <c r="BP91" s="106">
        <v>3.4816247582205029E-2</v>
      </c>
      <c r="BQ91" s="106">
        <v>79.965957446808503</v>
      </c>
      <c r="BR91" s="106">
        <v>0</v>
      </c>
      <c r="BS91" s="106">
        <v>0</v>
      </c>
      <c r="BT91" s="106">
        <v>9.9403578528827044E-2</v>
      </c>
      <c r="BU91" s="106">
        <v>228.31013916500993</v>
      </c>
      <c r="BV91" s="106">
        <v>0</v>
      </c>
      <c r="BW91" s="106">
        <v>0</v>
      </c>
      <c r="BX91" s="106">
        <v>0</v>
      </c>
      <c r="BY91" s="106">
        <v>0</v>
      </c>
      <c r="BZ91" s="106">
        <v>3.1879194630872486E-2</v>
      </c>
      <c r="CA91" s="106">
        <v>73.220134228187916</v>
      </c>
      <c r="CB91" s="106">
        <v>1.1608623548922056E-2</v>
      </c>
      <c r="CC91" s="106">
        <v>26.662686567164172</v>
      </c>
      <c r="CD91" s="106">
        <v>1.4480408858603067E-2</v>
      </c>
      <c r="CE91" s="106">
        <v>33.25860306643952</v>
      </c>
      <c r="CF91" s="106">
        <v>5.7863501483679525E-2</v>
      </c>
      <c r="CG91" s="106">
        <v>132.90089020771512</v>
      </c>
      <c r="CH91" s="106">
        <v>4.8361934477379097E-2</v>
      </c>
      <c r="CI91" s="106">
        <v>111.0776911076443</v>
      </c>
      <c r="CJ91" s="106">
        <v>8.5867620751341675E-2</v>
      </c>
      <c r="CK91" s="106">
        <v>197.22075134168153</v>
      </c>
      <c r="CL91" s="106">
        <v>3.6163522012578615E-2</v>
      </c>
      <c r="CM91" s="106">
        <v>83.060377358490555</v>
      </c>
      <c r="CN91" s="106">
        <v>1.2453300124533001E-2</v>
      </c>
      <c r="CO91" s="106">
        <v>28.602739726027394</v>
      </c>
      <c r="CP91" s="106">
        <v>0</v>
      </c>
      <c r="CQ91" s="106">
        <v>0</v>
      </c>
      <c r="CR91" s="106">
        <v>0</v>
      </c>
      <c r="CS91" s="106">
        <v>0</v>
      </c>
      <c r="CT91" s="106">
        <v>1.7348203221809171E-2</v>
      </c>
      <c r="CU91" s="106">
        <v>39.8453531598513</v>
      </c>
    </row>
    <row r="92" spans="2:99" x14ac:dyDescent="0.2">
      <c r="C92" s="105" t="s">
        <v>259</v>
      </c>
      <c r="D92" s="106">
        <v>0.16647264260768335</v>
      </c>
      <c r="E92" s="106">
        <v>236.52433061699651</v>
      </c>
      <c r="F92" s="106">
        <v>0.10576923076923078</v>
      </c>
      <c r="G92" s="106">
        <v>150.27692307692308</v>
      </c>
      <c r="H92" s="106">
        <v>0.15537848605577689</v>
      </c>
      <c r="I92" s="106">
        <v>220.76175298804779</v>
      </c>
      <c r="J92" s="106">
        <v>1.1530398322851153E-2</v>
      </c>
      <c r="K92" s="106">
        <v>16.382389937106918</v>
      </c>
      <c r="L92" s="106">
        <v>3.165182987141444E-2</v>
      </c>
      <c r="M92" s="106">
        <v>44.970919881305633</v>
      </c>
      <c r="N92" s="106">
        <v>0</v>
      </c>
      <c r="O92" s="106">
        <v>0</v>
      </c>
      <c r="P92" s="106">
        <v>0</v>
      </c>
      <c r="Q92" s="106">
        <v>0</v>
      </c>
      <c r="R92" s="106">
        <v>9.5081967213114751E-2</v>
      </c>
      <c r="S92" s="106">
        <v>135.09245901639343</v>
      </c>
      <c r="T92" s="106">
        <v>0.1133879781420765</v>
      </c>
      <c r="U92" s="106">
        <v>161.10163934426228</v>
      </c>
      <c r="V92" s="106">
        <v>3.7099494097807759E-2</v>
      </c>
      <c r="W92" s="106">
        <v>52.710961214165259</v>
      </c>
      <c r="X92" s="106">
        <v>3.486394557823129E-2</v>
      </c>
      <c r="Y92" s="106">
        <v>49.534693877551014</v>
      </c>
      <c r="Z92" s="106">
        <v>5.5555555555555552E-2</v>
      </c>
      <c r="AA92" s="106">
        <v>78.933333333333323</v>
      </c>
      <c r="AB92" s="106">
        <v>4.5662100456621002E-2</v>
      </c>
      <c r="AC92" s="106">
        <v>64.876712328767113</v>
      </c>
      <c r="AD92" s="106">
        <v>3.9655172413793106E-2</v>
      </c>
      <c r="AE92" s="106">
        <v>56.342068965517242</v>
      </c>
      <c r="AF92" s="106">
        <v>3.7037037037037035E-2</v>
      </c>
      <c r="AG92" s="106">
        <v>52.62222222222222</v>
      </c>
      <c r="AH92" s="106">
        <v>3.7109375E-2</v>
      </c>
      <c r="AI92" s="106">
        <v>52.725000000000001</v>
      </c>
      <c r="AJ92" s="106">
        <v>5.7623049219687875E-2</v>
      </c>
      <c r="AK92" s="106">
        <v>81.870828331332532</v>
      </c>
      <c r="AL92" s="106">
        <v>0</v>
      </c>
      <c r="AM92" s="106">
        <v>0</v>
      </c>
      <c r="AN92" s="106">
        <v>0.11960132890365449</v>
      </c>
      <c r="AO92" s="106">
        <v>169.9295681063123</v>
      </c>
      <c r="AP92" s="106">
        <v>0</v>
      </c>
      <c r="AQ92" s="106">
        <v>0</v>
      </c>
      <c r="AR92" s="106">
        <v>4.7493403693931397E-3</v>
      </c>
      <c r="AS92" s="106">
        <v>6.7478627968337728</v>
      </c>
      <c r="AT92" s="106">
        <v>1.051980198019802E-2</v>
      </c>
      <c r="AU92" s="106">
        <v>14.946534653465347</v>
      </c>
      <c r="AV92" s="106">
        <v>1.9723865877712032E-2</v>
      </c>
      <c r="AW92" s="106">
        <v>28.023668639053255</v>
      </c>
      <c r="AX92" s="106">
        <v>6.1664953751284684E-3</v>
      </c>
      <c r="AY92" s="106">
        <v>8.7613566289825275</v>
      </c>
      <c r="AZ92" s="106">
        <v>0</v>
      </c>
      <c r="BA92" s="106">
        <v>0</v>
      </c>
      <c r="BB92" s="106">
        <v>3.8314176245210725E-2</v>
      </c>
      <c r="BC92" s="106">
        <v>54.4367816091954</v>
      </c>
      <c r="BD92" s="106">
        <v>0.10385259631490787</v>
      </c>
      <c r="BE92" s="106">
        <v>147.55376884422108</v>
      </c>
      <c r="BF92" s="106">
        <v>6.4459930313588848E-2</v>
      </c>
      <c r="BG92" s="106">
        <v>91.584668989547026</v>
      </c>
      <c r="BH92" s="106">
        <v>1.7492711370262391E-2</v>
      </c>
      <c r="BI92" s="106">
        <v>24.853644314868806</v>
      </c>
      <c r="BJ92" s="106">
        <v>0</v>
      </c>
      <c r="BK92" s="106">
        <v>0</v>
      </c>
      <c r="BL92" s="106">
        <v>4.0145985401459854E-2</v>
      </c>
      <c r="BM92" s="106">
        <v>57.03941605839416</v>
      </c>
      <c r="BN92" s="106">
        <v>2.5735294117647058E-2</v>
      </c>
      <c r="BO92" s="106">
        <v>36.564705882352939</v>
      </c>
      <c r="BP92" s="106">
        <v>4.3520309477756286E-2</v>
      </c>
      <c r="BQ92" s="106">
        <v>61.833655705996129</v>
      </c>
      <c r="BR92" s="106">
        <v>0</v>
      </c>
      <c r="BS92" s="106">
        <v>0</v>
      </c>
      <c r="BT92" s="106">
        <v>0.10337972166998012</v>
      </c>
      <c r="BU92" s="106">
        <v>146.88190854870774</v>
      </c>
      <c r="BV92" s="106">
        <v>0</v>
      </c>
      <c r="BW92" s="106">
        <v>0</v>
      </c>
      <c r="BX92" s="106">
        <v>0</v>
      </c>
      <c r="BY92" s="106">
        <v>0</v>
      </c>
      <c r="BZ92" s="106">
        <v>3.1879194630872486E-2</v>
      </c>
      <c r="CA92" s="106">
        <v>45.293959731543623</v>
      </c>
      <c r="CB92" s="106">
        <v>1.1608623548922056E-2</v>
      </c>
      <c r="CC92" s="106">
        <v>16.493532338308455</v>
      </c>
      <c r="CD92" s="106">
        <v>1.7887563884156729E-2</v>
      </c>
      <c r="CE92" s="106">
        <v>25.414650766609881</v>
      </c>
      <c r="CF92" s="106">
        <v>7.1216617210682495E-2</v>
      </c>
      <c r="CG92" s="106">
        <v>101.18456973293769</v>
      </c>
      <c r="CH92" s="106">
        <v>4.5241809672386897E-2</v>
      </c>
      <c r="CI92" s="106">
        <v>64.279563182527298</v>
      </c>
      <c r="CJ92" s="106">
        <v>9.6601073345259386E-2</v>
      </c>
      <c r="CK92" s="106">
        <v>137.25080500894452</v>
      </c>
      <c r="CL92" s="106">
        <v>3.9308176100628929E-2</v>
      </c>
      <c r="CM92" s="106">
        <v>55.849056603773583</v>
      </c>
      <c r="CN92" s="106">
        <v>1.2453300124533001E-2</v>
      </c>
      <c r="CO92" s="106">
        <v>17.693648816936488</v>
      </c>
      <c r="CP92" s="106">
        <v>0</v>
      </c>
      <c r="CQ92" s="106">
        <v>0</v>
      </c>
      <c r="CR92" s="106">
        <v>0</v>
      </c>
      <c r="CS92" s="106">
        <v>0</v>
      </c>
      <c r="CT92" s="106">
        <v>1.7348203221809171E-2</v>
      </c>
      <c r="CU92" s="106">
        <v>24.64832713754647</v>
      </c>
    </row>
    <row r="93" spans="2:99" x14ac:dyDescent="0.2">
      <c r="C93" s="105" t="s">
        <v>260</v>
      </c>
      <c r="D93" s="106">
        <v>0.15366705471478462</v>
      </c>
      <c r="E93" s="106">
        <v>272.35948777648423</v>
      </c>
      <c r="F93" s="106">
        <v>0.11634615384615385</v>
      </c>
      <c r="G93" s="106">
        <v>206.21192307692306</v>
      </c>
      <c r="H93" s="106">
        <v>0.14342629482071712</v>
      </c>
      <c r="I93" s="106">
        <v>254.20876494023901</v>
      </c>
      <c r="J93" s="106">
        <v>1.2578616352201259E-2</v>
      </c>
      <c r="K93" s="106">
        <v>22.294339622641509</v>
      </c>
      <c r="L93" s="106">
        <v>3.165182987141444E-2</v>
      </c>
      <c r="M93" s="106">
        <v>56.099703264094948</v>
      </c>
      <c r="N93" s="106">
        <v>0</v>
      </c>
      <c r="O93" s="106">
        <v>0</v>
      </c>
      <c r="P93" s="106">
        <v>0</v>
      </c>
      <c r="Q93" s="106">
        <v>0</v>
      </c>
      <c r="R93" s="106">
        <v>8.8524590163934422E-2</v>
      </c>
      <c r="S93" s="106">
        <v>156.90098360655736</v>
      </c>
      <c r="T93" s="106">
        <v>0.10382513661202186</v>
      </c>
      <c r="U93" s="106">
        <v>184.01967213114753</v>
      </c>
      <c r="V93" s="106">
        <v>3.3726812816188868E-2</v>
      </c>
      <c r="W93" s="106">
        <v>59.777403035413144</v>
      </c>
      <c r="X93" s="106">
        <v>3.5714285714285712E-2</v>
      </c>
      <c r="Y93" s="106">
        <v>63.29999999999999</v>
      </c>
      <c r="Z93" s="106">
        <v>4.9206349206349205E-2</v>
      </c>
      <c r="AA93" s="106">
        <v>87.213333333333324</v>
      </c>
      <c r="AB93" s="106">
        <v>4.1095890410958902E-2</v>
      </c>
      <c r="AC93" s="106">
        <v>72.838356164383555</v>
      </c>
      <c r="AD93" s="106">
        <v>3.6206896551724141E-2</v>
      </c>
      <c r="AE93" s="106">
        <v>64.173103448275867</v>
      </c>
      <c r="AF93" s="106">
        <v>3.7037037037037035E-2</v>
      </c>
      <c r="AG93" s="106">
        <v>65.644444444444431</v>
      </c>
      <c r="AH93" s="106">
        <v>3.3203125E-2</v>
      </c>
      <c r="AI93" s="106">
        <v>58.849218749999999</v>
      </c>
      <c r="AJ93" s="106">
        <v>6.0024009603841535E-2</v>
      </c>
      <c r="AK93" s="106">
        <v>106.38655462184873</v>
      </c>
      <c r="AL93" s="106">
        <v>0</v>
      </c>
      <c r="AM93" s="106">
        <v>0</v>
      </c>
      <c r="AN93" s="106">
        <v>0.10299003322259136</v>
      </c>
      <c r="AO93" s="106">
        <v>182.5395348837209</v>
      </c>
      <c r="AP93" s="106">
        <v>0</v>
      </c>
      <c r="AQ93" s="106">
        <v>0</v>
      </c>
      <c r="AR93" s="106">
        <v>4.7493403693931397E-3</v>
      </c>
      <c r="AS93" s="106">
        <v>8.4177308707124006</v>
      </c>
      <c r="AT93" s="106">
        <v>1.051980198019802E-2</v>
      </c>
      <c r="AU93" s="106">
        <v>18.64529702970297</v>
      </c>
      <c r="AV93" s="106">
        <v>1.8408941485864562E-2</v>
      </c>
      <c r="AW93" s="106">
        <v>32.628007889546346</v>
      </c>
      <c r="AX93" s="106">
        <v>5.6526207605344294E-3</v>
      </c>
      <c r="AY93" s="106">
        <v>10.018705035971221</v>
      </c>
      <c r="AZ93" s="106">
        <v>0</v>
      </c>
      <c r="BA93" s="106">
        <v>0</v>
      </c>
      <c r="BB93" s="106">
        <v>3.6398467432950193E-2</v>
      </c>
      <c r="BC93" s="106">
        <v>64.512643678160913</v>
      </c>
      <c r="BD93" s="106">
        <v>0.10720268006700168</v>
      </c>
      <c r="BE93" s="106">
        <v>190.00603015075376</v>
      </c>
      <c r="BF93" s="106">
        <v>5.2264808362369339E-2</v>
      </c>
      <c r="BG93" s="106">
        <v>92.634146341463406</v>
      </c>
      <c r="BH93" s="106">
        <v>1.6763848396501458E-2</v>
      </c>
      <c r="BI93" s="106">
        <v>29.712244897959181</v>
      </c>
      <c r="BJ93" s="106">
        <v>0</v>
      </c>
      <c r="BK93" s="106">
        <v>0</v>
      </c>
      <c r="BL93" s="106">
        <v>4.0145985401459854E-2</v>
      </c>
      <c r="BM93" s="106">
        <v>71.154744525547443</v>
      </c>
      <c r="BN93" s="106">
        <v>2.4816176470588234E-2</v>
      </c>
      <c r="BO93" s="106">
        <v>43.984191176470581</v>
      </c>
      <c r="BP93" s="106">
        <v>3.4816247582205029E-2</v>
      </c>
      <c r="BQ93" s="106">
        <v>61.708317214700187</v>
      </c>
      <c r="BR93" s="106">
        <v>0</v>
      </c>
      <c r="BS93" s="106">
        <v>0</v>
      </c>
      <c r="BT93" s="106">
        <v>0.10139165009940358</v>
      </c>
      <c r="BU93" s="106">
        <v>179.7065606361829</v>
      </c>
      <c r="BV93" s="106">
        <v>0</v>
      </c>
      <c r="BW93" s="106">
        <v>0</v>
      </c>
      <c r="BX93" s="106">
        <v>0</v>
      </c>
      <c r="BY93" s="106">
        <v>0</v>
      </c>
      <c r="BZ93" s="106">
        <v>2.8523489932885907E-2</v>
      </c>
      <c r="CA93" s="106">
        <v>50.555033557046976</v>
      </c>
      <c r="CB93" s="106">
        <v>9.9502487562189053E-3</v>
      </c>
      <c r="CC93" s="106">
        <v>17.635820895522386</v>
      </c>
      <c r="CD93" s="106">
        <v>1.5332197614991482E-2</v>
      </c>
      <c r="CE93" s="106">
        <v>27.174787052810899</v>
      </c>
      <c r="CF93" s="106">
        <v>6.2314540059347182E-2</v>
      </c>
      <c r="CG93" s="106">
        <v>110.44629080118693</v>
      </c>
      <c r="CH93" s="106">
        <v>4.6801872074882997E-2</v>
      </c>
      <c r="CI93" s="106">
        <v>82.951638065522616</v>
      </c>
      <c r="CJ93" s="106">
        <v>7.8711985688729877E-2</v>
      </c>
      <c r="CK93" s="106">
        <v>139.50912343470483</v>
      </c>
      <c r="CL93" s="106">
        <v>3.9308176100628929E-2</v>
      </c>
      <c r="CM93" s="106">
        <v>69.669811320754704</v>
      </c>
      <c r="CN93" s="106">
        <v>1.1207970112079701E-2</v>
      </c>
      <c r="CO93" s="106">
        <v>19.86500622665006</v>
      </c>
      <c r="CP93" s="106">
        <v>0</v>
      </c>
      <c r="CQ93" s="106">
        <v>0</v>
      </c>
      <c r="CR93" s="106">
        <v>0</v>
      </c>
      <c r="CS93" s="106">
        <v>0</v>
      </c>
      <c r="CT93" s="106">
        <v>1.9826517967781909E-2</v>
      </c>
      <c r="CU93" s="106">
        <v>35.140520446096652</v>
      </c>
    </row>
    <row r="94" spans="2:99" x14ac:dyDescent="0.2">
      <c r="C94" s="105" t="s">
        <v>261</v>
      </c>
      <c r="D94" s="106">
        <v>0.16647264260768335</v>
      </c>
      <c r="E94" s="106">
        <v>398.73527357392311</v>
      </c>
      <c r="F94" s="106">
        <v>0.11634615384615385</v>
      </c>
      <c r="G94" s="106">
        <v>278.6723076923077</v>
      </c>
      <c r="H94" s="106">
        <v>0.14342629482071712</v>
      </c>
      <c r="I94" s="106">
        <v>343.5346613545816</v>
      </c>
      <c r="J94" s="106">
        <v>1.1530398322851153E-2</v>
      </c>
      <c r="K94" s="106">
        <v>27.617610062893078</v>
      </c>
      <c r="L94" s="106">
        <v>2.967359050445104E-2</v>
      </c>
      <c r="M94" s="106">
        <v>71.074183976261125</v>
      </c>
      <c r="N94" s="106">
        <v>0</v>
      </c>
      <c r="O94" s="106">
        <v>0</v>
      </c>
      <c r="P94" s="106">
        <v>0</v>
      </c>
      <c r="Q94" s="106">
        <v>0</v>
      </c>
      <c r="R94" s="106">
        <v>8.0327868852459017E-2</v>
      </c>
      <c r="S94" s="106">
        <v>192.40131147540981</v>
      </c>
      <c r="T94" s="106">
        <v>9.2896174863387984E-2</v>
      </c>
      <c r="U94" s="106">
        <v>222.50491803278689</v>
      </c>
      <c r="V94" s="106">
        <v>3.1197301854974706E-2</v>
      </c>
      <c r="W94" s="106">
        <v>74.723777403035413</v>
      </c>
      <c r="X94" s="106">
        <v>3.1462585034013606E-2</v>
      </c>
      <c r="Y94" s="106">
        <v>75.359183673469389</v>
      </c>
      <c r="Z94" s="106">
        <v>4.8412698412698414E-2</v>
      </c>
      <c r="AA94" s="106">
        <v>115.95809523809524</v>
      </c>
      <c r="AB94" s="106">
        <v>3.6529680365296802E-2</v>
      </c>
      <c r="AC94" s="106">
        <v>87.495890410958893</v>
      </c>
      <c r="AD94" s="106">
        <v>3.6206896551724141E-2</v>
      </c>
      <c r="AE94" s="106">
        <v>86.72275862068966</v>
      </c>
      <c r="AF94" s="106">
        <v>3.7037037037037035E-2</v>
      </c>
      <c r="AG94" s="106">
        <v>88.711111111111094</v>
      </c>
      <c r="AH94" s="106">
        <v>3.125E-2</v>
      </c>
      <c r="AI94" s="106">
        <v>74.849999999999994</v>
      </c>
      <c r="AJ94" s="106">
        <v>5.4021608643457383E-2</v>
      </c>
      <c r="AK94" s="106">
        <v>129.39255702280911</v>
      </c>
      <c r="AL94" s="106">
        <v>0</v>
      </c>
      <c r="AM94" s="106">
        <v>0</v>
      </c>
      <c r="AN94" s="106">
        <v>9.4684385382059796E-2</v>
      </c>
      <c r="AO94" s="106">
        <v>226.7880398671096</v>
      </c>
      <c r="AP94" s="106">
        <v>0</v>
      </c>
      <c r="AQ94" s="106">
        <v>0</v>
      </c>
      <c r="AR94" s="106">
        <v>4.221635883905013E-3</v>
      </c>
      <c r="AS94" s="106">
        <v>10.111662269129287</v>
      </c>
      <c r="AT94" s="106">
        <v>9.9009900990099011E-3</v>
      </c>
      <c r="AU94" s="106">
        <v>23.714851485148515</v>
      </c>
      <c r="AV94" s="106">
        <v>1.8408941485864562E-2</v>
      </c>
      <c r="AW94" s="106">
        <v>44.093096646942797</v>
      </c>
      <c r="AX94" s="106">
        <v>6.1664953751284684E-3</v>
      </c>
      <c r="AY94" s="106">
        <v>14.769989722507706</v>
      </c>
      <c r="AZ94" s="106">
        <v>0</v>
      </c>
      <c r="BA94" s="106">
        <v>0</v>
      </c>
      <c r="BB94" s="106">
        <v>4.0229885057471264E-2</v>
      </c>
      <c r="BC94" s="106">
        <v>96.358620689655169</v>
      </c>
      <c r="BD94" s="106">
        <v>9.380234505862646E-2</v>
      </c>
      <c r="BE94" s="106">
        <v>224.67537688442209</v>
      </c>
      <c r="BF94" s="106">
        <v>5.2264808362369339E-2</v>
      </c>
      <c r="BG94" s="106">
        <v>125.18466898954703</v>
      </c>
      <c r="BH94" s="106">
        <v>1.6034985422740525E-2</v>
      </c>
      <c r="BI94" s="106">
        <v>38.406997084548102</v>
      </c>
      <c r="BJ94" s="106">
        <v>0</v>
      </c>
      <c r="BK94" s="106">
        <v>0</v>
      </c>
      <c r="BL94" s="106">
        <v>4.0145985401459854E-2</v>
      </c>
      <c r="BM94" s="106">
        <v>96.157664233576639</v>
      </c>
      <c r="BN94" s="106">
        <v>2.4816176470588234E-2</v>
      </c>
      <c r="BO94" s="106">
        <v>59.439705882352932</v>
      </c>
      <c r="BP94" s="106">
        <v>3.2882011605415859E-2</v>
      </c>
      <c r="BQ94" s="106">
        <v>78.758994197292054</v>
      </c>
      <c r="BR94" s="106">
        <v>0</v>
      </c>
      <c r="BS94" s="106">
        <v>0</v>
      </c>
      <c r="BT94" s="106">
        <v>9.9403578528827044E-2</v>
      </c>
      <c r="BU94" s="106">
        <v>238.09145129224652</v>
      </c>
      <c r="BV94" s="106">
        <v>0</v>
      </c>
      <c r="BW94" s="106">
        <v>0</v>
      </c>
      <c r="BX94" s="106">
        <v>0</v>
      </c>
      <c r="BY94" s="106">
        <v>0</v>
      </c>
      <c r="BZ94" s="106">
        <v>2.6845637583892617E-2</v>
      </c>
      <c r="CA94" s="106">
        <v>64.300671140939585</v>
      </c>
      <c r="CB94" s="106">
        <v>1.077943615257048E-2</v>
      </c>
      <c r="CC94" s="106">
        <v>25.818905472636814</v>
      </c>
      <c r="CD94" s="106">
        <v>1.4480408858603067E-2</v>
      </c>
      <c r="CE94" s="106">
        <v>34.683475298126062</v>
      </c>
      <c r="CF94" s="106">
        <v>5.9347181008902079E-2</v>
      </c>
      <c r="CG94" s="106">
        <v>142.14836795252225</v>
      </c>
      <c r="CH94" s="106">
        <v>4.3681747269890797E-2</v>
      </c>
      <c r="CI94" s="106">
        <v>104.62652106084244</v>
      </c>
      <c r="CJ94" s="106">
        <v>8.2289803220035776E-2</v>
      </c>
      <c r="CK94" s="106">
        <v>197.10053667262969</v>
      </c>
      <c r="CL94" s="106">
        <v>3.7735849056603772E-2</v>
      </c>
      <c r="CM94" s="106">
        <v>90.384905660377342</v>
      </c>
      <c r="CN94" s="106">
        <v>9.9626400996264009E-3</v>
      </c>
      <c r="CO94" s="106">
        <v>23.862515566625152</v>
      </c>
      <c r="CP94" s="106">
        <v>0</v>
      </c>
      <c r="CQ94" s="106">
        <v>0</v>
      </c>
      <c r="CR94" s="106">
        <v>0</v>
      </c>
      <c r="CS94" s="106">
        <v>0</v>
      </c>
      <c r="CT94" s="106">
        <v>1.9826517967781909E-2</v>
      </c>
      <c r="CU94" s="106">
        <v>47.488475836431221</v>
      </c>
    </row>
    <row r="95" spans="2:99" x14ac:dyDescent="0.2">
      <c r="B95" s="105" t="s">
        <v>132</v>
      </c>
      <c r="C95" s="105" t="s">
        <v>262</v>
      </c>
      <c r="D95" s="106">
        <v>0.409778812572759</v>
      </c>
      <c r="E95" s="106">
        <v>710.06472642607673</v>
      </c>
      <c r="F95" s="106">
        <v>0.44423076923076926</v>
      </c>
      <c r="G95" s="106">
        <v>769.76307692307694</v>
      </c>
      <c r="H95" s="106">
        <v>0.54980079681274896</v>
      </c>
      <c r="I95" s="106">
        <v>952.69482071713139</v>
      </c>
      <c r="J95" s="106">
        <v>4.6121593291404611E-2</v>
      </c>
      <c r="K95" s="106">
        <v>79.919496855345912</v>
      </c>
      <c r="L95" s="106">
        <v>3.165182987141444E-2</v>
      </c>
      <c r="M95" s="106">
        <v>54.846290801186939</v>
      </c>
      <c r="N95" s="106">
        <v>0</v>
      </c>
      <c r="O95" s="106">
        <v>0</v>
      </c>
      <c r="P95" s="106">
        <v>0</v>
      </c>
      <c r="Q95" s="106">
        <v>0</v>
      </c>
      <c r="R95" s="106">
        <v>4.7540983606557376E-2</v>
      </c>
      <c r="S95" s="106">
        <v>82.379016393442612</v>
      </c>
      <c r="T95" s="106">
        <v>7.650273224043716E-2</v>
      </c>
      <c r="U95" s="106">
        <v>132.56393442622951</v>
      </c>
      <c r="V95" s="106">
        <v>4.1315345699831363E-2</v>
      </c>
      <c r="W95" s="106">
        <v>71.591231028667778</v>
      </c>
      <c r="X95" s="106">
        <v>4.6768707482993201E-2</v>
      </c>
      <c r="Y95" s="106">
        <v>81.040816326530617</v>
      </c>
      <c r="Z95" s="106">
        <v>3.5714285714285712E-2</v>
      </c>
      <c r="AA95" s="106">
        <v>61.885714285714279</v>
      </c>
      <c r="AB95" s="106">
        <v>1.8264840182648401E-2</v>
      </c>
      <c r="AC95" s="106">
        <v>31.649315068493149</v>
      </c>
      <c r="AD95" s="106">
        <v>1.896551724137931E-2</v>
      </c>
      <c r="AE95" s="106">
        <v>32.863448275862069</v>
      </c>
      <c r="AF95" s="106">
        <v>1.8518518518518517E-2</v>
      </c>
      <c r="AG95" s="106">
        <v>32.088888888888889</v>
      </c>
      <c r="AH95" s="106">
        <v>1.5625E-2</v>
      </c>
      <c r="AI95" s="106">
        <v>27.074999999999999</v>
      </c>
      <c r="AJ95" s="106">
        <v>3.0012004801920768E-2</v>
      </c>
      <c r="AK95" s="106">
        <v>52.004801920768308</v>
      </c>
      <c r="AL95" s="106">
        <v>0</v>
      </c>
      <c r="AM95" s="106">
        <v>0</v>
      </c>
      <c r="AN95" s="106">
        <v>5.4817275747508304E-2</v>
      </c>
      <c r="AO95" s="106">
        <v>94.987375415282386</v>
      </c>
      <c r="AP95" s="106">
        <v>0</v>
      </c>
      <c r="AQ95" s="106">
        <v>0</v>
      </c>
      <c r="AR95" s="106">
        <v>2.216358839050132E-2</v>
      </c>
      <c r="AS95" s="106">
        <v>38.405065963060686</v>
      </c>
      <c r="AT95" s="106">
        <v>1.9183168316831683E-2</v>
      </c>
      <c r="AU95" s="106">
        <v>33.240594059405936</v>
      </c>
      <c r="AV95" s="106">
        <v>4.9967126890203814E-2</v>
      </c>
      <c r="AW95" s="106">
        <v>86.583037475345165</v>
      </c>
      <c r="AX95" s="106">
        <v>2.2096608427543678E-2</v>
      </c>
      <c r="AY95" s="106">
        <v>38.289003083247685</v>
      </c>
      <c r="AZ95" s="106">
        <v>0</v>
      </c>
      <c r="BA95" s="106">
        <v>0</v>
      </c>
      <c r="BB95" s="106">
        <v>2.8735632183908046E-2</v>
      </c>
      <c r="BC95" s="106">
        <v>49.793103448275858</v>
      </c>
      <c r="BD95" s="106">
        <v>4.0201005025125629E-2</v>
      </c>
      <c r="BE95" s="106">
        <v>69.660301507537682</v>
      </c>
      <c r="BF95" s="106">
        <v>2.6132404181184669E-2</v>
      </c>
      <c r="BG95" s="106">
        <v>45.282229965156795</v>
      </c>
      <c r="BH95" s="106">
        <v>1.6763848396501458E-2</v>
      </c>
      <c r="BI95" s="106">
        <v>29.048396501457727</v>
      </c>
      <c r="BJ95" s="106">
        <v>0</v>
      </c>
      <c r="BK95" s="106">
        <v>0</v>
      </c>
      <c r="BL95" s="106">
        <v>3.8321167883211681E-2</v>
      </c>
      <c r="BM95" s="106">
        <v>66.402919708029202</v>
      </c>
      <c r="BN95" s="106">
        <v>3.0330882352941176E-2</v>
      </c>
      <c r="BO95" s="106">
        <v>52.557352941176468</v>
      </c>
      <c r="BP95" s="106">
        <v>4.3520309477756286E-2</v>
      </c>
      <c r="BQ95" s="106">
        <v>75.411992263056092</v>
      </c>
      <c r="BR95" s="106">
        <v>0</v>
      </c>
      <c r="BS95" s="106">
        <v>0</v>
      </c>
      <c r="BT95" s="106">
        <v>6.560636182902585E-2</v>
      </c>
      <c r="BU95" s="106">
        <v>113.68270377733599</v>
      </c>
      <c r="BV95" s="106">
        <v>0</v>
      </c>
      <c r="BW95" s="106">
        <v>0</v>
      </c>
      <c r="BX95" s="106">
        <v>0</v>
      </c>
      <c r="BY95" s="106">
        <v>0</v>
      </c>
      <c r="BZ95" s="106">
        <v>0.11241610738255034</v>
      </c>
      <c r="CA95" s="106">
        <v>194.79463087248322</v>
      </c>
      <c r="CB95" s="106">
        <v>6.053067993366501E-2</v>
      </c>
      <c r="CC95" s="106">
        <v>104.88756218905473</v>
      </c>
      <c r="CD95" s="106">
        <v>5.6218057921635436E-2</v>
      </c>
      <c r="CE95" s="106">
        <v>97.414650766609881</v>
      </c>
      <c r="CF95" s="106">
        <v>1.9287833827893175E-2</v>
      </c>
      <c r="CG95" s="106">
        <v>33.421958456973293</v>
      </c>
      <c r="CH95" s="106">
        <v>1.2480499219968799E-2</v>
      </c>
      <c r="CI95" s="106">
        <v>21.626209048361936</v>
      </c>
      <c r="CJ95" s="106">
        <v>3.9355992844364938E-2</v>
      </c>
      <c r="CK95" s="106">
        <v>68.196064400715557</v>
      </c>
      <c r="CL95" s="106">
        <v>2.0440251572327043E-2</v>
      </c>
      <c r="CM95" s="106">
        <v>35.4188679245283</v>
      </c>
      <c r="CN95" s="106">
        <v>5.9775840597758409E-2</v>
      </c>
      <c r="CO95" s="106">
        <v>103.57957658779577</v>
      </c>
      <c r="CP95" s="106">
        <v>0</v>
      </c>
      <c r="CQ95" s="106">
        <v>0</v>
      </c>
      <c r="CR95" s="106">
        <v>0</v>
      </c>
      <c r="CS95" s="106">
        <v>0</v>
      </c>
      <c r="CT95" s="106">
        <v>9.6654275092936809E-2</v>
      </c>
      <c r="CU95" s="106">
        <v>167.48252788104091</v>
      </c>
    </row>
    <row r="96" spans="2:99" x14ac:dyDescent="0.2">
      <c r="C96" s="105" t="s">
        <v>263</v>
      </c>
      <c r="D96" s="106">
        <v>0.48661233993015135</v>
      </c>
      <c r="E96" s="106">
        <v>400.57927823050056</v>
      </c>
      <c r="F96" s="106">
        <v>0.58173076923076927</v>
      </c>
      <c r="G96" s="106">
        <v>478.8807692307692</v>
      </c>
      <c r="H96" s="106">
        <v>0.57370517928286846</v>
      </c>
      <c r="I96" s="106">
        <v>472.27410358565726</v>
      </c>
      <c r="J96" s="106">
        <v>5.3459119496855348E-2</v>
      </c>
      <c r="K96" s="106">
        <v>44.007547169811318</v>
      </c>
      <c r="L96" s="106">
        <v>3.3630069238377844E-2</v>
      </c>
      <c r="M96" s="106">
        <v>27.68427299703264</v>
      </c>
      <c r="N96" s="106">
        <v>0</v>
      </c>
      <c r="O96" s="106">
        <v>0</v>
      </c>
      <c r="P96" s="106">
        <v>0</v>
      </c>
      <c r="Q96" s="106">
        <v>0</v>
      </c>
      <c r="R96" s="106">
        <v>4.7540983606557376E-2</v>
      </c>
      <c r="S96" s="106">
        <v>39.135737704918029</v>
      </c>
      <c r="T96" s="106">
        <v>8.060109289617487E-2</v>
      </c>
      <c r="U96" s="106">
        <v>66.350819672131152</v>
      </c>
      <c r="V96" s="106">
        <v>5.6492411467116359E-2</v>
      </c>
      <c r="W96" s="106">
        <v>46.504553119730183</v>
      </c>
      <c r="X96" s="106">
        <v>4.8469387755102039E-2</v>
      </c>
      <c r="Y96" s="106">
        <v>39.9</v>
      </c>
      <c r="Z96" s="106">
        <v>4.0476190476190478E-2</v>
      </c>
      <c r="AA96" s="106">
        <v>33.32</v>
      </c>
      <c r="AB96" s="106">
        <v>1.8264840182648401E-2</v>
      </c>
      <c r="AC96" s="106">
        <v>15.035616438356163</v>
      </c>
      <c r="AD96" s="106">
        <v>1.896551724137931E-2</v>
      </c>
      <c r="AE96" s="106">
        <v>15.612413793103446</v>
      </c>
      <c r="AF96" s="106">
        <v>1.8518518518518517E-2</v>
      </c>
      <c r="AG96" s="106">
        <v>15.244444444444442</v>
      </c>
      <c r="AH96" s="106">
        <v>1.7578125E-2</v>
      </c>
      <c r="AI96" s="106">
        <v>14.470312499999999</v>
      </c>
      <c r="AJ96" s="106">
        <v>3.0012004801920768E-2</v>
      </c>
      <c r="AK96" s="106">
        <v>24.705882352941174</v>
      </c>
      <c r="AL96" s="106">
        <v>0</v>
      </c>
      <c r="AM96" s="106">
        <v>0</v>
      </c>
      <c r="AN96" s="106">
        <v>6.3122923588039864E-2</v>
      </c>
      <c r="AO96" s="106">
        <v>51.962790697674414</v>
      </c>
      <c r="AP96" s="106">
        <v>0</v>
      </c>
      <c r="AQ96" s="106">
        <v>0</v>
      </c>
      <c r="AR96" s="106">
        <v>2.6385224274406333E-2</v>
      </c>
      <c r="AS96" s="106">
        <v>21.720316622691293</v>
      </c>
      <c r="AT96" s="106">
        <v>2.2277227722772276E-2</v>
      </c>
      <c r="AU96" s="106">
        <v>18.338613861386136</v>
      </c>
      <c r="AV96" s="106">
        <v>5.5226824457593686E-2</v>
      </c>
      <c r="AW96" s="106">
        <v>45.462721893491121</v>
      </c>
      <c r="AX96" s="106">
        <v>2.3124357656731757E-2</v>
      </c>
      <c r="AY96" s="106">
        <v>19.03597122302158</v>
      </c>
      <c r="AZ96" s="106">
        <v>0</v>
      </c>
      <c r="BA96" s="106">
        <v>0</v>
      </c>
      <c r="BB96" s="106">
        <v>3.0651340996168581E-2</v>
      </c>
      <c r="BC96" s="106">
        <v>25.232183908045975</v>
      </c>
      <c r="BD96" s="106">
        <v>4.0201005025125629E-2</v>
      </c>
      <c r="BE96" s="106">
        <v>33.093467336683418</v>
      </c>
      <c r="BF96" s="106">
        <v>2.9616724738675958E-2</v>
      </c>
      <c r="BG96" s="106">
        <v>24.380487804878047</v>
      </c>
      <c r="BH96" s="106">
        <v>1.6763848396501458E-2</v>
      </c>
      <c r="BI96" s="106">
        <v>13.799999999999999</v>
      </c>
      <c r="BJ96" s="106">
        <v>0</v>
      </c>
      <c r="BK96" s="106">
        <v>0</v>
      </c>
      <c r="BL96" s="106">
        <v>4.3795620437956206E-2</v>
      </c>
      <c r="BM96" s="106">
        <v>36.052554744525544</v>
      </c>
      <c r="BN96" s="106">
        <v>3.216911764705882E-2</v>
      </c>
      <c r="BO96" s="106">
        <v>26.481617647058819</v>
      </c>
      <c r="BP96" s="106">
        <v>3.9651837524177946E-2</v>
      </c>
      <c r="BQ96" s="106">
        <v>32.641392649903281</v>
      </c>
      <c r="BR96" s="106">
        <v>0</v>
      </c>
      <c r="BS96" s="106">
        <v>0</v>
      </c>
      <c r="BT96" s="106">
        <v>6.9582504970178927E-2</v>
      </c>
      <c r="BU96" s="106">
        <v>57.280318091451285</v>
      </c>
      <c r="BV96" s="106">
        <v>0</v>
      </c>
      <c r="BW96" s="106">
        <v>0</v>
      </c>
      <c r="BX96" s="106">
        <v>0</v>
      </c>
      <c r="BY96" s="106">
        <v>0</v>
      </c>
      <c r="BZ96" s="106">
        <v>0.11073825503355705</v>
      </c>
      <c r="CA96" s="106">
        <v>91.159731543624162</v>
      </c>
      <c r="CB96" s="106">
        <v>7.545605306799337E-2</v>
      </c>
      <c r="CC96" s="106">
        <v>62.115422885572137</v>
      </c>
      <c r="CD96" s="106">
        <v>5.4514480408858604E-2</v>
      </c>
      <c r="CE96" s="106">
        <v>44.8763202725724</v>
      </c>
      <c r="CF96" s="106">
        <v>1.9287833827893175E-2</v>
      </c>
      <c r="CG96" s="106">
        <v>15.87774480712166</v>
      </c>
      <c r="CH96" s="106">
        <v>1.4040561622464899E-2</v>
      </c>
      <c r="CI96" s="106">
        <v>11.558190327613104</v>
      </c>
      <c r="CJ96" s="106">
        <v>3.9355992844364938E-2</v>
      </c>
      <c r="CK96" s="106">
        <v>32.397853309481214</v>
      </c>
      <c r="CL96" s="106">
        <v>2.20125786163522E-2</v>
      </c>
      <c r="CM96" s="106">
        <v>18.120754716981128</v>
      </c>
      <c r="CN96" s="106">
        <v>5.9775840597758409E-2</v>
      </c>
      <c r="CO96" s="106">
        <v>49.207471980074715</v>
      </c>
      <c r="CP96" s="106">
        <v>0</v>
      </c>
      <c r="CQ96" s="106">
        <v>0</v>
      </c>
      <c r="CR96" s="106">
        <v>0</v>
      </c>
      <c r="CS96" s="106">
        <v>0</v>
      </c>
      <c r="CT96" s="106">
        <v>0.12639405204460966</v>
      </c>
      <c r="CU96" s="106">
        <v>104.04758364312266</v>
      </c>
    </row>
    <row r="97" spans="2:99" x14ac:dyDescent="0.2">
      <c r="C97" s="105" t="s">
        <v>264</v>
      </c>
      <c r="D97" s="106">
        <v>0.46100116414435388</v>
      </c>
      <c r="E97" s="106">
        <v>843.07892898719433</v>
      </c>
      <c r="F97" s="106">
        <v>0.5182692307692307</v>
      </c>
      <c r="G97" s="106">
        <v>947.8107692307691</v>
      </c>
      <c r="H97" s="106">
        <v>0.58565737051792821</v>
      </c>
      <c r="I97" s="106">
        <v>1071.050199203187</v>
      </c>
      <c r="J97" s="106">
        <v>4.716981132075472E-2</v>
      </c>
      <c r="K97" s="106">
        <v>86.264150943396231</v>
      </c>
      <c r="L97" s="106">
        <v>2.8684470820969338E-2</v>
      </c>
      <c r="M97" s="106">
        <v>52.458160237388725</v>
      </c>
      <c r="N97" s="106">
        <v>0</v>
      </c>
      <c r="O97" s="106">
        <v>0</v>
      </c>
      <c r="P97" s="106">
        <v>0</v>
      </c>
      <c r="Q97" s="106">
        <v>0</v>
      </c>
      <c r="R97" s="106">
        <v>4.5901639344262293E-2</v>
      </c>
      <c r="S97" s="106">
        <v>83.944918032786873</v>
      </c>
      <c r="T97" s="106">
        <v>6.8306010928961755E-2</v>
      </c>
      <c r="U97" s="106">
        <v>124.91803278688525</v>
      </c>
      <c r="V97" s="106">
        <v>4.6374367622259695E-2</v>
      </c>
      <c r="W97" s="106">
        <v>84.809443507588526</v>
      </c>
      <c r="X97" s="106">
        <v>3.9965986394557826E-2</v>
      </c>
      <c r="Y97" s="106">
        <v>73.089795918367344</v>
      </c>
      <c r="Z97" s="106">
        <v>3.5714285714285712E-2</v>
      </c>
      <c r="AA97" s="106">
        <v>65.314285714285703</v>
      </c>
      <c r="AB97" s="106">
        <v>1.8264840182648401E-2</v>
      </c>
      <c r="AC97" s="106">
        <v>33.402739726027391</v>
      </c>
      <c r="AD97" s="106">
        <v>1.7241379310344827E-2</v>
      </c>
      <c r="AE97" s="106">
        <v>31.531034482758621</v>
      </c>
      <c r="AF97" s="106">
        <v>2.0061728395061727E-2</v>
      </c>
      <c r="AG97" s="106">
        <v>36.688888888888883</v>
      </c>
      <c r="AH97" s="106">
        <v>1.5625E-2</v>
      </c>
      <c r="AI97" s="106">
        <v>28.574999999999999</v>
      </c>
      <c r="AJ97" s="106">
        <v>3.1212484993997598E-2</v>
      </c>
      <c r="AK97" s="106">
        <v>57.081392557022809</v>
      </c>
      <c r="AL97" s="106">
        <v>0</v>
      </c>
      <c r="AM97" s="106">
        <v>0</v>
      </c>
      <c r="AN97" s="106">
        <v>5.4817275747508304E-2</v>
      </c>
      <c r="AO97" s="106">
        <v>100.24983388704318</v>
      </c>
      <c r="AP97" s="106">
        <v>0</v>
      </c>
      <c r="AQ97" s="106">
        <v>0</v>
      </c>
      <c r="AR97" s="106">
        <v>2.4274406332453827E-2</v>
      </c>
      <c r="AS97" s="106">
        <v>44.393034300791555</v>
      </c>
      <c r="AT97" s="106">
        <v>2.1039603960396041E-2</v>
      </c>
      <c r="AU97" s="106">
        <v>38.477227722772277</v>
      </c>
      <c r="AV97" s="106">
        <v>4.8652202498356348E-2</v>
      </c>
      <c r="AW97" s="106">
        <v>88.97514792899409</v>
      </c>
      <c r="AX97" s="106">
        <v>2.0554984583761562E-2</v>
      </c>
      <c r="AY97" s="106">
        <v>37.590955806783143</v>
      </c>
      <c r="AZ97" s="106">
        <v>0</v>
      </c>
      <c r="BA97" s="106">
        <v>0</v>
      </c>
      <c r="BB97" s="106">
        <v>2.8735632183908046E-2</v>
      </c>
      <c r="BC97" s="106">
        <v>52.551724137931032</v>
      </c>
      <c r="BD97" s="106">
        <v>3.6850921273031828E-2</v>
      </c>
      <c r="BE97" s="106">
        <v>67.392964824120611</v>
      </c>
      <c r="BF97" s="106">
        <v>2.4390243902439025E-2</v>
      </c>
      <c r="BG97" s="106">
        <v>44.604878048780485</v>
      </c>
      <c r="BH97" s="106">
        <v>1.7492711370262391E-2</v>
      </c>
      <c r="BI97" s="106">
        <v>31.99067055393586</v>
      </c>
      <c r="BJ97" s="106">
        <v>0</v>
      </c>
      <c r="BK97" s="106">
        <v>0</v>
      </c>
      <c r="BL97" s="106">
        <v>3.6496350364963501E-2</v>
      </c>
      <c r="BM97" s="106">
        <v>66.744525547445249</v>
      </c>
      <c r="BN97" s="106">
        <v>3.0330882352941176E-2</v>
      </c>
      <c r="BO97" s="106">
        <v>55.469117647058823</v>
      </c>
      <c r="BP97" s="106">
        <v>3.5783365570599614E-2</v>
      </c>
      <c r="BQ97" s="106">
        <v>65.440618955512576</v>
      </c>
      <c r="BR97" s="106">
        <v>0</v>
      </c>
      <c r="BS97" s="106">
        <v>0</v>
      </c>
      <c r="BT97" s="106">
        <v>6.560636182902585E-2</v>
      </c>
      <c r="BU97" s="106">
        <v>119.98091451292247</v>
      </c>
      <c r="BV97" s="106">
        <v>0</v>
      </c>
      <c r="BW97" s="106">
        <v>0</v>
      </c>
      <c r="BX97" s="106">
        <v>0</v>
      </c>
      <c r="BY97" s="106">
        <v>0</v>
      </c>
      <c r="BZ97" s="106">
        <v>0.1040268456375839</v>
      </c>
      <c r="CA97" s="106">
        <v>190.24429530201343</v>
      </c>
      <c r="CB97" s="106">
        <v>5.721393034825871E-2</v>
      </c>
      <c r="CC97" s="106">
        <v>104.63283582089552</v>
      </c>
      <c r="CD97" s="106">
        <v>5.4514480408858604E-2</v>
      </c>
      <c r="CE97" s="106">
        <v>99.696081771720614</v>
      </c>
      <c r="CF97" s="106">
        <v>1.9287833827893175E-2</v>
      </c>
      <c r="CG97" s="106">
        <v>35.273590504451036</v>
      </c>
      <c r="CH97" s="106">
        <v>1.2480499219968799E-2</v>
      </c>
      <c r="CI97" s="106">
        <v>22.824336973478939</v>
      </c>
      <c r="CJ97" s="106">
        <v>4.2933810375670838E-2</v>
      </c>
      <c r="CK97" s="106">
        <v>78.517352415026821</v>
      </c>
      <c r="CL97" s="106">
        <v>2.0440251572327043E-2</v>
      </c>
      <c r="CM97" s="106">
        <v>37.381132075471697</v>
      </c>
      <c r="CN97" s="106">
        <v>5.8530510585305104E-2</v>
      </c>
      <c r="CO97" s="106">
        <v>107.04059775840597</v>
      </c>
      <c r="CP97" s="106">
        <v>0</v>
      </c>
      <c r="CQ97" s="106">
        <v>0</v>
      </c>
      <c r="CR97" s="106">
        <v>0</v>
      </c>
      <c r="CS97" s="106">
        <v>0</v>
      </c>
      <c r="CT97" s="106">
        <v>0.11648079306071871</v>
      </c>
      <c r="CU97" s="106">
        <v>213.02007434944235</v>
      </c>
    </row>
    <row r="98" spans="2:99" x14ac:dyDescent="0.2">
      <c r="C98" s="105" t="s">
        <v>265</v>
      </c>
      <c r="D98" s="106">
        <v>0.49941792782305006</v>
      </c>
      <c r="E98" s="106">
        <v>631.06449359720602</v>
      </c>
      <c r="F98" s="106">
        <v>0.50769230769230766</v>
      </c>
      <c r="G98" s="106">
        <v>641.51999999999987</v>
      </c>
      <c r="H98" s="106">
        <v>0.63346613545816732</v>
      </c>
      <c r="I98" s="106">
        <v>800.44780876494019</v>
      </c>
      <c r="J98" s="106">
        <v>5.1362683438155136E-2</v>
      </c>
      <c r="K98" s="106">
        <v>64.901886792452828</v>
      </c>
      <c r="L98" s="106">
        <v>3.165182987141444E-2</v>
      </c>
      <c r="M98" s="106">
        <v>39.99525222551928</v>
      </c>
      <c r="N98" s="106">
        <v>0</v>
      </c>
      <c r="O98" s="106">
        <v>0</v>
      </c>
      <c r="P98" s="106">
        <v>0</v>
      </c>
      <c r="Q98" s="106">
        <v>0</v>
      </c>
      <c r="R98" s="106">
        <v>4.9180327868852458E-2</v>
      </c>
      <c r="S98" s="106">
        <v>62.144262295081958</v>
      </c>
      <c r="T98" s="106">
        <v>7.3770491803278687E-2</v>
      </c>
      <c r="U98" s="106">
        <v>93.216393442622945</v>
      </c>
      <c r="V98" s="106">
        <v>5.2276559865092748E-2</v>
      </c>
      <c r="W98" s="106">
        <v>66.056661045531186</v>
      </c>
      <c r="X98" s="106">
        <v>4.2517006802721087E-2</v>
      </c>
      <c r="Y98" s="106">
        <v>53.724489795918359</v>
      </c>
      <c r="Z98" s="106">
        <v>4.2857142857142858E-2</v>
      </c>
      <c r="AA98" s="106">
        <v>54.154285714285713</v>
      </c>
      <c r="AB98" s="106">
        <v>1.8264840182648401E-2</v>
      </c>
      <c r="AC98" s="106">
        <v>23.079452054794519</v>
      </c>
      <c r="AD98" s="106">
        <v>1.7241379310344827E-2</v>
      </c>
      <c r="AE98" s="106">
        <v>21.786206896551722</v>
      </c>
      <c r="AF98" s="106">
        <v>1.8518518518518517E-2</v>
      </c>
      <c r="AG98" s="106">
        <v>23.4</v>
      </c>
      <c r="AH98" s="106">
        <v>1.7578125E-2</v>
      </c>
      <c r="AI98" s="106">
        <v>22.211718749999999</v>
      </c>
      <c r="AJ98" s="106">
        <v>2.7611044417767107E-2</v>
      </c>
      <c r="AK98" s="106">
        <v>34.889315726290512</v>
      </c>
      <c r="AL98" s="106">
        <v>0</v>
      </c>
      <c r="AM98" s="106">
        <v>0</v>
      </c>
      <c r="AN98" s="106">
        <v>5.647840531561462E-2</v>
      </c>
      <c r="AO98" s="106">
        <v>71.366112956810625</v>
      </c>
      <c r="AP98" s="106">
        <v>0</v>
      </c>
      <c r="AQ98" s="106">
        <v>0</v>
      </c>
      <c r="AR98" s="106">
        <v>2.5329815303430078E-2</v>
      </c>
      <c r="AS98" s="106">
        <v>32.006754617414245</v>
      </c>
      <c r="AT98" s="106">
        <v>1.9801980198019802E-2</v>
      </c>
      <c r="AU98" s="106">
        <v>25.021782178217819</v>
      </c>
      <c r="AV98" s="106">
        <v>4.8652202498356348E-2</v>
      </c>
      <c r="AW98" s="106">
        <v>61.476923076923079</v>
      </c>
      <c r="AX98" s="106">
        <v>2.1582733812949641E-2</v>
      </c>
      <c r="AY98" s="106">
        <v>27.271942446043166</v>
      </c>
      <c r="AZ98" s="106">
        <v>0</v>
      </c>
      <c r="BA98" s="106">
        <v>0</v>
      </c>
      <c r="BB98" s="106">
        <v>3.0651340996168581E-2</v>
      </c>
      <c r="BC98" s="106">
        <v>38.731034482758616</v>
      </c>
      <c r="BD98" s="106">
        <v>4.3551088777219429E-2</v>
      </c>
      <c r="BE98" s="106">
        <v>55.031155778894465</v>
      </c>
      <c r="BF98" s="106">
        <v>2.6132404181184669E-2</v>
      </c>
      <c r="BG98" s="106">
        <v>33.020905923344948</v>
      </c>
      <c r="BH98" s="106">
        <v>1.7492711370262391E-2</v>
      </c>
      <c r="BI98" s="106">
        <v>22.103790087463555</v>
      </c>
      <c r="BJ98" s="106">
        <v>0</v>
      </c>
      <c r="BK98" s="106">
        <v>0</v>
      </c>
      <c r="BL98" s="106">
        <v>4.1970802919708027E-2</v>
      </c>
      <c r="BM98" s="106">
        <v>53.034306569343059</v>
      </c>
      <c r="BN98" s="106">
        <v>3.0330882352941176E-2</v>
      </c>
      <c r="BO98" s="106">
        <v>38.326102941176465</v>
      </c>
      <c r="BP98" s="106">
        <v>4.1586073500967116E-2</v>
      </c>
      <c r="BQ98" s="106">
        <v>52.548162475822046</v>
      </c>
      <c r="BR98" s="106">
        <v>0</v>
      </c>
      <c r="BS98" s="106">
        <v>0</v>
      </c>
      <c r="BT98" s="106">
        <v>7.5546719681908542E-2</v>
      </c>
      <c r="BU98" s="106">
        <v>95.460834990059624</v>
      </c>
      <c r="BV98" s="106">
        <v>0</v>
      </c>
      <c r="BW98" s="106">
        <v>0</v>
      </c>
      <c r="BX98" s="106">
        <v>0</v>
      </c>
      <c r="BY98" s="106">
        <v>0</v>
      </c>
      <c r="BZ98" s="106">
        <v>0.10570469798657718</v>
      </c>
      <c r="CA98" s="106">
        <v>133.56845637583891</v>
      </c>
      <c r="CB98" s="106">
        <v>6.1359867330016582E-2</v>
      </c>
      <c r="CC98" s="106">
        <v>77.534328358208953</v>
      </c>
      <c r="CD98" s="106">
        <v>5.4514480408858604E-2</v>
      </c>
      <c r="CE98" s="106">
        <v>68.884497444633723</v>
      </c>
      <c r="CF98" s="106">
        <v>1.7804154302670624E-2</v>
      </c>
      <c r="CG98" s="106">
        <v>22.497329376854598</v>
      </c>
      <c r="CH98" s="106">
        <v>1.4040561622464899E-2</v>
      </c>
      <c r="CI98" s="106">
        <v>17.741653666146647</v>
      </c>
      <c r="CJ98" s="106">
        <v>4.6511627906976744E-2</v>
      </c>
      <c r="CK98" s="106">
        <v>58.772093023255806</v>
      </c>
      <c r="CL98" s="106">
        <v>2.0440251572327043E-2</v>
      </c>
      <c r="CM98" s="106">
        <v>25.828301886792449</v>
      </c>
      <c r="CN98" s="106">
        <v>6.351183063511831E-2</v>
      </c>
      <c r="CO98" s="106">
        <v>80.253549190535495</v>
      </c>
      <c r="CP98" s="106">
        <v>0</v>
      </c>
      <c r="CQ98" s="106">
        <v>0</v>
      </c>
      <c r="CR98" s="106">
        <v>0</v>
      </c>
      <c r="CS98" s="106">
        <v>0</v>
      </c>
      <c r="CT98" s="106">
        <v>0.10161090458488228</v>
      </c>
      <c r="CU98" s="106">
        <v>128.39553903345725</v>
      </c>
    </row>
    <row r="99" spans="2:99" x14ac:dyDescent="0.2">
      <c r="C99" s="105" t="s">
        <v>266</v>
      </c>
      <c r="D99" s="106">
        <v>0.26891734575087312</v>
      </c>
      <c r="E99" s="106">
        <v>1474.097322467986</v>
      </c>
      <c r="F99" s="106">
        <v>0.30673076923076925</v>
      </c>
      <c r="G99" s="106">
        <v>1681.3753846153845</v>
      </c>
      <c r="H99" s="106">
        <v>0.38247011952191234</v>
      </c>
      <c r="I99" s="106">
        <v>2096.5482071713145</v>
      </c>
      <c r="J99" s="106">
        <v>2.9350104821802937E-2</v>
      </c>
      <c r="K99" s="106">
        <v>160.88553459119495</v>
      </c>
      <c r="L99" s="106">
        <v>1.9782393669634024E-2</v>
      </c>
      <c r="M99" s="106">
        <v>108.43916913946586</v>
      </c>
      <c r="N99" s="106">
        <v>0</v>
      </c>
      <c r="O99" s="106">
        <v>0</v>
      </c>
      <c r="P99" s="106">
        <v>0</v>
      </c>
      <c r="Q99" s="106">
        <v>0</v>
      </c>
      <c r="R99" s="106">
        <v>3.1147540983606559E-2</v>
      </c>
      <c r="S99" s="106">
        <v>170.73836065573769</v>
      </c>
      <c r="T99" s="106">
        <v>4.2349726775956283E-2</v>
      </c>
      <c r="U99" s="106">
        <v>232.14426229508194</v>
      </c>
      <c r="V99" s="106">
        <v>2.9510961214165261E-2</v>
      </c>
      <c r="W99" s="106">
        <v>161.76728499156829</v>
      </c>
      <c r="X99" s="106">
        <v>2.2959183673469389E-2</v>
      </c>
      <c r="Y99" s="106">
        <v>125.85306122448979</v>
      </c>
      <c r="Z99" s="106">
        <v>2.0634920634920634E-2</v>
      </c>
      <c r="AA99" s="106">
        <v>113.11238095238095</v>
      </c>
      <c r="AB99" s="106">
        <v>1.5981735159817351E-2</v>
      </c>
      <c r="AC99" s="106">
        <v>87.60547945205478</v>
      </c>
      <c r="AD99" s="106">
        <v>1.3793103448275862E-2</v>
      </c>
      <c r="AE99" s="106">
        <v>75.60827586206895</v>
      </c>
      <c r="AF99" s="106">
        <v>1.6975308641975308E-2</v>
      </c>
      <c r="AG99" s="106">
        <v>93.051851851851836</v>
      </c>
      <c r="AH99" s="106">
        <v>1.3671875E-2</v>
      </c>
      <c r="AI99" s="106">
        <v>74.943749999999994</v>
      </c>
      <c r="AJ99" s="106">
        <v>2.1608643457382955E-2</v>
      </c>
      <c r="AK99" s="106">
        <v>118.44993997599039</v>
      </c>
      <c r="AL99" s="106">
        <v>0</v>
      </c>
      <c r="AM99" s="106">
        <v>0</v>
      </c>
      <c r="AN99" s="106">
        <v>4.1528239202657809E-2</v>
      </c>
      <c r="AO99" s="106">
        <v>227.64119601328903</v>
      </c>
      <c r="AP99" s="106">
        <v>0</v>
      </c>
      <c r="AQ99" s="106">
        <v>0</v>
      </c>
      <c r="AR99" s="106">
        <v>1.5831134564643801E-2</v>
      </c>
      <c r="AS99" s="106">
        <v>86.779947229551453</v>
      </c>
      <c r="AT99" s="106">
        <v>1.4232673267326733E-2</v>
      </c>
      <c r="AU99" s="106">
        <v>78.017821782178217</v>
      </c>
      <c r="AV99" s="106">
        <v>3.0243261012491782E-2</v>
      </c>
      <c r="AW99" s="106">
        <v>165.78145956607494</v>
      </c>
      <c r="AX99" s="106">
        <v>1.3360739979445015E-2</v>
      </c>
      <c r="AY99" s="106">
        <v>73.238232271325785</v>
      </c>
      <c r="AZ99" s="106">
        <v>0</v>
      </c>
      <c r="BA99" s="106">
        <v>0</v>
      </c>
      <c r="BB99" s="106">
        <v>2.1072796934865901E-2</v>
      </c>
      <c r="BC99" s="106">
        <v>115.51264367816091</v>
      </c>
      <c r="BD99" s="106">
        <v>3.015075376884422E-2</v>
      </c>
      <c r="BE99" s="106">
        <v>165.27437185929645</v>
      </c>
      <c r="BF99" s="106">
        <v>1.9163763066202089E-2</v>
      </c>
      <c r="BG99" s="106">
        <v>105.04808362369336</v>
      </c>
      <c r="BH99" s="106">
        <v>1.0932944606413994E-2</v>
      </c>
      <c r="BI99" s="106">
        <v>59.930029154518941</v>
      </c>
      <c r="BJ99" s="106">
        <v>0</v>
      </c>
      <c r="BK99" s="106">
        <v>0</v>
      </c>
      <c r="BL99" s="106">
        <v>2.7372262773722629E-2</v>
      </c>
      <c r="BM99" s="106">
        <v>150.04379562043795</v>
      </c>
      <c r="BN99" s="106">
        <v>1.9301470588235295E-2</v>
      </c>
      <c r="BO99" s="106">
        <v>105.80294117647058</v>
      </c>
      <c r="BP99" s="106">
        <v>2.7079303675048357E-2</v>
      </c>
      <c r="BQ99" s="106">
        <v>148.43791102514507</v>
      </c>
      <c r="BR99" s="106">
        <v>0</v>
      </c>
      <c r="BS99" s="106">
        <v>0</v>
      </c>
      <c r="BT99" s="106">
        <v>4.5725646123260438E-2</v>
      </c>
      <c r="BU99" s="106">
        <v>250.64970178926438</v>
      </c>
      <c r="BV99" s="106">
        <v>0</v>
      </c>
      <c r="BW99" s="106">
        <v>0</v>
      </c>
      <c r="BX99" s="106">
        <v>0</v>
      </c>
      <c r="BY99" s="106">
        <v>0</v>
      </c>
      <c r="BZ99" s="106">
        <v>6.0402684563758392E-2</v>
      </c>
      <c r="CA99" s="106">
        <v>331.10335570469795</v>
      </c>
      <c r="CB99" s="106">
        <v>3.482587064676617E-2</v>
      </c>
      <c r="CC99" s="106">
        <v>190.90149253731343</v>
      </c>
      <c r="CD99" s="106">
        <v>3.3219761499148209E-2</v>
      </c>
      <c r="CE99" s="106">
        <v>182.09744463373082</v>
      </c>
      <c r="CF99" s="106">
        <v>1.6320474777448073E-2</v>
      </c>
      <c r="CG99" s="106">
        <v>89.462314540059353</v>
      </c>
      <c r="CH99" s="106">
        <v>1.2480499219968799E-2</v>
      </c>
      <c r="CI99" s="106">
        <v>68.413104524180966</v>
      </c>
      <c r="CJ99" s="106">
        <v>3.5778175313059032E-2</v>
      </c>
      <c r="CK99" s="106">
        <v>196.12164579606437</v>
      </c>
      <c r="CL99" s="106">
        <v>1.7295597484276729E-2</v>
      </c>
      <c r="CM99" s="106">
        <v>94.807547169811315</v>
      </c>
      <c r="CN99" s="106">
        <v>3.7359900373599E-2</v>
      </c>
      <c r="CO99" s="106">
        <v>204.79202988792025</v>
      </c>
      <c r="CP99" s="106">
        <v>0</v>
      </c>
      <c r="CQ99" s="106">
        <v>0</v>
      </c>
      <c r="CR99" s="106">
        <v>0</v>
      </c>
      <c r="CS99" s="106">
        <v>0</v>
      </c>
      <c r="CT99" s="106">
        <v>7.1871127633209422E-2</v>
      </c>
      <c r="CU99" s="106">
        <v>393.96877323420074</v>
      </c>
    </row>
    <row r="100" spans="2:99" x14ac:dyDescent="0.2">
      <c r="C100" s="105" t="s">
        <v>267</v>
      </c>
      <c r="D100" s="106">
        <v>0.409778812572759</v>
      </c>
      <c r="E100" s="106">
        <v>664.82514551804411</v>
      </c>
      <c r="F100" s="106">
        <v>0.4548076923076923</v>
      </c>
      <c r="G100" s="106">
        <v>737.87999999999988</v>
      </c>
      <c r="H100" s="106">
        <v>0.53784860557768921</v>
      </c>
      <c r="I100" s="106">
        <v>872.60557768924286</v>
      </c>
      <c r="J100" s="106">
        <v>4.2976939203354297E-2</v>
      </c>
      <c r="K100" s="106">
        <v>69.725786163522002</v>
      </c>
      <c r="L100" s="106">
        <v>3.3630069238377844E-2</v>
      </c>
      <c r="M100" s="106">
        <v>54.56142433234421</v>
      </c>
      <c r="N100" s="106">
        <v>0</v>
      </c>
      <c r="O100" s="106">
        <v>0</v>
      </c>
      <c r="P100" s="106">
        <v>0</v>
      </c>
      <c r="Q100" s="106">
        <v>0</v>
      </c>
      <c r="R100" s="106">
        <v>4.9180327868852458E-2</v>
      </c>
      <c r="S100" s="106">
        <v>79.790163934426218</v>
      </c>
      <c r="T100" s="106">
        <v>6.9672131147540978E-2</v>
      </c>
      <c r="U100" s="106">
        <v>113.03606557377047</v>
      </c>
      <c r="V100" s="106">
        <v>4.8903878583473864E-2</v>
      </c>
      <c r="W100" s="106">
        <v>79.341652613827989</v>
      </c>
      <c r="X100" s="106">
        <v>4.5918367346938778E-2</v>
      </c>
      <c r="Y100" s="106">
        <v>74.497959183673473</v>
      </c>
      <c r="Z100" s="106">
        <v>3.5714285714285712E-2</v>
      </c>
      <c r="AA100" s="106">
        <v>57.942857142857136</v>
      </c>
      <c r="AB100" s="106">
        <v>1.8264840182648401E-2</v>
      </c>
      <c r="AC100" s="106">
        <v>29.632876712328763</v>
      </c>
      <c r="AD100" s="106">
        <v>1.896551724137931E-2</v>
      </c>
      <c r="AE100" s="106">
        <v>30.769655172413788</v>
      </c>
      <c r="AF100" s="106">
        <v>1.8518518518518517E-2</v>
      </c>
      <c r="AG100" s="106">
        <v>30.044444444444441</v>
      </c>
      <c r="AH100" s="106">
        <v>1.7578125E-2</v>
      </c>
      <c r="AI100" s="106">
        <v>28.518749999999997</v>
      </c>
      <c r="AJ100" s="106">
        <v>3.1212484993997598E-2</v>
      </c>
      <c r="AK100" s="106">
        <v>50.6391356542617</v>
      </c>
      <c r="AL100" s="106">
        <v>0</v>
      </c>
      <c r="AM100" s="106">
        <v>0</v>
      </c>
      <c r="AN100" s="106">
        <v>6.3122923588039864E-2</v>
      </c>
      <c r="AO100" s="106">
        <v>102.41063122923586</v>
      </c>
      <c r="AP100" s="106">
        <v>0</v>
      </c>
      <c r="AQ100" s="106">
        <v>0</v>
      </c>
      <c r="AR100" s="106">
        <v>2.4802110817941952E-2</v>
      </c>
      <c r="AS100" s="106">
        <v>40.238944591029018</v>
      </c>
      <c r="AT100" s="106">
        <v>1.9801980198019802E-2</v>
      </c>
      <c r="AU100" s="106">
        <v>32.126732673267327</v>
      </c>
      <c r="AV100" s="106">
        <v>4.2077580539119003E-2</v>
      </c>
      <c r="AW100" s="106">
        <v>68.266666666666666</v>
      </c>
      <c r="AX100" s="106">
        <v>2.0554984583761562E-2</v>
      </c>
      <c r="AY100" s="106">
        <v>33.348406988694755</v>
      </c>
      <c r="AZ100" s="106">
        <v>0</v>
      </c>
      <c r="BA100" s="106">
        <v>0</v>
      </c>
      <c r="BB100" s="106">
        <v>2.4904214559386972E-2</v>
      </c>
      <c r="BC100" s="106">
        <v>40.40459770114942</v>
      </c>
      <c r="BD100" s="106">
        <v>3.6850921273031828E-2</v>
      </c>
      <c r="BE100" s="106">
        <v>59.786934673366829</v>
      </c>
      <c r="BF100" s="106">
        <v>2.4390243902439025E-2</v>
      </c>
      <c r="BG100" s="106">
        <v>39.570731707317073</v>
      </c>
      <c r="BH100" s="106">
        <v>1.5306122448979591E-2</v>
      </c>
      <c r="BI100" s="106">
        <v>24.832653061224487</v>
      </c>
      <c r="BJ100" s="106">
        <v>0</v>
      </c>
      <c r="BK100" s="106">
        <v>0</v>
      </c>
      <c r="BL100" s="106">
        <v>4.0145985401459854E-2</v>
      </c>
      <c r="BM100" s="106">
        <v>65.132846715328455</v>
      </c>
      <c r="BN100" s="106">
        <v>3.125E-2</v>
      </c>
      <c r="BO100" s="106">
        <v>50.699999999999996</v>
      </c>
      <c r="BP100" s="106">
        <v>4.3520309477756286E-2</v>
      </c>
      <c r="BQ100" s="106">
        <v>70.607350096711798</v>
      </c>
      <c r="BR100" s="106">
        <v>0</v>
      </c>
      <c r="BS100" s="106">
        <v>0</v>
      </c>
      <c r="BT100" s="106">
        <v>6.1630218687872766E-2</v>
      </c>
      <c r="BU100" s="106">
        <v>99.988866799204771</v>
      </c>
      <c r="BV100" s="106">
        <v>0</v>
      </c>
      <c r="BW100" s="106">
        <v>0</v>
      </c>
      <c r="BX100" s="106">
        <v>0</v>
      </c>
      <c r="BY100" s="106">
        <v>0</v>
      </c>
      <c r="BZ100" s="106">
        <v>9.7315436241610737E-2</v>
      </c>
      <c r="CA100" s="106">
        <v>157.88456375838925</v>
      </c>
      <c r="CB100" s="106">
        <v>6.633499170812604E-2</v>
      </c>
      <c r="CC100" s="106">
        <v>107.62189054726367</v>
      </c>
      <c r="CD100" s="106">
        <v>5.7069846678023853E-2</v>
      </c>
      <c r="CE100" s="106">
        <v>92.590119250425886</v>
      </c>
      <c r="CF100" s="106">
        <v>1.7804154302670624E-2</v>
      </c>
      <c r="CG100" s="106">
        <v>28.885459940652819</v>
      </c>
      <c r="CH100" s="106">
        <v>1.4040561622464899E-2</v>
      </c>
      <c r="CI100" s="106">
        <v>22.779407176287052</v>
      </c>
      <c r="CJ100" s="106">
        <v>4.2933810375670838E-2</v>
      </c>
      <c r="CK100" s="106">
        <v>69.655813953488362</v>
      </c>
      <c r="CL100" s="106">
        <v>2.20125786163522E-2</v>
      </c>
      <c r="CM100" s="106">
        <v>35.713207547169809</v>
      </c>
      <c r="CN100" s="106">
        <v>5.9775840597758409E-2</v>
      </c>
      <c r="CO100" s="106">
        <v>96.980323785803236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0.10161090458488228</v>
      </c>
      <c r="CU100" s="106">
        <v>164.853531598513</v>
      </c>
    </row>
    <row r="101" spans="2:99" x14ac:dyDescent="0.2">
      <c r="C101" s="105" t="s">
        <v>268</v>
      </c>
      <c r="D101" s="106">
        <v>0.49941792782305006</v>
      </c>
      <c r="E101" s="106">
        <v>594.50710128055869</v>
      </c>
      <c r="F101" s="106">
        <v>0.49711538461538463</v>
      </c>
      <c r="G101" s="106">
        <v>591.76615384615377</v>
      </c>
      <c r="H101" s="106">
        <v>0.62151394422310757</v>
      </c>
      <c r="I101" s="106">
        <v>739.85019920318712</v>
      </c>
      <c r="J101" s="106">
        <v>5.1362683438155136E-2</v>
      </c>
      <c r="K101" s="106">
        <v>61.142138364779868</v>
      </c>
      <c r="L101" s="106">
        <v>3.5608308605341248E-2</v>
      </c>
      <c r="M101" s="106">
        <v>42.388130563798214</v>
      </c>
      <c r="N101" s="106">
        <v>0</v>
      </c>
      <c r="O101" s="106">
        <v>0</v>
      </c>
      <c r="P101" s="106">
        <v>0</v>
      </c>
      <c r="Q101" s="106">
        <v>0</v>
      </c>
      <c r="R101" s="106">
        <v>4.4262295081967211E-2</v>
      </c>
      <c r="S101" s="106">
        <v>52.689836065573765</v>
      </c>
      <c r="T101" s="106">
        <v>8.6065573770491802E-2</v>
      </c>
      <c r="U101" s="106">
        <v>102.45245901639343</v>
      </c>
      <c r="V101" s="106">
        <v>5.3119730185497468E-2</v>
      </c>
      <c r="W101" s="106">
        <v>63.23372681281618</v>
      </c>
      <c r="X101" s="106">
        <v>4.5918367346938778E-2</v>
      </c>
      <c r="Y101" s="106">
        <v>54.661224489795913</v>
      </c>
      <c r="Z101" s="106">
        <v>3.7301587301587301E-2</v>
      </c>
      <c r="AA101" s="106">
        <v>44.403809523809521</v>
      </c>
      <c r="AB101" s="106">
        <v>2.0547945205479451E-2</v>
      </c>
      <c r="AC101" s="106">
        <v>24.460273972602735</v>
      </c>
      <c r="AD101" s="106">
        <v>1.7241379310344827E-2</v>
      </c>
      <c r="AE101" s="106">
        <v>20.524137931034481</v>
      </c>
      <c r="AF101" s="106">
        <v>2.0061728395061727E-2</v>
      </c>
      <c r="AG101" s="106">
        <v>23.881481481481476</v>
      </c>
      <c r="AH101" s="106">
        <v>1.5625E-2</v>
      </c>
      <c r="AI101" s="106">
        <v>18.599999999999998</v>
      </c>
      <c r="AJ101" s="106">
        <v>3.0012004801920768E-2</v>
      </c>
      <c r="AK101" s="106">
        <v>35.726290516206475</v>
      </c>
      <c r="AL101" s="106">
        <v>0</v>
      </c>
      <c r="AM101" s="106">
        <v>0</v>
      </c>
      <c r="AN101" s="106">
        <v>6.3122923588039864E-2</v>
      </c>
      <c r="AO101" s="106">
        <v>75.141528239202643</v>
      </c>
      <c r="AP101" s="106">
        <v>0</v>
      </c>
      <c r="AQ101" s="106">
        <v>0</v>
      </c>
      <c r="AR101" s="106">
        <v>2.5857519788918207E-2</v>
      </c>
      <c r="AS101" s="106">
        <v>30.780791556728232</v>
      </c>
      <c r="AT101" s="106">
        <v>2.2896039603960396E-2</v>
      </c>
      <c r="AU101" s="106">
        <v>27.255445544554451</v>
      </c>
      <c r="AV101" s="106">
        <v>5.128205128205128E-2</v>
      </c>
      <c r="AW101" s="106">
        <v>61.046153846153835</v>
      </c>
      <c r="AX101" s="106">
        <v>2.1068859198355602E-2</v>
      </c>
      <c r="AY101" s="106">
        <v>25.080369989722506</v>
      </c>
      <c r="AZ101" s="106">
        <v>0</v>
      </c>
      <c r="BA101" s="106">
        <v>0</v>
      </c>
      <c r="BB101" s="106">
        <v>2.8735632183908046E-2</v>
      </c>
      <c r="BC101" s="106">
        <v>34.206896551724135</v>
      </c>
      <c r="BD101" s="106">
        <v>4.0201005025125629E-2</v>
      </c>
      <c r="BE101" s="106">
        <v>47.85527638190954</v>
      </c>
      <c r="BF101" s="106">
        <v>2.4390243902439025E-2</v>
      </c>
      <c r="BG101" s="106">
        <v>29.034146341463412</v>
      </c>
      <c r="BH101" s="106">
        <v>1.6763848396501458E-2</v>
      </c>
      <c r="BI101" s="106">
        <v>19.955685131195334</v>
      </c>
      <c r="BJ101" s="106">
        <v>0</v>
      </c>
      <c r="BK101" s="106">
        <v>0</v>
      </c>
      <c r="BL101" s="106">
        <v>3.6496350364963501E-2</v>
      </c>
      <c r="BM101" s="106">
        <v>43.445255474452544</v>
      </c>
      <c r="BN101" s="106">
        <v>2.6654411764705881E-2</v>
      </c>
      <c r="BO101" s="106">
        <v>31.729411764705876</v>
      </c>
      <c r="BP101" s="106">
        <v>4.1586073500967116E-2</v>
      </c>
      <c r="BQ101" s="106">
        <v>49.504061895551253</v>
      </c>
      <c r="BR101" s="106">
        <v>0</v>
      </c>
      <c r="BS101" s="106">
        <v>0</v>
      </c>
      <c r="BT101" s="106">
        <v>6.560636182902585E-2</v>
      </c>
      <c r="BU101" s="106">
        <v>78.097813121272367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0.10906040268456375</v>
      </c>
      <c r="CA101" s="106">
        <v>129.82550335570468</v>
      </c>
      <c r="CB101" s="106">
        <v>6.053067993366501E-2</v>
      </c>
      <c r="CC101" s="106">
        <v>72.055721393034815</v>
      </c>
      <c r="CD101" s="106">
        <v>5.1959114139693355E-2</v>
      </c>
      <c r="CE101" s="106">
        <v>61.852129471890962</v>
      </c>
      <c r="CF101" s="106">
        <v>2.0771513353115726E-2</v>
      </c>
      <c r="CG101" s="106">
        <v>24.726409495548957</v>
      </c>
      <c r="CH101" s="106">
        <v>1.4040561622464899E-2</v>
      </c>
      <c r="CI101" s="106">
        <v>16.713884555382215</v>
      </c>
      <c r="CJ101" s="106">
        <v>4.2933810375670838E-2</v>
      </c>
      <c r="CK101" s="106">
        <v>51.108407871198558</v>
      </c>
      <c r="CL101" s="106">
        <v>2.0440251572327043E-2</v>
      </c>
      <c r="CM101" s="106">
        <v>24.332075471698108</v>
      </c>
      <c r="CN101" s="106">
        <v>5.9775840597758409E-2</v>
      </c>
      <c r="CO101" s="106">
        <v>71.157160647571601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0.11152416356877323</v>
      </c>
      <c r="CU101" s="106">
        <v>132.75836431226764</v>
      </c>
    </row>
    <row r="102" spans="2:99" x14ac:dyDescent="0.2">
      <c r="C102" s="105" t="s">
        <v>269</v>
      </c>
      <c r="D102" s="106">
        <v>0.44819557625145512</v>
      </c>
      <c r="E102" s="106">
        <v>869.14086146682166</v>
      </c>
      <c r="F102" s="106">
        <v>0.49711538461538463</v>
      </c>
      <c r="G102" s="106">
        <v>964.00615384615378</v>
      </c>
      <c r="H102" s="106">
        <v>0.49003984063745021</v>
      </c>
      <c r="I102" s="106">
        <v>950.2852589641434</v>
      </c>
      <c r="J102" s="106">
        <v>4.0880503144654086E-2</v>
      </c>
      <c r="K102" s="106">
        <v>79.275471698113193</v>
      </c>
      <c r="L102" s="106">
        <v>2.967359050445104E-2</v>
      </c>
      <c r="M102" s="106">
        <v>57.543026706231451</v>
      </c>
      <c r="N102" s="106">
        <v>0</v>
      </c>
      <c r="O102" s="106">
        <v>0</v>
      </c>
      <c r="P102" s="106">
        <v>0</v>
      </c>
      <c r="Q102" s="106">
        <v>0</v>
      </c>
      <c r="R102" s="106">
        <v>4.2622950819672129E-2</v>
      </c>
      <c r="S102" s="106">
        <v>82.654426229508189</v>
      </c>
      <c r="T102" s="106">
        <v>6.8306010928961755E-2</v>
      </c>
      <c r="U102" s="106">
        <v>132.45901639344262</v>
      </c>
      <c r="V102" s="106">
        <v>4.4688026981450253E-2</v>
      </c>
      <c r="W102" s="106">
        <v>86.659021922428323</v>
      </c>
      <c r="X102" s="106">
        <v>4.4217687074829932E-2</v>
      </c>
      <c r="Y102" s="106">
        <v>85.746938775510202</v>
      </c>
      <c r="Z102" s="106">
        <v>3.4126984126984124E-2</v>
      </c>
      <c r="AA102" s="106">
        <v>66.179047619047608</v>
      </c>
      <c r="AB102" s="106">
        <v>1.8264840182648401E-2</v>
      </c>
      <c r="AC102" s="106">
        <v>35.419178082191777</v>
      </c>
      <c r="AD102" s="106">
        <v>1.7241379310344827E-2</v>
      </c>
      <c r="AE102" s="106">
        <v>33.434482758620689</v>
      </c>
      <c r="AF102" s="106">
        <v>1.6975308641975308E-2</v>
      </c>
      <c r="AG102" s="106">
        <v>32.918518518518511</v>
      </c>
      <c r="AH102" s="106">
        <v>1.5625E-2</v>
      </c>
      <c r="AI102" s="106">
        <v>30.299999999999997</v>
      </c>
      <c r="AJ102" s="106">
        <v>2.6410564225690276E-2</v>
      </c>
      <c r="AK102" s="106">
        <v>51.215366146458578</v>
      </c>
      <c r="AL102" s="106">
        <v>0</v>
      </c>
      <c r="AM102" s="106">
        <v>0</v>
      </c>
      <c r="AN102" s="106">
        <v>5.1495016611295678E-2</v>
      </c>
      <c r="AO102" s="106">
        <v>99.859136212624577</v>
      </c>
      <c r="AP102" s="106">
        <v>0</v>
      </c>
      <c r="AQ102" s="106">
        <v>0</v>
      </c>
      <c r="AR102" s="106">
        <v>2.3746701846965697E-2</v>
      </c>
      <c r="AS102" s="106">
        <v>46.049604221635875</v>
      </c>
      <c r="AT102" s="106">
        <v>2.1658415841584157E-2</v>
      </c>
      <c r="AU102" s="106">
        <v>41.999999999999993</v>
      </c>
      <c r="AV102" s="106">
        <v>4.9967126890203814E-2</v>
      </c>
      <c r="AW102" s="106">
        <v>96.896252465483229</v>
      </c>
      <c r="AX102" s="106">
        <v>2.1068859198355602E-2</v>
      </c>
      <c r="AY102" s="106">
        <v>40.856731757451179</v>
      </c>
      <c r="AZ102" s="106">
        <v>0</v>
      </c>
      <c r="BA102" s="106">
        <v>0</v>
      </c>
      <c r="BB102" s="106">
        <v>2.8735632183908046E-2</v>
      </c>
      <c r="BC102" s="106">
        <v>55.724137931034477</v>
      </c>
      <c r="BD102" s="106">
        <v>3.6850921273031828E-2</v>
      </c>
      <c r="BE102" s="106">
        <v>71.461306532663315</v>
      </c>
      <c r="BF102" s="106">
        <v>2.7874564459930314E-2</v>
      </c>
      <c r="BG102" s="106">
        <v>54.054355400696856</v>
      </c>
      <c r="BH102" s="106">
        <v>1.7492711370262391E-2</v>
      </c>
      <c r="BI102" s="106">
        <v>33.921865889212825</v>
      </c>
      <c r="BJ102" s="106">
        <v>0</v>
      </c>
      <c r="BK102" s="106">
        <v>0</v>
      </c>
      <c r="BL102" s="106">
        <v>3.8321167883211681E-2</v>
      </c>
      <c r="BM102" s="106">
        <v>74.312408759124082</v>
      </c>
      <c r="BN102" s="106">
        <v>2.7573529411764705E-2</v>
      </c>
      <c r="BO102" s="106">
        <v>53.470588235294109</v>
      </c>
      <c r="BP102" s="106">
        <v>3.8684719535783368E-2</v>
      </c>
      <c r="BQ102" s="106">
        <v>75.0174081237911</v>
      </c>
      <c r="BR102" s="106">
        <v>0</v>
      </c>
      <c r="BS102" s="106">
        <v>0</v>
      </c>
      <c r="BT102" s="106">
        <v>6.1630218687872766E-2</v>
      </c>
      <c r="BU102" s="106">
        <v>119.51332007952286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0.10570469798657718</v>
      </c>
      <c r="CA102" s="106">
        <v>204.98255033557044</v>
      </c>
      <c r="CB102" s="106">
        <v>5.887230514096186E-2</v>
      </c>
      <c r="CC102" s="106">
        <v>114.16517412935323</v>
      </c>
      <c r="CD102" s="106">
        <v>5.4514480408858604E-2</v>
      </c>
      <c r="CE102" s="106">
        <v>105.71448040885859</v>
      </c>
      <c r="CF102" s="106">
        <v>1.9287833827893175E-2</v>
      </c>
      <c r="CG102" s="106">
        <v>37.402967359050443</v>
      </c>
      <c r="CH102" s="106">
        <v>1.4040561622464899E-2</v>
      </c>
      <c r="CI102" s="106">
        <v>27.227457098283931</v>
      </c>
      <c r="CJ102" s="106">
        <v>3.9355992844364938E-2</v>
      </c>
      <c r="CK102" s="106">
        <v>76.319141323792479</v>
      </c>
      <c r="CL102" s="106">
        <v>2.0440251572327043E-2</v>
      </c>
      <c r="CM102" s="106">
        <v>39.637735849056597</v>
      </c>
      <c r="CN102" s="106">
        <v>5.7285180572851806E-2</v>
      </c>
      <c r="CO102" s="106">
        <v>111.08742216687421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0.11400247831474597</v>
      </c>
      <c r="CU102" s="106">
        <v>221.07360594795537</v>
      </c>
    </row>
    <row r="103" spans="2:99" x14ac:dyDescent="0.2">
      <c r="C103" s="105" t="s">
        <v>270</v>
      </c>
      <c r="D103" s="106">
        <v>0.44819557625145512</v>
      </c>
      <c r="E103" s="106">
        <v>908.94062863795102</v>
      </c>
      <c r="F103" s="106">
        <v>0.50769230769230766</v>
      </c>
      <c r="G103" s="106">
        <v>1029.5999999999999</v>
      </c>
      <c r="H103" s="106">
        <v>0.56175298804780871</v>
      </c>
      <c r="I103" s="106">
        <v>1139.2350597609561</v>
      </c>
      <c r="J103" s="106">
        <v>4.6121593291404611E-2</v>
      </c>
      <c r="K103" s="106">
        <v>93.534591194968556</v>
      </c>
      <c r="L103" s="106">
        <v>2.8684470820969338E-2</v>
      </c>
      <c r="M103" s="106">
        <v>58.17210682492582</v>
      </c>
      <c r="N103" s="106">
        <v>0</v>
      </c>
      <c r="O103" s="106">
        <v>0</v>
      </c>
      <c r="P103" s="106">
        <v>0</v>
      </c>
      <c r="Q103" s="106">
        <v>0</v>
      </c>
      <c r="R103" s="106">
        <v>4.2622950819672129E-2</v>
      </c>
      <c r="S103" s="106">
        <v>86.43934426229508</v>
      </c>
      <c r="T103" s="106">
        <v>7.5136612021857924E-2</v>
      </c>
      <c r="U103" s="106">
        <v>152.37704918032787</v>
      </c>
      <c r="V103" s="106">
        <v>4.2158516020236091E-2</v>
      </c>
      <c r="W103" s="106">
        <v>85.49747048903879</v>
      </c>
      <c r="X103" s="106">
        <v>3.826530612244898E-2</v>
      </c>
      <c r="Y103" s="106">
        <v>77.602040816326536</v>
      </c>
      <c r="Z103" s="106">
        <v>3.4920634920634921E-2</v>
      </c>
      <c r="AA103" s="106">
        <v>70.819047619047623</v>
      </c>
      <c r="AB103" s="106">
        <v>1.5981735159817351E-2</v>
      </c>
      <c r="AC103" s="106">
        <v>32.410958904109584</v>
      </c>
      <c r="AD103" s="106">
        <v>1.5517241379310345E-2</v>
      </c>
      <c r="AE103" s="106">
        <v>31.468965517241379</v>
      </c>
      <c r="AF103" s="106">
        <v>1.6975308641975308E-2</v>
      </c>
      <c r="AG103" s="106">
        <v>34.425925925925924</v>
      </c>
      <c r="AH103" s="106">
        <v>1.7578125E-2</v>
      </c>
      <c r="AI103" s="106">
        <v>35.6484375</v>
      </c>
      <c r="AJ103" s="106">
        <v>3.1212484993997598E-2</v>
      </c>
      <c r="AK103" s="106">
        <v>63.298919567827127</v>
      </c>
      <c r="AL103" s="106">
        <v>0</v>
      </c>
      <c r="AM103" s="106">
        <v>0</v>
      </c>
      <c r="AN103" s="106">
        <v>5.1495016611295678E-2</v>
      </c>
      <c r="AO103" s="106">
        <v>104.43189368770764</v>
      </c>
      <c r="AP103" s="106">
        <v>0</v>
      </c>
      <c r="AQ103" s="106">
        <v>0</v>
      </c>
      <c r="AR103" s="106">
        <v>2.0052770448548814E-2</v>
      </c>
      <c r="AS103" s="106">
        <v>40.667018469656995</v>
      </c>
      <c r="AT103" s="106">
        <v>2.0420792079207922E-2</v>
      </c>
      <c r="AU103" s="106">
        <v>41.413366336633665</v>
      </c>
      <c r="AV103" s="106">
        <v>4.4707429322813935E-2</v>
      </c>
      <c r="AW103" s="106">
        <v>90.666666666666657</v>
      </c>
      <c r="AX103" s="106">
        <v>2.1068859198355602E-2</v>
      </c>
      <c r="AY103" s="106">
        <v>42.727646454265162</v>
      </c>
      <c r="AZ103" s="106">
        <v>0</v>
      </c>
      <c r="BA103" s="106">
        <v>0</v>
      </c>
      <c r="BB103" s="106">
        <v>2.681992337164751E-2</v>
      </c>
      <c r="BC103" s="106">
        <v>54.390804597701148</v>
      </c>
      <c r="BD103" s="106">
        <v>4.0201005025125629E-2</v>
      </c>
      <c r="BE103" s="106">
        <v>81.527638190954775</v>
      </c>
      <c r="BF103" s="106">
        <v>2.2648083623693381E-2</v>
      </c>
      <c r="BG103" s="106">
        <v>45.930313588850176</v>
      </c>
      <c r="BH103" s="106">
        <v>1.7492711370262391E-2</v>
      </c>
      <c r="BI103" s="106">
        <v>35.475218658892132</v>
      </c>
      <c r="BJ103" s="106">
        <v>0</v>
      </c>
      <c r="BK103" s="106">
        <v>0</v>
      </c>
      <c r="BL103" s="106">
        <v>3.2846715328467155E-2</v>
      </c>
      <c r="BM103" s="106">
        <v>66.613138686131393</v>
      </c>
      <c r="BN103" s="106">
        <v>2.4816176470588234E-2</v>
      </c>
      <c r="BO103" s="106">
        <v>50.327205882352935</v>
      </c>
      <c r="BP103" s="106">
        <v>3.6750483558994199E-2</v>
      </c>
      <c r="BQ103" s="106">
        <v>74.529980657640237</v>
      </c>
      <c r="BR103" s="106">
        <v>0</v>
      </c>
      <c r="BS103" s="106">
        <v>0</v>
      </c>
      <c r="BT103" s="106">
        <v>6.7594433399602388E-2</v>
      </c>
      <c r="BU103" s="106">
        <v>137.08151093439363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0.10234899328859061</v>
      </c>
      <c r="CA103" s="106">
        <v>207.56375838926175</v>
      </c>
      <c r="CB103" s="106">
        <v>5.4726368159203981E-2</v>
      </c>
      <c r="CC103" s="106">
        <v>110.98507462686567</v>
      </c>
      <c r="CD103" s="106">
        <v>5.3662691652470187E-2</v>
      </c>
      <c r="CE103" s="106">
        <v>108.82793867120954</v>
      </c>
      <c r="CF103" s="106">
        <v>1.9287833827893175E-2</v>
      </c>
      <c r="CG103" s="106">
        <v>39.115727002967361</v>
      </c>
      <c r="CH103" s="106">
        <v>1.4040561622464899E-2</v>
      </c>
      <c r="CI103" s="106">
        <v>28.474258970358814</v>
      </c>
      <c r="CJ103" s="106">
        <v>3.5778175313059032E-2</v>
      </c>
      <c r="CK103" s="106">
        <v>72.558139534883722</v>
      </c>
      <c r="CL103" s="106">
        <v>1.8867924528301886E-2</v>
      </c>
      <c r="CM103" s="106">
        <v>38.264150943396224</v>
      </c>
      <c r="CN103" s="106">
        <v>5.1058530510585308E-2</v>
      </c>
      <c r="CO103" s="106">
        <v>103.546699875467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0.11400247831474597</v>
      </c>
      <c r="CU103" s="106">
        <v>231.19702602230484</v>
      </c>
    </row>
    <row r="104" spans="2:99" x14ac:dyDescent="0.2">
      <c r="C104" s="105" t="s">
        <v>271</v>
      </c>
      <c r="D104" s="106">
        <v>0.43538998835855647</v>
      </c>
      <c r="E104" s="106">
        <v>902.30221187427242</v>
      </c>
      <c r="F104" s="106">
        <v>0.50769230769230766</v>
      </c>
      <c r="G104" s="106">
        <v>1052.1415384615384</v>
      </c>
      <c r="H104" s="106">
        <v>0.54980079681274896</v>
      </c>
      <c r="I104" s="106">
        <v>1139.4071713147409</v>
      </c>
      <c r="J104" s="106">
        <v>4.716981132075472E-2</v>
      </c>
      <c r="K104" s="106">
        <v>97.754716981132091</v>
      </c>
      <c r="L104" s="106">
        <v>2.8684470820969338E-2</v>
      </c>
      <c r="M104" s="106">
        <v>59.445697329376856</v>
      </c>
      <c r="N104" s="106">
        <v>0</v>
      </c>
      <c r="O104" s="106">
        <v>0</v>
      </c>
      <c r="P104" s="106">
        <v>0</v>
      </c>
      <c r="Q104" s="106">
        <v>0</v>
      </c>
      <c r="R104" s="106">
        <v>3.7704918032786888E-2</v>
      </c>
      <c r="S104" s="106">
        <v>78.139672131147549</v>
      </c>
      <c r="T104" s="106">
        <v>7.5136612021857924E-2</v>
      </c>
      <c r="U104" s="106">
        <v>155.71311475409837</v>
      </c>
      <c r="V104" s="106">
        <v>4.3844856661045532E-2</v>
      </c>
      <c r="W104" s="106">
        <v>90.864080944350761</v>
      </c>
      <c r="X104" s="106">
        <v>4.2517006802721087E-2</v>
      </c>
      <c r="Y104" s="106">
        <v>88.112244897959187</v>
      </c>
      <c r="Z104" s="106">
        <v>3.3333333333333333E-2</v>
      </c>
      <c r="AA104" s="106">
        <v>69.08</v>
      </c>
      <c r="AB104" s="106">
        <v>1.5981735159817351E-2</v>
      </c>
      <c r="AC104" s="106">
        <v>33.12054794520548</v>
      </c>
      <c r="AD104" s="106">
        <v>1.896551724137931E-2</v>
      </c>
      <c r="AE104" s="106">
        <v>39.304137931034482</v>
      </c>
      <c r="AF104" s="106">
        <v>1.8518518518518517E-2</v>
      </c>
      <c r="AG104" s="106">
        <v>38.37777777777778</v>
      </c>
      <c r="AH104" s="106">
        <v>1.5625E-2</v>
      </c>
      <c r="AI104" s="106">
        <v>32.381250000000001</v>
      </c>
      <c r="AJ104" s="106">
        <v>2.8811524609843937E-2</v>
      </c>
      <c r="AK104" s="106">
        <v>59.709003601440578</v>
      </c>
      <c r="AL104" s="106">
        <v>0</v>
      </c>
      <c r="AM104" s="106">
        <v>0</v>
      </c>
      <c r="AN104" s="106">
        <v>5.647840531561462E-2</v>
      </c>
      <c r="AO104" s="106">
        <v>117.04584717607975</v>
      </c>
      <c r="AP104" s="106">
        <v>0</v>
      </c>
      <c r="AQ104" s="106">
        <v>0</v>
      </c>
      <c r="AR104" s="106">
        <v>2.2691292875989446E-2</v>
      </c>
      <c r="AS104" s="106">
        <v>47.025435356200532</v>
      </c>
      <c r="AT104" s="106">
        <v>1.8564356435643563E-2</v>
      </c>
      <c r="AU104" s="106">
        <v>38.472772277227726</v>
      </c>
      <c r="AV104" s="106">
        <v>4.4707429322813935E-2</v>
      </c>
      <c r="AW104" s="106">
        <v>92.651676528599609</v>
      </c>
      <c r="AX104" s="106">
        <v>1.8499486125385406E-2</v>
      </c>
      <c r="AY104" s="106">
        <v>38.338335046248716</v>
      </c>
      <c r="AZ104" s="106">
        <v>0</v>
      </c>
      <c r="BA104" s="106">
        <v>0</v>
      </c>
      <c r="BB104" s="106">
        <v>2.681992337164751E-2</v>
      </c>
      <c r="BC104" s="106">
        <v>55.581609195402301</v>
      </c>
      <c r="BD104" s="106">
        <v>3.6850921273031828E-2</v>
      </c>
      <c r="BE104" s="106">
        <v>76.369849246231169</v>
      </c>
      <c r="BF104" s="106">
        <v>2.4390243902439025E-2</v>
      </c>
      <c r="BG104" s="106">
        <v>50.546341463414635</v>
      </c>
      <c r="BH104" s="106">
        <v>1.5306122448979591E-2</v>
      </c>
      <c r="BI104" s="106">
        <v>31.720408163265308</v>
      </c>
      <c r="BJ104" s="106">
        <v>0</v>
      </c>
      <c r="BK104" s="106">
        <v>0</v>
      </c>
      <c r="BL104" s="106">
        <v>3.8321167883211681E-2</v>
      </c>
      <c r="BM104" s="106">
        <v>79.416788321167886</v>
      </c>
      <c r="BN104" s="106">
        <v>2.5735294117647058E-2</v>
      </c>
      <c r="BO104" s="106">
        <v>53.333823529411767</v>
      </c>
      <c r="BP104" s="106">
        <v>3.9651837524177946E-2</v>
      </c>
      <c r="BQ104" s="106">
        <v>82.174468085106383</v>
      </c>
      <c r="BR104" s="106">
        <v>0</v>
      </c>
      <c r="BS104" s="106">
        <v>0</v>
      </c>
      <c r="BT104" s="106">
        <v>5.9642147117296221E-2</v>
      </c>
      <c r="BU104" s="106">
        <v>123.6023856858847</v>
      </c>
      <c r="BV104" s="106">
        <v>0</v>
      </c>
      <c r="BW104" s="106">
        <v>0</v>
      </c>
      <c r="BX104" s="106">
        <v>0</v>
      </c>
      <c r="BY104" s="106">
        <v>0</v>
      </c>
      <c r="BZ104" s="106">
        <v>8.8926174496644292E-2</v>
      </c>
      <c r="CA104" s="106">
        <v>184.29060402684564</v>
      </c>
      <c r="CB104" s="106">
        <v>6.053067993366501E-2</v>
      </c>
      <c r="CC104" s="106">
        <v>125.44378109452737</v>
      </c>
      <c r="CD104" s="106">
        <v>4.5996592844974447E-2</v>
      </c>
      <c r="CE104" s="106">
        <v>95.323339011925043</v>
      </c>
      <c r="CF104" s="106">
        <v>1.7804154302670624E-2</v>
      </c>
      <c r="CG104" s="106">
        <v>36.8973293768546</v>
      </c>
      <c r="CH104" s="106">
        <v>1.4040561622464899E-2</v>
      </c>
      <c r="CI104" s="106">
        <v>29.09765990639626</v>
      </c>
      <c r="CJ104" s="106">
        <v>3.5778175313059032E-2</v>
      </c>
      <c r="CK104" s="106">
        <v>74.146690518783544</v>
      </c>
      <c r="CL104" s="106">
        <v>2.0440251572327043E-2</v>
      </c>
      <c r="CM104" s="106">
        <v>42.360377358490567</v>
      </c>
      <c r="CN104" s="106">
        <v>4.9813200498132003E-2</v>
      </c>
      <c r="CO104" s="106">
        <v>103.23287671232876</v>
      </c>
      <c r="CP104" s="106">
        <v>0</v>
      </c>
      <c r="CQ104" s="106">
        <v>0</v>
      </c>
      <c r="CR104" s="106">
        <v>0</v>
      </c>
      <c r="CS104" s="106">
        <v>0</v>
      </c>
      <c r="CT104" s="106">
        <v>9.4175960346964058E-2</v>
      </c>
      <c r="CU104" s="106">
        <v>195.17026022304833</v>
      </c>
    </row>
    <row r="105" spans="2:99" x14ac:dyDescent="0.2">
      <c r="C105" s="105" t="s">
        <v>272</v>
      </c>
      <c r="D105" s="106">
        <v>0.43538998835855647</v>
      </c>
      <c r="E105" s="106">
        <v>869.90919674039583</v>
      </c>
      <c r="F105" s="106">
        <v>0.48653846153846159</v>
      </c>
      <c r="G105" s="106">
        <v>972.10384615384623</v>
      </c>
      <c r="H105" s="106">
        <v>0.57370517928286846</v>
      </c>
      <c r="I105" s="106">
        <v>1146.2629482071711</v>
      </c>
      <c r="J105" s="106">
        <v>4.716981132075472E-2</v>
      </c>
      <c r="K105" s="106">
        <v>94.245283018867937</v>
      </c>
      <c r="L105" s="106">
        <v>3.165182987141444E-2</v>
      </c>
      <c r="M105" s="106">
        <v>63.240356083086048</v>
      </c>
      <c r="N105" s="106">
        <v>0</v>
      </c>
      <c r="O105" s="106">
        <v>0</v>
      </c>
      <c r="P105" s="106">
        <v>0</v>
      </c>
      <c r="Q105" s="106">
        <v>0</v>
      </c>
      <c r="R105" s="106">
        <v>4.5901639344262293E-2</v>
      </c>
      <c r="S105" s="106">
        <v>91.711475409836055</v>
      </c>
      <c r="T105" s="106">
        <v>6.8306010928961755E-2</v>
      </c>
      <c r="U105" s="106">
        <v>136.47540983606558</v>
      </c>
      <c r="V105" s="106">
        <v>4.7217537942664416E-2</v>
      </c>
      <c r="W105" s="106">
        <v>94.340640809443499</v>
      </c>
      <c r="X105" s="106">
        <v>4.4217687074829932E-2</v>
      </c>
      <c r="Y105" s="106">
        <v>88.34693877551021</v>
      </c>
      <c r="Z105" s="106">
        <v>3.4920634920634921E-2</v>
      </c>
      <c r="AA105" s="106">
        <v>69.771428571428572</v>
      </c>
      <c r="AB105" s="106">
        <v>1.8264840182648401E-2</v>
      </c>
      <c r="AC105" s="106">
        <v>36.493150684931507</v>
      </c>
      <c r="AD105" s="106">
        <v>1.896551724137931E-2</v>
      </c>
      <c r="AE105" s="106">
        <v>37.893103448275859</v>
      </c>
      <c r="AF105" s="106">
        <v>1.8518518518518517E-2</v>
      </c>
      <c r="AG105" s="106">
        <v>37</v>
      </c>
      <c r="AH105" s="106">
        <v>1.7578125E-2</v>
      </c>
      <c r="AI105" s="106">
        <v>35.12109375</v>
      </c>
      <c r="AJ105" s="106">
        <v>2.8811524609843937E-2</v>
      </c>
      <c r="AK105" s="106">
        <v>57.565426170468186</v>
      </c>
      <c r="AL105" s="106">
        <v>0</v>
      </c>
      <c r="AM105" s="106">
        <v>0</v>
      </c>
      <c r="AN105" s="106">
        <v>5.3156146179401995E-2</v>
      </c>
      <c r="AO105" s="106">
        <v>106.20598006644518</v>
      </c>
      <c r="AP105" s="106">
        <v>0</v>
      </c>
      <c r="AQ105" s="106">
        <v>0</v>
      </c>
      <c r="AR105" s="106">
        <v>2.0052770448548814E-2</v>
      </c>
      <c r="AS105" s="106">
        <v>40.065435356200531</v>
      </c>
      <c r="AT105" s="106">
        <v>2.1039603960396041E-2</v>
      </c>
      <c r="AU105" s="106">
        <v>42.037128712871286</v>
      </c>
      <c r="AV105" s="106">
        <v>4.4707429322813935E-2</v>
      </c>
      <c r="AW105" s="106">
        <v>89.325443786982248</v>
      </c>
      <c r="AX105" s="106">
        <v>1.8499486125385406E-2</v>
      </c>
      <c r="AY105" s="106">
        <v>36.961973278520041</v>
      </c>
      <c r="AZ105" s="106">
        <v>0</v>
      </c>
      <c r="BA105" s="106">
        <v>0</v>
      </c>
      <c r="BB105" s="106">
        <v>3.0651340996168581E-2</v>
      </c>
      <c r="BC105" s="106">
        <v>61.241379310344826</v>
      </c>
      <c r="BD105" s="106">
        <v>3.350083752093802E-2</v>
      </c>
      <c r="BE105" s="106">
        <v>66.934673366834161</v>
      </c>
      <c r="BF105" s="106">
        <v>2.6132404181184669E-2</v>
      </c>
      <c r="BG105" s="106">
        <v>52.21254355400697</v>
      </c>
      <c r="BH105" s="106">
        <v>1.7492711370262391E-2</v>
      </c>
      <c r="BI105" s="106">
        <v>34.950437317784257</v>
      </c>
      <c r="BJ105" s="106">
        <v>0</v>
      </c>
      <c r="BK105" s="106">
        <v>0</v>
      </c>
      <c r="BL105" s="106">
        <v>3.8321167883211681E-2</v>
      </c>
      <c r="BM105" s="106">
        <v>76.565693430656935</v>
      </c>
      <c r="BN105" s="106">
        <v>2.8492647058823529E-2</v>
      </c>
      <c r="BO105" s="106">
        <v>56.928308823529413</v>
      </c>
      <c r="BP105" s="106">
        <v>4.0618955512572531E-2</v>
      </c>
      <c r="BQ105" s="106">
        <v>81.156673114119911</v>
      </c>
      <c r="BR105" s="106">
        <v>0</v>
      </c>
      <c r="BS105" s="106">
        <v>0</v>
      </c>
      <c r="BT105" s="106">
        <v>6.7594433399602388E-2</v>
      </c>
      <c r="BU105" s="106">
        <v>135.05367793240558</v>
      </c>
      <c r="BV105" s="106">
        <v>0</v>
      </c>
      <c r="BW105" s="106">
        <v>0</v>
      </c>
      <c r="BX105" s="106">
        <v>0</v>
      </c>
      <c r="BY105" s="106">
        <v>0</v>
      </c>
      <c r="BZ105" s="106">
        <v>8.8926174496644292E-2</v>
      </c>
      <c r="CA105" s="106">
        <v>177.67449664429529</v>
      </c>
      <c r="CB105" s="106">
        <v>5.8043117744610281E-2</v>
      </c>
      <c r="CC105" s="106">
        <v>115.97014925373134</v>
      </c>
      <c r="CD105" s="106">
        <v>5.3662691652470187E-2</v>
      </c>
      <c r="CE105" s="106">
        <v>107.21805792163543</v>
      </c>
      <c r="CF105" s="106">
        <v>1.7804154302670624E-2</v>
      </c>
      <c r="CG105" s="106">
        <v>35.57270029673591</v>
      </c>
      <c r="CH105" s="106">
        <v>1.2480499219968799E-2</v>
      </c>
      <c r="CI105" s="106">
        <v>24.93603744149766</v>
      </c>
      <c r="CJ105" s="106">
        <v>4.2933810375670838E-2</v>
      </c>
      <c r="CK105" s="106">
        <v>85.781753130590332</v>
      </c>
      <c r="CL105" s="106">
        <v>2.0440251572327043E-2</v>
      </c>
      <c r="CM105" s="106">
        <v>40.839622641509429</v>
      </c>
      <c r="CN105" s="106">
        <v>5.3549190535491904E-2</v>
      </c>
      <c r="CO105" s="106">
        <v>106.99128268991282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0.10656753407682776</v>
      </c>
      <c r="CU105" s="106">
        <v>212.92193308550185</v>
      </c>
    </row>
    <row r="107" spans="2:99" x14ac:dyDescent="0.2">
      <c r="B107" s="110" t="s">
        <v>277</v>
      </c>
    </row>
    <row r="108" spans="2:99" x14ac:dyDescent="0.2">
      <c r="C108" s="105" t="s">
        <v>278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4.8415513367371235</v>
      </c>
      <c r="E112" s="106">
        <f>SUM(L$49:L$70)+SUM(N$49:N$70)+SUM(P$49:P$70)+SUM(R$49:R$70)</f>
        <v>7.3935885586418254E-2</v>
      </c>
      <c r="F112" s="106">
        <f>SUM(T$49:T$70)+SUM(V$49:V$70)+SUM(X$49:X$70)+SUM(Z$49:Z$70)</f>
        <v>0.10085138073880665</v>
      </c>
      <c r="G112" s="106">
        <f>SUM(AB$49:AB$70)+SUM(AD$49:AD$70)+SUM(AF$49:AF$70)+SUM(AH$49:AH$70)</f>
        <v>0.14519105969751045</v>
      </c>
      <c r="H112" s="106">
        <f>SUM(AJ$49:AJ$70)+SUM(AL$49:AL$70)+SUM(AN$49:AN$70)+SUM(AP$49:AP$70)</f>
        <v>0.24507942711968508</v>
      </c>
      <c r="I112" s="106">
        <f>SUM(AR$49:AR$70)+SUM(AT$49:AT$70)+SUM(AV$49:AV$70)+SUM(AX$49:AX$70)</f>
        <v>0.23008575128856076</v>
      </c>
      <c r="J112" s="106">
        <f>SUM(AZ$49:AZ$70)+SUM(BB$49:BB$70)+SUM(BD$49:BD$70)+SUM(BF$49:BF$70)</f>
        <v>0.23131805717146212</v>
      </c>
      <c r="K112" s="106">
        <f>SUM(BH$49:BH$70)+SUM(BJ$49:BJ$70)+SUM(BL$49:BL$70)+SUM(BN$49:BN$70)</f>
        <v>0.17868309341463384</v>
      </c>
      <c r="L112" s="106">
        <f>SUM(BP$49:BP$70)+SUM(BR$49:BR$70)+SUM(BT$49:BT$70)+SUM(BV$49:BV$70)</f>
        <v>0.16129912978608041</v>
      </c>
      <c r="M112" s="106">
        <f>SUM(BX$49:BX$70)+SUM(BZ$49:BZ$70)+SUM(CB$49:CB$70)+SUM(CD$49:CD$70)</f>
        <v>0.3303723560793459</v>
      </c>
      <c r="N112" s="106">
        <f>SUM(CF$49:CF$70)+SUM(CH$49:CH$70)+SUM(CJ$49:CJ$70)+SUM(CL$49:CL$70)</f>
        <v>0.51123034005020462</v>
      </c>
      <c r="O112" s="106">
        <f>SUM(CN$49:CN$70)+SUM(CP$49:CP$70)+SUM(CR$49:CR$70)+SUM(CT$49:CT$70)</f>
        <v>0.20477577115556442</v>
      </c>
    </row>
    <row r="113" spans="2:15" x14ac:dyDescent="0.2">
      <c r="C113" s="105" t="s">
        <v>130</v>
      </c>
      <c r="D113" s="106">
        <f>SUM(D$71:D$86)+SUM(F$71:F$86)+SUM(H$71:H$86)+SUM(J$71:J$86)</f>
        <v>10.076139486033524</v>
      </c>
      <c r="E113" s="106">
        <f>SUM(L$71:L$86)+SUM(N$71:N$86)+SUM(P$71:P$86)+SUM(R$71:R$86)</f>
        <v>1.2209158275364431</v>
      </c>
      <c r="F113" s="106">
        <f>SUM(T$71:T$86)+SUM(V$71:V$86)+SUM(X$71:X$86)+SUM(Z$71:Z$86)</f>
        <v>1.0679593397638822</v>
      </c>
      <c r="G113" s="106">
        <f>SUM(AB$71:AB$86)+SUM(AD$71:AD$86)+SUM(AF$71:AF$86)+SUM(AH$71:AH$86)</f>
        <v>1.9326597918379727</v>
      </c>
      <c r="H113" s="106">
        <f>SUM(AJ$71:AJ$86)+SUM(AL$71:AL$86)+SUM(AN$71:AN$86)+SUM(AP$71:AP$86)</f>
        <v>0.53942041933052276</v>
      </c>
      <c r="I113" s="106">
        <f>SUM(AR$71:AR$86)+SUM(AT$71:AT$86)+SUM(AV$71:AV$86)+SUM(AX$71:AX$86)</f>
        <v>3.2538759343166976</v>
      </c>
      <c r="J113" s="106">
        <f>SUM(AZ$71:AZ$86)+SUM(BB$71:BB$86)+SUM(BD$71:BD$86)+SUM(BF$71:BF$86)</f>
        <v>1.2087514481105648</v>
      </c>
      <c r="K113" s="106">
        <f>SUM(BH$71:BH$86)+SUM(BJ$71:BJ$86)+SUM(BL$71:BL$86)+SUM(BN$71:BN$86)</f>
        <v>2.2782735030925823</v>
      </c>
      <c r="L113" s="106">
        <f>SUM(BP$71:BP$86)+SUM(BR$71:BR$86)+SUM(BT$71:BT$86)+SUM(BV$71:BV$86)</f>
        <v>0.63595602401067475</v>
      </c>
      <c r="M113" s="106">
        <f>SUM(BX$71:BX$86)+SUM(BZ$71:BZ$86)+SUM(CB$71:CB$86)+SUM(CD$71:CD$86)</f>
        <v>0.90934222382100305</v>
      </c>
      <c r="N113" s="106">
        <f>SUM(CF$71:CF$86)+SUM(CH$71:CH$86)+SUM(CJ$71:CJ$86)+SUM(CL$71:CL$86)</f>
        <v>1.6275332660861259</v>
      </c>
      <c r="O113" s="106">
        <f>SUM(CN$71:CN$86)+SUM(CP$71:CP$86)+SUM(CR$71:CR$86)+SUM(CT$71:CT$86)</f>
        <v>0.79423352020999327</v>
      </c>
    </row>
    <row r="114" spans="2:15" x14ac:dyDescent="0.2">
      <c r="C114" s="105" t="s">
        <v>131</v>
      </c>
      <c r="D114" s="106">
        <f>SUM(D$87:D$94)+SUM(F$87:F$94)+SUM(H$87:H$94)+SUM(J$87:J$94)</f>
        <v>3.4076927225135969</v>
      </c>
      <c r="E114" s="106">
        <f>SUM(L$87:L$94)+SUM(N$87:N$94)+SUM(P$87:P$94)+SUM(R$87:R$94)</f>
        <v>0.88820839616675573</v>
      </c>
      <c r="F114" s="106">
        <f>SUM(T$87:T$94)+SUM(V$87:V$94)+SUM(X$87:X$94)+SUM(Z$87:Z$94)</f>
        <v>1.6936851021981605</v>
      </c>
      <c r="G114" s="106">
        <f>SUM(AB$87:AB$94)+SUM(AD$87:AD$94)+SUM(AF$87:AF$94)+SUM(AH$87:AH$94)</f>
        <v>1.1508506743980242</v>
      </c>
      <c r="H114" s="106">
        <f>SUM(AJ$87:AJ$94)+SUM(AL$87:AL$94)+SUM(AN$87:AN$94)+SUM(AP$87:AP$94)</f>
        <v>1.288938831346492</v>
      </c>
      <c r="I114" s="106">
        <f>SUM(AR$87:AR$94)+SUM(AT$87:AT$94)+SUM(AV$87:AV$94)+SUM(AX$87:AX$94)</f>
        <v>0.31226451479138645</v>
      </c>
      <c r="J114" s="106">
        <f>SUM(AZ$87:AZ$94)+SUM(BB$87:BB$94)+SUM(BD$87:BD$94)+SUM(BF$87:BF$94)</f>
        <v>1.5627453754548437</v>
      </c>
      <c r="K114" s="106">
        <f>SUM(BH$87:BH$94)+SUM(BJ$87:BJ$94)+SUM(BL$87:BL$94)+SUM(BN$87:BN$94)</f>
        <v>0.64434905870585979</v>
      </c>
      <c r="L114" s="106">
        <f>SUM(BP$87:BP$94)+SUM(BR$87:BR$94)+SUM(BT$87:BT$94)+SUM(BV$87:BV$94)</f>
        <v>1.068546169789772</v>
      </c>
      <c r="M114" s="106">
        <f>SUM(BX$87:BX$94)+SUM(BZ$87:BZ$94)+SUM(CB$87:CB$94)+SUM(CD$87:CD$94)</f>
        <v>0.4564437283302113</v>
      </c>
      <c r="N114" s="106">
        <f>SUM(CF$87:CF$94)+SUM(CH$87:CH$94)+SUM(CJ$87:CJ$94)+SUM(CL$87:CL$94)</f>
        <v>1.8413628770123232</v>
      </c>
      <c r="O114" s="106">
        <f>SUM(CN$87:CN$94)+SUM(CP$87:CP$94)+SUM(CR$87:CR$94)+SUM(CT$87:CT$94)</f>
        <v>0.23588433090902919</v>
      </c>
    </row>
    <row r="115" spans="2:15" x14ac:dyDescent="0.2">
      <c r="C115" s="105" t="s">
        <v>132</v>
      </c>
      <c r="D115" s="106">
        <f>SUM(D$95:D$105)+SUM(F$95:F$105)+SUM(H$95:H$105)+SUM(J$95:J$105)</f>
        <v>16.674616454715757</v>
      </c>
      <c r="E115" s="106">
        <f>SUM(L$95:L$105)+SUM(N$95:N$105)+SUM(P$95:P$105)+SUM(R$95:R$105)</f>
        <v>0.81693989071038253</v>
      </c>
      <c r="F115" s="106">
        <f>SUM(T$95:T$105)+SUM(V$95:V$105)+SUM(X$95:X$105)+SUM(Z$95:Z$105)</f>
        <v>2.1375041772991508</v>
      </c>
      <c r="G115" s="106">
        <f>SUM(AB$95:AB$105)+SUM(AD$95:AD$105)+SUM(AF$95:AF$105)+SUM(AH$95:AH$105)</f>
        <v>0.77129847406649288</v>
      </c>
      <c r="H115" s="106">
        <f>SUM(AJ$95:AJ$105)+SUM(AL$95:AL$105)+SUM(AN$95:AN$105)+SUM(AP$95:AP$105)</f>
        <v>0.92656132220330001</v>
      </c>
      <c r="I115" s="106">
        <f>SUM(AR$95:AR$105)+SUM(AT$95:AT$105)+SUM(AV$95:AV$105)+SUM(AX$95:AX$105)</f>
        <v>1.2037737996033553</v>
      </c>
      <c r="J115" s="106">
        <f>SUM(AZ$95:AZ$105)+SUM(BB$95:BB$105)+SUM(BD$95:BD$105)+SUM(BF$95:BF$105)</f>
        <v>0.99718511926312914</v>
      </c>
      <c r="K115" s="106">
        <f>SUM(BH$95:BH$105)+SUM(BJ$95:BJ$105)+SUM(BL$95:BL$105)+SUM(BN$95:BN$105)</f>
        <v>0.89869434478692412</v>
      </c>
      <c r="L115" s="106">
        <f>SUM(BP$95:BP$105)+SUM(BR$95:BR$105)+SUM(BT$95:BT$105)+SUM(BV$95:BV$105)</f>
        <v>1.1341986764134726</v>
      </c>
      <c r="M115" s="106">
        <f>SUM(BX$95:BX$105)+SUM(BZ$95:BZ$105)+SUM(CB$95:CB$105)+SUM(CD$95:CD$105)</f>
        <v>2.3038416917694398</v>
      </c>
      <c r="N115" s="106">
        <f>SUM(CF$95:CF$105)+SUM(CH$95:CH$105)+SUM(CJ$95:CJ$105)+SUM(CL$95:CL$105)</f>
        <v>1.019873516851346</v>
      </c>
      <c r="O115" s="106">
        <f>SUM(CN$95:CN$105)+SUM(CP$95:CP$105)+SUM(CR$95:CR$105)+SUM(CT$95:CT$105)</f>
        <v>1.7651063777254132</v>
      </c>
    </row>
    <row r="116" spans="2:15" x14ac:dyDescent="0.2">
      <c r="C116" s="105" t="s">
        <v>279</v>
      </c>
      <c r="D116" s="106">
        <f t="shared" ref="D116:O116" si="0">SUM(D$109:D$115)</f>
        <v>35</v>
      </c>
      <c r="E116" s="106">
        <f t="shared" si="0"/>
        <v>2.9999999999999996</v>
      </c>
      <c r="F116" s="106">
        <f t="shared" si="0"/>
        <v>5</v>
      </c>
      <c r="G116" s="106">
        <f t="shared" si="0"/>
        <v>4</v>
      </c>
      <c r="H116" s="106">
        <f t="shared" si="0"/>
        <v>3</v>
      </c>
      <c r="I116" s="106">
        <f t="shared" si="0"/>
        <v>5</v>
      </c>
      <c r="J116" s="106">
        <f t="shared" si="0"/>
        <v>4</v>
      </c>
      <c r="K116" s="106">
        <f t="shared" si="0"/>
        <v>4</v>
      </c>
      <c r="L116" s="106">
        <f t="shared" si="0"/>
        <v>3</v>
      </c>
      <c r="M116" s="106">
        <f t="shared" si="0"/>
        <v>4</v>
      </c>
      <c r="N116" s="106">
        <f t="shared" si="0"/>
        <v>5</v>
      </c>
      <c r="O116" s="106">
        <f t="shared" si="0"/>
        <v>3</v>
      </c>
    </row>
    <row r="118" spans="2:15" x14ac:dyDescent="0.2">
      <c r="B118" s="109" t="s">
        <v>280</v>
      </c>
    </row>
    <row r="119" spans="2:15" x14ac:dyDescent="0.2">
      <c r="C119" s="105" t="s">
        <v>278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13397.2237396076</v>
      </c>
      <c r="E123" s="106">
        <f>E112*pricing!E18*2000</f>
        <v>399.67828152479001</v>
      </c>
      <c r="F123" s="106">
        <f>F112*pricing!F18*2000</f>
        <v>625.28673887776404</v>
      </c>
      <c r="G123" s="106">
        <f>G112*pricing!G18*2000</f>
        <v>1014.8770088407608</v>
      </c>
      <c r="H123" s="106">
        <f>H112*pricing!H18*2000</f>
        <v>919.04601773466436</v>
      </c>
      <c r="I123" s="106">
        <f>I112*pricing!I18*2000</f>
        <v>883.01388642159975</v>
      </c>
      <c r="J123" s="106">
        <f>J112*pricing!J18*2000</f>
        <v>1157.5062351968954</v>
      </c>
      <c r="K123" s="106">
        <f>K112*pricing!K18*2000</f>
        <v>720.15197088368984</v>
      </c>
      <c r="L123" s="106">
        <f>L112*pricing!L18*2000</f>
        <v>737.01642013060257</v>
      </c>
      <c r="M123" s="106">
        <f>M112*pricing!M18*2000</f>
        <v>1135.1969039390208</v>
      </c>
      <c r="N123" s="106">
        <f>N112*pricing!N18*2000</f>
        <v>2097.383410138983</v>
      </c>
      <c r="O123" s="106">
        <f>O112*pricing!O18*2000</f>
        <v>1026.5367160975427</v>
      </c>
    </row>
    <row r="124" spans="2:15" x14ac:dyDescent="0.2">
      <c r="C124" s="105" t="s">
        <v>130</v>
      </c>
      <c r="D124" s="106">
        <f>D113*pricing!D19*2000</f>
        <v>49335.576762152887</v>
      </c>
      <c r="E124" s="106">
        <f>E113*pricing!E19*2000</f>
        <v>5077.9613696350225</v>
      </c>
      <c r="F124" s="106">
        <f>F113*pricing!F19*2000</f>
        <v>5479.0663782864867</v>
      </c>
      <c r="G124" s="106">
        <f>G113*pricing!G19*2000</f>
        <v>11270.633315585123</v>
      </c>
      <c r="H124" s="106">
        <f>H113*pricing!H19*2000</f>
        <v>3313.1977374234657</v>
      </c>
      <c r="I124" s="106">
        <f>I113*pricing!I19*2000</f>
        <v>7809.948900211014</v>
      </c>
      <c r="J124" s="106">
        <f>J113*pricing!J19*2000</f>
        <v>8684.2372889811031</v>
      </c>
      <c r="K124" s="106">
        <f>K113*pricing!K19*2000</f>
        <v>7691.0009950688736</v>
      </c>
      <c r="L124" s="106">
        <f>L113*pricing!L19*2000</f>
        <v>4332.1486567340908</v>
      </c>
      <c r="M124" s="106">
        <f>M113*pricing!M19*2000</f>
        <v>4989.088012723163</v>
      </c>
      <c r="N124" s="106">
        <f>N113*pricing!N19*2000</f>
        <v>10830.399692346091</v>
      </c>
      <c r="O124" s="106">
        <f>O113*pricing!O19*2000</f>
        <v>4669.9700201432379</v>
      </c>
    </row>
    <row r="125" spans="2:15" x14ac:dyDescent="0.2">
      <c r="C125" s="105" t="s">
        <v>131</v>
      </c>
      <c r="D125" s="106">
        <f>D114*pricing!D20*2000</f>
        <v>17176.489991071539</v>
      </c>
      <c r="E125" s="106">
        <f>E114*pricing!E20*2000</f>
        <v>2452.9544547281284</v>
      </c>
      <c r="F125" s="106">
        <f>F114*pricing!F20*2000</f>
        <v>3729.911223734653</v>
      </c>
      <c r="G125" s="106">
        <f>G114*pricing!G20*2000</f>
        <v>4493.5528395454548</v>
      </c>
      <c r="H125" s="106">
        <f>H114*pricing!H20*2000</f>
        <v>2791.588864239659</v>
      </c>
      <c r="I125" s="106">
        <f>I114*pricing!I20*2000</f>
        <v>1594.6748546590368</v>
      </c>
      <c r="J125" s="106">
        <f>J114*pricing!J20*2000</f>
        <v>5746.8564733980638</v>
      </c>
      <c r="K125" s="106">
        <f>K114*pricing!K20*2000</f>
        <v>2538.9481992978667</v>
      </c>
      <c r="L125" s="106">
        <f>L114*pricing!L20*2000</f>
        <v>2870.7098714590252</v>
      </c>
      <c r="M125" s="106">
        <f>M114*pricing!M20*2000</f>
        <v>2084.3375525538345</v>
      </c>
      <c r="N125" s="106">
        <f>N114*pricing!N20*2000</f>
        <v>5796.1050446825766</v>
      </c>
      <c r="O125" s="106">
        <f>O114*pricing!O20*2000</f>
        <v>1416.980699052865</v>
      </c>
    </row>
    <row r="126" spans="2:15" x14ac:dyDescent="0.2">
      <c r="C126" s="105" t="s">
        <v>132</v>
      </c>
      <c r="D126" s="106">
        <f>D115*pricing!D21*2000</f>
        <v>50796.282382789104</v>
      </c>
      <c r="E126" s="106">
        <f>E115*pricing!E21*2000</f>
        <v>2575.886541165868</v>
      </c>
      <c r="F126" s="106">
        <f>F115*pricing!F21*2000</f>
        <v>4811.7412262388398</v>
      </c>
      <c r="G126" s="106">
        <f>G115*pricing!G21*2000</f>
        <v>4850.6446830251716</v>
      </c>
      <c r="H126" s="106">
        <f>H115*pricing!H21*2000</f>
        <v>3300.4019900828266</v>
      </c>
      <c r="I126" s="106">
        <f>I115*pricing!I21*2000</f>
        <v>3809.7248958265932</v>
      </c>
      <c r="J126" s="106">
        <f>J115*pricing!J21*2000</f>
        <v>4925.7579970699935</v>
      </c>
      <c r="K126" s="106">
        <f>K115*pricing!K21*2000</f>
        <v>3592.9249296824487</v>
      </c>
      <c r="L126" s="106">
        <f>L115*pricing!L21*2000</f>
        <v>3668.165020728291</v>
      </c>
      <c r="M126" s="106">
        <f>M115*pricing!M21*2000</f>
        <v>5119.563055067234</v>
      </c>
      <c r="N126" s="106">
        <f>N115*pricing!N21*2000</f>
        <v>5814.9214450485897</v>
      </c>
      <c r="O126" s="106">
        <f>O115*pricing!O21*2000</f>
        <v>5649.4117131708854</v>
      </c>
    </row>
    <row r="127" spans="2:15" x14ac:dyDescent="0.2">
      <c r="C127" s="105" t="s">
        <v>279</v>
      </c>
      <c r="D127" s="106">
        <f t="shared" ref="D127:O127" si="1">SUM(D$120:D$126)</f>
        <v>130705.57287562112</v>
      </c>
      <c r="E127" s="106">
        <f t="shared" si="1"/>
        <v>10506.48064705381</v>
      </c>
      <c r="F127" s="106">
        <f t="shared" si="1"/>
        <v>14646.005567137745</v>
      </c>
      <c r="G127" s="106">
        <f t="shared" si="1"/>
        <v>21629.707846996513</v>
      </c>
      <c r="H127" s="106">
        <f t="shared" si="1"/>
        <v>10324.234609480614</v>
      </c>
      <c r="I127" s="106">
        <f t="shared" si="1"/>
        <v>14097.362537118244</v>
      </c>
      <c r="J127" s="106">
        <f t="shared" si="1"/>
        <v>20514.357994646056</v>
      </c>
      <c r="K127" s="106">
        <f t="shared" si="1"/>
        <v>14543.02609493288</v>
      </c>
      <c r="L127" s="106">
        <f t="shared" si="1"/>
        <v>11608.03996905201</v>
      </c>
      <c r="M127" s="106">
        <f t="shared" si="1"/>
        <v>13328.185524283252</v>
      </c>
      <c r="N127" s="106">
        <f t="shared" si="1"/>
        <v>24538.809592216239</v>
      </c>
      <c r="O127" s="106">
        <f t="shared" si="1"/>
        <v>12762.89914846453</v>
      </c>
    </row>
    <row r="129" spans="2:15" x14ac:dyDescent="0.2">
      <c r="B129" s="109" t="s">
        <v>281</v>
      </c>
    </row>
    <row r="130" spans="2:15" x14ac:dyDescent="0.2">
      <c r="C130" s="111" t="s">
        <v>278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5339.6203089079017</v>
      </c>
      <c r="E134" s="112">
        <f>SUM(M$49:M$70)+SUM(O$49:O$70)+SUM(Q$49:Q$70)+SUM(S$49:S$70)</f>
        <v>81.65479204164032</v>
      </c>
      <c r="F134" s="112">
        <f>SUM(U$49:U$70)+SUM(W$49:W$70)+SUM(Y$49:Y$70)+SUM(AA$49:AA$70)</f>
        <v>111.21470187577424</v>
      </c>
      <c r="G134" s="112">
        <f>SUM(AC$49:AC$70)+SUM(AE$49:AE$70)+SUM(AG$49:AG$70)+SUM(AI$49:AI$70)</f>
        <v>160.32171107130984</v>
      </c>
      <c r="H134" s="112">
        <f>SUM(AK$49:AK$70)+SUM(AM$49:AM$70)+SUM(AO$49:AO$70)+SUM(AQ$49:AQ$70)</f>
        <v>270.32572098606886</v>
      </c>
      <c r="I134" s="112">
        <f>SUM(AS$49:AS$70)+SUM(AU$49:AU$70)+SUM(AW$49:AW$70)+SUM(AY$49:AY$70)</f>
        <v>253.96097616893221</v>
      </c>
      <c r="J134" s="112">
        <f>SUM(BA$49:BA$70)+SUM(BC$49:BC$70)+SUM(BE$49:BE$70)+SUM(BG$49:BG$70)</f>
        <v>255.15847361280751</v>
      </c>
      <c r="K134" s="112">
        <f>SUM(BI$49:BI$70)+SUM(BK$49:BK$70)+SUM(BM$49:BM$70)+SUM(BO$49:BO$70)</f>
        <v>197.57339502276403</v>
      </c>
      <c r="L134" s="112">
        <f>SUM(BQ$49:BQ$70)+SUM(BS$49:BS$70)+SUM(BU$49:BU$70)+SUM(BW$49:BW$70)</f>
        <v>177.98371704011905</v>
      </c>
      <c r="M134" s="112">
        <f>SUM(BY$49:BY$70)+SUM(CA$49:CA$70)+SUM(CC$49:CC$70)+SUM(CE$49:CE$70)</f>
        <v>363.96401826318822</v>
      </c>
      <c r="N134" s="112">
        <f>SUM(CG$49:CG$70)+SUM(CI$49:CI$70)+SUM(CK$49:CK$70)+SUM(CM$49:CM$70)</f>
        <v>563.10142707497175</v>
      </c>
      <c r="O134" s="112">
        <f>SUM(CO$49:CO$70)+SUM(CQ$49:CQ$70)+SUM(CS$49:CS$70)+SUM(CU$49:CU$70)</f>
        <v>225.16776771123159</v>
      </c>
    </row>
    <row r="135" spans="2:15" x14ac:dyDescent="0.2">
      <c r="C135" s="111" t="s">
        <v>130</v>
      </c>
      <c r="D135" s="112">
        <f>SUM(E$71:E$86)+SUM(G$71:G$86)+SUM(I$71:I$86)+SUM(K$71:K$86)</f>
        <v>5641.5171526727627</v>
      </c>
      <c r="E135" s="112">
        <f>SUM(M$71:M$86)+SUM(O$71:O$86)+SUM(Q$71:Q$86)+SUM(S$71:S$86)</f>
        <v>680.16199834606209</v>
      </c>
      <c r="F135" s="112">
        <f>SUM(U$71:U$86)+SUM(W$71:W$86)+SUM(Y$71:Y$86)+SUM(AA$71:AA$86)</f>
        <v>598.27101710017484</v>
      </c>
      <c r="G135" s="112">
        <f>SUM(AC$71:AC$86)+SUM(AE$71:AE$86)+SUM(AG$71:AG$86)+SUM(AI$71:AI$86)</f>
        <v>1083.0230984321147</v>
      </c>
      <c r="H135" s="112">
        <f>SUM(AK$71:AK$86)+SUM(AM$71:AM$86)+SUM(AO$71:AO$86)+SUM(AQ$71:AQ$86)</f>
        <v>301.82750495547054</v>
      </c>
      <c r="I135" s="112">
        <f>SUM(AS$71:AS$86)+SUM(AU$71:AU$86)+SUM(AW$71:AW$86)+SUM(AY$71:AY$86)</f>
        <v>1802.3316823634825</v>
      </c>
      <c r="J135" s="112">
        <f>SUM(BA$71:BA$86)+SUM(BC$71:BC$86)+SUM(BE$71:BE$86)+SUM(BG$71:BG$86)</f>
        <v>680.06562521446176</v>
      </c>
      <c r="K135" s="112">
        <f>SUM(BI$71:BI$86)+SUM(BK$71:BK$86)+SUM(BM$71:BM$86)+SUM(BO$71:BO$86)</f>
        <v>1270.4469849357888</v>
      </c>
      <c r="L135" s="112">
        <f>SUM(BQ$71:BQ$86)+SUM(BS$71:BS$86)+SUM(BU$71:BU$86)+SUM(BW$71:BW$86)</f>
        <v>354.90653525654579</v>
      </c>
      <c r="M135" s="112">
        <f>SUM(BY$71:BY$86)+SUM(CA$71:CA$86)+SUM(CC$71:CC$86)+SUM(CE$71:CE$86)</f>
        <v>509.18079808360181</v>
      </c>
      <c r="N135" s="112">
        <f>SUM(CG$71:CG$86)+SUM(CI$71:CI$86)+SUM(CK$71:CK$86)+SUM(CM$71:CM$86)</f>
        <v>909.79970372563082</v>
      </c>
      <c r="O135" s="112">
        <f>SUM(CO$71:CO$86)+SUM(CQ$71:CQ$86)+SUM(CS$71:CS$86)+SUM(CU$71:CU$86)</f>
        <v>442.00557204164676</v>
      </c>
    </row>
    <row r="136" spans="2:15" x14ac:dyDescent="0.2">
      <c r="C136" s="111" t="s">
        <v>131</v>
      </c>
      <c r="D136" s="112">
        <f>SUM(E$87:E$94)+SUM(G$87:G$94)+SUM(I$87:I$94)+SUM(K$87:K$94)</f>
        <v>6934.3987456015575</v>
      </c>
      <c r="E136" s="112">
        <f>SUM(M$87:M$94)+SUM(O$87:O$94)+SUM(Q$87:Q$94)+SUM(S$87:S$94)</f>
        <v>1797.1406489273725</v>
      </c>
      <c r="F136" s="112">
        <f>SUM(U$87:U$94)+SUM(W$87:W$94)+SUM(Y$87:Y$94)+SUM(AA$87:AA$94)</f>
        <v>3425.6009674295724</v>
      </c>
      <c r="G136" s="112">
        <f>SUM(AC$87:AC$94)+SUM(AE$87:AE$94)+SUM(AG$87:AG$94)+SUM(AI$87:AI$94)</f>
        <v>2329.7472815742049</v>
      </c>
      <c r="H136" s="112">
        <f>SUM(AK$87:AK$94)+SUM(AM$87:AM$94)+SUM(AO$87:AO$94)+SUM(AQ$87:AQ$94)</f>
        <v>2610.9209972361032</v>
      </c>
      <c r="I136" s="112">
        <f>SUM(AS$87:AS$94)+SUM(AU$87:AU$94)+SUM(AW$87:AW$94)+SUM(AY$87:AY$94)</f>
        <v>634.70639668832541</v>
      </c>
      <c r="J136" s="112">
        <f>SUM(BA$87:BA$94)+SUM(BC$87:BC$94)+SUM(BE$87:BE$94)+SUM(BG$87:BG$94)</f>
        <v>3176.9042668184929</v>
      </c>
      <c r="K136" s="112">
        <f>SUM(BI$87:BI$94)+SUM(BK$87:BK$94)+SUM(BM$87:BM$94)+SUM(BO$87:BO$94)</f>
        <v>1311.8148165887835</v>
      </c>
      <c r="L136" s="112">
        <f>SUM(BQ$87:BQ$94)+SUM(BS$87:BS$94)+SUM(BU$87:BU$94)+SUM(BW$87:BW$94)</f>
        <v>2162.859576775325</v>
      </c>
      <c r="M136" s="112">
        <f>SUM(BY$87:BY$94)+SUM(CA$87:CA$94)+SUM(CC$87:CC$94)+SUM(CE$87:CE$94)</f>
        <v>927.93966402168189</v>
      </c>
      <c r="N136" s="112">
        <f>SUM(CG$87:CG$94)+SUM(CI$87:CI$94)+SUM(CK$87:CK$94)+SUM(CM$87:CM$94)</f>
        <v>3745.1172743306633</v>
      </c>
      <c r="O136" s="112">
        <f>SUM(CO$87:CO$94)+SUM(CQ$87:CQ$94)+SUM(CS$87:CS$94)+SUM(CU$87:CU$94)</f>
        <v>479.54238520047954</v>
      </c>
    </row>
    <row r="137" spans="2:15" x14ac:dyDescent="0.2">
      <c r="C137" s="111" t="s">
        <v>132</v>
      </c>
      <c r="D137" s="112">
        <f>SUM(E$95:E$105)+SUM(G$95:G$105)+SUM(I$95:I$105)+SUM(K$95:K$105)</f>
        <v>31047.675545889961</v>
      </c>
      <c r="E137" s="112">
        <f>SUM(M$95:M$105)+SUM(O$95:O$105)+SUM(Q$95:Q$105)+SUM(S$95:S$105)</f>
        <v>1528.5411003551098</v>
      </c>
      <c r="F137" s="112">
        <f>SUM(U$95:U$105)+SUM(W$95:W$105)+SUM(Y$95:Y$105)+SUM(AA$95:AA$105)</f>
        <v>3920.9306920089793</v>
      </c>
      <c r="G137" s="112">
        <f>SUM(AC$95:AC$105)+SUM(AE$95:AE$105)+SUM(AG$95:AG$105)+SUM(AI$95:AI$105)</f>
        <v>1498.0729858322834</v>
      </c>
      <c r="H137" s="112">
        <f>SUM(AK$95:AK$105)+SUM(AM$95:AM$105)+SUM(AO$95:AO$105)+SUM(AQ$95:AQ$105)</f>
        <v>1756.5877997710709</v>
      </c>
      <c r="I137" s="112">
        <f>SUM(AS$95:AS$105)+SUM(AU$95:AU$105)+SUM(AW$95:AW$105)+SUM(AY$95:AY$105)</f>
        <v>2244.4055516801795</v>
      </c>
      <c r="J137" s="112">
        <f>SUM(BA$95:BA$105)+SUM(BC$95:BC$105)+SUM(BE$95:BE$105)+SUM(BG$95:BG$105)</f>
        <v>1901.4430720626242</v>
      </c>
      <c r="K137" s="112">
        <f>SUM(BI$95:BI$105)+SUM(BK$95:BK$105)+SUM(BM$95:BM$105)+SUM(BO$95:BO$105)</f>
        <v>1690.6198586838279</v>
      </c>
      <c r="L137" s="112">
        <f>SUM(BQ$95:BQ$105)+SUM(BS$95:BS$105)+SUM(BU$95:BU$105)+SUM(BW$95:BW$105)</f>
        <v>2137.8620670560776</v>
      </c>
      <c r="M137" s="112">
        <f>SUM(BY$95:BY$105)+SUM(CA$95:CA$105)+SUM(CC$95:CC$105)+SUM(CE$95:CE$105)</f>
        <v>4253.9004387697587</v>
      </c>
      <c r="N137" s="112">
        <f>SUM(CG$95:CG$105)+SUM(CI$95:CI$105)+SUM(CK$95:CK$105)+SUM(CM$95:CM$105)</f>
        <v>1986.8044597074438</v>
      </c>
      <c r="O137" s="112">
        <f>SUM(CO$95:CO$105)+SUM(CQ$95:CQ$105)+SUM(CS$95:CS$105)+SUM(CU$95:CU$105)</f>
        <v>3302.7582106135442</v>
      </c>
    </row>
    <row r="138" spans="2:15" x14ac:dyDescent="0.2">
      <c r="C138" s="111" t="s">
        <v>279</v>
      </c>
      <c r="D138" s="106">
        <f t="shared" ref="D138:O138" si="2">SUM(D$131:D$137)</f>
        <v>48963.211753072181</v>
      </c>
      <c r="E138" s="106">
        <f t="shared" si="2"/>
        <v>4087.498539670185</v>
      </c>
      <c r="F138" s="106">
        <f t="shared" si="2"/>
        <v>8056.0173784145009</v>
      </c>
      <c r="G138" s="106">
        <f t="shared" si="2"/>
        <v>5071.1650769099124</v>
      </c>
      <c r="H138" s="106">
        <f t="shared" si="2"/>
        <v>4939.6620229487135</v>
      </c>
      <c r="I138" s="106">
        <f t="shared" si="2"/>
        <v>4935.40460690092</v>
      </c>
      <c r="J138" s="106">
        <f t="shared" si="2"/>
        <v>6013.5714377083859</v>
      </c>
      <c r="K138" s="106">
        <f t="shared" si="2"/>
        <v>4470.4550552311648</v>
      </c>
      <c r="L138" s="106">
        <f t="shared" si="2"/>
        <v>4833.6118961280672</v>
      </c>
      <c r="M138" s="106">
        <f t="shared" si="2"/>
        <v>6054.9849191382309</v>
      </c>
      <c r="N138" s="106">
        <f t="shared" si="2"/>
        <v>7204.8228648387103</v>
      </c>
      <c r="O138" s="106">
        <f t="shared" si="2"/>
        <v>4449.4739355669026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273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275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168</v>
      </c>
      <c r="C5" s="105" t="s">
        <v>276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173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174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175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176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177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178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179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180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181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182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183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184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185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186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187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188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189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190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191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192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193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194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195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196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197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198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199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200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201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202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203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204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205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206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207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208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209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210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211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212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213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214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215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216</v>
      </c>
      <c r="D49" s="106">
        <v>22.101132838492926</v>
      </c>
      <c r="E49" s="106">
        <v>21774.036072483228</v>
      </c>
      <c r="F49" s="106">
        <v>16.09627847633136</v>
      </c>
      <c r="G49" s="106">
        <v>15858.053554881655</v>
      </c>
      <c r="H49" s="106">
        <v>15.120455230869352</v>
      </c>
      <c r="I49" s="106">
        <v>14896.672493452485</v>
      </c>
      <c r="J49" s="106">
        <v>18.009633497268482</v>
      </c>
      <c r="K49" s="106">
        <v>17743.090921508905</v>
      </c>
      <c r="L49" s="106">
        <v>24.001976282651466</v>
      </c>
      <c r="M49" s="106">
        <v>23646.747033668224</v>
      </c>
      <c r="N49" s="106">
        <v>33</v>
      </c>
      <c r="O49" s="106">
        <v>32511.599999999999</v>
      </c>
      <c r="P49" s="106">
        <v>18</v>
      </c>
      <c r="Q49" s="106">
        <v>17733.599999999999</v>
      </c>
      <c r="R49" s="106">
        <v>30.002945982262833</v>
      </c>
      <c r="S49" s="106">
        <v>29558.90238172534</v>
      </c>
      <c r="T49" s="106">
        <v>15.001909955507779</v>
      </c>
      <c r="U49" s="106">
        <v>14779.881688166262</v>
      </c>
      <c r="V49" s="106">
        <v>21.001853410645275</v>
      </c>
      <c r="W49" s="106">
        <v>20691.025980167724</v>
      </c>
      <c r="X49" s="106">
        <v>11.001699234115415</v>
      </c>
      <c r="Y49" s="106">
        <v>10838.874085450507</v>
      </c>
      <c r="Z49" s="106">
        <v>12.001427437641723</v>
      </c>
      <c r="AA49" s="106">
        <v>11823.806311564626</v>
      </c>
      <c r="AB49" s="106">
        <v>5.0022778924542859</v>
      </c>
      <c r="AC49" s="106">
        <v>4928.2441796459625</v>
      </c>
      <c r="AD49" s="106">
        <v>5.0027538644470866</v>
      </c>
      <c r="AE49" s="106">
        <v>4928.7131072532693</v>
      </c>
      <c r="AF49" s="106">
        <v>6.0015408283798202</v>
      </c>
      <c r="AG49" s="106">
        <v>5912.7180241197984</v>
      </c>
      <c r="AH49" s="106">
        <v>5.0031188964843754</v>
      </c>
      <c r="AI49" s="106">
        <v>4929.0727368164062</v>
      </c>
      <c r="AJ49" s="106">
        <v>5.00647481081268</v>
      </c>
      <c r="AK49" s="106">
        <v>4932.3789836126516</v>
      </c>
      <c r="AL49" s="106">
        <v>7</v>
      </c>
      <c r="AM49" s="106">
        <v>6896.4</v>
      </c>
      <c r="AN49" s="106">
        <v>4.0102818953433186</v>
      </c>
      <c r="AO49" s="106">
        <v>3950.9297232922372</v>
      </c>
      <c r="AP49" s="106">
        <v>6</v>
      </c>
      <c r="AQ49" s="106">
        <v>5911.2</v>
      </c>
      <c r="AR49" s="106">
        <v>7.0032700412834776</v>
      </c>
      <c r="AS49" s="106">
        <v>6899.621644672482</v>
      </c>
      <c r="AT49" s="106">
        <v>8.0021026584403483</v>
      </c>
      <c r="AU49" s="106">
        <v>7883.6715390954305</v>
      </c>
      <c r="AV49" s="106">
        <v>10.007616533121009</v>
      </c>
      <c r="AW49" s="106">
        <v>9859.503808430818</v>
      </c>
      <c r="AX49" s="106">
        <v>8.0024653306278779</v>
      </c>
      <c r="AY49" s="106">
        <v>7884.0288437345844</v>
      </c>
      <c r="AZ49" s="106">
        <v>54</v>
      </c>
      <c r="BA49" s="106">
        <v>53200.799999999996</v>
      </c>
      <c r="BB49" s="106">
        <v>28.004206485518417</v>
      </c>
      <c r="BC49" s="106">
        <v>27589.744229532742</v>
      </c>
      <c r="BD49" s="106">
        <v>41.006677721381898</v>
      </c>
      <c r="BE49" s="106">
        <v>40399.778891105445</v>
      </c>
      <c r="BF49" s="106">
        <v>38.004869550437668</v>
      </c>
      <c r="BG49" s="106">
        <v>37442.39748109119</v>
      </c>
      <c r="BH49" s="106">
        <v>5.0021849951975792</v>
      </c>
      <c r="BI49" s="106">
        <v>4928.1526572686544</v>
      </c>
      <c r="BJ49" s="106">
        <v>6</v>
      </c>
      <c r="BK49" s="106">
        <v>5911.2</v>
      </c>
      <c r="BL49" s="106">
        <v>7.0054644626778195</v>
      </c>
      <c r="BM49" s="106">
        <v>6901.7835886301873</v>
      </c>
      <c r="BN49" s="106">
        <v>8.0040404006271633</v>
      </c>
      <c r="BO49" s="106">
        <v>7885.5806026978807</v>
      </c>
      <c r="BP49" s="106">
        <v>4.004251203753241</v>
      </c>
      <c r="BQ49" s="106">
        <v>3944.9882859376926</v>
      </c>
      <c r="BR49" s="106">
        <v>6</v>
      </c>
      <c r="BS49" s="106">
        <v>5911.2</v>
      </c>
      <c r="BT49" s="106">
        <v>7.0067460050828227</v>
      </c>
      <c r="BU49" s="106">
        <v>6903.0461642075961</v>
      </c>
      <c r="BV49" s="106">
        <v>7</v>
      </c>
      <c r="BW49" s="106">
        <v>6896.4</v>
      </c>
      <c r="BX49" s="106">
        <v>9</v>
      </c>
      <c r="BY49" s="106">
        <v>8866.7999999999993</v>
      </c>
      <c r="BZ49" s="106">
        <v>9.0117252601234181</v>
      </c>
      <c r="CA49" s="106">
        <v>8878.3517262735913</v>
      </c>
      <c r="CB49" s="106">
        <v>8.0046395991298347</v>
      </c>
      <c r="CC49" s="106">
        <v>7886.1709330627127</v>
      </c>
      <c r="CD49" s="106">
        <v>8.0066382930559623</v>
      </c>
      <c r="CE49" s="106">
        <v>7888.1400463187338</v>
      </c>
      <c r="CF49" s="106">
        <v>8.0059259128811551</v>
      </c>
      <c r="CG49" s="106">
        <v>7887.4382093705135</v>
      </c>
      <c r="CH49" s="106">
        <v>10.008099668760542</v>
      </c>
      <c r="CI49" s="106">
        <v>9859.9797936628856</v>
      </c>
      <c r="CJ49" s="106">
        <v>10.014973070362679</v>
      </c>
      <c r="CK49" s="106">
        <v>9866.7514689213112</v>
      </c>
      <c r="CL49" s="106">
        <v>10.006593390293105</v>
      </c>
      <c r="CM49" s="106">
        <v>9858.4958081167661</v>
      </c>
      <c r="CN49" s="106">
        <v>31.004726360829331</v>
      </c>
      <c r="CO49" s="106">
        <v>30545.856410689055</v>
      </c>
      <c r="CP49" s="106">
        <v>26</v>
      </c>
      <c r="CQ49" s="106">
        <v>25615.199999999997</v>
      </c>
      <c r="CR49" s="106">
        <v>20</v>
      </c>
      <c r="CS49" s="106">
        <v>19704</v>
      </c>
      <c r="CT49" s="106">
        <v>26.009888690807969</v>
      </c>
      <c r="CU49" s="106">
        <v>25624.94233818401</v>
      </c>
    </row>
    <row r="50" spans="2:99" x14ac:dyDescent="0.2">
      <c r="C50" s="105" t="s">
        <v>217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218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219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220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221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222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223</v>
      </c>
      <c r="D56" s="106">
        <v>20.098604517530603</v>
      </c>
      <c r="E56" s="106">
        <v>23129.474078774216</v>
      </c>
      <c r="F56" s="106">
        <v>15.094185465976331</v>
      </c>
      <c r="G56" s="106">
        <v>17370.388634245563</v>
      </c>
      <c r="H56" s="106">
        <v>13.111007761781559</v>
      </c>
      <c r="I56" s="106">
        <v>15088.147732258218</v>
      </c>
      <c r="J56" s="106">
        <v>18.009214649561155</v>
      </c>
      <c r="K56" s="106">
        <v>20725.004218714977</v>
      </c>
      <c r="L56" s="106">
        <v>23.001976282651466</v>
      </c>
      <c r="M56" s="106">
        <v>26470.674306075307</v>
      </c>
      <c r="N56" s="106">
        <v>33</v>
      </c>
      <c r="O56" s="106">
        <v>37976.400000000001</v>
      </c>
      <c r="P56" s="106">
        <v>18</v>
      </c>
      <c r="Q56" s="106">
        <v>20714.399999999998</v>
      </c>
      <c r="R56" s="106">
        <v>29.002945982262833</v>
      </c>
      <c r="S56" s="106">
        <v>33376.590236388067</v>
      </c>
      <c r="T56" s="106">
        <v>15.001909955507779</v>
      </c>
      <c r="U56" s="106">
        <v>17264.19797679835</v>
      </c>
      <c r="V56" s="106">
        <v>18.001684918768429</v>
      </c>
      <c r="W56" s="106">
        <v>20716.339004518708</v>
      </c>
      <c r="X56" s="106">
        <v>10.001529310703873</v>
      </c>
      <c r="Y56" s="106">
        <v>11509.759930758017</v>
      </c>
      <c r="Z56" s="106">
        <v>11.001586041824137</v>
      </c>
      <c r="AA56" s="106">
        <v>12660.625216931216</v>
      </c>
      <c r="AB56" s="106">
        <v>5.0022778924542859</v>
      </c>
      <c r="AC56" s="106">
        <v>5756.6213986363919</v>
      </c>
      <c r="AD56" s="106">
        <v>6.0030980975029724</v>
      </c>
      <c r="AE56" s="106">
        <v>6908.3652906064208</v>
      </c>
      <c r="AF56" s="106">
        <v>5.0015408283798202</v>
      </c>
      <c r="AG56" s="106">
        <v>5755.7731852994966</v>
      </c>
      <c r="AH56" s="106">
        <v>6.0027290344238278</v>
      </c>
      <c r="AI56" s="106">
        <v>6907.9405728149404</v>
      </c>
      <c r="AJ56" s="106">
        <v>4.0067146186205571</v>
      </c>
      <c r="AK56" s="106">
        <v>4610.9271831085371</v>
      </c>
      <c r="AL56" s="106">
        <v>7</v>
      </c>
      <c r="AM56" s="106">
        <v>8055.5999999999995</v>
      </c>
      <c r="AN56" s="106">
        <v>4.0089551991699874</v>
      </c>
      <c r="AO56" s="106">
        <v>4613.5056432048214</v>
      </c>
      <c r="AP56" s="106">
        <v>5</v>
      </c>
      <c r="AQ56" s="106">
        <v>5754</v>
      </c>
      <c r="AR56" s="106">
        <v>8.0034810116888639</v>
      </c>
      <c r="AS56" s="106">
        <v>9210.405948251544</v>
      </c>
      <c r="AT56" s="106">
        <v>7.0019789726497406</v>
      </c>
      <c r="AU56" s="106">
        <v>8057.8774017253209</v>
      </c>
      <c r="AV56" s="106">
        <v>10.007353894047871</v>
      </c>
      <c r="AW56" s="106">
        <v>11516.462861270289</v>
      </c>
      <c r="AX56" s="106">
        <v>7.0026707748468677</v>
      </c>
      <c r="AY56" s="106">
        <v>8058.6735276937752</v>
      </c>
      <c r="AZ56" s="106">
        <v>45</v>
      </c>
      <c r="BA56" s="106">
        <v>51786</v>
      </c>
      <c r="BB56" s="106">
        <v>25.003824077744014</v>
      </c>
      <c r="BC56" s="106">
        <v>28774.400748667809</v>
      </c>
      <c r="BD56" s="106">
        <v>47.006677721381898</v>
      </c>
      <c r="BE56" s="106">
        <v>54095.284721766286</v>
      </c>
      <c r="BF56" s="106">
        <v>35.004521725406406</v>
      </c>
      <c r="BG56" s="106">
        <v>40283.203601597692</v>
      </c>
      <c r="BH56" s="106">
        <v>5.0024763278905899</v>
      </c>
      <c r="BI56" s="106">
        <v>5756.8497581364909</v>
      </c>
      <c r="BJ56" s="106">
        <v>7</v>
      </c>
      <c r="BK56" s="106">
        <v>8055.5999999999995</v>
      </c>
      <c r="BL56" s="106">
        <v>6.005100165165965</v>
      </c>
      <c r="BM56" s="106">
        <v>6910.6692700729918</v>
      </c>
      <c r="BN56" s="106">
        <v>7.0040404006271624</v>
      </c>
      <c r="BO56" s="106">
        <v>8060.2496930417383</v>
      </c>
      <c r="BP56" s="106">
        <v>4.0040579672190031</v>
      </c>
      <c r="BQ56" s="106">
        <v>4607.8699086756287</v>
      </c>
      <c r="BR56" s="106">
        <v>7</v>
      </c>
      <c r="BS56" s="106">
        <v>8055.5999999999995</v>
      </c>
      <c r="BT56" s="106">
        <v>6.0059523574260201</v>
      </c>
      <c r="BU56" s="106">
        <v>6911.6499729258639</v>
      </c>
      <c r="BV56" s="106">
        <v>7</v>
      </c>
      <c r="BW56" s="106">
        <v>8055.5999999999995</v>
      </c>
      <c r="BX56" s="106">
        <v>9</v>
      </c>
      <c r="BY56" s="106">
        <v>10357.199999999999</v>
      </c>
      <c r="BZ56" s="106">
        <v>8.0110552452592234</v>
      </c>
      <c r="CA56" s="106">
        <v>9219.1223762443133</v>
      </c>
      <c r="CB56" s="106">
        <v>8.0046395991298347</v>
      </c>
      <c r="CC56" s="106">
        <v>9211.7392506786127</v>
      </c>
      <c r="CD56" s="106">
        <v>8.0057872298436603</v>
      </c>
      <c r="CE56" s="106">
        <v>9213.0599441040831</v>
      </c>
      <c r="CF56" s="106">
        <v>8.0050370259489831</v>
      </c>
      <c r="CG56" s="106">
        <v>9212.1966094620893</v>
      </c>
      <c r="CH56" s="106">
        <v>11.007165091595864</v>
      </c>
      <c r="CI56" s="106">
        <v>12667.04558740852</v>
      </c>
      <c r="CJ56" s="106">
        <v>9.0149730703626787</v>
      </c>
      <c r="CK56" s="106">
        <v>10374.431009373371</v>
      </c>
      <c r="CL56" s="106">
        <v>9.006593390293105</v>
      </c>
      <c r="CM56" s="106">
        <v>10364.787673549305</v>
      </c>
      <c r="CN56" s="106">
        <v>31.003980093329965</v>
      </c>
      <c r="CO56" s="106">
        <v>35679.380291404123</v>
      </c>
      <c r="CP56" s="106">
        <v>22</v>
      </c>
      <c r="CQ56" s="106">
        <v>25317.599999999999</v>
      </c>
      <c r="CR56" s="106">
        <v>21</v>
      </c>
      <c r="CS56" s="106">
        <v>24166.799999999999</v>
      </c>
      <c r="CT56" s="106">
        <v>25.009888690807969</v>
      </c>
      <c r="CU56" s="106">
        <v>28781.379905381811</v>
      </c>
    </row>
    <row r="57" spans="2:99" x14ac:dyDescent="0.2">
      <c r="C57" s="105" t="s">
        <v>224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225</v>
      </c>
      <c r="D58" s="106">
        <v>19.098604517530603</v>
      </c>
      <c r="E58" s="106">
        <v>22482.877238037028</v>
      </c>
      <c r="F58" s="106">
        <v>15.085813424556212</v>
      </c>
      <c r="G58" s="106">
        <v>17759.019563387574</v>
      </c>
      <c r="H58" s="106">
        <v>16.122817098141301</v>
      </c>
      <c r="I58" s="106">
        <v>18979.780287931939</v>
      </c>
      <c r="J58" s="106">
        <v>20.009424073414817</v>
      </c>
      <c r="K58" s="106">
        <v>23555.094019223921</v>
      </c>
      <c r="L58" s="106">
        <v>27.001976282651466</v>
      </c>
      <c r="M58" s="106">
        <v>31786.726479937308</v>
      </c>
      <c r="N58" s="106">
        <v>31</v>
      </c>
      <c r="O58" s="106">
        <v>36493.200000000004</v>
      </c>
      <c r="P58" s="106">
        <v>18</v>
      </c>
      <c r="Q58" s="106">
        <v>21189.600000000002</v>
      </c>
      <c r="R58" s="106">
        <v>32.00294598226283</v>
      </c>
      <c r="S58" s="106">
        <v>37673.868010319806</v>
      </c>
      <c r="T58" s="106">
        <v>15.001909955507779</v>
      </c>
      <c r="U58" s="106">
        <v>17660.248399623757</v>
      </c>
      <c r="V58" s="106">
        <v>21.001853410645275</v>
      </c>
      <c r="W58" s="106">
        <v>24723.38183501162</v>
      </c>
      <c r="X58" s="106">
        <v>10.001359387292332</v>
      </c>
      <c r="Y58" s="106">
        <v>11773.600270720533</v>
      </c>
      <c r="Z58" s="106">
        <v>11.001427437641723</v>
      </c>
      <c r="AA58" s="106">
        <v>12950.880379591837</v>
      </c>
      <c r="AB58" s="106">
        <v>5.0022778924542859</v>
      </c>
      <c r="AC58" s="106">
        <v>5888.6815349971857</v>
      </c>
      <c r="AD58" s="106">
        <v>6.0030980975029724</v>
      </c>
      <c r="AE58" s="106">
        <v>7066.8470803804994</v>
      </c>
      <c r="AF58" s="106">
        <v>5.0015408283798202</v>
      </c>
      <c r="AG58" s="106">
        <v>5887.8138631687243</v>
      </c>
      <c r="AH58" s="106">
        <v>6.0027290344238278</v>
      </c>
      <c r="AI58" s="106">
        <v>7066.4126193237307</v>
      </c>
      <c r="AJ58" s="106">
        <v>4.0062350030048037</v>
      </c>
      <c r="AK58" s="106">
        <v>4716.1398455372555</v>
      </c>
      <c r="AL58" s="106">
        <v>7</v>
      </c>
      <c r="AM58" s="106">
        <v>8240.4</v>
      </c>
      <c r="AN58" s="106">
        <v>4.0102818953433186</v>
      </c>
      <c r="AO58" s="106">
        <v>4720.9038471981548</v>
      </c>
      <c r="AP58" s="106">
        <v>6</v>
      </c>
      <c r="AQ58" s="106">
        <v>7063.2000000000007</v>
      </c>
      <c r="AR58" s="106">
        <v>9.0029535856753995</v>
      </c>
      <c r="AS58" s="106">
        <v>10598.276961057081</v>
      </c>
      <c r="AT58" s="106">
        <v>8.0021026584403483</v>
      </c>
      <c r="AU58" s="106">
        <v>9420.0752495159777</v>
      </c>
      <c r="AV58" s="106">
        <v>10.007616533121009</v>
      </c>
      <c r="AW58" s="106">
        <v>11780.966182790053</v>
      </c>
      <c r="AX58" s="106">
        <v>8.0023626085183821</v>
      </c>
      <c r="AY58" s="106">
        <v>9420.3812627478401</v>
      </c>
      <c r="AZ58" s="106">
        <v>45</v>
      </c>
      <c r="BA58" s="106">
        <v>52974</v>
      </c>
      <c r="BB58" s="106">
        <v>28.003824077744014</v>
      </c>
      <c r="BC58" s="106">
        <v>32966.101704320252</v>
      </c>
      <c r="BD58" s="106">
        <v>41.006677721381898</v>
      </c>
      <c r="BE58" s="106">
        <v>48273.061013610772</v>
      </c>
      <c r="BF58" s="106">
        <v>35.004869550437668</v>
      </c>
      <c r="BG58" s="106">
        <v>41207.732434775222</v>
      </c>
      <c r="BH58" s="106">
        <v>5.0023306615440841</v>
      </c>
      <c r="BI58" s="106">
        <v>5888.7436547696961</v>
      </c>
      <c r="BJ58" s="106">
        <v>6</v>
      </c>
      <c r="BK58" s="106">
        <v>7063.2000000000007</v>
      </c>
      <c r="BL58" s="106">
        <v>6.005828760189674</v>
      </c>
      <c r="BM58" s="106">
        <v>7070.0616164952844</v>
      </c>
      <c r="BN58" s="106">
        <v>7.0042240552011243</v>
      </c>
      <c r="BO58" s="106">
        <v>8245.3725577827645</v>
      </c>
      <c r="BP58" s="106">
        <v>4.0040579672190031</v>
      </c>
      <c r="BQ58" s="106">
        <v>4713.5770390102107</v>
      </c>
      <c r="BR58" s="106">
        <v>7</v>
      </c>
      <c r="BS58" s="106">
        <v>8240.4</v>
      </c>
      <c r="BT58" s="106">
        <v>6.0071428289112241</v>
      </c>
      <c r="BU58" s="106">
        <v>7071.608538194293</v>
      </c>
      <c r="BV58" s="106">
        <v>7</v>
      </c>
      <c r="BW58" s="106">
        <v>8240.4</v>
      </c>
      <c r="BX58" s="106">
        <v>8</v>
      </c>
      <c r="BY58" s="106">
        <v>9417.6</v>
      </c>
      <c r="BZ58" s="106">
        <v>8.0107202378271243</v>
      </c>
      <c r="CA58" s="106">
        <v>9430.219863970091</v>
      </c>
      <c r="CB58" s="106">
        <v>8.0039767992541435</v>
      </c>
      <c r="CC58" s="106">
        <v>9422.2814880819788</v>
      </c>
      <c r="CD58" s="106">
        <v>7.0068085056984231</v>
      </c>
      <c r="CE58" s="106">
        <v>8248.4149729081837</v>
      </c>
      <c r="CF58" s="106">
        <v>8.0053333215930405</v>
      </c>
      <c r="CG58" s="106">
        <v>9423.8783861793272</v>
      </c>
      <c r="CH58" s="106">
        <v>10.007165091595864</v>
      </c>
      <c r="CI58" s="106">
        <v>11780.434745826651</v>
      </c>
      <c r="CJ58" s="106">
        <v>10.01354706366147</v>
      </c>
      <c r="CK58" s="106">
        <v>11787.947603342283</v>
      </c>
      <c r="CL58" s="106">
        <v>9.006593390293105</v>
      </c>
      <c r="CM58" s="106">
        <v>10602.561739053044</v>
      </c>
      <c r="CN58" s="106">
        <v>30.003980093329965</v>
      </c>
      <c r="CO58" s="106">
        <v>35320.685365868034</v>
      </c>
      <c r="CP58" s="106">
        <v>22</v>
      </c>
      <c r="CQ58" s="106">
        <v>25898.400000000001</v>
      </c>
      <c r="CR58" s="106">
        <v>21</v>
      </c>
      <c r="CS58" s="106">
        <v>24721.200000000001</v>
      </c>
      <c r="CT58" s="106">
        <v>25.008405387186777</v>
      </c>
      <c r="CU58" s="106">
        <v>29439.894821796275</v>
      </c>
    </row>
    <row r="59" spans="2:99" x14ac:dyDescent="0.2">
      <c r="C59" s="105" t="s">
        <v>226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227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228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229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230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231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232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233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234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235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236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237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238</v>
      </c>
      <c r="D71" s="106">
        <v>7.0455097773218176</v>
      </c>
      <c r="E71" s="106">
        <v>3973.6675144095052</v>
      </c>
      <c r="F71" s="106">
        <v>6.0397671967455624</v>
      </c>
      <c r="G71" s="106">
        <v>3406.428698964497</v>
      </c>
      <c r="H71" s="106">
        <v>7.0377898763511686</v>
      </c>
      <c r="I71" s="106">
        <v>3969.3134902620591</v>
      </c>
      <c r="J71" s="106">
        <v>9.0031413578049388</v>
      </c>
      <c r="K71" s="106">
        <v>5077.7717258019857</v>
      </c>
      <c r="L71" s="106">
        <v>3.0047430783635205</v>
      </c>
      <c r="M71" s="106">
        <v>1694.6750961970256</v>
      </c>
      <c r="N71" s="106">
        <v>4</v>
      </c>
      <c r="O71" s="106">
        <v>2256</v>
      </c>
      <c r="P71" s="106">
        <v>3</v>
      </c>
      <c r="Q71" s="106">
        <v>1692</v>
      </c>
      <c r="R71" s="106">
        <v>4.0101472722386458</v>
      </c>
      <c r="S71" s="106">
        <v>2261.723061542596</v>
      </c>
      <c r="T71" s="106">
        <v>20.004638463376033</v>
      </c>
      <c r="U71" s="106">
        <v>11282.616093344082</v>
      </c>
      <c r="V71" s="106">
        <v>33.002527378152649</v>
      </c>
      <c r="W71" s="106">
        <v>18613.425441278094</v>
      </c>
      <c r="X71" s="106">
        <v>23.003058621407746</v>
      </c>
      <c r="Y71" s="106">
        <v>12973.725062473968</v>
      </c>
      <c r="Z71" s="106">
        <v>33.002379062736203</v>
      </c>
      <c r="AA71" s="106">
        <v>18613.34179138322</v>
      </c>
      <c r="AB71" s="106">
        <v>17.005922520381144</v>
      </c>
      <c r="AC71" s="106">
        <v>9591.3403014949654</v>
      </c>
      <c r="AD71" s="106">
        <v>15.005851961950059</v>
      </c>
      <c r="AE71" s="106">
        <v>8463.3005065398338</v>
      </c>
      <c r="AF71" s="106">
        <v>17.006471479195245</v>
      </c>
      <c r="AG71" s="106">
        <v>9591.6499142661178</v>
      </c>
      <c r="AH71" s="106">
        <v>11.006237792968751</v>
      </c>
      <c r="AI71" s="106">
        <v>6207.5181152343757</v>
      </c>
      <c r="AJ71" s="106">
        <v>16.001918462463017</v>
      </c>
      <c r="AK71" s="106">
        <v>9025.0820128291416</v>
      </c>
      <c r="AL71" s="106">
        <v>13</v>
      </c>
      <c r="AM71" s="106">
        <v>7332</v>
      </c>
      <c r="AN71" s="106">
        <v>14.004311762563328</v>
      </c>
      <c r="AO71" s="106">
        <v>7898.4318340857171</v>
      </c>
      <c r="AP71" s="106">
        <v>14</v>
      </c>
      <c r="AQ71" s="106">
        <v>7896</v>
      </c>
      <c r="AR71" s="106">
        <v>17.008755271823503</v>
      </c>
      <c r="AS71" s="106">
        <v>9592.9379733084552</v>
      </c>
      <c r="AT71" s="106">
        <v>14.008534319552005</v>
      </c>
      <c r="AU71" s="106">
        <v>7900.8133562273306</v>
      </c>
      <c r="AV71" s="106">
        <v>15.016808900680847</v>
      </c>
      <c r="AW71" s="106">
        <v>8469.4802199839978</v>
      </c>
      <c r="AX71" s="106">
        <v>13.009347711964036</v>
      </c>
      <c r="AY71" s="106">
        <v>7337.2721095477164</v>
      </c>
      <c r="AZ71" s="106">
        <v>7</v>
      </c>
      <c r="BA71" s="106">
        <v>3948</v>
      </c>
      <c r="BB71" s="106">
        <v>5.0045888932928175</v>
      </c>
      <c r="BC71" s="106">
        <v>2822.5881358171491</v>
      </c>
      <c r="BD71" s="106">
        <v>5.0093488099346537</v>
      </c>
      <c r="BE71" s="106">
        <v>2825.2727288031447</v>
      </c>
      <c r="BF71" s="106">
        <v>5.0024347752188323</v>
      </c>
      <c r="BG71" s="106">
        <v>2821.3732132234213</v>
      </c>
      <c r="BH71" s="106">
        <v>10.008157315404295</v>
      </c>
      <c r="BI71" s="106">
        <v>5644.6007258880227</v>
      </c>
      <c r="BJ71" s="106">
        <v>18</v>
      </c>
      <c r="BK71" s="106">
        <v>10152</v>
      </c>
      <c r="BL71" s="106">
        <v>11.016029090521604</v>
      </c>
      <c r="BM71" s="106">
        <v>6213.0404070541845</v>
      </c>
      <c r="BN71" s="106">
        <v>14.005876946366781</v>
      </c>
      <c r="BO71" s="106">
        <v>7899.3145977508648</v>
      </c>
      <c r="BP71" s="106">
        <v>8.0027053114793354</v>
      </c>
      <c r="BQ71" s="106">
        <v>4513.5257956743453</v>
      </c>
      <c r="BR71" s="106">
        <v>6</v>
      </c>
      <c r="BS71" s="106">
        <v>3384</v>
      </c>
      <c r="BT71" s="106">
        <v>8.0055555335976187</v>
      </c>
      <c r="BU71" s="106">
        <v>4515.1333209490567</v>
      </c>
      <c r="BV71" s="106">
        <v>9</v>
      </c>
      <c r="BW71" s="106">
        <v>5076</v>
      </c>
      <c r="BX71" s="106">
        <v>6</v>
      </c>
      <c r="BY71" s="106">
        <v>3384</v>
      </c>
      <c r="BZ71" s="106">
        <v>7.0056951263456604</v>
      </c>
      <c r="CA71" s="106">
        <v>3951.2120512589527</v>
      </c>
      <c r="CB71" s="106">
        <v>6.0024854995338401</v>
      </c>
      <c r="CC71" s="106">
        <v>3385.4018217370858</v>
      </c>
      <c r="CD71" s="106">
        <v>8.0025531896369095</v>
      </c>
      <c r="CE71" s="106">
        <v>4513.4399989552167</v>
      </c>
      <c r="CF71" s="106">
        <v>17.002666660796521</v>
      </c>
      <c r="CG71" s="106">
        <v>9589.5039966892382</v>
      </c>
      <c r="CH71" s="106">
        <v>20.004361360101829</v>
      </c>
      <c r="CI71" s="106">
        <v>11282.459807097432</v>
      </c>
      <c r="CJ71" s="106">
        <v>22.007130033506037</v>
      </c>
      <c r="CK71" s="106">
        <v>12412.021338897404</v>
      </c>
      <c r="CL71" s="106">
        <v>16.005023535461415</v>
      </c>
      <c r="CM71" s="106">
        <v>9026.8332740002388</v>
      </c>
      <c r="CN71" s="106">
        <v>4.0032338258305948</v>
      </c>
      <c r="CO71" s="106">
        <v>2257.8238777684555</v>
      </c>
      <c r="CP71" s="106">
        <v>6</v>
      </c>
      <c r="CQ71" s="106">
        <v>3384</v>
      </c>
      <c r="CR71" s="106">
        <v>6</v>
      </c>
      <c r="CS71" s="106">
        <v>3384</v>
      </c>
      <c r="CT71" s="106">
        <v>6.0069220835655797</v>
      </c>
      <c r="CU71" s="106">
        <v>3387.9040551309868</v>
      </c>
    </row>
    <row r="72" spans="2:99" x14ac:dyDescent="0.2">
      <c r="C72" s="105" t="s">
        <v>239</v>
      </c>
      <c r="D72" s="106">
        <v>7.0455097773218176</v>
      </c>
      <c r="E72" s="106">
        <v>524.18592743274314</v>
      </c>
      <c r="F72" s="106">
        <v>6.0418602071005916</v>
      </c>
      <c r="G72" s="106">
        <v>449.51439940828396</v>
      </c>
      <c r="H72" s="106">
        <v>7.0377898763511686</v>
      </c>
      <c r="I72" s="106">
        <v>523.61156680052693</v>
      </c>
      <c r="J72" s="106">
        <v>9.003350781658602</v>
      </c>
      <c r="K72" s="106">
        <v>669.84929815539988</v>
      </c>
      <c r="L72" s="106">
        <v>3.0055335914241073</v>
      </c>
      <c r="M72" s="106">
        <v>223.61169920195354</v>
      </c>
      <c r="N72" s="106">
        <v>5</v>
      </c>
      <c r="O72" s="106">
        <v>371.99999999999994</v>
      </c>
      <c r="P72" s="106">
        <v>3</v>
      </c>
      <c r="Q72" s="106">
        <v>223.2</v>
      </c>
      <c r="R72" s="106">
        <v>4.0101472722386458</v>
      </c>
      <c r="S72" s="106">
        <v>298.3549570545552</v>
      </c>
      <c r="T72" s="106">
        <v>21.005729866523335</v>
      </c>
      <c r="U72" s="106">
        <v>1562.826302069336</v>
      </c>
      <c r="V72" s="106">
        <v>38.002527378152649</v>
      </c>
      <c r="W72" s="106">
        <v>2827.3880369345566</v>
      </c>
      <c r="X72" s="106">
        <v>24.003058621407746</v>
      </c>
      <c r="Y72" s="106">
        <v>1785.827561432736</v>
      </c>
      <c r="Z72" s="106">
        <v>31.00253766691862</v>
      </c>
      <c r="AA72" s="106">
        <v>2306.5888024187452</v>
      </c>
      <c r="AB72" s="106">
        <v>18.005922520381144</v>
      </c>
      <c r="AC72" s="106">
        <v>1339.640635516357</v>
      </c>
      <c r="AD72" s="106">
        <v>15.006196195005945</v>
      </c>
      <c r="AE72" s="106">
        <v>1116.4609969084422</v>
      </c>
      <c r="AF72" s="106">
        <v>21.006163313519281</v>
      </c>
      <c r="AG72" s="106">
        <v>1562.8585505258343</v>
      </c>
      <c r="AH72" s="106">
        <v>11.006237792968751</v>
      </c>
      <c r="AI72" s="106">
        <v>818.86409179687496</v>
      </c>
      <c r="AJ72" s="106">
        <v>19.002158270270893</v>
      </c>
      <c r="AK72" s="106">
        <v>1413.7605753081543</v>
      </c>
      <c r="AL72" s="106">
        <v>14</v>
      </c>
      <c r="AM72" s="106">
        <v>1041.5999999999999</v>
      </c>
      <c r="AN72" s="106">
        <v>16.00464343660666</v>
      </c>
      <c r="AO72" s="106">
        <v>1190.7454716835355</v>
      </c>
      <c r="AP72" s="106">
        <v>15</v>
      </c>
      <c r="AQ72" s="106">
        <v>1115.9999999999998</v>
      </c>
      <c r="AR72" s="106">
        <v>19.00896624222889</v>
      </c>
      <c r="AS72" s="106">
        <v>1414.2670884218294</v>
      </c>
      <c r="AT72" s="106">
        <v>17.008905376923831</v>
      </c>
      <c r="AU72" s="106">
        <v>1265.462560043133</v>
      </c>
      <c r="AV72" s="106">
        <v>18.01812209604654</v>
      </c>
      <c r="AW72" s="106">
        <v>1340.5482839458623</v>
      </c>
      <c r="AX72" s="106">
        <v>14.010169488839995</v>
      </c>
      <c r="AY72" s="106">
        <v>1042.3566099696955</v>
      </c>
      <c r="AZ72" s="106">
        <v>6</v>
      </c>
      <c r="BA72" s="106">
        <v>446.4</v>
      </c>
      <c r="BB72" s="106">
        <v>5.0042064855184156</v>
      </c>
      <c r="BC72" s="106">
        <v>372.3129625225701</v>
      </c>
      <c r="BD72" s="106">
        <v>6.008013265658275</v>
      </c>
      <c r="BE72" s="106">
        <v>446.99618696497561</v>
      </c>
      <c r="BF72" s="106">
        <v>5.0027826002500939</v>
      </c>
      <c r="BG72" s="106">
        <v>372.20702545860695</v>
      </c>
      <c r="BH72" s="106">
        <v>10.007720316364781</v>
      </c>
      <c r="BI72" s="106">
        <v>744.57439153753955</v>
      </c>
      <c r="BJ72" s="106">
        <v>18</v>
      </c>
      <c r="BK72" s="106">
        <v>1339.1999999999998</v>
      </c>
      <c r="BL72" s="106">
        <v>11.014936197986041</v>
      </c>
      <c r="BM72" s="106">
        <v>819.51125313016132</v>
      </c>
      <c r="BN72" s="106">
        <v>14.005876946366781</v>
      </c>
      <c r="BO72" s="106">
        <v>1042.0372448096884</v>
      </c>
      <c r="BP72" s="106">
        <v>8.0028985480135741</v>
      </c>
      <c r="BQ72" s="106">
        <v>595.41565197220984</v>
      </c>
      <c r="BR72" s="106">
        <v>6</v>
      </c>
      <c r="BS72" s="106">
        <v>446.4</v>
      </c>
      <c r="BT72" s="106">
        <v>9.0055555335976187</v>
      </c>
      <c r="BU72" s="106">
        <v>670.01333169966279</v>
      </c>
      <c r="BV72" s="106">
        <v>10</v>
      </c>
      <c r="BW72" s="106">
        <v>743.99999999999989</v>
      </c>
      <c r="BX72" s="106">
        <v>6</v>
      </c>
      <c r="BY72" s="106">
        <v>446.4</v>
      </c>
      <c r="BZ72" s="106">
        <v>7.0067001486419533</v>
      </c>
      <c r="CA72" s="106">
        <v>521.2984910589613</v>
      </c>
      <c r="CB72" s="106">
        <v>7.0023197995649173</v>
      </c>
      <c r="CC72" s="106">
        <v>520.97259308762978</v>
      </c>
      <c r="CD72" s="106">
        <v>7.0028936149218302</v>
      </c>
      <c r="CE72" s="106">
        <v>521.01528495018408</v>
      </c>
      <c r="CF72" s="106">
        <v>15.002962956440578</v>
      </c>
      <c r="CG72" s="106">
        <v>1116.220443959179</v>
      </c>
      <c r="CH72" s="106">
        <v>21.00498441154495</v>
      </c>
      <c r="CI72" s="106">
        <v>1562.7708402189442</v>
      </c>
      <c r="CJ72" s="106">
        <v>23.008556040207246</v>
      </c>
      <c r="CK72" s="106">
        <v>1711.8365693914188</v>
      </c>
      <c r="CL72" s="106">
        <v>16.004709564495077</v>
      </c>
      <c r="CM72" s="106">
        <v>1190.7503915984335</v>
      </c>
      <c r="CN72" s="106">
        <v>4.0032338258305948</v>
      </c>
      <c r="CO72" s="106">
        <v>297.8405966417962</v>
      </c>
      <c r="CP72" s="106">
        <v>6</v>
      </c>
      <c r="CQ72" s="106">
        <v>446.4</v>
      </c>
      <c r="CR72" s="106">
        <v>7</v>
      </c>
      <c r="CS72" s="106">
        <v>520.79999999999995</v>
      </c>
      <c r="CT72" s="106">
        <v>5.0074165181059778</v>
      </c>
      <c r="CU72" s="106">
        <v>372.55178894708473</v>
      </c>
    </row>
    <row r="73" spans="2:99" x14ac:dyDescent="0.2">
      <c r="C73" s="105" t="s">
        <v>240</v>
      </c>
      <c r="D73" s="106">
        <v>7.0404531353971711</v>
      </c>
      <c r="E73" s="106">
        <v>3937.0213933140976</v>
      </c>
      <c r="F73" s="106">
        <v>5.0418602071005916</v>
      </c>
      <c r="G73" s="106">
        <v>2819.4082278106503</v>
      </c>
      <c r="H73" s="106">
        <v>7.0354280090792214</v>
      </c>
      <c r="I73" s="106">
        <v>3934.2113426771002</v>
      </c>
      <c r="J73" s="106">
        <v>10.003141357804939</v>
      </c>
      <c r="K73" s="106">
        <v>5593.756647284521</v>
      </c>
      <c r="L73" s="106">
        <v>3.0049407066286671</v>
      </c>
      <c r="M73" s="106">
        <v>1680.3628431467505</v>
      </c>
      <c r="N73" s="106">
        <v>5</v>
      </c>
      <c r="O73" s="106">
        <v>2795.9999999999995</v>
      </c>
      <c r="P73" s="106">
        <v>3</v>
      </c>
      <c r="Q73" s="106">
        <v>1677.6</v>
      </c>
      <c r="R73" s="106">
        <v>4.0094926095135719</v>
      </c>
      <c r="S73" s="106">
        <v>2242.1082672399893</v>
      </c>
      <c r="T73" s="106">
        <v>21.005184164949686</v>
      </c>
      <c r="U73" s="106">
        <v>11746.098985039864</v>
      </c>
      <c r="V73" s="106">
        <v>34.002527378152649</v>
      </c>
      <c r="W73" s="106">
        <v>19014.21330986296</v>
      </c>
      <c r="X73" s="106">
        <v>24.003228544819287</v>
      </c>
      <c r="Y73" s="106">
        <v>13422.605402262943</v>
      </c>
      <c r="Z73" s="106">
        <v>29.002696271101033</v>
      </c>
      <c r="AA73" s="106">
        <v>16218.307754799696</v>
      </c>
      <c r="AB73" s="106">
        <v>16.005466941890287</v>
      </c>
      <c r="AC73" s="106">
        <v>8950.2571139050469</v>
      </c>
      <c r="AD73" s="106">
        <v>13.005851961950059</v>
      </c>
      <c r="AE73" s="106">
        <v>7272.8724171224721</v>
      </c>
      <c r="AF73" s="106">
        <v>19.006163313519281</v>
      </c>
      <c r="AG73" s="106">
        <v>10628.246524919981</v>
      </c>
      <c r="AH73" s="106">
        <v>12.005847930908203</v>
      </c>
      <c r="AI73" s="106">
        <v>6713.6701629638665</v>
      </c>
      <c r="AJ73" s="106">
        <v>17.002158270270893</v>
      </c>
      <c r="AK73" s="106">
        <v>9507.6069047354831</v>
      </c>
      <c r="AL73" s="106">
        <v>13</v>
      </c>
      <c r="AM73" s="106">
        <v>7269.5999999999995</v>
      </c>
      <c r="AN73" s="106">
        <v>15.004311762563328</v>
      </c>
      <c r="AO73" s="106">
        <v>8390.4111376254114</v>
      </c>
      <c r="AP73" s="106">
        <v>15</v>
      </c>
      <c r="AQ73" s="106">
        <v>8387.9999999999982</v>
      </c>
      <c r="AR73" s="106">
        <v>17.008649786620811</v>
      </c>
      <c r="AS73" s="106">
        <v>9511.2369606783559</v>
      </c>
      <c r="AT73" s="106">
        <v>15.00791589059896</v>
      </c>
      <c r="AU73" s="106">
        <v>8392.4265660229375</v>
      </c>
      <c r="AV73" s="106">
        <v>15.01654626160771</v>
      </c>
      <c r="AW73" s="106">
        <v>8397.2526694910302</v>
      </c>
      <c r="AX73" s="106">
        <v>15.008217768759593</v>
      </c>
      <c r="AY73" s="106">
        <v>8392.5953762903628</v>
      </c>
      <c r="AZ73" s="106">
        <v>7</v>
      </c>
      <c r="BA73" s="106">
        <v>3914.3999999999996</v>
      </c>
      <c r="BB73" s="106">
        <v>5.0042064855184156</v>
      </c>
      <c r="BC73" s="106">
        <v>2798.3522667018979</v>
      </c>
      <c r="BD73" s="106">
        <v>5.0086810377964639</v>
      </c>
      <c r="BE73" s="106">
        <v>2800.8544363357823</v>
      </c>
      <c r="BF73" s="106">
        <v>5.0027826002500939</v>
      </c>
      <c r="BG73" s="106">
        <v>2797.5560300598522</v>
      </c>
      <c r="BH73" s="106">
        <v>10.007574650018274</v>
      </c>
      <c r="BI73" s="106">
        <v>5596.2357442902185</v>
      </c>
      <c r="BJ73" s="106">
        <v>19</v>
      </c>
      <c r="BK73" s="106">
        <v>10624.8</v>
      </c>
      <c r="BL73" s="106">
        <v>11.014571900474186</v>
      </c>
      <c r="BM73" s="106">
        <v>6159.348606745164</v>
      </c>
      <c r="BN73" s="106">
        <v>13.005142328070935</v>
      </c>
      <c r="BO73" s="106">
        <v>7272.4755898572657</v>
      </c>
      <c r="BP73" s="106">
        <v>9.0027053114793354</v>
      </c>
      <c r="BQ73" s="106">
        <v>5034.3128101792436</v>
      </c>
      <c r="BR73" s="106">
        <v>6</v>
      </c>
      <c r="BS73" s="106">
        <v>3355.2</v>
      </c>
      <c r="BT73" s="106">
        <v>9.0051587097692174</v>
      </c>
      <c r="BU73" s="106">
        <v>5035.6847505029455</v>
      </c>
      <c r="BV73" s="106">
        <v>9</v>
      </c>
      <c r="BW73" s="106">
        <v>5032.7999999999993</v>
      </c>
      <c r="BX73" s="106">
        <v>6</v>
      </c>
      <c r="BY73" s="106">
        <v>3355.2</v>
      </c>
      <c r="BZ73" s="106">
        <v>6.0063651412098551</v>
      </c>
      <c r="CA73" s="106">
        <v>3358.7593869645507</v>
      </c>
      <c r="CB73" s="106">
        <v>6.0023197995649173</v>
      </c>
      <c r="CC73" s="106">
        <v>3356.4972319167014</v>
      </c>
      <c r="CD73" s="106">
        <v>7.0023829769944479</v>
      </c>
      <c r="CE73" s="106">
        <v>3915.732560735295</v>
      </c>
      <c r="CF73" s="106">
        <v>17.002962956440577</v>
      </c>
      <c r="CG73" s="106">
        <v>9508.056885241569</v>
      </c>
      <c r="CH73" s="106">
        <v>20.00498441154495</v>
      </c>
      <c r="CI73" s="106">
        <v>11186.787282935935</v>
      </c>
      <c r="CJ73" s="106">
        <v>20.007843036856642</v>
      </c>
      <c r="CK73" s="106">
        <v>11188.385826210233</v>
      </c>
      <c r="CL73" s="106">
        <v>15.004395593528738</v>
      </c>
      <c r="CM73" s="106">
        <v>8390.4580159012694</v>
      </c>
      <c r="CN73" s="106">
        <v>4.0032338258305948</v>
      </c>
      <c r="CO73" s="106">
        <v>2238.6083554044685</v>
      </c>
      <c r="CP73" s="106">
        <v>7</v>
      </c>
      <c r="CQ73" s="106">
        <v>3914.3999999999996</v>
      </c>
      <c r="CR73" s="106">
        <v>7</v>
      </c>
      <c r="CS73" s="106">
        <v>3914.3999999999996</v>
      </c>
      <c r="CT73" s="106">
        <v>5.0074165181059778</v>
      </c>
      <c r="CU73" s="106">
        <v>2800.1473169248625</v>
      </c>
    </row>
    <row r="74" spans="2:99" x14ac:dyDescent="0.2">
      <c r="C74" s="105" t="s">
        <v>241</v>
      </c>
      <c r="D74" s="106">
        <v>8.0429814563594935</v>
      </c>
      <c r="E74" s="106">
        <v>3242.9301232041475</v>
      </c>
      <c r="F74" s="106">
        <v>5.0376741863905323</v>
      </c>
      <c r="G74" s="106">
        <v>2031.1902319526625</v>
      </c>
      <c r="H74" s="106">
        <v>7.0377898763511686</v>
      </c>
      <c r="I74" s="106">
        <v>2837.6368781447909</v>
      </c>
      <c r="J74" s="106">
        <v>10.003141357804939</v>
      </c>
      <c r="K74" s="106">
        <v>4033.266595466951</v>
      </c>
      <c r="L74" s="106">
        <v>3.0053359631589607</v>
      </c>
      <c r="M74" s="106">
        <v>1211.751460345693</v>
      </c>
      <c r="N74" s="106">
        <v>4</v>
      </c>
      <c r="O74" s="106">
        <v>1612.8</v>
      </c>
      <c r="P74" s="106">
        <v>3</v>
      </c>
      <c r="Q74" s="106">
        <v>1209.5999999999999</v>
      </c>
      <c r="R74" s="106">
        <v>4.0094926095135719</v>
      </c>
      <c r="S74" s="106">
        <v>1616.6274201558722</v>
      </c>
      <c r="T74" s="106">
        <v>21.005184164949686</v>
      </c>
      <c r="U74" s="106">
        <v>8469.2902553077129</v>
      </c>
      <c r="V74" s="106">
        <v>36.002527378152649</v>
      </c>
      <c r="W74" s="106">
        <v>14516.219038871148</v>
      </c>
      <c r="X74" s="106">
        <v>23.003058621407746</v>
      </c>
      <c r="Y74" s="106">
        <v>9274.8332361516023</v>
      </c>
      <c r="Z74" s="106">
        <v>30.002696271101033</v>
      </c>
      <c r="AA74" s="106">
        <v>12097.087136507937</v>
      </c>
      <c r="AB74" s="106">
        <v>19.005466941890287</v>
      </c>
      <c r="AC74" s="106">
        <v>7663.0042709701638</v>
      </c>
      <c r="AD74" s="106">
        <v>14.006196195005945</v>
      </c>
      <c r="AE74" s="106">
        <v>5647.2983058263972</v>
      </c>
      <c r="AF74" s="106">
        <v>18.005546982167353</v>
      </c>
      <c r="AG74" s="106">
        <v>7259.8365432098763</v>
      </c>
      <c r="AH74" s="106">
        <v>11.007017517089844</v>
      </c>
      <c r="AI74" s="106">
        <v>4438.0294628906249</v>
      </c>
      <c r="AJ74" s="106">
        <v>19.001918462463017</v>
      </c>
      <c r="AK74" s="106">
        <v>7661.5735240650883</v>
      </c>
      <c r="AL74" s="106">
        <v>14</v>
      </c>
      <c r="AM74" s="106">
        <v>5644.8</v>
      </c>
      <c r="AN74" s="106">
        <v>16.00464343660666</v>
      </c>
      <c r="AO74" s="106">
        <v>6453.0722336398048</v>
      </c>
      <c r="AP74" s="106">
        <v>15</v>
      </c>
      <c r="AQ74" s="106">
        <v>6048</v>
      </c>
      <c r="AR74" s="106">
        <v>17.00896624222889</v>
      </c>
      <c r="AS74" s="106">
        <v>6858.0151888666887</v>
      </c>
      <c r="AT74" s="106">
        <v>14.008163262180178</v>
      </c>
      <c r="AU74" s="106">
        <v>5648.0914273110475</v>
      </c>
      <c r="AV74" s="106">
        <v>18.015758344388296</v>
      </c>
      <c r="AW74" s="106">
        <v>7263.9537644573602</v>
      </c>
      <c r="AX74" s="106">
        <v>16.008217768759593</v>
      </c>
      <c r="AY74" s="106">
        <v>6454.5134043638682</v>
      </c>
      <c r="AZ74" s="106">
        <v>6</v>
      </c>
      <c r="BA74" s="106">
        <v>2419.1999999999998</v>
      </c>
      <c r="BB74" s="106">
        <v>5.0045888932928175</v>
      </c>
      <c r="BC74" s="106">
        <v>2017.850241775664</v>
      </c>
      <c r="BD74" s="106">
        <v>5.008013265658275</v>
      </c>
      <c r="BE74" s="106">
        <v>2019.2309487134164</v>
      </c>
      <c r="BF74" s="106">
        <v>5.0027826002500939</v>
      </c>
      <c r="BG74" s="106">
        <v>2017.1219444208377</v>
      </c>
      <c r="BH74" s="106">
        <v>12.007574650018274</v>
      </c>
      <c r="BI74" s="106">
        <v>4841.4540988873678</v>
      </c>
      <c r="BJ74" s="106">
        <v>17</v>
      </c>
      <c r="BK74" s="106">
        <v>6854.4</v>
      </c>
      <c r="BL74" s="106">
        <v>11.014936197986041</v>
      </c>
      <c r="BM74" s="106">
        <v>4441.2222750279716</v>
      </c>
      <c r="BN74" s="106">
        <v>12.005325982644896</v>
      </c>
      <c r="BO74" s="106">
        <v>4840.5474362024224</v>
      </c>
      <c r="BP74" s="106">
        <v>8.0028985480135741</v>
      </c>
      <c r="BQ74" s="106">
        <v>3226.7686945590731</v>
      </c>
      <c r="BR74" s="106">
        <v>6</v>
      </c>
      <c r="BS74" s="106">
        <v>2419.1999999999998</v>
      </c>
      <c r="BT74" s="106">
        <v>10.005158709769217</v>
      </c>
      <c r="BU74" s="106">
        <v>4034.0799917789482</v>
      </c>
      <c r="BV74" s="106">
        <v>8</v>
      </c>
      <c r="BW74" s="106">
        <v>3225.6</v>
      </c>
      <c r="BX74" s="106">
        <v>6</v>
      </c>
      <c r="BY74" s="106">
        <v>2419.1999999999998</v>
      </c>
      <c r="BZ74" s="106">
        <v>6.0060301337777577</v>
      </c>
      <c r="CA74" s="106">
        <v>2421.6313499391918</v>
      </c>
      <c r="CB74" s="106">
        <v>6.0023197995649173</v>
      </c>
      <c r="CC74" s="106">
        <v>2420.1353431845746</v>
      </c>
      <c r="CD74" s="106">
        <v>7.0023829769944479</v>
      </c>
      <c r="CE74" s="106">
        <v>2823.3608163241615</v>
      </c>
      <c r="CF74" s="106">
        <v>15.002666660796519</v>
      </c>
      <c r="CG74" s="106">
        <v>6049.0751976331567</v>
      </c>
      <c r="CH74" s="106">
        <v>21.00498441154495</v>
      </c>
      <c r="CI74" s="106">
        <v>8469.2097147349232</v>
      </c>
      <c r="CJ74" s="106">
        <v>21.009269043557847</v>
      </c>
      <c r="CK74" s="106">
        <v>8470.937278362524</v>
      </c>
      <c r="CL74" s="106">
        <v>18.004395593528738</v>
      </c>
      <c r="CM74" s="106">
        <v>7259.3723033107872</v>
      </c>
      <c r="CN74" s="106">
        <v>4.0027363141643493</v>
      </c>
      <c r="CO74" s="106">
        <v>1613.9032818710655</v>
      </c>
      <c r="CP74" s="106">
        <v>7</v>
      </c>
      <c r="CQ74" s="106">
        <v>2822.4</v>
      </c>
      <c r="CR74" s="106">
        <v>7</v>
      </c>
      <c r="CS74" s="106">
        <v>2822.4</v>
      </c>
      <c r="CT74" s="106">
        <v>6.0074165181059778</v>
      </c>
      <c r="CU74" s="106">
        <v>2422.1903401003301</v>
      </c>
    </row>
    <row r="75" spans="2:99" x14ac:dyDescent="0.2">
      <c r="C75" s="105" t="s">
        <v>242</v>
      </c>
      <c r="D75" s="106">
        <v>7.0429814563594944</v>
      </c>
      <c r="E75" s="106">
        <v>4530.0456727304263</v>
      </c>
      <c r="F75" s="106">
        <v>5.0397671967455624</v>
      </c>
      <c r="G75" s="106">
        <v>3241.5782609467456</v>
      </c>
      <c r="H75" s="106">
        <v>6.0401517436231167</v>
      </c>
      <c r="I75" s="106">
        <v>3885.0256014983884</v>
      </c>
      <c r="J75" s="106">
        <v>8.0029319339512757</v>
      </c>
      <c r="K75" s="106">
        <v>5147.4858199174596</v>
      </c>
      <c r="L75" s="106">
        <v>3.0053359631589607</v>
      </c>
      <c r="M75" s="106">
        <v>1933.0320915038433</v>
      </c>
      <c r="N75" s="106">
        <v>5</v>
      </c>
      <c r="O75" s="106">
        <v>3215.9999999999995</v>
      </c>
      <c r="P75" s="106">
        <v>3</v>
      </c>
      <c r="Q75" s="106">
        <v>1929.6</v>
      </c>
      <c r="R75" s="106">
        <v>3.0108019349637196</v>
      </c>
      <c r="S75" s="106">
        <v>1936.5478045686643</v>
      </c>
      <c r="T75" s="106">
        <v>21.004911314162861</v>
      </c>
      <c r="U75" s="106">
        <v>13510.358957269551</v>
      </c>
      <c r="V75" s="106">
        <v>38.002527378152649</v>
      </c>
      <c r="W75" s="106">
        <v>24443.225609627782</v>
      </c>
      <c r="X75" s="106">
        <v>26.003228544819287</v>
      </c>
      <c r="Y75" s="106">
        <v>16725.276600027762</v>
      </c>
      <c r="Z75" s="106">
        <v>30.00253766691862</v>
      </c>
      <c r="AA75" s="106">
        <v>19297.632227362054</v>
      </c>
      <c r="AB75" s="106">
        <v>18.005466941890287</v>
      </c>
      <c r="AC75" s="106">
        <v>11581.116337023832</v>
      </c>
      <c r="AD75" s="106">
        <v>14.006540428061831</v>
      </c>
      <c r="AE75" s="106">
        <v>9009.0068033293683</v>
      </c>
      <c r="AF75" s="106">
        <v>19.006163313519281</v>
      </c>
      <c r="AG75" s="106">
        <v>12224.7642432556</v>
      </c>
      <c r="AH75" s="106">
        <v>12.006627655029297</v>
      </c>
      <c r="AI75" s="106">
        <v>7722.6629077148427</v>
      </c>
      <c r="AJ75" s="106">
        <v>18.002158270270893</v>
      </c>
      <c r="AK75" s="106">
        <v>11578.988199438238</v>
      </c>
      <c r="AL75" s="106">
        <v>12</v>
      </c>
      <c r="AM75" s="106">
        <v>7718.4</v>
      </c>
      <c r="AN75" s="106">
        <v>13.004975110649992</v>
      </c>
      <c r="AO75" s="106">
        <v>8364.7999911700736</v>
      </c>
      <c r="AP75" s="106">
        <v>16</v>
      </c>
      <c r="AQ75" s="106">
        <v>10291.199999999999</v>
      </c>
      <c r="AR75" s="106">
        <v>16.008544301418119</v>
      </c>
      <c r="AS75" s="106">
        <v>10296.695694672133</v>
      </c>
      <c r="AT75" s="106">
        <v>14.008039576389569</v>
      </c>
      <c r="AU75" s="106">
        <v>9009.9710555337697</v>
      </c>
      <c r="AV75" s="106">
        <v>16.015758344388296</v>
      </c>
      <c r="AW75" s="106">
        <v>10301.335767110551</v>
      </c>
      <c r="AX75" s="106">
        <v>14.008320490869087</v>
      </c>
      <c r="AY75" s="106">
        <v>9010.1517397269963</v>
      </c>
      <c r="AZ75" s="106">
        <v>7</v>
      </c>
      <c r="BA75" s="106">
        <v>4502.3999999999996</v>
      </c>
      <c r="BB75" s="106">
        <v>5.0038240777440146</v>
      </c>
      <c r="BC75" s="106">
        <v>3218.4596468049499</v>
      </c>
      <c r="BD75" s="106">
        <v>5.0073454935200852</v>
      </c>
      <c r="BE75" s="106">
        <v>3220.7246214321185</v>
      </c>
      <c r="BF75" s="106">
        <v>5.0024347752188323</v>
      </c>
      <c r="BG75" s="106">
        <v>3217.5660474207525</v>
      </c>
      <c r="BH75" s="106">
        <v>10.008739980790317</v>
      </c>
      <c r="BI75" s="106">
        <v>6437.6215556443312</v>
      </c>
      <c r="BJ75" s="106">
        <v>18</v>
      </c>
      <c r="BK75" s="106">
        <v>11577.599999999999</v>
      </c>
      <c r="BL75" s="106">
        <v>10.014207602962331</v>
      </c>
      <c r="BM75" s="106">
        <v>6441.1383302253707</v>
      </c>
      <c r="BN75" s="106">
        <v>13.005325982644896</v>
      </c>
      <c r="BO75" s="106">
        <v>8365.0256720371963</v>
      </c>
      <c r="BP75" s="106">
        <v>8.0027053114793354</v>
      </c>
      <c r="BQ75" s="106">
        <v>5147.340056343508</v>
      </c>
      <c r="BR75" s="106">
        <v>6</v>
      </c>
      <c r="BS75" s="106">
        <v>3859.2</v>
      </c>
      <c r="BT75" s="106">
        <v>9.0047618859408161</v>
      </c>
      <c r="BU75" s="106">
        <v>5791.8628450371325</v>
      </c>
      <c r="BV75" s="106">
        <v>9</v>
      </c>
      <c r="BW75" s="106">
        <v>5788.7999999999993</v>
      </c>
      <c r="BX75" s="106">
        <v>6</v>
      </c>
      <c r="BY75" s="106">
        <v>3859.2</v>
      </c>
      <c r="BZ75" s="106">
        <v>6.0063651412098551</v>
      </c>
      <c r="CA75" s="106">
        <v>3863.2940588261786</v>
      </c>
      <c r="CB75" s="106">
        <v>6.0026511995027629</v>
      </c>
      <c r="CC75" s="106">
        <v>3860.9052515201765</v>
      </c>
      <c r="CD75" s="106">
        <v>8.0025531896369095</v>
      </c>
      <c r="CE75" s="106">
        <v>5147.2422115744594</v>
      </c>
      <c r="CF75" s="106">
        <v>14.002666660796519</v>
      </c>
      <c r="CG75" s="106">
        <v>9006.5151962243199</v>
      </c>
      <c r="CH75" s="106">
        <v>20.004361360101829</v>
      </c>
      <c r="CI75" s="106">
        <v>12866.805226817494</v>
      </c>
      <c r="CJ75" s="106">
        <v>22.007843036856642</v>
      </c>
      <c r="CK75" s="106">
        <v>14155.444641306191</v>
      </c>
      <c r="CL75" s="106">
        <v>17.004395593528738</v>
      </c>
      <c r="CM75" s="106">
        <v>10937.227245757684</v>
      </c>
      <c r="CN75" s="106">
        <v>5.0029850699974725</v>
      </c>
      <c r="CO75" s="106">
        <v>3217.919997022374</v>
      </c>
      <c r="CP75" s="106">
        <v>6</v>
      </c>
      <c r="CQ75" s="106">
        <v>3859.2</v>
      </c>
      <c r="CR75" s="106">
        <v>6</v>
      </c>
      <c r="CS75" s="106">
        <v>3859.2</v>
      </c>
      <c r="CT75" s="106">
        <v>6.0074165181059778</v>
      </c>
      <c r="CU75" s="106">
        <v>3863.9703044457647</v>
      </c>
    </row>
    <row r="76" spans="2:99" x14ac:dyDescent="0.2">
      <c r="C76" s="105" t="s">
        <v>243</v>
      </c>
      <c r="D76" s="106">
        <v>7.0429814563594944</v>
      </c>
      <c r="E76" s="106">
        <v>5485.0739582127735</v>
      </c>
      <c r="F76" s="106">
        <v>6.0439532174556216</v>
      </c>
      <c r="G76" s="106">
        <v>4707.0307657544381</v>
      </c>
      <c r="H76" s="106">
        <v>6.0330661418072733</v>
      </c>
      <c r="I76" s="106">
        <v>4698.5519112395041</v>
      </c>
      <c r="J76" s="106">
        <v>9.003350781658602</v>
      </c>
      <c r="K76" s="106">
        <v>7011.8095887557192</v>
      </c>
      <c r="L76" s="106">
        <v>3.0047430783635205</v>
      </c>
      <c r="M76" s="106">
        <v>2340.0939094295095</v>
      </c>
      <c r="N76" s="106">
        <v>4</v>
      </c>
      <c r="O76" s="106">
        <v>3115.2</v>
      </c>
      <c r="P76" s="106">
        <v>3</v>
      </c>
      <c r="Q76" s="106">
        <v>2336.3999999999996</v>
      </c>
      <c r="R76" s="106">
        <v>3.0108019349637196</v>
      </c>
      <c r="S76" s="106">
        <v>2344.8125469497445</v>
      </c>
      <c r="T76" s="106">
        <v>21.005457015736511</v>
      </c>
      <c r="U76" s="106">
        <v>16359.049923855593</v>
      </c>
      <c r="V76" s="106">
        <v>33.0023588862758</v>
      </c>
      <c r="W76" s="106">
        <v>25702.237100631592</v>
      </c>
      <c r="X76" s="106">
        <v>23.003058621407746</v>
      </c>
      <c r="Y76" s="106">
        <v>17914.782054352352</v>
      </c>
      <c r="Z76" s="106">
        <v>34.00253766691862</v>
      </c>
      <c r="AA76" s="106">
        <v>26481.17633499622</v>
      </c>
      <c r="AB76" s="106">
        <v>17.005466941890287</v>
      </c>
      <c r="AC76" s="106">
        <v>13243.857654344154</v>
      </c>
      <c r="AD76" s="106">
        <v>13.006196195005945</v>
      </c>
      <c r="AE76" s="106">
        <v>10129.225596670629</v>
      </c>
      <c r="AF76" s="106">
        <v>18.006163313519281</v>
      </c>
      <c r="AG76" s="106">
        <v>14023.199988568815</v>
      </c>
      <c r="AH76" s="106">
        <v>12.006627655029297</v>
      </c>
      <c r="AI76" s="106">
        <v>9350.7616177368163</v>
      </c>
      <c r="AJ76" s="106">
        <v>16.001918462463017</v>
      </c>
      <c r="AK76" s="106">
        <v>12462.294098566197</v>
      </c>
      <c r="AL76" s="106">
        <v>13</v>
      </c>
      <c r="AM76" s="106">
        <v>10124.4</v>
      </c>
      <c r="AN76" s="106">
        <v>15.004975110649992</v>
      </c>
      <c r="AO76" s="106">
        <v>11685.874616174213</v>
      </c>
      <c r="AP76" s="106">
        <v>14</v>
      </c>
      <c r="AQ76" s="106">
        <v>10903.199999999999</v>
      </c>
      <c r="AR76" s="106">
        <v>18.00822784581004</v>
      </c>
      <c r="AS76" s="106">
        <v>14024.807846316859</v>
      </c>
      <c r="AT76" s="106">
        <v>15.008658005342614</v>
      </c>
      <c r="AU76" s="106">
        <v>11688.742854560827</v>
      </c>
      <c r="AV76" s="106">
        <v>16.013657231803187</v>
      </c>
      <c r="AW76" s="106">
        <v>12471.436252128322</v>
      </c>
      <c r="AX76" s="106">
        <v>15.008525935088077</v>
      </c>
      <c r="AY76" s="106">
        <v>11688.639998246594</v>
      </c>
      <c r="AZ76" s="106">
        <v>6</v>
      </c>
      <c r="BA76" s="106">
        <v>4672.7999999999993</v>
      </c>
      <c r="BB76" s="106">
        <v>5.0042064855184156</v>
      </c>
      <c r="BC76" s="106">
        <v>3897.276010921742</v>
      </c>
      <c r="BD76" s="106">
        <v>5.0086810377964639</v>
      </c>
      <c r="BE76" s="106">
        <v>3900.7607922358857</v>
      </c>
      <c r="BF76" s="106">
        <v>5.0024347752188323</v>
      </c>
      <c r="BG76" s="106">
        <v>3895.8962029404265</v>
      </c>
      <c r="BH76" s="106">
        <v>10.007574650018274</v>
      </c>
      <c r="BI76" s="106">
        <v>7793.8991374342313</v>
      </c>
      <c r="BJ76" s="106">
        <v>16</v>
      </c>
      <c r="BK76" s="106">
        <v>12460.8</v>
      </c>
      <c r="BL76" s="106">
        <v>10.015300495497895</v>
      </c>
      <c r="BM76" s="106">
        <v>7799.91602589376</v>
      </c>
      <c r="BN76" s="106">
        <v>12.005142328070935</v>
      </c>
      <c r="BO76" s="106">
        <v>9349.6048451016431</v>
      </c>
      <c r="BP76" s="106">
        <v>8.0027053114793354</v>
      </c>
      <c r="BQ76" s="106">
        <v>6232.5068965801056</v>
      </c>
      <c r="BR76" s="106">
        <v>6</v>
      </c>
      <c r="BS76" s="106">
        <v>4672.7999999999993</v>
      </c>
      <c r="BT76" s="106">
        <v>10.004761885940816</v>
      </c>
      <c r="BU76" s="106">
        <v>7791.7085567707072</v>
      </c>
      <c r="BV76" s="106">
        <v>8</v>
      </c>
      <c r="BW76" s="106">
        <v>6230.4</v>
      </c>
      <c r="BX76" s="106">
        <v>6</v>
      </c>
      <c r="BY76" s="106">
        <v>4672.7999999999993</v>
      </c>
      <c r="BZ76" s="106">
        <v>6.0063651412098551</v>
      </c>
      <c r="CA76" s="106">
        <v>4677.7571719742346</v>
      </c>
      <c r="CB76" s="106">
        <v>6.0026511995027629</v>
      </c>
      <c r="CC76" s="106">
        <v>4674.8647541727514</v>
      </c>
      <c r="CD76" s="106">
        <v>7.0025531896369086</v>
      </c>
      <c r="CE76" s="106">
        <v>5453.5884240892237</v>
      </c>
      <c r="CF76" s="106">
        <v>16.002666660796521</v>
      </c>
      <c r="CG76" s="106">
        <v>12462.87679542833</v>
      </c>
      <c r="CH76" s="106">
        <v>18.00498441154495</v>
      </c>
      <c r="CI76" s="106">
        <v>14022.281859711205</v>
      </c>
      <c r="CJ76" s="106">
        <v>20.007843036856642</v>
      </c>
      <c r="CK76" s="106">
        <v>15582.108157103952</v>
      </c>
      <c r="CL76" s="106">
        <v>17.004395593528738</v>
      </c>
      <c r="CM76" s="106">
        <v>13243.02328824018</v>
      </c>
      <c r="CN76" s="106">
        <v>5.0027363141643493</v>
      </c>
      <c r="CO76" s="106">
        <v>3896.1310414711952</v>
      </c>
      <c r="CP76" s="106">
        <v>6</v>
      </c>
      <c r="CQ76" s="106">
        <v>4672.7999999999993</v>
      </c>
      <c r="CR76" s="106">
        <v>7</v>
      </c>
      <c r="CS76" s="106">
        <v>5451.5999999999995</v>
      </c>
      <c r="CT76" s="106">
        <v>5.0059332144847826</v>
      </c>
      <c r="CU76" s="106">
        <v>3898.6207874407482</v>
      </c>
    </row>
    <row r="77" spans="2:99" x14ac:dyDescent="0.2">
      <c r="C77" s="105" t="s">
        <v>244</v>
      </c>
      <c r="D77" s="106">
        <v>7.0455097773218176</v>
      </c>
      <c r="E77" s="106">
        <v>1961.469922006394</v>
      </c>
      <c r="F77" s="106">
        <v>5.0439532174556216</v>
      </c>
      <c r="G77" s="106">
        <v>1404.2365757396449</v>
      </c>
      <c r="H77" s="106">
        <v>7.0401517436231167</v>
      </c>
      <c r="I77" s="106">
        <v>1959.9782454246756</v>
      </c>
      <c r="J77" s="106">
        <v>9.0035602055122652</v>
      </c>
      <c r="K77" s="106">
        <v>2506.5911612146147</v>
      </c>
      <c r="L77" s="106">
        <v>3.0053359631589607</v>
      </c>
      <c r="M77" s="106">
        <v>836.68553214345457</v>
      </c>
      <c r="N77" s="106">
        <v>4</v>
      </c>
      <c r="O77" s="106">
        <v>1113.5999999999999</v>
      </c>
      <c r="P77" s="106">
        <v>3</v>
      </c>
      <c r="Q77" s="106">
        <v>835.19999999999993</v>
      </c>
      <c r="R77" s="106">
        <v>3.0114565976887935</v>
      </c>
      <c r="S77" s="106">
        <v>838.38951679656009</v>
      </c>
      <c r="T77" s="106">
        <v>21.004911314162861</v>
      </c>
      <c r="U77" s="106">
        <v>5847.7673098629402</v>
      </c>
      <c r="V77" s="106">
        <v>37.002695870029491</v>
      </c>
      <c r="W77" s="106">
        <v>10301.550530216209</v>
      </c>
      <c r="X77" s="106">
        <v>23.003228544819287</v>
      </c>
      <c r="Y77" s="106">
        <v>6404.0988268776891</v>
      </c>
      <c r="Z77" s="106">
        <v>33.00269627110103</v>
      </c>
      <c r="AA77" s="106">
        <v>9187.9506418745259</v>
      </c>
      <c r="AB77" s="106">
        <v>16.005922520381144</v>
      </c>
      <c r="AC77" s="106">
        <v>4456.0488296741105</v>
      </c>
      <c r="AD77" s="106">
        <v>15.006540428061831</v>
      </c>
      <c r="AE77" s="106">
        <v>4177.8208551724138</v>
      </c>
      <c r="AF77" s="106">
        <v>19.006471479195245</v>
      </c>
      <c r="AG77" s="106">
        <v>5291.4016598079561</v>
      </c>
      <c r="AH77" s="106">
        <v>12.006627655029297</v>
      </c>
      <c r="AI77" s="106">
        <v>3342.6451391601558</v>
      </c>
      <c r="AJ77" s="106">
        <v>18.002158270270893</v>
      </c>
      <c r="AK77" s="106">
        <v>5011.800862443416</v>
      </c>
      <c r="AL77" s="106">
        <v>12</v>
      </c>
      <c r="AM77" s="106">
        <v>3340.7999999999997</v>
      </c>
      <c r="AN77" s="106">
        <v>14.004975110649992</v>
      </c>
      <c r="AO77" s="106">
        <v>3898.9850708049576</v>
      </c>
      <c r="AP77" s="106">
        <v>15</v>
      </c>
      <c r="AQ77" s="106">
        <v>4176</v>
      </c>
      <c r="AR77" s="106">
        <v>18.008333331012732</v>
      </c>
      <c r="AS77" s="106">
        <v>5013.5199993539445</v>
      </c>
      <c r="AT77" s="106">
        <v>15.00902906271444</v>
      </c>
      <c r="AU77" s="106">
        <v>4178.5136910596993</v>
      </c>
      <c r="AV77" s="106">
        <v>18.01497042716888</v>
      </c>
      <c r="AW77" s="106">
        <v>5015.3677669238159</v>
      </c>
      <c r="AX77" s="106">
        <v>16.008628657197573</v>
      </c>
      <c r="AY77" s="106">
        <v>4456.8022181638034</v>
      </c>
      <c r="AZ77" s="106">
        <v>7</v>
      </c>
      <c r="BA77" s="106">
        <v>1948.7999999999997</v>
      </c>
      <c r="BB77" s="106">
        <v>5.0042064855184156</v>
      </c>
      <c r="BC77" s="106">
        <v>1393.1710855683268</v>
      </c>
      <c r="BD77" s="106">
        <v>5.0086810377964639</v>
      </c>
      <c r="BE77" s="106">
        <v>1394.4168009225355</v>
      </c>
      <c r="BF77" s="106">
        <v>4.0027826002500939</v>
      </c>
      <c r="BG77" s="106">
        <v>1114.3746759096261</v>
      </c>
      <c r="BH77" s="106">
        <v>11.00801164905779</v>
      </c>
      <c r="BI77" s="106">
        <v>3064.6304430976884</v>
      </c>
      <c r="BJ77" s="106">
        <v>19</v>
      </c>
      <c r="BK77" s="106">
        <v>5289.5999999999995</v>
      </c>
      <c r="BL77" s="106">
        <v>10.015300495497895</v>
      </c>
      <c r="BM77" s="106">
        <v>2788.259657946614</v>
      </c>
      <c r="BN77" s="106">
        <v>13.005325982644896</v>
      </c>
      <c r="BO77" s="106">
        <v>3620.6827535683387</v>
      </c>
      <c r="BP77" s="106">
        <v>9.0028985480135741</v>
      </c>
      <c r="BQ77" s="106">
        <v>2506.4069557669786</v>
      </c>
      <c r="BR77" s="106">
        <v>7</v>
      </c>
      <c r="BS77" s="106">
        <v>1948.7999999999997</v>
      </c>
      <c r="BT77" s="106">
        <v>9.0055555335976187</v>
      </c>
      <c r="BU77" s="106">
        <v>2507.146660553577</v>
      </c>
      <c r="BV77" s="106">
        <v>9</v>
      </c>
      <c r="BW77" s="106">
        <v>2505.6</v>
      </c>
      <c r="BX77" s="106">
        <v>6</v>
      </c>
      <c r="BY77" s="106">
        <v>1670.3999999999999</v>
      </c>
      <c r="BZ77" s="106">
        <v>7.0063651412098551</v>
      </c>
      <c r="CA77" s="106">
        <v>1950.5720553128235</v>
      </c>
      <c r="CB77" s="106">
        <v>6.0024854995338401</v>
      </c>
      <c r="CC77" s="106">
        <v>1671.091963070221</v>
      </c>
      <c r="CD77" s="106">
        <v>7.0025531896369086</v>
      </c>
      <c r="CE77" s="106">
        <v>1949.5108079949152</v>
      </c>
      <c r="CF77" s="106">
        <v>16.002962956440577</v>
      </c>
      <c r="CG77" s="106">
        <v>4455.2248870730564</v>
      </c>
      <c r="CH77" s="106">
        <v>20.004672885823389</v>
      </c>
      <c r="CI77" s="106">
        <v>5569.3009314132314</v>
      </c>
      <c r="CJ77" s="106">
        <v>21.008556040207246</v>
      </c>
      <c r="CK77" s="106">
        <v>5848.7820015936968</v>
      </c>
      <c r="CL77" s="106">
        <v>17.004395593528738</v>
      </c>
      <c r="CM77" s="106">
        <v>4734.0237332384004</v>
      </c>
      <c r="CN77" s="106">
        <v>4.0027363141643493</v>
      </c>
      <c r="CO77" s="106">
        <v>1114.3617898633547</v>
      </c>
      <c r="CP77" s="106">
        <v>6</v>
      </c>
      <c r="CQ77" s="106">
        <v>1670.3999999999999</v>
      </c>
      <c r="CR77" s="106">
        <v>6</v>
      </c>
      <c r="CS77" s="106">
        <v>1670.3999999999999</v>
      </c>
      <c r="CT77" s="106">
        <v>6.0074165181059778</v>
      </c>
      <c r="CU77" s="106">
        <v>1672.4647586407041</v>
      </c>
    </row>
    <row r="78" spans="2:99" x14ac:dyDescent="0.2">
      <c r="C78" s="105" t="s">
        <v>245</v>
      </c>
      <c r="D78" s="106">
        <v>7.0429814563594944</v>
      </c>
      <c r="E78" s="106">
        <v>3887.7257639104409</v>
      </c>
      <c r="F78" s="106">
        <v>5.0418602071005916</v>
      </c>
      <c r="G78" s="106">
        <v>2783.1068343195266</v>
      </c>
      <c r="H78" s="106">
        <v>7.0354280090792214</v>
      </c>
      <c r="I78" s="106">
        <v>3883.5562610117304</v>
      </c>
      <c r="J78" s="106">
        <v>9.0035602055122652</v>
      </c>
      <c r="K78" s="106">
        <v>4969.9652334427701</v>
      </c>
      <c r="L78" s="106">
        <v>3.0053359631589607</v>
      </c>
      <c r="M78" s="106">
        <v>1658.9454516637463</v>
      </c>
      <c r="N78" s="106">
        <v>5</v>
      </c>
      <c r="O78" s="106">
        <v>2760</v>
      </c>
      <c r="P78" s="106">
        <v>3</v>
      </c>
      <c r="Q78" s="106">
        <v>1656</v>
      </c>
      <c r="R78" s="106">
        <v>4.0108019349637196</v>
      </c>
      <c r="S78" s="106">
        <v>2213.9626680999731</v>
      </c>
      <c r="T78" s="106">
        <v>19.004911314162861</v>
      </c>
      <c r="U78" s="106">
        <v>10490.7110454179</v>
      </c>
      <c r="V78" s="106">
        <v>34.002527378152649</v>
      </c>
      <c r="W78" s="106">
        <v>18769.395112740262</v>
      </c>
      <c r="X78" s="106">
        <v>21.003228544819287</v>
      </c>
      <c r="Y78" s="106">
        <v>11593.782156740246</v>
      </c>
      <c r="Z78" s="106">
        <v>33.00269627110103</v>
      </c>
      <c r="AA78" s="106">
        <v>18217.488341647768</v>
      </c>
      <c r="AB78" s="106">
        <v>16.005922520381144</v>
      </c>
      <c r="AC78" s="106">
        <v>8835.2692312503914</v>
      </c>
      <c r="AD78" s="106">
        <v>14.006196195005945</v>
      </c>
      <c r="AE78" s="106">
        <v>7731.4202996432814</v>
      </c>
      <c r="AF78" s="106">
        <v>19.005546982167353</v>
      </c>
      <c r="AG78" s="106">
        <v>10491.061934156378</v>
      </c>
      <c r="AH78" s="106">
        <v>11.006237792968751</v>
      </c>
      <c r="AI78" s="106">
        <v>6075.4432617187504</v>
      </c>
      <c r="AJ78" s="106">
        <v>17.002158270270893</v>
      </c>
      <c r="AK78" s="106">
        <v>9385.1913651895338</v>
      </c>
      <c r="AL78" s="106">
        <v>14</v>
      </c>
      <c r="AM78" s="106">
        <v>7728</v>
      </c>
      <c r="AN78" s="106">
        <v>14.004975110649992</v>
      </c>
      <c r="AO78" s="106">
        <v>7730.7462610787961</v>
      </c>
      <c r="AP78" s="106">
        <v>14</v>
      </c>
      <c r="AQ78" s="106">
        <v>7728</v>
      </c>
      <c r="AR78" s="106">
        <v>17.007700419796578</v>
      </c>
      <c r="AS78" s="106">
        <v>9388.2506317277112</v>
      </c>
      <c r="AT78" s="106">
        <v>14.009152748505048</v>
      </c>
      <c r="AU78" s="106">
        <v>7733.0523171747864</v>
      </c>
      <c r="AV78" s="106">
        <v>16.015758344388296</v>
      </c>
      <c r="AW78" s="106">
        <v>8840.6986061023399</v>
      </c>
      <c r="AX78" s="106">
        <v>16.008525935088077</v>
      </c>
      <c r="AY78" s="106">
        <v>8836.7063161686183</v>
      </c>
      <c r="AZ78" s="106">
        <v>6</v>
      </c>
      <c r="BA78" s="106">
        <v>3312</v>
      </c>
      <c r="BB78" s="106">
        <v>5.0038240777440146</v>
      </c>
      <c r="BC78" s="106">
        <v>2762.110890914696</v>
      </c>
      <c r="BD78" s="106">
        <v>6.008013265658275</v>
      </c>
      <c r="BE78" s="106">
        <v>3316.423322643368</v>
      </c>
      <c r="BF78" s="106">
        <v>5.0027826002500939</v>
      </c>
      <c r="BG78" s="106">
        <v>2761.5359953380516</v>
      </c>
      <c r="BH78" s="106">
        <v>10.007574650018274</v>
      </c>
      <c r="BI78" s="106">
        <v>5524.1812068100871</v>
      </c>
      <c r="BJ78" s="106">
        <v>18</v>
      </c>
      <c r="BK78" s="106">
        <v>9936</v>
      </c>
      <c r="BL78" s="106">
        <v>11.016029090521604</v>
      </c>
      <c r="BM78" s="106">
        <v>6080.8480579679253</v>
      </c>
      <c r="BN78" s="106">
        <v>13.005325982644896</v>
      </c>
      <c r="BO78" s="106">
        <v>7178.9399424199828</v>
      </c>
      <c r="BP78" s="106">
        <v>8.0025120749450966</v>
      </c>
      <c r="BQ78" s="106">
        <v>4417.3866653696932</v>
      </c>
      <c r="BR78" s="106">
        <v>6</v>
      </c>
      <c r="BS78" s="106">
        <v>3312</v>
      </c>
      <c r="BT78" s="106">
        <v>9.0047618859408161</v>
      </c>
      <c r="BU78" s="106">
        <v>4970.6285610393306</v>
      </c>
      <c r="BV78" s="106">
        <v>9</v>
      </c>
      <c r="BW78" s="106">
        <v>4968</v>
      </c>
      <c r="BX78" s="106">
        <v>6</v>
      </c>
      <c r="BY78" s="106">
        <v>3312</v>
      </c>
      <c r="BZ78" s="106">
        <v>7.0063651412098551</v>
      </c>
      <c r="CA78" s="106">
        <v>3867.5135579478401</v>
      </c>
      <c r="CB78" s="106">
        <v>6.0026511995027629</v>
      </c>
      <c r="CC78" s="106">
        <v>3313.463462125525</v>
      </c>
      <c r="CD78" s="106">
        <v>7.0025531896369086</v>
      </c>
      <c r="CE78" s="106">
        <v>3865.4093606795736</v>
      </c>
      <c r="CF78" s="106">
        <v>18.002962956440577</v>
      </c>
      <c r="CG78" s="106">
        <v>9937.635551955198</v>
      </c>
      <c r="CH78" s="106">
        <v>18.004672885823389</v>
      </c>
      <c r="CI78" s="106">
        <v>9938.5794329745113</v>
      </c>
      <c r="CJ78" s="106">
        <v>23.008556040207246</v>
      </c>
      <c r="CK78" s="106">
        <v>12700.7229341944</v>
      </c>
      <c r="CL78" s="106">
        <v>16.004395593528738</v>
      </c>
      <c r="CM78" s="106">
        <v>8834.4263676278624</v>
      </c>
      <c r="CN78" s="106">
        <v>5.0029850699974725</v>
      </c>
      <c r="CO78" s="106">
        <v>2761.647758638605</v>
      </c>
      <c r="CP78" s="106">
        <v>6</v>
      </c>
      <c r="CQ78" s="106">
        <v>3312</v>
      </c>
      <c r="CR78" s="106">
        <v>7</v>
      </c>
      <c r="CS78" s="106">
        <v>3864</v>
      </c>
      <c r="CT78" s="106">
        <v>5.0069220835655797</v>
      </c>
      <c r="CU78" s="106">
        <v>2763.8209901281998</v>
      </c>
    </row>
    <row r="79" spans="2:99" x14ac:dyDescent="0.2">
      <c r="C79" s="105" t="s">
        <v>246</v>
      </c>
      <c r="D79" s="106">
        <v>6.0379248144348479</v>
      </c>
      <c r="E79" s="106">
        <v>4571.9166694900659</v>
      </c>
      <c r="F79" s="106">
        <v>6.0397671967455624</v>
      </c>
      <c r="G79" s="106">
        <v>4573.3117213757396</v>
      </c>
      <c r="H79" s="106">
        <v>7.0401517436231167</v>
      </c>
      <c r="I79" s="106">
        <v>5330.8029002714238</v>
      </c>
      <c r="J79" s="106">
        <v>8.0029319339512757</v>
      </c>
      <c r="K79" s="106">
        <v>6059.820060387905</v>
      </c>
      <c r="L79" s="106">
        <v>3.0047430783635205</v>
      </c>
      <c r="M79" s="106">
        <v>2275.1914589368575</v>
      </c>
      <c r="N79" s="106">
        <v>4</v>
      </c>
      <c r="O79" s="106">
        <v>3028.7999999999997</v>
      </c>
      <c r="P79" s="106">
        <v>3</v>
      </c>
      <c r="Q79" s="106">
        <v>2271.6</v>
      </c>
      <c r="R79" s="106">
        <v>3.0098199408761084</v>
      </c>
      <c r="S79" s="106">
        <v>2279.0356592313892</v>
      </c>
      <c r="T79" s="106">
        <v>22.004638463376033</v>
      </c>
      <c r="U79" s="106">
        <v>16661.912244468331</v>
      </c>
      <c r="V79" s="106">
        <v>33.0023588862758</v>
      </c>
      <c r="W79" s="106">
        <v>24989.386148688034</v>
      </c>
      <c r="X79" s="106">
        <v>24.002888697996205</v>
      </c>
      <c r="Y79" s="106">
        <v>18174.987322122724</v>
      </c>
      <c r="Z79" s="106">
        <v>29.002696271101033</v>
      </c>
      <c r="AA79" s="106">
        <v>21960.841616477701</v>
      </c>
      <c r="AB79" s="106">
        <v>16.005011363399429</v>
      </c>
      <c r="AC79" s="106">
        <v>12118.994604366047</v>
      </c>
      <c r="AD79" s="106">
        <v>14.005507728894173</v>
      </c>
      <c r="AE79" s="106">
        <v>10604.970452318667</v>
      </c>
      <c r="AF79" s="106">
        <v>16.006163313519281</v>
      </c>
      <c r="AG79" s="106">
        <v>12119.866860996799</v>
      </c>
      <c r="AH79" s="106">
        <v>12.006237792968751</v>
      </c>
      <c r="AI79" s="106">
        <v>9091.1232568359374</v>
      </c>
      <c r="AJ79" s="106">
        <v>18.001918462463017</v>
      </c>
      <c r="AK79" s="106">
        <v>13631.052659776995</v>
      </c>
      <c r="AL79" s="106">
        <v>12</v>
      </c>
      <c r="AM79" s="106">
        <v>9086.4</v>
      </c>
      <c r="AN79" s="106">
        <v>14.004311762563328</v>
      </c>
      <c r="AO79" s="106">
        <v>10604.064866612951</v>
      </c>
      <c r="AP79" s="106">
        <v>14</v>
      </c>
      <c r="AQ79" s="106">
        <v>10600.8</v>
      </c>
      <c r="AR79" s="106">
        <v>17.008122360607349</v>
      </c>
      <c r="AS79" s="106">
        <v>12878.550251451883</v>
      </c>
      <c r="AT79" s="106">
        <v>13.008534319552005</v>
      </c>
      <c r="AU79" s="106">
        <v>9850.0621867647769</v>
      </c>
      <c r="AV79" s="106">
        <v>16.014445149022603</v>
      </c>
      <c r="AW79" s="106">
        <v>12126.137866839914</v>
      </c>
      <c r="AX79" s="106">
        <v>13.008731379307067</v>
      </c>
      <c r="AY79" s="106">
        <v>9850.21140041131</v>
      </c>
      <c r="AZ79" s="106">
        <v>7</v>
      </c>
      <c r="BA79" s="106">
        <v>5300.4</v>
      </c>
      <c r="BB79" s="106">
        <v>5.0038240777440146</v>
      </c>
      <c r="BC79" s="106">
        <v>3788.8955916677673</v>
      </c>
      <c r="BD79" s="106">
        <v>5.0086810377964639</v>
      </c>
      <c r="BE79" s="106">
        <v>3792.573281819482</v>
      </c>
      <c r="BF79" s="106">
        <v>5.0024347752188323</v>
      </c>
      <c r="BG79" s="106">
        <v>3787.8436117956994</v>
      </c>
      <c r="BH79" s="106">
        <v>11.00801164905779</v>
      </c>
      <c r="BI79" s="106">
        <v>8335.2664206665577</v>
      </c>
      <c r="BJ79" s="106">
        <v>17</v>
      </c>
      <c r="BK79" s="106">
        <v>12872.4</v>
      </c>
      <c r="BL79" s="106">
        <v>11.014571900474186</v>
      </c>
      <c r="BM79" s="106">
        <v>8340.2338430390537</v>
      </c>
      <c r="BN79" s="106">
        <v>13.005142328070935</v>
      </c>
      <c r="BO79" s="106">
        <v>9847.493770815312</v>
      </c>
      <c r="BP79" s="106">
        <v>9.0027053114793354</v>
      </c>
      <c r="BQ79" s="106">
        <v>6816.8484618521525</v>
      </c>
      <c r="BR79" s="106">
        <v>7</v>
      </c>
      <c r="BS79" s="106">
        <v>5300.4</v>
      </c>
      <c r="BT79" s="106">
        <v>9.0055555335976187</v>
      </c>
      <c r="BU79" s="106">
        <v>6819.0066500401163</v>
      </c>
      <c r="BV79" s="106">
        <v>9</v>
      </c>
      <c r="BW79" s="106">
        <v>6814.7999999999993</v>
      </c>
      <c r="BX79" s="106">
        <v>6</v>
      </c>
      <c r="BY79" s="106">
        <v>4543.2</v>
      </c>
      <c r="BZ79" s="106">
        <v>6.0063651412098551</v>
      </c>
      <c r="CA79" s="106">
        <v>4548.019684924102</v>
      </c>
      <c r="CB79" s="106">
        <v>6.0024854995338401</v>
      </c>
      <c r="CC79" s="106">
        <v>4545.0820202470231</v>
      </c>
      <c r="CD79" s="106">
        <v>7.0027234022793694</v>
      </c>
      <c r="CE79" s="106">
        <v>5302.4621602059378</v>
      </c>
      <c r="CF79" s="106">
        <v>15.002666660796519</v>
      </c>
      <c r="CG79" s="106">
        <v>11360.019195555124</v>
      </c>
      <c r="CH79" s="106">
        <v>21.004672885823389</v>
      </c>
      <c r="CI79" s="106">
        <v>15904.738309145469</v>
      </c>
      <c r="CJ79" s="106">
        <v>19.007843036856642</v>
      </c>
      <c r="CK79" s="106">
        <v>14392.738747507849</v>
      </c>
      <c r="CL79" s="106">
        <v>18.005023535461415</v>
      </c>
      <c r="CM79" s="106">
        <v>13633.403821051383</v>
      </c>
      <c r="CN79" s="106">
        <v>4.0029850699974725</v>
      </c>
      <c r="CO79" s="106">
        <v>3031.0602950020857</v>
      </c>
      <c r="CP79" s="106">
        <v>6</v>
      </c>
      <c r="CQ79" s="106">
        <v>4543.2</v>
      </c>
      <c r="CR79" s="106">
        <v>6</v>
      </c>
      <c r="CS79" s="106">
        <v>4543.2</v>
      </c>
      <c r="CT79" s="106">
        <v>6.0064276490251807</v>
      </c>
      <c r="CU79" s="106">
        <v>4548.0670158418661</v>
      </c>
    </row>
    <row r="80" spans="2:99" x14ac:dyDescent="0.2">
      <c r="C80" s="105" t="s">
        <v>247</v>
      </c>
      <c r="D80" s="106">
        <v>7.0379248144348479</v>
      </c>
      <c r="E80" s="106">
        <v>5666.937060582939</v>
      </c>
      <c r="F80" s="106">
        <v>5.0397671967455624</v>
      </c>
      <c r="G80" s="106">
        <v>4058.0205468195263</v>
      </c>
      <c r="H80" s="106">
        <v>6.0401517436231167</v>
      </c>
      <c r="I80" s="106">
        <v>4863.530183965333</v>
      </c>
      <c r="J80" s="106">
        <v>8.0029319339512757</v>
      </c>
      <c r="K80" s="106">
        <v>6443.9607932175668</v>
      </c>
      <c r="L80" s="106">
        <v>3.0043478218332273</v>
      </c>
      <c r="M80" s="106">
        <v>2419.1008661401142</v>
      </c>
      <c r="N80" s="106">
        <v>4</v>
      </c>
      <c r="O80" s="106">
        <v>3220.7999999999997</v>
      </c>
      <c r="P80" s="106">
        <v>3</v>
      </c>
      <c r="Q80" s="106">
        <v>2415.6</v>
      </c>
      <c r="R80" s="106">
        <v>4.0094926095135719</v>
      </c>
      <c r="S80" s="106">
        <v>3228.4434491803277</v>
      </c>
      <c r="T80" s="106">
        <v>19.005184164949686</v>
      </c>
      <c r="U80" s="106">
        <v>15302.974289617485</v>
      </c>
      <c r="V80" s="106">
        <v>34.0023588862758</v>
      </c>
      <c r="W80" s="106">
        <v>27378.699375229273</v>
      </c>
      <c r="X80" s="106">
        <v>25.003058621407746</v>
      </c>
      <c r="Y80" s="106">
        <v>20132.462801957514</v>
      </c>
      <c r="Z80" s="106">
        <v>28.002696271101033</v>
      </c>
      <c r="AA80" s="106">
        <v>22547.771037490551</v>
      </c>
      <c r="AB80" s="106">
        <v>18.005922520381144</v>
      </c>
      <c r="AC80" s="106">
        <v>14498.368813410896</v>
      </c>
      <c r="AD80" s="106">
        <v>15.006196195005945</v>
      </c>
      <c r="AE80" s="106">
        <v>12082.989176218785</v>
      </c>
      <c r="AF80" s="106">
        <v>19.006163313519281</v>
      </c>
      <c r="AG80" s="106">
        <v>15303.762700045723</v>
      </c>
      <c r="AH80" s="106">
        <v>12.005847930908203</v>
      </c>
      <c r="AI80" s="106">
        <v>9667.1087539672844</v>
      </c>
      <c r="AJ80" s="106">
        <v>16.001918462463017</v>
      </c>
      <c r="AK80" s="106">
        <v>12884.74474597522</v>
      </c>
      <c r="AL80" s="106">
        <v>12</v>
      </c>
      <c r="AM80" s="106">
        <v>9662.4</v>
      </c>
      <c r="AN80" s="106">
        <v>15.004975110649992</v>
      </c>
      <c r="AO80" s="106">
        <v>12082.005959095373</v>
      </c>
      <c r="AP80" s="106">
        <v>13</v>
      </c>
      <c r="AQ80" s="106">
        <v>10467.599999999999</v>
      </c>
      <c r="AR80" s="106">
        <v>18.00706750858042</v>
      </c>
      <c r="AS80" s="106">
        <v>14499.290757908953</v>
      </c>
      <c r="AT80" s="106">
        <v>13.008039576389569</v>
      </c>
      <c r="AU80" s="106">
        <v>10474.07346690888</v>
      </c>
      <c r="AV80" s="106">
        <v>15.01497042716888</v>
      </c>
      <c r="AW80" s="106">
        <v>12090.054187956381</v>
      </c>
      <c r="AX80" s="106">
        <v>14.008423212978583</v>
      </c>
      <c r="AY80" s="106">
        <v>11279.582371090353</v>
      </c>
      <c r="AZ80" s="106">
        <v>6</v>
      </c>
      <c r="BA80" s="106">
        <v>4831.2</v>
      </c>
      <c r="BB80" s="106">
        <v>5.0042064855184156</v>
      </c>
      <c r="BC80" s="106">
        <v>4029.3870621394281</v>
      </c>
      <c r="BD80" s="106">
        <v>5.0086810377964639</v>
      </c>
      <c r="BE80" s="106">
        <v>4032.9899716337122</v>
      </c>
      <c r="BF80" s="106">
        <v>4.0024347752188323</v>
      </c>
      <c r="BG80" s="106">
        <v>3222.7604810062035</v>
      </c>
      <c r="BH80" s="106">
        <v>11.007865982711285</v>
      </c>
      <c r="BI80" s="106">
        <v>8863.5336892791256</v>
      </c>
      <c r="BJ80" s="106">
        <v>17</v>
      </c>
      <c r="BK80" s="106">
        <v>13688.4</v>
      </c>
      <c r="BL80" s="106">
        <v>10.013479007938622</v>
      </c>
      <c r="BM80" s="106">
        <v>8062.8532971921777</v>
      </c>
      <c r="BN80" s="106">
        <v>13.004775018923011</v>
      </c>
      <c r="BO80" s="106">
        <v>10471.444845236807</v>
      </c>
      <c r="BP80" s="106">
        <v>8.0027053114793354</v>
      </c>
      <c r="BQ80" s="106">
        <v>6443.7783168031601</v>
      </c>
      <c r="BR80" s="106">
        <v>6</v>
      </c>
      <c r="BS80" s="106">
        <v>4831.2</v>
      </c>
      <c r="BT80" s="106">
        <v>8.0051587097692174</v>
      </c>
      <c r="BU80" s="106">
        <v>6445.7537931061734</v>
      </c>
      <c r="BV80" s="106">
        <v>9</v>
      </c>
      <c r="BW80" s="106">
        <v>7246.7999999999993</v>
      </c>
      <c r="BX80" s="106">
        <v>5</v>
      </c>
      <c r="BY80" s="106">
        <v>4025.9999999999995</v>
      </c>
      <c r="BZ80" s="106">
        <v>7.0056951263456604</v>
      </c>
      <c r="CA80" s="106">
        <v>5640.9857157335255</v>
      </c>
      <c r="CB80" s="106">
        <v>6.0023197995649173</v>
      </c>
      <c r="CC80" s="106">
        <v>4833.0679026096714</v>
      </c>
      <c r="CD80" s="106">
        <v>7.0023829769944479</v>
      </c>
      <c r="CE80" s="106">
        <v>5638.3187730759291</v>
      </c>
      <c r="CF80" s="106">
        <v>16.002666660796521</v>
      </c>
      <c r="CG80" s="106">
        <v>12885.347195273358</v>
      </c>
      <c r="CH80" s="106">
        <v>21.00498441154495</v>
      </c>
      <c r="CI80" s="106">
        <v>16913.213448175993</v>
      </c>
      <c r="CJ80" s="106">
        <v>21.007843036856642</v>
      </c>
      <c r="CK80" s="106">
        <v>16915.515213276965</v>
      </c>
      <c r="CL80" s="106">
        <v>17.004395593528738</v>
      </c>
      <c r="CM80" s="106">
        <v>13691.939331909338</v>
      </c>
      <c r="CN80" s="106">
        <v>4.0027363141643493</v>
      </c>
      <c r="CO80" s="106">
        <v>3223.0032801651337</v>
      </c>
      <c r="CP80" s="106">
        <v>6</v>
      </c>
      <c r="CQ80" s="106">
        <v>4831.2</v>
      </c>
      <c r="CR80" s="106">
        <v>7</v>
      </c>
      <c r="CS80" s="106">
        <v>5636.4</v>
      </c>
      <c r="CT80" s="106">
        <v>6.0069220835655797</v>
      </c>
      <c r="CU80" s="106">
        <v>4836.7736616870043</v>
      </c>
    </row>
    <row r="81" spans="2:99" x14ac:dyDescent="0.2">
      <c r="C81" s="105" t="s">
        <v>248</v>
      </c>
      <c r="D81" s="106">
        <v>6.0429814563594944</v>
      </c>
      <c r="E81" s="106">
        <v>4553.9908255125147</v>
      </c>
      <c r="F81" s="106">
        <v>6.0397671967455624</v>
      </c>
      <c r="G81" s="106">
        <v>4551.568559467456</v>
      </c>
      <c r="H81" s="106">
        <v>7.0354280090792214</v>
      </c>
      <c r="I81" s="106">
        <v>5301.8985476421012</v>
      </c>
      <c r="J81" s="106">
        <v>8.0029319339512757</v>
      </c>
      <c r="K81" s="106">
        <v>6031.0095054256817</v>
      </c>
      <c r="L81" s="106">
        <v>3.0051383348938141</v>
      </c>
      <c r="M81" s="106">
        <v>2264.6722491759783</v>
      </c>
      <c r="N81" s="106">
        <v>4</v>
      </c>
      <c r="O81" s="106">
        <v>3014.4</v>
      </c>
      <c r="P81" s="106">
        <v>3</v>
      </c>
      <c r="Q81" s="106">
        <v>2260.8000000000002</v>
      </c>
      <c r="R81" s="106">
        <v>4.0094926095135719</v>
      </c>
      <c r="S81" s="106">
        <v>3021.5536305294277</v>
      </c>
      <c r="T81" s="106">
        <v>20.004911314162861</v>
      </c>
      <c r="U81" s="106">
        <v>15075.701166353132</v>
      </c>
      <c r="V81" s="106">
        <v>32.002695870029491</v>
      </c>
      <c r="W81" s="106">
        <v>24117.231607654227</v>
      </c>
      <c r="X81" s="106">
        <v>25.003058621407746</v>
      </c>
      <c r="Y81" s="106">
        <v>18842.304977092877</v>
      </c>
      <c r="Z81" s="106">
        <v>33.00269627110103</v>
      </c>
      <c r="AA81" s="106">
        <v>24870.831909901735</v>
      </c>
      <c r="AB81" s="106">
        <v>17.005466941890287</v>
      </c>
      <c r="AC81" s="106">
        <v>12815.319887408521</v>
      </c>
      <c r="AD81" s="106">
        <v>14.006196195005945</v>
      </c>
      <c r="AE81" s="106">
        <v>10555.06945255648</v>
      </c>
      <c r="AF81" s="106">
        <v>18.005238816491389</v>
      </c>
      <c r="AG81" s="106">
        <v>13568.747972107911</v>
      </c>
      <c r="AH81" s="106">
        <v>11.006627655029297</v>
      </c>
      <c r="AI81" s="106">
        <v>8294.594600830078</v>
      </c>
      <c r="AJ81" s="106">
        <v>16.002158270270893</v>
      </c>
      <c r="AK81" s="106">
        <v>12059.226472476146</v>
      </c>
      <c r="AL81" s="106">
        <v>14</v>
      </c>
      <c r="AM81" s="106">
        <v>10550.4</v>
      </c>
      <c r="AN81" s="106">
        <v>13.00464343660666</v>
      </c>
      <c r="AO81" s="106">
        <v>9800.2992938267798</v>
      </c>
      <c r="AP81" s="106">
        <v>15</v>
      </c>
      <c r="AQ81" s="106">
        <v>11304</v>
      </c>
      <c r="AR81" s="106">
        <v>18.007700419796578</v>
      </c>
      <c r="AS81" s="106">
        <v>13570.603036358702</v>
      </c>
      <c r="AT81" s="106">
        <v>16.007544833227133</v>
      </c>
      <c r="AU81" s="106">
        <v>12063.285786319968</v>
      </c>
      <c r="AV81" s="106">
        <v>16.014707788095741</v>
      </c>
      <c r="AW81" s="106">
        <v>12068.683789108951</v>
      </c>
      <c r="AX81" s="106">
        <v>15.008834101416562</v>
      </c>
      <c r="AY81" s="106">
        <v>11310.657378827522</v>
      </c>
      <c r="AZ81" s="106">
        <v>7</v>
      </c>
      <c r="BA81" s="106">
        <v>5275.2</v>
      </c>
      <c r="BB81" s="106">
        <v>4.0042064855184156</v>
      </c>
      <c r="BC81" s="106">
        <v>3017.5700074866782</v>
      </c>
      <c r="BD81" s="106">
        <v>5.008013265658275</v>
      </c>
      <c r="BE81" s="106">
        <v>3774.0387970000761</v>
      </c>
      <c r="BF81" s="106">
        <v>5.0024347752188323</v>
      </c>
      <c r="BG81" s="106">
        <v>3769.8348466049119</v>
      </c>
      <c r="BH81" s="106">
        <v>10.008448648097307</v>
      </c>
      <c r="BI81" s="106">
        <v>7542.3669012061309</v>
      </c>
      <c r="BJ81" s="106">
        <v>16</v>
      </c>
      <c r="BK81" s="106">
        <v>12057.6</v>
      </c>
      <c r="BL81" s="106">
        <v>9.013843305450477</v>
      </c>
      <c r="BM81" s="106">
        <v>6792.8323149874795</v>
      </c>
      <c r="BN81" s="106">
        <v>13.005509637218859</v>
      </c>
      <c r="BO81" s="106">
        <v>9800.9520626081321</v>
      </c>
      <c r="BP81" s="106">
        <v>8.0028985480135741</v>
      </c>
      <c r="BQ81" s="106">
        <v>6030.9843457830293</v>
      </c>
      <c r="BR81" s="106">
        <v>6</v>
      </c>
      <c r="BS81" s="106">
        <v>4521.6000000000004</v>
      </c>
      <c r="BT81" s="106">
        <v>10.004761885940816</v>
      </c>
      <c r="BU81" s="106">
        <v>7539.5885572449988</v>
      </c>
      <c r="BV81" s="106">
        <v>9</v>
      </c>
      <c r="BW81" s="106">
        <v>6782.4000000000005</v>
      </c>
      <c r="BX81" s="106">
        <v>5</v>
      </c>
      <c r="BY81" s="106">
        <v>3768</v>
      </c>
      <c r="BZ81" s="106">
        <v>6.0067001486419533</v>
      </c>
      <c r="CA81" s="106">
        <v>4526.6492320165762</v>
      </c>
      <c r="CB81" s="106">
        <v>6.0024854995338401</v>
      </c>
      <c r="CC81" s="106">
        <v>4523.4730724487017</v>
      </c>
      <c r="CD81" s="106">
        <v>7.0025531896369086</v>
      </c>
      <c r="CE81" s="106">
        <v>5277.1240837103742</v>
      </c>
      <c r="CF81" s="106">
        <v>17.002666660796521</v>
      </c>
      <c r="CG81" s="106">
        <v>12813.209595576258</v>
      </c>
      <c r="CH81" s="106">
        <v>20.004672885823389</v>
      </c>
      <c r="CI81" s="106">
        <v>15075.521486756506</v>
      </c>
      <c r="CJ81" s="106">
        <v>23.007843036856642</v>
      </c>
      <c r="CK81" s="106">
        <v>17338.710512575166</v>
      </c>
      <c r="CL81" s="106">
        <v>15.004395593528738</v>
      </c>
      <c r="CM81" s="106">
        <v>11307.312519283258</v>
      </c>
      <c r="CN81" s="106">
        <v>5.0027363141643493</v>
      </c>
      <c r="CO81" s="106">
        <v>3770.0620863542536</v>
      </c>
      <c r="CP81" s="106">
        <v>6</v>
      </c>
      <c r="CQ81" s="106">
        <v>4521.6000000000004</v>
      </c>
      <c r="CR81" s="106">
        <v>7</v>
      </c>
      <c r="CS81" s="106">
        <v>5275.2</v>
      </c>
      <c r="CT81" s="106">
        <v>6.0069220835655797</v>
      </c>
      <c r="CU81" s="106">
        <v>4526.8164821750206</v>
      </c>
    </row>
    <row r="82" spans="2:99" x14ac:dyDescent="0.2">
      <c r="C82" s="105" t="s">
        <v>249</v>
      </c>
      <c r="D82" s="106">
        <v>8.0429814563594935</v>
      </c>
      <c r="E82" s="106">
        <v>4092.2689649957097</v>
      </c>
      <c r="F82" s="106">
        <v>6.0439532174556216</v>
      </c>
      <c r="G82" s="106">
        <v>3075.1633970414196</v>
      </c>
      <c r="H82" s="106">
        <v>7.0354280090792214</v>
      </c>
      <c r="I82" s="106">
        <v>3579.6257710195073</v>
      </c>
      <c r="J82" s="106">
        <v>9.0031413578049388</v>
      </c>
      <c r="K82" s="106">
        <v>4580.7983228511521</v>
      </c>
      <c r="L82" s="106">
        <v>3.0049407066286671</v>
      </c>
      <c r="M82" s="106">
        <v>1528.9138315326654</v>
      </c>
      <c r="N82" s="106">
        <v>5</v>
      </c>
      <c r="O82" s="106">
        <v>2543.9999999999995</v>
      </c>
      <c r="P82" s="106">
        <v>3</v>
      </c>
      <c r="Q82" s="106">
        <v>1526.3999999999996</v>
      </c>
      <c r="R82" s="106">
        <v>4.0111292663262565</v>
      </c>
      <c r="S82" s="106">
        <v>2040.862570706799</v>
      </c>
      <c r="T82" s="106">
        <v>19.004911314162861</v>
      </c>
      <c r="U82" s="106">
        <v>9669.6988766460618</v>
      </c>
      <c r="V82" s="106">
        <v>37.002527378152649</v>
      </c>
      <c r="W82" s="106">
        <v>18826.885930004064</v>
      </c>
      <c r="X82" s="106">
        <v>25.003058621407746</v>
      </c>
      <c r="Y82" s="106">
        <v>12721.556226572258</v>
      </c>
      <c r="Z82" s="106">
        <v>29.002696271101033</v>
      </c>
      <c r="AA82" s="106">
        <v>14756.571862736202</v>
      </c>
      <c r="AB82" s="106">
        <v>16.005922520381144</v>
      </c>
      <c r="AC82" s="106">
        <v>8143.813378369925</v>
      </c>
      <c r="AD82" s="106">
        <v>15.005507728894173</v>
      </c>
      <c r="AE82" s="106">
        <v>7634.8023324613541</v>
      </c>
      <c r="AF82" s="106">
        <v>17.006163313519281</v>
      </c>
      <c r="AG82" s="106">
        <v>8652.7358939186088</v>
      </c>
      <c r="AH82" s="106">
        <v>11.005847930908203</v>
      </c>
      <c r="AI82" s="106">
        <v>5599.7754272460925</v>
      </c>
      <c r="AJ82" s="106">
        <v>18.001918462463017</v>
      </c>
      <c r="AK82" s="106">
        <v>9159.3761137011807</v>
      </c>
      <c r="AL82" s="106">
        <v>13</v>
      </c>
      <c r="AM82" s="106">
        <v>6614.3999999999987</v>
      </c>
      <c r="AN82" s="106">
        <v>14.00464343660666</v>
      </c>
      <c r="AO82" s="106">
        <v>7125.5625805454674</v>
      </c>
      <c r="AP82" s="106">
        <v>16</v>
      </c>
      <c r="AQ82" s="106">
        <v>8140.7999999999984</v>
      </c>
      <c r="AR82" s="106">
        <v>19.008860757026198</v>
      </c>
      <c r="AS82" s="106">
        <v>9671.7083531749286</v>
      </c>
      <c r="AT82" s="106">
        <v>14.008658005342614</v>
      </c>
      <c r="AU82" s="106">
        <v>7127.6051931183201</v>
      </c>
      <c r="AV82" s="106">
        <v>17.014707788095741</v>
      </c>
      <c r="AW82" s="106">
        <v>8657.083322583112</v>
      </c>
      <c r="AX82" s="106">
        <v>15.009347711964036</v>
      </c>
      <c r="AY82" s="106">
        <v>7636.7561158473</v>
      </c>
      <c r="AZ82" s="106">
        <v>7</v>
      </c>
      <c r="BA82" s="106">
        <v>3561.5999999999995</v>
      </c>
      <c r="BB82" s="106">
        <v>5.0038240777440146</v>
      </c>
      <c r="BC82" s="106">
        <v>2545.9456907561539</v>
      </c>
      <c r="BD82" s="106">
        <v>5.0086810377964639</v>
      </c>
      <c r="BE82" s="106">
        <v>2548.4169120308402</v>
      </c>
      <c r="BF82" s="106">
        <v>5.0027826002500939</v>
      </c>
      <c r="BG82" s="106">
        <v>2545.4157870072472</v>
      </c>
      <c r="BH82" s="106">
        <v>11.008885647136822</v>
      </c>
      <c r="BI82" s="106">
        <v>5601.3210172632134</v>
      </c>
      <c r="BJ82" s="106">
        <v>19</v>
      </c>
      <c r="BK82" s="106">
        <v>9667.1999999999989</v>
      </c>
      <c r="BL82" s="106">
        <v>11.014936197986041</v>
      </c>
      <c r="BM82" s="106">
        <v>5604.3995375352961</v>
      </c>
      <c r="BN82" s="106">
        <v>13.005325982644896</v>
      </c>
      <c r="BO82" s="106">
        <v>6617.1098599697216</v>
      </c>
      <c r="BP82" s="106">
        <v>8.0028985480135741</v>
      </c>
      <c r="BQ82" s="106">
        <v>4071.8747812293059</v>
      </c>
      <c r="BR82" s="106">
        <v>7</v>
      </c>
      <c r="BS82" s="106">
        <v>3561.5999999999995</v>
      </c>
      <c r="BT82" s="106">
        <v>9.0055555335976187</v>
      </c>
      <c r="BU82" s="106">
        <v>4582.0266554944674</v>
      </c>
      <c r="BV82" s="106">
        <v>9</v>
      </c>
      <c r="BW82" s="106">
        <v>4579.1999999999989</v>
      </c>
      <c r="BX82" s="106">
        <v>6</v>
      </c>
      <c r="BY82" s="106">
        <v>3052.7999999999993</v>
      </c>
      <c r="BZ82" s="106">
        <v>6.0063651412098551</v>
      </c>
      <c r="CA82" s="106">
        <v>3056.0385838475736</v>
      </c>
      <c r="CB82" s="106">
        <v>6.0024854995338401</v>
      </c>
      <c r="CC82" s="106">
        <v>3054.0646221628172</v>
      </c>
      <c r="CD82" s="106">
        <v>7.0027234022793694</v>
      </c>
      <c r="CE82" s="106">
        <v>3562.9856670797426</v>
      </c>
      <c r="CF82" s="106">
        <v>16.002666660796521</v>
      </c>
      <c r="CG82" s="106">
        <v>8142.1567970132683</v>
      </c>
      <c r="CH82" s="106">
        <v>19.004672885823389</v>
      </c>
      <c r="CI82" s="106">
        <v>9669.5775643069392</v>
      </c>
      <c r="CJ82" s="106">
        <v>21.009269043557847</v>
      </c>
      <c r="CK82" s="106">
        <v>10689.516089362231</v>
      </c>
      <c r="CL82" s="106">
        <v>16.004709564495077</v>
      </c>
      <c r="CM82" s="106">
        <v>8143.1962264150934</v>
      </c>
      <c r="CN82" s="106">
        <v>4.0027363141643493</v>
      </c>
      <c r="CO82" s="106">
        <v>2036.5922366468205</v>
      </c>
      <c r="CP82" s="106">
        <v>6</v>
      </c>
      <c r="CQ82" s="106">
        <v>3052.7999999999993</v>
      </c>
      <c r="CR82" s="106">
        <v>7</v>
      </c>
      <c r="CS82" s="106">
        <v>3561.5999999999995</v>
      </c>
      <c r="CT82" s="106">
        <v>6.0069220835655797</v>
      </c>
      <c r="CU82" s="106">
        <v>3056.3219561181663</v>
      </c>
    </row>
    <row r="83" spans="2:99" x14ac:dyDescent="0.2">
      <c r="C83" s="105" t="s">
        <v>250</v>
      </c>
      <c r="D83" s="106">
        <v>8.0379248144348487</v>
      </c>
      <c r="E83" s="106">
        <v>6915.8305103397433</v>
      </c>
      <c r="F83" s="106">
        <v>5.0439532174556216</v>
      </c>
      <c r="G83" s="106">
        <v>4339.8173482988168</v>
      </c>
      <c r="H83" s="106">
        <v>6.0401517436231167</v>
      </c>
      <c r="I83" s="106">
        <v>5196.9465602133296</v>
      </c>
      <c r="J83" s="106">
        <v>8.003350781658602</v>
      </c>
      <c r="K83" s="106">
        <v>6886.0830125390612</v>
      </c>
      <c r="L83" s="106">
        <v>3.0045454500983739</v>
      </c>
      <c r="M83" s="106">
        <v>2585.1109052646407</v>
      </c>
      <c r="N83" s="106">
        <v>5</v>
      </c>
      <c r="O83" s="106">
        <v>4302</v>
      </c>
      <c r="P83" s="106">
        <v>3</v>
      </c>
      <c r="Q83" s="106">
        <v>2581.1999999999998</v>
      </c>
      <c r="R83" s="106">
        <v>4.009165278151035</v>
      </c>
      <c r="S83" s="106">
        <v>3449.4858053211506</v>
      </c>
      <c r="T83" s="106">
        <v>21.005457015736511</v>
      </c>
      <c r="U83" s="106">
        <v>18073.095216339694</v>
      </c>
      <c r="V83" s="106">
        <v>37.002695870029491</v>
      </c>
      <c r="W83" s="106">
        <v>31837.119526573373</v>
      </c>
      <c r="X83" s="106">
        <v>23.003058621407746</v>
      </c>
      <c r="Y83" s="106">
        <v>19791.831637859224</v>
      </c>
      <c r="Z83" s="106">
        <v>33.00253766691862</v>
      </c>
      <c r="AA83" s="106">
        <v>28395.383408616781</v>
      </c>
      <c r="AB83" s="106">
        <v>17.005922520381144</v>
      </c>
      <c r="AC83" s="106">
        <v>14631.895736535937</v>
      </c>
      <c r="AD83" s="106">
        <v>13.005851961950059</v>
      </c>
      <c r="AE83" s="106">
        <v>11190.23502806183</v>
      </c>
      <c r="AF83" s="106">
        <v>18.006163313519281</v>
      </c>
      <c r="AG83" s="106">
        <v>15492.502914951989</v>
      </c>
      <c r="AH83" s="106">
        <v>12.006237792968751</v>
      </c>
      <c r="AI83" s="106">
        <v>10330.166997070313</v>
      </c>
      <c r="AJ83" s="106">
        <v>18.002158270270893</v>
      </c>
      <c r="AK83" s="106">
        <v>15489.056975741076</v>
      </c>
      <c r="AL83" s="106">
        <v>14</v>
      </c>
      <c r="AM83" s="106">
        <v>12045.6</v>
      </c>
      <c r="AN83" s="106">
        <v>13.00464343660666</v>
      </c>
      <c r="AO83" s="106">
        <v>11189.19521285637</v>
      </c>
      <c r="AP83" s="106">
        <v>14</v>
      </c>
      <c r="AQ83" s="106">
        <v>12045.6</v>
      </c>
      <c r="AR83" s="106">
        <v>16.008544301418119</v>
      </c>
      <c r="AS83" s="106">
        <v>13773.75151694015</v>
      </c>
      <c r="AT83" s="106">
        <v>16.007544833227133</v>
      </c>
      <c r="AU83" s="106">
        <v>13772.891574508625</v>
      </c>
      <c r="AV83" s="106">
        <v>16.014707788095741</v>
      </c>
      <c r="AW83" s="106">
        <v>13779.054580877575</v>
      </c>
      <c r="AX83" s="106">
        <v>13.008936823526057</v>
      </c>
      <c r="AY83" s="106">
        <v>11192.889242961819</v>
      </c>
      <c r="AZ83" s="106">
        <v>7</v>
      </c>
      <c r="BA83" s="106">
        <v>6022.8</v>
      </c>
      <c r="BB83" s="106">
        <v>5.0042064855184156</v>
      </c>
      <c r="BC83" s="106">
        <v>4305.6192601400444</v>
      </c>
      <c r="BD83" s="106">
        <v>5.0086810377964639</v>
      </c>
      <c r="BE83" s="106">
        <v>4309.4691649200777</v>
      </c>
      <c r="BF83" s="106">
        <v>4.0027826002500939</v>
      </c>
      <c r="BG83" s="106">
        <v>3443.9941492551807</v>
      </c>
      <c r="BH83" s="106">
        <v>10.008448648097307</v>
      </c>
      <c r="BI83" s="106">
        <v>8611.2692168229223</v>
      </c>
      <c r="BJ83" s="106">
        <v>16</v>
      </c>
      <c r="BK83" s="106">
        <v>13766.4</v>
      </c>
      <c r="BL83" s="106">
        <v>10.014207602962331</v>
      </c>
      <c r="BM83" s="106">
        <v>8616.2242215887891</v>
      </c>
      <c r="BN83" s="106">
        <v>12.005325982644896</v>
      </c>
      <c r="BO83" s="106">
        <v>10329.382475467668</v>
      </c>
      <c r="BP83" s="106">
        <v>8.0027053114793354</v>
      </c>
      <c r="BQ83" s="106">
        <v>6885.5276499968204</v>
      </c>
      <c r="BR83" s="106">
        <v>6</v>
      </c>
      <c r="BS83" s="106">
        <v>5162.3999999999996</v>
      </c>
      <c r="BT83" s="106">
        <v>9.0047618859408161</v>
      </c>
      <c r="BU83" s="106">
        <v>7747.6971266634782</v>
      </c>
      <c r="BV83" s="106">
        <v>9</v>
      </c>
      <c r="BW83" s="106">
        <v>7743.5999999999995</v>
      </c>
      <c r="BX83" s="106">
        <v>6</v>
      </c>
      <c r="BY83" s="106">
        <v>5162.3999999999996</v>
      </c>
      <c r="BZ83" s="106">
        <v>6.0063651412098551</v>
      </c>
      <c r="CA83" s="106">
        <v>5167.8765674969591</v>
      </c>
      <c r="CB83" s="106">
        <v>6.0023197995649173</v>
      </c>
      <c r="CC83" s="106">
        <v>5164.3959555456549</v>
      </c>
      <c r="CD83" s="106">
        <v>7.0023829769944479</v>
      </c>
      <c r="CE83" s="106">
        <v>6024.8503134060229</v>
      </c>
      <c r="CF83" s="106">
        <v>17.002666660796521</v>
      </c>
      <c r="CG83" s="106">
        <v>14629.094394949327</v>
      </c>
      <c r="CH83" s="106">
        <v>18.004672885823389</v>
      </c>
      <c r="CI83" s="106">
        <v>15491.220550962444</v>
      </c>
      <c r="CJ83" s="106">
        <v>22.007843036856642</v>
      </c>
      <c r="CK83" s="106">
        <v>18935.548148911454</v>
      </c>
      <c r="CL83" s="106">
        <v>17.004709564495077</v>
      </c>
      <c r="CM83" s="106">
        <v>14630.852109291563</v>
      </c>
      <c r="CN83" s="106">
        <v>4.0029850699974725</v>
      </c>
      <c r="CO83" s="106">
        <v>3444.1683542258252</v>
      </c>
      <c r="CP83" s="106">
        <v>6</v>
      </c>
      <c r="CQ83" s="106">
        <v>5162.3999999999996</v>
      </c>
      <c r="CR83" s="106">
        <v>7</v>
      </c>
      <c r="CS83" s="106">
        <v>6022.8</v>
      </c>
      <c r="CT83" s="106">
        <v>5.0069220835655797</v>
      </c>
      <c r="CU83" s="106">
        <v>4307.9557606998251</v>
      </c>
    </row>
    <row r="84" spans="2:99" x14ac:dyDescent="0.2">
      <c r="C84" s="105" t="s">
        <v>251</v>
      </c>
      <c r="D84" s="106">
        <v>8.0404531353971702</v>
      </c>
      <c r="E84" s="106">
        <v>6281.2019893722691</v>
      </c>
      <c r="F84" s="106">
        <v>6.0439532174556216</v>
      </c>
      <c r="G84" s="106">
        <v>4721.5362534763308</v>
      </c>
      <c r="H84" s="106">
        <v>7.0377898763511686</v>
      </c>
      <c r="I84" s="106">
        <v>5497.921451405532</v>
      </c>
      <c r="J84" s="106">
        <v>9.003350781658602</v>
      </c>
      <c r="K84" s="106">
        <v>7033.4176306316995</v>
      </c>
      <c r="L84" s="106">
        <v>3.0049407066286671</v>
      </c>
      <c r="M84" s="106">
        <v>2347.4596800183144</v>
      </c>
      <c r="N84" s="106">
        <v>4</v>
      </c>
      <c r="O84" s="106">
        <v>3124.7999999999997</v>
      </c>
      <c r="P84" s="106">
        <v>3</v>
      </c>
      <c r="Q84" s="106">
        <v>2343.6</v>
      </c>
      <c r="R84" s="106">
        <v>4.0104746036011827</v>
      </c>
      <c r="S84" s="106">
        <v>3132.9827603332437</v>
      </c>
      <c r="T84" s="106">
        <v>20.005184164949686</v>
      </c>
      <c r="U84" s="106">
        <v>15628.049869658693</v>
      </c>
      <c r="V84" s="106">
        <v>35.002527378152649</v>
      </c>
      <c r="W84" s="106">
        <v>27343.974387812847</v>
      </c>
      <c r="X84" s="106">
        <v>24.003058621407746</v>
      </c>
      <c r="Y84" s="106">
        <v>18751.18939504373</v>
      </c>
      <c r="Z84" s="106">
        <v>29.002220458553793</v>
      </c>
      <c r="AA84" s="106">
        <v>22656.534622222222</v>
      </c>
      <c r="AB84" s="106">
        <v>17.005922520381144</v>
      </c>
      <c r="AC84" s="106">
        <v>13285.026672921749</v>
      </c>
      <c r="AD84" s="106">
        <v>12.005507728894173</v>
      </c>
      <c r="AE84" s="106">
        <v>9378.7026378121282</v>
      </c>
      <c r="AF84" s="106">
        <v>19.005855147843317</v>
      </c>
      <c r="AG84" s="106">
        <v>14847.374041495197</v>
      </c>
      <c r="AH84" s="106">
        <v>10.006627655029297</v>
      </c>
      <c r="AI84" s="106">
        <v>7817.1775241088853</v>
      </c>
      <c r="AJ84" s="106">
        <v>17.002158270270893</v>
      </c>
      <c r="AK84" s="106">
        <v>13282.086040735621</v>
      </c>
      <c r="AL84" s="106">
        <v>13</v>
      </c>
      <c r="AM84" s="106">
        <v>10155.599999999999</v>
      </c>
      <c r="AN84" s="106">
        <v>15.004311762563328</v>
      </c>
      <c r="AO84" s="106">
        <v>11721.36834891447</v>
      </c>
      <c r="AP84" s="106">
        <v>14</v>
      </c>
      <c r="AQ84" s="106">
        <v>10936.8</v>
      </c>
      <c r="AR84" s="106">
        <v>15.007700419796576</v>
      </c>
      <c r="AS84" s="106">
        <v>11724.015567945084</v>
      </c>
      <c r="AT84" s="106">
        <v>15.007668519017743</v>
      </c>
      <c r="AU84" s="106">
        <v>11723.99064705666</v>
      </c>
      <c r="AV84" s="106">
        <v>14.013657231803188</v>
      </c>
      <c r="AW84" s="106">
        <v>10947.46902948465</v>
      </c>
      <c r="AX84" s="106">
        <v>13.007806880321613</v>
      </c>
      <c r="AY84" s="106">
        <v>10161.698734907244</v>
      </c>
      <c r="AZ84" s="106">
        <v>6</v>
      </c>
      <c r="BA84" s="106">
        <v>4687.2</v>
      </c>
      <c r="BB84" s="106">
        <v>5.0038240777440146</v>
      </c>
      <c r="BC84" s="106">
        <v>3908.9873695336237</v>
      </c>
      <c r="BD84" s="106">
        <v>6.008013265658275</v>
      </c>
      <c r="BE84" s="106">
        <v>4693.4599631322444</v>
      </c>
      <c r="BF84" s="106">
        <v>5.0024347752188323</v>
      </c>
      <c r="BG84" s="106">
        <v>3907.9020464009513</v>
      </c>
      <c r="BH84" s="106">
        <v>10.008594314443812</v>
      </c>
      <c r="BI84" s="106">
        <v>7818.7138784435056</v>
      </c>
      <c r="BJ84" s="106">
        <v>17</v>
      </c>
      <c r="BK84" s="106">
        <v>13280.4</v>
      </c>
      <c r="BL84" s="106">
        <v>11.014936197986041</v>
      </c>
      <c r="BM84" s="106">
        <v>8604.8681578666947</v>
      </c>
      <c r="BN84" s="106">
        <v>13.005142328070935</v>
      </c>
      <c r="BO84" s="106">
        <v>10159.617186689014</v>
      </c>
      <c r="BP84" s="106">
        <v>9.0027053114793354</v>
      </c>
      <c r="BQ84" s="106">
        <v>7032.9133893276558</v>
      </c>
      <c r="BR84" s="106">
        <v>6</v>
      </c>
      <c r="BS84" s="106">
        <v>4687.2</v>
      </c>
      <c r="BT84" s="106">
        <v>9.0051587097692174</v>
      </c>
      <c r="BU84" s="106">
        <v>7034.8299840717118</v>
      </c>
      <c r="BV84" s="106">
        <v>9</v>
      </c>
      <c r="BW84" s="106">
        <v>7030.7999999999993</v>
      </c>
      <c r="BX84" s="106">
        <v>6</v>
      </c>
      <c r="BY84" s="106">
        <v>4687.2</v>
      </c>
      <c r="BZ84" s="106">
        <v>6.0060301337777577</v>
      </c>
      <c r="CA84" s="106">
        <v>4691.9107405071836</v>
      </c>
      <c r="CB84" s="106">
        <v>6.0024854995338401</v>
      </c>
      <c r="CC84" s="106">
        <v>4689.1416722358354</v>
      </c>
      <c r="CD84" s="106">
        <v>7.0025531896369086</v>
      </c>
      <c r="CE84" s="106">
        <v>5470.3945517443526</v>
      </c>
      <c r="CF84" s="106">
        <v>15.002962956440578</v>
      </c>
      <c r="CG84" s="106">
        <v>11720.314661571379</v>
      </c>
      <c r="CH84" s="106">
        <v>21.004672885823389</v>
      </c>
      <c r="CI84" s="106">
        <v>16408.850458405232</v>
      </c>
      <c r="CJ84" s="106">
        <v>23.008556040207246</v>
      </c>
      <c r="CK84" s="106">
        <v>17974.283978609899</v>
      </c>
      <c r="CL84" s="106">
        <v>16.004395593528738</v>
      </c>
      <c r="CM84" s="106">
        <v>12502.633837664649</v>
      </c>
      <c r="CN84" s="106">
        <v>4.0032338258305948</v>
      </c>
      <c r="CO84" s="106">
        <v>3127.3262647388606</v>
      </c>
      <c r="CP84" s="106">
        <v>6</v>
      </c>
      <c r="CQ84" s="106">
        <v>4687.2</v>
      </c>
      <c r="CR84" s="106">
        <v>6</v>
      </c>
      <c r="CS84" s="106">
        <v>4687.2</v>
      </c>
      <c r="CT84" s="106">
        <v>5.0064276490251807</v>
      </c>
      <c r="CU84" s="106">
        <v>3911.0212794184708</v>
      </c>
    </row>
    <row r="85" spans="2:99" x14ac:dyDescent="0.2">
      <c r="C85" s="105" t="s">
        <v>252</v>
      </c>
      <c r="D85" s="106">
        <v>7.0404531353971711</v>
      </c>
      <c r="E85" s="106">
        <v>1056.0679703095757</v>
      </c>
      <c r="F85" s="106">
        <v>6.0460462278106508</v>
      </c>
      <c r="G85" s="106">
        <v>906.90693417159764</v>
      </c>
      <c r="H85" s="106">
        <v>7.0354280090792214</v>
      </c>
      <c r="I85" s="106">
        <v>1055.3142013618833</v>
      </c>
      <c r="J85" s="106">
        <v>10.003769629365927</v>
      </c>
      <c r="K85" s="106">
        <v>1500.5654444048889</v>
      </c>
      <c r="L85" s="106">
        <v>3.0049407066286671</v>
      </c>
      <c r="M85" s="106">
        <v>450.74110599430009</v>
      </c>
      <c r="N85" s="106">
        <v>5</v>
      </c>
      <c r="O85" s="106">
        <v>750</v>
      </c>
      <c r="P85" s="106">
        <v>3</v>
      </c>
      <c r="Q85" s="106">
        <v>450</v>
      </c>
      <c r="R85" s="106">
        <v>3.0101472722386453</v>
      </c>
      <c r="S85" s="106">
        <v>451.5220908357968</v>
      </c>
      <c r="T85" s="106">
        <v>20.005184164949686</v>
      </c>
      <c r="U85" s="106">
        <v>3000.7776247424526</v>
      </c>
      <c r="V85" s="106">
        <v>40.002695870029491</v>
      </c>
      <c r="W85" s="106">
        <v>6000.4043805044239</v>
      </c>
      <c r="X85" s="106">
        <v>26.003398468230831</v>
      </c>
      <c r="Y85" s="106">
        <v>3900.5097702346247</v>
      </c>
      <c r="Z85" s="106">
        <v>36.00253766691862</v>
      </c>
      <c r="AA85" s="106">
        <v>5400.3806500377932</v>
      </c>
      <c r="AB85" s="106">
        <v>17.005922520381144</v>
      </c>
      <c r="AC85" s="106">
        <v>2550.8883780571718</v>
      </c>
      <c r="AD85" s="106">
        <v>14.006196195005945</v>
      </c>
      <c r="AE85" s="106">
        <v>2100.9294292508916</v>
      </c>
      <c r="AF85" s="106">
        <v>20.005546982167353</v>
      </c>
      <c r="AG85" s="106">
        <v>3000.8320473251028</v>
      </c>
      <c r="AH85" s="106">
        <v>13.007017517089844</v>
      </c>
      <c r="AI85" s="106">
        <v>1951.0526275634766</v>
      </c>
      <c r="AJ85" s="106">
        <v>19.00239807807877</v>
      </c>
      <c r="AK85" s="106">
        <v>2850.3597117118156</v>
      </c>
      <c r="AL85" s="106">
        <v>13</v>
      </c>
      <c r="AM85" s="106">
        <v>1950</v>
      </c>
      <c r="AN85" s="106">
        <v>14.004975110649992</v>
      </c>
      <c r="AO85" s="106">
        <v>2100.746266597499</v>
      </c>
      <c r="AP85" s="106">
        <v>17</v>
      </c>
      <c r="AQ85" s="106">
        <v>2550</v>
      </c>
      <c r="AR85" s="106">
        <v>19.008649786620811</v>
      </c>
      <c r="AS85" s="106">
        <v>2851.2974679931217</v>
      </c>
      <c r="AT85" s="106">
        <v>15.009400120086266</v>
      </c>
      <c r="AU85" s="106">
        <v>2251.4100180129399</v>
      </c>
      <c r="AV85" s="106">
        <v>18.015495705315157</v>
      </c>
      <c r="AW85" s="106">
        <v>2702.3243557972737</v>
      </c>
      <c r="AX85" s="106">
        <v>14.008628657197573</v>
      </c>
      <c r="AY85" s="106">
        <v>2101.2942985796358</v>
      </c>
      <c r="AZ85" s="106">
        <v>6</v>
      </c>
      <c r="BA85" s="106">
        <v>900</v>
      </c>
      <c r="BB85" s="106">
        <v>5.0042064855184156</v>
      </c>
      <c r="BC85" s="106">
        <v>750.63097282776232</v>
      </c>
      <c r="BD85" s="106">
        <v>6.008013265658275</v>
      </c>
      <c r="BE85" s="106">
        <v>901.20198984874128</v>
      </c>
      <c r="BF85" s="106">
        <v>5.0024347752188323</v>
      </c>
      <c r="BG85" s="106">
        <v>750.3652162828248</v>
      </c>
      <c r="BH85" s="106">
        <v>12.008739980790317</v>
      </c>
      <c r="BI85" s="106">
        <v>1801.3109971185474</v>
      </c>
      <c r="BJ85" s="106">
        <v>18</v>
      </c>
      <c r="BK85" s="106">
        <v>2700</v>
      </c>
      <c r="BL85" s="106">
        <v>10.017121983057169</v>
      </c>
      <c r="BM85" s="106">
        <v>1502.5682974585754</v>
      </c>
      <c r="BN85" s="106">
        <v>14.006060600940744</v>
      </c>
      <c r="BO85" s="106">
        <v>2100.9090901411114</v>
      </c>
      <c r="BP85" s="106">
        <v>8.0028985480135741</v>
      </c>
      <c r="BQ85" s="106">
        <v>1200.4347822020361</v>
      </c>
      <c r="BR85" s="106">
        <v>6</v>
      </c>
      <c r="BS85" s="106">
        <v>900</v>
      </c>
      <c r="BT85" s="106">
        <v>9.0047618859408161</v>
      </c>
      <c r="BU85" s="106">
        <v>1350.7142828911224</v>
      </c>
      <c r="BV85" s="106">
        <v>9</v>
      </c>
      <c r="BW85" s="106">
        <v>1350</v>
      </c>
      <c r="BX85" s="106">
        <v>6</v>
      </c>
      <c r="BY85" s="106">
        <v>900</v>
      </c>
      <c r="BZ85" s="106">
        <v>6.0063651412098551</v>
      </c>
      <c r="CA85" s="106">
        <v>900.95477118147824</v>
      </c>
      <c r="CB85" s="106">
        <v>7.0026511995027629</v>
      </c>
      <c r="CC85" s="106">
        <v>1050.3976799254144</v>
      </c>
      <c r="CD85" s="106">
        <v>8.0027234022793685</v>
      </c>
      <c r="CE85" s="106">
        <v>1200.4085103419052</v>
      </c>
      <c r="CF85" s="106">
        <v>17.002666660796521</v>
      </c>
      <c r="CG85" s="106">
        <v>2550.3999991194783</v>
      </c>
      <c r="CH85" s="106">
        <v>20.00498441154495</v>
      </c>
      <c r="CI85" s="106">
        <v>3000.7476617317425</v>
      </c>
      <c r="CJ85" s="106">
        <v>22.007843036856642</v>
      </c>
      <c r="CK85" s="106">
        <v>3301.1764555284963</v>
      </c>
      <c r="CL85" s="106">
        <v>18.005023535461415</v>
      </c>
      <c r="CM85" s="106">
        <v>2700.7535303192121</v>
      </c>
      <c r="CN85" s="106">
        <v>5.0032338258305948</v>
      </c>
      <c r="CO85" s="106">
        <v>750.48507387458926</v>
      </c>
      <c r="CP85" s="106">
        <v>7</v>
      </c>
      <c r="CQ85" s="106">
        <v>1050</v>
      </c>
      <c r="CR85" s="106">
        <v>6</v>
      </c>
      <c r="CS85" s="106">
        <v>900</v>
      </c>
      <c r="CT85" s="106">
        <v>5.0069220835655797</v>
      </c>
      <c r="CU85" s="106">
        <v>751.0383125348369</v>
      </c>
    </row>
    <row r="86" spans="2:99" x14ac:dyDescent="0.2">
      <c r="C86" s="105" t="s">
        <v>253</v>
      </c>
      <c r="D86" s="106">
        <v>7.0429814563594944</v>
      </c>
      <c r="E86" s="106">
        <v>3803.2099864341271</v>
      </c>
      <c r="F86" s="106">
        <v>5.0397671967455624</v>
      </c>
      <c r="G86" s="106">
        <v>2721.4742862426037</v>
      </c>
      <c r="H86" s="106">
        <v>6.0377898763511686</v>
      </c>
      <c r="I86" s="106">
        <v>3260.4065332296309</v>
      </c>
      <c r="J86" s="106">
        <v>10.003350781658602</v>
      </c>
      <c r="K86" s="106">
        <v>5401.8094220956455</v>
      </c>
      <c r="L86" s="106">
        <v>3.0049407066286671</v>
      </c>
      <c r="M86" s="106">
        <v>1622.6679815794803</v>
      </c>
      <c r="N86" s="106">
        <v>4</v>
      </c>
      <c r="O86" s="106">
        <v>2160</v>
      </c>
      <c r="P86" s="106">
        <v>3</v>
      </c>
      <c r="Q86" s="106">
        <v>1620</v>
      </c>
      <c r="R86" s="106">
        <v>4.0111292663262565</v>
      </c>
      <c r="S86" s="106">
        <v>2166.0098038161786</v>
      </c>
      <c r="T86" s="106">
        <v>19.005184164949686</v>
      </c>
      <c r="U86" s="106">
        <v>10262.799449072831</v>
      </c>
      <c r="V86" s="106">
        <v>32.002695870029491</v>
      </c>
      <c r="W86" s="106">
        <v>17281.455769815926</v>
      </c>
      <c r="X86" s="106">
        <v>26.002888697996205</v>
      </c>
      <c r="Y86" s="106">
        <v>14041.55989691795</v>
      </c>
      <c r="Z86" s="106">
        <v>31.00253766691862</v>
      </c>
      <c r="AA86" s="106">
        <v>16741.370340136054</v>
      </c>
      <c r="AB86" s="106">
        <v>16.005011363399429</v>
      </c>
      <c r="AC86" s="106">
        <v>8642.7061362356926</v>
      </c>
      <c r="AD86" s="106">
        <v>13.005851961950059</v>
      </c>
      <c r="AE86" s="106">
        <v>7023.1600594530319</v>
      </c>
      <c r="AF86" s="106">
        <v>19.005855147843317</v>
      </c>
      <c r="AG86" s="106">
        <v>10263.161779835391</v>
      </c>
      <c r="AH86" s="106">
        <v>12.007017517089844</v>
      </c>
      <c r="AI86" s="106">
        <v>6483.7894592285156</v>
      </c>
      <c r="AJ86" s="106">
        <v>18.001918462463017</v>
      </c>
      <c r="AK86" s="106">
        <v>9721.03596973003</v>
      </c>
      <c r="AL86" s="106">
        <v>13</v>
      </c>
      <c r="AM86" s="106">
        <v>7020</v>
      </c>
      <c r="AN86" s="106">
        <v>13.004311762563328</v>
      </c>
      <c r="AO86" s="106">
        <v>7022.3283517841965</v>
      </c>
      <c r="AP86" s="106">
        <v>15</v>
      </c>
      <c r="AQ86" s="106">
        <v>8100</v>
      </c>
      <c r="AR86" s="106">
        <v>18.007594934593882</v>
      </c>
      <c r="AS86" s="106">
        <v>9724.1012646806957</v>
      </c>
      <c r="AT86" s="106">
        <v>14.00791589059896</v>
      </c>
      <c r="AU86" s="106">
        <v>7564.2745809234384</v>
      </c>
      <c r="AV86" s="106">
        <v>16.015495705315157</v>
      </c>
      <c r="AW86" s="106">
        <v>8648.3676808701839</v>
      </c>
      <c r="AX86" s="106">
        <v>15.007909602431107</v>
      </c>
      <c r="AY86" s="106">
        <v>8104.2711853127976</v>
      </c>
      <c r="AZ86" s="106">
        <v>6</v>
      </c>
      <c r="BA86" s="106">
        <v>3240</v>
      </c>
      <c r="BB86" s="106">
        <v>5.0042064855184156</v>
      </c>
      <c r="BC86" s="106">
        <v>2702.2715021799445</v>
      </c>
      <c r="BD86" s="106">
        <v>5.008013265658275</v>
      </c>
      <c r="BE86" s="106">
        <v>2704.3271634554685</v>
      </c>
      <c r="BF86" s="106">
        <v>5.0024347752188323</v>
      </c>
      <c r="BG86" s="106">
        <v>2701.3147786181694</v>
      </c>
      <c r="BH86" s="106">
        <v>11.008739980790317</v>
      </c>
      <c r="BI86" s="106">
        <v>5944.7195896267713</v>
      </c>
      <c r="BJ86" s="106">
        <v>18</v>
      </c>
      <c r="BK86" s="106">
        <v>9720</v>
      </c>
      <c r="BL86" s="106">
        <v>10.014207602962331</v>
      </c>
      <c r="BM86" s="106">
        <v>5407.6721055996586</v>
      </c>
      <c r="BN86" s="106">
        <v>13.005142328070935</v>
      </c>
      <c r="BO86" s="106">
        <v>7022.7768571583047</v>
      </c>
      <c r="BP86" s="106">
        <v>9.0028985480135741</v>
      </c>
      <c r="BQ86" s="106">
        <v>4861.5652159273304</v>
      </c>
      <c r="BR86" s="106">
        <v>6</v>
      </c>
      <c r="BS86" s="106">
        <v>3240</v>
      </c>
      <c r="BT86" s="106">
        <v>10.005555533597619</v>
      </c>
      <c r="BU86" s="106">
        <v>5402.9999881427138</v>
      </c>
      <c r="BV86" s="106">
        <v>10</v>
      </c>
      <c r="BW86" s="106">
        <v>5400</v>
      </c>
      <c r="BX86" s="106">
        <v>6</v>
      </c>
      <c r="BY86" s="106">
        <v>3240</v>
      </c>
      <c r="BZ86" s="106">
        <v>6.0067001486419533</v>
      </c>
      <c r="CA86" s="106">
        <v>3243.6180802666549</v>
      </c>
      <c r="CB86" s="106">
        <v>6.0024854995338401</v>
      </c>
      <c r="CC86" s="106">
        <v>3241.3421697482736</v>
      </c>
      <c r="CD86" s="106">
        <v>8.0027234022793685</v>
      </c>
      <c r="CE86" s="106">
        <v>4321.4706372308592</v>
      </c>
      <c r="CF86" s="106">
        <v>16.002666660796521</v>
      </c>
      <c r="CG86" s="106">
        <v>8641.4399968301223</v>
      </c>
      <c r="CH86" s="106">
        <v>20.004672885823389</v>
      </c>
      <c r="CI86" s="106">
        <v>10802.52335834463</v>
      </c>
      <c r="CJ86" s="106">
        <v>20.007843036856642</v>
      </c>
      <c r="CK86" s="106">
        <v>10804.235239902586</v>
      </c>
      <c r="CL86" s="106">
        <v>15.005337506427752</v>
      </c>
      <c r="CM86" s="106">
        <v>8102.8822534709861</v>
      </c>
      <c r="CN86" s="106">
        <v>5.0027363141643493</v>
      </c>
      <c r="CO86" s="106">
        <v>2701.4776096487485</v>
      </c>
      <c r="CP86" s="106">
        <v>7</v>
      </c>
      <c r="CQ86" s="106">
        <v>3780</v>
      </c>
      <c r="CR86" s="106">
        <v>6</v>
      </c>
      <c r="CS86" s="106">
        <v>3240</v>
      </c>
      <c r="CT86" s="106">
        <v>6.0069220835655797</v>
      </c>
      <c r="CU86" s="106">
        <v>3243.7379251254129</v>
      </c>
    </row>
    <row r="87" spans="2:99" x14ac:dyDescent="0.2">
      <c r="B87" s="105" t="s">
        <v>131</v>
      </c>
      <c r="C87" s="105" t="s">
        <v>254</v>
      </c>
      <c r="D87" s="106">
        <v>5.0303398515478781</v>
      </c>
      <c r="E87" s="106">
        <v>9833.3083418057922</v>
      </c>
      <c r="F87" s="106">
        <v>4.0230231139053254</v>
      </c>
      <c r="G87" s="106">
        <v>7864.2055830621302</v>
      </c>
      <c r="H87" s="106">
        <v>5.0307042745353252</v>
      </c>
      <c r="I87" s="106">
        <v>9834.020715861654</v>
      </c>
      <c r="J87" s="106">
        <v>5.0023036623902888</v>
      </c>
      <c r="K87" s="106">
        <v>9778.5031992405366</v>
      </c>
      <c r="L87" s="106">
        <v>20.005335963158959</v>
      </c>
      <c r="M87" s="106">
        <v>39106.430740783129</v>
      </c>
      <c r="N87" s="106">
        <v>17</v>
      </c>
      <c r="O87" s="106">
        <v>33231.599999999999</v>
      </c>
      <c r="P87" s="106">
        <v>14</v>
      </c>
      <c r="Q87" s="106">
        <v>27367.200000000001</v>
      </c>
      <c r="R87" s="106">
        <v>20.01702123085192</v>
      </c>
      <c r="S87" s="106">
        <v>39129.273102069332</v>
      </c>
      <c r="T87" s="106">
        <v>34.019918107438265</v>
      </c>
      <c r="U87" s="106">
        <v>66502.135916420317</v>
      </c>
      <c r="V87" s="106">
        <v>35.006739675073725</v>
      </c>
      <c r="W87" s="106">
        <v>68431.17471683411</v>
      </c>
      <c r="X87" s="106">
        <v>37.006457089638573</v>
      </c>
      <c r="Y87" s="106">
        <v>72340.222318825487</v>
      </c>
      <c r="Z87" s="106">
        <v>42.009040438397584</v>
      </c>
      <c r="AA87" s="106">
        <v>82119.2722489796</v>
      </c>
      <c r="AB87" s="106">
        <v>10.008200412835428</v>
      </c>
      <c r="AC87" s="106">
        <v>19564.030167010696</v>
      </c>
      <c r="AD87" s="106">
        <v>6.0068846611177174</v>
      </c>
      <c r="AE87" s="106">
        <v>11742.258135552913</v>
      </c>
      <c r="AF87" s="106">
        <v>10.007704141899101</v>
      </c>
      <c r="AG87" s="106">
        <v>19563.060056584363</v>
      </c>
      <c r="AH87" s="106">
        <v>6.0070175170898441</v>
      </c>
      <c r="AI87" s="106">
        <v>11742.517842407227</v>
      </c>
      <c r="AJ87" s="106">
        <v>16.011270966970223</v>
      </c>
      <c r="AK87" s="106">
        <v>31298.83248623339</v>
      </c>
      <c r="AL87" s="106">
        <v>14</v>
      </c>
      <c r="AM87" s="106">
        <v>27367.200000000001</v>
      </c>
      <c r="AN87" s="106">
        <v>9.0208954647299695</v>
      </c>
      <c r="AO87" s="106">
        <v>17634.046454454143</v>
      </c>
      <c r="AP87" s="106">
        <v>12</v>
      </c>
      <c r="AQ87" s="106">
        <v>23457.599999999999</v>
      </c>
      <c r="AR87" s="106">
        <v>5.001054852026928</v>
      </c>
      <c r="AS87" s="106">
        <v>9776.0620247422394</v>
      </c>
      <c r="AT87" s="106">
        <v>5.0019789726497406</v>
      </c>
      <c r="AU87" s="106">
        <v>9777.8684957357127</v>
      </c>
      <c r="AV87" s="106">
        <v>4.0036769470239353</v>
      </c>
      <c r="AW87" s="106">
        <v>7826.3876960423886</v>
      </c>
      <c r="AX87" s="106">
        <v>6.001129943204444</v>
      </c>
      <c r="AY87" s="106">
        <v>11731.008812976046</v>
      </c>
      <c r="AZ87" s="106">
        <v>6</v>
      </c>
      <c r="BA87" s="106">
        <v>11728.8</v>
      </c>
      <c r="BB87" s="106">
        <v>9.0084129710368313</v>
      </c>
      <c r="BC87" s="106">
        <v>17609.645675782798</v>
      </c>
      <c r="BD87" s="106">
        <v>7.0207009362838759</v>
      </c>
      <c r="BE87" s="106">
        <v>13724.06619024772</v>
      </c>
      <c r="BF87" s="106">
        <v>6.0100869259065908</v>
      </c>
      <c r="BG87" s="106">
        <v>11748.517922762203</v>
      </c>
      <c r="BH87" s="106">
        <v>19.00335032596962</v>
      </c>
      <c r="BI87" s="106">
        <v>37147.749217205412</v>
      </c>
      <c r="BJ87" s="106">
        <v>20</v>
      </c>
      <c r="BK87" s="106">
        <v>39096</v>
      </c>
      <c r="BL87" s="106">
        <v>18.007650247748948</v>
      </c>
      <c r="BM87" s="106">
        <v>35201.354704299643</v>
      </c>
      <c r="BN87" s="106">
        <v>20.005325982644898</v>
      </c>
      <c r="BO87" s="106">
        <v>39106.411230874248</v>
      </c>
      <c r="BP87" s="106">
        <v>52.007342988301055</v>
      </c>
      <c r="BQ87" s="106">
        <v>101663.9540735309</v>
      </c>
      <c r="BR87" s="106">
        <v>27</v>
      </c>
      <c r="BS87" s="106">
        <v>52779.6</v>
      </c>
      <c r="BT87" s="106">
        <v>49.021031662905273</v>
      </c>
      <c r="BU87" s="106">
        <v>95826.312694647218</v>
      </c>
      <c r="BV87" s="106">
        <v>47</v>
      </c>
      <c r="BW87" s="106">
        <v>91875.599999999991</v>
      </c>
      <c r="BX87" s="106">
        <v>18</v>
      </c>
      <c r="BY87" s="106">
        <v>35186.400000000001</v>
      </c>
      <c r="BZ87" s="106">
        <v>25.00569512634566</v>
      </c>
      <c r="CA87" s="106">
        <v>48881.132832980496</v>
      </c>
      <c r="CB87" s="106">
        <v>19.001988399627074</v>
      </c>
      <c r="CC87" s="106">
        <v>37145.086923591</v>
      </c>
      <c r="CD87" s="106">
        <v>28.003404252849212</v>
      </c>
      <c r="CE87" s="106">
        <v>54741.054633469641</v>
      </c>
      <c r="CF87" s="106">
        <v>12.012148121406369</v>
      </c>
      <c r="CG87" s="106">
        <v>23481.34714772517</v>
      </c>
      <c r="CH87" s="106">
        <v>13.0084111944821</v>
      </c>
      <c r="CI87" s="106">
        <v>25428.84220297361</v>
      </c>
      <c r="CJ87" s="106">
        <v>8.0171120804144884</v>
      </c>
      <c r="CK87" s="106">
        <v>15671.850694794242</v>
      </c>
      <c r="CL87" s="106">
        <v>14.007535303192121</v>
      </c>
      <c r="CM87" s="106">
        <v>27381.930010679956</v>
      </c>
      <c r="CN87" s="106">
        <v>6.0022388024981037</v>
      </c>
      <c r="CO87" s="106">
        <v>11733.176411123293</v>
      </c>
      <c r="CP87" s="106">
        <v>7</v>
      </c>
      <c r="CQ87" s="106">
        <v>13683.6</v>
      </c>
      <c r="CR87" s="106">
        <v>6</v>
      </c>
      <c r="CS87" s="106">
        <v>11728.8</v>
      </c>
      <c r="CT87" s="106">
        <v>6.0034610417827894</v>
      </c>
      <c r="CU87" s="106">
        <v>11735.565644476996</v>
      </c>
    </row>
    <row r="88" spans="2:99" x14ac:dyDescent="0.2">
      <c r="C88" s="105" t="s">
        <v>255</v>
      </c>
      <c r="D88" s="106">
        <v>5.0328681725102014</v>
      </c>
      <c r="E88" s="106">
        <v>9524.1997296583049</v>
      </c>
      <c r="F88" s="106">
        <v>5.0251161242603546</v>
      </c>
      <c r="G88" s="106">
        <v>9509.5297535502941</v>
      </c>
      <c r="H88" s="106">
        <v>6.025980539991429</v>
      </c>
      <c r="I88" s="106">
        <v>11403.56557387978</v>
      </c>
      <c r="J88" s="106">
        <v>5.0025130862439511</v>
      </c>
      <c r="K88" s="106">
        <v>9466.7557644080516</v>
      </c>
      <c r="L88" s="106">
        <v>24.006521732749842</v>
      </c>
      <c r="M88" s="106">
        <v>45429.941727055797</v>
      </c>
      <c r="N88" s="106">
        <v>17</v>
      </c>
      <c r="O88" s="106">
        <v>32170.799999999999</v>
      </c>
      <c r="P88" s="106">
        <v>15</v>
      </c>
      <c r="Q88" s="106">
        <v>28385.999999999996</v>
      </c>
      <c r="R88" s="106">
        <v>19.014729911314163</v>
      </c>
      <c r="S88" s="106">
        <v>35983.474884170922</v>
      </c>
      <c r="T88" s="106">
        <v>33.019645256651437</v>
      </c>
      <c r="U88" s="106">
        <v>62486.376683687173</v>
      </c>
      <c r="V88" s="106">
        <v>42.006571183196883</v>
      </c>
      <c r="W88" s="106">
        <v>79493.235307081777</v>
      </c>
      <c r="X88" s="106">
        <v>41.007136783284743</v>
      </c>
      <c r="Y88" s="106">
        <v>77601.905648688044</v>
      </c>
      <c r="Z88" s="106">
        <v>39.008723230032757</v>
      </c>
      <c r="AA88" s="106">
        <v>73820.107840513985</v>
      </c>
      <c r="AB88" s="106">
        <v>10.007744834344571</v>
      </c>
      <c r="AC88" s="106">
        <v>18938.656324513664</v>
      </c>
      <c r="AD88" s="106">
        <v>7.0068846611177174</v>
      </c>
      <c r="AE88" s="106">
        <v>13259.828532699168</v>
      </c>
      <c r="AF88" s="106">
        <v>10.007704141899101</v>
      </c>
      <c r="AG88" s="106">
        <v>18938.579318129858</v>
      </c>
      <c r="AH88" s="106">
        <v>6.0070175170898441</v>
      </c>
      <c r="AI88" s="106">
        <v>11367.67994934082</v>
      </c>
      <c r="AJ88" s="106">
        <v>14.00983212012296</v>
      </c>
      <c r="AK88" s="106">
        <v>26512.206304120686</v>
      </c>
      <c r="AL88" s="106">
        <v>12</v>
      </c>
      <c r="AM88" s="106">
        <v>22708.799999999999</v>
      </c>
      <c r="AN88" s="106">
        <v>9.0238805311199659</v>
      </c>
      <c r="AO88" s="106">
        <v>17076.791517091424</v>
      </c>
      <c r="AP88" s="106">
        <v>12</v>
      </c>
      <c r="AQ88" s="106">
        <v>22708.799999999999</v>
      </c>
      <c r="AR88" s="106">
        <v>5.0009493668242353</v>
      </c>
      <c r="AS88" s="106">
        <v>9463.7965817781824</v>
      </c>
      <c r="AT88" s="106">
        <v>5.0018552868591311</v>
      </c>
      <c r="AU88" s="106">
        <v>9465.5109448522198</v>
      </c>
      <c r="AV88" s="106">
        <v>4.0039395860970739</v>
      </c>
      <c r="AW88" s="106">
        <v>7577.0552727301019</v>
      </c>
      <c r="AX88" s="106">
        <v>6.0013353874234339</v>
      </c>
      <c r="AY88" s="106">
        <v>11356.927087160106</v>
      </c>
      <c r="AZ88" s="106">
        <v>6</v>
      </c>
      <c r="BA88" s="106">
        <v>11354.4</v>
      </c>
      <c r="BB88" s="106">
        <v>9.0072657477136264</v>
      </c>
      <c r="BC88" s="106">
        <v>17045.349700973264</v>
      </c>
      <c r="BD88" s="106">
        <v>7.0193653920074972</v>
      </c>
      <c r="BE88" s="106">
        <v>13283.447067834986</v>
      </c>
      <c r="BF88" s="106">
        <v>6.0118260510628998</v>
      </c>
      <c r="BG88" s="106">
        <v>11376.779619031431</v>
      </c>
      <c r="BH88" s="106">
        <v>23.003495992316125</v>
      </c>
      <c r="BI88" s="106">
        <v>43531.81581585903</v>
      </c>
      <c r="BJ88" s="106">
        <v>21</v>
      </c>
      <c r="BK88" s="106">
        <v>39740.399999999994</v>
      </c>
      <c r="BL88" s="106">
        <v>19.007285950237094</v>
      </c>
      <c r="BM88" s="106">
        <v>35969.387932228674</v>
      </c>
      <c r="BN88" s="106">
        <v>19.005509637218857</v>
      </c>
      <c r="BO88" s="106">
        <v>35966.02643747296</v>
      </c>
      <c r="BP88" s="106">
        <v>53.008115934438003</v>
      </c>
      <c r="BQ88" s="106">
        <v>100312.55859433048</v>
      </c>
      <c r="BR88" s="106">
        <v>29</v>
      </c>
      <c r="BS88" s="106">
        <v>54879.6</v>
      </c>
      <c r="BT88" s="106">
        <v>47.019444367591667</v>
      </c>
      <c r="BU88" s="106">
        <v>88979.596521230458</v>
      </c>
      <c r="BV88" s="106">
        <v>50</v>
      </c>
      <c r="BW88" s="106">
        <v>94620</v>
      </c>
      <c r="BX88" s="106">
        <v>20</v>
      </c>
      <c r="BY88" s="106">
        <v>37848</v>
      </c>
      <c r="BZ88" s="106">
        <v>26.006700148641954</v>
      </c>
      <c r="CA88" s="106">
        <v>49215.079361290031</v>
      </c>
      <c r="CB88" s="106">
        <v>20.002154099595995</v>
      </c>
      <c r="CC88" s="106">
        <v>37852.076418075456</v>
      </c>
      <c r="CD88" s="106">
        <v>27.003404252849212</v>
      </c>
      <c r="CE88" s="106">
        <v>51101.242208091848</v>
      </c>
      <c r="CF88" s="106">
        <v>12.011259234474196</v>
      </c>
      <c r="CG88" s="106">
        <v>22730.106975318966</v>
      </c>
      <c r="CH88" s="106">
        <v>14.0084111944821</v>
      </c>
      <c r="CI88" s="106">
        <v>26509.517344437925</v>
      </c>
      <c r="CJ88" s="106">
        <v>9.0156860737132813</v>
      </c>
      <c r="CK88" s="106">
        <v>17061.284325895012</v>
      </c>
      <c r="CL88" s="106">
        <v>17.00784927415846</v>
      </c>
      <c r="CM88" s="106">
        <v>32185.653966417467</v>
      </c>
      <c r="CN88" s="106">
        <v>7.0024875583312269</v>
      </c>
      <c r="CO88" s="106">
        <v>13251.507455386012</v>
      </c>
      <c r="CP88" s="106">
        <v>6</v>
      </c>
      <c r="CQ88" s="106">
        <v>11354.4</v>
      </c>
      <c r="CR88" s="106">
        <v>5</v>
      </c>
      <c r="CS88" s="106">
        <v>9462</v>
      </c>
      <c r="CT88" s="106">
        <v>6.0039554763231884</v>
      </c>
      <c r="CU88" s="106">
        <v>11361.885343394</v>
      </c>
    </row>
    <row r="89" spans="2:99" x14ac:dyDescent="0.2">
      <c r="C89" s="105" t="s">
        <v>256</v>
      </c>
      <c r="D89" s="106">
        <v>4.0303398515478781</v>
      </c>
      <c r="E89" s="106">
        <v>9663.1428280711916</v>
      </c>
      <c r="F89" s="106">
        <v>5.0230231139053254</v>
      </c>
      <c r="G89" s="106">
        <v>12043.200217899408</v>
      </c>
      <c r="H89" s="106">
        <v>5.0236186727194809</v>
      </c>
      <c r="I89" s="106">
        <v>12044.628129712228</v>
      </c>
      <c r="J89" s="106">
        <v>5.0023036623902888</v>
      </c>
      <c r="K89" s="106">
        <v>11993.523260946957</v>
      </c>
      <c r="L89" s="106">
        <v>22.005928847954401</v>
      </c>
      <c r="M89" s="106">
        <v>52761.415005855466</v>
      </c>
      <c r="N89" s="106">
        <v>15</v>
      </c>
      <c r="O89" s="106">
        <v>35964</v>
      </c>
      <c r="P89" s="106">
        <v>15</v>
      </c>
      <c r="Q89" s="106">
        <v>35964</v>
      </c>
      <c r="R89" s="106">
        <v>18.016693899489386</v>
      </c>
      <c r="S89" s="106">
        <v>43196.82529341575</v>
      </c>
      <c r="T89" s="106">
        <v>30.017735301143659</v>
      </c>
      <c r="U89" s="106">
        <v>71970.522158022039</v>
      </c>
      <c r="V89" s="106">
        <v>38.006571183196883</v>
      </c>
      <c r="W89" s="106">
        <v>91124.555068832837</v>
      </c>
      <c r="X89" s="106">
        <v>37.006287166227033</v>
      </c>
      <c r="Y89" s="106">
        <v>88726.274109745937</v>
      </c>
      <c r="Z89" s="106">
        <v>38.009833459309647</v>
      </c>
      <c r="AA89" s="106">
        <v>91132.376702040812</v>
      </c>
      <c r="AB89" s="106">
        <v>10.007289255853715</v>
      </c>
      <c r="AC89" s="106">
        <v>23993.476719834867</v>
      </c>
      <c r="AD89" s="106">
        <v>7.0061961950059457</v>
      </c>
      <c r="AE89" s="106">
        <v>16798.055997146254</v>
      </c>
      <c r="AF89" s="106">
        <v>11.007087810547173</v>
      </c>
      <c r="AG89" s="106">
        <v>26390.593734567901</v>
      </c>
      <c r="AH89" s="106">
        <v>6.0062377929687498</v>
      </c>
      <c r="AI89" s="106">
        <v>14400.555732421873</v>
      </c>
      <c r="AJ89" s="106">
        <v>16.009112696699329</v>
      </c>
      <c r="AK89" s="106">
        <v>38383.448601606309</v>
      </c>
      <c r="AL89" s="106">
        <v>14</v>
      </c>
      <c r="AM89" s="106">
        <v>33566.400000000001</v>
      </c>
      <c r="AN89" s="106">
        <v>8.021558812816636</v>
      </c>
      <c r="AO89" s="106">
        <v>19232.489409609167</v>
      </c>
      <c r="AP89" s="106">
        <v>13</v>
      </c>
      <c r="AQ89" s="106">
        <v>31168.799999999999</v>
      </c>
      <c r="AR89" s="106">
        <v>5.0009493668242353</v>
      </c>
      <c r="AS89" s="106">
        <v>11990.276201897786</v>
      </c>
      <c r="AT89" s="106">
        <v>5.0021026584403492</v>
      </c>
      <c r="AU89" s="106">
        <v>11993.041333876581</v>
      </c>
      <c r="AV89" s="106">
        <v>4.0034143079507967</v>
      </c>
      <c r="AW89" s="106">
        <v>9598.5861447428306</v>
      </c>
      <c r="AX89" s="106">
        <v>6.001232665313939</v>
      </c>
      <c r="AY89" s="106">
        <v>14388.5554383567</v>
      </c>
      <c r="AZ89" s="106">
        <v>5</v>
      </c>
      <c r="BA89" s="106">
        <v>11988</v>
      </c>
      <c r="BB89" s="106">
        <v>9.0068833399392254</v>
      </c>
      <c r="BC89" s="106">
        <v>21594.903495838287</v>
      </c>
      <c r="BD89" s="106">
        <v>7.0200331641456861</v>
      </c>
      <c r="BE89" s="106">
        <v>16831.231514355695</v>
      </c>
      <c r="BF89" s="106">
        <v>5.0111304010003765</v>
      </c>
      <c r="BG89" s="106">
        <v>12014.686249438502</v>
      </c>
      <c r="BH89" s="106">
        <v>21.003058993276611</v>
      </c>
      <c r="BI89" s="106">
        <v>50356.934242279996</v>
      </c>
      <c r="BJ89" s="106">
        <v>20</v>
      </c>
      <c r="BK89" s="106">
        <v>47952</v>
      </c>
      <c r="BL89" s="106">
        <v>16.008378842772657</v>
      </c>
      <c r="BM89" s="106">
        <v>38381.689113431719</v>
      </c>
      <c r="BN89" s="106">
        <v>17.004958673496972</v>
      </c>
      <c r="BO89" s="106">
        <v>40771.088915576336</v>
      </c>
      <c r="BP89" s="106">
        <v>45.006376805629863</v>
      </c>
      <c r="BQ89" s="106">
        <v>107907.28902917815</v>
      </c>
      <c r="BR89" s="106">
        <v>27</v>
      </c>
      <c r="BS89" s="106">
        <v>64735.199999999997</v>
      </c>
      <c r="BT89" s="106">
        <v>43.017460248449659</v>
      </c>
      <c r="BU89" s="106">
        <v>103138.6626916829</v>
      </c>
      <c r="BV89" s="106">
        <v>41</v>
      </c>
      <c r="BW89" s="106">
        <v>98301.599999999991</v>
      </c>
      <c r="BX89" s="106">
        <v>19</v>
      </c>
      <c r="BY89" s="106">
        <v>45554.400000000001</v>
      </c>
      <c r="BZ89" s="106">
        <v>24.006365141209855</v>
      </c>
      <c r="CA89" s="106">
        <v>57557.661062564744</v>
      </c>
      <c r="CB89" s="106">
        <v>18.002154099595995</v>
      </c>
      <c r="CC89" s="106">
        <v>43161.964669191351</v>
      </c>
      <c r="CD89" s="106">
        <v>25.00306382756429</v>
      </c>
      <c r="CE89" s="106">
        <v>59947.345832968138</v>
      </c>
      <c r="CF89" s="106">
        <v>12.012148121406369</v>
      </c>
      <c r="CG89" s="106">
        <v>28800.32633588391</v>
      </c>
      <c r="CH89" s="106">
        <v>12.008722720203661</v>
      </c>
      <c r="CI89" s="106">
        <v>28792.113593960297</v>
      </c>
      <c r="CJ89" s="106">
        <v>9.0171120804144884</v>
      </c>
      <c r="CK89" s="106">
        <v>21619.427924001775</v>
      </c>
      <c r="CL89" s="106">
        <v>14.007535303192121</v>
      </c>
      <c r="CM89" s="106">
        <v>33584.466642933425</v>
      </c>
      <c r="CN89" s="106">
        <v>6.0019900466649814</v>
      </c>
      <c r="CO89" s="106">
        <v>14390.37133588396</v>
      </c>
      <c r="CP89" s="106">
        <v>6</v>
      </c>
      <c r="CQ89" s="106">
        <v>14385.599999999999</v>
      </c>
      <c r="CR89" s="106">
        <v>5</v>
      </c>
      <c r="CS89" s="106">
        <v>11988</v>
      </c>
      <c r="CT89" s="106">
        <v>6.0034610417827894</v>
      </c>
      <c r="CU89" s="106">
        <v>14393.898193778416</v>
      </c>
    </row>
    <row r="90" spans="2:99" x14ac:dyDescent="0.2">
      <c r="C90" s="105" t="s">
        <v>257</v>
      </c>
      <c r="D90" s="106">
        <v>5.0328681725102014</v>
      </c>
      <c r="E90" s="106">
        <v>11058.217948639414</v>
      </c>
      <c r="F90" s="106">
        <v>5.0209301035502962</v>
      </c>
      <c r="G90" s="106">
        <v>11031.98762352071</v>
      </c>
      <c r="H90" s="106">
        <v>5.025980539991429</v>
      </c>
      <c r="I90" s="106">
        <v>11043.084442469168</v>
      </c>
      <c r="J90" s="106">
        <v>5.0025130862439511</v>
      </c>
      <c r="K90" s="106">
        <v>10991.521753095209</v>
      </c>
      <c r="L90" s="106">
        <v>20.005533591424108</v>
      </c>
      <c r="M90" s="106">
        <v>43956.158407077048</v>
      </c>
      <c r="N90" s="106">
        <v>16</v>
      </c>
      <c r="O90" s="106">
        <v>35155.199999999997</v>
      </c>
      <c r="P90" s="106">
        <v>14</v>
      </c>
      <c r="Q90" s="106">
        <v>30760.799999999996</v>
      </c>
      <c r="R90" s="106">
        <v>19.014075248589091</v>
      </c>
      <c r="S90" s="106">
        <v>41777.726136199948</v>
      </c>
      <c r="T90" s="106">
        <v>33.018008151930488</v>
      </c>
      <c r="U90" s="106">
        <v>72547.167511421663</v>
      </c>
      <c r="V90" s="106">
        <v>34.006571183196883</v>
      </c>
      <c r="W90" s="106">
        <v>74719.23820372019</v>
      </c>
      <c r="X90" s="106">
        <v>40.006117242815492</v>
      </c>
      <c r="Y90" s="106">
        <v>87901.440805914186</v>
      </c>
      <c r="Z90" s="106">
        <v>43.009199042579993</v>
      </c>
      <c r="AA90" s="106">
        <v>94499.812136356748</v>
      </c>
      <c r="AB90" s="106">
        <v>10.007289255853715</v>
      </c>
      <c r="AC90" s="106">
        <v>21988.015952961781</v>
      </c>
      <c r="AD90" s="106">
        <v>7.0065404280618315</v>
      </c>
      <c r="AE90" s="106">
        <v>15394.770628537455</v>
      </c>
      <c r="AF90" s="106">
        <v>11.007087810547173</v>
      </c>
      <c r="AG90" s="106">
        <v>24184.773337334245</v>
      </c>
      <c r="AH90" s="106">
        <v>7.0058479309082031</v>
      </c>
      <c r="AI90" s="106">
        <v>15393.249073791503</v>
      </c>
      <c r="AJ90" s="106">
        <v>16.009592312315082</v>
      </c>
      <c r="AK90" s="106">
        <v>35176.276228618692</v>
      </c>
      <c r="AL90" s="106">
        <v>13</v>
      </c>
      <c r="AM90" s="106">
        <v>28563.599999999999</v>
      </c>
      <c r="AN90" s="106">
        <v>10.021558812816636</v>
      </c>
      <c r="AO90" s="106">
        <v>22019.36902352071</v>
      </c>
      <c r="AP90" s="106">
        <v>12</v>
      </c>
      <c r="AQ90" s="106">
        <v>26366.399999999998</v>
      </c>
      <c r="AR90" s="106">
        <v>5.0008438816215426</v>
      </c>
      <c r="AS90" s="106">
        <v>10987.854176698853</v>
      </c>
      <c r="AT90" s="106">
        <v>4.0018552868591311</v>
      </c>
      <c r="AU90" s="106">
        <v>8792.8764362868824</v>
      </c>
      <c r="AV90" s="106">
        <v>4.0036769470239353</v>
      </c>
      <c r="AW90" s="106">
        <v>8796.8789880009899</v>
      </c>
      <c r="AX90" s="106">
        <v>6.001129943204444</v>
      </c>
      <c r="AY90" s="106">
        <v>13185.682711208803</v>
      </c>
      <c r="AZ90" s="106">
        <v>5</v>
      </c>
      <c r="BA90" s="106">
        <v>10986</v>
      </c>
      <c r="BB90" s="106">
        <v>9.0080305632624302</v>
      </c>
      <c r="BC90" s="106">
        <v>19792.444753600212</v>
      </c>
      <c r="BD90" s="106">
        <v>6.0227042526984444</v>
      </c>
      <c r="BE90" s="106">
        <v>13233.085784029021</v>
      </c>
      <c r="BF90" s="106">
        <v>5.0114782260316382</v>
      </c>
      <c r="BG90" s="106">
        <v>11011.219958236714</v>
      </c>
      <c r="BH90" s="106">
        <v>20.003058993276611</v>
      </c>
      <c r="BI90" s="106">
        <v>43950.721220027364</v>
      </c>
      <c r="BJ90" s="106">
        <v>18</v>
      </c>
      <c r="BK90" s="106">
        <v>39549.599999999999</v>
      </c>
      <c r="BL90" s="106">
        <v>18.007285950237094</v>
      </c>
      <c r="BM90" s="106">
        <v>39565.608689860943</v>
      </c>
      <c r="BN90" s="106">
        <v>18.004775018923009</v>
      </c>
      <c r="BO90" s="106">
        <v>39560.091671577633</v>
      </c>
      <c r="BP90" s="106">
        <v>49.006376805629863</v>
      </c>
      <c r="BQ90" s="106">
        <v>107676.81111732993</v>
      </c>
      <c r="BR90" s="106">
        <v>27</v>
      </c>
      <c r="BS90" s="106">
        <v>59324.399999999994</v>
      </c>
      <c r="BT90" s="106">
        <v>44.017460248449659</v>
      </c>
      <c r="BU90" s="106">
        <v>96715.163657893587</v>
      </c>
      <c r="BV90" s="106">
        <v>45</v>
      </c>
      <c r="BW90" s="106">
        <v>98873.999999999985</v>
      </c>
      <c r="BX90" s="106">
        <v>21</v>
      </c>
      <c r="BY90" s="106">
        <v>46141.2</v>
      </c>
      <c r="BZ90" s="106">
        <v>26.00569512634566</v>
      </c>
      <c r="CA90" s="106">
        <v>57139.713331606683</v>
      </c>
      <c r="CB90" s="106">
        <v>18.002319799564916</v>
      </c>
      <c r="CC90" s="106">
        <v>39554.697063604028</v>
      </c>
      <c r="CD90" s="106">
        <v>28.003234040206753</v>
      </c>
      <c r="CE90" s="106">
        <v>61528.705833142274</v>
      </c>
      <c r="CF90" s="106">
        <v>11.012740712694486</v>
      </c>
      <c r="CG90" s="106">
        <v>24197.193893932323</v>
      </c>
      <c r="CH90" s="106">
        <v>14.009345771646778</v>
      </c>
      <c r="CI90" s="106">
        <v>30781.3345294623</v>
      </c>
      <c r="CJ90" s="106">
        <v>9.0178250837650928</v>
      </c>
      <c r="CK90" s="106">
        <v>19813.96527404866</v>
      </c>
      <c r="CL90" s="106">
        <v>15.00784927415846</v>
      </c>
      <c r="CM90" s="106">
        <v>32975.246425180965</v>
      </c>
      <c r="CN90" s="106">
        <v>6.0019900466649814</v>
      </c>
      <c r="CO90" s="106">
        <v>13187.572530532296</v>
      </c>
      <c r="CP90" s="106">
        <v>6</v>
      </c>
      <c r="CQ90" s="106">
        <v>13183.199999999999</v>
      </c>
      <c r="CR90" s="106">
        <v>5</v>
      </c>
      <c r="CS90" s="106">
        <v>10986</v>
      </c>
      <c r="CT90" s="106">
        <v>7.0034610417827894</v>
      </c>
      <c r="CU90" s="106">
        <v>15388.004601005143</v>
      </c>
    </row>
    <row r="91" spans="2:99" x14ac:dyDescent="0.2">
      <c r="C91" s="105" t="s">
        <v>258</v>
      </c>
      <c r="D91" s="106">
        <v>4.0303398515478781</v>
      </c>
      <c r="E91" s="106">
        <v>9256.8845710351652</v>
      </c>
      <c r="F91" s="106">
        <v>5.0230231139053254</v>
      </c>
      <c r="G91" s="106">
        <v>11536.87948801775</v>
      </c>
      <c r="H91" s="106">
        <v>5.025980539991429</v>
      </c>
      <c r="I91" s="106">
        <v>11543.672104252313</v>
      </c>
      <c r="J91" s="106">
        <v>5.0023036623902888</v>
      </c>
      <c r="K91" s="106">
        <v>11489.291051778015</v>
      </c>
      <c r="L91" s="106">
        <v>19.005533591424108</v>
      </c>
      <c r="M91" s="106">
        <v>43651.909552782883</v>
      </c>
      <c r="N91" s="106">
        <v>14</v>
      </c>
      <c r="O91" s="106">
        <v>32155.199999999997</v>
      </c>
      <c r="P91" s="106">
        <v>16</v>
      </c>
      <c r="Q91" s="106">
        <v>36748.799999999996</v>
      </c>
      <c r="R91" s="106">
        <v>17.014729911314163</v>
      </c>
      <c r="S91" s="106">
        <v>39079.431660306363</v>
      </c>
      <c r="T91" s="106">
        <v>32.018281002717309</v>
      </c>
      <c r="U91" s="106">
        <v>73539.587807041113</v>
      </c>
      <c r="V91" s="106">
        <v>39.005728723812666</v>
      </c>
      <c r="W91" s="106">
        <v>89588.357732852921</v>
      </c>
      <c r="X91" s="106">
        <v>39.006966859873202</v>
      </c>
      <c r="Y91" s="106">
        <v>89591.201483756755</v>
      </c>
      <c r="Z91" s="106">
        <v>36.00951625094482</v>
      </c>
      <c r="AA91" s="106">
        <v>82706.656925170057</v>
      </c>
      <c r="AB91" s="106">
        <v>8.007744834344571</v>
      </c>
      <c r="AC91" s="106">
        <v>18392.188335522609</v>
      </c>
      <c r="AD91" s="106">
        <v>6.0068846611177174</v>
      </c>
      <c r="AE91" s="106">
        <v>13796.612689655172</v>
      </c>
      <c r="AF91" s="106">
        <v>11.007087810547173</v>
      </c>
      <c r="AG91" s="106">
        <v>25281.079283264742</v>
      </c>
      <c r="AH91" s="106">
        <v>6.0058479309082031</v>
      </c>
      <c r="AI91" s="106">
        <v>13794.231527709959</v>
      </c>
      <c r="AJ91" s="106">
        <v>15.00983212012296</v>
      </c>
      <c r="AK91" s="106">
        <v>34474.582413498407</v>
      </c>
      <c r="AL91" s="106">
        <v>12</v>
      </c>
      <c r="AM91" s="106">
        <v>27561.599999999999</v>
      </c>
      <c r="AN91" s="106">
        <v>9.0222221609033006</v>
      </c>
      <c r="AO91" s="106">
        <v>20722.239859162699</v>
      </c>
      <c r="AP91" s="106">
        <v>13</v>
      </c>
      <c r="AQ91" s="106">
        <v>29858.399999999998</v>
      </c>
      <c r="AR91" s="106">
        <v>5.001054852026928</v>
      </c>
      <c r="AS91" s="106">
        <v>11486.422784135448</v>
      </c>
      <c r="AT91" s="106">
        <v>5.0018552868591311</v>
      </c>
      <c r="AU91" s="106">
        <v>11488.261222858051</v>
      </c>
      <c r="AV91" s="106">
        <v>4.0034143079507967</v>
      </c>
      <c r="AW91" s="106">
        <v>9195.0419825013887</v>
      </c>
      <c r="AX91" s="106">
        <v>7.001129943204444</v>
      </c>
      <c r="AY91" s="106">
        <v>16080.195253551965</v>
      </c>
      <c r="AZ91" s="106">
        <v>5</v>
      </c>
      <c r="BA91" s="106">
        <v>11483.999999999998</v>
      </c>
      <c r="BB91" s="106">
        <v>9.0068833399392254</v>
      </c>
      <c r="BC91" s="106">
        <v>20687.009655172409</v>
      </c>
      <c r="BD91" s="106">
        <v>7.0186976198693074</v>
      </c>
      <c r="BE91" s="106">
        <v>16120.544693315824</v>
      </c>
      <c r="BF91" s="106">
        <v>6.0107825759691149</v>
      </c>
      <c r="BG91" s="106">
        <v>13805.565420485862</v>
      </c>
      <c r="BH91" s="106">
        <v>20.00335032596962</v>
      </c>
      <c r="BI91" s="106">
        <v>45943.69502868702</v>
      </c>
      <c r="BJ91" s="106">
        <v>20</v>
      </c>
      <c r="BK91" s="106">
        <v>45935.999999999993</v>
      </c>
      <c r="BL91" s="106">
        <v>18.007285950237094</v>
      </c>
      <c r="BM91" s="106">
        <v>41359.134370504551</v>
      </c>
      <c r="BN91" s="106">
        <v>19.004775018923009</v>
      </c>
      <c r="BO91" s="106">
        <v>43650.167263462361</v>
      </c>
      <c r="BP91" s="106">
        <v>48.006956515232574</v>
      </c>
      <c r="BQ91" s="106">
        <v>110262.37772418617</v>
      </c>
      <c r="BR91" s="106">
        <v>28</v>
      </c>
      <c r="BS91" s="106">
        <v>64310.399999999994</v>
      </c>
      <c r="BT91" s="106">
        <v>42.01984119142007</v>
      </c>
      <c r="BU91" s="106">
        <v>96511.171248453611</v>
      </c>
      <c r="BV91" s="106">
        <v>45</v>
      </c>
      <c r="BW91" s="106">
        <v>103355.99999999999</v>
      </c>
      <c r="BX91" s="106">
        <v>21</v>
      </c>
      <c r="BY91" s="106">
        <v>48232.799999999996</v>
      </c>
      <c r="BZ91" s="106">
        <v>24.006365141209855</v>
      </c>
      <c r="CA91" s="106">
        <v>55137.819456330792</v>
      </c>
      <c r="CB91" s="106">
        <v>20.002319799564916</v>
      </c>
      <c r="CC91" s="106">
        <v>45941.328115640696</v>
      </c>
      <c r="CD91" s="106">
        <v>25.002893614921831</v>
      </c>
      <c r="CE91" s="106">
        <v>57426.646054752455</v>
      </c>
      <c r="CF91" s="106">
        <v>11.011555530118255</v>
      </c>
      <c r="CG91" s="106">
        <v>25291.340741575605</v>
      </c>
      <c r="CH91" s="106">
        <v>13.009657297368339</v>
      </c>
      <c r="CI91" s="106">
        <v>29880.580880595597</v>
      </c>
      <c r="CJ91" s="106">
        <v>8.0171120804144884</v>
      </c>
      <c r="CK91" s="106">
        <v>18413.703026295996</v>
      </c>
      <c r="CL91" s="106">
        <v>14.007221332225782</v>
      </c>
      <c r="CM91" s="106">
        <v>32171.785955856172</v>
      </c>
      <c r="CN91" s="106">
        <v>6.0024875583312269</v>
      </c>
      <c r="CO91" s="106">
        <v>13786.513423975161</v>
      </c>
      <c r="CP91" s="106">
        <v>6</v>
      </c>
      <c r="CQ91" s="106">
        <v>13780.8</v>
      </c>
      <c r="CR91" s="106">
        <v>5</v>
      </c>
      <c r="CS91" s="106">
        <v>11483.999999999998</v>
      </c>
      <c r="CT91" s="106">
        <v>6.0034610417827894</v>
      </c>
      <c r="CU91" s="106">
        <v>13788.749320766708</v>
      </c>
    </row>
    <row r="92" spans="2:99" x14ac:dyDescent="0.2">
      <c r="C92" s="105" t="s">
        <v>259</v>
      </c>
      <c r="D92" s="106">
        <v>5.0328681725102014</v>
      </c>
      <c r="E92" s="106">
        <v>7150.6990995024935</v>
      </c>
      <c r="F92" s="106">
        <v>5.0209301035502962</v>
      </c>
      <c r="G92" s="106">
        <v>7133.7374911242605</v>
      </c>
      <c r="H92" s="106">
        <v>6.0307042745353252</v>
      </c>
      <c r="I92" s="106">
        <v>8568.4246332597904</v>
      </c>
      <c r="J92" s="106">
        <v>5.0023036623902888</v>
      </c>
      <c r="K92" s="106">
        <v>7107.2730435241219</v>
      </c>
      <c r="L92" s="106">
        <v>22.006324104484694</v>
      </c>
      <c r="M92" s="106">
        <v>31266.585287651851</v>
      </c>
      <c r="N92" s="106">
        <v>15</v>
      </c>
      <c r="O92" s="106">
        <v>21312</v>
      </c>
      <c r="P92" s="106">
        <v>18</v>
      </c>
      <c r="Q92" s="106">
        <v>25574.399999999998</v>
      </c>
      <c r="R92" s="106">
        <v>21.018985219027144</v>
      </c>
      <c r="S92" s="106">
        <v>29863.774199193766</v>
      </c>
      <c r="T92" s="106">
        <v>31.022646615306517</v>
      </c>
      <c r="U92" s="106">
        <v>44076.976311027494</v>
      </c>
      <c r="V92" s="106">
        <v>45.007413642581099</v>
      </c>
      <c r="W92" s="106">
        <v>63946.533303379227</v>
      </c>
      <c r="X92" s="106">
        <v>42.006966859873202</v>
      </c>
      <c r="Y92" s="106">
        <v>59683.498514507846</v>
      </c>
      <c r="Z92" s="106">
        <v>42.01110229276896</v>
      </c>
      <c r="AA92" s="106">
        <v>59689.374137566134</v>
      </c>
      <c r="AB92" s="106">
        <v>9.0091115698171436</v>
      </c>
      <c r="AC92" s="106">
        <v>12800.145718396197</v>
      </c>
      <c r="AD92" s="106">
        <v>8.0079173602853739</v>
      </c>
      <c r="AE92" s="106">
        <v>11377.648985493459</v>
      </c>
      <c r="AF92" s="106">
        <v>10.007395976223137</v>
      </c>
      <c r="AG92" s="106">
        <v>14218.508203017833</v>
      </c>
      <c r="AH92" s="106">
        <v>7.0074073791503908</v>
      </c>
      <c r="AI92" s="106">
        <v>9956.1244042968756</v>
      </c>
      <c r="AJ92" s="106">
        <v>18.011510774778099</v>
      </c>
      <c r="AK92" s="106">
        <v>25590.754508804723</v>
      </c>
      <c r="AL92" s="106">
        <v>14</v>
      </c>
      <c r="AM92" s="106">
        <v>19891.2</v>
      </c>
      <c r="AN92" s="106">
        <v>10.023880531119966</v>
      </c>
      <c r="AO92" s="106">
        <v>14241.929458615246</v>
      </c>
      <c r="AP92" s="106">
        <v>12</v>
      </c>
      <c r="AQ92" s="106">
        <v>17049.599999999999</v>
      </c>
      <c r="AR92" s="106">
        <v>5.0009493668242353</v>
      </c>
      <c r="AS92" s="106">
        <v>7105.3488603838732</v>
      </c>
      <c r="AT92" s="106">
        <v>5.0021026584403492</v>
      </c>
      <c r="AU92" s="106">
        <v>7106.9874571120481</v>
      </c>
      <c r="AV92" s="106">
        <v>4.0039395860970739</v>
      </c>
      <c r="AW92" s="106">
        <v>5688.797363926722</v>
      </c>
      <c r="AX92" s="106">
        <v>6.001232665313939</v>
      </c>
      <c r="AY92" s="106">
        <v>8526.5513708780436</v>
      </c>
      <c r="AZ92" s="106">
        <v>6</v>
      </c>
      <c r="BA92" s="106">
        <v>8524.7999999999993</v>
      </c>
      <c r="BB92" s="106">
        <v>9.0076481554880292</v>
      </c>
      <c r="BC92" s="106">
        <v>12798.066499317392</v>
      </c>
      <c r="BD92" s="106">
        <v>7.0207009362838759</v>
      </c>
      <c r="BE92" s="106">
        <v>9975.0118902721315</v>
      </c>
      <c r="BF92" s="106">
        <v>6.0128695261566856</v>
      </c>
      <c r="BG92" s="106">
        <v>8543.0850227634182</v>
      </c>
      <c r="BH92" s="106">
        <v>21.003495992316125</v>
      </c>
      <c r="BI92" s="106">
        <v>29841.767105882751</v>
      </c>
      <c r="BJ92" s="106">
        <v>22</v>
      </c>
      <c r="BK92" s="106">
        <v>31257.599999999999</v>
      </c>
      <c r="BL92" s="106">
        <v>18.008014545260803</v>
      </c>
      <c r="BM92" s="106">
        <v>25585.787065906548</v>
      </c>
      <c r="BN92" s="106">
        <v>21.005142328070935</v>
      </c>
      <c r="BO92" s="106">
        <v>29844.106219723184</v>
      </c>
      <c r="BP92" s="106">
        <v>52.008695644040721</v>
      </c>
      <c r="BQ92" s="106">
        <v>73893.954771053061</v>
      </c>
      <c r="BR92" s="106">
        <v>33</v>
      </c>
      <c r="BS92" s="106">
        <v>46886.400000000001</v>
      </c>
      <c r="BT92" s="106">
        <v>50.02063483907687</v>
      </c>
      <c r="BU92" s="106">
        <v>71069.317979360407</v>
      </c>
      <c r="BV92" s="106">
        <v>50</v>
      </c>
      <c r="BW92" s="106">
        <v>71040</v>
      </c>
      <c r="BX92" s="106">
        <v>21</v>
      </c>
      <c r="BY92" s="106">
        <v>29836.799999999999</v>
      </c>
      <c r="BZ92" s="106">
        <v>31.006365141209855</v>
      </c>
      <c r="CA92" s="106">
        <v>44053.843592630961</v>
      </c>
      <c r="CB92" s="106">
        <v>20.002319799564916</v>
      </c>
      <c r="CC92" s="106">
        <v>28419.295971221833</v>
      </c>
      <c r="CD92" s="106">
        <v>29.003574465491671</v>
      </c>
      <c r="CE92" s="106">
        <v>41208.278600570564</v>
      </c>
      <c r="CF92" s="106">
        <v>12.014222190914774</v>
      </c>
      <c r="CG92" s="106">
        <v>17069.806888851712</v>
      </c>
      <c r="CH92" s="106">
        <v>14.00903424592522</v>
      </c>
      <c r="CI92" s="106">
        <v>19904.03585661055</v>
      </c>
      <c r="CJ92" s="106">
        <v>8.0192510904662999</v>
      </c>
      <c r="CK92" s="106">
        <v>11393.751949334519</v>
      </c>
      <c r="CL92" s="106">
        <v>17.00784927415846</v>
      </c>
      <c r="CM92" s="106">
        <v>24164.75224872434</v>
      </c>
      <c r="CN92" s="106">
        <v>6.0024875583312269</v>
      </c>
      <c r="CO92" s="106">
        <v>8528.3343228770063</v>
      </c>
      <c r="CP92" s="106">
        <v>6</v>
      </c>
      <c r="CQ92" s="106">
        <v>8524.7999999999993</v>
      </c>
      <c r="CR92" s="106">
        <v>6</v>
      </c>
      <c r="CS92" s="106">
        <v>8524.7999999999993</v>
      </c>
      <c r="CT92" s="106">
        <v>6.0034610417827894</v>
      </c>
      <c r="CU92" s="106">
        <v>8529.7174481649872</v>
      </c>
    </row>
    <row r="93" spans="2:99" x14ac:dyDescent="0.2">
      <c r="C93" s="105" t="s">
        <v>260</v>
      </c>
      <c r="D93" s="106">
        <v>5.0303398515478781</v>
      </c>
      <c r="E93" s="106">
        <v>8915.7743528834581</v>
      </c>
      <c r="F93" s="106">
        <v>5.0230231139053254</v>
      </c>
      <c r="G93" s="106">
        <v>8902.8061670857987</v>
      </c>
      <c r="H93" s="106">
        <v>5.0283424072633771</v>
      </c>
      <c r="I93" s="106">
        <v>8912.2340826336094</v>
      </c>
      <c r="J93" s="106">
        <v>5.0025130862439511</v>
      </c>
      <c r="K93" s="106">
        <v>8866.4541940587787</v>
      </c>
      <c r="L93" s="106">
        <v>21.006324104484694</v>
      </c>
      <c r="M93" s="106">
        <v>37231.608842788672</v>
      </c>
      <c r="N93" s="106">
        <v>14</v>
      </c>
      <c r="O93" s="106">
        <v>24813.599999999999</v>
      </c>
      <c r="P93" s="106">
        <v>14</v>
      </c>
      <c r="Q93" s="106">
        <v>24813.599999999999</v>
      </c>
      <c r="R93" s="106">
        <v>20.017675893576996</v>
      </c>
      <c r="S93" s="106">
        <v>35479.328753775866</v>
      </c>
      <c r="T93" s="106">
        <v>31.02073665979874</v>
      </c>
      <c r="U93" s="106">
        <v>54981.153655827278</v>
      </c>
      <c r="V93" s="106">
        <v>40.006739675073725</v>
      </c>
      <c r="W93" s="106">
        <v>70907.945400100667</v>
      </c>
      <c r="X93" s="106">
        <v>37.007136783284743</v>
      </c>
      <c r="Y93" s="106">
        <v>65591.449234693879</v>
      </c>
      <c r="Z93" s="106">
        <v>40.009833459309647</v>
      </c>
      <c r="AA93" s="106">
        <v>70913.42882328041</v>
      </c>
      <c r="AB93" s="106">
        <v>10.008200412835428</v>
      </c>
      <c r="AC93" s="106">
        <v>17738.534411709512</v>
      </c>
      <c r="AD93" s="106">
        <v>8.0072288941736023</v>
      </c>
      <c r="AE93" s="106">
        <v>14192.012492033291</v>
      </c>
      <c r="AF93" s="106">
        <v>11.007395976223137</v>
      </c>
      <c r="AG93" s="106">
        <v>19509.508628257885</v>
      </c>
      <c r="AH93" s="106">
        <v>7.0066276550292965</v>
      </c>
      <c r="AI93" s="106">
        <v>12418.546855773924</v>
      </c>
      <c r="AJ93" s="106">
        <v>15.011990390393853</v>
      </c>
      <c r="AK93" s="106">
        <v>26607.251767934064</v>
      </c>
      <c r="AL93" s="106">
        <v>13</v>
      </c>
      <c r="AM93" s="106">
        <v>23041.199999999997</v>
      </c>
      <c r="AN93" s="106">
        <v>8.0205637906866372</v>
      </c>
      <c r="AO93" s="106">
        <v>14215.647262612994</v>
      </c>
      <c r="AP93" s="106">
        <v>14</v>
      </c>
      <c r="AQ93" s="106">
        <v>24813.599999999999</v>
      </c>
      <c r="AR93" s="106">
        <v>6.0009493668242353</v>
      </c>
      <c r="AS93" s="106">
        <v>10636.082657759274</v>
      </c>
      <c r="AT93" s="106">
        <v>5.0021026584403492</v>
      </c>
      <c r="AU93" s="106">
        <v>8865.726751819675</v>
      </c>
      <c r="AV93" s="106">
        <v>4.0036769470239353</v>
      </c>
      <c r="AW93" s="106">
        <v>7096.1170209052225</v>
      </c>
      <c r="AX93" s="106">
        <v>6.001129943204444</v>
      </c>
      <c r="AY93" s="106">
        <v>10636.402711335555</v>
      </c>
      <c r="AZ93" s="106">
        <v>6</v>
      </c>
      <c r="BA93" s="106">
        <v>10634.4</v>
      </c>
      <c r="BB93" s="106">
        <v>9.0072657477136264</v>
      </c>
      <c r="BC93" s="106">
        <v>15964.477811247631</v>
      </c>
      <c r="BD93" s="106">
        <v>7.0213687084220657</v>
      </c>
      <c r="BE93" s="106">
        <v>12444.673898807268</v>
      </c>
      <c r="BF93" s="106">
        <v>5.0104347509378524</v>
      </c>
      <c r="BG93" s="106">
        <v>8880.4945525622497</v>
      </c>
      <c r="BH93" s="106">
        <v>23.00335032596962</v>
      </c>
      <c r="BI93" s="106">
        <v>40771.138117748553</v>
      </c>
      <c r="BJ93" s="106">
        <v>20</v>
      </c>
      <c r="BK93" s="106">
        <v>35448</v>
      </c>
      <c r="BL93" s="106">
        <v>18.008014545260803</v>
      </c>
      <c r="BM93" s="106">
        <v>31917.404980020245</v>
      </c>
      <c r="BN93" s="106">
        <v>20.004958673496972</v>
      </c>
      <c r="BO93" s="106">
        <v>35456.788752906032</v>
      </c>
      <c r="BP93" s="106">
        <v>47.006956515232574</v>
      </c>
      <c r="BQ93" s="106">
        <v>83315.129727598207</v>
      </c>
      <c r="BR93" s="106">
        <v>28</v>
      </c>
      <c r="BS93" s="106">
        <v>49627.199999999997</v>
      </c>
      <c r="BT93" s="106">
        <v>46.020238015248466</v>
      </c>
      <c r="BU93" s="106">
        <v>81566.269858226369</v>
      </c>
      <c r="BV93" s="106">
        <v>49</v>
      </c>
      <c r="BW93" s="106">
        <v>86847.599999999991</v>
      </c>
      <c r="BX93" s="106">
        <v>22</v>
      </c>
      <c r="BY93" s="106">
        <v>38992.799999999996</v>
      </c>
      <c r="BZ93" s="106">
        <v>30.00569512634566</v>
      </c>
      <c r="CA93" s="106">
        <v>53182.094041935045</v>
      </c>
      <c r="CB93" s="106">
        <v>19.001988399627074</v>
      </c>
      <c r="CC93" s="106">
        <v>33679.124239499026</v>
      </c>
      <c r="CD93" s="106">
        <v>32.00306382756429</v>
      </c>
      <c r="CE93" s="106">
        <v>56722.230327974947</v>
      </c>
      <c r="CF93" s="106">
        <v>11.012444417050428</v>
      </c>
      <c r="CG93" s="106">
        <v>19518.456484780178</v>
      </c>
      <c r="CH93" s="106">
        <v>12.009345771646778</v>
      </c>
      <c r="CI93" s="106">
        <v>21285.36444566675</v>
      </c>
      <c r="CJ93" s="106">
        <v>8.0156860737132813</v>
      </c>
      <c r="CK93" s="106">
        <v>14207.00199704942</v>
      </c>
      <c r="CL93" s="106">
        <v>16.00784927415846</v>
      </c>
      <c r="CM93" s="106">
        <v>28372.312053518453</v>
      </c>
      <c r="CN93" s="106">
        <v>6.0022388024981037</v>
      </c>
      <c r="CO93" s="106">
        <v>10638.368053547638</v>
      </c>
      <c r="CP93" s="106">
        <v>7</v>
      </c>
      <c r="CQ93" s="106">
        <v>12406.8</v>
      </c>
      <c r="CR93" s="106">
        <v>5</v>
      </c>
      <c r="CS93" s="106">
        <v>8862</v>
      </c>
      <c r="CT93" s="106">
        <v>6.0039554763231884</v>
      </c>
      <c r="CU93" s="106">
        <v>10641.410686235218</v>
      </c>
    </row>
    <row r="94" spans="2:99" x14ac:dyDescent="0.2">
      <c r="C94" s="105" t="s">
        <v>261</v>
      </c>
      <c r="D94" s="106">
        <v>4.0328681725102014</v>
      </c>
      <c r="E94" s="106">
        <v>9659.5258467964341</v>
      </c>
      <c r="F94" s="106">
        <v>4.0230231139053254</v>
      </c>
      <c r="G94" s="106">
        <v>9635.9449624260342</v>
      </c>
      <c r="H94" s="106">
        <v>5.0283424072633771</v>
      </c>
      <c r="I94" s="106">
        <v>12043.88573387724</v>
      </c>
      <c r="J94" s="106">
        <v>5.0023036623902888</v>
      </c>
      <c r="K94" s="106">
        <v>11981.517732157219</v>
      </c>
      <c r="L94" s="106">
        <v>19.005928847954401</v>
      </c>
      <c r="M94" s="106">
        <v>45523.000776620378</v>
      </c>
      <c r="N94" s="106">
        <v>15</v>
      </c>
      <c r="O94" s="106">
        <v>35928</v>
      </c>
      <c r="P94" s="106">
        <v>14</v>
      </c>
      <c r="Q94" s="106">
        <v>33532.799999999996</v>
      </c>
      <c r="R94" s="106">
        <v>18.016039236764311</v>
      </c>
      <c r="S94" s="106">
        <v>43152.01717989787</v>
      </c>
      <c r="T94" s="106">
        <v>28.018553853504137</v>
      </c>
      <c r="U94" s="106">
        <v>67110.04018991311</v>
      </c>
      <c r="V94" s="106">
        <v>34.006234199443192</v>
      </c>
      <c r="W94" s="106">
        <v>81451.732154506331</v>
      </c>
      <c r="X94" s="106">
        <v>39.006287166227033</v>
      </c>
      <c r="Y94" s="106">
        <v>93427.859020546981</v>
      </c>
      <c r="Z94" s="106">
        <v>37.009674855127237</v>
      </c>
      <c r="AA94" s="106">
        <v>88645.573213000753</v>
      </c>
      <c r="AB94" s="106">
        <v>10.007289255853715</v>
      </c>
      <c r="AC94" s="106">
        <v>23969.459225620816</v>
      </c>
      <c r="AD94" s="106">
        <v>7.0072288941736032</v>
      </c>
      <c r="AE94" s="106">
        <v>16783.714647324614</v>
      </c>
      <c r="AF94" s="106">
        <v>11.007395976223137</v>
      </c>
      <c r="AG94" s="106">
        <v>26364.914842249655</v>
      </c>
      <c r="AH94" s="106">
        <v>7.0062377929687498</v>
      </c>
      <c r="AI94" s="106">
        <v>16781.340761718748</v>
      </c>
      <c r="AJ94" s="106">
        <v>14.010791351354467</v>
      </c>
      <c r="AK94" s="106">
        <v>33558.647444764218</v>
      </c>
      <c r="AL94" s="106">
        <v>12</v>
      </c>
      <c r="AM94" s="106">
        <v>28742.399999999998</v>
      </c>
      <c r="AN94" s="106">
        <v>9.0189054204699719</v>
      </c>
      <c r="AO94" s="106">
        <v>21602.082263109674</v>
      </c>
      <c r="AP94" s="106">
        <v>12</v>
      </c>
      <c r="AQ94" s="106">
        <v>28742.399999999998</v>
      </c>
      <c r="AR94" s="106">
        <v>5.0008438816215426</v>
      </c>
      <c r="AS94" s="106">
        <v>11978.021265259918</v>
      </c>
      <c r="AT94" s="106">
        <v>4.0019789726497406</v>
      </c>
      <c r="AU94" s="106">
        <v>9585.5400352906581</v>
      </c>
      <c r="AV94" s="106">
        <v>4.0036769470239353</v>
      </c>
      <c r="AW94" s="106">
        <v>9589.6070235117295</v>
      </c>
      <c r="AX94" s="106">
        <v>6.001232665313939</v>
      </c>
      <c r="AY94" s="106">
        <v>14374.152479959945</v>
      </c>
      <c r="AZ94" s="106">
        <v>6</v>
      </c>
      <c r="BA94" s="106">
        <v>14371.199999999999</v>
      </c>
      <c r="BB94" s="106">
        <v>9.0080305632624302</v>
      </c>
      <c r="BC94" s="106">
        <v>21576.034805126172</v>
      </c>
      <c r="BD94" s="106">
        <v>7.0186976198693074</v>
      </c>
      <c r="BE94" s="106">
        <v>16811.184539110964</v>
      </c>
      <c r="BF94" s="106">
        <v>6.0104347509378524</v>
      </c>
      <c r="BG94" s="106">
        <v>14396.193315446342</v>
      </c>
      <c r="BH94" s="106">
        <v>21.003204659623115</v>
      </c>
      <c r="BI94" s="106">
        <v>50306.875800729285</v>
      </c>
      <c r="BJ94" s="106">
        <v>20</v>
      </c>
      <c r="BK94" s="106">
        <v>47904</v>
      </c>
      <c r="BL94" s="106">
        <v>17.008014545260803</v>
      </c>
      <c r="BM94" s="106">
        <v>40737.596438808672</v>
      </c>
      <c r="BN94" s="106">
        <v>19.004958673496972</v>
      </c>
      <c r="BO94" s="106">
        <v>45520.677014759945</v>
      </c>
      <c r="BP94" s="106">
        <v>43.0065700421641</v>
      </c>
      <c r="BQ94" s="106">
        <v>103009.33656499145</v>
      </c>
      <c r="BR94" s="106">
        <v>27</v>
      </c>
      <c r="BS94" s="106">
        <v>64670.399999999994</v>
      </c>
      <c r="BT94" s="106">
        <v>49.01984119142007</v>
      </c>
      <c r="BU94" s="106">
        <v>117412.32362168934</v>
      </c>
      <c r="BV94" s="106">
        <v>45</v>
      </c>
      <c r="BW94" s="106">
        <v>107783.99999999999</v>
      </c>
      <c r="BX94" s="106">
        <v>19</v>
      </c>
      <c r="BY94" s="106">
        <v>45508.799999999996</v>
      </c>
      <c r="BZ94" s="106">
        <v>26.005360118913561</v>
      </c>
      <c r="CA94" s="106">
        <v>62288.038556821761</v>
      </c>
      <c r="CB94" s="106">
        <v>19.002154099595995</v>
      </c>
      <c r="CC94" s="106">
        <v>45513.959499352321</v>
      </c>
      <c r="CD94" s="106">
        <v>29.002893614921831</v>
      </c>
      <c r="CE94" s="106">
        <v>69467.730786460757</v>
      </c>
      <c r="CF94" s="106">
        <v>12.011851825762312</v>
      </c>
      <c r="CG94" s="106">
        <v>28770.787493065887</v>
      </c>
      <c r="CH94" s="106">
        <v>14.008722720203661</v>
      </c>
      <c r="CI94" s="106">
        <v>33553.692659431807</v>
      </c>
      <c r="CJ94" s="106">
        <v>9.0163990770638858</v>
      </c>
      <c r="CK94" s="106">
        <v>21596.079069383417</v>
      </c>
      <c r="CL94" s="106">
        <v>14.007535303192121</v>
      </c>
      <c r="CM94" s="106">
        <v>33550.848558205769</v>
      </c>
      <c r="CN94" s="106">
        <v>6.0019900466649814</v>
      </c>
      <c r="CO94" s="106">
        <v>14375.966559771963</v>
      </c>
      <c r="CP94" s="106">
        <v>6</v>
      </c>
      <c r="CQ94" s="106">
        <v>14371.199999999999</v>
      </c>
      <c r="CR94" s="106">
        <v>6</v>
      </c>
      <c r="CS94" s="106">
        <v>14371.199999999999</v>
      </c>
      <c r="CT94" s="106">
        <v>6.0039554763231884</v>
      </c>
      <c r="CU94" s="106">
        <v>14380.674156889299</v>
      </c>
    </row>
    <row r="95" spans="2:99" x14ac:dyDescent="0.2">
      <c r="B95" s="105" t="s">
        <v>132</v>
      </c>
      <c r="C95" s="105" t="s">
        <v>262</v>
      </c>
      <c r="D95" s="106">
        <v>6.0809062707943422</v>
      </c>
      <c r="E95" s="106">
        <v>10536.994386032437</v>
      </c>
      <c r="F95" s="106">
        <v>7.0879064349112424</v>
      </c>
      <c r="G95" s="106">
        <v>12281.9242704142</v>
      </c>
      <c r="H95" s="106">
        <v>8.1086458945096105</v>
      </c>
      <c r="I95" s="106">
        <v>14050.661606006253</v>
      </c>
      <c r="J95" s="106">
        <v>9.0092146495611551</v>
      </c>
      <c r="K95" s="106">
        <v>15611.167144759569</v>
      </c>
      <c r="L95" s="106">
        <v>12.006324104484694</v>
      </c>
      <c r="M95" s="106">
        <v>20804.558408251076</v>
      </c>
      <c r="N95" s="106">
        <v>13</v>
      </c>
      <c r="O95" s="106">
        <v>22526.399999999998</v>
      </c>
      <c r="P95" s="106">
        <v>10</v>
      </c>
      <c r="Q95" s="106">
        <v>17328</v>
      </c>
      <c r="R95" s="106">
        <v>15.009492609513572</v>
      </c>
      <c r="S95" s="106">
        <v>26008.448793765117</v>
      </c>
      <c r="T95" s="106">
        <v>12.015279644062229</v>
      </c>
      <c r="U95" s="106">
        <v>20820.07656723103</v>
      </c>
      <c r="V95" s="106">
        <v>16.008256101965312</v>
      </c>
      <c r="W95" s="106">
        <v>27739.106173485492</v>
      </c>
      <c r="X95" s="106">
        <v>11.009345787634782</v>
      </c>
      <c r="Y95" s="106">
        <v>19076.99438081355</v>
      </c>
      <c r="Z95" s="106">
        <v>13.007137188208617</v>
      </c>
      <c r="AA95" s="106">
        <v>22538.767319727889</v>
      </c>
      <c r="AB95" s="106">
        <v>61.00364462792686</v>
      </c>
      <c r="AC95" s="106">
        <v>105707.11541127166</v>
      </c>
      <c r="AD95" s="106">
        <v>41.003786563614746</v>
      </c>
      <c r="AE95" s="106">
        <v>71051.361357431626</v>
      </c>
      <c r="AF95" s="106">
        <v>58.003697988111568</v>
      </c>
      <c r="AG95" s="106">
        <v>100508.80787379973</v>
      </c>
      <c r="AH95" s="106">
        <v>65.003118896484381</v>
      </c>
      <c r="AI95" s="106">
        <v>112637.40442382813</v>
      </c>
      <c r="AJ95" s="106">
        <v>9.0059951951969257</v>
      </c>
      <c r="AK95" s="106">
        <v>15605.588474237233</v>
      </c>
      <c r="AL95" s="106">
        <v>8</v>
      </c>
      <c r="AM95" s="106">
        <v>13862.4</v>
      </c>
      <c r="AN95" s="106">
        <v>8.010945243429985</v>
      </c>
      <c r="AO95" s="106">
        <v>13881.365917815478</v>
      </c>
      <c r="AP95" s="106">
        <v>5</v>
      </c>
      <c r="AQ95" s="106">
        <v>8664</v>
      </c>
      <c r="AR95" s="106">
        <v>45.004430378513099</v>
      </c>
      <c r="AS95" s="106">
        <v>77983.676959887496</v>
      </c>
      <c r="AT95" s="106">
        <v>50.003834259508871</v>
      </c>
      <c r="AU95" s="106">
        <v>86646.644004876973</v>
      </c>
      <c r="AV95" s="106">
        <v>38.009980284779253</v>
      </c>
      <c r="AW95" s="106">
        <v>65863.693837465486</v>
      </c>
      <c r="AX95" s="106">
        <v>42.004417050708284</v>
      </c>
      <c r="AY95" s="106">
        <v>72785.253865467312</v>
      </c>
      <c r="AZ95" s="106">
        <v>19</v>
      </c>
      <c r="BA95" s="106">
        <v>32923.199999999997</v>
      </c>
      <c r="BB95" s="106">
        <v>32.005736116616021</v>
      </c>
      <c r="BC95" s="106">
        <v>55459.53954287224</v>
      </c>
      <c r="BD95" s="106">
        <v>24.008013265658274</v>
      </c>
      <c r="BE95" s="106">
        <v>41601.085386732659</v>
      </c>
      <c r="BF95" s="106">
        <v>24.005217375468927</v>
      </c>
      <c r="BG95" s="106">
        <v>41596.240668212558</v>
      </c>
      <c r="BH95" s="106">
        <v>41.00335032596962</v>
      </c>
      <c r="BI95" s="106">
        <v>71050.605444840156</v>
      </c>
      <c r="BJ95" s="106">
        <v>41</v>
      </c>
      <c r="BK95" s="106">
        <v>71044.800000000003</v>
      </c>
      <c r="BL95" s="106">
        <v>31.007650247748948</v>
      </c>
      <c r="BM95" s="106">
        <v>53730.056349299375</v>
      </c>
      <c r="BN95" s="106">
        <v>36.006060600940742</v>
      </c>
      <c r="BO95" s="106">
        <v>62391.30180931012</v>
      </c>
      <c r="BP95" s="106">
        <v>16.008695644040721</v>
      </c>
      <c r="BQ95" s="106">
        <v>27739.867811993761</v>
      </c>
      <c r="BR95" s="106">
        <v>30</v>
      </c>
      <c r="BS95" s="106">
        <v>51984</v>
      </c>
      <c r="BT95" s="106">
        <v>21.013095186337246</v>
      </c>
      <c r="BU95" s="106">
        <v>36411.491338885178</v>
      </c>
      <c r="BV95" s="106">
        <v>17</v>
      </c>
      <c r="BW95" s="106">
        <v>29457.599999999999</v>
      </c>
      <c r="BX95" s="106">
        <v>28</v>
      </c>
      <c r="BY95" s="106">
        <v>48518.400000000001</v>
      </c>
      <c r="BZ95" s="106">
        <v>23.022445497950542</v>
      </c>
      <c r="CA95" s="106">
        <v>39893.293558848702</v>
      </c>
      <c r="CB95" s="106">
        <v>26.012096097731355</v>
      </c>
      <c r="CC95" s="106">
        <v>45073.760118148894</v>
      </c>
      <c r="CD95" s="106">
        <v>34.011234034402399</v>
      </c>
      <c r="CE95" s="106">
        <v>58934.666334812478</v>
      </c>
      <c r="CF95" s="106">
        <v>23.00385184337275</v>
      </c>
      <c r="CG95" s="106">
        <v>39861.074474196299</v>
      </c>
      <c r="CH95" s="106">
        <v>23.002492205772473</v>
      </c>
      <c r="CI95" s="106">
        <v>39858.718494162538</v>
      </c>
      <c r="CJ95" s="106">
        <v>24.007843036856642</v>
      </c>
      <c r="CK95" s="106">
        <v>41600.79041426519</v>
      </c>
      <c r="CL95" s="106">
        <v>28.004081622562399</v>
      </c>
      <c r="CM95" s="106">
        <v>48525.472635576123</v>
      </c>
      <c r="CN95" s="106">
        <v>106.01194027998989</v>
      </c>
      <c r="CO95" s="106">
        <v>183697.49011716648</v>
      </c>
      <c r="CP95" s="106">
        <v>89</v>
      </c>
      <c r="CQ95" s="106">
        <v>154219.19999999998</v>
      </c>
      <c r="CR95" s="106">
        <v>105</v>
      </c>
      <c r="CS95" s="106">
        <v>181944</v>
      </c>
      <c r="CT95" s="106">
        <v>88.019282947075538</v>
      </c>
      <c r="CU95" s="106">
        <v>152519.8134906925</v>
      </c>
    </row>
    <row r="96" spans="2:99" x14ac:dyDescent="0.2">
      <c r="C96" s="105" t="s">
        <v>263</v>
      </c>
      <c r="D96" s="106">
        <v>6.0960761965682817</v>
      </c>
      <c r="E96" s="106">
        <v>5018.2899250150094</v>
      </c>
      <c r="F96" s="106">
        <v>7.115115569526627</v>
      </c>
      <c r="G96" s="106">
        <v>5857.1631368343187</v>
      </c>
      <c r="H96" s="106">
        <v>8.1133696290535067</v>
      </c>
      <c r="I96" s="106">
        <v>6678.9258786368464</v>
      </c>
      <c r="J96" s="106">
        <v>10.010680616536794</v>
      </c>
      <c r="K96" s="106">
        <v>8240.7922835330883</v>
      </c>
      <c r="L96" s="106">
        <v>14.006719361014987</v>
      </c>
      <c r="M96" s="106">
        <v>11530.331377987537</v>
      </c>
      <c r="N96" s="106">
        <v>16</v>
      </c>
      <c r="O96" s="106">
        <v>13171.199999999999</v>
      </c>
      <c r="P96" s="106">
        <v>12</v>
      </c>
      <c r="Q96" s="106">
        <v>9878.4</v>
      </c>
      <c r="R96" s="106">
        <v>15.009492609513572</v>
      </c>
      <c r="S96" s="106">
        <v>12355.814316151571</v>
      </c>
      <c r="T96" s="106">
        <v>11.016098196422705</v>
      </c>
      <c r="U96" s="106">
        <v>9068.4520352951695</v>
      </c>
      <c r="V96" s="106">
        <v>19.011288955748487</v>
      </c>
      <c r="W96" s="106">
        <v>15650.093068372153</v>
      </c>
      <c r="X96" s="106">
        <v>13.009685634457865</v>
      </c>
      <c r="Y96" s="106">
        <v>10709.573214285714</v>
      </c>
      <c r="Z96" s="106">
        <v>13.008088813303099</v>
      </c>
      <c r="AA96" s="106">
        <v>10708.25871111111</v>
      </c>
      <c r="AB96" s="106">
        <v>64.00364462792686</v>
      </c>
      <c r="AC96" s="106">
        <v>52687.800257709387</v>
      </c>
      <c r="AD96" s="106">
        <v>55.003786563614746</v>
      </c>
      <c r="AE96" s="106">
        <v>45279.117099167655</v>
      </c>
      <c r="AF96" s="106">
        <v>70.003697988111568</v>
      </c>
      <c r="AG96" s="106">
        <v>57627.044183813436</v>
      </c>
      <c r="AH96" s="106">
        <v>63.003508758544925</v>
      </c>
      <c r="AI96" s="106">
        <v>51864.488410034181</v>
      </c>
      <c r="AJ96" s="106">
        <v>9.0059951951969257</v>
      </c>
      <c r="AK96" s="106">
        <v>7413.7352446861087</v>
      </c>
      <c r="AL96" s="106">
        <v>7</v>
      </c>
      <c r="AM96" s="106">
        <v>5762.4</v>
      </c>
      <c r="AN96" s="106">
        <v>8.0126036136466485</v>
      </c>
      <c r="AO96" s="106">
        <v>6595.9752947539209</v>
      </c>
      <c r="AP96" s="106">
        <v>6</v>
      </c>
      <c r="AQ96" s="106">
        <v>4939.2</v>
      </c>
      <c r="AR96" s="106">
        <v>54.005274260134641</v>
      </c>
      <c r="AS96" s="106">
        <v>44457.141770942835</v>
      </c>
      <c r="AT96" s="106">
        <v>61.004452688461917</v>
      </c>
      <c r="AU96" s="106">
        <v>50218.865453141843</v>
      </c>
      <c r="AV96" s="106">
        <v>48.011030841071808</v>
      </c>
      <c r="AW96" s="106">
        <v>39522.680588370305</v>
      </c>
      <c r="AX96" s="106">
        <v>46.004622494927268</v>
      </c>
      <c r="AY96" s="106">
        <v>37871.005237824123</v>
      </c>
      <c r="AZ96" s="106">
        <v>19</v>
      </c>
      <c r="BA96" s="106">
        <v>15640.8</v>
      </c>
      <c r="BB96" s="106">
        <v>33.006118524390423</v>
      </c>
      <c r="BC96" s="106">
        <v>27170.636769278193</v>
      </c>
      <c r="BD96" s="106">
        <v>27.008013265658274</v>
      </c>
      <c r="BE96" s="106">
        <v>22232.996520289889</v>
      </c>
      <c r="BF96" s="106">
        <v>25.005913025531449</v>
      </c>
      <c r="BG96" s="106">
        <v>20584.867602617487</v>
      </c>
      <c r="BH96" s="106">
        <v>50.00335032596962</v>
      </c>
      <c r="BI96" s="106">
        <v>41162.757988338191</v>
      </c>
      <c r="BJ96" s="106">
        <v>44</v>
      </c>
      <c r="BK96" s="106">
        <v>36220.799999999996</v>
      </c>
      <c r="BL96" s="106">
        <v>31.008743140284512</v>
      </c>
      <c r="BM96" s="106">
        <v>25526.397353082208</v>
      </c>
      <c r="BN96" s="106">
        <v>36.006427910088668</v>
      </c>
      <c r="BO96" s="106">
        <v>29640.49145558499</v>
      </c>
      <c r="BP96" s="106">
        <v>21.007922697903766</v>
      </c>
      <c r="BQ96" s="106">
        <v>17293.721964914377</v>
      </c>
      <c r="BR96" s="106">
        <v>32</v>
      </c>
      <c r="BS96" s="106">
        <v>26342.399999999998</v>
      </c>
      <c r="BT96" s="106">
        <v>27.013888833994049</v>
      </c>
      <c r="BU96" s="106">
        <v>22237.833288143898</v>
      </c>
      <c r="BV96" s="106">
        <v>18</v>
      </c>
      <c r="BW96" s="106">
        <v>14817.599999999999</v>
      </c>
      <c r="BX96" s="106">
        <v>34</v>
      </c>
      <c r="BY96" s="106">
        <v>27988.799999999999</v>
      </c>
      <c r="BZ96" s="106">
        <v>28.022110490518447</v>
      </c>
      <c r="CA96" s="106">
        <v>23067.801355794785</v>
      </c>
      <c r="CB96" s="106">
        <v>28.015078697171962</v>
      </c>
      <c r="CC96" s="106">
        <v>23062.012783511957</v>
      </c>
      <c r="CD96" s="106">
        <v>43.010893609117474</v>
      </c>
      <c r="CE96" s="106">
        <v>35406.567619025504</v>
      </c>
      <c r="CF96" s="106">
        <v>27.00385184337275</v>
      </c>
      <c r="CG96" s="106">
        <v>22229.570837464446</v>
      </c>
      <c r="CH96" s="106">
        <v>25.002803731494033</v>
      </c>
      <c r="CI96" s="106">
        <v>20582.308031765886</v>
      </c>
      <c r="CJ96" s="106">
        <v>26.007843036856642</v>
      </c>
      <c r="CK96" s="106">
        <v>21409.656387940384</v>
      </c>
      <c r="CL96" s="106">
        <v>30.004395593528738</v>
      </c>
      <c r="CM96" s="106">
        <v>24699.618452592855</v>
      </c>
      <c r="CN96" s="106">
        <v>126.01194027998989</v>
      </c>
      <c r="CO96" s="106">
        <v>103733.02923848767</v>
      </c>
      <c r="CP96" s="106">
        <v>112</v>
      </c>
      <c r="CQ96" s="106">
        <v>92198.399999999994</v>
      </c>
      <c r="CR96" s="106">
        <v>136</v>
      </c>
      <c r="CS96" s="106">
        <v>111955.2</v>
      </c>
      <c r="CT96" s="106">
        <v>102.02521616156032</v>
      </c>
      <c r="CU96" s="106">
        <v>83987.157944196457</v>
      </c>
    </row>
    <row r="97" spans="2:99" x14ac:dyDescent="0.2">
      <c r="C97" s="105" t="s">
        <v>264</v>
      </c>
      <c r="D97" s="106">
        <v>6.0910195546436352</v>
      </c>
      <c r="E97" s="106">
        <v>11139.25656153228</v>
      </c>
      <c r="F97" s="106">
        <v>7.1025575073964493</v>
      </c>
      <c r="G97" s="106">
        <v>12989.157169526627</v>
      </c>
      <c r="H97" s="106">
        <v>8.1157314963254557</v>
      </c>
      <c r="I97" s="106">
        <v>14842.049760479993</v>
      </c>
      <c r="J97" s="106">
        <v>8.0094240734148183</v>
      </c>
      <c r="K97" s="106">
        <v>14647.634745461019</v>
      </c>
      <c r="L97" s="106">
        <v>12.005731219689254</v>
      </c>
      <c r="M97" s="106">
        <v>21956.081254567707</v>
      </c>
      <c r="N97" s="106">
        <v>15</v>
      </c>
      <c r="O97" s="106">
        <v>27432</v>
      </c>
      <c r="P97" s="106">
        <v>11</v>
      </c>
      <c r="Q97" s="106">
        <v>20116.8</v>
      </c>
      <c r="R97" s="106">
        <v>15.009165278151034</v>
      </c>
      <c r="S97" s="106">
        <v>27448.76146068261</v>
      </c>
      <c r="T97" s="106">
        <v>11.013642539341276</v>
      </c>
      <c r="U97" s="106">
        <v>20141.749475947327</v>
      </c>
      <c r="V97" s="106">
        <v>16.00926705322637</v>
      </c>
      <c r="W97" s="106">
        <v>29277.747586940386</v>
      </c>
      <c r="X97" s="106">
        <v>12.00798640034245</v>
      </c>
      <c r="Y97" s="106">
        <v>21960.20552894627</v>
      </c>
      <c r="Z97" s="106">
        <v>13.007137188208617</v>
      </c>
      <c r="AA97" s="106">
        <v>23787.452489795916</v>
      </c>
      <c r="AB97" s="106">
        <v>55.00364462792686</v>
      </c>
      <c r="AC97" s="106">
        <v>100590.66529555264</v>
      </c>
      <c r="AD97" s="106">
        <v>40.003442330558862</v>
      </c>
      <c r="AE97" s="106">
        <v>73158.295334126044</v>
      </c>
      <c r="AF97" s="106">
        <v>54.004006153787529</v>
      </c>
      <c r="AG97" s="106">
        <v>98762.526454046631</v>
      </c>
      <c r="AH97" s="106">
        <v>57.003118896484374</v>
      </c>
      <c r="AI97" s="106">
        <v>104247.30383789062</v>
      </c>
      <c r="AJ97" s="106">
        <v>10.006235003004804</v>
      </c>
      <c r="AK97" s="106">
        <v>18299.402573495183</v>
      </c>
      <c r="AL97" s="106">
        <v>8</v>
      </c>
      <c r="AM97" s="106">
        <v>14630.4</v>
      </c>
      <c r="AN97" s="106">
        <v>7.0109452434299842</v>
      </c>
      <c r="AO97" s="106">
        <v>12821.616661184755</v>
      </c>
      <c r="AP97" s="106">
        <v>5</v>
      </c>
      <c r="AQ97" s="106">
        <v>9144</v>
      </c>
      <c r="AR97" s="106">
        <v>46.004852319323867</v>
      </c>
      <c r="AS97" s="106">
        <v>84133.673921579481</v>
      </c>
      <c r="AT97" s="106">
        <v>45.0042053168807</v>
      </c>
      <c r="AU97" s="106">
        <v>82303.690683511421</v>
      </c>
      <c r="AV97" s="106">
        <v>40.009717645706118</v>
      </c>
      <c r="AW97" s="106">
        <v>73169.771630467352</v>
      </c>
      <c r="AX97" s="106">
        <v>45.004108884379797</v>
      </c>
      <c r="AY97" s="106">
        <v>82303.514327753772</v>
      </c>
      <c r="AZ97" s="106">
        <v>17</v>
      </c>
      <c r="BA97" s="106">
        <v>31089.599999999999</v>
      </c>
      <c r="BB97" s="106">
        <v>27.005736116616021</v>
      </c>
      <c r="BC97" s="106">
        <v>49388.090210067377</v>
      </c>
      <c r="BD97" s="106">
        <v>25.007345493520084</v>
      </c>
      <c r="BE97" s="106">
        <v>45733.433438549531</v>
      </c>
      <c r="BF97" s="106">
        <v>22.004869550437665</v>
      </c>
      <c r="BG97" s="106">
        <v>40242.505433840401</v>
      </c>
      <c r="BH97" s="106">
        <v>42.003495992316125</v>
      </c>
      <c r="BI97" s="106">
        <v>76815.993470747722</v>
      </c>
      <c r="BJ97" s="106">
        <v>39</v>
      </c>
      <c r="BK97" s="106">
        <v>71323.199999999997</v>
      </c>
      <c r="BL97" s="106">
        <v>32.00728595023709</v>
      </c>
      <c r="BM97" s="106">
        <v>58534.92454579359</v>
      </c>
      <c r="BN97" s="106">
        <v>37.006060600940742</v>
      </c>
      <c r="BO97" s="106">
        <v>67676.683627000428</v>
      </c>
      <c r="BP97" s="106">
        <v>17.007149751766814</v>
      </c>
      <c r="BQ97" s="106">
        <v>31102.675466031149</v>
      </c>
      <c r="BR97" s="106">
        <v>32</v>
      </c>
      <c r="BS97" s="106">
        <v>58521.599999999999</v>
      </c>
      <c r="BT97" s="106">
        <v>21.013095186337246</v>
      </c>
      <c r="BU97" s="106">
        <v>38428.748476773551</v>
      </c>
      <c r="BV97" s="106">
        <v>18</v>
      </c>
      <c r="BW97" s="106">
        <v>32918.400000000001</v>
      </c>
      <c r="BX97" s="106">
        <v>29</v>
      </c>
      <c r="BY97" s="106">
        <v>53035.199999999997</v>
      </c>
      <c r="BZ97" s="106">
        <v>25.020770460790054</v>
      </c>
      <c r="CA97" s="106">
        <v>45757.985018692852</v>
      </c>
      <c r="CB97" s="106">
        <v>25.011433297855664</v>
      </c>
      <c r="CC97" s="106">
        <v>45740.909215118438</v>
      </c>
      <c r="CD97" s="106">
        <v>35.010893609117474</v>
      </c>
      <c r="CE97" s="106">
        <v>64027.922232354038</v>
      </c>
      <c r="CF97" s="106">
        <v>22.00385184337275</v>
      </c>
      <c r="CG97" s="106">
        <v>40240.644251160084</v>
      </c>
      <c r="CH97" s="106">
        <v>22.002492205772473</v>
      </c>
      <c r="CI97" s="106">
        <v>40238.157745916695</v>
      </c>
      <c r="CJ97" s="106">
        <v>25.008556040207246</v>
      </c>
      <c r="CK97" s="106">
        <v>45735.647286331012</v>
      </c>
      <c r="CL97" s="106">
        <v>28.004081622562399</v>
      </c>
      <c r="CM97" s="106">
        <v>51213.864471342116</v>
      </c>
      <c r="CN97" s="106">
        <v>102.01169152415676</v>
      </c>
      <c r="CO97" s="106">
        <v>186558.98145937789</v>
      </c>
      <c r="CP97" s="106">
        <v>79</v>
      </c>
      <c r="CQ97" s="106">
        <v>144475.19999999998</v>
      </c>
      <c r="CR97" s="106">
        <v>112</v>
      </c>
      <c r="CS97" s="106">
        <v>204825.60000000001</v>
      </c>
      <c r="CT97" s="106">
        <v>90.023238423398737</v>
      </c>
      <c r="CU97" s="106">
        <v>164634.49842871161</v>
      </c>
    </row>
    <row r="98" spans="2:99" x14ac:dyDescent="0.2">
      <c r="C98" s="105" t="s">
        <v>265</v>
      </c>
      <c r="D98" s="106">
        <v>6.098604517530605</v>
      </c>
      <c r="E98" s="106">
        <v>7706.1966683516721</v>
      </c>
      <c r="F98" s="106">
        <v>7.1004644970414201</v>
      </c>
      <c r="G98" s="106">
        <v>8972.1469384615375</v>
      </c>
      <c r="H98" s="106">
        <v>8.125178965413248</v>
      </c>
      <c r="I98" s="106">
        <v>10266.976140696179</v>
      </c>
      <c r="J98" s="106">
        <v>10.010261768829467</v>
      </c>
      <c r="K98" s="106">
        <v>12648.966771092913</v>
      </c>
      <c r="L98" s="106">
        <v>14.006324104484694</v>
      </c>
      <c r="M98" s="106">
        <v>17698.391138426858</v>
      </c>
      <c r="N98" s="106">
        <v>14</v>
      </c>
      <c r="O98" s="106">
        <v>17690.399999999998</v>
      </c>
      <c r="P98" s="106">
        <v>12</v>
      </c>
      <c r="Q98" s="106">
        <v>15163.199999999999</v>
      </c>
      <c r="R98" s="106">
        <v>14.009819940876108</v>
      </c>
      <c r="S98" s="106">
        <v>17702.808477291048</v>
      </c>
      <c r="T98" s="106">
        <v>10.014733942488578</v>
      </c>
      <c r="U98" s="106">
        <v>12654.617809728566</v>
      </c>
      <c r="V98" s="106">
        <v>17.010446496364274</v>
      </c>
      <c r="W98" s="106">
        <v>21494.400192805897</v>
      </c>
      <c r="X98" s="106">
        <v>11.008496170577075</v>
      </c>
      <c r="Y98" s="106">
        <v>13910.335761141192</v>
      </c>
      <c r="Z98" s="106">
        <v>12.00856462585034</v>
      </c>
      <c r="AA98" s="106">
        <v>15174.022261224489</v>
      </c>
      <c r="AB98" s="106">
        <v>56.00364462792686</v>
      </c>
      <c r="AC98" s="106">
        <v>70766.205351848374</v>
      </c>
      <c r="AD98" s="106">
        <v>43.003442330558862</v>
      </c>
      <c r="AE98" s="106">
        <v>54339.149728894175</v>
      </c>
      <c r="AF98" s="106">
        <v>67.003697988111568</v>
      </c>
      <c r="AG98" s="106">
        <v>84665.872777777768</v>
      </c>
      <c r="AH98" s="106">
        <v>68.003508758544925</v>
      </c>
      <c r="AI98" s="106">
        <v>85929.233667297362</v>
      </c>
      <c r="AJ98" s="106">
        <v>9.0055155795811714</v>
      </c>
      <c r="AK98" s="106">
        <v>11379.369486358768</v>
      </c>
      <c r="AL98" s="106">
        <v>8</v>
      </c>
      <c r="AM98" s="106">
        <v>10108.799999999999</v>
      </c>
      <c r="AN98" s="106">
        <v>9.0112769174733174</v>
      </c>
      <c r="AO98" s="106">
        <v>11386.649512919283</v>
      </c>
      <c r="AP98" s="106">
        <v>6</v>
      </c>
      <c r="AQ98" s="106">
        <v>7581.5999999999995</v>
      </c>
      <c r="AR98" s="106">
        <v>49.005063289729257</v>
      </c>
      <c r="AS98" s="106">
        <v>61922.797972901884</v>
      </c>
      <c r="AT98" s="106">
        <v>53.003957945299483</v>
      </c>
      <c r="AU98" s="106">
        <v>66975.801259680418</v>
      </c>
      <c r="AV98" s="106">
        <v>47.009717645706118</v>
      </c>
      <c r="AW98" s="106">
        <v>59401.479217114247</v>
      </c>
      <c r="AX98" s="106">
        <v>46.004314328598788</v>
      </c>
      <c r="AY98" s="106">
        <v>58131.051585617424</v>
      </c>
      <c r="AZ98" s="106">
        <v>22</v>
      </c>
      <c r="BA98" s="106">
        <v>27799.199999999997</v>
      </c>
      <c r="BB98" s="106">
        <v>33.006118524390423</v>
      </c>
      <c r="BC98" s="106">
        <v>41706.531367419739</v>
      </c>
      <c r="BD98" s="106">
        <v>27.008681037796464</v>
      </c>
      <c r="BE98" s="106">
        <v>34128.169359359606</v>
      </c>
      <c r="BF98" s="106">
        <v>25.005217375468927</v>
      </c>
      <c r="BG98" s="106">
        <v>31596.592675642532</v>
      </c>
      <c r="BH98" s="106">
        <v>42.003495992316125</v>
      </c>
      <c r="BI98" s="106">
        <v>53075.617535890655</v>
      </c>
      <c r="BJ98" s="106">
        <v>40</v>
      </c>
      <c r="BK98" s="106">
        <v>50544</v>
      </c>
      <c r="BL98" s="106">
        <v>32.008378842772657</v>
      </c>
      <c r="BM98" s="106">
        <v>40445.787505727531</v>
      </c>
      <c r="BN98" s="106">
        <v>37.006060600940742</v>
      </c>
      <c r="BO98" s="106">
        <v>46760.858175348716</v>
      </c>
      <c r="BP98" s="106">
        <v>20.008309170972243</v>
      </c>
      <c r="BQ98" s="106">
        <v>25282.499468440525</v>
      </c>
      <c r="BR98" s="106">
        <v>29</v>
      </c>
      <c r="BS98" s="106">
        <v>36644.399999999994</v>
      </c>
      <c r="BT98" s="106">
        <v>25.015079305479251</v>
      </c>
      <c r="BU98" s="106">
        <v>31609.054210403578</v>
      </c>
      <c r="BV98" s="106">
        <v>17</v>
      </c>
      <c r="BW98" s="106">
        <v>21481.199999999997</v>
      </c>
      <c r="BX98" s="106">
        <v>34</v>
      </c>
      <c r="BY98" s="106">
        <v>42962.399999999994</v>
      </c>
      <c r="BZ98" s="106">
        <v>27.021105468222153</v>
      </c>
      <c r="CA98" s="106">
        <v>34143.868869645506</v>
      </c>
      <c r="CB98" s="106">
        <v>25.012261797700276</v>
      </c>
      <c r="CC98" s="106">
        <v>31605.494007574067</v>
      </c>
      <c r="CD98" s="106">
        <v>39.010893609117474</v>
      </c>
      <c r="CE98" s="106">
        <v>49294.165164480837</v>
      </c>
      <c r="CF98" s="106">
        <v>22.003555547728695</v>
      </c>
      <c r="CG98" s="106">
        <v>27803.692790109977</v>
      </c>
      <c r="CH98" s="106">
        <v>28.002803731494033</v>
      </c>
      <c r="CI98" s="106">
        <v>35384.342795115859</v>
      </c>
      <c r="CJ98" s="106">
        <v>26.009269043557847</v>
      </c>
      <c r="CK98" s="106">
        <v>32865.312363439691</v>
      </c>
      <c r="CL98" s="106">
        <v>31.004081622562399</v>
      </c>
      <c r="CM98" s="106">
        <v>39176.757538269841</v>
      </c>
      <c r="CN98" s="106">
        <v>137.01268654748927</v>
      </c>
      <c r="CO98" s="106">
        <v>173129.23072140742</v>
      </c>
      <c r="CP98" s="106">
        <v>94</v>
      </c>
      <c r="CQ98" s="106">
        <v>118778.4</v>
      </c>
      <c r="CR98" s="106">
        <v>128</v>
      </c>
      <c r="CS98" s="106">
        <v>161740.79999999999</v>
      </c>
      <c r="CT98" s="106">
        <v>100.02027181615634</v>
      </c>
      <c r="CU98" s="106">
        <v>126385.61546689513</v>
      </c>
    </row>
    <row r="99" spans="2:99" x14ac:dyDescent="0.2">
      <c r="C99" s="105" t="s">
        <v>266</v>
      </c>
      <c r="D99" s="106">
        <v>4.0530947402087873</v>
      </c>
      <c r="E99" s="106">
        <v>22217.444127928487</v>
      </c>
      <c r="F99" s="106">
        <v>5.0606973002958577</v>
      </c>
      <c r="G99" s="106">
        <v>27740.718321301771</v>
      </c>
      <c r="H99" s="106">
        <v>6.0755797527023381</v>
      </c>
      <c r="I99" s="106">
        <v>33303.897972413135</v>
      </c>
      <c r="J99" s="106">
        <v>6.0058638679025531</v>
      </c>
      <c r="K99" s="106">
        <v>32921.743378294632</v>
      </c>
      <c r="L99" s="106">
        <v>10.003952565302933</v>
      </c>
      <c r="M99" s="106">
        <v>54837.666381964555</v>
      </c>
      <c r="N99" s="106">
        <v>10</v>
      </c>
      <c r="O99" s="106">
        <v>54815.999999999993</v>
      </c>
      <c r="P99" s="106">
        <v>8</v>
      </c>
      <c r="Q99" s="106">
        <v>43852.799999999996</v>
      </c>
      <c r="R99" s="106">
        <v>11.006219295888203</v>
      </c>
      <c r="S99" s="106">
        <v>60331.691692340763</v>
      </c>
      <c r="T99" s="106">
        <v>8.0084583743915907</v>
      </c>
      <c r="U99" s="106">
        <v>43899.165425064937</v>
      </c>
      <c r="V99" s="106">
        <v>12.005897215689508</v>
      </c>
      <c r="W99" s="106">
        <v>65811.526177523599</v>
      </c>
      <c r="X99" s="106">
        <v>9.0045879321116207</v>
      </c>
      <c r="Y99" s="106">
        <v>49359.549208663055</v>
      </c>
      <c r="Z99" s="106">
        <v>9.0041237087427568</v>
      </c>
      <c r="AA99" s="106">
        <v>49357.00452184429</v>
      </c>
      <c r="AB99" s="106">
        <v>37.003189049436003</v>
      </c>
      <c r="AC99" s="106">
        <v>202836.68109338838</v>
      </c>
      <c r="AD99" s="106">
        <v>28.002753864447087</v>
      </c>
      <c r="AE99" s="106">
        <v>153499.89558335312</v>
      </c>
      <c r="AF99" s="106">
        <v>38.003389822435601</v>
      </c>
      <c r="AG99" s="106">
        <v>208319.38165066298</v>
      </c>
      <c r="AH99" s="106">
        <v>39.00272903442383</v>
      </c>
      <c r="AI99" s="106">
        <v>213797.35947509765</v>
      </c>
      <c r="AJ99" s="106">
        <v>7.0043165405417867</v>
      </c>
      <c r="AK99" s="106">
        <v>38394.861548633853</v>
      </c>
      <c r="AL99" s="106">
        <v>6</v>
      </c>
      <c r="AM99" s="106">
        <v>32889.599999999999</v>
      </c>
      <c r="AN99" s="106">
        <v>6.008291851083321</v>
      </c>
      <c r="AO99" s="106">
        <v>32935.052610898332</v>
      </c>
      <c r="AP99" s="106">
        <v>5</v>
      </c>
      <c r="AQ99" s="106">
        <v>27407.999999999996</v>
      </c>
      <c r="AR99" s="106">
        <v>28.003164556080783</v>
      </c>
      <c r="AS99" s="106">
        <v>153502.14683061242</v>
      </c>
      <c r="AT99" s="106">
        <v>33.002844773184002</v>
      </c>
      <c r="AU99" s="106">
        <v>180908.39390868539</v>
      </c>
      <c r="AV99" s="106">
        <v>25.006040698682181</v>
      </c>
      <c r="AW99" s="106">
        <v>137073.11269389623</v>
      </c>
      <c r="AX99" s="106">
        <v>29.002670774846866</v>
      </c>
      <c r="AY99" s="106">
        <v>158981.04011940057</v>
      </c>
      <c r="AZ99" s="106">
        <v>13</v>
      </c>
      <c r="BA99" s="106">
        <v>71260.799999999988</v>
      </c>
      <c r="BB99" s="106">
        <v>20.004206485518417</v>
      </c>
      <c r="BC99" s="106">
        <v>109655.05827101774</v>
      </c>
      <c r="BD99" s="106">
        <v>16.006009949243705</v>
      </c>
      <c r="BE99" s="106">
        <v>87738.544137774283</v>
      </c>
      <c r="BF99" s="106">
        <v>15.003826075343879</v>
      </c>
      <c r="BG99" s="106">
        <v>82244.973014604999</v>
      </c>
      <c r="BH99" s="106">
        <v>28.002184995197581</v>
      </c>
      <c r="BI99" s="106">
        <v>153496.77726967505</v>
      </c>
      <c r="BJ99" s="106">
        <v>27</v>
      </c>
      <c r="BK99" s="106">
        <v>148003.19999999998</v>
      </c>
      <c r="BL99" s="106">
        <v>20.005464462677821</v>
      </c>
      <c r="BM99" s="106">
        <v>109661.95399861473</v>
      </c>
      <c r="BN99" s="106">
        <v>25.003856746053202</v>
      </c>
      <c r="BO99" s="106">
        <v>137061.14113916521</v>
      </c>
      <c r="BP99" s="106">
        <v>12.005410622958671</v>
      </c>
      <c r="BQ99" s="106">
        <v>65808.858870810247</v>
      </c>
      <c r="BR99" s="106">
        <v>21</v>
      </c>
      <c r="BS99" s="106">
        <v>115113.59999999999</v>
      </c>
      <c r="BT99" s="106">
        <v>16.009126948053233</v>
      </c>
      <c r="BU99" s="106">
        <v>87755.630278448589</v>
      </c>
      <c r="BV99" s="106">
        <v>12</v>
      </c>
      <c r="BW99" s="106">
        <v>65779.199999999997</v>
      </c>
      <c r="BX99" s="106">
        <v>20</v>
      </c>
      <c r="BY99" s="106">
        <v>109631.99999999999</v>
      </c>
      <c r="BZ99" s="106">
        <v>18.012060267555515</v>
      </c>
      <c r="CA99" s="106">
        <v>98734.909562632311</v>
      </c>
      <c r="CB99" s="106">
        <v>16.00695939869475</v>
      </c>
      <c r="CC99" s="106">
        <v>87743.748639885132</v>
      </c>
      <c r="CD99" s="106">
        <v>22.006638293055964</v>
      </c>
      <c r="CE99" s="106">
        <v>120631.58846721557</v>
      </c>
      <c r="CF99" s="106">
        <v>16.003259252084636</v>
      </c>
      <c r="CG99" s="106">
        <v>87723.465916227127</v>
      </c>
      <c r="CH99" s="106">
        <v>18.002492205772473</v>
      </c>
      <c r="CI99" s="106">
        <v>98682.461275162379</v>
      </c>
      <c r="CJ99" s="106">
        <v>17.007130033506037</v>
      </c>
      <c r="CK99" s="106">
        <v>93226.283991666685</v>
      </c>
      <c r="CL99" s="106">
        <v>21.003453680629722</v>
      </c>
      <c r="CM99" s="106">
        <v>115132.53169573988</v>
      </c>
      <c r="CN99" s="106">
        <v>67.007462674993675</v>
      </c>
      <c r="CO99" s="106">
        <v>367308.10739924532</v>
      </c>
      <c r="CP99" s="106">
        <v>46</v>
      </c>
      <c r="CQ99" s="106">
        <v>252153.59999999998</v>
      </c>
      <c r="CR99" s="106">
        <v>57</v>
      </c>
      <c r="CS99" s="106">
        <v>312451.19999999995</v>
      </c>
      <c r="CT99" s="106">
        <v>46.014338601671554</v>
      </c>
      <c r="CU99" s="106">
        <v>252232.19847892277</v>
      </c>
    </row>
    <row r="100" spans="2:99" x14ac:dyDescent="0.2">
      <c r="C100" s="105" t="s">
        <v>267</v>
      </c>
      <c r="D100" s="106">
        <v>6.0809062707943422</v>
      </c>
      <c r="E100" s="106">
        <v>9865.66233373674</v>
      </c>
      <c r="F100" s="106">
        <v>7.0899994452662725</v>
      </c>
      <c r="G100" s="106">
        <v>11502.8151</v>
      </c>
      <c r="H100" s="106">
        <v>7.1062840272376633</v>
      </c>
      <c r="I100" s="106">
        <v>11529.235205790384</v>
      </c>
      <c r="J100" s="106">
        <v>8.0085863780001674</v>
      </c>
      <c r="K100" s="106">
        <v>12993.130539667471</v>
      </c>
      <c r="L100" s="106">
        <v>12.006719361014987</v>
      </c>
      <c r="M100" s="106">
        <v>19479.701491310712</v>
      </c>
      <c r="N100" s="106">
        <v>13</v>
      </c>
      <c r="O100" s="106">
        <v>21091.199999999997</v>
      </c>
      <c r="P100" s="106">
        <v>11</v>
      </c>
      <c r="Q100" s="106">
        <v>17846.399999999998</v>
      </c>
      <c r="R100" s="106">
        <v>14.009819940876108</v>
      </c>
      <c r="S100" s="106">
        <v>22729.531872077394</v>
      </c>
      <c r="T100" s="106">
        <v>12.013915390128101</v>
      </c>
      <c r="U100" s="106">
        <v>19491.376328943828</v>
      </c>
      <c r="V100" s="106">
        <v>18.009772528856899</v>
      </c>
      <c r="W100" s="106">
        <v>29219.05495081743</v>
      </c>
      <c r="X100" s="106">
        <v>12.00917586422324</v>
      </c>
      <c r="Y100" s="106">
        <v>19483.686922115783</v>
      </c>
      <c r="Z100" s="106">
        <v>12.007137188208617</v>
      </c>
      <c r="AA100" s="106">
        <v>19480.379374149659</v>
      </c>
      <c r="AB100" s="106">
        <v>59.00364462792686</v>
      </c>
      <c r="AC100" s="106">
        <v>95727.513044348525</v>
      </c>
      <c r="AD100" s="106">
        <v>42.003786563614746</v>
      </c>
      <c r="AE100" s="106">
        <v>68146.943320808554</v>
      </c>
      <c r="AF100" s="106">
        <v>65.003697988111568</v>
      </c>
      <c r="AG100" s="106">
        <v>105461.99961591219</v>
      </c>
      <c r="AH100" s="106">
        <v>58.003508758544925</v>
      </c>
      <c r="AI100" s="106">
        <v>94104.89260986328</v>
      </c>
      <c r="AJ100" s="106">
        <v>8.0062350030048037</v>
      </c>
      <c r="AK100" s="106">
        <v>12989.315668874993</v>
      </c>
      <c r="AL100" s="106">
        <v>7</v>
      </c>
      <c r="AM100" s="106">
        <v>11356.8</v>
      </c>
      <c r="AN100" s="106">
        <v>7.0126036136466485</v>
      </c>
      <c r="AO100" s="106">
        <v>11377.248102780322</v>
      </c>
      <c r="AP100" s="106">
        <v>5</v>
      </c>
      <c r="AQ100" s="106">
        <v>8111.9999999999991</v>
      </c>
      <c r="AR100" s="106">
        <v>44.004957804526562</v>
      </c>
      <c r="AS100" s="106">
        <v>71393.643542063888</v>
      </c>
      <c r="AT100" s="106">
        <v>47.003957945299483</v>
      </c>
      <c r="AU100" s="106">
        <v>76259.221370453874</v>
      </c>
      <c r="AV100" s="106">
        <v>44.008404450340421</v>
      </c>
      <c r="AW100" s="106">
        <v>71399.23538023229</v>
      </c>
      <c r="AX100" s="106">
        <v>44.004108884379797</v>
      </c>
      <c r="AY100" s="106">
        <v>71392.26625401777</v>
      </c>
      <c r="AZ100" s="106">
        <v>21</v>
      </c>
      <c r="BA100" s="106">
        <v>34070.399999999994</v>
      </c>
      <c r="BB100" s="106">
        <v>29.004971301067219</v>
      </c>
      <c r="BC100" s="106">
        <v>47057.665438851451</v>
      </c>
      <c r="BD100" s="106">
        <v>27.007345493520084</v>
      </c>
      <c r="BE100" s="106">
        <v>43816.71732868698</v>
      </c>
      <c r="BF100" s="106">
        <v>23.004869550437665</v>
      </c>
      <c r="BG100" s="106">
        <v>37323.100358630065</v>
      </c>
      <c r="BH100" s="106">
        <v>42.003058993276611</v>
      </c>
      <c r="BI100" s="106">
        <v>68145.762910691963</v>
      </c>
      <c r="BJ100" s="106">
        <v>44</v>
      </c>
      <c r="BK100" s="106">
        <v>71385.599999999991</v>
      </c>
      <c r="BL100" s="106">
        <v>28.008014545260803</v>
      </c>
      <c r="BM100" s="106">
        <v>45440.202798231119</v>
      </c>
      <c r="BN100" s="106">
        <v>35.006244255514709</v>
      </c>
      <c r="BO100" s="106">
        <v>56794.130680147056</v>
      </c>
      <c r="BP100" s="106">
        <v>18.008695644040721</v>
      </c>
      <c r="BQ100" s="106">
        <v>29217.307812891664</v>
      </c>
      <c r="BR100" s="106">
        <v>29</v>
      </c>
      <c r="BS100" s="106">
        <v>47049.599999999999</v>
      </c>
      <c r="BT100" s="106">
        <v>22.012301538680443</v>
      </c>
      <c r="BU100" s="106">
        <v>35712.758016355147</v>
      </c>
      <c r="BV100" s="106">
        <v>17</v>
      </c>
      <c r="BW100" s="106">
        <v>27580.799999999999</v>
      </c>
      <c r="BX100" s="106">
        <v>31</v>
      </c>
      <c r="BY100" s="106">
        <v>50294.399999999994</v>
      </c>
      <c r="BZ100" s="106">
        <v>24.019430431061664</v>
      </c>
      <c r="CA100" s="106">
        <v>38969.123931354443</v>
      </c>
      <c r="CB100" s="106">
        <v>27.013255997513813</v>
      </c>
      <c r="CC100" s="106">
        <v>43826.306530366404</v>
      </c>
      <c r="CD100" s="106">
        <v>34.011404247044858</v>
      </c>
      <c r="CE100" s="106">
        <v>55180.102250405573</v>
      </c>
      <c r="CF100" s="106">
        <v>24.003555547728695</v>
      </c>
      <c r="CG100" s="106">
        <v>38943.368520635035</v>
      </c>
      <c r="CH100" s="106">
        <v>26.002803731494033</v>
      </c>
      <c r="CI100" s="106">
        <v>42186.948773975913</v>
      </c>
      <c r="CJ100" s="106">
        <v>24.008556040207246</v>
      </c>
      <c r="CK100" s="106">
        <v>38951.481319632236</v>
      </c>
      <c r="CL100" s="106">
        <v>29.004395593528738</v>
      </c>
      <c r="CM100" s="106">
        <v>47056.731410941022</v>
      </c>
      <c r="CN100" s="106">
        <v>110.01194027998989</v>
      </c>
      <c r="CO100" s="106">
        <v>178483.37191025558</v>
      </c>
      <c r="CP100" s="106">
        <v>87</v>
      </c>
      <c r="CQ100" s="106">
        <v>141148.79999999999</v>
      </c>
      <c r="CR100" s="106">
        <v>118</v>
      </c>
      <c r="CS100" s="106">
        <v>191443.19999999998</v>
      </c>
      <c r="CT100" s="106">
        <v>95.020271816156338</v>
      </c>
      <c r="CU100" s="106">
        <v>154160.88899453203</v>
      </c>
    </row>
    <row r="101" spans="2:99" x14ac:dyDescent="0.2">
      <c r="C101" s="105" t="s">
        <v>268</v>
      </c>
      <c r="D101" s="106">
        <v>6.098604517530605</v>
      </c>
      <c r="E101" s="106">
        <v>7259.7788176684317</v>
      </c>
      <c r="F101" s="106">
        <v>7.098371486686391</v>
      </c>
      <c r="G101" s="106">
        <v>8449.9014177514782</v>
      </c>
      <c r="H101" s="106">
        <v>8.122817098141299</v>
      </c>
      <c r="I101" s="106">
        <v>9669.4014736274021</v>
      </c>
      <c r="J101" s="106">
        <v>9.0102617688294675</v>
      </c>
      <c r="K101" s="106">
        <v>10725.815609614598</v>
      </c>
      <c r="L101" s="106">
        <v>15.00711461754528</v>
      </c>
      <c r="M101" s="106">
        <v>17864.469240725899</v>
      </c>
      <c r="N101" s="106">
        <v>15</v>
      </c>
      <c r="O101" s="106">
        <v>17855.999999999996</v>
      </c>
      <c r="P101" s="106">
        <v>12</v>
      </c>
      <c r="Q101" s="106">
        <v>14284.8</v>
      </c>
      <c r="R101" s="106">
        <v>15.008837946788498</v>
      </c>
      <c r="S101" s="106">
        <v>17866.520691857026</v>
      </c>
      <c r="T101" s="106">
        <v>11.017189599570008</v>
      </c>
      <c r="U101" s="106">
        <v>13114.862499328136</v>
      </c>
      <c r="V101" s="106">
        <v>17.010614988241116</v>
      </c>
      <c r="W101" s="106">
        <v>20249.436082002223</v>
      </c>
      <c r="X101" s="106">
        <v>12.00917586422324</v>
      </c>
      <c r="Y101" s="106">
        <v>14295.722948771343</v>
      </c>
      <c r="Z101" s="106">
        <v>13.007454396573443</v>
      </c>
      <c r="AA101" s="106">
        <v>15484.073713681026</v>
      </c>
      <c r="AB101" s="106">
        <v>55.004100206417718</v>
      </c>
      <c r="AC101" s="106">
        <v>65476.880885719642</v>
      </c>
      <c r="AD101" s="106">
        <v>43.003442330558862</v>
      </c>
      <c r="AE101" s="106">
        <v>51191.297750297264</v>
      </c>
      <c r="AF101" s="106">
        <v>57.004006153787529</v>
      </c>
      <c r="AG101" s="106">
        <v>67857.568925468673</v>
      </c>
      <c r="AH101" s="106">
        <v>60.003118896484374</v>
      </c>
      <c r="AI101" s="106">
        <v>71427.712734374989</v>
      </c>
      <c r="AJ101" s="106">
        <v>10.005995195196926</v>
      </c>
      <c r="AK101" s="106">
        <v>11911.136680362419</v>
      </c>
      <c r="AL101" s="106">
        <v>8</v>
      </c>
      <c r="AM101" s="106">
        <v>9523.1999999999989</v>
      </c>
      <c r="AN101" s="106">
        <v>8.0126036136466485</v>
      </c>
      <c r="AO101" s="106">
        <v>9538.2033416849699</v>
      </c>
      <c r="AP101" s="106">
        <v>6</v>
      </c>
      <c r="AQ101" s="106">
        <v>7142.4</v>
      </c>
      <c r="AR101" s="106">
        <v>52.005168774931946</v>
      </c>
      <c r="AS101" s="106">
        <v>61906.952909678977</v>
      </c>
      <c r="AT101" s="106">
        <v>52.004576374252522</v>
      </c>
      <c r="AU101" s="106">
        <v>61906.247715910198</v>
      </c>
      <c r="AV101" s="106">
        <v>44.010242923852388</v>
      </c>
      <c r="AW101" s="106">
        <v>52389.793176553874</v>
      </c>
      <c r="AX101" s="106">
        <v>50.004211606489292</v>
      </c>
      <c r="AY101" s="106">
        <v>59525.013496364845</v>
      </c>
      <c r="AZ101" s="106">
        <v>19</v>
      </c>
      <c r="BA101" s="106">
        <v>22617.599999999999</v>
      </c>
      <c r="BB101" s="106">
        <v>33.005736116616021</v>
      </c>
      <c r="BC101" s="106">
        <v>39290.028273219708</v>
      </c>
      <c r="BD101" s="106">
        <v>27.008013265658274</v>
      </c>
      <c r="BE101" s="106">
        <v>32150.338991439607</v>
      </c>
      <c r="BF101" s="106">
        <v>23.004869550437665</v>
      </c>
      <c r="BG101" s="106">
        <v>27384.996712840992</v>
      </c>
      <c r="BH101" s="106">
        <v>40.00335032596962</v>
      </c>
      <c r="BI101" s="106">
        <v>47619.988228034228</v>
      </c>
      <c r="BJ101" s="106">
        <v>40</v>
      </c>
      <c r="BK101" s="106">
        <v>47615.999999999993</v>
      </c>
      <c r="BL101" s="106">
        <v>32.00728595023709</v>
      </c>
      <c r="BM101" s="106">
        <v>38101.473195162231</v>
      </c>
      <c r="BN101" s="106">
        <v>40.005325982644898</v>
      </c>
      <c r="BO101" s="106">
        <v>47622.34004974048</v>
      </c>
      <c r="BP101" s="106">
        <v>21.008309170972243</v>
      </c>
      <c r="BQ101" s="106">
        <v>25008.291237125355</v>
      </c>
      <c r="BR101" s="106">
        <v>29</v>
      </c>
      <c r="BS101" s="106">
        <v>34521.599999999999</v>
      </c>
      <c r="BT101" s="106">
        <v>22.013095186337246</v>
      </c>
      <c r="BU101" s="106">
        <v>26204.388509815853</v>
      </c>
      <c r="BV101" s="106">
        <v>18</v>
      </c>
      <c r="BW101" s="106">
        <v>21427.199999999997</v>
      </c>
      <c r="BX101" s="106">
        <v>33</v>
      </c>
      <c r="BY101" s="106">
        <v>39283.199999999997</v>
      </c>
      <c r="BZ101" s="106">
        <v>27.021775483086348</v>
      </c>
      <c r="CA101" s="106">
        <v>32166.721535065986</v>
      </c>
      <c r="CB101" s="106">
        <v>25.012096097731355</v>
      </c>
      <c r="CC101" s="106">
        <v>29774.399194739402</v>
      </c>
      <c r="CD101" s="106">
        <v>41.010382971190097</v>
      </c>
      <c r="CE101" s="106">
        <v>48818.759888904686</v>
      </c>
      <c r="CF101" s="106">
        <v>22.004148139016809</v>
      </c>
      <c r="CG101" s="106">
        <v>26193.737944685607</v>
      </c>
      <c r="CH101" s="106">
        <v>23.002803731494033</v>
      </c>
      <c r="CI101" s="106">
        <v>27382.537561970494</v>
      </c>
      <c r="CJ101" s="106">
        <v>26.008556040207246</v>
      </c>
      <c r="CK101" s="106">
        <v>30960.585110262702</v>
      </c>
      <c r="CL101" s="106">
        <v>31.004081622562399</v>
      </c>
      <c r="CM101" s="106">
        <v>36907.258763498277</v>
      </c>
      <c r="CN101" s="106">
        <v>117.01194027998989</v>
      </c>
      <c r="CO101" s="106">
        <v>139291.01370929994</v>
      </c>
      <c r="CP101" s="106">
        <v>96</v>
      </c>
      <c r="CQ101" s="106">
        <v>114278.39999999999</v>
      </c>
      <c r="CR101" s="106">
        <v>120</v>
      </c>
      <c r="CS101" s="106">
        <v>142847.99999999997</v>
      </c>
      <c r="CT101" s="106">
        <v>86.022249554317938</v>
      </c>
      <c r="CU101" s="106">
        <v>102400.88586946006</v>
      </c>
    </row>
    <row r="102" spans="2:99" x14ac:dyDescent="0.2">
      <c r="C102" s="105" t="s">
        <v>269</v>
      </c>
      <c r="D102" s="106">
        <v>5.088491233681312</v>
      </c>
      <c r="E102" s="106">
        <v>9867.6022003547987</v>
      </c>
      <c r="F102" s="106">
        <v>6.098371486686391</v>
      </c>
      <c r="G102" s="106">
        <v>11825.961986982249</v>
      </c>
      <c r="H102" s="106">
        <v>7.0968365581498709</v>
      </c>
      <c r="I102" s="106">
        <v>13762.185453564229</v>
      </c>
      <c r="J102" s="106">
        <v>8.008167530292841</v>
      </c>
      <c r="K102" s="106">
        <v>15529.438474743876</v>
      </c>
      <c r="L102" s="106">
        <v>12.005928847954401</v>
      </c>
      <c r="M102" s="106">
        <v>23281.897221953172</v>
      </c>
      <c r="N102" s="106">
        <v>12</v>
      </c>
      <c r="O102" s="106">
        <v>23270.399999999998</v>
      </c>
      <c r="P102" s="106">
        <v>11</v>
      </c>
      <c r="Q102" s="106">
        <v>21331.199999999997</v>
      </c>
      <c r="R102" s="106">
        <v>15.00851061542596</v>
      </c>
      <c r="S102" s="106">
        <v>29104.503785434019</v>
      </c>
      <c r="T102" s="106">
        <v>10.013642539341276</v>
      </c>
      <c r="U102" s="106">
        <v>19418.4556122906</v>
      </c>
      <c r="V102" s="106">
        <v>16.008930069472683</v>
      </c>
      <c r="W102" s="106">
        <v>31044.517190721424</v>
      </c>
      <c r="X102" s="106">
        <v>11.008836017400156</v>
      </c>
      <c r="Y102" s="106">
        <v>21348.33480494238</v>
      </c>
      <c r="Z102" s="106">
        <v>12.00681997984379</v>
      </c>
      <c r="AA102" s="106">
        <v>23283.625304913076</v>
      </c>
      <c r="AB102" s="106">
        <v>54.00364462792686</v>
      </c>
      <c r="AC102" s="106">
        <v>104723.86766247576</v>
      </c>
      <c r="AD102" s="106">
        <v>41.003442330558862</v>
      </c>
      <c r="AE102" s="106">
        <v>79513.875367419736</v>
      </c>
      <c r="AF102" s="106">
        <v>52.003389822435601</v>
      </c>
      <c r="AG102" s="106">
        <v>100844.9735436671</v>
      </c>
      <c r="AH102" s="106">
        <v>61.003118896484374</v>
      </c>
      <c r="AI102" s="106">
        <v>118297.24816406249</v>
      </c>
      <c r="AJ102" s="106">
        <v>8.0052757717732952</v>
      </c>
      <c r="AK102" s="106">
        <v>15523.830776622772</v>
      </c>
      <c r="AL102" s="106">
        <v>7</v>
      </c>
      <c r="AM102" s="106">
        <v>13574.399999999998</v>
      </c>
      <c r="AN102" s="106">
        <v>8.0102818953433186</v>
      </c>
      <c r="AO102" s="106">
        <v>15533.538651449762</v>
      </c>
      <c r="AP102" s="106">
        <v>5</v>
      </c>
      <c r="AQ102" s="106">
        <v>9696</v>
      </c>
      <c r="AR102" s="106">
        <v>45.004746834121178</v>
      </c>
      <c r="AS102" s="106">
        <v>87273.205060727778</v>
      </c>
      <c r="AT102" s="106">
        <v>47.004329002671305</v>
      </c>
      <c r="AU102" s="106">
        <v>91150.794801980184</v>
      </c>
      <c r="AV102" s="106">
        <v>39.009980284779253</v>
      </c>
      <c r="AW102" s="106">
        <v>75648.153768243923</v>
      </c>
      <c r="AX102" s="106">
        <v>42.004211606489292</v>
      </c>
      <c r="AY102" s="106">
        <v>81454.567147304027</v>
      </c>
      <c r="AZ102" s="106">
        <v>18</v>
      </c>
      <c r="BA102" s="106">
        <v>34905.599999999999</v>
      </c>
      <c r="BB102" s="106">
        <v>28.005736116616021</v>
      </c>
      <c r="BC102" s="106">
        <v>54308.72347734178</v>
      </c>
      <c r="BD102" s="106">
        <v>26.007345493520084</v>
      </c>
      <c r="BE102" s="106">
        <v>50433.44438103414</v>
      </c>
      <c r="BF102" s="106">
        <v>24.00556520050019</v>
      </c>
      <c r="BG102" s="106">
        <v>46551.592036809961</v>
      </c>
      <c r="BH102" s="106">
        <v>42.003495992316125</v>
      </c>
      <c r="BI102" s="106">
        <v>81453.179428299423</v>
      </c>
      <c r="BJ102" s="106">
        <v>38</v>
      </c>
      <c r="BK102" s="106">
        <v>73689.599999999991</v>
      </c>
      <c r="BL102" s="106">
        <v>28.007650247748948</v>
      </c>
      <c r="BM102" s="106">
        <v>54312.435360434756</v>
      </c>
      <c r="BN102" s="106">
        <v>35.005509637218857</v>
      </c>
      <c r="BO102" s="106">
        <v>67882.684288494798</v>
      </c>
      <c r="BP102" s="106">
        <v>18.007729461369529</v>
      </c>
      <c r="BQ102" s="106">
        <v>34920.588971487785</v>
      </c>
      <c r="BR102" s="106">
        <v>32</v>
      </c>
      <c r="BS102" s="106">
        <v>62054.399999999994</v>
      </c>
      <c r="BT102" s="106">
        <v>23.012301538680443</v>
      </c>
      <c r="BU102" s="106">
        <v>44625.455143809115</v>
      </c>
      <c r="BV102" s="106">
        <v>17</v>
      </c>
      <c r="BW102" s="106">
        <v>32966.399999999994</v>
      </c>
      <c r="BX102" s="106">
        <v>26</v>
      </c>
      <c r="BY102" s="106">
        <v>50419.199999999997</v>
      </c>
      <c r="BZ102" s="106">
        <v>24.021105468222153</v>
      </c>
      <c r="CA102" s="106">
        <v>46581.727723976393</v>
      </c>
      <c r="CB102" s="106">
        <v>26.01176469779351</v>
      </c>
      <c r="CC102" s="106">
        <v>50442.014101961169</v>
      </c>
      <c r="CD102" s="106">
        <v>32.010893609117474</v>
      </c>
      <c r="CE102" s="106">
        <v>62075.524886800602</v>
      </c>
      <c r="CF102" s="106">
        <v>21.00385184337275</v>
      </c>
      <c r="CG102" s="106">
        <v>40730.669494668437</v>
      </c>
      <c r="CH102" s="106">
        <v>24.002803731494033</v>
      </c>
      <c r="CI102" s="106">
        <v>46546.236996113228</v>
      </c>
      <c r="CJ102" s="106">
        <v>26.007843036856642</v>
      </c>
      <c r="CK102" s="106">
        <v>50434.409217072396</v>
      </c>
      <c r="CL102" s="106">
        <v>28.004081622562399</v>
      </c>
      <c r="CM102" s="106">
        <v>54305.515082473001</v>
      </c>
      <c r="CN102" s="106">
        <v>103.01144276832365</v>
      </c>
      <c r="CO102" s="106">
        <v>199759.78981633318</v>
      </c>
      <c r="CP102" s="106">
        <v>75</v>
      </c>
      <c r="CQ102" s="106">
        <v>145440</v>
      </c>
      <c r="CR102" s="106">
        <v>112</v>
      </c>
      <c r="CS102" s="106">
        <v>217190.39999999997</v>
      </c>
      <c r="CT102" s="106">
        <v>82.022743988858338</v>
      </c>
      <c r="CU102" s="106">
        <v>159058.50514319408</v>
      </c>
    </row>
    <row r="103" spans="2:99" x14ac:dyDescent="0.2">
      <c r="C103" s="105" t="s">
        <v>270</v>
      </c>
      <c r="D103" s="106">
        <v>5.088491233681312</v>
      </c>
      <c r="E103" s="106">
        <v>10319.460221905701</v>
      </c>
      <c r="F103" s="106">
        <v>6.1004644970414201</v>
      </c>
      <c r="G103" s="106">
        <v>12371.742</v>
      </c>
      <c r="H103" s="106">
        <v>8.1110077617815595</v>
      </c>
      <c r="I103" s="106">
        <v>16449.123740893003</v>
      </c>
      <c r="J103" s="106">
        <v>8.0092146495611551</v>
      </c>
      <c r="K103" s="106">
        <v>16242.687309310022</v>
      </c>
      <c r="L103" s="106">
        <v>12.005731219689254</v>
      </c>
      <c r="M103" s="106">
        <v>24347.622913529809</v>
      </c>
      <c r="N103" s="106">
        <v>14</v>
      </c>
      <c r="O103" s="106">
        <v>28392</v>
      </c>
      <c r="P103" s="106">
        <v>10</v>
      </c>
      <c r="Q103" s="106">
        <v>20280</v>
      </c>
      <c r="R103" s="106">
        <v>14.00851061542596</v>
      </c>
      <c r="S103" s="106">
        <v>28409.259528083847</v>
      </c>
      <c r="T103" s="106">
        <v>10.015006793275404</v>
      </c>
      <c r="U103" s="106">
        <v>20310.433776762518</v>
      </c>
      <c r="V103" s="106">
        <v>18.008424593842154</v>
      </c>
      <c r="W103" s="106">
        <v>36521.085076311887</v>
      </c>
      <c r="X103" s="106">
        <v>10.007646553519367</v>
      </c>
      <c r="Y103" s="106">
        <v>20295.507210537275</v>
      </c>
      <c r="Z103" s="106">
        <v>11.006978584026204</v>
      </c>
      <c r="AA103" s="106">
        <v>22322.152568405141</v>
      </c>
      <c r="AB103" s="106">
        <v>50.003189049436003</v>
      </c>
      <c r="AC103" s="106">
        <v>101406.46739225621</v>
      </c>
      <c r="AD103" s="106">
        <v>43.003098097502971</v>
      </c>
      <c r="AE103" s="106">
        <v>87210.282941736019</v>
      </c>
      <c r="AF103" s="106">
        <v>57.003389822435601</v>
      </c>
      <c r="AG103" s="106">
        <v>115602.8745598994</v>
      </c>
      <c r="AH103" s="106">
        <v>54.003508758544925</v>
      </c>
      <c r="AI103" s="106">
        <v>109519.11576232911</v>
      </c>
      <c r="AJ103" s="106">
        <v>8.0062350030048037</v>
      </c>
      <c r="AK103" s="106">
        <v>16236.644586093742</v>
      </c>
      <c r="AL103" s="106">
        <v>7</v>
      </c>
      <c r="AM103" s="106">
        <v>14196</v>
      </c>
      <c r="AN103" s="106">
        <v>7.0102818953433186</v>
      </c>
      <c r="AO103" s="106">
        <v>14216.851683756249</v>
      </c>
      <c r="AP103" s="106">
        <v>5</v>
      </c>
      <c r="AQ103" s="106">
        <v>10140</v>
      </c>
      <c r="AR103" s="106">
        <v>42.004008437702325</v>
      </c>
      <c r="AS103" s="106">
        <v>85184.12911166031</v>
      </c>
      <c r="AT103" s="106">
        <v>52.004081631090088</v>
      </c>
      <c r="AU103" s="106">
        <v>105464.2775478507</v>
      </c>
      <c r="AV103" s="106">
        <v>44.008929728486699</v>
      </c>
      <c r="AW103" s="106">
        <v>89250.109489371025</v>
      </c>
      <c r="AX103" s="106">
        <v>42.004211606489292</v>
      </c>
      <c r="AY103" s="106">
        <v>85184.541137960288</v>
      </c>
      <c r="AZ103" s="106">
        <v>17</v>
      </c>
      <c r="BA103" s="106">
        <v>34476</v>
      </c>
      <c r="BB103" s="106">
        <v>31.005353708841621</v>
      </c>
      <c r="BC103" s="106">
        <v>62878.857321530806</v>
      </c>
      <c r="BD103" s="106">
        <v>25.008013265658274</v>
      </c>
      <c r="BE103" s="106">
        <v>50716.250902754982</v>
      </c>
      <c r="BF103" s="106">
        <v>23.004521725406402</v>
      </c>
      <c r="BG103" s="106">
        <v>46653.170059124182</v>
      </c>
      <c r="BH103" s="106">
        <v>40.003495992316125</v>
      </c>
      <c r="BI103" s="106">
        <v>81127.089872417098</v>
      </c>
      <c r="BJ103" s="106">
        <v>40</v>
      </c>
      <c r="BK103" s="106">
        <v>81120</v>
      </c>
      <c r="BL103" s="106">
        <v>29.006557355213385</v>
      </c>
      <c r="BM103" s="106">
        <v>58825.298316372748</v>
      </c>
      <c r="BN103" s="106">
        <v>36.004958673496972</v>
      </c>
      <c r="BO103" s="106">
        <v>73018.056189851864</v>
      </c>
      <c r="BP103" s="106">
        <v>18.007342988301051</v>
      </c>
      <c r="BQ103" s="106">
        <v>36518.891580274532</v>
      </c>
      <c r="BR103" s="106">
        <v>31</v>
      </c>
      <c r="BS103" s="106">
        <v>62868</v>
      </c>
      <c r="BT103" s="106">
        <v>22.013492010165645</v>
      </c>
      <c r="BU103" s="106">
        <v>44643.361796615929</v>
      </c>
      <c r="BV103" s="106">
        <v>16</v>
      </c>
      <c r="BW103" s="106">
        <v>32448</v>
      </c>
      <c r="BX103" s="106">
        <v>29</v>
      </c>
      <c r="BY103" s="106">
        <v>58812</v>
      </c>
      <c r="BZ103" s="106">
        <v>25.020435453357958</v>
      </c>
      <c r="CA103" s="106">
        <v>50741.443099409938</v>
      </c>
      <c r="CB103" s="106">
        <v>24.010936197948897</v>
      </c>
      <c r="CC103" s="106">
        <v>48694.178609440365</v>
      </c>
      <c r="CD103" s="106">
        <v>32.010723396475015</v>
      </c>
      <c r="CE103" s="106">
        <v>64917.747048051329</v>
      </c>
      <c r="CF103" s="106">
        <v>21.00385184337275</v>
      </c>
      <c r="CG103" s="106">
        <v>42595.811538359936</v>
      </c>
      <c r="CH103" s="106">
        <v>24.002803731494033</v>
      </c>
      <c r="CI103" s="106">
        <v>48677.685967469901</v>
      </c>
      <c r="CJ103" s="106">
        <v>25.007130033506037</v>
      </c>
      <c r="CK103" s="106">
        <v>50714.459707950242</v>
      </c>
      <c r="CL103" s="106">
        <v>25.003767651596061</v>
      </c>
      <c r="CM103" s="106">
        <v>50707.640797436812</v>
      </c>
      <c r="CN103" s="106">
        <v>107.01019898915803</v>
      </c>
      <c r="CO103" s="106">
        <v>217016.68355001247</v>
      </c>
      <c r="CP103" s="106">
        <v>88</v>
      </c>
      <c r="CQ103" s="106">
        <v>178464</v>
      </c>
      <c r="CR103" s="106">
        <v>94</v>
      </c>
      <c r="CS103" s="106">
        <v>190632</v>
      </c>
      <c r="CT103" s="106">
        <v>87.022743988858338</v>
      </c>
      <c r="CU103" s="106">
        <v>176482.12480940472</v>
      </c>
    </row>
    <row r="104" spans="2:99" x14ac:dyDescent="0.2">
      <c r="C104" s="105" t="s">
        <v>271</v>
      </c>
      <c r="D104" s="106">
        <v>6.0859629127189887</v>
      </c>
      <c r="E104" s="106">
        <v>12612.549540318832</v>
      </c>
      <c r="F104" s="106">
        <v>7.1004644970414201</v>
      </c>
      <c r="G104" s="106">
        <v>14715.002623668639</v>
      </c>
      <c r="H104" s="106">
        <v>8.1086458945096105</v>
      </c>
      <c r="I104" s="106">
        <v>16804.357751781718</v>
      </c>
      <c r="J104" s="106">
        <v>8.0094240734148183</v>
      </c>
      <c r="K104" s="106">
        <v>16598.730449744871</v>
      </c>
      <c r="L104" s="106">
        <v>13.005731219689254</v>
      </c>
      <c r="M104" s="106">
        <v>26953.077379684011</v>
      </c>
      <c r="N104" s="106">
        <v>13</v>
      </c>
      <c r="O104" s="106">
        <v>26941.200000000001</v>
      </c>
      <c r="P104" s="106">
        <v>10</v>
      </c>
      <c r="Q104" s="106">
        <v>20724</v>
      </c>
      <c r="R104" s="106">
        <v>16.007528621338349</v>
      </c>
      <c r="S104" s="106">
        <v>33174.002314861595</v>
      </c>
      <c r="T104" s="106">
        <v>11.015006793275404</v>
      </c>
      <c r="U104" s="106">
        <v>22827.50007838395</v>
      </c>
      <c r="V104" s="106">
        <v>16.008761577595841</v>
      </c>
      <c r="W104" s="106">
        <v>33176.557493409622</v>
      </c>
      <c r="X104" s="106">
        <v>11.008496170577075</v>
      </c>
      <c r="Y104" s="106">
        <v>22814.00746390393</v>
      </c>
      <c r="Z104" s="106">
        <v>12.006661375661375</v>
      </c>
      <c r="AA104" s="106">
        <v>24882.605034920634</v>
      </c>
      <c r="AB104" s="106">
        <v>49.003189049436003</v>
      </c>
      <c r="AC104" s="106">
        <v>101554.20898605118</v>
      </c>
      <c r="AD104" s="106">
        <v>41.003786563614746</v>
      </c>
      <c r="AE104" s="106">
        <v>84976.247274435198</v>
      </c>
      <c r="AF104" s="106">
        <v>59.003697988111568</v>
      </c>
      <c r="AG104" s="106">
        <v>122279.26371056242</v>
      </c>
      <c r="AH104" s="106">
        <v>54.003118896484374</v>
      </c>
      <c r="AI104" s="106">
        <v>111916.06360107422</v>
      </c>
      <c r="AJ104" s="106">
        <v>9.0057553873890495</v>
      </c>
      <c r="AK104" s="106">
        <v>18663.527464825067</v>
      </c>
      <c r="AL104" s="106">
        <v>7</v>
      </c>
      <c r="AM104" s="106">
        <v>14506.800000000001</v>
      </c>
      <c r="AN104" s="106">
        <v>8.0112769174733174</v>
      </c>
      <c r="AO104" s="106">
        <v>16602.570283771704</v>
      </c>
      <c r="AP104" s="106">
        <v>5</v>
      </c>
      <c r="AQ104" s="106">
        <v>10362</v>
      </c>
      <c r="AR104" s="106">
        <v>42.004535863715795</v>
      </c>
      <c r="AS104" s="106">
        <v>87050.20012396462</v>
      </c>
      <c r="AT104" s="106">
        <v>45.003710573718266</v>
      </c>
      <c r="AU104" s="106">
        <v>93265.689792973732</v>
      </c>
      <c r="AV104" s="106">
        <v>38.008929728486699</v>
      </c>
      <c r="AW104" s="106">
        <v>78769.705969315837</v>
      </c>
      <c r="AX104" s="106">
        <v>45.003697995941813</v>
      </c>
      <c r="AY104" s="106">
        <v>93265.663726789819</v>
      </c>
      <c r="AZ104" s="106">
        <v>20</v>
      </c>
      <c r="BA104" s="106">
        <v>41448</v>
      </c>
      <c r="BB104" s="106">
        <v>30.005353708841621</v>
      </c>
      <c r="BC104" s="106">
        <v>62183.09502620338</v>
      </c>
      <c r="BD104" s="106">
        <v>26.007345493520084</v>
      </c>
      <c r="BE104" s="106">
        <v>53897.622800771023</v>
      </c>
      <c r="BF104" s="106">
        <v>24.004869550437665</v>
      </c>
      <c r="BG104" s="106">
        <v>49747.691656327021</v>
      </c>
      <c r="BH104" s="106">
        <v>38.003058993276611</v>
      </c>
      <c r="BI104" s="106">
        <v>78757.539457666455</v>
      </c>
      <c r="BJ104" s="106">
        <v>42</v>
      </c>
      <c r="BK104" s="106">
        <v>87040.8</v>
      </c>
      <c r="BL104" s="106">
        <v>29.007650247748948</v>
      </c>
      <c r="BM104" s="106">
        <v>60115.454373434921</v>
      </c>
      <c r="BN104" s="106">
        <v>36.005142328070932</v>
      </c>
      <c r="BO104" s="106">
        <v>74617.056960694201</v>
      </c>
      <c r="BP104" s="106">
        <v>16.007922697903766</v>
      </c>
      <c r="BQ104" s="106">
        <v>33174.818999135765</v>
      </c>
      <c r="BR104" s="106">
        <v>28</v>
      </c>
      <c r="BS104" s="106">
        <v>58027.200000000004</v>
      </c>
      <c r="BT104" s="106">
        <v>22.01190471485204</v>
      </c>
      <c r="BU104" s="106">
        <v>45617.471331059372</v>
      </c>
      <c r="BV104" s="106">
        <v>17</v>
      </c>
      <c r="BW104" s="106">
        <v>35230.800000000003</v>
      </c>
      <c r="BX104" s="106">
        <v>30</v>
      </c>
      <c r="BY104" s="106">
        <v>62172</v>
      </c>
      <c r="BZ104" s="106">
        <v>25.017755393901176</v>
      </c>
      <c r="CA104" s="106">
        <v>51846.796278320799</v>
      </c>
      <c r="CB104" s="106">
        <v>23.012096097731355</v>
      </c>
      <c r="CC104" s="106">
        <v>47690.267952938462</v>
      </c>
      <c r="CD104" s="106">
        <v>33.00919148269287</v>
      </c>
      <c r="CE104" s="106">
        <v>68408.24842873271</v>
      </c>
      <c r="CF104" s="106">
        <v>21.003555547728695</v>
      </c>
      <c r="CG104" s="106">
        <v>43527.768517112949</v>
      </c>
      <c r="CH104" s="106">
        <v>25.002803731494033</v>
      </c>
      <c r="CI104" s="106">
        <v>51815.810453148239</v>
      </c>
      <c r="CJ104" s="106">
        <v>25.007130033506037</v>
      </c>
      <c r="CK104" s="106">
        <v>51824.776281437917</v>
      </c>
      <c r="CL104" s="106">
        <v>29.004081622562399</v>
      </c>
      <c r="CM104" s="106">
        <v>60108.058754598322</v>
      </c>
      <c r="CN104" s="106">
        <v>100.0099502333249</v>
      </c>
      <c r="CO104" s="106">
        <v>207260.62086354254</v>
      </c>
      <c r="CP104" s="106">
        <v>83</v>
      </c>
      <c r="CQ104" s="106">
        <v>172009.2</v>
      </c>
      <c r="CR104" s="106">
        <v>112</v>
      </c>
      <c r="CS104" s="106">
        <v>232108.80000000002</v>
      </c>
      <c r="CT104" s="106">
        <v>84.018788512535139</v>
      </c>
      <c r="CU104" s="106">
        <v>174120.53731337783</v>
      </c>
    </row>
    <row r="105" spans="2:99" x14ac:dyDescent="0.2">
      <c r="C105" s="105" t="s">
        <v>272</v>
      </c>
      <c r="D105" s="106">
        <v>5.0859629127189887</v>
      </c>
      <c r="E105" s="106">
        <v>10161.753899612539</v>
      </c>
      <c r="F105" s="106">
        <v>6.0962784763313609</v>
      </c>
      <c r="G105" s="106">
        <v>12180.364395710059</v>
      </c>
      <c r="H105" s="106">
        <v>7.1133696290535067</v>
      </c>
      <c r="I105" s="106">
        <v>14212.512518848906</v>
      </c>
      <c r="J105" s="106">
        <v>8.0094240734148183</v>
      </c>
      <c r="K105" s="106">
        <v>16002.829298682807</v>
      </c>
      <c r="L105" s="106">
        <v>13.006324104484694</v>
      </c>
      <c r="M105" s="106">
        <v>25986.63556076042</v>
      </c>
      <c r="N105" s="106">
        <v>12</v>
      </c>
      <c r="O105" s="106">
        <v>23976</v>
      </c>
      <c r="P105" s="106">
        <v>10</v>
      </c>
      <c r="Q105" s="106">
        <v>19980</v>
      </c>
      <c r="R105" s="106">
        <v>14.009165278151034</v>
      </c>
      <c r="S105" s="106">
        <v>27990.312225745765</v>
      </c>
      <c r="T105" s="106">
        <v>11.013642539341276</v>
      </c>
      <c r="U105" s="106">
        <v>22005.257793603869</v>
      </c>
      <c r="V105" s="106">
        <v>17.009435545103212</v>
      </c>
      <c r="W105" s="106">
        <v>33984.852219116219</v>
      </c>
      <c r="X105" s="106">
        <v>12.008836017400156</v>
      </c>
      <c r="Y105" s="106">
        <v>23993.654362765512</v>
      </c>
      <c r="Z105" s="106">
        <v>11.006978584026204</v>
      </c>
      <c r="AA105" s="106">
        <v>21991.943210884354</v>
      </c>
      <c r="AB105" s="106">
        <v>56.00364462792686</v>
      </c>
      <c r="AC105" s="106">
        <v>111895.28196659786</v>
      </c>
      <c r="AD105" s="106">
        <v>42.003786563614746</v>
      </c>
      <c r="AE105" s="106">
        <v>83923.565554102257</v>
      </c>
      <c r="AF105" s="106">
        <v>57.003697988111568</v>
      </c>
      <c r="AG105" s="106">
        <v>113893.38858024692</v>
      </c>
      <c r="AH105" s="106">
        <v>54.003508758544925</v>
      </c>
      <c r="AI105" s="106">
        <v>107899.01049957276</v>
      </c>
      <c r="AJ105" s="106">
        <v>8.0057553873890495</v>
      </c>
      <c r="AK105" s="106">
        <v>15995.499264003322</v>
      </c>
      <c r="AL105" s="106">
        <v>7</v>
      </c>
      <c r="AM105" s="106">
        <v>13986</v>
      </c>
      <c r="AN105" s="106">
        <v>8.0106135693866509</v>
      </c>
      <c r="AO105" s="106">
        <v>16005.205911634528</v>
      </c>
      <c r="AP105" s="106">
        <v>5</v>
      </c>
      <c r="AQ105" s="106">
        <v>9990</v>
      </c>
      <c r="AR105" s="106">
        <v>49.004008437702325</v>
      </c>
      <c r="AS105" s="106">
        <v>97910.00885852924</v>
      </c>
      <c r="AT105" s="106">
        <v>45.0042053168807</v>
      </c>
      <c r="AU105" s="106">
        <v>89918.402223127632</v>
      </c>
      <c r="AV105" s="106">
        <v>44.008929728486699</v>
      </c>
      <c r="AW105" s="106">
        <v>87929.841597516424</v>
      </c>
      <c r="AX105" s="106">
        <v>41.003697995941813</v>
      </c>
      <c r="AY105" s="106">
        <v>81925.388595891738</v>
      </c>
      <c r="AZ105" s="106">
        <v>18</v>
      </c>
      <c r="BA105" s="106">
        <v>35964</v>
      </c>
      <c r="BB105" s="106">
        <v>28.006118524390423</v>
      </c>
      <c r="BC105" s="106">
        <v>55956.224811732063</v>
      </c>
      <c r="BD105" s="106">
        <v>25.006677721381894</v>
      </c>
      <c r="BE105" s="106">
        <v>49963.342087321027</v>
      </c>
      <c r="BF105" s="106">
        <v>20.005217375468927</v>
      </c>
      <c r="BG105" s="106">
        <v>39970.424316186916</v>
      </c>
      <c r="BH105" s="106">
        <v>39.003495992316125</v>
      </c>
      <c r="BI105" s="106">
        <v>77928.984992647616</v>
      </c>
      <c r="BJ105" s="106">
        <v>37</v>
      </c>
      <c r="BK105" s="106">
        <v>73926</v>
      </c>
      <c r="BL105" s="106">
        <v>30.007650247748948</v>
      </c>
      <c r="BM105" s="106">
        <v>59955.285195002398</v>
      </c>
      <c r="BN105" s="106">
        <v>38.005693291792817</v>
      </c>
      <c r="BO105" s="106">
        <v>75935.375197002053</v>
      </c>
      <c r="BP105" s="106">
        <v>16.008115934438006</v>
      </c>
      <c r="BQ105" s="106">
        <v>31984.215637007135</v>
      </c>
      <c r="BR105" s="106">
        <v>30</v>
      </c>
      <c r="BS105" s="106">
        <v>59940</v>
      </c>
      <c r="BT105" s="106">
        <v>22.013492010165645</v>
      </c>
      <c r="BU105" s="106">
        <v>43982.95703631096</v>
      </c>
      <c r="BV105" s="106">
        <v>16</v>
      </c>
      <c r="BW105" s="106">
        <v>31968</v>
      </c>
      <c r="BX105" s="106">
        <v>28</v>
      </c>
      <c r="BY105" s="106">
        <v>55944</v>
      </c>
      <c r="BZ105" s="106">
        <v>26.017755393901176</v>
      </c>
      <c r="CA105" s="106">
        <v>51983.47527701455</v>
      </c>
      <c r="CB105" s="106">
        <v>25.011598997824585</v>
      </c>
      <c r="CC105" s="106">
        <v>49973.174797653519</v>
      </c>
      <c r="CD105" s="106">
        <v>38.010723396475015</v>
      </c>
      <c r="CE105" s="106">
        <v>75945.425346157077</v>
      </c>
      <c r="CF105" s="106">
        <v>23.003555547728695</v>
      </c>
      <c r="CG105" s="106">
        <v>45961.103984361929</v>
      </c>
      <c r="CH105" s="106">
        <v>23.002492205772473</v>
      </c>
      <c r="CI105" s="106">
        <v>45958.979427133403</v>
      </c>
      <c r="CJ105" s="106">
        <v>24.008556040207246</v>
      </c>
      <c r="CK105" s="106">
        <v>47969.09496833408</v>
      </c>
      <c r="CL105" s="106">
        <v>29.004081622562399</v>
      </c>
      <c r="CM105" s="106">
        <v>57950.155081879675</v>
      </c>
      <c r="CN105" s="106">
        <v>115.01069650082428</v>
      </c>
      <c r="CO105" s="106">
        <v>229791.37160864691</v>
      </c>
      <c r="CP105" s="106">
        <v>85</v>
      </c>
      <c r="CQ105" s="106">
        <v>169830</v>
      </c>
      <c r="CR105" s="106">
        <v>94</v>
      </c>
      <c r="CS105" s="106">
        <v>187812</v>
      </c>
      <c r="CT105" s="106">
        <v>83.021260685237138</v>
      </c>
      <c r="CU105" s="106">
        <v>165876.47884910379</v>
      </c>
    </row>
    <row r="107" spans="2:99" x14ac:dyDescent="0.2">
      <c r="B107" s="110" t="s">
        <v>277</v>
      </c>
    </row>
    <row r="108" spans="2:99" x14ac:dyDescent="0.2">
      <c r="C108" s="105" t="s">
        <v>278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207.95717155145468</v>
      </c>
      <c r="E112" s="106">
        <f>SUM(L$49:L$70)+SUM(N$49:N$70)+SUM(P$49:P$70)+SUM(R$49:R$70)</f>
        <v>316.01476679474291</v>
      </c>
      <c r="F112" s="106">
        <f>SUM(T$49:T$70)+SUM(V$49:V$70)+SUM(X$49:X$70)+SUM(Z$49:Z$70)</f>
        <v>170.02015045580154</v>
      </c>
      <c r="G112" s="106">
        <f>SUM(AB$49:AB$70)+SUM(AD$49:AD$70)+SUM(AF$49:AF$70)+SUM(AH$49:AH$70)</f>
        <v>65.028983187287395</v>
      </c>
      <c r="H112" s="106">
        <f>SUM(AJ$49:AJ$70)+SUM(AL$49:AL$70)+SUM(AN$49:AN$70)+SUM(AP$49:AP$70)</f>
        <v>63.04894342229467</v>
      </c>
      <c r="I112" s="106">
        <f>SUM(AR$49:AR$70)+SUM(AT$49:AT$70)+SUM(AV$49:AV$70)+SUM(AX$49:AX$70)</f>
        <v>100.0459746024612</v>
      </c>
      <c r="J112" s="106">
        <f>SUM(AZ$49:AZ$70)+SUM(BB$49:BB$70)+SUM(BD$49:BD$70)+SUM(BF$49:BF$70)</f>
        <v>462.04614863143388</v>
      </c>
      <c r="K112" s="106">
        <f>SUM(BH$49:BH$70)+SUM(BJ$49:BJ$70)+SUM(BL$49:BL$70)+SUM(BN$49:BN$70)</f>
        <v>75.035690229121158</v>
      </c>
      <c r="L112" s="106">
        <f>SUM(BP$49:BP$70)+SUM(BR$49:BR$70)+SUM(BT$49:BT$70)+SUM(BV$49:BV$70)</f>
        <v>72.032208329611308</v>
      </c>
      <c r="M112" s="106">
        <f>SUM(BX$49:BX$70)+SUM(BZ$49:BZ$70)+SUM(CB$49:CB$70)+SUM(CD$49:CD$70)</f>
        <v>98.06599076932163</v>
      </c>
      <c r="N112" s="106">
        <f>SUM(CF$49:CF$70)+SUM(CH$49:CH$70)+SUM(CJ$49:CJ$70)+SUM(CL$49:CL$70)</f>
        <v>112.10199948764159</v>
      </c>
      <c r="O112" s="106">
        <f>SUM(CN$49:CN$70)+SUM(CP$49:CP$70)+SUM(CR$49:CR$70)+SUM(CT$49:CT$70)</f>
        <v>300.04086931629195</v>
      </c>
    </row>
    <row r="113" spans="2:15" x14ac:dyDescent="0.2">
      <c r="C113" s="105" t="s">
        <v>130</v>
      </c>
      <c r="D113" s="106">
        <f>SUM(D$71:D$86)+SUM(F$71:F$86)+SUM(H$71:H$86)+SUM(J$71:J$86)</f>
        <v>453.99205508201555</v>
      </c>
      <c r="E113" s="106">
        <f>SUM(L$71:L$86)+SUM(N$71:N$86)+SUM(P$71:P$86)+SUM(R$71:R$86)</f>
        <v>226.24383483175029</v>
      </c>
      <c r="F113" s="106">
        <f>SUM(T$71:T$86)+SUM(V$71:V$86)+SUM(X$71:X$86)+SUM(Z$71:Z$86)</f>
        <v>1774.2133707472367</v>
      </c>
      <c r="G113" s="106">
        <f>SUM(AB$71:AB$86)+SUM(AD$71:AD$86)+SUM(AF$71:AF$86)+SUM(AH$71:AH$86)</f>
        <v>975.38580848453785</v>
      </c>
      <c r="H113" s="106">
        <f>SUM(AJ$71:AJ$86)+SUM(AL$71:AL$86)+SUM(AN$71:AN$86)+SUM(AP$71:AP$86)</f>
        <v>953.10772013723692</v>
      </c>
      <c r="I113" s="106">
        <f>SUM(AR$71:AR$86)+SUM(AT$71:AT$86)+SUM(AV$71:AV$86)+SUM(AX$71:AX$86)</f>
        <v>1004.6502279281206</v>
      </c>
      <c r="J113" s="106">
        <f>SUM(AZ$71:AZ$86)+SUM(BB$71:BB$86)+SUM(BD$71:BD$86)+SUM(BF$71:BF$86)</f>
        <v>344.24110215132947</v>
      </c>
      <c r="K113" s="106">
        <f>SUM(BH$71:BH$86)+SUM(BJ$71:BJ$86)+SUM(BL$71:BL$86)+SUM(BN$71:BN$86)</f>
        <v>825.45504426912021</v>
      </c>
      <c r="L113" s="106">
        <f>SUM(BP$71:BP$86)+SUM(BR$71:BR$86)+SUM(BT$71:BT$86)+SUM(BV$71:BV$86)</f>
        <v>522.12698375918228</v>
      </c>
      <c r="M113" s="106">
        <f>SUM(BX$71:BX$86)+SUM(BZ$71:BZ$86)+SUM(CB$71:CB$86)+SUM(CD$71:CD$86)</f>
        <v>409.18163098910941</v>
      </c>
      <c r="N113" s="106">
        <f>SUM(CF$71:CF$86)+SUM(CH$71:CH$86)+SUM(CJ$71:CJ$86)+SUM(CL$71:CL$86)</f>
        <v>1182.3247370882414</v>
      </c>
      <c r="O113" s="106">
        <f>SUM(CN$71:CN$86)+SUM(CP$71:CP$86)+SUM(CR$71:CR$86)+SUM(CT$71:CT$86)</f>
        <v>364.15851137988295</v>
      </c>
    </row>
    <row r="114" spans="2:15" x14ac:dyDescent="0.2">
      <c r="C114" s="105" t="s">
        <v>131</v>
      </c>
      <c r="D114" s="106">
        <f>SUM(D$87:D$94)+SUM(F$87:F$94)+SUM(H$87:H$94)+SUM(J$87:J$94)</f>
        <v>157.67363522409437</v>
      </c>
      <c r="E114" s="106">
        <f>SUM(L$87:L$94)+SUM(N$87:N$94)+SUM(P$87:P$94)+SUM(R$87:R$94)</f>
        <v>562.17738133456237</v>
      </c>
      <c r="F114" s="106">
        <f>SUM(T$87:T$94)+SUM(V$87:V$94)+SUM(X$87:X$94)+SUM(Z$87:Z$94)</f>
        <v>1188.3383733937603</v>
      </c>
      <c r="G114" s="106">
        <f>SUM(AB$87:AB$94)+SUM(AD$87:AD$94)+SUM(AF$87:AF$94)+SUM(AH$87:AH$94)</f>
        <v>270.22973674701421</v>
      </c>
      <c r="H114" s="106">
        <f>SUM(AJ$87:AJ$94)+SUM(AL$87:AL$94)+SUM(AN$87:AN$94)+SUM(AP$87:AP$94)</f>
        <v>400.25739825742005</v>
      </c>
      <c r="I114" s="106">
        <f>SUM(AR$87:AR$94)+SUM(AT$87:AT$94)+SUM(AV$87:AV$94)+SUM(AX$87:AX$94)</f>
        <v>160.06239544816631</v>
      </c>
      <c r="J114" s="106">
        <f>SUM(AZ$87:AZ$94)+SUM(BB$87:BB$94)+SUM(BD$87:BD$94)+SUM(BF$87:BF$94)</f>
        <v>217.31173226593847</v>
      </c>
      <c r="K114" s="106">
        <f>SUM(BH$87:BH$94)+SUM(BJ$87:BJ$94)+SUM(BL$87:BL$94)+SUM(BN$87:BN$94)</f>
        <v>624.12870019200432</v>
      </c>
      <c r="L114" s="106">
        <f>SUM(BP$87:BP$94)+SUM(BR$87:BR$94)+SUM(BT$87:BT$94)+SUM(BV$87:BV$94)</f>
        <v>1357.2133430152305</v>
      </c>
      <c r="M114" s="106">
        <f>SUM(BX$87:BX$94)+SUM(BZ$87:BZ$94)+SUM(CB$87:CB$94)+SUM(CD$87:CD$94)</f>
        <v>749.09117146332801</v>
      </c>
      <c r="N114" s="106">
        <f>SUM(CF$87:CF$94)+SUM(CH$87:CH$94)+SUM(CJ$87:CJ$94)+SUM(CL$87:CL$94)</f>
        <v>388.36742904818709</v>
      </c>
      <c r="O114" s="106">
        <f>SUM(CN$87:CN$94)+SUM(CP$87:CP$94)+SUM(CR$87:CR$94)+SUM(CT$87:CT$94)</f>
        <v>191.04708205786835</v>
      </c>
    </row>
    <row r="115" spans="2:15" x14ac:dyDescent="0.2">
      <c r="C115" s="105" t="s">
        <v>132</v>
      </c>
      <c r="D115" s="106">
        <f>SUM(D$95:D$105)+SUM(F$95:F$105)+SUM(H$95:H$105)+SUM(J$95:J$105)</f>
        <v>311.29680171573176</v>
      </c>
      <c r="E115" s="106">
        <f>SUM(L$95:L$105)+SUM(N$95:N$105)+SUM(P$95:P$105)+SUM(R$95:R$105)</f>
        <v>561.16316347730276</v>
      </c>
      <c r="F115" s="106">
        <f>SUM(T$95:T$105)+SUM(V$95:V$105)+SUM(X$95:X$105)+SUM(Z$95:Z$105)</f>
        <v>554.42706152286382</v>
      </c>
      <c r="G115" s="106">
        <f>SUM(AB$95:AB$105)+SUM(AD$95:AD$105)+SUM(AF$95:AF$105)+SUM(AH$95:AH$105)</f>
        <v>2322.1539708655946</v>
      </c>
      <c r="H115" s="106">
        <f>SUM(AJ$95:AJ$105)+SUM(AL$95:AL$105)+SUM(AN$95:AN$105)+SUM(AP$95:AP$105)</f>
        <v>317.18503363518266</v>
      </c>
      <c r="I115" s="106">
        <f>SUM(AR$95:AR$105)+SUM(AT$95:AT$105)+SUM(AV$95:AV$105)+SUM(AX$95:AX$105)</f>
        <v>1949.2405439732991</v>
      </c>
      <c r="J115" s="106">
        <f>SUM(AZ$95:AZ$105)+SUM(BB$95:BB$105)+SUM(BD$95:BD$105)+SUM(BF$95:BF$105)</f>
        <v>1050.1989453439792</v>
      </c>
      <c r="K115" s="106">
        <f>SUM(BH$95:BH$105)+SUM(BJ$95:BJ$105)+SUM(BL$95:BL$105)+SUM(BN$95:BN$105)</f>
        <v>1589.1795057866227</v>
      </c>
      <c r="L115" s="106">
        <f>SUM(BP$95:BP$105)+SUM(BR$95:BR$105)+SUM(BT$95:BT$105)+SUM(BV$95:BV$105)</f>
        <v>942.22647624375008</v>
      </c>
      <c r="M115" s="106">
        <f>SUM(BX$95:BX$105)+SUM(BZ$95:BZ$105)+SUM(CB$95:CB$105)+SUM(CD$95:CD$105)</f>
        <v>1247.4601994420709</v>
      </c>
      <c r="N115" s="106">
        <f>SUM(CF$95:CF$105)+SUM(CH$95:CH$105)+SUM(CJ$95:CJ$105)+SUM(CL$95:CL$105)</f>
        <v>1080.203480035123</v>
      </c>
      <c r="O115" s="106">
        <f>SUM(CN$95:CN$105)+SUM(CP$95:CP$105)+SUM(CR$95:CR$105)+SUM(CT$95:CT$105)</f>
        <v>4255.3522968540556</v>
      </c>
    </row>
    <row r="116" spans="2:15" x14ac:dyDescent="0.2">
      <c r="C116" s="105" t="s">
        <v>279</v>
      </c>
      <c r="D116" s="106">
        <f t="shared" ref="D116:O116" si="0">SUM(D$109:D$115)</f>
        <v>1130.9196635732965</v>
      </c>
      <c r="E116" s="106">
        <f t="shared" si="0"/>
        <v>1665.5991464383583</v>
      </c>
      <c r="F116" s="106">
        <f t="shared" si="0"/>
        <v>3686.9989561196621</v>
      </c>
      <c r="G116" s="106">
        <f t="shared" si="0"/>
        <v>3632.798499284434</v>
      </c>
      <c r="H116" s="106">
        <f t="shared" si="0"/>
        <v>1733.5990954521344</v>
      </c>
      <c r="I116" s="106">
        <f t="shared" si="0"/>
        <v>3213.9991419520475</v>
      </c>
      <c r="J116" s="106">
        <f t="shared" si="0"/>
        <v>2073.7979283926807</v>
      </c>
      <c r="K116" s="106">
        <f t="shared" si="0"/>
        <v>3113.7989404768687</v>
      </c>
      <c r="L116" s="106">
        <f t="shared" si="0"/>
        <v>2893.5990113477742</v>
      </c>
      <c r="M116" s="106">
        <f t="shared" si="0"/>
        <v>2503.7989926638302</v>
      </c>
      <c r="N116" s="106">
        <f t="shared" si="0"/>
        <v>2762.997645659193</v>
      </c>
      <c r="O116" s="106">
        <f t="shared" si="0"/>
        <v>5110.5987596080986</v>
      </c>
    </row>
    <row r="118" spans="2:15" x14ac:dyDescent="0.2">
      <c r="B118" s="109" t="s">
        <v>280</v>
      </c>
    </row>
    <row r="119" spans="2:15" x14ac:dyDescent="0.2">
      <c r="C119" s="105" t="s">
        <v>278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777870.62662179302</v>
      </c>
      <c r="E123" s="106">
        <f>E112*pricing!E27*2000</f>
        <v>967613.59069891251</v>
      </c>
      <c r="F123" s="106">
        <f>F112*pricing!F27*2000</f>
        <v>660943.99332031957</v>
      </c>
      <c r="G123" s="106">
        <f>G112*pricing!G27*2000</f>
        <v>435743.0630672308</v>
      </c>
      <c r="H123" s="106">
        <f>H112*pricing!H27*2000</f>
        <v>397221.57076062227</v>
      </c>
      <c r="I123" s="106">
        <f>I112*pricing!I27*2000</f>
        <v>567978.32372696965</v>
      </c>
      <c r="J123" s="106">
        <f>J112*pricing!J27*2000</f>
        <v>1174707.2933962902</v>
      </c>
      <c r="K123" s="106">
        <f>K112*pricing!K27*2000</f>
        <v>485656.93207545078</v>
      </c>
      <c r="L123" s="106">
        <f>L112*pricing!L27*2000</f>
        <v>476287.73915344838</v>
      </c>
      <c r="M123" s="106">
        <f>M112*pricing!M27*2000</f>
        <v>545062.20901261584</v>
      </c>
      <c r="N123" s="106">
        <f>N112*pricing!N27*2000</f>
        <v>585164.22518572293</v>
      </c>
      <c r="O123" s="106">
        <f>O112*pricing!O27*2000</f>
        <v>923014.42072320438</v>
      </c>
    </row>
    <row r="124" spans="2:15" x14ac:dyDescent="0.2">
      <c r="C124" s="105" t="s">
        <v>130</v>
      </c>
      <c r="D124" s="106">
        <f>D113*pricing!D28*2000</f>
        <v>2318439.5133895688</v>
      </c>
      <c r="E124" s="106">
        <f>E113*pricing!E28*2000</f>
        <v>1597416.6373227218</v>
      </c>
      <c r="F124" s="106">
        <f>F113*pricing!F28*2000</f>
        <v>5078781.7710990105</v>
      </c>
      <c r="G124" s="106">
        <f>G113*pricing!G28*2000</f>
        <v>3892947.5648045628</v>
      </c>
      <c r="H124" s="106">
        <f>H113*pricing!H28*2000</f>
        <v>3929368.9620547821</v>
      </c>
      <c r="I124" s="106">
        <f>I113*pricing!I28*2000</f>
        <v>3621448.6108319354</v>
      </c>
      <c r="J124" s="106">
        <f>J113*pricing!J28*2000</f>
        <v>2261194.2826340925</v>
      </c>
      <c r="K124" s="106">
        <f>K113*pricing!K28*2000</f>
        <v>3242333.6267615622</v>
      </c>
      <c r="L124" s="106">
        <f>L113*pricing!L28*2000</f>
        <v>2971471.8508747979</v>
      </c>
      <c r="M124" s="106">
        <f>M113*pricing!M28*2000</f>
        <v>2417719.5727421576</v>
      </c>
      <c r="N124" s="106">
        <f>N113*pricing!N28*2000</f>
        <v>4513725.3630564632</v>
      </c>
      <c r="O124" s="106">
        <f>O113*pricing!O28*2000</f>
        <v>2294366.1149478159</v>
      </c>
    </row>
    <row r="125" spans="2:15" x14ac:dyDescent="0.2">
      <c r="C125" s="105" t="s">
        <v>131</v>
      </c>
      <c r="D125" s="106">
        <f>D114*pricing!D29*2000</f>
        <v>1072012.2598136386</v>
      </c>
      <c r="E125" s="106">
        <f>E114*pricing!E29*2000</f>
        <v>2003186.8587722741</v>
      </c>
      <c r="F125" s="106">
        <f>F114*pricing!F29*2000</f>
        <v>3060318.7675567502</v>
      </c>
      <c r="G125" s="106">
        <f>G114*pricing!G29*2000</f>
        <v>1303315.9909734363</v>
      </c>
      <c r="H125" s="106">
        <f>H114*pricing!H29*2000</f>
        <v>1674505.7921996843</v>
      </c>
      <c r="I125" s="106">
        <f>I114*pricing!I29*2000</f>
        <v>971544.97440160473</v>
      </c>
      <c r="J125" s="106">
        <f>J114*pricing!J29*2000</f>
        <v>1143917.8168497931</v>
      </c>
      <c r="K125" s="106">
        <f>K114*pricing!K29*2000</f>
        <v>2233158.1554631726</v>
      </c>
      <c r="L125" s="106">
        <f>L114*pricing!L29*2000</f>
        <v>3347179.9383164807</v>
      </c>
      <c r="M125" s="106">
        <f>M114*pricing!M29*2000</f>
        <v>2152219.0796774286</v>
      </c>
      <c r="N125" s="106">
        <f>N114*pricing!N29*2000</f>
        <v>1783123.7534570459</v>
      </c>
      <c r="O125" s="106">
        <f>O114*pricing!O29*2000</f>
        <v>1237090.0932697856</v>
      </c>
    </row>
    <row r="126" spans="2:15" x14ac:dyDescent="0.2">
      <c r="C126" s="105" t="s">
        <v>132</v>
      </c>
      <c r="D126" s="106">
        <f>D115*pricing!D30*2000</f>
        <v>1980449.6582136638</v>
      </c>
      <c r="E126" s="106">
        <f>E115*pricing!E30*2000</f>
        <v>3062202.3244949393</v>
      </c>
      <c r="F126" s="106">
        <f>F115*pricing!F30*2000</f>
        <v>2858832.8601029669</v>
      </c>
      <c r="G126" s="106">
        <f>G115*pricing!G30*2000</f>
        <v>6350944.0965547729</v>
      </c>
      <c r="H126" s="106">
        <f>H115*pricing!H30*2000</f>
        <v>2183685.155379131</v>
      </c>
      <c r="I126" s="106">
        <f>I115*pricing!I30*2000</f>
        <v>5975260.586148547</v>
      </c>
      <c r="J126" s="106">
        <f>J115*pricing!J30*2000</f>
        <v>3941555.8875708738</v>
      </c>
      <c r="K126" s="106">
        <f>K115*pricing!K30*2000</f>
        <v>5309280.3587333374</v>
      </c>
      <c r="L126" s="106">
        <f>L115*pricing!L30*2000</f>
        <v>3661860.4195946311</v>
      </c>
      <c r="M126" s="106">
        <f>M115*pricing!M30*2000</f>
        <v>4596909.0168603789</v>
      </c>
      <c r="N126" s="106">
        <f>N115*pricing!N30*2000</f>
        <v>4340334.2855096944</v>
      </c>
      <c r="O126" s="106">
        <f>O115*pricing!O30*2000</f>
        <v>8575368.3476140741</v>
      </c>
    </row>
    <row r="127" spans="2:15" x14ac:dyDescent="0.2">
      <c r="C127" s="105" t="s">
        <v>279</v>
      </c>
      <c r="D127" s="106">
        <f t="shared" ref="D127:O127" si="1">SUM(D$120:D$126)</f>
        <v>6148772.0580386641</v>
      </c>
      <c r="E127" s="106">
        <f t="shared" si="1"/>
        <v>7630419.4112888481</v>
      </c>
      <c r="F127" s="106">
        <f t="shared" si="1"/>
        <v>11658877.392079048</v>
      </c>
      <c r="G127" s="106">
        <f t="shared" si="1"/>
        <v>11982950.715400003</v>
      </c>
      <c r="H127" s="106">
        <f t="shared" si="1"/>
        <v>8184781.48039422</v>
      </c>
      <c r="I127" s="106">
        <f t="shared" si="1"/>
        <v>11136232.495109057</v>
      </c>
      <c r="J127" s="106">
        <f t="shared" si="1"/>
        <v>8521375.28045105</v>
      </c>
      <c r="K127" s="106">
        <f t="shared" si="1"/>
        <v>11270429.073033523</v>
      </c>
      <c r="L127" s="106">
        <f t="shared" si="1"/>
        <v>10456799.947939359</v>
      </c>
      <c r="M127" s="106">
        <f t="shared" si="1"/>
        <v>9711909.8782925811</v>
      </c>
      <c r="N127" s="106">
        <f t="shared" si="1"/>
        <v>11222347.627208926</v>
      </c>
      <c r="O127" s="106">
        <f t="shared" si="1"/>
        <v>13029838.97655488</v>
      </c>
    </row>
    <row r="129" spans="2:15" x14ac:dyDescent="0.2">
      <c r="B129" s="109" t="s">
        <v>281</v>
      </c>
    </row>
    <row r="130" spans="2:15" x14ac:dyDescent="0.2">
      <c r="C130" s="111" t="s">
        <v>278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229361.63881489972</v>
      </c>
      <c r="E134" s="112">
        <f>SUM(M$49:M$70)+SUM(O$49:O$70)+SUM(Q$49:Q$70)+SUM(S$49:S$70)</f>
        <v>349132.30844811408</v>
      </c>
      <c r="F134" s="112">
        <f>SUM(U$49:U$70)+SUM(W$49:W$70)+SUM(Y$49:Y$70)+SUM(AA$49:AA$70)</f>
        <v>187392.62107930315</v>
      </c>
      <c r="G134" s="112">
        <f>SUM(AC$49:AC$70)+SUM(AE$49:AE$70)+SUM(AG$49:AG$70)+SUM(AI$49:AI$70)</f>
        <v>71937.203593062834</v>
      </c>
      <c r="H134" s="112">
        <f>SUM(AK$49:AK$70)+SUM(AM$49:AM$70)+SUM(AO$49:AO$70)+SUM(AQ$49:AQ$70)</f>
        <v>69465.585225953662</v>
      </c>
      <c r="I134" s="112">
        <f>SUM(AS$49:AS$70)+SUM(AU$49:AU$70)+SUM(AW$49:AW$70)+SUM(AY$49:AY$70)</f>
        <v>110589.94523098519</v>
      </c>
      <c r="J134" s="112">
        <f>SUM(BA$49:BA$70)+SUM(BC$49:BC$70)+SUM(BE$49:BE$70)+SUM(BG$49:BG$70)</f>
        <v>508992.50482646737</v>
      </c>
      <c r="K134" s="112">
        <f>SUM(BI$49:BI$70)+SUM(BK$49:BK$70)+SUM(BM$49:BM$70)+SUM(BO$49:BO$70)</f>
        <v>82677.463398895692</v>
      </c>
      <c r="L134" s="112">
        <f>SUM(BQ$49:BQ$70)+SUM(BS$49:BS$70)+SUM(BU$49:BU$70)+SUM(BW$49:BW$70)</f>
        <v>79552.339908951282</v>
      </c>
      <c r="M134" s="112">
        <f>SUM(BY$49:BY$70)+SUM(CA$49:CA$70)+SUM(CC$49:CC$70)+SUM(CE$49:CE$70)</f>
        <v>108039.10060164231</v>
      </c>
      <c r="N134" s="112">
        <f>SUM(CG$49:CG$70)+SUM(CI$49:CI$70)+SUM(CK$49:CK$70)+SUM(CM$49:CM$70)</f>
        <v>123685.94863426607</v>
      </c>
      <c r="O134" s="112">
        <f>SUM(CO$49:CO$70)+SUM(CQ$49:CQ$70)+SUM(CS$49:CS$70)+SUM(CU$49:CU$70)</f>
        <v>330815.33913332329</v>
      </c>
    </row>
    <row r="135" spans="2:15" x14ac:dyDescent="0.2">
      <c r="C135" s="111" t="s">
        <v>130</v>
      </c>
      <c r="D135" s="112">
        <f>SUM(E$71:E$86)+SUM(G$71:G$86)+SUM(I$71:I$86)+SUM(K$71:K$86)</f>
        <v>253000.12900180795</v>
      </c>
      <c r="E135" s="112">
        <f>SUM(M$71:M$86)+SUM(O$71:O$86)+SUM(Q$71:Q$86)+SUM(S$71:S$86)</f>
        <v>127010.63817463661</v>
      </c>
      <c r="F135" s="112">
        <f>SUM(U$71:U$86)+SUM(W$71:W$86)+SUM(Y$71:Y$86)+SUM(AA$71:AA$86)</f>
        <v>991107.13032223983</v>
      </c>
      <c r="G135" s="112">
        <f>SUM(AC$71:AC$86)+SUM(AE$71:AE$86)+SUM(AG$71:AG$86)+SUM(AI$71:AI$86)</f>
        <v>544692.19930628513</v>
      </c>
      <c r="H135" s="112">
        <f>SUM(AK$71:AK$86)+SUM(AM$71:AM$86)+SUM(AO$71:AO$86)+SUM(AQ$71:AQ$86)</f>
        <v>530358.27372891898</v>
      </c>
      <c r="I135" s="112">
        <f>SUM(AS$71:AS$86)+SUM(AU$71:AU$86)+SUM(AW$71:AW$86)+SUM(AY$71:AY$86)</f>
        <v>557413.36352542357</v>
      </c>
      <c r="J135" s="112">
        <f>SUM(BA$71:BA$86)+SUM(BC$71:BC$86)+SUM(BE$71:BE$86)+SUM(BG$71:BG$86)</f>
        <v>193122.04783139302</v>
      </c>
      <c r="K135" s="112">
        <f>SUM(BI$71:BI$86)+SUM(BK$71:BK$86)+SUM(BM$71:BM$86)+SUM(BO$71:BO$86)</f>
        <v>459745.74963310861</v>
      </c>
      <c r="L135" s="112">
        <f>SUM(BQ$71:BQ$86)+SUM(BS$71:BS$86)+SUM(BU$71:BU$86)+SUM(BW$71:BW$86)</f>
        <v>293377.26552555279</v>
      </c>
      <c r="M135" s="112">
        <f>SUM(BY$71:BY$86)+SUM(CA$71:CA$86)+SUM(CC$71:CC$86)+SUM(CE$71:CE$86)</f>
        <v>228178.50317709302</v>
      </c>
      <c r="N135" s="112">
        <f>SUM(CG$71:CG$86)+SUM(CI$71:CI$86)+SUM(CK$71:CK$86)+SUM(CM$71:CM$86)</f>
        <v>663782.73010563978</v>
      </c>
      <c r="O135" s="112">
        <f>SUM(CO$71:CO$86)+SUM(CQ$71:CQ$86)+SUM(CS$71:CS$86)+SUM(CU$71:CU$86)</f>
        <v>204909.01463469688</v>
      </c>
    </row>
    <row r="136" spans="2:15" x14ac:dyDescent="0.2">
      <c r="C136" s="111" t="s">
        <v>131</v>
      </c>
      <c r="D136" s="112">
        <f>SUM(E$87:E$94)+SUM(G$87:G$94)+SUM(I$87:I$94)+SUM(K$87:K$94)</f>
        <v>319788.39942023333</v>
      </c>
      <c r="E136" s="112">
        <f>SUM(M$87:M$94)+SUM(O$87:O$94)+SUM(Q$87:Q$94)+SUM(S$87:S$94)</f>
        <v>1140466.901549645</v>
      </c>
      <c r="F136" s="112">
        <f>SUM(U$87:U$94)+SUM(W$87:W$94)+SUM(Y$87:Y$94)+SUM(AA$87:AA$94)</f>
        <v>2411267.185284256</v>
      </c>
      <c r="G136" s="112">
        <f>SUM(AC$87:AC$94)+SUM(AE$87:AE$94)+SUM(AG$87:AG$94)+SUM(AI$87:AI$94)</f>
        <v>551034.67251487996</v>
      </c>
      <c r="H136" s="112">
        <f>SUM(AK$87:AK$94)+SUM(AM$87:AM$94)+SUM(AO$87:AO$94)+SUM(AQ$87:AQ$94)</f>
        <v>813954.59500375658</v>
      </c>
      <c r="I136" s="112">
        <f>SUM(AS$87:AS$94)+SUM(AU$87:AU$94)+SUM(AW$87:AW$94)+SUM(AY$87:AY$94)</f>
        <v>326147.62458827591</v>
      </c>
      <c r="J136" s="112">
        <f>SUM(BA$87:BA$94)+SUM(BC$87:BC$94)+SUM(BE$87:BE$94)+SUM(BG$87:BG$94)</f>
        <v>442339.32003575849</v>
      </c>
      <c r="K136" s="112">
        <f>SUM(BI$87:BI$94)+SUM(BK$87:BK$94)+SUM(BM$87:BM$94)+SUM(BO$87:BO$94)</f>
        <v>1267327.617349833</v>
      </c>
      <c r="L136" s="112">
        <f>SUM(BQ$87:BQ$94)+SUM(BS$87:BS$94)+SUM(BU$87:BU$94)+SUM(BW$87:BW$94)</f>
        <v>2749172.229875382</v>
      </c>
      <c r="M136" s="112">
        <f>SUM(BY$87:BY$94)+SUM(CA$87:CA$94)+SUM(CC$87:CC$94)+SUM(CE$87:CE$94)</f>
        <v>1518167.3494137668</v>
      </c>
      <c r="N136" s="112">
        <f>SUM(CG$87:CG$94)+SUM(CI$87:CI$94)+SUM(CK$87:CK$94)+SUM(CM$87:CM$94)</f>
        <v>790158.90759659221</v>
      </c>
      <c r="O136" s="112">
        <f>SUM(CO$87:CO$94)+SUM(CQ$87:CQ$94)+SUM(CS$87:CS$94)+SUM(CU$87:CU$94)</f>
        <v>389208.91548780812</v>
      </c>
    </row>
    <row r="137" spans="2:15" x14ac:dyDescent="0.2">
      <c r="C137" s="111" t="s">
        <v>132</v>
      </c>
      <c r="D137" s="112">
        <f>SUM(E$95:E$105)+SUM(G$95:G$105)+SUM(I$95:I$105)+SUM(K$95:K$105)</f>
        <v>589324.14955075074</v>
      </c>
      <c r="E137" s="112">
        <f>SUM(M$95:M$105)+SUM(O$95:O$105)+SUM(Q$95:Q$105)+SUM(S$95:S$105)</f>
        <v>1065810.4875274526</v>
      </c>
      <c r="F137" s="112">
        <f>SUM(U$95:U$105)+SUM(W$95:W$105)+SUM(Y$95:Y$105)+SUM(AA$95:AA$105)</f>
        <v>1054178.1799316299</v>
      </c>
      <c r="G137" s="112">
        <f>SUM(AC$95:AC$105)+SUM(AE$95:AE$105)+SUM(AG$95:AG$105)+SUM(AI$95:AI$105)</f>
        <v>4323126.2537202742</v>
      </c>
      <c r="H137" s="112">
        <f>SUM(AK$95:AK$105)+SUM(AM$95:AM$105)+SUM(AO$95:AO$105)+SUM(AQ$95:AQ$105)</f>
        <v>610883.18974084279</v>
      </c>
      <c r="I137" s="112">
        <f>SUM(AS$95:AS$105)+SUM(AU$95:AU$105)+SUM(AW$95:AW$105)+SUM(AY$95:AY$105)</f>
        <v>3610972.4886676804</v>
      </c>
      <c r="J137" s="112">
        <f>SUM(BA$95:BA$105)+SUM(BC$95:BC$105)+SUM(BE$95:BE$105)+SUM(BG$95:BG$105)</f>
        <v>1963557.7503790851</v>
      </c>
      <c r="K137" s="112">
        <f>SUM(BI$95:BI$105)+SUM(BK$95:BK$105)+SUM(BM$95:BM$105)+SUM(BO$95:BO$105)</f>
        <v>2986597.685162744</v>
      </c>
      <c r="L137" s="112">
        <f>SUM(BQ$95:BQ$105)+SUM(BS$95:BS$105)+SUM(BU$95:BU$105)+SUM(BW$95:BW$105)</f>
        <v>1774422.8872467333</v>
      </c>
      <c r="M137" s="112">
        <f>SUM(BY$95:BY$105)+SUM(CA$95:CA$105)+SUM(CC$95:CC$105)+SUM(CE$95:CE$105)</f>
        <v>2320215.7298290343</v>
      </c>
      <c r="N137" s="112">
        <f>SUM(CG$95:CG$105)+SUM(CI$95:CI$105)+SUM(CK$95:CK$105)+SUM(CM$95:CM$105)</f>
        <v>2044601.1975235967</v>
      </c>
      <c r="O137" s="112">
        <f>SUM(CO$95:CO$105)+SUM(CQ$95:CQ$105)+SUM(CS$95:CS$105)+SUM(CU$95:CU$105)</f>
        <v>7715834.7951822672</v>
      </c>
    </row>
    <row r="138" spans="2:15" x14ac:dyDescent="0.2">
      <c r="C138" s="111" t="s">
        <v>279</v>
      </c>
      <c r="D138" s="106">
        <f t="shared" ref="D138:O138" si="2">SUM(D$131:D$137)</f>
        <v>1391474.3167876918</v>
      </c>
      <c r="E138" s="106">
        <f t="shared" si="2"/>
        <v>2682420.3356998484</v>
      </c>
      <c r="F138" s="106">
        <f t="shared" si="2"/>
        <v>4643945.1166174281</v>
      </c>
      <c r="G138" s="106">
        <f t="shared" si="2"/>
        <v>5490790.3291345015</v>
      </c>
      <c r="H138" s="106">
        <f t="shared" si="2"/>
        <v>2024661.6436994718</v>
      </c>
      <c r="I138" s="106">
        <f t="shared" si="2"/>
        <v>4605123.4220123654</v>
      </c>
      <c r="J138" s="106">
        <f t="shared" si="2"/>
        <v>3108011.6230727038</v>
      </c>
      <c r="K138" s="106">
        <f t="shared" si="2"/>
        <v>4796348.5155445812</v>
      </c>
      <c r="L138" s="106">
        <f t="shared" si="2"/>
        <v>4896524.7225566199</v>
      </c>
      <c r="M138" s="106">
        <f t="shared" si="2"/>
        <v>4174600.6830215361</v>
      </c>
      <c r="N138" s="106">
        <f t="shared" si="2"/>
        <v>3622228.7838600948</v>
      </c>
      <c r="O138" s="106">
        <f t="shared" si="2"/>
        <v>8640768.0644380953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273</v>
      </c>
    </row>
    <row r="3" spans="1:99" x14ac:dyDescent="0.2">
      <c r="B3" s="109" t="s">
        <v>274</v>
      </c>
    </row>
    <row r="4" spans="1:99" x14ac:dyDescent="0.2">
      <c r="A4" s="107"/>
      <c r="B4" s="107"/>
      <c r="C4" s="105" t="s">
        <v>275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168</v>
      </c>
      <c r="C5" s="105" t="s">
        <v>276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173</v>
      </c>
      <c r="D6" s="106">
        <v>3</v>
      </c>
      <c r="E6" s="106">
        <v>1735.1999999999998</v>
      </c>
      <c r="F6" s="106">
        <v>3</v>
      </c>
      <c r="G6" s="106">
        <v>1735.1999999999998</v>
      </c>
      <c r="H6" s="106">
        <v>3</v>
      </c>
      <c r="I6" s="106">
        <v>1735.1999999999998</v>
      </c>
      <c r="J6" s="106">
        <v>3</v>
      </c>
      <c r="K6" s="106">
        <v>1735.1999999999998</v>
      </c>
      <c r="L6" s="106">
        <v>3</v>
      </c>
      <c r="M6" s="106">
        <v>1735.1999999999998</v>
      </c>
      <c r="N6" s="106">
        <v>3</v>
      </c>
      <c r="O6" s="106">
        <v>1735.1999999999998</v>
      </c>
      <c r="P6" s="106">
        <v>3</v>
      </c>
      <c r="Q6" s="106">
        <v>1735.1999999999998</v>
      </c>
      <c r="R6" s="106">
        <v>3</v>
      </c>
      <c r="S6" s="106">
        <v>1735.1999999999998</v>
      </c>
      <c r="T6" s="106">
        <v>5</v>
      </c>
      <c r="U6" s="106">
        <v>2892</v>
      </c>
      <c r="V6" s="106">
        <v>5</v>
      </c>
      <c r="W6" s="106">
        <v>2892</v>
      </c>
      <c r="X6" s="106">
        <v>6</v>
      </c>
      <c r="Y6" s="106">
        <v>3470.3999999999996</v>
      </c>
      <c r="Z6" s="106">
        <v>7</v>
      </c>
      <c r="AA6" s="106">
        <v>4048.7999999999997</v>
      </c>
      <c r="AB6" s="106">
        <v>19</v>
      </c>
      <c r="AC6" s="106">
        <v>10989.6</v>
      </c>
      <c r="AD6" s="106">
        <v>25</v>
      </c>
      <c r="AE6" s="106">
        <v>14460</v>
      </c>
      <c r="AF6" s="106">
        <v>22</v>
      </c>
      <c r="AG6" s="106">
        <v>12724.8</v>
      </c>
      <c r="AH6" s="106">
        <v>27</v>
      </c>
      <c r="AI6" s="106">
        <v>15616.8</v>
      </c>
      <c r="AJ6" s="106">
        <v>3</v>
      </c>
      <c r="AK6" s="106">
        <v>1735.1999999999998</v>
      </c>
      <c r="AL6" s="106">
        <v>2</v>
      </c>
      <c r="AM6" s="106">
        <v>1156.8</v>
      </c>
      <c r="AN6" s="106">
        <v>4</v>
      </c>
      <c r="AO6" s="106">
        <v>2313.6</v>
      </c>
      <c r="AP6" s="106">
        <v>4</v>
      </c>
      <c r="AQ6" s="106">
        <v>2313.6</v>
      </c>
      <c r="AR6" s="106">
        <v>14</v>
      </c>
      <c r="AS6" s="106">
        <v>8097.5999999999995</v>
      </c>
      <c r="AT6" s="106">
        <v>13</v>
      </c>
      <c r="AU6" s="106">
        <v>7519.2</v>
      </c>
      <c r="AV6" s="106">
        <v>14</v>
      </c>
      <c r="AW6" s="106">
        <v>8097.5999999999995</v>
      </c>
      <c r="AX6" s="106">
        <v>11</v>
      </c>
      <c r="AY6" s="106">
        <v>6362.4</v>
      </c>
      <c r="AZ6" s="106">
        <v>4</v>
      </c>
      <c r="BA6" s="106">
        <v>2313.6</v>
      </c>
      <c r="BB6" s="106">
        <v>5</v>
      </c>
      <c r="BC6" s="106">
        <v>2892</v>
      </c>
      <c r="BD6" s="106">
        <v>4</v>
      </c>
      <c r="BE6" s="106">
        <v>2313.6</v>
      </c>
      <c r="BF6" s="106">
        <v>6</v>
      </c>
      <c r="BG6" s="106">
        <v>3470.3999999999996</v>
      </c>
      <c r="BH6" s="106">
        <v>6</v>
      </c>
      <c r="BI6" s="106">
        <v>3470.3999999999996</v>
      </c>
      <c r="BJ6" s="106">
        <v>5</v>
      </c>
      <c r="BK6" s="106">
        <v>2892</v>
      </c>
      <c r="BL6" s="106">
        <v>7</v>
      </c>
      <c r="BM6" s="106">
        <v>4048.7999999999997</v>
      </c>
      <c r="BN6" s="106">
        <v>6</v>
      </c>
      <c r="BO6" s="106">
        <v>3470.3999999999996</v>
      </c>
      <c r="BP6" s="106">
        <v>44</v>
      </c>
      <c r="BQ6" s="106">
        <v>25449.599999999999</v>
      </c>
      <c r="BR6" s="106">
        <v>33</v>
      </c>
      <c r="BS6" s="106">
        <v>19087.2</v>
      </c>
      <c r="BT6" s="106">
        <v>26</v>
      </c>
      <c r="BU6" s="106">
        <v>15038.4</v>
      </c>
      <c r="BV6" s="106">
        <v>37</v>
      </c>
      <c r="BW6" s="106">
        <v>21400.799999999999</v>
      </c>
      <c r="BX6" s="106">
        <v>3</v>
      </c>
      <c r="BY6" s="106">
        <v>1735.1999999999998</v>
      </c>
      <c r="BZ6" s="106">
        <v>4</v>
      </c>
      <c r="CA6" s="106">
        <v>2313.6</v>
      </c>
      <c r="CB6" s="106">
        <v>3</v>
      </c>
      <c r="CC6" s="106">
        <v>1735.1999999999998</v>
      </c>
      <c r="CD6" s="106">
        <v>5</v>
      </c>
      <c r="CE6" s="106">
        <v>2892</v>
      </c>
      <c r="CF6" s="106">
        <v>27</v>
      </c>
      <c r="CG6" s="106">
        <v>15616.8</v>
      </c>
      <c r="CH6" s="106">
        <v>25</v>
      </c>
      <c r="CI6" s="106">
        <v>14460</v>
      </c>
      <c r="CJ6" s="106">
        <v>40</v>
      </c>
      <c r="CK6" s="106">
        <v>23136</v>
      </c>
      <c r="CL6" s="106">
        <v>28</v>
      </c>
      <c r="CM6" s="106">
        <v>16195.199999999999</v>
      </c>
      <c r="CN6" s="106">
        <v>6</v>
      </c>
      <c r="CO6" s="106">
        <v>3470.3999999999996</v>
      </c>
      <c r="CP6" s="106">
        <v>11</v>
      </c>
      <c r="CQ6" s="106">
        <v>6362.4</v>
      </c>
      <c r="CR6" s="106">
        <v>7</v>
      </c>
      <c r="CS6" s="106">
        <v>4048.7999999999997</v>
      </c>
      <c r="CT6" s="106">
        <v>6</v>
      </c>
      <c r="CU6" s="106">
        <v>3470.3999999999996</v>
      </c>
    </row>
    <row r="7" spans="1:99" x14ac:dyDescent="0.2">
      <c r="C7" s="105" t="s">
        <v>174</v>
      </c>
      <c r="D7" s="106">
        <v>2</v>
      </c>
      <c r="E7" s="106">
        <v>1576.8</v>
      </c>
      <c r="F7" s="106">
        <v>3</v>
      </c>
      <c r="G7" s="106">
        <v>2365.1999999999998</v>
      </c>
      <c r="H7" s="106">
        <v>3</v>
      </c>
      <c r="I7" s="106">
        <v>2365.1999999999998</v>
      </c>
      <c r="J7" s="106">
        <v>3</v>
      </c>
      <c r="K7" s="106">
        <v>2365.1999999999998</v>
      </c>
      <c r="L7" s="106">
        <v>3</v>
      </c>
      <c r="M7" s="106">
        <v>2365.1999999999998</v>
      </c>
      <c r="N7" s="106">
        <v>3</v>
      </c>
      <c r="O7" s="106">
        <v>2365.1999999999998</v>
      </c>
      <c r="P7" s="106">
        <v>2</v>
      </c>
      <c r="Q7" s="106">
        <v>1576.8</v>
      </c>
      <c r="R7" s="106">
        <v>3</v>
      </c>
      <c r="S7" s="106">
        <v>2365.1999999999998</v>
      </c>
      <c r="T7" s="106">
        <v>5</v>
      </c>
      <c r="U7" s="106">
        <v>3942</v>
      </c>
      <c r="V7" s="106">
        <v>5</v>
      </c>
      <c r="W7" s="106">
        <v>3942</v>
      </c>
      <c r="X7" s="106">
        <v>6</v>
      </c>
      <c r="Y7" s="106">
        <v>4730.3999999999996</v>
      </c>
      <c r="Z7" s="106">
        <v>8</v>
      </c>
      <c r="AA7" s="106">
        <v>6307.2</v>
      </c>
      <c r="AB7" s="106">
        <v>19</v>
      </c>
      <c r="AC7" s="106">
        <v>14979.6</v>
      </c>
      <c r="AD7" s="106">
        <v>26</v>
      </c>
      <c r="AE7" s="106">
        <v>20498.399999999998</v>
      </c>
      <c r="AF7" s="106">
        <v>19</v>
      </c>
      <c r="AG7" s="106">
        <v>14979.6</v>
      </c>
      <c r="AH7" s="106">
        <v>26</v>
      </c>
      <c r="AI7" s="106">
        <v>20498.399999999998</v>
      </c>
      <c r="AJ7" s="106">
        <v>4</v>
      </c>
      <c r="AK7" s="106">
        <v>3153.6</v>
      </c>
      <c r="AL7" s="106">
        <v>3</v>
      </c>
      <c r="AM7" s="106">
        <v>2365.1999999999998</v>
      </c>
      <c r="AN7" s="106">
        <v>4</v>
      </c>
      <c r="AO7" s="106">
        <v>3153.6</v>
      </c>
      <c r="AP7" s="106">
        <v>5</v>
      </c>
      <c r="AQ7" s="106">
        <v>3942</v>
      </c>
      <c r="AR7" s="106">
        <v>16</v>
      </c>
      <c r="AS7" s="106">
        <v>12614.4</v>
      </c>
      <c r="AT7" s="106">
        <v>12</v>
      </c>
      <c r="AU7" s="106">
        <v>9460.7999999999993</v>
      </c>
      <c r="AV7" s="106">
        <v>14</v>
      </c>
      <c r="AW7" s="106">
        <v>11037.6</v>
      </c>
      <c r="AX7" s="106">
        <v>11</v>
      </c>
      <c r="AY7" s="106">
        <v>8672.4</v>
      </c>
      <c r="AZ7" s="106">
        <v>4</v>
      </c>
      <c r="BA7" s="106">
        <v>3153.6</v>
      </c>
      <c r="BB7" s="106">
        <v>5</v>
      </c>
      <c r="BC7" s="106">
        <v>3942</v>
      </c>
      <c r="BD7" s="106">
        <v>4</v>
      </c>
      <c r="BE7" s="106">
        <v>3153.6</v>
      </c>
      <c r="BF7" s="106">
        <v>6</v>
      </c>
      <c r="BG7" s="106">
        <v>4730.3999999999996</v>
      </c>
      <c r="BH7" s="106">
        <v>5</v>
      </c>
      <c r="BI7" s="106">
        <v>3942</v>
      </c>
      <c r="BJ7" s="106">
        <v>6</v>
      </c>
      <c r="BK7" s="106">
        <v>4730.3999999999996</v>
      </c>
      <c r="BL7" s="106">
        <v>6</v>
      </c>
      <c r="BM7" s="106">
        <v>4730.3999999999996</v>
      </c>
      <c r="BN7" s="106">
        <v>6</v>
      </c>
      <c r="BO7" s="106">
        <v>4730.3999999999996</v>
      </c>
      <c r="BP7" s="106">
        <v>37</v>
      </c>
      <c r="BQ7" s="106">
        <v>29170.799999999999</v>
      </c>
      <c r="BR7" s="106">
        <v>36</v>
      </c>
      <c r="BS7" s="106">
        <v>28382.399999999998</v>
      </c>
      <c r="BT7" s="106">
        <v>26</v>
      </c>
      <c r="BU7" s="106">
        <v>20498.399999999998</v>
      </c>
      <c r="BV7" s="106">
        <v>33</v>
      </c>
      <c r="BW7" s="106">
        <v>26017.200000000001</v>
      </c>
      <c r="BX7" s="106">
        <v>3</v>
      </c>
      <c r="BY7" s="106">
        <v>2365.1999999999998</v>
      </c>
      <c r="BZ7" s="106">
        <v>3</v>
      </c>
      <c r="CA7" s="106">
        <v>2365.1999999999998</v>
      </c>
      <c r="CB7" s="106">
        <v>3</v>
      </c>
      <c r="CC7" s="106">
        <v>2365.1999999999998</v>
      </c>
      <c r="CD7" s="106">
        <v>5</v>
      </c>
      <c r="CE7" s="106">
        <v>3942</v>
      </c>
      <c r="CF7" s="106">
        <v>25</v>
      </c>
      <c r="CG7" s="106">
        <v>19710</v>
      </c>
      <c r="CH7" s="106">
        <v>22</v>
      </c>
      <c r="CI7" s="106">
        <v>17344.8</v>
      </c>
      <c r="CJ7" s="106">
        <v>36</v>
      </c>
      <c r="CK7" s="106">
        <v>28382.399999999998</v>
      </c>
      <c r="CL7" s="106">
        <v>29</v>
      </c>
      <c r="CM7" s="106">
        <v>22863.599999999999</v>
      </c>
      <c r="CN7" s="106">
        <v>7</v>
      </c>
      <c r="CO7" s="106">
        <v>5518.8</v>
      </c>
      <c r="CP7" s="106">
        <v>10</v>
      </c>
      <c r="CQ7" s="106">
        <v>7884</v>
      </c>
      <c r="CR7" s="106">
        <v>7</v>
      </c>
      <c r="CS7" s="106">
        <v>5518.8</v>
      </c>
      <c r="CT7" s="106">
        <v>7</v>
      </c>
      <c r="CU7" s="106">
        <v>5518.8</v>
      </c>
    </row>
    <row r="8" spans="1:99" x14ac:dyDescent="0.2">
      <c r="C8" s="105" t="s">
        <v>175</v>
      </c>
      <c r="D8" s="106">
        <v>3</v>
      </c>
      <c r="E8" s="106">
        <v>928.8</v>
      </c>
      <c r="F8" s="106">
        <v>3</v>
      </c>
      <c r="G8" s="106">
        <v>928.8</v>
      </c>
      <c r="H8" s="106">
        <v>4</v>
      </c>
      <c r="I8" s="106">
        <v>1238.3999999999999</v>
      </c>
      <c r="J8" s="106">
        <v>3</v>
      </c>
      <c r="K8" s="106">
        <v>928.8</v>
      </c>
      <c r="L8" s="106">
        <v>3</v>
      </c>
      <c r="M8" s="106">
        <v>928.8</v>
      </c>
      <c r="N8" s="106">
        <v>3</v>
      </c>
      <c r="O8" s="106">
        <v>928.8</v>
      </c>
      <c r="P8" s="106">
        <v>3</v>
      </c>
      <c r="Q8" s="106">
        <v>928.8</v>
      </c>
      <c r="R8" s="106">
        <v>3</v>
      </c>
      <c r="S8" s="106">
        <v>928.8</v>
      </c>
      <c r="T8" s="106">
        <v>5</v>
      </c>
      <c r="U8" s="106">
        <v>1547.9999999999998</v>
      </c>
      <c r="V8" s="106">
        <v>6</v>
      </c>
      <c r="W8" s="106">
        <v>1857.6</v>
      </c>
      <c r="X8" s="106">
        <v>5</v>
      </c>
      <c r="Y8" s="106">
        <v>1547.9999999999998</v>
      </c>
      <c r="Z8" s="106">
        <v>7</v>
      </c>
      <c r="AA8" s="106">
        <v>2167.1999999999998</v>
      </c>
      <c r="AB8" s="106">
        <v>19</v>
      </c>
      <c r="AC8" s="106">
        <v>5882.4</v>
      </c>
      <c r="AD8" s="106">
        <v>28</v>
      </c>
      <c r="AE8" s="106">
        <v>8668.7999999999993</v>
      </c>
      <c r="AF8" s="106">
        <v>22</v>
      </c>
      <c r="AG8" s="106">
        <v>6811.1999999999989</v>
      </c>
      <c r="AH8" s="106">
        <v>28</v>
      </c>
      <c r="AI8" s="106">
        <v>8668.7999999999993</v>
      </c>
      <c r="AJ8" s="106">
        <v>4</v>
      </c>
      <c r="AK8" s="106">
        <v>1238.3999999999999</v>
      </c>
      <c r="AL8" s="106">
        <v>3</v>
      </c>
      <c r="AM8" s="106">
        <v>928.8</v>
      </c>
      <c r="AN8" s="106">
        <v>5</v>
      </c>
      <c r="AO8" s="106">
        <v>1547.9999999999998</v>
      </c>
      <c r="AP8" s="106">
        <v>4</v>
      </c>
      <c r="AQ8" s="106">
        <v>1238.3999999999999</v>
      </c>
      <c r="AR8" s="106">
        <v>16</v>
      </c>
      <c r="AS8" s="106">
        <v>4953.5999999999995</v>
      </c>
      <c r="AT8" s="106">
        <v>14</v>
      </c>
      <c r="AU8" s="106">
        <v>4334.3999999999996</v>
      </c>
      <c r="AV8" s="106">
        <v>15</v>
      </c>
      <c r="AW8" s="106">
        <v>4643.9999999999991</v>
      </c>
      <c r="AX8" s="106">
        <v>11</v>
      </c>
      <c r="AY8" s="106">
        <v>3405.5999999999995</v>
      </c>
      <c r="AZ8" s="106">
        <v>4</v>
      </c>
      <c r="BA8" s="106">
        <v>1238.3999999999999</v>
      </c>
      <c r="BB8" s="106">
        <v>5</v>
      </c>
      <c r="BC8" s="106">
        <v>1547.9999999999998</v>
      </c>
      <c r="BD8" s="106">
        <v>4</v>
      </c>
      <c r="BE8" s="106">
        <v>1238.3999999999999</v>
      </c>
      <c r="BF8" s="106">
        <v>6</v>
      </c>
      <c r="BG8" s="106">
        <v>1857.6</v>
      </c>
      <c r="BH8" s="106">
        <v>6</v>
      </c>
      <c r="BI8" s="106">
        <v>1857.6</v>
      </c>
      <c r="BJ8" s="106">
        <v>7</v>
      </c>
      <c r="BK8" s="106">
        <v>2167.1999999999998</v>
      </c>
      <c r="BL8" s="106">
        <v>6</v>
      </c>
      <c r="BM8" s="106">
        <v>1857.6</v>
      </c>
      <c r="BN8" s="106">
        <v>6</v>
      </c>
      <c r="BO8" s="106">
        <v>1857.6</v>
      </c>
      <c r="BP8" s="106">
        <v>44</v>
      </c>
      <c r="BQ8" s="106">
        <v>13622.399999999998</v>
      </c>
      <c r="BR8" s="106">
        <v>41</v>
      </c>
      <c r="BS8" s="106">
        <v>12693.599999999999</v>
      </c>
      <c r="BT8" s="106">
        <v>31</v>
      </c>
      <c r="BU8" s="106">
        <v>9597.5999999999985</v>
      </c>
      <c r="BV8" s="106">
        <v>36</v>
      </c>
      <c r="BW8" s="106">
        <v>11145.599999999999</v>
      </c>
      <c r="BX8" s="106">
        <v>3</v>
      </c>
      <c r="BY8" s="106">
        <v>928.8</v>
      </c>
      <c r="BZ8" s="106">
        <v>3</v>
      </c>
      <c r="CA8" s="106">
        <v>928.8</v>
      </c>
      <c r="CB8" s="106">
        <v>3</v>
      </c>
      <c r="CC8" s="106">
        <v>928.8</v>
      </c>
      <c r="CD8" s="106">
        <v>5</v>
      </c>
      <c r="CE8" s="106">
        <v>1547.9999999999998</v>
      </c>
      <c r="CF8" s="106">
        <v>29</v>
      </c>
      <c r="CG8" s="106">
        <v>8978.4</v>
      </c>
      <c r="CH8" s="106">
        <v>26</v>
      </c>
      <c r="CI8" s="106">
        <v>8049.5999999999995</v>
      </c>
      <c r="CJ8" s="106">
        <v>41</v>
      </c>
      <c r="CK8" s="106">
        <v>12693.599999999999</v>
      </c>
      <c r="CL8" s="106">
        <v>32</v>
      </c>
      <c r="CM8" s="106">
        <v>9907.1999999999989</v>
      </c>
      <c r="CN8" s="106">
        <v>7</v>
      </c>
      <c r="CO8" s="106">
        <v>2167.1999999999998</v>
      </c>
      <c r="CP8" s="106">
        <v>11</v>
      </c>
      <c r="CQ8" s="106">
        <v>3405.5999999999995</v>
      </c>
      <c r="CR8" s="106">
        <v>7</v>
      </c>
      <c r="CS8" s="106">
        <v>2167.1999999999998</v>
      </c>
      <c r="CT8" s="106">
        <v>6</v>
      </c>
      <c r="CU8" s="106">
        <v>1857.6</v>
      </c>
    </row>
    <row r="9" spans="1:99" x14ac:dyDescent="0.2">
      <c r="C9" s="105" t="s">
        <v>176</v>
      </c>
      <c r="D9" s="106">
        <v>2</v>
      </c>
      <c r="E9" s="106">
        <v>1404</v>
      </c>
      <c r="F9" s="106">
        <v>3</v>
      </c>
      <c r="G9" s="106">
        <v>2106</v>
      </c>
      <c r="H9" s="106">
        <v>3</v>
      </c>
      <c r="I9" s="106">
        <v>2106</v>
      </c>
      <c r="J9" s="106">
        <v>2</v>
      </c>
      <c r="K9" s="106">
        <v>1404</v>
      </c>
      <c r="L9" s="106">
        <v>3</v>
      </c>
      <c r="M9" s="106">
        <v>2106</v>
      </c>
      <c r="N9" s="106">
        <v>3</v>
      </c>
      <c r="O9" s="106">
        <v>2106</v>
      </c>
      <c r="P9" s="106">
        <v>2</v>
      </c>
      <c r="Q9" s="106">
        <v>1404</v>
      </c>
      <c r="R9" s="106">
        <v>3</v>
      </c>
      <c r="S9" s="106">
        <v>2106</v>
      </c>
      <c r="T9" s="106">
        <v>4</v>
      </c>
      <c r="U9" s="106">
        <v>2808</v>
      </c>
      <c r="V9" s="106">
        <v>6</v>
      </c>
      <c r="W9" s="106">
        <v>4212</v>
      </c>
      <c r="X9" s="106">
        <v>6</v>
      </c>
      <c r="Y9" s="106">
        <v>4212</v>
      </c>
      <c r="Z9" s="106">
        <v>7</v>
      </c>
      <c r="AA9" s="106">
        <v>4914</v>
      </c>
      <c r="AB9" s="106">
        <v>20</v>
      </c>
      <c r="AC9" s="106">
        <v>14040</v>
      </c>
      <c r="AD9" s="106">
        <v>27</v>
      </c>
      <c r="AE9" s="106">
        <v>18954</v>
      </c>
      <c r="AF9" s="106">
        <v>20</v>
      </c>
      <c r="AG9" s="106">
        <v>14040</v>
      </c>
      <c r="AH9" s="106">
        <v>24</v>
      </c>
      <c r="AI9" s="106">
        <v>16848</v>
      </c>
      <c r="AJ9" s="106">
        <v>4</v>
      </c>
      <c r="AK9" s="106">
        <v>2808</v>
      </c>
      <c r="AL9" s="106">
        <v>3</v>
      </c>
      <c r="AM9" s="106">
        <v>2106</v>
      </c>
      <c r="AN9" s="106">
        <v>4</v>
      </c>
      <c r="AO9" s="106">
        <v>2808</v>
      </c>
      <c r="AP9" s="106">
        <v>5</v>
      </c>
      <c r="AQ9" s="106">
        <v>3510</v>
      </c>
      <c r="AR9" s="106">
        <v>15</v>
      </c>
      <c r="AS9" s="106">
        <v>10530</v>
      </c>
      <c r="AT9" s="106">
        <v>13</v>
      </c>
      <c r="AU9" s="106">
        <v>9126</v>
      </c>
      <c r="AV9" s="106">
        <v>13</v>
      </c>
      <c r="AW9" s="106">
        <v>9126</v>
      </c>
      <c r="AX9" s="106">
        <v>11</v>
      </c>
      <c r="AY9" s="106">
        <v>7722</v>
      </c>
      <c r="AZ9" s="106">
        <v>4</v>
      </c>
      <c r="BA9" s="106">
        <v>2808</v>
      </c>
      <c r="BB9" s="106">
        <v>5</v>
      </c>
      <c r="BC9" s="106">
        <v>3510</v>
      </c>
      <c r="BD9" s="106">
        <v>4</v>
      </c>
      <c r="BE9" s="106">
        <v>2808</v>
      </c>
      <c r="BF9" s="106">
        <v>6</v>
      </c>
      <c r="BG9" s="106">
        <v>4212</v>
      </c>
      <c r="BH9" s="106">
        <v>5</v>
      </c>
      <c r="BI9" s="106">
        <v>3510</v>
      </c>
      <c r="BJ9" s="106">
        <v>6</v>
      </c>
      <c r="BK9" s="106">
        <v>4212</v>
      </c>
      <c r="BL9" s="106">
        <v>6</v>
      </c>
      <c r="BM9" s="106">
        <v>4212</v>
      </c>
      <c r="BN9" s="106">
        <v>7</v>
      </c>
      <c r="BO9" s="106">
        <v>4914</v>
      </c>
      <c r="BP9" s="106">
        <v>41</v>
      </c>
      <c r="BQ9" s="106">
        <v>28782</v>
      </c>
      <c r="BR9" s="106">
        <v>37</v>
      </c>
      <c r="BS9" s="106">
        <v>25974</v>
      </c>
      <c r="BT9" s="106">
        <v>29</v>
      </c>
      <c r="BU9" s="106">
        <v>20358</v>
      </c>
      <c r="BV9" s="106">
        <v>36</v>
      </c>
      <c r="BW9" s="106">
        <v>25272</v>
      </c>
      <c r="BX9" s="106">
        <v>3</v>
      </c>
      <c r="BY9" s="106">
        <v>2106</v>
      </c>
      <c r="BZ9" s="106">
        <v>3</v>
      </c>
      <c r="CA9" s="106">
        <v>2106</v>
      </c>
      <c r="CB9" s="106">
        <v>3</v>
      </c>
      <c r="CC9" s="106">
        <v>2106</v>
      </c>
      <c r="CD9" s="106">
        <v>5</v>
      </c>
      <c r="CE9" s="106">
        <v>3510</v>
      </c>
      <c r="CF9" s="106">
        <v>25</v>
      </c>
      <c r="CG9" s="106">
        <v>17550</v>
      </c>
      <c r="CH9" s="106">
        <v>23</v>
      </c>
      <c r="CI9" s="106">
        <v>16146</v>
      </c>
      <c r="CJ9" s="106">
        <v>39</v>
      </c>
      <c r="CK9" s="106">
        <v>27378</v>
      </c>
      <c r="CL9" s="106">
        <v>26</v>
      </c>
      <c r="CM9" s="106">
        <v>18252</v>
      </c>
      <c r="CN9" s="106">
        <v>7</v>
      </c>
      <c r="CO9" s="106">
        <v>4914</v>
      </c>
      <c r="CP9" s="106">
        <v>11</v>
      </c>
      <c r="CQ9" s="106">
        <v>7722</v>
      </c>
      <c r="CR9" s="106">
        <v>6</v>
      </c>
      <c r="CS9" s="106">
        <v>4212</v>
      </c>
      <c r="CT9" s="106">
        <v>6</v>
      </c>
      <c r="CU9" s="106">
        <v>4212</v>
      </c>
    </row>
    <row r="10" spans="1:99" x14ac:dyDescent="0.2">
      <c r="C10" s="105" t="s">
        <v>177</v>
      </c>
      <c r="D10" s="106">
        <v>3</v>
      </c>
      <c r="E10" s="106">
        <v>1634.3999999999999</v>
      </c>
      <c r="F10" s="106">
        <v>3</v>
      </c>
      <c r="G10" s="106">
        <v>1634.3999999999999</v>
      </c>
      <c r="H10" s="106">
        <v>3</v>
      </c>
      <c r="I10" s="106">
        <v>1634.3999999999999</v>
      </c>
      <c r="J10" s="106">
        <v>3</v>
      </c>
      <c r="K10" s="106">
        <v>1634.3999999999999</v>
      </c>
      <c r="L10" s="106">
        <v>3</v>
      </c>
      <c r="M10" s="106">
        <v>1634.3999999999999</v>
      </c>
      <c r="N10" s="106">
        <v>3</v>
      </c>
      <c r="O10" s="106">
        <v>1634.3999999999999</v>
      </c>
      <c r="P10" s="106">
        <v>3</v>
      </c>
      <c r="Q10" s="106">
        <v>1634.3999999999999</v>
      </c>
      <c r="R10" s="106">
        <v>3</v>
      </c>
      <c r="S10" s="106">
        <v>1634.3999999999999</v>
      </c>
      <c r="T10" s="106">
        <v>5</v>
      </c>
      <c r="U10" s="106">
        <v>2724</v>
      </c>
      <c r="V10" s="106">
        <v>5</v>
      </c>
      <c r="W10" s="106">
        <v>2724</v>
      </c>
      <c r="X10" s="106">
        <v>6</v>
      </c>
      <c r="Y10" s="106">
        <v>3268.7999999999997</v>
      </c>
      <c r="Z10" s="106">
        <v>7</v>
      </c>
      <c r="AA10" s="106">
        <v>3813.5999999999995</v>
      </c>
      <c r="AB10" s="106">
        <v>21</v>
      </c>
      <c r="AC10" s="106">
        <v>11440.8</v>
      </c>
      <c r="AD10" s="106">
        <v>28</v>
      </c>
      <c r="AE10" s="106">
        <v>15254.399999999998</v>
      </c>
      <c r="AF10" s="106">
        <v>21</v>
      </c>
      <c r="AG10" s="106">
        <v>11440.8</v>
      </c>
      <c r="AH10" s="106">
        <v>27</v>
      </c>
      <c r="AI10" s="106">
        <v>14709.599999999999</v>
      </c>
      <c r="AJ10" s="106">
        <v>4</v>
      </c>
      <c r="AK10" s="106">
        <v>2179.1999999999998</v>
      </c>
      <c r="AL10" s="106">
        <v>2</v>
      </c>
      <c r="AM10" s="106">
        <v>1089.5999999999999</v>
      </c>
      <c r="AN10" s="106">
        <v>4</v>
      </c>
      <c r="AO10" s="106">
        <v>2179.1999999999998</v>
      </c>
      <c r="AP10" s="106">
        <v>4</v>
      </c>
      <c r="AQ10" s="106">
        <v>2179.1999999999998</v>
      </c>
      <c r="AR10" s="106">
        <v>16</v>
      </c>
      <c r="AS10" s="106">
        <v>8716.7999999999993</v>
      </c>
      <c r="AT10" s="106">
        <v>13</v>
      </c>
      <c r="AU10" s="106">
        <v>7082.4</v>
      </c>
      <c r="AV10" s="106">
        <v>13</v>
      </c>
      <c r="AW10" s="106">
        <v>7082.4</v>
      </c>
      <c r="AX10" s="106">
        <v>10</v>
      </c>
      <c r="AY10" s="106">
        <v>5448</v>
      </c>
      <c r="AZ10" s="106">
        <v>4</v>
      </c>
      <c r="BA10" s="106">
        <v>2179.1999999999998</v>
      </c>
      <c r="BB10" s="106">
        <v>5</v>
      </c>
      <c r="BC10" s="106">
        <v>2724</v>
      </c>
      <c r="BD10" s="106">
        <v>4</v>
      </c>
      <c r="BE10" s="106">
        <v>2179.1999999999998</v>
      </c>
      <c r="BF10" s="106">
        <v>5</v>
      </c>
      <c r="BG10" s="106">
        <v>2724</v>
      </c>
      <c r="BH10" s="106">
        <v>6</v>
      </c>
      <c r="BI10" s="106">
        <v>3268.7999999999997</v>
      </c>
      <c r="BJ10" s="106">
        <v>6</v>
      </c>
      <c r="BK10" s="106">
        <v>3268.7999999999997</v>
      </c>
      <c r="BL10" s="106">
        <v>6</v>
      </c>
      <c r="BM10" s="106">
        <v>3268.7999999999997</v>
      </c>
      <c r="BN10" s="106">
        <v>6</v>
      </c>
      <c r="BO10" s="106">
        <v>3268.7999999999997</v>
      </c>
      <c r="BP10" s="106">
        <v>40</v>
      </c>
      <c r="BQ10" s="106">
        <v>21792</v>
      </c>
      <c r="BR10" s="106">
        <v>39</v>
      </c>
      <c r="BS10" s="106">
        <v>21247.199999999997</v>
      </c>
      <c r="BT10" s="106">
        <v>28</v>
      </c>
      <c r="BU10" s="106">
        <v>15254.399999999998</v>
      </c>
      <c r="BV10" s="106">
        <v>35</v>
      </c>
      <c r="BW10" s="106">
        <v>19068</v>
      </c>
      <c r="BX10" s="106">
        <v>3</v>
      </c>
      <c r="BY10" s="106">
        <v>1634.3999999999999</v>
      </c>
      <c r="BZ10" s="106">
        <v>3</v>
      </c>
      <c r="CA10" s="106">
        <v>1634.3999999999999</v>
      </c>
      <c r="CB10" s="106">
        <v>3</v>
      </c>
      <c r="CC10" s="106">
        <v>1634.3999999999999</v>
      </c>
      <c r="CD10" s="106">
        <v>5</v>
      </c>
      <c r="CE10" s="106">
        <v>2724</v>
      </c>
      <c r="CF10" s="106">
        <v>25</v>
      </c>
      <c r="CG10" s="106">
        <v>13619.999999999998</v>
      </c>
      <c r="CH10" s="106">
        <v>24</v>
      </c>
      <c r="CI10" s="106">
        <v>13075.199999999999</v>
      </c>
      <c r="CJ10" s="106">
        <v>35</v>
      </c>
      <c r="CK10" s="106">
        <v>19068</v>
      </c>
      <c r="CL10" s="106">
        <v>31</v>
      </c>
      <c r="CM10" s="106">
        <v>16888.8</v>
      </c>
      <c r="CN10" s="106">
        <v>8</v>
      </c>
      <c r="CO10" s="106">
        <v>4358.3999999999996</v>
      </c>
      <c r="CP10" s="106">
        <v>9</v>
      </c>
      <c r="CQ10" s="106">
        <v>4903.2</v>
      </c>
      <c r="CR10" s="106">
        <v>7</v>
      </c>
      <c r="CS10" s="106">
        <v>3813.5999999999995</v>
      </c>
      <c r="CT10" s="106">
        <v>6</v>
      </c>
      <c r="CU10" s="106">
        <v>3268.7999999999997</v>
      </c>
    </row>
    <row r="11" spans="1:99" x14ac:dyDescent="0.2">
      <c r="C11" s="105" t="s">
        <v>178</v>
      </c>
      <c r="D11" s="106">
        <v>3</v>
      </c>
      <c r="E11" s="106">
        <v>1598.3999999999999</v>
      </c>
      <c r="F11" s="106">
        <v>3</v>
      </c>
      <c r="G11" s="106">
        <v>1598.3999999999999</v>
      </c>
      <c r="H11" s="106">
        <v>3</v>
      </c>
      <c r="I11" s="106">
        <v>1598.3999999999999</v>
      </c>
      <c r="J11" s="106">
        <v>2</v>
      </c>
      <c r="K11" s="106">
        <v>1065.5999999999999</v>
      </c>
      <c r="L11" s="106">
        <v>3</v>
      </c>
      <c r="M11" s="106">
        <v>1598.3999999999999</v>
      </c>
      <c r="N11" s="106">
        <v>3</v>
      </c>
      <c r="O11" s="106">
        <v>1598.3999999999999</v>
      </c>
      <c r="P11" s="106">
        <v>2</v>
      </c>
      <c r="Q11" s="106">
        <v>1065.5999999999999</v>
      </c>
      <c r="R11" s="106">
        <v>3</v>
      </c>
      <c r="S11" s="106">
        <v>1598.3999999999999</v>
      </c>
      <c r="T11" s="106">
        <v>5</v>
      </c>
      <c r="U11" s="106">
        <v>2664</v>
      </c>
      <c r="V11" s="106">
        <v>6</v>
      </c>
      <c r="W11" s="106">
        <v>3196.7999999999997</v>
      </c>
      <c r="X11" s="106">
        <v>5</v>
      </c>
      <c r="Y11" s="106">
        <v>2664</v>
      </c>
      <c r="Z11" s="106">
        <v>8</v>
      </c>
      <c r="AA11" s="106">
        <v>4262.3999999999996</v>
      </c>
      <c r="AB11" s="106">
        <v>21</v>
      </c>
      <c r="AC11" s="106">
        <v>11188.8</v>
      </c>
      <c r="AD11" s="106">
        <v>24</v>
      </c>
      <c r="AE11" s="106">
        <v>12787.199999999999</v>
      </c>
      <c r="AF11" s="106">
        <v>20</v>
      </c>
      <c r="AG11" s="106">
        <v>10656</v>
      </c>
      <c r="AH11" s="106">
        <v>27</v>
      </c>
      <c r="AI11" s="106">
        <v>14385.599999999999</v>
      </c>
      <c r="AJ11" s="106">
        <v>4</v>
      </c>
      <c r="AK11" s="106">
        <v>2131.1999999999998</v>
      </c>
      <c r="AL11" s="106">
        <v>2</v>
      </c>
      <c r="AM11" s="106">
        <v>1065.5999999999999</v>
      </c>
      <c r="AN11" s="106">
        <v>4</v>
      </c>
      <c r="AO11" s="106">
        <v>2131.1999999999998</v>
      </c>
      <c r="AP11" s="106">
        <v>5</v>
      </c>
      <c r="AQ11" s="106">
        <v>2664</v>
      </c>
      <c r="AR11" s="106">
        <v>15</v>
      </c>
      <c r="AS11" s="106">
        <v>7991.9999999999991</v>
      </c>
      <c r="AT11" s="106">
        <v>14</v>
      </c>
      <c r="AU11" s="106">
        <v>7459.1999999999989</v>
      </c>
      <c r="AV11" s="106">
        <v>15</v>
      </c>
      <c r="AW11" s="106">
        <v>7991.9999999999991</v>
      </c>
      <c r="AX11" s="106">
        <v>11</v>
      </c>
      <c r="AY11" s="106">
        <v>5860.7999999999993</v>
      </c>
      <c r="AZ11" s="106">
        <v>5</v>
      </c>
      <c r="BA11" s="106">
        <v>2664</v>
      </c>
      <c r="BB11" s="106">
        <v>5</v>
      </c>
      <c r="BC11" s="106">
        <v>2664</v>
      </c>
      <c r="BD11" s="106">
        <v>4</v>
      </c>
      <c r="BE11" s="106">
        <v>2131.1999999999998</v>
      </c>
      <c r="BF11" s="106">
        <v>6</v>
      </c>
      <c r="BG11" s="106">
        <v>3196.7999999999997</v>
      </c>
      <c r="BH11" s="106">
        <v>5</v>
      </c>
      <c r="BI11" s="106">
        <v>2664</v>
      </c>
      <c r="BJ11" s="106">
        <v>6</v>
      </c>
      <c r="BK11" s="106">
        <v>3196.7999999999997</v>
      </c>
      <c r="BL11" s="106">
        <v>6</v>
      </c>
      <c r="BM11" s="106">
        <v>3196.7999999999997</v>
      </c>
      <c r="BN11" s="106">
        <v>6</v>
      </c>
      <c r="BO11" s="106">
        <v>3196.7999999999997</v>
      </c>
      <c r="BP11" s="106">
        <v>40</v>
      </c>
      <c r="BQ11" s="106">
        <v>21312</v>
      </c>
      <c r="BR11" s="106">
        <v>36</v>
      </c>
      <c r="BS11" s="106">
        <v>19180.8</v>
      </c>
      <c r="BT11" s="106">
        <v>26</v>
      </c>
      <c r="BU11" s="106">
        <v>13852.8</v>
      </c>
      <c r="BV11" s="106">
        <v>35</v>
      </c>
      <c r="BW11" s="106">
        <v>18648</v>
      </c>
      <c r="BX11" s="106">
        <v>3</v>
      </c>
      <c r="BY11" s="106">
        <v>1598.3999999999999</v>
      </c>
      <c r="BZ11" s="106">
        <v>3</v>
      </c>
      <c r="CA11" s="106">
        <v>1598.3999999999999</v>
      </c>
      <c r="CB11" s="106">
        <v>3</v>
      </c>
      <c r="CC11" s="106">
        <v>1598.3999999999999</v>
      </c>
      <c r="CD11" s="106">
        <v>5</v>
      </c>
      <c r="CE11" s="106">
        <v>2664</v>
      </c>
      <c r="CF11" s="106">
        <v>27</v>
      </c>
      <c r="CG11" s="106">
        <v>14385.599999999999</v>
      </c>
      <c r="CH11" s="106">
        <v>24</v>
      </c>
      <c r="CI11" s="106">
        <v>12787.199999999999</v>
      </c>
      <c r="CJ11" s="106">
        <v>35</v>
      </c>
      <c r="CK11" s="106">
        <v>18648</v>
      </c>
      <c r="CL11" s="106">
        <v>26</v>
      </c>
      <c r="CM11" s="106">
        <v>13852.8</v>
      </c>
      <c r="CN11" s="106">
        <v>6</v>
      </c>
      <c r="CO11" s="106">
        <v>3196.7999999999997</v>
      </c>
      <c r="CP11" s="106">
        <v>11</v>
      </c>
      <c r="CQ11" s="106">
        <v>5860.7999999999993</v>
      </c>
      <c r="CR11" s="106">
        <v>7</v>
      </c>
      <c r="CS11" s="106">
        <v>3729.5999999999995</v>
      </c>
      <c r="CT11" s="106">
        <v>6</v>
      </c>
      <c r="CU11" s="106">
        <v>3196.7999999999997</v>
      </c>
    </row>
    <row r="12" spans="1:99" x14ac:dyDescent="0.2">
      <c r="C12" s="105" t="s">
        <v>179</v>
      </c>
      <c r="D12" s="106">
        <v>3</v>
      </c>
      <c r="E12" s="106">
        <v>1688.3999999999999</v>
      </c>
      <c r="F12" s="106">
        <v>3</v>
      </c>
      <c r="G12" s="106">
        <v>1688.3999999999999</v>
      </c>
      <c r="H12" s="106">
        <v>3</v>
      </c>
      <c r="I12" s="106">
        <v>1688.3999999999999</v>
      </c>
      <c r="J12" s="106">
        <v>3</v>
      </c>
      <c r="K12" s="106">
        <v>1688.3999999999999</v>
      </c>
      <c r="L12" s="106">
        <v>3</v>
      </c>
      <c r="M12" s="106">
        <v>1688.3999999999999</v>
      </c>
      <c r="N12" s="106">
        <v>3</v>
      </c>
      <c r="O12" s="106">
        <v>1688.3999999999999</v>
      </c>
      <c r="P12" s="106">
        <v>3</v>
      </c>
      <c r="Q12" s="106">
        <v>1688.3999999999999</v>
      </c>
      <c r="R12" s="106">
        <v>3</v>
      </c>
      <c r="S12" s="106">
        <v>1688.3999999999999</v>
      </c>
      <c r="T12" s="106">
        <v>5</v>
      </c>
      <c r="U12" s="106">
        <v>2814</v>
      </c>
      <c r="V12" s="106">
        <v>5</v>
      </c>
      <c r="W12" s="106">
        <v>2814</v>
      </c>
      <c r="X12" s="106">
        <v>6</v>
      </c>
      <c r="Y12" s="106">
        <v>3376.7999999999997</v>
      </c>
      <c r="Z12" s="106">
        <v>7</v>
      </c>
      <c r="AA12" s="106">
        <v>3939.5999999999995</v>
      </c>
      <c r="AB12" s="106">
        <v>21</v>
      </c>
      <c r="AC12" s="106">
        <v>11818.8</v>
      </c>
      <c r="AD12" s="106">
        <v>24</v>
      </c>
      <c r="AE12" s="106">
        <v>13507.199999999999</v>
      </c>
      <c r="AF12" s="106">
        <v>22</v>
      </c>
      <c r="AG12" s="106">
        <v>12381.599999999999</v>
      </c>
      <c r="AH12" s="106">
        <v>25</v>
      </c>
      <c r="AI12" s="106">
        <v>14069.999999999998</v>
      </c>
      <c r="AJ12" s="106">
        <v>4</v>
      </c>
      <c r="AK12" s="106">
        <v>2251.1999999999998</v>
      </c>
      <c r="AL12" s="106">
        <v>2</v>
      </c>
      <c r="AM12" s="106">
        <v>1125.5999999999999</v>
      </c>
      <c r="AN12" s="106">
        <v>4</v>
      </c>
      <c r="AO12" s="106">
        <v>2251.1999999999998</v>
      </c>
      <c r="AP12" s="106">
        <v>5</v>
      </c>
      <c r="AQ12" s="106">
        <v>2814</v>
      </c>
      <c r="AR12" s="106">
        <v>17</v>
      </c>
      <c r="AS12" s="106">
        <v>9567.5999999999985</v>
      </c>
      <c r="AT12" s="106">
        <v>14</v>
      </c>
      <c r="AU12" s="106">
        <v>7879.1999999999989</v>
      </c>
      <c r="AV12" s="106">
        <v>15</v>
      </c>
      <c r="AW12" s="106">
        <v>8442</v>
      </c>
      <c r="AX12" s="106">
        <v>10</v>
      </c>
      <c r="AY12" s="106">
        <v>5628</v>
      </c>
      <c r="AZ12" s="106">
        <v>5</v>
      </c>
      <c r="BA12" s="106">
        <v>2814</v>
      </c>
      <c r="BB12" s="106">
        <v>5</v>
      </c>
      <c r="BC12" s="106">
        <v>2814</v>
      </c>
      <c r="BD12" s="106">
        <v>4</v>
      </c>
      <c r="BE12" s="106">
        <v>2251.1999999999998</v>
      </c>
      <c r="BF12" s="106">
        <v>6</v>
      </c>
      <c r="BG12" s="106">
        <v>3376.7999999999997</v>
      </c>
      <c r="BH12" s="106">
        <v>6</v>
      </c>
      <c r="BI12" s="106">
        <v>3376.7999999999997</v>
      </c>
      <c r="BJ12" s="106">
        <v>6</v>
      </c>
      <c r="BK12" s="106">
        <v>3376.7999999999997</v>
      </c>
      <c r="BL12" s="106">
        <v>6</v>
      </c>
      <c r="BM12" s="106">
        <v>3376.7999999999997</v>
      </c>
      <c r="BN12" s="106">
        <v>6</v>
      </c>
      <c r="BO12" s="106">
        <v>3376.7999999999997</v>
      </c>
      <c r="BP12" s="106">
        <v>46</v>
      </c>
      <c r="BQ12" s="106">
        <v>25888.799999999999</v>
      </c>
      <c r="BR12" s="106">
        <v>38</v>
      </c>
      <c r="BS12" s="106">
        <v>21386.399999999998</v>
      </c>
      <c r="BT12" s="106">
        <v>30</v>
      </c>
      <c r="BU12" s="106">
        <v>16884</v>
      </c>
      <c r="BV12" s="106">
        <v>33</v>
      </c>
      <c r="BW12" s="106">
        <v>18572.399999999998</v>
      </c>
      <c r="BX12" s="106">
        <v>3</v>
      </c>
      <c r="BY12" s="106">
        <v>1688.3999999999999</v>
      </c>
      <c r="BZ12" s="106">
        <v>3</v>
      </c>
      <c r="CA12" s="106">
        <v>1688.3999999999999</v>
      </c>
      <c r="CB12" s="106">
        <v>3</v>
      </c>
      <c r="CC12" s="106">
        <v>1688.3999999999999</v>
      </c>
      <c r="CD12" s="106">
        <v>5</v>
      </c>
      <c r="CE12" s="106">
        <v>2814</v>
      </c>
      <c r="CF12" s="106">
        <v>26</v>
      </c>
      <c r="CG12" s="106">
        <v>14632.8</v>
      </c>
      <c r="CH12" s="106">
        <v>21</v>
      </c>
      <c r="CI12" s="106">
        <v>11818.8</v>
      </c>
      <c r="CJ12" s="106">
        <v>39</v>
      </c>
      <c r="CK12" s="106">
        <v>21949.199999999997</v>
      </c>
      <c r="CL12" s="106">
        <v>27</v>
      </c>
      <c r="CM12" s="106">
        <v>15195.599999999999</v>
      </c>
      <c r="CN12" s="106">
        <v>6</v>
      </c>
      <c r="CO12" s="106">
        <v>3376.7999999999997</v>
      </c>
      <c r="CP12" s="106">
        <v>9</v>
      </c>
      <c r="CQ12" s="106">
        <v>5065.2</v>
      </c>
      <c r="CR12" s="106">
        <v>6</v>
      </c>
      <c r="CS12" s="106">
        <v>3376.7999999999997</v>
      </c>
      <c r="CT12" s="106">
        <v>6</v>
      </c>
      <c r="CU12" s="106">
        <v>3376.7999999999997</v>
      </c>
    </row>
    <row r="13" spans="1:99" x14ac:dyDescent="0.2">
      <c r="C13" s="105" t="s">
        <v>180</v>
      </c>
      <c r="D13" s="106">
        <v>2</v>
      </c>
      <c r="E13" s="106">
        <v>170.4</v>
      </c>
      <c r="F13" s="106">
        <v>3</v>
      </c>
      <c r="G13" s="106">
        <v>255.60000000000002</v>
      </c>
      <c r="H13" s="106">
        <v>3</v>
      </c>
      <c r="I13" s="106">
        <v>255.60000000000002</v>
      </c>
      <c r="J13" s="106">
        <v>3</v>
      </c>
      <c r="K13" s="106">
        <v>255.60000000000002</v>
      </c>
      <c r="L13" s="106">
        <v>3</v>
      </c>
      <c r="M13" s="106">
        <v>255.60000000000002</v>
      </c>
      <c r="N13" s="106">
        <v>3</v>
      </c>
      <c r="O13" s="106">
        <v>255.60000000000002</v>
      </c>
      <c r="P13" s="106">
        <v>3</v>
      </c>
      <c r="Q13" s="106">
        <v>255.60000000000002</v>
      </c>
      <c r="R13" s="106">
        <v>3</v>
      </c>
      <c r="S13" s="106">
        <v>255.60000000000002</v>
      </c>
      <c r="T13" s="106">
        <v>5</v>
      </c>
      <c r="U13" s="106">
        <v>426</v>
      </c>
      <c r="V13" s="106">
        <v>6</v>
      </c>
      <c r="W13" s="106">
        <v>511.20000000000005</v>
      </c>
      <c r="X13" s="106">
        <v>7</v>
      </c>
      <c r="Y13" s="106">
        <v>596.4</v>
      </c>
      <c r="Z13" s="106">
        <v>7</v>
      </c>
      <c r="AA13" s="106">
        <v>596.4</v>
      </c>
      <c r="AB13" s="106">
        <v>23</v>
      </c>
      <c r="AC13" s="106">
        <v>1959.6000000000001</v>
      </c>
      <c r="AD13" s="106">
        <v>30</v>
      </c>
      <c r="AE13" s="106">
        <v>2556</v>
      </c>
      <c r="AF13" s="106">
        <v>25</v>
      </c>
      <c r="AG13" s="106">
        <v>2130</v>
      </c>
      <c r="AH13" s="106">
        <v>29</v>
      </c>
      <c r="AI13" s="106">
        <v>2470.8000000000002</v>
      </c>
      <c r="AJ13" s="106">
        <v>3</v>
      </c>
      <c r="AK13" s="106">
        <v>255.60000000000002</v>
      </c>
      <c r="AL13" s="106">
        <v>3</v>
      </c>
      <c r="AM13" s="106">
        <v>255.60000000000002</v>
      </c>
      <c r="AN13" s="106">
        <v>4</v>
      </c>
      <c r="AO13" s="106">
        <v>340.8</v>
      </c>
      <c r="AP13" s="106">
        <v>4</v>
      </c>
      <c r="AQ13" s="106">
        <v>340.8</v>
      </c>
      <c r="AR13" s="106">
        <v>16</v>
      </c>
      <c r="AS13" s="106">
        <v>1363.2</v>
      </c>
      <c r="AT13" s="106">
        <v>14</v>
      </c>
      <c r="AU13" s="106">
        <v>1192.8</v>
      </c>
      <c r="AV13" s="106">
        <v>16</v>
      </c>
      <c r="AW13" s="106">
        <v>1363.2</v>
      </c>
      <c r="AX13" s="106">
        <v>11</v>
      </c>
      <c r="AY13" s="106">
        <v>937.2</v>
      </c>
      <c r="AZ13" s="106">
        <v>4</v>
      </c>
      <c r="BA13" s="106">
        <v>340.8</v>
      </c>
      <c r="BB13" s="106">
        <v>5</v>
      </c>
      <c r="BC13" s="106">
        <v>426</v>
      </c>
      <c r="BD13" s="106">
        <v>4</v>
      </c>
      <c r="BE13" s="106">
        <v>340.8</v>
      </c>
      <c r="BF13" s="106">
        <v>5</v>
      </c>
      <c r="BG13" s="106">
        <v>426</v>
      </c>
      <c r="BH13" s="106">
        <v>6</v>
      </c>
      <c r="BI13" s="106">
        <v>511.20000000000005</v>
      </c>
      <c r="BJ13" s="106">
        <v>6</v>
      </c>
      <c r="BK13" s="106">
        <v>511.20000000000005</v>
      </c>
      <c r="BL13" s="106">
        <v>6</v>
      </c>
      <c r="BM13" s="106">
        <v>511.20000000000005</v>
      </c>
      <c r="BN13" s="106">
        <v>7</v>
      </c>
      <c r="BO13" s="106">
        <v>596.4</v>
      </c>
      <c r="BP13" s="106">
        <v>49</v>
      </c>
      <c r="BQ13" s="106">
        <v>4174.8</v>
      </c>
      <c r="BR13" s="106">
        <v>36</v>
      </c>
      <c r="BS13" s="106">
        <v>3067.2000000000003</v>
      </c>
      <c r="BT13" s="106">
        <v>31</v>
      </c>
      <c r="BU13" s="106">
        <v>2641.2000000000003</v>
      </c>
      <c r="BV13" s="106">
        <v>42</v>
      </c>
      <c r="BW13" s="106">
        <v>3578.4</v>
      </c>
      <c r="BX13" s="106">
        <v>3</v>
      </c>
      <c r="BY13" s="106">
        <v>255.60000000000002</v>
      </c>
      <c r="BZ13" s="106">
        <v>3</v>
      </c>
      <c r="CA13" s="106">
        <v>255.60000000000002</v>
      </c>
      <c r="CB13" s="106">
        <v>3</v>
      </c>
      <c r="CC13" s="106">
        <v>255.60000000000002</v>
      </c>
      <c r="CD13" s="106">
        <v>5</v>
      </c>
      <c r="CE13" s="106">
        <v>426</v>
      </c>
      <c r="CF13" s="106">
        <v>28</v>
      </c>
      <c r="CG13" s="106">
        <v>2385.6</v>
      </c>
      <c r="CH13" s="106">
        <v>22</v>
      </c>
      <c r="CI13" s="106">
        <v>1874.4</v>
      </c>
      <c r="CJ13" s="106">
        <v>42</v>
      </c>
      <c r="CK13" s="106">
        <v>3578.4</v>
      </c>
      <c r="CL13" s="106">
        <v>33</v>
      </c>
      <c r="CM13" s="106">
        <v>2811.6</v>
      </c>
      <c r="CN13" s="106">
        <v>7</v>
      </c>
      <c r="CO13" s="106">
        <v>596.4</v>
      </c>
      <c r="CP13" s="106">
        <v>10</v>
      </c>
      <c r="CQ13" s="106">
        <v>852</v>
      </c>
      <c r="CR13" s="106">
        <v>8</v>
      </c>
      <c r="CS13" s="106">
        <v>681.6</v>
      </c>
      <c r="CT13" s="106">
        <v>7</v>
      </c>
      <c r="CU13" s="106">
        <v>596.4</v>
      </c>
    </row>
    <row r="14" spans="1:99" x14ac:dyDescent="0.2">
      <c r="C14" s="105" t="s">
        <v>181</v>
      </c>
      <c r="D14" s="106">
        <v>2</v>
      </c>
      <c r="E14" s="106">
        <v>976.8</v>
      </c>
      <c r="F14" s="106">
        <v>3</v>
      </c>
      <c r="G14" s="106">
        <v>1465.1999999999998</v>
      </c>
      <c r="H14" s="106">
        <v>3</v>
      </c>
      <c r="I14" s="106">
        <v>1465.1999999999998</v>
      </c>
      <c r="J14" s="106">
        <v>2</v>
      </c>
      <c r="K14" s="106">
        <v>976.8</v>
      </c>
      <c r="L14" s="106">
        <v>3</v>
      </c>
      <c r="M14" s="106">
        <v>1465.1999999999998</v>
      </c>
      <c r="N14" s="106">
        <v>3</v>
      </c>
      <c r="O14" s="106">
        <v>1465.1999999999998</v>
      </c>
      <c r="P14" s="106">
        <v>3</v>
      </c>
      <c r="Q14" s="106">
        <v>1465.1999999999998</v>
      </c>
      <c r="R14" s="106">
        <v>3</v>
      </c>
      <c r="S14" s="106">
        <v>1465.1999999999998</v>
      </c>
      <c r="T14" s="106">
        <v>5</v>
      </c>
      <c r="U14" s="106">
        <v>2442</v>
      </c>
      <c r="V14" s="106">
        <v>6</v>
      </c>
      <c r="W14" s="106">
        <v>2930.3999999999996</v>
      </c>
      <c r="X14" s="106">
        <v>6</v>
      </c>
      <c r="Y14" s="106">
        <v>2930.3999999999996</v>
      </c>
      <c r="Z14" s="106">
        <v>8</v>
      </c>
      <c r="AA14" s="106">
        <v>3907.2</v>
      </c>
      <c r="AB14" s="106">
        <v>22</v>
      </c>
      <c r="AC14" s="106">
        <v>10744.8</v>
      </c>
      <c r="AD14" s="106">
        <v>26</v>
      </c>
      <c r="AE14" s="106">
        <v>12698.4</v>
      </c>
      <c r="AF14" s="106">
        <v>24</v>
      </c>
      <c r="AG14" s="106">
        <v>11721.599999999999</v>
      </c>
      <c r="AH14" s="106">
        <v>24</v>
      </c>
      <c r="AI14" s="106">
        <v>11721.599999999999</v>
      </c>
      <c r="AJ14" s="106">
        <v>4</v>
      </c>
      <c r="AK14" s="106">
        <v>1953.6</v>
      </c>
      <c r="AL14" s="106">
        <v>3</v>
      </c>
      <c r="AM14" s="106">
        <v>1465.1999999999998</v>
      </c>
      <c r="AN14" s="106">
        <v>4</v>
      </c>
      <c r="AO14" s="106">
        <v>1953.6</v>
      </c>
      <c r="AP14" s="106">
        <v>4</v>
      </c>
      <c r="AQ14" s="106">
        <v>1953.6</v>
      </c>
      <c r="AR14" s="106">
        <v>15</v>
      </c>
      <c r="AS14" s="106">
        <v>7326</v>
      </c>
      <c r="AT14" s="106">
        <v>14</v>
      </c>
      <c r="AU14" s="106">
        <v>6837.5999999999995</v>
      </c>
      <c r="AV14" s="106">
        <v>15</v>
      </c>
      <c r="AW14" s="106">
        <v>7326</v>
      </c>
      <c r="AX14" s="106">
        <v>11</v>
      </c>
      <c r="AY14" s="106">
        <v>5372.4</v>
      </c>
      <c r="AZ14" s="106">
        <v>4</v>
      </c>
      <c r="BA14" s="106">
        <v>1953.6</v>
      </c>
      <c r="BB14" s="106">
        <v>5</v>
      </c>
      <c r="BC14" s="106">
        <v>2442</v>
      </c>
      <c r="BD14" s="106">
        <v>4</v>
      </c>
      <c r="BE14" s="106">
        <v>1953.6</v>
      </c>
      <c r="BF14" s="106">
        <v>6</v>
      </c>
      <c r="BG14" s="106">
        <v>2930.3999999999996</v>
      </c>
      <c r="BH14" s="106">
        <v>6</v>
      </c>
      <c r="BI14" s="106">
        <v>2930.3999999999996</v>
      </c>
      <c r="BJ14" s="106">
        <v>6</v>
      </c>
      <c r="BK14" s="106">
        <v>2930.3999999999996</v>
      </c>
      <c r="BL14" s="106">
        <v>7</v>
      </c>
      <c r="BM14" s="106">
        <v>3418.7999999999997</v>
      </c>
      <c r="BN14" s="106">
        <v>6</v>
      </c>
      <c r="BO14" s="106">
        <v>2930.3999999999996</v>
      </c>
      <c r="BP14" s="106">
        <v>45</v>
      </c>
      <c r="BQ14" s="106">
        <v>21978</v>
      </c>
      <c r="BR14" s="106">
        <v>35</v>
      </c>
      <c r="BS14" s="106">
        <v>17094</v>
      </c>
      <c r="BT14" s="106">
        <v>30</v>
      </c>
      <c r="BU14" s="106">
        <v>14652</v>
      </c>
      <c r="BV14" s="106">
        <v>39</v>
      </c>
      <c r="BW14" s="106">
        <v>19047.599999999999</v>
      </c>
      <c r="BX14" s="106">
        <v>3</v>
      </c>
      <c r="BY14" s="106">
        <v>1465.1999999999998</v>
      </c>
      <c r="BZ14" s="106">
        <v>3</v>
      </c>
      <c r="CA14" s="106">
        <v>1465.1999999999998</v>
      </c>
      <c r="CB14" s="106">
        <v>3</v>
      </c>
      <c r="CC14" s="106">
        <v>1465.1999999999998</v>
      </c>
      <c r="CD14" s="106">
        <v>5</v>
      </c>
      <c r="CE14" s="106">
        <v>2442</v>
      </c>
      <c r="CF14" s="106">
        <v>28</v>
      </c>
      <c r="CG14" s="106">
        <v>13675.199999999999</v>
      </c>
      <c r="CH14" s="106">
        <v>23</v>
      </c>
      <c r="CI14" s="106">
        <v>11233.199999999999</v>
      </c>
      <c r="CJ14" s="106">
        <v>38</v>
      </c>
      <c r="CK14" s="106">
        <v>18559.2</v>
      </c>
      <c r="CL14" s="106">
        <v>31</v>
      </c>
      <c r="CM14" s="106">
        <v>15140.4</v>
      </c>
      <c r="CN14" s="106">
        <v>6</v>
      </c>
      <c r="CO14" s="106">
        <v>2930.3999999999996</v>
      </c>
      <c r="CP14" s="106">
        <v>11</v>
      </c>
      <c r="CQ14" s="106">
        <v>5372.4</v>
      </c>
      <c r="CR14" s="106">
        <v>7</v>
      </c>
      <c r="CS14" s="106">
        <v>3418.7999999999997</v>
      </c>
      <c r="CT14" s="106">
        <v>6</v>
      </c>
      <c r="CU14" s="106">
        <v>2930.3999999999996</v>
      </c>
    </row>
    <row r="15" spans="1:99" x14ac:dyDescent="0.2">
      <c r="C15" s="105" t="s">
        <v>182</v>
      </c>
      <c r="D15" s="106">
        <v>2</v>
      </c>
      <c r="E15" s="106">
        <v>1526.3999999999999</v>
      </c>
      <c r="F15" s="106">
        <v>3</v>
      </c>
      <c r="G15" s="106">
        <v>2289.6</v>
      </c>
      <c r="H15" s="106">
        <v>3</v>
      </c>
      <c r="I15" s="106">
        <v>2289.6</v>
      </c>
      <c r="J15" s="106">
        <v>3</v>
      </c>
      <c r="K15" s="106">
        <v>2289.6</v>
      </c>
      <c r="L15" s="106">
        <v>3</v>
      </c>
      <c r="M15" s="106">
        <v>2289.6</v>
      </c>
      <c r="N15" s="106">
        <v>3</v>
      </c>
      <c r="O15" s="106">
        <v>2289.6</v>
      </c>
      <c r="P15" s="106">
        <v>3</v>
      </c>
      <c r="Q15" s="106">
        <v>2289.6</v>
      </c>
      <c r="R15" s="106">
        <v>3</v>
      </c>
      <c r="S15" s="106">
        <v>2289.6</v>
      </c>
      <c r="T15" s="106">
        <v>5</v>
      </c>
      <c r="U15" s="106">
        <v>3815.9999999999995</v>
      </c>
      <c r="V15" s="106">
        <v>5</v>
      </c>
      <c r="W15" s="106">
        <v>3815.9999999999995</v>
      </c>
      <c r="X15" s="106">
        <v>6</v>
      </c>
      <c r="Y15" s="106">
        <v>4579.2</v>
      </c>
      <c r="Z15" s="106">
        <v>7</v>
      </c>
      <c r="AA15" s="106">
        <v>5342.4</v>
      </c>
      <c r="AB15" s="106">
        <v>18</v>
      </c>
      <c r="AC15" s="106">
        <v>13737.599999999999</v>
      </c>
      <c r="AD15" s="106">
        <v>26</v>
      </c>
      <c r="AE15" s="106">
        <v>19843.199999999997</v>
      </c>
      <c r="AF15" s="106">
        <v>21</v>
      </c>
      <c r="AG15" s="106">
        <v>16027.199999999999</v>
      </c>
      <c r="AH15" s="106">
        <v>25</v>
      </c>
      <c r="AI15" s="106">
        <v>19080</v>
      </c>
      <c r="AJ15" s="106">
        <v>3</v>
      </c>
      <c r="AK15" s="106">
        <v>2289.6</v>
      </c>
      <c r="AL15" s="106">
        <v>2</v>
      </c>
      <c r="AM15" s="106">
        <v>1526.3999999999999</v>
      </c>
      <c r="AN15" s="106">
        <v>4</v>
      </c>
      <c r="AO15" s="106">
        <v>3052.7999999999997</v>
      </c>
      <c r="AP15" s="106">
        <v>5</v>
      </c>
      <c r="AQ15" s="106">
        <v>3815.9999999999995</v>
      </c>
      <c r="AR15" s="106">
        <v>15</v>
      </c>
      <c r="AS15" s="106">
        <v>11447.999999999998</v>
      </c>
      <c r="AT15" s="106">
        <v>14</v>
      </c>
      <c r="AU15" s="106">
        <v>10684.8</v>
      </c>
      <c r="AV15" s="106">
        <v>13</v>
      </c>
      <c r="AW15" s="106">
        <v>9921.5999999999985</v>
      </c>
      <c r="AX15" s="106">
        <v>11</v>
      </c>
      <c r="AY15" s="106">
        <v>8395.1999999999989</v>
      </c>
      <c r="AZ15" s="106">
        <v>4</v>
      </c>
      <c r="BA15" s="106">
        <v>3052.7999999999997</v>
      </c>
      <c r="BB15" s="106">
        <v>5</v>
      </c>
      <c r="BC15" s="106">
        <v>3815.9999999999995</v>
      </c>
      <c r="BD15" s="106">
        <v>4</v>
      </c>
      <c r="BE15" s="106">
        <v>3052.7999999999997</v>
      </c>
      <c r="BF15" s="106">
        <v>6</v>
      </c>
      <c r="BG15" s="106">
        <v>4579.2</v>
      </c>
      <c r="BH15" s="106">
        <v>6</v>
      </c>
      <c r="BI15" s="106">
        <v>4579.2</v>
      </c>
      <c r="BJ15" s="106">
        <v>6</v>
      </c>
      <c r="BK15" s="106">
        <v>4579.2</v>
      </c>
      <c r="BL15" s="106">
        <v>6</v>
      </c>
      <c r="BM15" s="106">
        <v>4579.2</v>
      </c>
      <c r="BN15" s="106">
        <v>6</v>
      </c>
      <c r="BO15" s="106">
        <v>4579.2</v>
      </c>
      <c r="BP15" s="106">
        <v>45</v>
      </c>
      <c r="BQ15" s="106">
        <v>34344</v>
      </c>
      <c r="BR15" s="106">
        <v>36</v>
      </c>
      <c r="BS15" s="106">
        <v>27475.199999999997</v>
      </c>
      <c r="BT15" s="106">
        <v>27</v>
      </c>
      <c r="BU15" s="106">
        <v>20606.399999999998</v>
      </c>
      <c r="BV15" s="106">
        <v>31</v>
      </c>
      <c r="BW15" s="106">
        <v>23659.199999999997</v>
      </c>
      <c r="BX15" s="106">
        <v>3</v>
      </c>
      <c r="BY15" s="106">
        <v>2289.6</v>
      </c>
      <c r="BZ15" s="106">
        <v>3</v>
      </c>
      <c r="CA15" s="106">
        <v>2289.6</v>
      </c>
      <c r="CB15" s="106">
        <v>3</v>
      </c>
      <c r="CC15" s="106">
        <v>2289.6</v>
      </c>
      <c r="CD15" s="106">
        <v>5</v>
      </c>
      <c r="CE15" s="106">
        <v>3815.9999999999995</v>
      </c>
      <c r="CF15" s="106">
        <v>25</v>
      </c>
      <c r="CG15" s="106">
        <v>19080</v>
      </c>
      <c r="CH15" s="106">
        <v>23</v>
      </c>
      <c r="CI15" s="106">
        <v>17553.599999999999</v>
      </c>
      <c r="CJ15" s="106">
        <v>39</v>
      </c>
      <c r="CK15" s="106">
        <v>29764.799999999996</v>
      </c>
      <c r="CL15" s="106">
        <v>27</v>
      </c>
      <c r="CM15" s="106">
        <v>20606.399999999998</v>
      </c>
      <c r="CN15" s="106">
        <v>6</v>
      </c>
      <c r="CO15" s="106">
        <v>4579.2</v>
      </c>
      <c r="CP15" s="106">
        <v>11</v>
      </c>
      <c r="CQ15" s="106">
        <v>8395.1999999999989</v>
      </c>
      <c r="CR15" s="106">
        <v>7</v>
      </c>
      <c r="CS15" s="106">
        <v>5342.4</v>
      </c>
      <c r="CT15" s="106">
        <v>6</v>
      </c>
      <c r="CU15" s="106">
        <v>4579.2</v>
      </c>
    </row>
    <row r="16" spans="1:99" x14ac:dyDescent="0.2">
      <c r="C16" s="105" t="s">
        <v>183</v>
      </c>
      <c r="D16" s="106">
        <v>3</v>
      </c>
      <c r="E16" s="106">
        <v>1022.4000000000001</v>
      </c>
      <c r="F16" s="106">
        <v>3</v>
      </c>
      <c r="G16" s="106">
        <v>1022.4000000000001</v>
      </c>
      <c r="H16" s="106">
        <v>3</v>
      </c>
      <c r="I16" s="106">
        <v>1022.4000000000001</v>
      </c>
      <c r="J16" s="106">
        <v>3</v>
      </c>
      <c r="K16" s="106">
        <v>1022.4000000000001</v>
      </c>
      <c r="L16" s="106">
        <v>3</v>
      </c>
      <c r="M16" s="106">
        <v>1022.4000000000001</v>
      </c>
      <c r="N16" s="106">
        <v>3</v>
      </c>
      <c r="O16" s="106">
        <v>1022.4000000000001</v>
      </c>
      <c r="P16" s="106">
        <v>3</v>
      </c>
      <c r="Q16" s="106">
        <v>1022.4000000000001</v>
      </c>
      <c r="R16" s="106">
        <v>3</v>
      </c>
      <c r="S16" s="106">
        <v>1022.4000000000001</v>
      </c>
      <c r="T16" s="106">
        <v>4</v>
      </c>
      <c r="U16" s="106">
        <v>1363.2</v>
      </c>
      <c r="V16" s="106">
        <v>5</v>
      </c>
      <c r="W16" s="106">
        <v>1704</v>
      </c>
      <c r="X16" s="106">
        <v>6</v>
      </c>
      <c r="Y16" s="106">
        <v>2044.8000000000002</v>
      </c>
      <c r="Z16" s="106">
        <v>8</v>
      </c>
      <c r="AA16" s="106">
        <v>2726.4</v>
      </c>
      <c r="AB16" s="106">
        <v>20</v>
      </c>
      <c r="AC16" s="106">
        <v>6816</v>
      </c>
      <c r="AD16" s="106">
        <v>25</v>
      </c>
      <c r="AE16" s="106">
        <v>8520</v>
      </c>
      <c r="AF16" s="106">
        <v>21</v>
      </c>
      <c r="AG16" s="106">
        <v>7156.8</v>
      </c>
      <c r="AH16" s="106">
        <v>28</v>
      </c>
      <c r="AI16" s="106">
        <v>9542.4</v>
      </c>
      <c r="AJ16" s="106">
        <v>4</v>
      </c>
      <c r="AK16" s="106">
        <v>1363.2</v>
      </c>
      <c r="AL16" s="106">
        <v>3</v>
      </c>
      <c r="AM16" s="106">
        <v>1022.4000000000001</v>
      </c>
      <c r="AN16" s="106">
        <v>5</v>
      </c>
      <c r="AO16" s="106">
        <v>1704</v>
      </c>
      <c r="AP16" s="106">
        <v>4</v>
      </c>
      <c r="AQ16" s="106">
        <v>1363.2</v>
      </c>
      <c r="AR16" s="106">
        <v>15</v>
      </c>
      <c r="AS16" s="106">
        <v>5112</v>
      </c>
      <c r="AT16" s="106">
        <v>15</v>
      </c>
      <c r="AU16" s="106">
        <v>5112</v>
      </c>
      <c r="AV16" s="106">
        <v>15</v>
      </c>
      <c r="AW16" s="106">
        <v>5112</v>
      </c>
      <c r="AX16" s="106">
        <v>10</v>
      </c>
      <c r="AY16" s="106">
        <v>3408</v>
      </c>
      <c r="AZ16" s="106">
        <v>4</v>
      </c>
      <c r="BA16" s="106">
        <v>1363.2</v>
      </c>
      <c r="BB16" s="106">
        <v>5</v>
      </c>
      <c r="BC16" s="106">
        <v>1704</v>
      </c>
      <c r="BD16" s="106">
        <v>4</v>
      </c>
      <c r="BE16" s="106">
        <v>1363.2</v>
      </c>
      <c r="BF16" s="106">
        <v>5</v>
      </c>
      <c r="BG16" s="106">
        <v>1704</v>
      </c>
      <c r="BH16" s="106">
        <v>5</v>
      </c>
      <c r="BI16" s="106">
        <v>1704</v>
      </c>
      <c r="BJ16" s="106">
        <v>6</v>
      </c>
      <c r="BK16" s="106">
        <v>2044.8000000000002</v>
      </c>
      <c r="BL16" s="106">
        <v>7</v>
      </c>
      <c r="BM16" s="106">
        <v>2385.6</v>
      </c>
      <c r="BN16" s="106">
        <v>7</v>
      </c>
      <c r="BO16" s="106">
        <v>2385.6</v>
      </c>
      <c r="BP16" s="106">
        <v>45</v>
      </c>
      <c r="BQ16" s="106">
        <v>15336</v>
      </c>
      <c r="BR16" s="106">
        <v>34</v>
      </c>
      <c r="BS16" s="106">
        <v>11587.2</v>
      </c>
      <c r="BT16" s="106">
        <v>29</v>
      </c>
      <c r="BU16" s="106">
        <v>9883.2000000000007</v>
      </c>
      <c r="BV16" s="106">
        <v>35</v>
      </c>
      <c r="BW16" s="106">
        <v>11928</v>
      </c>
      <c r="BX16" s="106">
        <v>3</v>
      </c>
      <c r="BY16" s="106">
        <v>1022.4000000000001</v>
      </c>
      <c r="BZ16" s="106">
        <v>3</v>
      </c>
      <c r="CA16" s="106">
        <v>1022.4000000000001</v>
      </c>
      <c r="CB16" s="106">
        <v>3</v>
      </c>
      <c r="CC16" s="106">
        <v>1022.4000000000001</v>
      </c>
      <c r="CD16" s="106">
        <v>5</v>
      </c>
      <c r="CE16" s="106">
        <v>1704</v>
      </c>
      <c r="CF16" s="106">
        <v>29</v>
      </c>
      <c r="CG16" s="106">
        <v>9883.2000000000007</v>
      </c>
      <c r="CH16" s="106">
        <v>23</v>
      </c>
      <c r="CI16" s="106">
        <v>7838.4000000000005</v>
      </c>
      <c r="CJ16" s="106">
        <v>42</v>
      </c>
      <c r="CK16" s="106">
        <v>14313.6</v>
      </c>
      <c r="CL16" s="106">
        <v>31</v>
      </c>
      <c r="CM16" s="106">
        <v>10564.800000000001</v>
      </c>
      <c r="CN16" s="106">
        <v>6</v>
      </c>
      <c r="CO16" s="106">
        <v>2044.8000000000002</v>
      </c>
      <c r="CP16" s="106">
        <v>10</v>
      </c>
      <c r="CQ16" s="106">
        <v>3408</v>
      </c>
      <c r="CR16" s="106">
        <v>7</v>
      </c>
      <c r="CS16" s="106">
        <v>2385.6</v>
      </c>
      <c r="CT16" s="106">
        <v>7</v>
      </c>
      <c r="CU16" s="106">
        <v>2385.6</v>
      </c>
    </row>
    <row r="17" spans="2:99" x14ac:dyDescent="0.2">
      <c r="C17" s="105" t="s">
        <v>184</v>
      </c>
      <c r="D17" s="106">
        <v>2</v>
      </c>
      <c r="E17" s="106">
        <v>844.8</v>
      </c>
      <c r="F17" s="106">
        <v>3</v>
      </c>
      <c r="G17" s="106">
        <v>1267.1999999999998</v>
      </c>
      <c r="H17" s="106">
        <v>3</v>
      </c>
      <c r="I17" s="106">
        <v>1267.1999999999998</v>
      </c>
      <c r="J17" s="106">
        <v>3</v>
      </c>
      <c r="K17" s="106">
        <v>1267.1999999999998</v>
      </c>
      <c r="L17" s="106">
        <v>3</v>
      </c>
      <c r="M17" s="106">
        <v>1267.1999999999998</v>
      </c>
      <c r="N17" s="106">
        <v>3</v>
      </c>
      <c r="O17" s="106">
        <v>1267.1999999999998</v>
      </c>
      <c r="P17" s="106">
        <v>3</v>
      </c>
      <c r="Q17" s="106">
        <v>1267.1999999999998</v>
      </c>
      <c r="R17" s="106">
        <v>3</v>
      </c>
      <c r="S17" s="106">
        <v>1267.1999999999998</v>
      </c>
      <c r="T17" s="106">
        <v>5</v>
      </c>
      <c r="U17" s="106">
        <v>2112</v>
      </c>
      <c r="V17" s="106">
        <v>5</v>
      </c>
      <c r="W17" s="106">
        <v>2112</v>
      </c>
      <c r="X17" s="106">
        <v>5</v>
      </c>
      <c r="Y17" s="106">
        <v>2112</v>
      </c>
      <c r="Z17" s="106">
        <v>8</v>
      </c>
      <c r="AA17" s="106">
        <v>3379.2</v>
      </c>
      <c r="AB17" s="106">
        <v>21</v>
      </c>
      <c r="AC17" s="106">
        <v>8870.4</v>
      </c>
      <c r="AD17" s="106">
        <v>29</v>
      </c>
      <c r="AE17" s="106">
        <v>12249.599999999999</v>
      </c>
      <c r="AF17" s="106">
        <v>24</v>
      </c>
      <c r="AG17" s="106">
        <v>10137.599999999999</v>
      </c>
      <c r="AH17" s="106">
        <v>25</v>
      </c>
      <c r="AI17" s="106">
        <v>10560</v>
      </c>
      <c r="AJ17" s="106">
        <v>4</v>
      </c>
      <c r="AK17" s="106">
        <v>1689.6</v>
      </c>
      <c r="AL17" s="106">
        <v>3</v>
      </c>
      <c r="AM17" s="106">
        <v>1267.1999999999998</v>
      </c>
      <c r="AN17" s="106">
        <v>5</v>
      </c>
      <c r="AO17" s="106">
        <v>2112</v>
      </c>
      <c r="AP17" s="106">
        <v>5</v>
      </c>
      <c r="AQ17" s="106">
        <v>2112</v>
      </c>
      <c r="AR17" s="106">
        <v>16</v>
      </c>
      <c r="AS17" s="106">
        <v>6758.4</v>
      </c>
      <c r="AT17" s="106">
        <v>15</v>
      </c>
      <c r="AU17" s="106">
        <v>6336</v>
      </c>
      <c r="AV17" s="106">
        <v>14</v>
      </c>
      <c r="AW17" s="106">
        <v>5913.5999999999995</v>
      </c>
      <c r="AX17" s="106">
        <v>10</v>
      </c>
      <c r="AY17" s="106">
        <v>4224</v>
      </c>
      <c r="AZ17" s="106">
        <v>4</v>
      </c>
      <c r="BA17" s="106">
        <v>1689.6</v>
      </c>
      <c r="BB17" s="106">
        <v>5</v>
      </c>
      <c r="BC17" s="106">
        <v>2112</v>
      </c>
      <c r="BD17" s="106">
        <v>4</v>
      </c>
      <c r="BE17" s="106">
        <v>1689.6</v>
      </c>
      <c r="BF17" s="106">
        <v>5</v>
      </c>
      <c r="BG17" s="106">
        <v>2112</v>
      </c>
      <c r="BH17" s="106">
        <v>5</v>
      </c>
      <c r="BI17" s="106">
        <v>2112</v>
      </c>
      <c r="BJ17" s="106">
        <v>6</v>
      </c>
      <c r="BK17" s="106">
        <v>2534.3999999999996</v>
      </c>
      <c r="BL17" s="106">
        <v>6</v>
      </c>
      <c r="BM17" s="106">
        <v>2534.3999999999996</v>
      </c>
      <c r="BN17" s="106">
        <v>6</v>
      </c>
      <c r="BO17" s="106">
        <v>2534.3999999999996</v>
      </c>
      <c r="BP17" s="106">
        <v>40</v>
      </c>
      <c r="BQ17" s="106">
        <v>16896</v>
      </c>
      <c r="BR17" s="106">
        <v>37</v>
      </c>
      <c r="BS17" s="106">
        <v>15628.8</v>
      </c>
      <c r="BT17" s="106">
        <v>26</v>
      </c>
      <c r="BU17" s="106">
        <v>10982.4</v>
      </c>
      <c r="BV17" s="106">
        <v>40</v>
      </c>
      <c r="BW17" s="106">
        <v>16896</v>
      </c>
      <c r="BX17" s="106">
        <v>3</v>
      </c>
      <c r="BY17" s="106">
        <v>1267.1999999999998</v>
      </c>
      <c r="BZ17" s="106">
        <v>3</v>
      </c>
      <c r="CA17" s="106">
        <v>1267.1999999999998</v>
      </c>
      <c r="CB17" s="106">
        <v>3</v>
      </c>
      <c r="CC17" s="106">
        <v>1267.1999999999998</v>
      </c>
      <c r="CD17" s="106">
        <v>5</v>
      </c>
      <c r="CE17" s="106">
        <v>2112</v>
      </c>
      <c r="CF17" s="106">
        <v>24</v>
      </c>
      <c r="CG17" s="106">
        <v>10137.599999999999</v>
      </c>
      <c r="CH17" s="106">
        <v>22</v>
      </c>
      <c r="CI17" s="106">
        <v>9292.7999999999993</v>
      </c>
      <c r="CJ17" s="106">
        <v>37</v>
      </c>
      <c r="CK17" s="106">
        <v>15628.8</v>
      </c>
      <c r="CL17" s="106">
        <v>28</v>
      </c>
      <c r="CM17" s="106">
        <v>11827.199999999999</v>
      </c>
      <c r="CN17" s="106">
        <v>7</v>
      </c>
      <c r="CO17" s="106">
        <v>2956.7999999999997</v>
      </c>
      <c r="CP17" s="106">
        <v>11</v>
      </c>
      <c r="CQ17" s="106">
        <v>4646.3999999999996</v>
      </c>
      <c r="CR17" s="106">
        <v>7</v>
      </c>
      <c r="CS17" s="106">
        <v>2956.7999999999997</v>
      </c>
      <c r="CT17" s="106">
        <v>7</v>
      </c>
      <c r="CU17" s="106">
        <v>2956.7999999999997</v>
      </c>
    </row>
    <row r="18" spans="2:99" x14ac:dyDescent="0.2">
      <c r="C18" s="105" t="s">
        <v>185</v>
      </c>
      <c r="D18" s="106">
        <v>2</v>
      </c>
      <c r="E18" s="106">
        <v>1305.5999999999999</v>
      </c>
      <c r="F18" s="106">
        <v>3</v>
      </c>
      <c r="G18" s="106">
        <v>1958.3999999999999</v>
      </c>
      <c r="H18" s="106">
        <v>3</v>
      </c>
      <c r="I18" s="106">
        <v>1958.3999999999999</v>
      </c>
      <c r="J18" s="106">
        <v>3</v>
      </c>
      <c r="K18" s="106">
        <v>1958.3999999999999</v>
      </c>
      <c r="L18" s="106">
        <v>3</v>
      </c>
      <c r="M18" s="106">
        <v>1958.3999999999999</v>
      </c>
      <c r="N18" s="106">
        <v>3</v>
      </c>
      <c r="O18" s="106">
        <v>1958.3999999999999</v>
      </c>
      <c r="P18" s="106">
        <v>2</v>
      </c>
      <c r="Q18" s="106">
        <v>1305.5999999999999</v>
      </c>
      <c r="R18" s="106">
        <v>3</v>
      </c>
      <c r="S18" s="106">
        <v>1958.3999999999999</v>
      </c>
      <c r="T18" s="106">
        <v>4</v>
      </c>
      <c r="U18" s="106">
        <v>2611.1999999999998</v>
      </c>
      <c r="V18" s="106">
        <v>6</v>
      </c>
      <c r="W18" s="106">
        <v>3916.7999999999997</v>
      </c>
      <c r="X18" s="106">
        <v>6</v>
      </c>
      <c r="Y18" s="106">
        <v>3916.7999999999997</v>
      </c>
      <c r="Z18" s="106">
        <v>7</v>
      </c>
      <c r="AA18" s="106">
        <v>4569.5999999999995</v>
      </c>
      <c r="AB18" s="106">
        <v>19</v>
      </c>
      <c r="AC18" s="106">
        <v>12403.199999999999</v>
      </c>
      <c r="AD18" s="106">
        <v>24</v>
      </c>
      <c r="AE18" s="106">
        <v>15667.199999999999</v>
      </c>
      <c r="AF18" s="106">
        <v>23</v>
      </c>
      <c r="AG18" s="106">
        <v>15014.4</v>
      </c>
      <c r="AH18" s="106">
        <v>26</v>
      </c>
      <c r="AI18" s="106">
        <v>16972.8</v>
      </c>
      <c r="AJ18" s="106">
        <v>3</v>
      </c>
      <c r="AK18" s="106">
        <v>1958.3999999999999</v>
      </c>
      <c r="AL18" s="106">
        <v>3</v>
      </c>
      <c r="AM18" s="106">
        <v>1958.3999999999999</v>
      </c>
      <c r="AN18" s="106">
        <v>4</v>
      </c>
      <c r="AO18" s="106">
        <v>2611.1999999999998</v>
      </c>
      <c r="AP18" s="106">
        <v>5</v>
      </c>
      <c r="AQ18" s="106">
        <v>3264</v>
      </c>
      <c r="AR18" s="106">
        <v>16</v>
      </c>
      <c r="AS18" s="106">
        <v>10444.799999999999</v>
      </c>
      <c r="AT18" s="106">
        <v>13</v>
      </c>
      <c r="AU18" s="106">
        <v>8486.4</v>
      </c>
      <c r="AV18" s="106">
        <v>13</v>
      </c>
      <c r="AW18" s="106">
        <v>8486.4</v>
      </c>
      <c r="AX18" s="106">
        <v>11</v>
      </c>
      <c r="AY18" s="106">
        <v>7180.7999999999993</v>
      </c>
      <c r="AZ18" s="106">
        <v>4</v>
      </c>
      <c r="BA18" s="106">
        <v>2611.1999999999998</v>
      </c>
      <c r="BB18" s="106">
        <v>5</v>
      </c>
      <c r="BC18" s="106">
        <v>3264</v>
      </c>
      <c r="BD18" s="106">
        <v>4</v>
      </c>
      <c r="BE18" s="106">
        <v>2611.1999999999998</v>
      </c>
      <c r="BF18" s="106">
        <v>6</v>
      </c>
      <c r="BG18" s="106">
        <v>3916.7999999999997</v>
      </c>
      <c r="BH18" s="106">
        <v>6</v>
      </c>
      <c r="BI18" s="106">
        <v>3916.7999999999997</v>
      </c>
      <c r="BJ18" s="106">
        <v>5</v>
      </c>
      <c r="BK18" s="106">
        <v>3264</v>
      </c>
      <c r="BL18" s="106">
        <v>6</v>
      </c>
      <c r="BM18" s="106">
        <v>3916.7999999999997</v>
      </c>
      <c r="BN18" s="106">
        <v>6</v>
      </c>
      <c r="BO18" s="106">
        <v>3916.7999999999997</v>
      </c>
      <c r="BP18" s="106">
        <v>40</v>
      </c>
      <c r="BQ18" s="106">
        <v>26112</v>
      </c>
      <c r="BR18" s="106">
        <v>38</v>
      </c>
      <c r="BS18" s="106">
        <v>24806.399999999998</v>
      </c>
      <c r="BT18" s="106">
        <v>25</v>
      </c>
      <c r="BU18" s="106">
        <v>16319.999999999998</v>
      </c>
      <c r="BV18" s="106">
        <v>35</v>
      </c>
      <c r="BW18" s="106">
        <v>22848</v>
      </c>
      <c r="BX18" s="106">
        <v>3</v>
      </c>
      <c r="BY18" s="106">
        <v>1958.3999999999999</v>
      </c>
      <c r="BZ18" s="106">
        <v>3</v>
      </c>
      <c r="CA18" s="106">
        <v>1958.3999999999999</v>
      </c>
      <c r="CB18" s="106">
        <v>3</v>
      </c>
      <c r="CC18" s="106">
        <v>1958.3999999999999</v>
      </c>
      <c r="CD18" s="106">
        <v>4</v>
      </c>
      <c r="CE18" s="106">
        <v>2611.1999999999998</v>
      </c>
      <c r="CF18" s="106">
        <v>26</v>
      </c>
      <c r="CG18" s="106">
        <v>16972.8</v>
      </c>
      <c r="CH18" s="106">
        <v>20</v>
      </c>
      <c r="CI18" s="106">
        <v>13056</v>
      </c>
      <c r="CJ18" s="106">
        <v>39</v>
      </c>
      <c r="CK18" s="106">
        <v>25459.199999999997</v>
      </c>
      <c r="CL18" s="106">
        <v>28</v>
      </c>
      <c r="CM18" s="106">
        <v>18278.399999999998</v>
      </c>
      <c r="CN18" s="106">
        <v>7</v>
      </c>
      <c r="CO18" s="106">
        <v>4569.5999999999995</v>
      </c>
      <c r="CP18" s="106">
        <v>11</v>
      </c>
      <c r="CQ18" s="106">
        <v>7180.7999999999993</v>
      </c>
      <c r="CR18" s="106">
        <v>6</v>
      </c>
      <c r="CS18" s="106">
        <v>3916.7999999999997</v>
      </c>
      <c r="CT18" s="106">
        <v>6</v>
      </c>
      <c r="CU18" s="106">
        <v>3916.7999999999997</v>
      </c>
    </row>
    <row r="19" spans="2:99" x14ac:dyDescent="0.2">
      <c r="C19" s="105" t="s">
        <v>186</v>
      </c>
      <c r="D19" s="106">
        <v>3</v>
      </c>
      <c r="E19" s="106">
        <v>990</v>
      </c>
      <c r="F19" s="106">
        <v>3</v>
      </c>
      <c r="G19" s="106">
        <v>990</v>
      </c>
      <c r="H19" s="106">
        <v>3</v>
      </c>
      <c r="I19" s="106">
        <v>990</v>
      </c>
      <c r="J19" s="106">
        <v>3</v>
      </c>
      <c r="K19" s="106">
        <v>990</v>
      </c>
      <c r="L19" s="106">
        <v>3</v>
      </c>
      <c r="M19" s="106">
        <v>990</v>
      </c>
      <c r="N19" s="106">
        <v>3</v>
      </c>
      <c r="O19" s="106">
        <v>990</v>
      </c>
      <c r="P19" s="106">
        <v>3</v>
      </c>
      <c r="Q19" s="106">
        <v>990</v>
      </c>
      <c r="R19" s="106">
        <v>3</v>
      </c>
      <c r="S19" s="106">
        <v>990</v>
      </c>
      <c r="T19" s="106">
        <v>5</v>
      </c>
      <c r="U19" s="106">
        <v>1650</v>
      </c>
      <c r="V19" s="106">
        <v>6</v>
      </c>
      <c r="W19" s="106">
        <v>1980</v>
      </c>
      <c r="X19" s="106">
        <v>6</v>
      </c>
      <c r="Y19" s="106">
        <v>1980</v>
      </c>
      <c r="Z19" s="106">
        <v>7</v>
      </c>
      <c r="AA19" s="106">
        <v>2310</v>
      </c>
      <c r="AB19" s="106">
        <v>20</v>
      </c>
      <c r="AC19" s="106">
        <v>6600</v>
      </c>
      <c r="AD19" s="106">
        <v>26</v>
      </c>
      <c r="AE19" s="106">
        <v>8580</v>
      </c>
      <c r="AF19" s="106">
        <v>21</v>
      </c>
      <c r="AG19" s="106">
        <v>6930</v>
      </c>
      <c r="AH19" s="106">
        <v>25</v>
      </c>
      <c r="AI19" s="106">
        <v>8250</v>
      </c>
      <c r="AJ19" s="106">
        <v>4</v>
      </c>
      <c r="AK19" s="106">
        <v>1320</v>
      </c>
      <c r="AL19" s="106">
        <v>3</v>
      </c>
      <c r="AM19" s="106">
        <v>990</v>
      </c>
      <c r="AN19" s="106">
        <v>4</v>
      </c>
      <c r="AO19" s="106">
        <v>1320</v>
      </c>
      <c r="AP19" s="106">
        <v>5</v>
      </c>
      <c r="AQ19" s="106">
        <v>1650</v>
      </c>
      <c r="AR19" s="106">
        <v>14</v>
      </c>
      <c r="AS19" s="106">
        <v>4620</v>
      </c>
      <c r="AT19" s="106">
        <v>13</v>
      </c>
      <c r="AU19" s="106">
        <v>4290</v>
      </c>
      <c r="AV19" s="106">
        <v>13</v>
      </c>
      <c r="AW19" s="106">
        <v>4290</v>
      </c>
      <c r="AX19" s="106">
        <v>11</v>
      </c>
      <c r="AY19" s="106">
        <v>3630</v>
      </c>
      <c r="AZ19" s="106">
        <v>4</v>
      </c>
      <c r="BA19" s="106">
        <v>1320</v>
      </c>
      <c r="BB19" s="106">
        <v>5</v>
      </c>
      <c r="BC19" s="106">
        <v>1650</v>
      </c>
      <c r="BD19" s="106">
        <v>5</v>
      </c>
      <c r="BE19" s="106">
        <v>1650</v>
      </c>
      <c r="BF19" s="106">
        <v>6</v>
      </c>
      <c r="BG19" s="106">
        <v>1980</v>
      </c>
      <c r="BH19" s="106">
        <v>5</v>
      </c>
      <c r="BI19" s="106">
        <v>1650</v>
      </c>
      <c r="BJ19" s="106">
        <v>6</v>
      </c>
      <c r="BK19" s="106">
        <v>1980</v>
      </c>
      <c r="BL19" s="106">
        <v>7</v>
      </c>
      <c r="BM19" s="106">
        <v>2310</v>
      </c>
      <c r="BN19" s="106">
        <v>6</v>
      </c>
      <c r="BO19" s="106">
        <v>1980</v>
      </c>
      <c r="BP19" s="106">
        <v>46</v>
      </c>
      <c r="BQ19" s="106">
        <v>15180</v>
      </c>
      <c r="BR19" s="106">
        <v>41</v>
      </c>
      <c r="BS19" s="106">
        <v>13530</v>
      </c>
      <c r="BT19" s="106">
        <v>30</v>
      </c>
      <c r="BU19" s="106">
        <v>9900</v>
      </c>
      <c r="BV19" s="106">
        <v>39</v>
      </c>
      <c r="BW19" s="106">
        <v>12870</v>
      </c>
      <c r="BX19" s="106">
        <v>3</v>
      </c>
      <c r="BY19" s="106">
        <v>990</v>
      </c>
      <c r="BZ19" s="106">
        <v>3</v>
      </c>
      <c r="CA19" s="106">
        <v>990</v>
      </c>
      <c r="CB19" s="106">
        <v>3</v>
      </c>
      <c r="CC19" s="106">
        <v>990</v>
      </c>
      <c r="CD19" s="106">
        <v>5</v>
      </c>
      <c r="CE19" s="106">
        <v>1650</v>
      </c>
      <c r="CF19" s="106">
        <v>28</v>
      </c>
      <c r="CG19" s="106">
        <v>9240</v>
      </c>
      <c r="CH19" s="106">
        <v>24</v>
      </c>
      <c r="CI19" s="106">
        <v>7920</v>
      </c>
      <c r="CJ19" s="106">
        <v>37</v>
      </c>
      <c r="CK19" s="106">
        <v>12210</v>
      </c>
      <c r="CL19" s="106">
        <v>28</v>
      </c>
      <c r="CM19" s="106">
        <v>9240</v>
      </c>
      <c r="CN19" s="106">
        <v>6</v>
      </c>
      <c r="CO19" s="106">
        <v>1980</v>
      </c>
      <c r="CP19" s="106">
        <v>10</v>
      </c>
      <c r="CQ19" s="106">
        <v>3300</v>
      </c>
      <c r="CR19" s="106">
        <v>7</v>
      </c>
      <c r="CS19" s="106">
        <v>2310</v>
      </c>
      <c r="CT19" s="106">
        <v>7</v>
      </c>
      <c r="CU19" s="106">
        <v>2310</v>
      </c>
    </row>
    <row r="20" spans="2:99" x14ac:dyDescent="0.2">
      <c r="B20" s="105" t="s">
        <v>127</v>
      </c>
      <c r="C20" s="105" t="s">
        <v>187</v>
      </c>
      <c r="D20" s="106">
        <v>2</v>
      </c>
      <c r="E20" s="106">
        <v>573.6</v>
      </c>
      <c r="F20" s="106">
        <v>2</v>
      </c>
      <c r="G20" s="106">
        <v>573.6</v>
      </c>
      <c r="H20" s="106">
        <v>3</v>
      </c>
      <c r="I20" s="106">
        <v>860.40000000000009</v>
      </c>
      <c r="J20" s="106">
        <v>3</v>
      </c>
      <c r="K20" s="106">
        <v>860.40000000000009</v>
      </c>
      <c r="L20" s="106">
        <v>24</v>
      </c>
      <c r="M20" s="106">
        <v>6883.2000000000007</v>
      </c>
      <c r="N20" s="106">
        <v>24</v>
      </c>
      <c r="O20" s="106">
        <v>6883.2000000000007</v>
      </c>
      <c r="P20" s="106">
        <v>24</v>
      </c>
      <c r="Q20" s="106">
        <v>6883.2000000000007</v>
      </c>
      <c r="R20" s="106">
        <v>25</v>
      </c>
      <c r="S20" s="106">
        <v>7170</v>
      </c>
      <c r="T20" s="106">
        <v>5</v>
      </c>
      <c r="U20" s="106">
        <v>1434</v>
      </c>
      <c r="V20" s="106">
        <v>4</v>
      </c>
      <c r="W20" s="106">
        <v>1147.2</v>
      </c>
      <c r="X20" s="106">
        <v>5</v>
      </c>
      <c r="Y20" s="106">
        <v>1434</v>
      </c>
      <c r="Z20" s="106">
        <v>3</v>
      </c>
      <c r="AA20" s="106">
        <v>860.40000000000009</v>
      </c>
      <c r="AB20" s="106">
        <v>3</v>
      </c>
      <c r="AC20" s="106">
        <v>860.40000000000009</v>
      </c>
      <c r="AD20" s="106">
        <v>4</v>
      </c>
      <c r="AE20" s="106">
        <v>1147.2</v>
      </c>
      <c r="AF20" s="106">
        <v>4</v>
      </c>
      <c r="AG20" s="106">
        <v>1147.2</v>
      </c>
      <c r="AH20" s="106">
        <v>3</v>
      </c>
      <c r="AI20" s="106">
        <v>860.40000000000009</v>
      </c>
      <c r="AJ20" s="106">
        <v>15</v>
      </c>
      <c r="AK20" s="106">
        <v>4302</v>
      </c>
      <c r="AL20" s="106">
        <v>14</v>
      </c>
      <c r="AM20" s="106">
        <v>4015.2000000000003</v>
      </c>
      <c r="AN20" s="106">
        <v>9</v>
      </c>
      <c r="AO20" s="106">
        <v>2581.2000000000003</v>
      </c>
      <c r="AP20" s="106">
        <v>9</v>
      </c>
      <c r="AQ20" s="106">
        <v>2581.2000000000003</v>
      </c>
      <c r="AR20" s="106">
        <v>24</v>
      </c>
      <c r="AS20" s="106">
        <v>6883.2000000000007</v>
      </c>
      <c r="AT20" s="106">
        <v>24</v>
      </c>
      <c r="AU20" s="106">
        <v>6883.2000000000007</v>
      </c>
      <c r="AV20" s="106">
        <v>43</v>
      </c>
      <c r="AW20" s="106">
        <v>12332.4</v>
      </c>
      <c r="AX20" s="106">
        <v>28</v>
      </c>
      <c r="AY20" s="106">
        <v>8030.4000000000005</v>
      </c>
      <c r="AZ20" s="106">
        <v>3</v>
      </c>
      <c r="BA20" s="106">
        <v>860.40000000000009</v>
      </c>
      <c r="BB20" s="106">
        <v>3</v>
      </c>
      <c r="BC20" s="106">
        <v>860.40000000000009</v>
      </c>
      <c r="BD20" s="106">
        <v>3</v>
      </c>
      <c r="BE20" s="106">
        <v>860.40000000000009</v>
      </c>
      <c r="BF20" s="106">
        <v>3</v>
      </c>
      <c r="BG20" s="106">
        <v>860.40000000000009</v>
      </c>
      <c r="BH20" s="106">
        <v>9</v>
      </c>
      <c r="BI20" s="106">
        <v>2581.2000000000003</v>
      </c>
      <c r="BJ20" s="106">
        <v>15</v>
      </c>
      <c r="BK20" s="106">
        <v>4302</v>
      </c>
      <c r="BL20" s="106">
        <v>12</v>
      </c>
      <c r="BM20" s="106">
        <v>3441.6000000000004</v>
      </c>
      <c r="BN20" s="106">
        <v>14</v>
      </c>
      <c r="BO20" s="106">
        <v>4015.2000000000003</v>
      </c>
      <c r="BP20" s="106">
        <v>3</v>
      </c>
      <c r="BQ20" s="106">
        <v>860.40000000000009</v>
      </c>
      <c r="BR20" s="106">
        <v>3</v>
      </c>
      <c r="BS20" s="106">
        <v>860.40000000000009</v>
      </c>
      <c r="BT20" s="106">
        <v>2</v>
      </c>
      <c r="BU20" s="106">
        <v>573.6</v>
      </c>
      <c r="BV20" s="106">
        <v>3</v>
      </c>
      <c r="BW20" s="106">
        <v>860.40000000000009</v>
      </c>
      <c r="BX20" s="106">
        <v>24</v>
      </c>
      <c r="BY20" s="106">
        <v>6883.2000000000007</v>
      </c>
      <c r="BZ20" s="106">
        <v>18</v>
      </c>
      <c r="CA20" s="106">
        <v>5162.4000000000005</v>
      </c>
      <c r="CB20" s="106">
        <v>22</v>
      </c>
      <c r="CC20" s="106">
        <v>6309.6</v>
      </c>
      <c r="CD20" s="106">
        <v>24</v>
      </c>
      <c r="CE20" s="106">
        <v>6883.2000000000007</v>
      </c>
      <c r="CF20" s="106">
        <v>30</v>
      </c>
      <c r="CG20" s="106">
        <v>8604</v>
      </c>
      <c r="CH20" s="106">
        <v>29</v>
      </c>
      <c r="CI20" s="106">
        <v>8317.2000000000007</v>
      </c>
      <c r="CJ20" s="106">
        <v>32</v>
      </c>
      <c r="CK20" s="106">
        <v>9177.6</v>
      </c>
      <c r="CL20" s="106">
        <v>21</v>
      </c>
      <c r="CM20" s="106">
        <v>6022.8</v>
      </c>
      <c r="CN20" s="106">
        <v>20</v>
      </c>
      <c r="CO20" s="106">
        <v>5736</v>
      </c>
      <c r="CP20" s="106">
        <v>26</v>
      </c>
      <c r="CQ20" s="106">
        <v>7456.8</v>
      </c>
      <c r="CR20" s="106">
        <v>28</v>
      </c>
      <c r="CS20" s="106">
        <v>8030.4000000000005</v>
      </c>
      <c r="CT20" s="106">
        <v>23</v>
      </c>
      <c r="CU20" s="106">
        <v>6596.4000000000005</v>
      </c>
    </row>
    <row r="21" spans="2:99" x14ac:dyDescent="0.2">
      <c r="C21" s="105" t="s">
        <v>188</v>
      </c>
      <c r="D21" s="106">
        <v>2</v>
      </c>
      <c r="E21" s="106">
        <v>124.8</v>
      </c>
      <c r="F21" s="106">
        <v>2</v>
      </c>
      <c r="G21" s="106">
        <v>124.8</v>
      </c>
      <c r="H21" s="106">
        <v>3</v>
      </c>
      <c r="I21" s="106">
        <v>187.2</v>
      </c>
      <c r="J21" s="106">
        <v>3</v>
      </c>
      <c r="K21" s="106">
        <v>187.2</v>
      </c>
      <c r="L21" s="106">
        <v>25</v>
      </c>
      <c r="M21" s="106">
        <v>1560</v>
      </c>
      <c r="N21" s="106">
        <v>24</v>
      </c>
      <c r="O21" s="106">
        <v>1497.6</v>
      </c>
      <c r="P21" s="106">
        <v>25</v>
      </c>
      <c r="Q21" s="106">
        <v>1560</v>
      </c>
      <c r="R21" s="106">
        <v>22</v>
      </c>
      <c r="S21" s="106">
        <v>1372.8</v>
      </c>
      <c r="T21" s="106">
        <v>5</v>
      </c>
      <c r="U21" s="106">
        <v>312</v>
      </c>
      <c r="V21" s="106">
        <v>3</v>
      </c>
      <c r="W21" s="106">
        <v>187.2</v>
      </c>
      <c r="X21" s="106">
        <v>5</v>
      </c>
      <c r="Y21" s="106">
        <v>312</v>
      </c>
      <c r="Z21" s="106">
        <v>3</v>
      </c>
      <c r="AA21" s="106">
        <v>187.2</v>
      </c>
      <c r="AB21" s="106">
        <v>3</v>
      </c>
      <c r="AC21" s="106">
        <v>187.2</v>
      </c>
      <c r="AD21" s="106">
        <v>4</v>
      </c>
      <c r="AE21" s="106">
        <v>249.6</v>
      </c>
      <c r="AF21" s="106">
        <v>4</v>
      </c>
      <c r="AG21" s="106">
        <v>249.6</v>
      </c>
      <c r="AH21" s="106">
        <v>3</v>
      </c>
      <c r="AI21" s="106">
        <v>187.2</v>
      </c>
      <c r="AJ21" s="106">
        <v>16</v>
      </c>
      <c r="AK21" s="106">
        <v>998.4</v>
      </c>
      <c r="AL21" s="106">
        <v>13</v>
      </c>
      <c r="AM21" s="106">
        <v>811.19999999999993</v>
      </c>
      <c r="AN21" s="106">
        <v>10</v>
      </c>
      <c r="AO21" s="106">
        <v>624</v>
      </c>
      <c r="AP21" s="106">
        <v>10</v>
      </c>
      <c r="AQ21" s="106">
        <v>624</v>
      </c>
      <c r="AR21" s="106">
        <v>24</v>
      </c>
      <c r="AS21" s="106">
        <v>1497.6</v>
      </c>
      <c r="AT21" s="106">
        <v>21</v>
      </c>
      <c r="AU21" s="106">
        <v>1310.3999999999999</v>
      </c>
      <c r="AV21" s="106">
        <v>45</v>
      </c>
      <c r="AW21" s="106">
        <v>2808</v>
      </c>
      <c r="AX21" s="106">
        <v>32</v>
      </c>
      <c r="AY21" s="106">
        <v>1996.8</v>
      </c>
      <c r="AZ21" s="106">
        <v>3</v>
      </c>
      <c r="BA21" s="106">
        <v>187.2</v>
      </c>
      <c r="BB21" s="106">
        <v>3</v>
      </c>
      <c r="BC21" s="106">
        <v>187.2</v>
      </c>
      <c r="BD21" s="106">
        <v>3</v>
      </c>
      <c r="BE21" s="106">
        <v>187.2</v>
      </c>
      <c r="BF21" s="106">
        <v>3</v>
      </c>
      <c r="BG21" s="106">
        <v>187.2</v>
      </c>
      <c r="BH21" s="106">
        <v>9</v>
      </c>
      <c r="BI21" s="106">
        <v>561.6</v>
      </c>
      <c r="BJ21" s="106">
        <v>16</v>
      </c>
      <c r="BK21" s="106">
        <v>998.4</v>
      </c>
      <c r="BL21" s="106">
        <v>14</v>
      </c>
      <c r="BM21" s="106">
        <v>873.6</v>
      </c>
      <c r="BN21" s="106">
        <v>13</v>
      </c>
      <c r="BO21" s="106">
        <v>811.19999999999993</v>
      </c>
      <c r="BP21" s="106">
        <v>3</v>
      </c>
      <c r="BQ21" s="106">
        <v>187.2</v>
      </c>
      <c r="BR21" s="106">
        <v>2</v>
      </c>
      <c r="BS21" s="106">
        <v>124.8</v>
      </c>
      <c r="BT21" s="106">
        <v>2</v>
      </c>
      <c r="BU21" s="106">
        <v>124.8</v>
      </c>
      <c r="BV21" s="106">
        <v>3</v>
      </c>
      <c r="BW21" s="106">
        <v>187.2</v>
      </c>
      <c r="BX21" s="106">
        <v>26</v>
      </c>
      <c r="BY21" s="106">
        <v>1622.3999999999999</v>
      </c>
      <c r="BZ21" s="106">
        <v>17</v>
      </c>
      <c r="CA21" s="106">
        <v>1060.8</v>
      </c>
      <c r="CB21" s="106">
        <v>26</v>
      </c>
      <c r="CC21" s="106">
        <v>1622.3999999999999</v>
      </c>
      <c r="CD21" s="106">
        <v>23</v>
      </c>
      <c r="CE21" s="106">
        <v>1435.2</v>
      </c>
      <c r="CF21" s="106">
        <v>28</v>
      </c>
      <c r="CG21" s="106">
        <v>1747.2</v>
      </c>
      <c r="CH21" s="106">
        <v>29</v>
      </c>
      <c r="CI21" s="106">
        <v>1809.6</v>
      </c>
      <c r="CJ21" s="106">
        <v>30</v>
      </c>
      <c r="CK21" s="106">
        <v>1872</v>
      </c>
      <c r="CL21" s="106">
        <v>19</v>
      </c>
      <c r="CM21" s="106">
        <v>1185.5999999999999</v>
      </c>
      <c r="CN21" s="106">
        <v>19</v>
      </c>
      <c r="CO21" s="106">
        <v>1185.5999999999999</v>
      </c>
      <c r="CP21" s="106">
        <v>29</v>
      </c>
      <c r="CQ21" s="106">
        <v>1809.6</v>
      </c>
      <c r="CR21" s="106">
        <v>26</v>
      </c>
      <c r="CS21" s="106">
        <v>1622.3999999999999</v>
      </c>
      <c r="CT21" s="106">
        <v>24</v>
      </c>
      <c r="CU21" s="106">
        <v>1497.6</v>
      </c>
    </row>
    <row r="22" spans="2:99" x14ac:dyDescent="0.2">
      <c r="C22" s="105" t="s">
        <v>189</v>
      </c>
      <c r="D22" s="106">
        <v>2</v>
      </c>
      <c r="E22" s="106">
        <v>374.4</v>
      </c>
      <c r="F22" s="106">
        <v>2</v>
      </c>
      <c r="G22" s="106">
        <v>374.4</v>
      </c>
      <c r="H22" s="106">
        <v>3</v>
      </c>
      <c r="I22" s="106">
        <v>561.59999999999991</v>
      </c>
      <c r="J22" s="106">
        <v>3</v>
      </c>
      <c r="K22" s="106">
        <v>561.59999999999991</v>
      </c>
      <c r="L22" s="106">
        <v>26</v>
      </c>
      <c r="M22" s="106">
        <v>4867.2</v>
      </c>
      <c r="N22" s="106">
        <v>24</v>
      </c>
      <c r="O22" s="106">
        <v>4492.7999999999993</v>
      </c>
      <c r="P22" s="106">
        <v>21</v>
      </c>
      <c r="Q22" s="106">
        <v>3931.2</v>
      </c>
      <c r="R22" s="106">
        <v>24</v>
      </c>
      <c r="S22" s="106">
        <v>4492.7999999999993</v>
      </c>
      <c r="T22" s="106">
        <v>4</v>
      </c>
      <c r="U22" s="106">
        <v>748.8</v>
      </c>
      <c r="V22" s="106">
        <v>4</v>
      </c>
      <c r="W22" s="106">
        <v>748.8</v>
      </c>
      <c r="X22" s="106">
        <v>4</v>
      </c>
      <c r="Y22" s="106">
        <v>748.8</v>
      </c>
      <c r="Z22" s="106">
        <v>3</v>
      </c>
      <c r="AA22" s="106">
        <v>561.59999999999991</v>
      </c>
      <c r="AB22" s="106">
        <v>3</v>
      </c>
      <c r="AC22" s="106">
        <v>561.59999999999991</v>
      </c>
      <c r="AD22" s="106">
        <v>4</v>
      </c>
      <c r="AE22" s="106">
        <v>748.8</v>
      </c>
      <c r="AF22" s="106">
        <v>4</v>
      </c>
      <c r="AG22" s="106">
        <v>748.8</v>
      </c>
      <c r="AH22" s="106">
        <v>2</v>
      </c>
      <c r="AI22" s="106">
        <v>374.4</v>
      </c>
      <c r="AJ22" s="106">
        <v>15</v>
      </c>
      <c r="AK22" s="106">
        <v>2808</v>
      </c>
      <c r="AL22" s="106">
        <v>15</v>
      </c>
      <c r="AM22" s="106">
        <v>2808</v>
      </c>
      <c r="AN22" s="106">
        <v>10</v>
      </c>
      <c r="AO22" s="106">
        <v>1872</v>
      </c>
      <c r="AP22" s="106">
        <v>10</v>
      </c>
      <c r="AQ22" s="106">
        <v>1872</v>
      </c>
      <c r="AR22" s="106">
        <v>27</v>
      </c>
      <c r="AS22" s="106">
        <v>5054.3999999999996</v>
      </c>
      <c r="AT22" s="106">
        <v>22</v>
      </c>
      <c r="AU22" s="106">
        <v>4118.3999999999996</v>
      </c>
      <c r="AV22" s="106">
        <v>41</v>
      </c>
      <c r="AW22" s="106">
        <v>7675.2</v>
      </c>
      <c r="AX22" s="106">
        <v>28</v>
      </c>
      <c r="AY22" s="106">
        <v>5241.5999999999995</v>
      </c>
      <c r="AZ22" s="106">
        <v>3</v>
      </c>
      <c r="BA22" s="106">
        <v>561.59999999999991</v>
      </c>
      <c r="BB22" s="106">
        <v>3</v>
      </c>
      <c r="BC22" s="106">
        <v>561.59999999999991</v>
      </c>
      <c r="BD22" s="106">
        <v>3</v>
      </c>
      <c r="BE22" s="106">
        <v>561.59999999999991</v>
      </c>
      <c r="BF22" s="106">
        <v>3</v>
      </c>
      <c r="BG22" s="106">
        <v>561.59999999999991</v>
      </c>
      <c r="BH22" s="106">
        <v>9</v>
      </c>
      <c r="BI22" s="106">
        <v>1684.8</v>
      </c>
      <c r="BJ22" s="106">
        <v>15</v>
      </c>
      <c r="BK22" s="106">
        <v>2808</v>
      </c>
      <c r="BL22" s="106">
        <v>12</v>
      </c>
      <c r="BM22" s="106">
        <v>2246.3999999999996</v>
      </c>
      <c r="BN22" s="106">
        <v>14</v>
      </c>
      <c r="BO22" s="106">
        <v>2620.7999999999997</v>
      </c>
      <c r="BP22" s="106">
        <v>3</v>
      </c>
      <c r="BQ22" s="106">
        <v>561.59999999999991</v>
      </c>
      <c r="BR22" s="106">
        <v>2</v>
      </c>
      <c r="BS22" s="106">
        <v>374.4</v>
      </c>
      <c r="BT22" s="106">
        <v>2</v>
      </c>
      <c r="BU22" s="106">
        <v>374.4</v>
      </c>
      <c r="BV22" s="106">
        <v>3</v>
      </c>
      <c r="BW22" s="106">
        <v>561.59999999999991</v>
      </c>
      <c r="BX22" s="106">
        <v>25</v>
      </c>
      <c r="BY22" s="106">
        <v>4680</v>
      </c>
      <c r="BZ22" s="106">
        <v>19</v>
      </c>
      <c r="CA22" s="106">
        <v>3556.7999999999997</v>
      </c>
      <c r="CB22" s="106">
        <v>22</v>
      </c>
      <c r="CC22" s="106">
        <v>4118.3999999999996</v>
      </c>
      <c r="CD22" s="106">
        <v>22</v>
      </c>
      <c r="CE22" s="106">
        <v>4118.3999999999996</v>
      </c>
      <c r="CF22" s="106">
        <v>33</v>
      </c>
      <c r="CG22" s="106">
        <v>6177.5999999999995</v>
      </c>
      <c r="CH22" s="106">
        <v>26</v>
      </c>
      <c r="CI22" s="106">
        <v>4867.2</v>
      </c>
      <c r="CJ22" s="106">
        <v>27</v>
      </c>
      <c r="CK22" s="106">
        <v>5054.3999999999996</v>
      </c>
      <c r="CL22" s="106">
        <v>21</v>
      </c>
      <c r="CM22" s="106">
        <v>3931.2</v>
      </c>
      <c r="CN22" s="106">
        <v>18</v>
      </c>
      <c r="CO22" s="106">
        <v>3369.6</v>
      </c>
      <c r="CP22" s="106">
        <v>25</v>
      </c>
      <c r="CQ22" s="106">
        <v>4680</v>
      </c>
      <c r="CR22" s="106">
        <v>29</v>
      </c>
      <c r="CS22" s="106">
        <v>5428.7999999999993</v>
      </c>
      <c r="CT22" s="106">
        <v>24</v>
      </c>
      <c r="CU22" s="106">
        <v>4492.7999999999993</v>
      </c>
    </row>
    <row r="23" spans="2:99" x14ac:dyDescent="0.2">
      <c r="C23" s="105" t="s">
        <v>190</v>
      </c>
      <c r="D23" s="106">
        <v>2</v>
      </c>
      <c r="E23" s="106">
        <v>588</v>
      </c>
      <c r="F23" s="106">
        <v>2</v>
      </c>
      <c r="G23" s="106">
        <v>588</v>
      </c>
      <c r="H23" s="106">
        <v>3</v>
      </c>
      <c r="I23" s="106">
        <v>882</v>
      </c>
      <c r="J23" s="106">
        <v>2</v>
      </c>
      <c r="K23" s="106">
        <v>588</v>
      </c>
      <c r="L23" s="106">
        <v>24</v>
      </c>
      <c r="M23" s="106">
        <v>7056</v>
      </c>
      <c r="N23" s="106">
        <v>26</v>
      </c>
      <c r="O23" s="106">
        <v>7644</v>
      </c>
      <c r="P23" s="106">
        <v>20</v>
      </c>
      <c r="Q23" s="106">
        <v>5880</v>
      </c>
      <c r="R23" s="106">
        <v>22</v>
      </c>
      <c r="S23" s="106">
        <v>6468</v>
      </c>
      <c r="T23" s="106">
        <v>4</v>
      </c>
      <c r="U23" s="106">
        <v>1176</v>
      </c>
      <c r="V23" s="106">
        <v>3</v>
      </c>
      <c r="W23" s="106">
        <v>882</v>
      </c>
      <c r="X23" s="106">
        <v>4</v>
      </c>
      <c r="Y23" s="106">
        <v>1176</v>
      </c>
      <c r="Z23" s="106">
        <v>3</v>
      </c>
      <c r="AA23" s="106">
        <v>882</v>
      </c>
      <c r="AB23" s="106">
        <v>3</v>
      </c>
      <c r="AC23" s="106">
        <v>882</v>
      </c>
      <c r="AD23" s="106">
        <v>4</v>
      </c>
      <c r="AE23" s="106">
        <v>1176</v>
      </c>
      <c r="AF23" s="106">
        <v>3</v>
      </c>
      <c r="AG23" s="106">
        <v>882</v>
      </c>
      <c r="AH23" s="106">
        <v>3</v>
      </c>
      <c r="AI23" s="106">
        <v>882</v>
      </c>
      <c r="AJ23" s="106">
        <v>16</v>
      </c>
      <c r="AK23" s="106">
        <v>4704</v>
      </c>
      <c r="AL23" s="106">
        <v>14</v>
      </c>
      <c r="AM23" s="106">
        <v>4116</v>
      </c>
      <c r="AN23" s="106">
        <v>10</v>
      </c>
      <c r="AO23" s="106">
        <v>2940</v>
      </c>
      <c r="AP23" s="106">
        <v>9</v>
      </c>
      <c r="AQ23" s="106">
        <v>2646</v>
      </c>
      <c r="AR23" s="106">
        <v>23</v>
      </c>
      <c r="AS23" s="106">
        <v>6762</v>
      </c>
      <c r="AT23" s="106">
        <v>22</v>
      </c>
      <c r="AU23" s="106">
        <v>6468</v>
      </c>
      <c r="AV23" s="106">
        <v>41</v>
      </c>
      <c r="AW23" s="106">
        <v>12054</v>
      </c>
      <c r="AX23" s="106">
        <v>30</v>
      </c>
      <c r="AY23" s="106">
        <v>8820</v>
      </c>
      <c r="AZ23" s="106">
        <v>3</v>
      </c>
      <c r="BA23" s="106">
        <v>882</v>
      </c>
      <c r="BB23" s="106">
        <v>3</v>
      </c>
      <c r="BC23" s="106">
        <v>882</v>
      </c>
      <c r="BD23" s="106">
        <v>3</v>
      </c>
      <c r="BE23" s="106">
        <v>882</v>
      </c>
      <c r="BF23" s="106">
        <v>3</v>
      </c>
      <c r="BG23" s="106">
        <v>882</v>
      </c>
      <c r="BH23" s="106">
        <v>9</v>
      </c>
      <c r="BI23" s="106">
        <v>2646</v>
      </c>
      <c r="BJ23" s="106">
        <v>13</v>
      </c>
      <c r="BK23" s="106">
        <v>3822</v>
      </c>
      <c r="BL23" s="106">
        <v>13</v>
      </c>
      <c r="BM23" s="106">
        <v>3822</v>
      </c>
      <c r="BN23" s="106">
        <v>15</v>
      </c>
      <c r="BO23" s="106">
        <v>4410</v>
      </c>
      <c r="BP23" s="106">
        <v>3</v>
      </c>
      <c r="BQ23" s="106">
        <v>882</v>
      </c>
      <c r="BR23" s="106">
        <v>2</v>
      </c>
      <c r="BS23" s="106">
        <v>588</v>
      </c>
      <c r="BT23" s="106">
        <v>2</v>
      </c>
      <c r="BU23" s="106">
        <v>588</v>
      </c>
      <c r="BV23" s="106">
        <v>3</v>
      </c>
      <c r="BW23" s="106">
        <v>882</v>
      </c>
      <c r="BX23" s="106">
        <v>24</v>
      </c>
      <c r="BY23" s="106">
        <v>7056</v>
      </c>
      <c r="BZ23" s="106">
        <v>17</v>
      </c>
      <c r="CA23" s="106">
        <v>4998</v>
      </c>
      <c r="CB23" s="106">
        <v>24</v>
      </c>
      <c r="CC23" s="106">
        <v>7056</v>
      </c>
      <c r="CD23" s="106">
        <v>21</v>
      </c>
      <c r="CE23" s="106">
        <v>6174</v>
      </c>
      <c r="CF23" s="106">
        <v>27</v>
      </c>
      <c r="CG23" s="106">
        <v>7938</v>
      </c>
      <c r="CH23" s="106">
        <v>27</v>
      </c>
      <c r="CI23" s="106">
        <v>7938</v>
      </c>
      <c r="CJ23" s="106">
        <v>27</v>
      </c>
      <c r="CK23" s="106">
        <v>7938</v>
      </c>
      <c r="CL23" s="106">
        <v>22</v>
      </c>
      <c r="CM23" s="106">
        <v>6468</v>
      </c>
      <c r="CN23" s="106">
        <v>18</v>
      </c>
      <c r="CO23" s="106">
        <v>5292</v>
      </c>
      <c r="CP23" s="106">
        <v>25</v>
      </c>
      <c r="CQ23" s="106">
        <v>7350</v>
      </c>
      <c r="CR23" s="106">
        <v>29</v>
      </c>
      <c r="CS23" s="106">
        <v>8526</v>
      </c>
      <c r="CT23" s="106">
        <v>22</v>
      </c>
      <c r="CU23" s="106">
        <v>6468</v>
      </c>
    </row>
    <row r="24" spans="2:99" x14ac:dyDescent="0.2">
      <c r="C24" s="105" t="s">
        <v>191</v>
      </c>
      <c r="D24" s="106">
        <v>2</v>
      </c>
      <c r="E24" s="106">
        <v>734.4</v>
      </c>
      <c r="F24" s="106">
        <v>2</v>
      </c>
      <c r="G24" s="106">
        <v>734.4</v>
      </c>
      <c r="H24" s="106">
        <v>4</v>
      </c>
      <c r="I24" s="106">
        <v>1468.8</v>
      </c>
      <c r="J24" s="106">
        <v>3</v>
      </c>
      <c r="K24" s="106">
        <v>1101.5999999999999</v>
      </c>
      <c r="L24" s="106">
        <v>23</v>
      </c>
      <c r="M24" s="106">
        <v>8445.6</v>
      </c>
      <c r="N24" s="106">
        <v>24</v>
      </c>
      <c r="O24" s="106">
        <v>8812.7999999999993</v>
      </c>
      <c r="P24" s="106">
        <v>24</v>
      </c>
      <c r="Q24" s="106">
        <v>8812.7999999999993</v>
      </c>
      <c r="R24" s="106">
        <v>20</v>
      </c>
      <c r="S24" s="106">
        <v>7344</v>
      </c>
      <c r="T24" s="106">
        <v>5</v>
      </c>
      <c r="U24" s="106">
        <v>1836</v>
      </c>
      <c r="V24" s="106">
        <v>3</v>
      </c>
      <c r="W24" s="106">
        <v>1101.5999999999999</v>
      </c>
      <c r="X24" s="106">
        <v>5</v>
      </c>
      <c r="Y24" s="106">
        <v>1836</v>
      </c>
      <c r="Z24" s="106">
        <v>3</v>
      </c>
      <c r="AA24" s="106">
        <v>1101.5999999999999</v>
      </c>
      <c r="AB24" s="106">
        <v>4</v>
      </c>
      <c r="AC24" s="106">
        <v>1468.8</v>
      </c>
      <c r="AD24" s="106">
        <v>4</v>
      </c>
      <c r="AE24" s="106">
        <v>1468.8</v>
      </c>
      <c r="AF24" s="106">
        <v>3</v>
      </c>
      <c r="AG24" s="106">
        <v>1101.5999999999999</v>
      </c>
      <c r="AH24" s="106">
        <v>3</v>
      </c>
      <c r="AI24" s="106">
        <v>1101.5999999999999</v>
      </c>
      <c r="AJ24" s="106">
        <v>16</v>
      </c>
      <c r="AK24" s="106">
        <v>5875.2</v>
      </c>
      <c r="AL24" s="106">
        <v>14</v>
      </c>
      <c r="AM24" s="106">
        <v>5140.8</v>
      </c>
      <c r="AN24" s="106">
        <v>9</v>
      </c>
      <c r="AO24" s="106">
        <v>3304.7999999999997</v>
      </c>
      <c r="AP24" s="106">
        <v>9</v>
      </c>
      <c r="AQ24" s="106">
        <v>3304.7999999999997</v>
      </c>
      <c r="AR24" s="106">
        <v>26</v>
      </c>
      <c r="AS24" s="106">
        <v>9547.1999999999989</v>
      </c>
      <c r="AT24" s="106">
        <v>21</v>
      </c>
      <c r="AU24" s="106">
        <v>7711.2</v>
      </c>
      <c r="AV24" s="106">
        <v>42</v>
      </c>
      <c r="AW24" s="106">
        <v>15422.4</v>
      </c>
      <c r="AX24" s="106">
        <v>31</v>
      </c>
      <c r="AY24" s="106">
        <v>11383.199999999999</v>
      </c>
      <c r="AZ24" s="106">
        <v>4</v>
      </c>
      <c r="BA24" s="106">
        <v>1468.8</v>
      </c>
      <c r="BB24" s="106">
        <v>3</v>
      </c>
      <c r="BC24" s="106">
        <v>1101.5999999999999</v>
      </c>
      <c r="BD24" s="106">
        <v>3</v>
      </c>
      <c r="BE24" s="106">
        <v>1101.5999999999999</v>
      </c>
      <c r="BF24" s="106">
        <v>3</v>
      </c>
      <c r="BG24" s="106">
        <v>1101.5999999999999</v>
      </c>
      <c r="BH24" s="106">
        <v>9</v>
      </c>
      <c r="BI24" s="106">
        <v>3304.7999999999997</v>
      </c>
      <c r="BJ24" s="106">
        <v>13</v>
      </c>
      <c r="BK24" s="106">
        <v>4773.5999999999995</v>
      </c>
      <c r="BL24" s="106">
        <v>13</v>
      </c>
      <c r="BM24" s="106">
        <v>4773.5999999999995</v>
      </c>
      <c r="BN24" s="106">
        <v>14</v>
      </c>
      <c r="BO24" s="106">
        <v>5140.8</v>
      </c>
      <c r="BP24" s="106">
        <v>3</v>
      </c>
      <c r="BQ24" s="106">
        <v>1101.5999999999999</v>
      </c>
      <c r="BR24" s="106">
        <v>3</v>
      </c>
      <c r="BS24" s="106">
        <v>1101.5999999999999</v>
      </c>
      <c r="BT24" s="106">
        <v>2</v>
      </c>
      <c r="BU24" s="106">
        <v>734.4</v>
      </c>
      <c r="BV24" s="106">
        <v>3</v>
      </c>
      <c r="BW24" s="106">
        <v>1101.5999999999999</v>
      </c>
      <c r="BX24" s="106">
        <v>22</v>
      </c>
      <c r="BY24" s="106">
        <v>8078.4</v>
      </c>
      <c r="BZ24" s="106">
        <v>18</v>
      </c>
      <c r="CA24" s="106">
        <v>6609.5999999999995</v>
      </c>
      <c r="CB24" s="106">
        <v>23</v>
      </c>
      <c r="CC24" s="106">
        <v>8445.6</v>
      </c>
      <c r="CD24" s="106">
        <v>24</v>
      </c>
      <c r="CE24" s="106">
        <v>8812.7999999999993</v>
      </c>
      <c r="CF24" s="106">
        <v>27</v>
      </c>
      <c r="CG24" s="106">
        <v>9914.4</v>
      </c>
      <c r="CH24" s="106">
        <v>28</v>
      </c>
      <c r="CI24" s="106">
        <v>10281.6</v>
      </c>
      <c r="CJ24" s="106">
        <v>30</v>
      </c>
      <c r="CK24" s="106">
        <v>11016</v>
      </c>
      <c r="CL24" s="106">
        <v>20</v>
      </c>
      <c r="CM24" s="106">
        <v>7344</v>
      </c>
      <c r="CN24" s="106">
        <v>18</v>
      </c>
      <c r="CO24" s="106">
        <v>6609.5999999999995</v>
      </c>
      <c r="CP24" s="106">
        <v>24</v>
      </c>
      <c r="CQ24" s="106">
        <v>8812.7999999999993</v>
      </c>
      <c r="CR24" s="106">
        <v>25</v>
      </c>
      <c r="CS24" s="106">
        <v>9180</v>
      </c>
      <c r="CT24" s="106">
        <v>22</v>
      </c>
      <c r="CU24" s="106">
        <v>8078.4</v>
      </c>
    </row>
    <row r="25" spans="2:99" x14ac:dyDescent="0.2">
      <c r="C25" s="105" t="s">
        <v>192</v>
      </c>
      <c r="D25" s="106">
        <v>2</v>
      </c>
      <c r="E25" s="106">
        <v>1060.8</v>
      </c>
      <c r="F25" s="106">
        <v>2</v>
      </c>
      <c r="G25" s="106">
        <v>1060.8</v>
      </c>
      <c r="H25" s="106">
        <v>3</v>
      </c>
      <c r="I25" s="106">
        <v>1591.1999999999998</v>
      </c>
      <c r="J25" s="106">
        <v>3</v>
      </c>
      <c r="K25" s="106">
        <v>1591.1999999999998</v>
      </c>
      <c r="L25" s="106">
        <v>26</v>
      </c>
      <c r="M25" s="106">
        <v>13790.4</v>
      </c>
      <c r="N25" s="106">
        <v>24</v>
      </c>
      <c r="O25" s="106">
        <v>12729.599999999999</v>
      </c>
      <c r="P25" s="106">
        <v>19</v>
      </c>
      <c r="Q25" s="106">
        <v>10077.6</v>
      </c>
      <c r="R25" s="106">
        <v>21</v>
      </c>
      <c r="S25" s="106">
        <v>11138.4</v>
      </c>
      <c r="T25" s="106">
        <v>5</v>
      </c>
      <c r="U25" s="106">
        <v>2652</v>
      </c>
      <c r="V25" s="106">
        <v>3</v>
      </c>
      <c r="W25" s="106">
        <v>1591.1999999999998</v>
      </c>
      <c r="X25" s="106">
        <v>4</v>
      </c>
      <c r="Y25" s="106">
        <v>2121.6</v>
      </c>
      <c r="Z25" s="106">
        <v>3</v>
      </c>
      <c r="AA25" s="106">
        <v>1591.1999999999998</v>
      </c>
      <c r="AB25" s="106">
        <v>3</v>
      </c>
      <c r="AC25" s="106">
        <v>1591.1999999999998</v>
      </c>
      <c r="AD25" s="106">
        <v>4</v>
      </c>
      <c r="AE25" s="106">
        <v>2121.6</v>
      </c>
      <c r="AF25" s="106">
        <v>3</v>
      </c>
      <c r="AG25" s="106">
        <v>1591.1999999999998</v>
      </c>
      <c r="AH25" s="106">
        <v>2</v>
      </c>
      <c r="AI25" s="106">
        <v>1060.8</v>
      </c>
      <c r="AJ25" s="106">
        <v>13</v>
      </c>
      <c r="AK25" s="106">
        <v>6895.2</v>
      </c>
      <c r="AL25" s="106">
        <v>14</v>
      </c>
      <c r="AM25" s="106">
        <v>7425.5999999999995</v>
      </c>
      <c r="AN25" s="106">
        <v>8</v>
      </c>
      <c r="AO25" s="106">
        <v>4243.2</v>
      </c>
      <c r="AP25" s="106">
        <v>10</v>
      </c>
      <c r="AQ25" s="106">
        <v>5304</v>
      </c>
      <c r="AR25" s="106">
        <v>24</v>
      </c>
      <c r="AS25" s="106">
        <v>12729.599999999999</v>
      </c>
      <c r="AT25" s="106">
        <v>20</v>
      </c>
      <c r="AU25" s="106">
        <v>10608</v>
      </c>
      <c r="AV25" s="106">
        <v>36</v>
      </c>
      <c r="AW25" s="106">
        <v>19094.399999999998</v>
      </c>
      <c r="AX25" s="106">
        <v>30</v>
      </c>
      <c r="AY25" s="106">
        <v>15912</v>
      </c>
      <c r="AZ25" s="106">
        <v>3</v>
      </c>
      <c r="BA25" s="106">
        <v>1591.1999999999998</v>
      </c>
      <c r="BB25" s="106">
        <v>3</v>
      </c>
      <c r="BC25" s="106">
        <v>1591.1999999999998</v>
      </c>
      <c r="BD25" s="106">
        <v>3</v>
      </c>
      <c r="BE25" s="106">
        <v>1591.1999999999998</v>
      </c>
      <c r="BF25" s="106">
        <v>4</v>
      </c>
      <c r="BG25" s="106">
        <v>2121.6</v>
      </c>
      <c r="BH25" s="106">
        <v>8</v>
      </c>
      <c r="BI25" s="106">
        <v>4243.2</v>
      </c>
      <c r="BJ25" s="106">
        <v>13</v>
      </c>
      <c r="BK25" s="106">
        <v>6895.2</v>
      </c>
      <c r="BL25" s="106">
        <v>12</v>
      </c>
      <c r="BM25" s="106">
        <v>6364.7999999999993</v>
      </c>
      <c r="BN25" s="106">
        <v>13</v>
      </c>
      <c r="BO25" s="106">
        <v>6895.2</v>
      </c>
      <c r="BP25" s="106">
        <v>2</v>
      </c>
      <c r="BQ25" s="106">
        <v>1060.8</v>
      </c>
      <c r="BR25" s="106">
        <v>3</v>
      </c>
      <c r="BS25" s="106">
        <v>1591.1999999999998</v>
      </c>
      <c r="BT25" s="106">
        <v>2</v>
      </c>
      <c r="BU25" s="106">
        <v>1060.8</v>
      </c>
      <c r="BV25" s="106">
        <v>3</v>
      </c>
      <c r="BW25" s="106">
        <v>1591.1999999999998</v>
      </c>
      <c r="BX25" s="106">
        <v>23</v>
      </c>
      <c r="BY25" s="106">
        <v>12199.199999999999</v>
      </c>
      <c r="BZ25" s="106">
        <v>16</v>
      </c>
      <c r="CA25" s="106">
        <v>8486.4</v>
      </c>
      <c r="CB25" s="106">
        <v>21</v>
      </c>
      <c r="CC25" s="106">
        <v>11138.4</v>
      </c>
      <c r="CD25" s="106">
        <v>23</v>
      </c>
      <c r="CE25" s="106">
        <v>12199.199999999999</v>
      </c>
      <c r="CF25" s="106">
        <v>29</v>
      </c>
      <c r="CG25" s="106">
        <v>15381.599999999999</v>
      </c>
      <c r="CH25" s="106">
        <v>26</v>
      </c>
      <c r="CI25" s="106">
        <v>13790.4</v>
      </c>
      <c r="CJ25" s="106">
        <v>28</v>
      </c>
      <c r="CK25" s="106">
        <v>14851.199999999999</v>
      </c>
      <c r="CL25" s="106">
        <v>20</v>
      </c>
      <c r="CM25" s="106">
        <v>10608</v>
      </c>
      <c r="CN25" s="106">
        <v>19</v>
      </c>
      <c r="CO25" s="106">
        <v>10077.6</v>
      </c>
      <c r="CP25" s="106">
        <v>26</v>
      </c>
      <c r="CQ25" s="106">
        <v>13790.4</v>
      </c>
      <c r="CR25" s="106">
        <v>23</v>
      </c>
      <c r="CS25" s="106">
        <v>12199.199999999999</v>
      </c>
      <c r="CT25" s="106">
        <v>22</v>
      </c>
      <c r="CU25" s="106">
        <v>11668.8</v>
      </c>
    </row>
    <row r="26" spans="2:99" x14ac:dyDescent="0.2">
      <c r="C26" s="105" t="s">
        <v>193</v>
      </c>
      <c r="D26" s="106">
        <v>2</v>
      </c>
      <c r="E26" s="106">
        <v>972</v>
      </c>
      <c r="F26" s="106">
        <v>2</v>
      </c>
      <c r="G26" s="106">
        <v>972</v>
      </c>
      <c r="H26" s="106">
        <v>4</v>
      </c>
      <c r="I26" s="106">
        <v>1944</v>
      </c>
      <c r="J26" s="106">
        <v>3</v>
      </c>
      <c r="K26" s="106">
        <v>1458</v>
      </c>
      <c r="L26" s="106">
        <v>24</v>
      </c>
      <c r="M26" s="106">
        <v>11664</v>
      </c>
      <c r="N26" s="106">
        <v>25</v>
      </c>
      <c r="O26" s="106">
        <v>12150</v>
      </c>
      <c r="P26" s="106">
        <v>23</v>
      </c>
      <c r="Q26" s="106">
        <v>11178</v>
      </c>
      <c r="R26" s="106">
        <v>22</v>
      </c>
      <c r="S26" s="106">
        <v>10692</v>
      </c>
      <c r="T26" s="106">
        <v>4</v>
      </c>
      <c r="U26" s="106">
        <v>1944</v>
      </c>
      <c r="V26" s="106">
        <v>4</v>
      </c>
      <c r="W26" s="106">
        <v>1944</v>
      </c>
      <c r="X26" s="106">
        <v>4</v>
      </c>
      <c r="Y26" s="106">
        <v>1944</v>
      </c>
      <c r="Z26" s="106">
        <v>3</v>
      </c>
      <c r="AA26" s="106">
        <v>1458</v>
      </c>
      <c r="AB26" s="106">
        <v>3</v>
      </c>
      <c r="AC26" s="106">
        <v>1458</v>
      </c>
      <c r="AD26" s="106">
        <v>4</v>
      </c>
      <c r="AE26" s="106">
        <v>1944</v>
      </c>
      <c r="AF26" s="106">
        <v>3</v>
      </c>
      <c r="AG26" s="106">
        <v>1458</v>
      </c>
      <c r="AH26" s="106">
        <v>2</v>
      </c>
      <c r="AI26" s="106">
        <v>972</v>
      </c>
      <c r="AJ26" s="106">
        <v>13</v>
      </c>
      <c r="AK26" s="106">
        <v>6318</v>
      </c>
      <c r="AL26" s="106">
        <v>15</v>
      </c>
      <c r="AM26" s="106">
        <v>7290</v>
      </c>
      <c r="AN26" s="106">
        <v>9</v>
      </c>
      <c r="AO26" s="106">
        <v>4374</v>
      </c>
      <c r="AP26" s="106">
        <v>9</v>
      </c>
      <c r="AQ26" s="106">
        <v>4374</v>
      </c>
      <c r="AR26" s="106">
        <v>27</v>
      </c>
      <c r="AS26" s="106">
        <v>13122</v>
      </c>
      <c r="AT26" s="106">
        <v>22</v>
      </c>
      <c r="AU26" s="106">
        <v>10692</v>
      </c>
      <c r="AV26" s="106">
        <v>35</v>
      </c>
      <c r="AW26" s="106">
        <v>17010</v>
      </c>
      <c r="AX26" s="106">
        <v>26</v>
      </c>
      <c r="AY26" s="106">
        <v>12636</v>
      </c>
      <c r="AZ26" s="106">
        <v>3</v>
      </c>
      <c r="BA26" s="106">
        <v>1458</v>
      </c>
      <c r="BB26" s="106">
        <v>3</v>
      </c>
      <c r="BC26" s="106">
        <v>1458</v>
      </c>
      <c r="BD26" s="106">
        <v>3</v>
      </c>
      <c r="BE26" s="106">
        <v>1458</v>
      </c>
      <c r="BF26" s="106">
        <v>3</v>
      </c>
      <c r="BG26" s="106">
        <v>1458</v>
      </c>
      <c r="BH26" s="106">
        <v>8</v>
      </c>
      <c r="BI26" s="106">
        <v>3888</v>
      </c>
      <c r="BJ26" s="106">
        <v>13</v>
      </c>
      <c r="BK26" s="106">
        <v>6318</v>
      </c>
      <c r="BL26" s="106">
        <v>12</v>
      </c>
      <c r="BM26" s="106">
        <v>5832</v>
      </c>
      <c r="BN26" s="106">
        <v>14</v>
      </c>
      <c r="BO26" s="106">
        <v>6804</v>
      </c>
      <c r="BP26" s="106">
        <v>3</v>
      </c>
      <c r="BQ26" s="106">
        <v>1458</v>
      </c>
      <c r="BR26" s="106">
        <v>3</v>
      </c>
      <c r="BS26" s="106">
        <v>1458</v>
      </c>
      <c r="BT26" s="106">
        <v>2</v>
      </c>
      <c r="BU26" s="106">
        <v>972</v>
      </c>
      <c r="BV26" s="106">
        <v>3</v>
      </c>
      <c r="BW26" s="106">
        <v>1458</v>
      </c>
      <c r="BX26" s="106">
        <v>23</v>
      </c>
      <c r="BY26" s="106">
        <v>11178</v>
      </c>
      <c r="BZ26" s="106">
        <v>18</v>
      </c>
      <c r="CA26" s="106">
        <v>8748</v>
      </c>
      <c r="CB26" s="106">
        <v>24</v>
      </c>
      <c r="CC26" s="106">
        <v>11664</v>
      </c>
      <c r="CD26" s="106">
        <v>20</v>
      </c>
      <c r="CE26" s="106">
        <v>9720</v>
      </c>
      <c r="CF26" s="106">
        <v>27</v>
      </c>
      <c r="CG26" s="106">
        <v>13122</v>
      </c>
      <c r="CH26" s="106">
        <v>26</v>
      </c>
      <c r="CI26" s="106">
        <v>12636</v>
      </c>
      <c r="CJ26" s="106">
        <v>30</v>
      </c>
      <c r="CK26" s="106">
        <v>14580</v>
      </c>
      <c r="CL26" s="106">
        <v>19</v>
      </c>
      <c r="CM26" s="106">
        <v>9234</v>
      </c>
      <c r="CN26" s="106">
        <v>18</v>
      </c>
      <c r="CO26" s="106">
        <v>8748</v>
      </c>
      <c r="CP26" s="106">
        <v>27</v>
      </c>
      <c r="CQ26" s="106">
        <v>13122</v>
      </c>
      <c r="CR26" s="106">
        <v>27</v>
      </c>
      <c r="CS26" s="106">
        <v>13122</v>
      </c>
      <c r="CT26" s="106">
        <v>23</v>
      </c>
      <c r="CU26" s="106">
        <v>11178</v>
      </c>
    </row>
    <row r="27" spans="2:99" x14ac:dyDescent="0.2">
      <c r="C27" s="105" t="s">
        <v>194</v>
      </c>
      <c r="D27" s="106">
        <v>2</v>
      </c>
      <c r="E27" s="106">
        <v>854.4</v>
      </c>
      <c r="F27" s="106">
        <v>2</v>
      </c>
      <c r="G27" s="106">
        <v>854.4</v>
      </c>
      <c r="H27" s="106">
        <v>3</v>
      </c>
      <c r="I27" s="106">
        <v>1281.5999999999999</v>
      </c>
      <c r="J27" s="106">
        <v>3</v>
      </c>
      <c r="K27" s="106">
        <v>1281.5999999999999</v>
      </c>
      <c r="L27" s="106">
        <v>23</v>
      </c>
      <c r="M27" s="106">
        <v>9825.6</v>
      </c>
      <c r="N27" s="106">
        <v>25</v>
      </c>
      <c r="O27" s="106">
        <v>10680</v>
      </c>
      <c r="P27" s="106">
        <v>22</v>
      </c>
      <c r="Q27" s="106">
        <v>9398.4</v>
      </c>
      <c r="R27" s="106">
        <v>24</v>
      </c>
      <c r="S27" s="106">
        <v>10252.799999999999</v>
      </c>
      <c r="T27" s="106">
        <v>4</v>
      </c>
      <c r="U27" s="106">
        <v>1708.8</v>
      </c>
      <c r="V27" s="106">
        <v>3</v>
      </c>
      <c r="W27" s="106">
        <v>1281.5999999999999</v>
      </c>
      <c r="X27" s="106">
        <v>5</v>
      </c>
      <c r="Y27" s="106">
        <v>2136</v>
      </c>
      <c r="Z27" s="106">
        <v>3</v>
      </c>
      <c r="AA27" s="106">
        <v>1281.5999999999999</v>
      </c>
      <c r="AB27" s="106">
        <v>3</v>
      </c>
      <c r="AC27" s="106">
        <v>1281.5999999999999</v>
      </c>
      <c r="AD27" s="106">
        <v>4</v>
      </c>
      <c r="AE27" s="106">
        <v>1708.8</v>
      </c>
      <c r="AF27" s="106">
        <v>4</v>
      </c>
      <c r="AG27" s="106">
        <v>1708.8</v>
      </c>
      <c r="AH27" s="106">
        <v>2</v>
      </c>
      <c r="AI27" s="106">
        <v>854.4</v>
      </c>
      <c r="AJ27" s="106">
        <v>15</v>
      </c>
      <c r="AK27" s="106">
        <v>6408</v>
      </c>
      <c r="AL27" s="106">
        <v>14</v>
      </c>
      <c r="AM27" s="106">
        <v>5980.8</v>
      </c>
      <c r="AN27" s="106">
        <v>9</v>
      </c>
      <c r="AO27" s="106">
        <v>3844.7999999999997</v>
      </c>
      <c r="AP27" s="106">
        <v>10</v>
      </c>
      <c r="AQ27" s="106">
        <v>4272</v>
      </c>
      <c r="AR27" s="106">
        <v>23</v>
      </c>
      <c r="AS27" s="106">
        <v>9825.6</v>
      </c>
      <c r="AT27" s="106">
        <v>23</v>
      </c>
      <c r="AU27" s="106">
        <v>9825.6</v>
      </c>
      <c r="AV27" s="106">
        <v>37</v>
      </c>
      <c r="AW27" s="106">
        <v>15806.4</v>
      </c>
      <c r="AX27" s="106">
        <v>27</v>
      </c>
      <c r="AY27" s="106">
        <v>11534.4</v>
      </c>
      <c r="AZ27" s="106">
        <v>3</v>
      </c>
      <c r="BA27" s="106">
        <v>1281.5999999999999</v>
      </c>
      <c r="BB27" s="106">
        <v>3</v>
      </c>
      <c r="BC27" s="106">
        <v>1281.5999999999999</v>
      </c>
      <c r="BD27" s="106">
        <v>3</v>
      </c>
      <c r="BE27" s="106">
        <v>1281.5999999999999</v>
      </c>
      <c r="BF27" s="106">
        <v>4</v>
      </c>
      <c r="BG27" s="106">
        <v>1708.8</v>
      </c>
      <c r="BH27" s="106">
        <v>9</v>
      </c>
      <c r="BI27" s="106">
        <v>3844.7999999999997</v>
      </c>
      <c r="BJ27" s="106">
        <v>14</v>
      </c>
      <c r="BK27" s="106">
        <v>5980.8</v>
      </c>
      <c r="BL27" s="106">
        <v>12</v>
      </c>
      <c r="BM27" s="106">
        <v>5126.3999999999996</v>
      </c>
      <c r="BN27" s="106">
        <v>13</v>
      </c>
      <c r="BO27" s="106">
        <v>5553.5999999999995</v>
      </c>
      <c r="BP27" s="106">
        <v>3</v>
      </c>
      <c r="BQ27" s="106">
        <v>1281.5999999999999</v>
      </c>
      <c r="BR27" s="106">
        <v>3</v>
      </c>
      <c r="BS27" s="106">
        <v>1281.5999999999999</v>
      </c>
      <c r="BT27" s="106">
        <v>2</v>
      </c>
      <c r="BU27" s="106">
        <v>854.4</v>
      </c>
      <c r="BV27" s="106">
        <v>3</v>
      </c>
      <c r="BW27" s="106">
        <v>1281.5999999999999</v>
      </c>
      <c r="BX27" s="106">
        <v>22</v>
      </c>
      <c r="BY27" s="106">
        <v>9398.4</v>
      </c>
      <c r="BZ27" s="106">
        <v>17</v>
      </c>
      <c r="CA27" s="106">
        <v>7262.4</v>
      </c>
      <c r="CB27" s="106">
        <v>24</v>
      </c>
      <c r="CC27" s="106">
        <v>10252.799999999999</v>
      </c>
      <c r="CD27" s="106">
        <v>23</v>
      </c>
      <c r="CE27" s="106">
        <v>9825.6</v>
      </c>
      <c r="CF27" s="106">
        <v>31</v>
      </c>
      <c r="CG27" s="106">
        <v>13243.199999999999</v>
      </c>
      <c r="CH27" s="106">
        <v>29</v>
      </c>
      <c r="CI27" s="106">
        <v>12388.8</v>
      </c>
      <c r="CJ27" s="106">
        <v>29</v>
      </c>
      <c r="CK27" s="106">
        <v>12388.8</v>
      </c>
      <c r="CL27" s="106">
        <v>21</v>
      </c>
      <c r="CM27" s="106">
        <v>8971.1999999999989</v>
      </c>
      <c r="CN27" s="106">
        <v>16</v>
      </c>
      <c r="CO27" s="106">
        <v>6835.2</v>
      </c>
      <c r="CP27" s="106">
        <v>24</v>
      </c>
      <c r="CQ27" s="106">
        <v>10252.799999999999</v>
      </c>
      <c r="CR27" s="106">
        <v>25</v>
      </c>
      <c r="CS27" s="106">
        <v>10680</v>
      </c>
      <c r="CT27" s="106">
        <v>23</v>
      </c>
      <c r="CU27" s="106">
        <v>9825.6</v>
      </c>
    </row>
    <row r="28" spans="2:99" x14ac:dyDescent="0.2">
      <c r="C28" s="105" t="s">
        <v>195</v>
      </c>
      <c r="D28" s="106">
        <v>2</v>
      </c>
      <c r="E28" s="106">
        <v>1476</v>
      </c>
      <c r="F28" s="106">
        <v>2</v>
      </c>
      <c r="G28" s="106">
        <v>1476</v>
      </c>
      <c r="H28" s="106">
        <v>3</v>
      </c>
      <c r="I28" s="106">
        <v>2214</v>
      </c>
      <c r="J28" s="106">
        <v>3</v>
      </c>
      <c r="K28" s="106">
        <v>2214</v>
      </c>
      <c r="L28" s="106">
        <v>22</v>
      </c>
      <c r="M28" s="106">
        <v>16236</v>
      </c>
      <c r="N28" s="106">
        <v>25</v>
      </c>
      <c r="O28" s="106">
        <v>18450</v>
      </c>
      <c r="P28" s="106">
        <v>19</v>
      </c>
      <c r="Q28" s="106">
        <v>14022</v>
      </c>
      <c r="R28" s="106">
        <v>22</v>
      </c>
      <c r="S28" s="106">
        <v>16236</v>
      </c>
      <c r="T28" s="106">
        <v>4</v>
      </c>
      <c r="U28" s="106">
        <v>2952</v>
      </c>
      <c r="V28" s="106">
        <v>3</v>
      </c>
      <c r="W28" s="106">
        <v>2214</v>
      </c>
      <c r="X28" s="106">
        <v>4</v>
      </c>
      <c r="Y28" s="106">
        <v>2952</v>
      </c>
      <c r="Z28" s="106">
        <v>3</v>
      </c>
      <c r="AA28" s="106">
        <v>2214</v>
      </c>
      <c r="AB28" s="106">
        <v>3</v>
      </c>
      <c r="AC28" s="106">
        <v>2214</v>
      </c>
      <c r="AD28" s="106">
        <v>4</v>
      </c>
      <c r="AE28" s="106">
        <v>2952</v>
      </c>
      <c r="AF28" s="106">
        <v>4</v>
      </c>
      <c r="AG28" s="106">
        <v>2952</v>
      </c>
      <c r="AH28" s="106">
        <v>2</v>
      </c>
      <c r="AI28" s="106">
        <v>1476</v>
      </c>
      <c r="AJ28" s="106">
        <v>14</v>
      </c>
      <c r="AK28" s="106">
        <v>10332</v>
      </c>
      <c r="AL28" s="106">
        <v>12</v>
      </c>
      <c r="AM28" s="106">
        <v>8856</v>
      </c>
      <c r="AN28" s="106">
        <v>9</v>
      </c>
      <c r="AO28" s="106">
        <v>6642</v>
      </c>
      <c r="AP28" s="106">
        <v>10</v>
      </c>
      <c r="AQ28" s="106">
        <v>7380</v>
      </c>
      <c r="AR28" s="106">
        <v>24</v>
      </c>
      <c r="AS28" s="106">
        <v>17712</v>
      </c>
      <c r="AT28" s="106">
        <v>19</v>
      </c>
      <c r="AU28" s="106">
        <v>14022</v>
      </c>
      <c r="AV28" s="106">
        <v>33</v>
      </c>
      <c r="AW28" s="106">
        <v>24354</v>
      </c>
      <c r="AX28" s="106">
        <v>25</v>
      </c>
      <c r="AY28" s="106">
        <v>18450</v>
      </c>
      <c r="AZ28" s="106">
        <v>3</v>
      </c>
      <c r="BA28" s="106">
        <v>2214</v>
      </c>
      <c r="BB28" s="106">
        <v>3</v>
      </c>
      <c r="BC28" s="106">
        <v>2214</v>
      </c>
      <c r="BD28" s="106">
        <v>3</v>
      </c>
      <c r="BE28" s="106">
        <v>2214</v>
      </c>
      <c r="BF28" s="106">
        <v>4</v>
      </c>
      <c r="BG28" s="106">
        <v>2952</v>
      </c>
      <c r="BH28" s="106">
        <v>9</v>
      </c>
      <c r="BI28" s="106">
        <v>6642</v>
      </c>
      <c r="BJ28" s="106">
        <v>13</v>
      </c>
      <c r="BK28" s="106">
        <v>9594</v>
      </c>
      <c r="BL28" s="106">
        <v>12</v>
      </c>
      <c r="BM28" s="106">
        <v>8856</v>
      </c>
      <c r="BN28" s="106">
        <v>12</v>
      </c>
      <c r="BO28" s="106">
        <v>8856</v>
      </c>
      <c r="BP28" s="106">
        <v>2</v>
      </c>
      <c r="BQ28" s="106">
        <v>1476</v>
      </c>
      <c r="BR28" s="106">
        <v>2</v>
      </c>
      <c r="BS28" s="106">
        <v>1476</v>
      </c>
      <c r="BT28" s="106">
        <v>2</v>
      </c>
      <c r="BU28" s="106">
        <v>1476</v>
      </c>
      <c r="BV28" s="106">
        <v>3</v>
      </c>
      <c r="BW28" s="106">
        <v>2214</v>
      </c>
      <c r="BX28" s="106">
        <v>24</v>
      </c>
      <c r="BY28" s="106">
        <v>17712</v>
      </c>
      <c r="BZ28" s="106">
        <v>16</v>
      </c>
      <c r="CA28" s="106">
        <v>11808</v>
      </c>
      <c r="CB28" s="106">
        <v>22</v>
      </c>
      <c r="CC28" s="106">
        <v>16236</v>
      </c>
      <c r="CD28" s="106">
        <v>22</v>
      </c>
      <c r="CE28" s="106">
        <v>16236</v>
      </c>
      <c r="CF28" s="106">
        <v>30</v>
      </c>
      <c r="CG28" s="106">
        <v>22140</v>
      </c>
      <c r="CH28" s="106">
        <v>28</v>
      </c>
      <c r="CI28" s="106">
        <v>20664</v>
      </c>
      <c r="CJ28" s="106">
        <v>25</v>
      </c>
      <c r="CK28" s="106">
        <v>18450</v>
      </c>
      <c r="CL28" s="106">
        <v>20</v>
      </c>
      <c r="CM28" s="106">
        <v>14760</v>
      </c>
      <c r="CN28" s="106">
        <v>17</v>
      </c>
      <c r="CO28" s="106">
        <v>12546</v>
      </c>
      <c r="CP28" s="106">
        <v>25</v>
      </c>
      <c r="CQ28" s="106">
        <v>18450</v>
      </c>
      <c r="CR28" s="106">
        <v>23</v>
      </c>
      <c r="CS28" s="106">
        <v>16974</v>
      </c>
      <c r="CT28" s="106">
        <v>20</v>
      </c>
      <c r="CU28" s="106">
        <v>14760</v>
      </c>
    </row>
    <row r="29" spans="2:99" x14ac:dyDescent="0.2">
      <c r="C29" s="105" t="s">
        <v>196</v>
      </c>
      <c r="D29" s="106">
        <v>2</v>
      </c>
      <c r="E29" s="106">
        <v>676.8</v>
      </c>
      <c r="F29" s="106">
        <v>2</v>
      </c>
      <c r="G29" s="106">
        <v>676.8</v>
      </c>
      <c r="H29" s="106">
        <v>3</v>
      </c>
      <c r="I29" s="106">
        <v>1015.1999999999999</v>
      </c>
      <c r="J29" s="106">
        <v>3</v>
      </c>
      <c r="K29" s="106">
        <v>1015.1999999999999</v>
      </c>
      <c r="L29" s="106">
        <v>25</v>
      </c>
      <c r="M29" s="106">
        <v>8460</v>
      </c>
      <c r="N29" s="106">
        <v>27</v>
      </c>
      <c r="O29" s="106">
        <v>9136.7999999999993</v>
      </c>
      <c r="P29" s="106">
        <v>22</v>
      </c>
      <c r="Q29" s="106">
        <v>7444.7999999999993</v>
      </c>
      <c r="R29" s="106">
        <v>22</v>
      </c>
      <c r="S29" s="106">
        <v>7444.7999999999993</v>
      </c>
      <c r="T29" s="106">
        <v>4</v>
      </c>
      <c r="U29" s="106">
        <v>1353.6</v>
      </c>
      <c r="V29" s="106">
        <v>3</v>
      </c>
      <c r="W29" s="106">
        <v>1015.1999999999999</v>
      </c>
      <c r="X29" s="106">
        <v>4</v>
      </c>
      <c r="Y29" s="106">
        <v>1353.6</v>
      </c>
      <c r="Z29" s="106">
        <v>3</v>
      </c>
      <c r="AA29" s="106">
        <v>1015.1999999999999</v>
      </c>
      <c r="AB29" s="106">
        <v>3</v>
      </c>
      <c r="AC29" s="106">
        <v>1015.1999999999999</v>
      </c>
      <c r="AD29" s="106">
        <v>4</v>
      </c>
      <c r="AE29" s="106">
        <v>1353.6</v>
      </c>
      <c r="AF29" s="106">
        <v>4</v>
      </c>
      <c r="AG29" s="106">
        <v>1353.6</v>
      </c>
      <c r="AH29" s="106">
        <v>2</v>
      </c>
      <c r="AI29" s="106">
        <v>676.8</v>
      </c>
      <c r="AJ29" s="106">
        <v>14</v>
      </c>
      <c r="AK29" s="106">
        <v>4737.5999999999995</v>
      </c>
      <c r="AL29" s="106">
        <v>13</v>
      </c>
      <c r="AM29" s="106">
        <v>4399.2</v>
      </c>
      <c r="AN29" s="106">
        <v>10</v>
      </c>
      <c r="AO29" s="106">
        <v>3384</v>
      </c>
      <c r="AP29" s="106">
        <v>11</v>
      </c>
      <c r="AQ29" s="106">
        <v>3722.3999999999996</v>
      </c>
      <c r="AR29" s="106">
        <v>26</v>
      </c>
      <c r="AS29" s="106">
        <v>8798.4</v>
      </c>
      <c r="AT29" s="106">
        <v>20</v>
      </c>
      <c r="AU29" s="106">
        <v>6768</v>
      </c>
      <c r="AV29" s="106">
        <v>42</v>
      </c>
      <c r="AW29" s="106">
        <v>14212.8</v>
      </c>
      <c r="AX29" s="106">
        <v>30</v>
      </c>
      <c r="AY29" s="106">
        <v>10152</v>
      </c>
      <c r="AZ29" s="106">
        <v>3</v>
      </c>
      <c r="BA29" s="106">
        <v>1015.1999999999999</v>
      </c>
      <c r="BB29" s="106">
        <v>3</v>
      </c>
      <c r="BC29" s="106">
        <v>1015.1999999999999</v>
      </c>
      <c r="BD29" s="106">
        <v>3</v>
      </c>
      <c r="BE29" s="106">
        <v>1015.1999999999999</v>
      </c>
      <c r="BF29" s="106">
        <v>4</v>
      </c>
      <c r="BG29" s="106">
        <v>1353.6</v>
      </c>
      <c r="BH29" s="106">
        <v>8</v>
      </c>
      <c r="BI29" s="106">
        <v>2707.2</v>
      </c>
      <c r="BJ29" s="106">
        <v>14</v>
      </c>
      <c r="BK29" s="106">
        <v>4737.5999999999995</v>
      </c>
      <c r="BL29" s="106">
        <v>13</v>
      </c>
      <c r="BM29" s="106">
        <v>4399.2</v>
      </c>
      <c r="BN29" s="106">
        <v>13</v>
      </c>
      <c r="BO29" s="106">
        <v>4399.2</v>
      </c>
      <c r="BP29" s="106">
        <v>2</v>
      </c>
      <c r="BQ29" s="106">
        <v>676.8</v>
      </c>
      <c r="BR29" s="106">
        <v>3</v>
      </c>
      <c r="BS29" s="106">
        <v>1015.1999999999999</v>
      </c>
      <c r="BT29" s="106">
        <v>2</v>
      </c>
      <c r="BU29" s="106">
        <v>676.8</v>
      </c>
      <c r="BV29" s="106">
        <v>3</v>
      </c>
      <c r="BW29" s="106">
        <v>1015.1999999999999</v>
      </c>
      <c r="BX29" s="106">
        <v>22</v>
      </c>
      <c r="BY29" s="106">
        <v>7444.7999999999993</v>
      </c>
      <c r="BZ29" s="106">
        <v>17</v>
      </c>
      <c r="CA29" s="106">
        <v>5752.7999999999993</v>
      </c>
      <c r="CB29" s="106">
        <v>24</v>
      </c>
      <c r="CC29" s="106">
        <v>8121.5999999999995</v>
      </c>
      <c r="CD29" s="106">
        <v>22</v>
      </c>
      <c r="CE29" s="106">
        <v>7444.7999999999993</v>
      </c>
      <c r="CF29" s="106">
        <v>31</v>
      </c>
      <c r="CG29" s="106">
        <v>10490.4</v>
      </c>
      <c r="CH29" s="106">
        <v>30</v>
      </c>
      <c r="CI29" s="106">
        <v>10152</v>
      </c>
      <c r="CJ29" s="106">
        <v>28</v>
      </c>
      <c r="CK29" s="106">
        <v>9475.1999999999989</v>
      </c>
      <c r="CL29" s="106">
        <v>20</v>
      </c>
      <c r="CM29" s="106">
        <v>6768</v>
      </c>
      <c r="CN29" s="106">
        <v>19</v>
      </c>
      <c r="CO29" s="106">
        <v>6429.5999999999995</v>
      </c>
      <c r="CP29" s="106">
        <v>24</v>
      </c>
      <c r="CQ29" s="106">
        <v>8121.5999999999995</v>
      </c>
      <c r="CR29" s="106">
        <v>26</v>
      </c>
      <c r="CS29" s="106">
        <v>8798.4</v>
      </c>
      <c r="CT29" s="106">
        <v>22</v>
      </c>
      <c r="CU29" s="106">
        <v>7444.7999999999993</v>
      </c>
    </row>
    <row r="30" spans="2:99" x14ac:dyDescent="0.2">
      <c r="C30" s="105" t="s">
        <v>197</v>
      </c>
      <c r="D30" s="106">
        <v>2</v>
      </c>
      <c r="E30" s="106">
        <v>278.39999999999998</v>
      </c>
      <c r="F30" s="106">
        <v>2</v>
      </c>
      <c r="G30" s="106">
        <v>278.39999999999998</v>
      </c>
      <c r="H30" s="106">
        <v>3</v>
      </c>
      <c r="I30" s="106">
        <v>417.59999999999997</v>
      </c>
      <c r="J30" s="106">
        <v>3</v>
      </c>
      <c r="K30" s="106">
        <v>417.59999999999997</v>
      </c>
      <c r="L30" s="106">
        <v>24</v>
      </c>
      <c r="M30" s="106">
        <v>3340.7999999999997</v>
      </c>
      <c r="N30" s="106">
        <v>28</v>
      </c>
      <c r="O30" s="106">
        <v>3897.5999999999995</v>
      </c>
      <c r="P30" s="106">
        <v>23</v>
      </c>
      <c r="Q30" s="106">
        <v>3201.6</v>
      </c>
      <c r="R30" s="106">
        <v>24</v>
      </c>
      <c r="S30" s="106">
        <v>3340.7999999999997</v>
      </c>
      <c r="T30" s="106">
        <v>4</v>
      </c>
      <c r="U30" s="106">
        <v>556.79999999999995</v>
      </c>
      <c r="V30" s="106">
        <v>3</v>
      </c>
      <c r="W30" s="106">
        <v>417.59999999999997</v>
      </c>
      <c r="X30" s="106">
        <v>5</v>
      </c>
      <c r="Y30" s="106">
        <v>696</v>
      </c>
      <c r="Z30" s="106">
        <v>3</v>
      </c>
      <c r="AA30" s="106">
        <v>417.59999999999997</v>
      </c>
      <c r="AB30" s="106">
        <v>3</v>
      </c>
      <c r="AC30" s="106">
        <v>417.59999999999997</v>
      </c>
      <c r="AD30" s="106">
        <v>4</v>
      </c>
      <c r="AE30" s="106">
        <v>556.79999999999995</v>
      </c>
      <c r="AF30" s="106">
        <v>4</v>
      </c>
      <c r="AG30" s="106">
        <v>556.79999999999995</v>
      </c>
      <c r="AH30" s="106">
        <v>2</v>
      </c>
      <c r="AI30" s="106">
        <v>278.39999999999998</v>
      </c>
      <c r="AJ30" s="106">
        <v>15</v>
      </c>
      <c r="AK30" s="106">
        <v>2088</v>
      </c>
      <c r="AL30" s="106">
        <v>15</v>
      </c>
      <c r="AM30" s="106">
        <v>2088</v>
      </c>
      <c r="AN30" s="106">
        <v>9</v>
      </c>
      <c r="AO30" s="106">
        <v>1252.8</v>
      </c>
      <c r="AP30" s="106">
        <v>10</v>
      </c>
      <c r="AQ30" s="106">
        <v>1392</v>
      </c>
      <c r="AR30" s="106">
        <v>25</v>
      </c>
      <c r="AS30" s="106">
        <v>3479.9999999999995</v>
      </c>
      <c r="AT30" s="106">
        <v>21</v>
      </c>
      <c r="AU30" s="106">
        <v>2923.2</v>
      </c>
      <c r="AV30" s="106">
        <v>41</v>
      </c>
      <c r="AW30" s="106">
        <v>5707.2</v>
      </c>
      <c r="AX30" s="106">
        <v>27</v>
      </c>
      <c r="AY30" s="106">
        <v>3758.3999999999996</v>
      </c>
      <c r="AZ30" s="106">
        <v>4</v>
      </c>
      <c r="BA30" s="106">
        <v>556.79999999999995</v>
      </c>
      <c r="BB30" s="106">
        <v>3</v>
      </c>
      <c r="BC30" s="106">
        <v>417.59999999999997</v>
      </c>
      <c r="BD30" s="106">
        <v>3</v>
      </c>
      <c r="BE30" s="106">
        <v>417.59999999999997</v>
      </c>
      <c r="BF30" s="106">
        <v>4</v>
      </c>
      <c r="BG30" s="106">
        <v>556.79999999999995</v>
      </c>
      <c r="BH30" s="106">
        <v>9</v>
      </c>
      <c r="BI30" s="106">
        <v>1252.8</v>
      </c>
      <c r="BJ30" s="106">
        <v>15</v>
      </c>
      <c r="BK30" s="106">
        <v>2088</v>
      </c>
      <c r="BL30" s="106">
        <v>14</v>
      </c>
      <c r="BM30" s="106">
        <v>1948.7999999999997</v>
      </c>
      <c r="BN30" s="106">
        <v>14</v>
      </c>
      <c r="BO30" s="106">
        <v>1948.7999999999997</v>
      </c>
      <c r="BP30" s="106">
        <v>3</v>
      </c>
      <c r="BQ30" s="106">
        <v>417.59999999999997</v>
      </c>
      <c r="BR30" s="106">
        <v>3</v>
      </c>
      <c r="BS30" s="106">
        <v>417.59999999999997</v>
      </c>
      <c r="BT30" s="106">
        <v>2</v>
      </c>
      <c r="BU30" s="106">
        <v>278.39999999999998</v>
      </c>
      <c r="BV30" s="106">
        <v>3</v>
      </c>
      <c r="BW30" s="106">
        <v>417.59999999999997</v>
      </c>
      <c r="BX30" s="106">
        <v>22</v>
      </c>
      <c r="BY30" s="106">
        <v>3062.3999999999996</v>
      </c>
      <c r="BZ30" s="106">
        <v>17</v>
      </c>
      <c r="CA30" s="106">
        <v>2366.3999999999996</v>
      </c>
      <c r="CB30" s="106">
        <v>24</v>
      </c>
      <c r="CC30" s="106">
        <v>3340.7999999999997</v>
      </c>
      <c r="CD30" s="106">
        <v>21</v>
      </c>
      <c r="CE30" s="106">
        <v>2923.2</v>
      </c>
      <c r="CF30" s="106">
        <v>30</v>
      </c>
      <c r="CG30" s="106">
        <v>4176</v>
      </c>
      <c r="CH30" s="106">
        <v>31</v>
      </c>
      <c r="CI30" s="106">
        <v>4315.2</v>
      </c>
      <c r="CJ30" s="106">
        <v>31</v>
      </c>
      <c r="CK30" s="106">
        <v>4315.2</v>
      </c>
      <c r="CL30" s="106">
        <v>22</v>
      </c>
      <c r="CM30" s="106">
        <v>3062.3999999999996</v>
      </c>
      <c r="CN30" s="106">
        <v>18</v>
      </c>
      <c r="CO30" s="106">
        <v>2505.6</v>
      </c>
      <c r="CP30" s="106">
        <v>27</v>
      </c>
      <c r="CQ30" s="106">
        <v>3758.3999999999996</v>
      </c>
      <c r="CR30" s="106">
        <v>29</v>
      </c>
      <c r="CS30" s="106">
        <v>4036.7999999999997</v>
      </c>
      <c r="CT30" s="106">
        <v>24</v>
      </c>
      <c r="CU30" s="106">
        <v>3340.7999999999997</v>
      </c>
    </row>
    <row r="31" spans="2:99" x14ac:dyDescent="0.2">
      <c r="C31" s="105" t="s">
        <v>198</v>
      </c>
      <c r="D31" s="106">
        <v>2</v>
      </c>
      <c r="E31" s="106">
        <v>681.6</v>
      </c>
      <c r="F31" s="106">
        <v>2</v>
      </c>
      <c r="G31" s="106">
        <v>681.6</v>
      </c>
      <c r="H31" s="106">
        <v>4</v>
      </c>
      <c r="I31" s="106">
        <v>1363.2</v>
      </c>
      <c r="J31" s="106">
        <v>3</v>
      </c>
      <c r="K31" s="106">
        <v>1022.4000000000001</v>
      </c>
      <c r="L31" s="106">
        <v>25</v>
      </c>
      <c r="M31" s="106">
        <v>8520</v>
      </c>
      <c r="N31" s="106">
        <v>24</v>
      </c>
      <c r="O31" s="106">
        <v>8179.2000000000007</v>
      </c>
      <c r="P31" s="106">
        <v>20</v>
      </c>
      <c r="Q31" s="106">
        <v>6816</v>
      </c>
      <c r="R31" s="106">
        <v>20</v>
      </c>
      <c r="S31" s="106">
        <v>6816</v>
      </c>
      <c r="T31" s="106">
        <v>5</v>
      </c>
      <c r="U31" s="106">
        <v>1704</v>
      </c>
      <c r="V31" s="106">
        <v>3</v>
      </c>
      <c r="W31" s="106">
        <v>1022.4000000000001</v>
      </c>
      <c r="X31" s="106">
        <v>5</v>
      </c>
      <c r="Y31" s="106">
        <v>1704</v>
      </c>
      <c r="Z31" s="106">
        <v>3</v>
      </c>
      <c r="AA31" s="106">
        <v>1022.4000000000001</v>
      </c>
      <c r="AB31" s="106">
        <v>3</v>
      </c>
      <c r="AC31" s="106">
        <v>1022.4000000000001</v>
      </c>
      <c r="AD31" s="106">
        <v>4</v>
      </c>
      <c r="AE31" s="106">
        <v>1363.2</v>
      </c>
      <c r="AF31" s="106">
        <v>3</v>
      </c>
      <c r="AG31" s="106">
        <v>1022.4000000000001</v>
      </c>
      <c r="AH31" s="106">
        <v>2</v>
      </c>
      <c r="AI31" s="106">
        <v>681.6</v>
      </c>
      <c r="AJ31" s="106">
        <v>16</v>
      </c>
      <c r="AK31" s="106">
        <v>5452.8</v>
      </c>
      <c r="AL31" s="106">
        <v>15</v>
      </c>
      <c r="AM31" s="106">
        <v>5112</v>
      </c>
      <c r="AN31" s="106">
        <v>9</v>
      </c>
      <c r="AO31" s="106">
        <v>3067.2000000000003</v>
      </c>
      <c r="AP31" s="106">
        <v>9</v>
      </c>
      <c r="AQ31" s="106">
        <v>3067.2000000000003</v>
      </c>
      <c r="AR31" s="106">
        <v>25</v>
      </c>
      <c r="AS31" s="106">
        <v>8520</v>
      </c>
      <c r="AT31" s="106">
        <v>22</v>
      </c>
      <c r="AU31" s="106">
        <v>7497.6</v>
      </c>
      <c r="AV31" s="106">
        <v>37</v>
      </c>
      <c r="AW31" s="106">
        <v>12609.6</v>
      </c>
      <c r="AX31" s="106">
        <v>26</v>
      </c>
      <c r="AY31" s="106">
        <v>8860.8000000000011</v>
      </c>
      <c r="AZ31" s="106">
        <v>3</v>
      </c>
      <c r="BA31" s="106">
        <v>1022.4000000000001</v>
      </c>
      <c r="BB31" s="106">
        <v>3</v>
      </c>
      <c r="BC31" s="106">
        <v>1022.4000000000001</v>
      </c>
      <c r="BD31" s="106">
        <v>3</v>
      </c>
      <c r="BE31" s="106">
        <v>1022.4000000000001</v>
      </c>
      <c r="BF31" s="106">
        <v>3</v>
      </c>
      <c r="BG31" s="106">
        <v>1022.4000000000001</v>
      </c>
      <c r="BH31" s="106">
        <v>9</v>
      </c>
      <c r="BI31" s="106">
        <v>3067.2000000000003</v>
      </c>
      <c r="BJ31" s="106">
        <v>14</v>
      </c>
      <c r="BK31" s="106">
        <v>4771.2</v>
      </c>
      <c r="BL31" s="106">
        <v>13</v>
      </c>
      <c r="BM31" s="106">
        <v>4430.4000000000005</v>
      </c>
      <c r="BN31" s="106">
        <v>13</v>
      </c>
      <c r="BO31" s="106">
        <v>4430.4000000000005</v>
      </c>
      <c r="BP31" s="106">
        <v>3</v>
      </c>
      <c r="BQ31" s="106">
        <v>1022.4000000000001</v>
      </c>
      <c r="BR31" s="106">
        <v>2</v>
      </c>
      <c r="BS31" s="106">
        <v>681.6</v>
      </c>
      <c r="BT31" s="106">
        <v>2</v>
      </c>
      <c r="BU31" s="106">
        <v>681.6</v>
      </c>
      <c r="BV31" s="106">
        <v>3</v>
      </c>
      <c r="BW31" s="106">
        <v>1022.4000000000001</v>
      </c>
      <c r="BX31" s="106">
        <v>25</v>
      </c>
      <c r="BY31" s="106">
        <v>8520</v>
      </c>
      <c r="BZ31" s="106">
        <v>18</v>
      </c>
      <c r="CA31" s="106">
        <v>6134.4000000000005</v>
      </c>
      <c r="CB31" s="106">
        <v>25</v>
      </c>
      <c r="CC31" s="106">
        <v>8520</v>
      </c>
      <c r="CD31" s="106">
        <v>23</v>
      </c>
      <c r="CE31" s="106">
        <v>7838.4000000000005</v>
      </c>
      <c r="CF31" s="106">
        <v>32</v>
      </c>
      <c r="CG31" s="106">
        <v>10905.6</v>
      </c>
      <c r="CH31" s="106">
        <v>25</v>
      </c>
      <c r="CI31" s="106">
        <v>8520</v>
      </c>
      <c r="CJ31" s="106">
        <v>26</v>
      </c>
      <c r="CK31" s="106">
        <v>8860.8000000000011</v>
      </c>
      <c r="CL31" s="106">
        <v>19</v>
      </c>
      <c r="CM31" s="106">
        <v>6475.2</v>
      </c>
      <c r="CN31" s="106">
        <v>17</v>
      </c>
      <c r="CO31" s="106">
        <v>5793.6</v>
      </c>
      <c r="CP31" s="106">
        <v>26</v>
      </c>
      <c r="CQ31" s="106">
        <v>8860.8000000000011</v>
      </c>
      <c r="CR31" s="106">
        <v>26</v>
      </c>
      <c r="CS31" s="106">
        <v>8860.8000000000011</v>
      </c>
      <c r="CT31" s="106">
        <v>22</v>
      </c>
      <c r="CU31" s="106">
        <v>7497.6</v>
      </c>
    </row>
    <row r="32" spans="2:99" x14ac:dyDescent="0.2">
      <c r="C32" s="105" t="s">
        <v>199</v>
      </c>
      <c r="D32" s="106">
        <v>2</v>
      </c>
      <c r="E32" s="106">
        <v>1680</v>
      </c>
      <c r="F32" s="106">
        <v>2</v>
      </c>
      <c r="G32" s="106">
        <v>1680</v>
      </c>
      <c r="H32" s="106">
        <v>3</v>
      </c>
      <c r="I32" s="106">
        <v>2520</v>
      </c>
      <c r="J32" s="106">
        <v>2</v>
      </c>
      <c r="K32" s="106">
        <v>1680</v>
      </c>
      <c r="L32" s="106">
        <v>20</v>
      </c>
      <c r="M32" s="106">
        <v>16800</v>
      </c>
      <c r="N32" s="106">
        <v>24</v>
      </c>
      <c r="O32" s="106">
        <v>20160</v>
      </c>
      <c r="P32" s="106">
        <v>20</v>
      </c>
      <c r="Q32" s="106">
        <v>16800</v>
      </c>
      <c r="R32" s="106">
        <v>19</v>
      </c>
      <c r="S32" s="106">
        <v>15960</v>
      </c>
      <c r="T32" s="106">
        <v>4</v>
      </c>
      <c r="U32" s="106">
        <v>3360</v>
      </c>
      <c r="V32" s="106">
        <v>3</v>
      </c>
      <c r="W32" s="106">
        <v>2520</v>
      </c>
      <c r="X32" s="106">
        <v>4</v>
      </c>
      <c r="Y32" s="106">
        <v>3360</v>
      </c>
      <c r="Z32" s="106">
        <v>3</v>
      </c>
      <c r="AA32" s="106">
        <v>2520</v>
      </c>
      <c r="AB32" s="106">
        <v>4</v>
      </c>
      <c r="AC32" s="106">
        <v>3360</v>
      </c>
      <c r="AD32" s="106">
        <v>4</v>
      </c>
      <c r="AE32" s="106">
        <v>3360</v>
      </c>
      <c r="AF32" s="106">
        <v>3</v>
      </c>
      <c r="AG32" s="106">
        <v>2520</v>
      </c>
      <c r="AH32" s="106">
        <v>2</v>
      </c>
      <c r="AI32" s="106">
        <v>1680</v>
      </c>
      <c r="AJ32" s="106">
        <v>13</v>
      </c>
      <c r="AK32" s="106">
        <v>10920</v>
      </c>
      <c r="AL32" s="106">
        <v>13</v>
      </c>
      <c r="AM32" s="106">
        <v>10920</v>
      </c>
      <c r="AN32" s="106">
        <v>8</v>
      </c>
      <c r="AO32" s="106">
        <v>6720</v>
      </c>
      <c r="AP32" s="106">
        <v>10</v>
      </c>
      <c r="AQ32" s="106">
        <v>8400</v>
      </c>
      <c r="AR32" s="106">
        <v>25</v>
      </c>
      <c r="AS32" s="106">
        <v>21000</v>
      </c>
      <c r="AT32" s="106">
        <v>20</v>
      </c>
      <c r="AU32" s="106">
        <v>16800</v>
      </c>
      <c r="AV32" s="106">
        <v>37</v>
      </c>
      <c r="AW32" s="106">
        <v>31080</v>
      </c>
      <c r="AX32" s="106">
        <v>23</v>
      </c>
      <c r="AY32" s="106">
        <v>19320</v>
      </c>
      <c r="AZ32" s="106">
        <v>3</v>
      </c>
      <c r="BA32" s="106">
        <v>2520</v>
      </c>
      <c r="BB32" s="106">
        <v>3</v>
      </c>
      <c r="BC32" s="106">
        <v>2520</v>
      </c>
      <c r="BD32" s="106">
        <v>3</v>
      </c>
      <c r="BE32" s="106">
        <v>2520</v>
      </c>
      <c r="BF32" s="106">
        <v>3</v>
      </c>
      <c r="BG32" s="106">
        <v>2520</v>
      </c>
      <c r="BH32" s="106">
        <v>8</v>
      </c>
      <c r="BI32" s="106">
        <v>6720</v>
      </c>
      <c r="BJ32" s="106">
        <v>13</v>
      </c>
      <c r="BK32" s="106">
        <v>10920</v>
      </c>
      <c r="BL32" s="106">
        <v>13</v>
      </c>
      <c r="BM32" s="106">
        <v>10920</v>
      </c>
      <c r="BN32" s="106">
        <v>12</v>
      </c>
      <c r="BO32" s="106">
        <v>10080</v>
      </c>
      <c r="BP32" s="106">
        <v>2</v>
      </c>
      <c r="BQ32" s="106">
        <v>1680</v>
      </c>
      <c r="BR32" s="106">
        <v>2</v>
      </c>
      <c r="BS32" s="106">
        <v>1680</v>
      </c>
      <c r="BT32" s="106">
        <v>2</v>
      </c>
      <c r="BU32" s="106">
        <v>1680</v>
      </c>
      <c r="BV32" s="106">
        <v>2</v>
      </c>
      <c r="BW32" s="106">
        <v>1680</v>
      </c>
      <c r="BX32" s="106">
        <v>20</v>
      </c>
      <c r="BY32" s="106">
        <v>16800</v>
      </c>
      <c r="BZ32" s="106">
        <v>15</v>
      </c>
      <c r="CA32" s="106">
        <v>12600</v>
      </c>
      <c r="CB32" s="106">
        <v>20</v>
      </c>
      <c r="CC32" s="106">
        <v>16800</v>
      </c>
      <c r="CD32" s="106">
        <v>21</v>
      </c>
      <c r="CE32" s="106">
        <v>17640</v>
      </c>
      <c r="CF32" s="106">
        <v>29</v>
      </c>
      <c r="CG32" s="106">
        <v>24360</v>
      </c>
      <c r="CH32" s="106">
        <v>27</v>
      </c>
      <c r="CI32" s="106">
        <v>22680</v>
      </c>
      <c r="CJ32" s="106">
        <v>25</v>
      </c>
      <c r="CK32" s="106">
        <v>21000</v>
      </c>
      <c r="CL32" s="106">
        <v>18</v>
      </c>
      <c r="CM32" s="106">
        <v>15120</v>
      </c>
      <c r="CN32" s="106">
        <v>16</v>
      </c>
      <c r="CO32" s="106">
        <v>13440</v>
      </c>
      <c r="CP32" s="106">
        <v>23</v>
      </c>
      <c r="CQ32" s="106">
        <v>19320</v>
      </c>
      <c r="CR32" s="106">
        <v>26</v>
      </c>
      <c r="CS32" s="106">
        <v>21840</v>
      </c>
      <c r="CT32" s="106">
        <v>22</v>
      </c>
      <c r="CU32" s="106">
        <v>18480</v>
      </c>
    </row>
    <row r="33" spans="2:99" x14ac:dyDescent="0.2">
      <c r="C33" s="105" t="s">
        <v>200</v>
      </c>
      <c r="D33" s="106">
        <v>2</v>
      </c>
      <c r="E33" s="106">
        <v>948</v>
      </c>
      <c r="F33" s="106">
        <v>2</v>
      </c>
      <c r="G33" s="106">
        <v>948</v>
      </c>
      <c r="H33" s="106">
        <v>3</v>
      </c>
      <c r="I33" s="106">
        <v>1422</v>
      </c>
      <c r="J33" s="106">
        <v>3</v>
      </c>
      <c r="K33" s="106">
        <v>1422</v>
      </c>
      <c r="L33" s="106">
        <v>24</v>
      </c>
      <c r="M33" s="106">
        <v>11376</v>
      </c>
      <c r="N33" s="106">
        <v>26</v>
      </c>
      <c r="O33" s="106">
        <v>12324</v>
      </c>
      <c r="P33" s="106">
        <v>22</v>
      </c>
      <c r="Q33" s="106">
        <v>10428</v>
      </c>
      <c r="R33" s="106">
        <v>23</v>
      </c>
      <c r="S33" s="106">
        <v>10902</v>
      </c>
      <c r="T33" s="106">
        <v>5</v>
      </c>
      <c r="U33" s="106">
        <v>2370</v>
      </c>
      <c r="V33" s="106">
        <v>3</v>
      </c>
      <c r="W33" s="106">
        <v>1422</v>
      </c>
      <c r="X33" s="106">
        <v>4</v>
      </c>
      <c r="Y33" s="106">
        <v>1896</v>
      </c>
      <c r="Z33" s="106">
        <v>3</v>
      </c>
      <c r="AA33" s="106">
        <v>1422</v>
      </c>
      <c r="AB33" s="106">
        <v>3</v>
      </c>
      <c r="AC33" s="106">
        <v>1422</v>
      </c>
      <c r="AD33" s="106">
        <v>4</v>
      </c>
      <c r="AE33" s="106">
        <v>1896</v>
      </c>
      <c r="AF33" s="106">
        <v>3</v>
      </c>
      <c r="AG33" s="106">
        <v>1422</v>
      </c>
      <c r="AH33" s="106">
        <v>2</v>
      </c>
      <c r="AI33" s="106">
        <v>948</v>
      </c>
      <c r="AJ33" s="106">
        <v>15</v>
      </c>
      <c r="AK33" s="106">
        <v>7110</v>
      </c>
      <c r="AL33" s="106">
        <v>14</v>
      </c>
      <c r="AM33" s="106">
        <v>6636</v>
      </c>
      <c r="AN33" s="106">
        <v>9</v>
      </c>
      <c r="AO33" s="106">
        <v>4266</v>
      </c>
      <c r="AP33" s="106">
        <v>9</v>
      </c>
      <c r="AQ33" s="106">
        <v>4266</v>
      </c>
      <c r="AR33" s="106">
        <v>22</v>
      </c>
      <c r="AS33" s="106">
        <v>10428</v>
      </c>
      <c r="AT33" s="106">
        <v>22</v>
      </c>
      <c r="AU33" s="106">
        <v>10428</v>
      </c>
      <c r="AV33" s="106">
        <v>40</v>
      </c>
      <c r="AW33" s="106">
        <v>18960</v>
      </c>
      <c r="AX33" s="106">
        <v>27</v>
      </c>
      <c r="AY33" s="106">
        <v>12798</v>
      </c>
      <c r="AZ33" s="106">
        <v>3</v>
      </c>
      <c r="BA33" s="106">
        <v>1422</v>
      </c>
      <c r="BB33" s="106">
        <v>3</v>
      </c>
      <c r="BC33" s="106">
        <v>1422</v>
      </c>
      <c r="BD33" s="106">
        <v>3</v>
      </c>
      <c r="BE33" s="106">
        <v>1422</v>
      </c>
      <c r="BF33" s="106">
        <v>3</v>
      </c>
      <c r="BG33" s="106">
        <v>1422</v>
      </c>
      <c r="BH33" s="106">
        <v>9</v>
      </c>
      <c r="BI33" s="106">
        <v>4266</v>
      </c>
      <c r="BJ33" s="106">
        <v>15</v>
      </c>
      <c r="BK33" s="106">
        <v>7110</v>
      </c>
      <c r="BL33" s="106">
        <v>13</v>
      </c>
      <c r="BM33" s="106">
        <v>6162</v>
      </c>
      <c r="BN33" s="106">
        <v>12</v>
      </c>
      <c r="BO33" s="106">
        <v>5688</v>
      </c>
      <c r="BP33" s="106">
        <v>3</v>
      </c>
      <c r="BQ33" s="106">
        <v>1422</v>
      </c>
      <c r="BR33" s="106">
        <v>3</v>
      </c>
      <c r="BS33" s="106">
        <v>1422</v>
      </c>
      <c r="BT33" s="106">
        <v>2</v>
      </c>
      <c r="BU33" s="106">
        <v>948</v>
      </c>
      <c r="BV33" s="106">
        <v>3</v>
      </c>
      <c r="BW33" s="106">
        <v>1422</v>
      </c>
      <c r="BX33" s="106">
        <v>22</v>
      </c>
      <c r="BY33" s="106">
        <v>10428</v>
      </c>
      <c r="BZ33" s="106">
        <v>18</v>
      </c>
      <c r="CA33" s="106">
        <v>8532</v>
      </c>
      <c r="CB33" s="106">
        <v>23</v>
      </c>
      <c r="CC33" s="106">
        <v>10902</v>
      </c>
      <c r="CD33" s="106">
        <v>22</v>
      </c>
      <c r="CE33" s="106">
        <v>10428</v>
      </c>
      <c r="CF33" s="106">
        <v>28</v>
      </c>
      <c r="CG33" s="106">
        <v>13272</v>
      </c>
      <c r="CH33" s="106">
        <v>28</v>
      </c>
      <c r="CI33" s="106">
        <v>13272</v>
      </c>
      <c r="CJ33" s="106">
        <v>30</v>
      </c>
      <c r="CK33" s="106">
        <v>14220</v>
      </c>
      <c r="CL33" s="106">
        <v>22</v>
      </c>
      <c r="CM33" s="106">
        <v>10428</v>
      </c>
      <c r="CN33" s="106">
        <v>16</v>
      </c>
      <c r="CO33" s="106">
        <v>7584</v>
      </c>
      <c r="CP33" s="106">
        <v>23</v>
      </c>
      <c r="CQ33" s="106">
        <v>10902</v>
      </c>
      <c r="CR33" s="106">
        <v>25</v>
      </c>
      <c r="CS33" s="106">
        <v>11850</v>
      </c>
      <c r="CT33" s="106">
        <v>22</v>
      </c>
      <c r="CU33" s="106">
        <v>10428</v>
      </c>
    </row>
    <row r="34" spans="2:99" x14ac:dyDescent="0.2">
      <c r="C34" s="105" t="s">
        <v>201</v>
      </c>
      <c r="D34" s="106">
        <v>2</v>
      </c>
      <c r="E34" s="106">
        <v>1096.8</v>
      </c>
      <c r="F34" s="106">
        <v>2</v>
      </c>
      <c r="G34" s="106">
        <v>1096.8</v>
      </c>
      <c r="H34" s="106">
        <v>3</v>
      </c>
      <c r="I34" s="106">
        <v>1645.1999999999998</v>
      </c>
      <c r="J34" s="106">
        <v>3</v>
      </c>
      <c r="K34" s="106">
        <v>1645.1999999999998</v>
      </c>
      <c r="L34" s="106">
        <v>22</v>
      </c>
      <c r="M34" s="106">
        <v>12064.8</v>
      </c>
      <c r="N34" s="106">
        <v>22</v>
      </c>
      <c r="O34" s="106">
        <v>12064.8</v>
      </c>
      <c r="P34" s="106">
        <v>22</v>
      </c>
      <c r="Q34" s="106">
        <v>12064.8</v>
      </c>
      <c r="R34" s="106">
        <v>24</v>
      </c>
      <c r="S34" s="106">
        <v>13161.599999999999</v>
      </c>
      <c r="T34" s="106">
        <v>4</v>
      </c>
      <c r="U34" s="106">
        <v>2193.6</v>
      </c>
      <c r="V34" s="106">
        <v>4</v>
      </c>
      <c r="W34" s="106">
        <v>2193.6</v>
      </c>
      <c r="X34" s="106">
        <v>4</v>
      </c>
      <c r="Y34" s="106">
        <v>2193.6</v>
      </c>
      <c r="Z34" s="106">
        <v>3</v>
      </c>
      <c r="AA34" s="106">
        <v>1645.1999999999998</v>
      </c>
      <c r="AB34" s="106">
        <v>4</v>
      </c>
      <c r="AC34" s="106">
        <v>2193.6</v>
      </c>
      <c r="AD34" s="106">
        <v>4</v>
      </c>
      <c r="AE34" s="106">
        <v>2193.6</v>
      </c>
      <c r="AF34" s="106">
        <v>3</v>
      </c>
      <c r="AG34" s="106">
        <v>1645.1999999999998</v>
      </c>
      <c r="AH34" s="106">
        <v>2</v>
      </c>
      <c r="AI34" s="106">
        <v>1096.8</v>
      </c>
      <c r="AJ34" s="106">
        <v>13</v>
      </c>
      <c r="AK34" s="106">
        <v>7129.2</v>
      </c>
      <c r="AL34" s="106">
        <v>15</v>
      </c>
      <c r="AM34" s="106">
        <v>8226</v>
      </c>
      <c r="AN34" s="106">
        <v>10</v>
      </c>
      <c r="AO34" s="106">
        <v>5484</v>
      </c>
      <c r="AP34" s="106">
        <v>9</v>
      </c>
      <c r="AQ34" s="106">
        <v>4935.5999999999995</v>
      </c>
      <c r="AR34" s="106">
        <v>26</v>
      </c>
      <c r="AS34" s="106">
        <v>14258.4</v>
      </c>
      <c r="AT34" s="106">
        <v>22</v>
      </c>
      <c r="AU34" s="106">
        <v>12064.8</v>
      </c>
      <c r="AV34" s="106">
        <v>40</v>
      </c>
      <c r="AW34" s="106">
        <v>21936</v>
      </c>
      <c r="AX34" s="106">
        <v>26</v>
      </c>
      <c r="AY34" s="106">
        <v>14258.4</v>
      </c>
      <c r="AZ34" s="106">
        <v>4</v>
      </c>
      <c r="BA34" s="106">
        <v>2193.6</v>
      </c>
      <c r="BB34" s="106">
        <v>3</v>
      </c>
      <c r="BC34" s="106">
        <v>1645.1999999999998</v>
      </c>
      <c r="BD34" s="106">
        <v>3</v>
      </c>
      <c r="BE34" s="106">
        <v>1645.1999999999998</v>
      </c>
      <c r="BF34" s="106">
        <v>4</v>
      </c>
      <c r="BG34" s="106">
        <v>2193.6</v>
      </c>
      <c r="BH34" s="106">
        <v>8</v>
      </c>
      <c r="BI34" s="106">
        <v>4387.2</v>
      </c>
      <c r="BJ34" s="106">
        <v>13</v>
      </c>
      <c r="BK34" s="106">
        <v>7129.2</v>
      </c>
      <c r="BL34" s="106">
        <v>12</v>
      </c>
      <c r="BM34" s="106">
        <v>6580.7999999999993</v>
      </c>
      <c r="BN34" s="106">
        <v>14</v>
      </c>
      <c r="BO34" s="106">
        <v>7677.5999999999995</v>
      </c>
      <c r="BP34" s="106">
        <v>3</v>
      </c>
      <c r="BQ34" s="106">
        <v>1645.1999999999998</v>
      </c>
      <c r="BR34" s="106">
        <v>2</v>
      </c>
      <c r="BS34" s="106">
        <v>1096.8</v>
      </c>
      <c r="BT34" s="106">
        <v>2</v>
      </c>
      <c r="BU34" s="106">
        <v>1096.8</v>
      </c>
      <c r="BV34" s="106">
        <v>3</v>
      </c>
      <c r="BW34" s="106">
        <v>1645.1999999999998</v>
      </c>
      <c r="BX34" s="106">
        <v>23</v>
      </c>
      <c r="BY34" s="106">
        <v>12613.199999999999</v>
      </c>
      <c r="BZ34" s="106">
        <v>19</v>
      </c>
      <c r="CA34" s="106">
        <v>10419.6</v>
      </c>
      <c r="CB34" s="106">
        <v>21</v>
      </c>
      <c r="CC34" s="106">
        <v>11516.4</v>
      </c>
      <c r="CD34" s="106">
        <v>19</v>
      </c>
      <c r="CE34" s="106">
        <v>10419.6</v>
      </c>
      <c r="CF34" s="106">
        <v>29</v>
      </c>
      <c r="CG34" s="106">
        <v>15903.599999999999</v>
      </c>
      <c r="CH34" s="106">
        <v>27</v>
      </c>
      <c r="CI34" s="106">
        <v>14806.8</v>
      </c>
      <c r="CJ34" s="106">
        <v>27</v>
      </c>
      <c r="CK34" s="106">
        <v>14806.8</v>
      </c>
      <c r="CL34" s="106">
        <v>20</v>
      </c>
      <c r="CM34" s="106">
        <v>10968</v>
      </c>
      <c r="CN34" s="106">
        <v>18</v>
      </c>
      <c r="CO34" s="106">
        <v>9871.1999999999989</v>
      </c>
      <c r="CP34" s="106">
        <v>26</v>
      </c>
      <c r="CQ34" s="106">
        <v>14258.4</v>
      </c>
      <c r="CR34" s="106">
        <v>26</v>
      </c>
      <c r="CS34" s="106">
        <v>14258.4</v>
      </c>
      <c r="CT34" s="106">
        <v>23</v>
      </c>
      <c r="CU34" s="106">
        <v>12613.199999999999</v>
      </c>
    </row>
    <row r="35" spans="2:99" x14ac:dyDescent="0.2">
      <c r="C35" s="105" t="s">
        <v>202</v>
      </c>
      <c r="D35" s="106">
        <v>2</v>
      </c>
      <c r="E35" s="106">
        <v>1005.5999999999998</v>
      </c>
      <c r="F35" s="106">
        <v>2</v>
      </c>
      <c r="G35" s="106">
        <v>1005.5999999999998</v>
      </c>
      <c r="H35" s="106">
        <v>3</v>
      </c>
      <c r="I35" s="106">
        <v>1508.3999999999996</v>
      </c>
      <c r="J35" s="106">
        <v>2</v>
      </c>
      <c r="K35" s="106">
        <v>1005.5999999999998</v>
      </c>
      <c r="L35" s="106">
        <v>22</v>
      </c>
      <c r="M35" s="106">
        <v>11061.599999999999</v>
      </c>
      <c r="N35" s="106">
        <v>22</v>
      </c>
      <c r="O35" s="106">
        <v>11061.599999999999</v>
      </c>
      <c r="P35" s="106">
        <v>23</v>
      </c>
      <c r="Q35" s="106">
        <v>11564.399999999998</v>
      </c>
      <c r="R35" s="106">
        <v>22</v>
      </c>
      <c r="S35" s="106">
        <v>11061.599999999999</v>
      </c>
      <c r="T35" s="106">
        <v>4</v>
      </c>
      <c r="U35" s="106">
        <v>2011.1999999999996</v>
      </c>
      <c r="V35" s="106">
        <v>3</v>
      </c>
      <c r="W35" s="106">
        <v>1508.3999999999996</v>
      </c>
      <c r="X35" s="106">
        <v>4</v>
      </c>
      <c r="Y35" s="106">
        <v>2011.1999999999996</v>
      </c>
      <c r="Z35" s="106">
        <v>3</v>
      </c>
      <c r="AA35" s="106">
        <v>1508.3999999999996</v>
      </c>
      <c r="AB35" s="106">
        <v>3</v>
      </c>
      <c r="AC35" s="106">
        <v>1508.3999999999996</v>
      </c>
      <c r="AD35" s="106">
        <v>4</v>
      </c>
      <c r="AE35" s="106">
        <v>2011.1999999999996</v>
      </c>
      <c r="AF35" s="106">
        <v>3</v>
      </c>
      <c r="AG35" s="106">
        <v>1508.3999999999996</v>
      </c>
      <c r="AH35" s="106">
        <v>2</v>
      </c>
      <c r="AI35" s="106">
        <v>1005.5999999999998</v>
      </c>
      <c r="AJ35" s="106">
        <v>16</v>
      </c>
      <c r="AK35" s="106">
        <v>8044.7999999999984</v>
      </c>
      <c r="AL35" s="106">
        <v>14</v>
      </c>
      <c r="AM35" s="106">
        <v>7039.1999999999989</v>
      </c>
      <c r="AN35" s="106">
        <v>9</v>
      </c>
      <c r="AO35" s="106">
        <v>4525.1999999999989</v>
      </c>
      <c r="AP35" s="106">
        <v>9</v>
      </c>
      <c r="AQ35" s="106">
        <v>4525.1999999999989</v>
      </c>
      <c r="AR35" s="106">
        <v>25</v>
      </c>
      <c r="AS35" s="106">
        <v>12569.999999999998</v>
      </c>
      <c r="AT35" s="106">
        <v>22</v>
      </c>
      <c r="AU35" s="106">
        <v>11061.599999999999</v>
      </c>
      <c r="AV35" s="106">
        <v>38</v>
      </c>
      <c r="AW35" s="106">
        <v>19106.399999999998</v>
      </c>
      <c r="AX35" s="106">
        <v>26</v>
      </c>
      <c r="AY35" s="106">
        <v>13072.799999999997</v>
      </c>
      <c r="AZ35" s="106">
        <v>3</v>
      </c>
      <c r="BA35" s="106">
        <v>1508.3999999999996</v>
      </c>
      <c r="BB35" s="106">
        <v>3</v>
      </c>
      <c r="BC35" s="106">
        <v>1508.3999999999996</v>
      </c>
      <c r="BD35" s="106">
        <v>3</v>
      </c>
      <c r="BE35" s="106">
        <v>1508.3999999999996</v>
      </c>
      <c r="BF35" s="106">
        <v>3</v>
      </c>
      <c r="BG35" s="106">
        <v>1508.3999999999996</v>
      </c>
      <c r="BH35" s="106">
        <v>8</v>
      </c>
      <c r="BI35" s="106">
        <v>4022.3999999999992</v>
      </c>
      <c r="BJ35" s="106">
        <v>15</v>
      </c>
      <c r="BK35" s="106">
        <v>7541.9999999999982</v>
      </c>
      <c r="BL35" s="106">
        <v>13</v>
      </c>
      <c r="BM35" s="106">
        <v>6536.3999999999987</v>
      </c>
      <c r="BN35" s="106">
        <v>13</v>
      </c>
      <c r="BO35" s="106">
        <v>6536.3999999999987</v>
      </c>
      <c r="BP35" s="106">
        <v>2</v>
      </c>
      <c r="BQ35" s="106">
        <v>1005.5999999999998</v>
      </c>
      <c r="BR35" s="106">
        <v>3</v>
      </c>
      <c r="BS35" s="106">
        <v>1508.3999999999996</v>
      </c>
      <c r="BT35" s="106">
        <v>2</v>
      </c>
      <c r="BU35" s="106">
        <v>1005.5999999999998</v>
      </c>
      <c r="BV35" s="106">
        <v>3</v>
      </c>
      <c r="BW35" s="106">
        <v>1508.3999999999996</v>
      </c>
      <c r="BX35" s="106">
        <v>24</v>
      </c>
      <c r="BY35" s="106">
        <v>12067.199999999997</v>
      </c>
      <c r="BZ35" s="106">
        <v>16</v>
      </c>
      <c r="CA35" s="106">
        <v>8044.7999999999984</v>
      </c>
      <c r="CB35" s="106">
        <v>24</v>
      </c>
      <c r="CC35" s="106">
        <v>12067.199999999997</v>
      </c>
      <c r="CD35" s="106">
        <v>19</v>
      </c>
      <c r="CE35" s="106">
        <v>9553.1999999999989</v>
      </c>
      <c r="CF35" s="106">
        <v>27</v>
      </c>
      <c r="CG35" s="106">
        <v>13575.599999999997</v>
      </c>
      <c r="CH35" s="106">
        <v>25</v>
      </c>
      <c r="CI35" s="106">
        <v>12569.999999999998</v>
      </c>
      <c r="CJ35" s="106">
        <v>31</v>
      </c>
      <c r="CK35" s="106">
        <v>15586.799999999997</v>
      </c>
      <c r="CL35" s="106">
        <v>18</v>
      </c>
      <c r="CM35" s="106">
        <v>9050.3999999999978</v>
      </c>
      <c r="CN35" s="106">
        <v>16</v>
      </c>
      <c r="CO35" s="106">
        <v>8044.7999999999984</v>
      </c>
      <c r="CP35" s="106">
        <v>27</v>
      </c>
      <c r="CQ35" s="106">
        <v>13575.599999999997</v>
      </c>
      <c r="CR35" s="106">
        <v>27</v>
      </c>
      <c r="CS35" s="106">
        <v>13575.599999999997</v>
      </c>
      <c r="CT35" s="106">
        <v>25</v>
      </c>
      <c r="CU35" s="106">
        <v>12569.999999999998</v>
      </c>
    </row>
    <row r="36" spans="2:99" x14ac:dyDescent="0.2">
      <c r="C36" s="105" t="s">
        <v>203</v>
      </c>
      <c r="D36" s="106">
        <v>2</v>
      </c>
      <c r="E36" s="106">
        <v>1521.6</v>
      </c>
      <c r="F36" s="106">
        <v>2</v>
      </c>
      <c r="G36" s="106">
        <v>1521.6</v>
      </c>
      <c r="H36" s="106">
        <v>3</v>
      </c>
      <c r="I36" s="106">
        <v>2282.3999999999996</v>
      </c>
      <c r="J36" s="106">
        <v>2</v>
      </c>
      <c r="K36" s="106">
        <v>1521.6</v>
      </c>
      <c r="L36" s="106">
        <v>23</v>
      </c>
      <c r="M36" s="106">
        <v>17498.399999999998</v>
      </c>
      <c r="N36" s="106">
        <v>22</v>
      </c>
      <c r="O36" s="106">
        <v>16737.599999999999</v>
      </c>
      <c r="P36" s="106">
        <v>21</v>
      </c>
      <c r="Q36" s="106">
        <v>15976.8</v>
      </c>
      <c r="R36" s="106">
        <v>19</v>
      </c>
      <c r="S36" s="106">
        <v>14455.199999999999</v>
      </c>
      <c r="T36" s="106">
        <v>5</v>
      </c>
      <c r="U36" s="106">
        <v>3804</v>
      </c>
      <c r="V36" s="106">
        <v>3</v>
      </c>
      <c r="W36" s="106">
        <v>2282.3999999999996</v>
      </c>
      <c r="X36" s="106">
        <v>4</v>
      </c>
      <c r="Y36" s="106">
        <v>3043.2</v>
      </c>
      <c r="Z36" s="106">
        <v>3</v>
      </c>
      <c r="AA36" s="106">
        <v>2282.3999999999996</v>
      </c>
      <c r="AB36" s="106">
        <v>3</v>
      </c>
      <c r="AC36" s="106">
        <v>2282.3999999999996</v>
      </c>
      <c r="AD36" s="106">
        <v>4</v>
      </c>
      <c r="AE36" s="106">
        <v>3043.2</v>
      </c>
      <c r="AF36" s="106">
        <v>3</v>
      </c>
      <c r="AG36" s="106">
        <v>2282.3999999999996</v>
      </c>
      <c r="AH36" s="106">
        <v>2</v>
      </c>
      <c r="AI36" s="106">
        <v>1521.6</v>
      </c>
      <c r="AJ36" s="106">
        <v>15</v>
      </c>
      <c r="AK36" s="106">
        <v>11412</v>
      </c>
      <c r="AL36" s="106">
        <v>12</v>
      </c>
      <c r="AM36" s="106">
        <v>9129.5999999999985</v>
      </c>
      <c r="AN36" s="106">
        <v>9</v>
      </c>
      <c r="AO36" s="106">
        <v>6847.2</v>
      </c>
      <c r="AP36" s="106">
        <v>8</v>
      </c>
      <c r="AQ36" s="106">
        <v>6086.4</v>
      </c>
      <c r="AR36" s="106">
        <v>24</v>
      </c>
      <c r="AS36" s="106">
        <v>18259.199999999997</v>
      </c>
      <c r="AT36" s="106">
        <v>20</v>
      </c>
      <c r="AU36" s="106">
        <v>15216</v>
      </c>
      <c r="AV36" s="106">
        <v>35</v>
      </c>
      <c r="AW36" s="106">
        <v>26628</v>
      </c>
      <c r="AX36" s="106">
        <v>27</v>
      </c>
      <c r="AY36" s="106">
        <v>20541.599999999999</v>
      </c>
      <c r="AZ36" s="106">
        <v>3</v>
      </c>
      <c r="BA36" s="106">
        <v>2282.3999999999996</v>
      </c>
      <c r="BB36" s="106">
        <v>3</v>
      </c>
      <c r="BC36" s="106">
        <v>2282.3999999999996</v>
      </c>
      <c r="BD36" s="106">
        <v>3</v>
      </c>
      <c r="BE36" s="106">
        <v>2282.3999999999996</v>
      </c>
      <c r="BF36" s="106">
        <v>4</v>
      </c>
      <c r="BG36" s="106">
        <v>3043.2</v>
      </c>
      <c r="BH36" s="106">
        <v>8</v>
      </c>
      <c r="BI36" s="106">
        <v>6086.4</v>
      </c>
      <c r="BJ36" s="106">
        <v>13</v>
      </c>
      <c r="BK36" s="106">
        <v>9890.4</v>
      </c>
      <c r="BL36" s="106">
        <v>13</v>
      </c>
      <c r="BM36" s="106">
        <v>9890.4</v>
      </c>
      <c r="BN36" s="106">
        <v>14</v>
      </c>
      <c r="BO36" s="106">
        <v>10651.199999999999</v>
      </c>
      <c r="BP36" s="106">
        <v>3</v>
      </c>
      <c r="BQ36" s="106">
        <v>2282.3999999999996</v>
      </c>
      <c r="BR36" s="106">
        <v>2</v>
      </c>
      <c r="BS36" s="106">
        <v>1521.6</v>
      </c>
      <c r="BT36" s="106">
        <v>2</v>
      </c>
      <c r="BU36" s="106">
        <v>1521.6</v>
      </c>
      <c r="BV36" s="106">
        <v>3</v>
      </c>
      <c r="BW36" s="106">
        <v>2282.3999999999996</v>
      </c>
      <c r="BX36" s="106">
        <v>23</v>
      </c>
      <c r="BY36" s="106">
        <v>17498.399999999998</v>
      </c>
      <c r="BZ36" s="106">
        <v>16</v>
      </c>
      <c r="CA36" s="106">
        <v>12172.8</v>
      </c>
      <c r="CB36" s="106">
        <v>22</v>
      </c>
      <c r="CC36" s="106">
        <v>16737.599999999999</v>
      </c>
      <c r="CD36" s="106">
        <v>19</v>
      </c>
      <c r="CE36" s="106">
        <v>14455.199999999999</v>
      </c>
      <c r="CF36" s="106">
        <v>27</v>
      </c>
      <c r="CG36" s="106">
        <v>20541.599999999999</v>
      </c>
      <c r="CH36" s="106">
        <v>28</v>
      </c>
      <c r="CI36" s="106">
        <v>21302.399999999998</v>
      </c>
      <c r="CJ36" s="106">
        <v>26</v>
      </c>
      <c r="CK36" s="106">
        <v>19780.8</v>
      </c>
      <c r="CL36" s="106">
        <v>17</v>
      </c>
      <c r="CM36" s="106">
        <v>12933.599999999999</v>
      </c>
      <c r="CN36" s="106">
        <v>17</v>
      </c>
      <c r="CO36" s="106">
        <v>12933.599999999999</v>
      </c>
      <c r="CP36" s="106">
        <v>25</v>
      </c>
      <c r="CQ36" s="106">
        <v>19020</v>
      </c>
      <c r="CR36" s="106">
        <v>24</v>
      </c>
      <c r="CS36" s="106">
        <v>18259.199999999997</v>
      </c>
      <c r="CT36" s="106">
        <v>21</v>
      </c>
      <c r="CU36" s="106">
        <v>15976.8</v>
      </c>
    </row>
    <row r="37" spans="2:99" x14ac:dyDescent="0.2">
      <c r="B37" s="105" t="s">
        <v>128</v>
      </c>
      <c r="C37" s="105" t="s">
        <v>204</v>
      </c>
      <c r="D37" s="106">
        <v>16</v>
      </c>
      <c r="E37" s="106">
        <v>13766.4</v>
      </c>
      <c r="F37" s="106">
        <v>16</v>
      </c>
      <c r="G37" s="106">
        <v>13766.4</v>
      </c>
      <c r="H37" s="106">
        <v>10</v>
      </c>
      <c r="I37" s="106">
        <v>8604</v>
      </c>
      <c r="J37" s="106">
        <v>15</v>
      </c>
      <c r="K37" s="106">
        <v>12906</v>
      </c>
      <c r="L37" s="106">
        <v>104</v>
      </c>
      <c r="M37" s="106">
        <v>89481.599999999991</v>
      </c>
      <c r="N37" s="106">
        <v>88</v>
      </c>
      <c r="O37" s="106">
        <v>75715.199999999997</v>
      </c>
      <c r="P37" s="106">
        <v>64</v>
      </c>
      <c r="Q37" s="106">
        <v>55065.599999999999</v>
      </c>
      <c r="R37" s="106">
        <v>50</v>
      </c>
      <c r="S37" s="106">
        <v>43020</v>
      </c>
      <c r="T37" s="106">
        <v>5</v>
      </c>
      <c r="U37" s="106">
        <v>4302</v>
      </c>
      <c r="V37" s="106">
        <v>4</v>
      </c>
      <c r="W37" s="106">
        <v>3441.6</v>
      </c>
      <c r="X37" s="106">
        <v>4</v>
      </c>
      <c r="Y37" s="106">
        <v>3441.6</v>
      </c>
      <c r="Z37" s="106">
        <v>5</v>
      </c>
      <c r="AA37" s="106">
        <v>4302</v>
      </c>
      <c r="AB37" s="106">
        <v>57</v>
      </c>
      <c r="AC37" s="106">
        <v>49042.799999999996</v>
      </c>
      <c r="AD37" s="106">
        <v>58</v>
      </c>
      <c r="AE37" s="106">
        <v>49903.199999999997</v>
      </c>
      <c r="AF37" s="106">
        <v>65</v>
      </c>
      <c r="AG37" s="106">
        <v>55926</v>
      </c>
      <c r="AH37" s="106">
        <v>94</v>
      </c>
      <c r="AI37" s="106">
        <v>80877.599999999991</v>
      </c>
      <c r="AJ37" s="106">
        <v>43</v>
      </c>
      <c r="AK37" s="106">
        <v>36997.199999999997</v>
      </c>
      <c r="AL37" s="106">
        <v>48</v>
      </c>
      <c r="AM37" s="106">
        <v>41299.199999999997</v>
      </c>
      <c r="AN37" s="106">
        <v>43</v>
      </c>
      <c r="AO37" s="106">
        <v>36997.199999999997</v>
      </c>
      <c r="AP37" s="106">
        <v>59</v>
      </c>
      <c r="AQ37" s="106">
        <v>50763.6</v>
      </c>
      <c r="AR37" s="106">
        <v>27</v>
      </c>
      <c r="AS37" s="106">
        <v>23230.799999999999</v>
      </c>
      <c r="AT37" s="106">
        <v>22</v>
      </c>
      <c r="AU37" s="106">
        <v>18928.8</v>
      </c>
      <c r="AV37" s="106">
        <v>21</v>
      </c>
      <c r="AW37" s="106">
        <v>18068.399999999998</v>
      </c>
      <c r="AX37" s="106">
        <v>29</v>
      </c>
      <c r="AY37" s="106">
        <v>24951.599999999999</v>
      </c>
      <c r="AZ37" s="106">
        <v>8</v>
      </c>
      <c r="BA37" s="106">
        <v>6883.2</v>
      </c>
      <c r="BB37" s="106">
        <v>8</v>
      </c>
      <c r="BC37" s="106">
        <v>6883.2</v>
      </c>
      <c r="BD37" s="106">
        <v>7</v>
      </c>
      <c r="BE37" s="106">
        <v>6022.8</v>
      </c>
      <c r="BF37" s="106">
        <v>6</v>
      </c>
      <c r="BG37" s="106">
        <v>5162.3999999999996</v>
      </c>
      <c r="BH37" s="106">
        <v>80</v>
      </c>
      <c r="BI37" s="106">
        <v>68832</v>
      </c>
      <c r="BJ37" s="106">
        <v>40</v>
      </c>
      <c r="BK37" s="106">
        <v>34416</v>
      </c>
      <c r="BL37" s="106">
        <v>58</v>
      </c>
      <c r="BM37" s="106">
        <v>49903.199999999997</v>
      </c>
      <c r="BN37" s="106">
        <v>59</v>
      </c>
      <c r="BO37" s="106">
        <v>50763.6</v>
      </c>
      <c r="BP37" s="106">
        <v>27</v>
      </c>
      <c r="BQ37" s="106">
        <v>23230.799999999999</v>
      </c>
      <c r="BR37" s="106">
        <v>27</v>
      </c>
      <c r="BS37" s="106">
        <v>23230.799999999999</v>
      </c>
      <c r="BT37" s="106">
        <v>26</v>
      </c>
      <c r="BU37" s="106">
        <v>22370.399999999998</v>
      </c>
      <c r="BV37" s="106">
        <v>38</v>
      </c>
      <c r="BW37" s="106">
        <v>32695.200000000001</v>
      </c>
      <c r="BX37" s="106">
        <v>7</v>
      </c>
      <c r="BY37" s="106">
        <v>6022.8</v>
      </c>
      <c r="BZ37" s="106">
        <v>8</v>
      </c>
      <c r="CA37" s="106">
        <v>6883.2</v>
      </c>
      <c r="CB37" s="106">
        <v>6</v>
      </c>
      <c r="CC37" s="106">
        <v>5162.3999999999996</v>
      </c>
      <c r="CD37" s="106">
        <v>11</v>
      </c>
      <c r="CE37" s="106">
        <v>9464.4</v>
      </c>
      <c r="CF37" s="106">
        <v>3</v>
      </c>
      <c r="CG37" s="106">
        <v>2581.1999999999998</v>
      </c>
      <c r="CH37" s="106">
        <v>6</v>
      </c>
      <c r="CI37" s="106">
        <v>5162.3999999999996</v>
      </c>
      <c r="CJ37" s="106">
        <v>6</v>
      </c>
      <c r="CK37" s="106">
        <v>5162.3999999999996</v>
      </c>
      <c r="CL37" s="106">
        <v>4</v>
      </c>
      <c r="CM37" s="106">
        <v>3441.6</v>
      </c>
      <c r="CN37" s="106">
        <v>7</v>
      </c>
      <c r="CO37" s="106">
        <v>6022.8</v>
      </c>
      <c r="CP37" s="106">
        <v>4</v>
      </c>
      <c r="CQ37" s="106">
        <v>3441.6</v>
      </c>
      <c r="CR37" s="106">
        <v>7</v>
      </c>
      <c r="CS37" s="106">
        <v>6022.8</v>
      </c>
      <c r="CT37" s="106">
        <v>5</v>
      </c>
      <c r="CU37" s="106">
        <v>4302</v>
      </c>
    </row>
    <row r="38" spans="2:99" x14ac:dyDescent="0.2">
      <c r="C38" s="105" t="s">
        <v>205</v>
      </c>
      <c r="D38" s="106">
        <v>15</v>
      </c>
      <c r="E38" s="106">
        <v>18630</v>
      </c>
      <c r="F38" s="106">
        <v>14</v>
      </c>
      <c r="G38" s="106">
        <v>17388</v>
      </c>
      <c r="H38" s="106">
        <v>10</v>
      </c>
      <c r="I38" s="106">
        <v>12420</v>
      </c>
      <c r="J38" s="106">
        <v>14</v>
      </c>
      <c r="K38" s="106">
        <v>17388</v>
      </c>
      <c r="L38" s="106">
        <v>92</v>
      </c>
      <c r="M38" s="106">
        <v>114264</v>
      </c>
      <c r="N38" s="106">
        <v>82</v>
      </c>
      <c r="O38" s="106">
        <v>101844</v>
      </c>
      <c r="P38" s="106">
        <v>49</v>
      </c>
      <c r="Q38" s="106">
        <v>60858</v>
      </c>
      <c r="R38" s="106">
        <v>52</v>
      </c>
      <c r="S38" s="106">
        <v>64584</v>
      </c>
      <c r="T38" s="106">
        <v>4</v>
      </c>
      <c r="U38" s="106">
        <v>4968</v>
      </c>
      <c r="V38" s="106">
        <v>4</v>
      </c>
      <c r="W38" s="106">
        <v>4968</v>
      </c>
      <c r="X38" s="106">
        <v>4</v>
      </c>
      <c r="Y38" s="106">
        <v>4968</v>
      </c>
      <c r="Z38" s="106">
        <v>5</v>
      </c>
      <c r="AA38" s="106">
        <v>6210</v>
      </c>
      <c r="AB38" s="106">
        <v>51</v>
      </c>
      <c r="AC38" s="106">
        <v>63342</v>
      </c>
      <c r="AD38" s="106">
        <v>51</v>
      </c>
      <c r="AE38" s="106">
        <v>63342</v>
      </c>
      <c r="AF38" s="106">
        <v>67</v>
      </c>
      <c r="AG38" s="106">
        <v>83214</v>
      </c>
      <c r="AH38" s="106">
        <v>90</v>
      </c>
      <c r="AI38" s="106">
        <v>111780</v>
      </c>
      <c r="AJ38" s="106">
        <v>42</v>
      </c>
      <c r="AK38" s="106">
        <v>52164</v>
      </c>
      <c r="AL38" s="106">
        <v>44</v>
      </c>
      <c r="AM38" s="106">
        <v>54648</v>
      </c>
      <c r="AN38" s="106">
        <v>35</v>
      </c>
      <c r="AO38" s="106">
        <v>43470</v>
      </c>
      <c r="AP38" s="106">
        <v>62</v>
      </c>
      <c r="AQ38" s="106">
        <v>77004</v>
      </c>
      <c r="AR38" s="106">
        <v>25</v>
      </c>
      <c r="AS38" s="106">
        <v>31050</v>
      </c>
      <c r="AT38" s="106">
        <v>18</v>
      </c>
      <c r="AU38" s="106">
        <v>22356</v>
      </c>
      <c r="AV38" s="106">
        <v>20</v>
      </c>
      <c r="AW38" s="106">
        <v>24840</v>
      </c>
      <c r="AX38" s="106">
        <v>25</v>
      </c>
      <c r="AY38" s="106">
        <v>31050</v>
      </c>
      <c r="AZ38" s="106">
        <v>8</v>
      </c>
      <c r="BA38" s="106">
        <v>9936</v>
      </c>
      <c r="BB38" s="106">
        <v>7</v>
      </c>
      <c r="BC38" s="106">
        <v>8694</v>
      </c>
      <c r="BD38" s="106">
        <v>6</v>
      </c>
      <c r="BE38" s="106">
        <v>7452</v>
      </c>
      <c r="BF38" s="106">
        <v>6</v>
      </c>
      <c r="BG38" s="106">
        <v>7452</v>
      </c>
      <c r="BH38" s="106">
        <v>67</v>
      </c>
      <c r="BI38" s="106">
        <v>83214</v>
      </c>
      <c r="BJ38" s="106">
        <v>39</v>
      </c>
      <c r="BK38" s="106">
        <v>48438</v>
      </c>
      <c r="BL38" s="106">
        <v>50</v>
      </c>
      <c r="BM38" s="106">
        <v>62100</v>
      </c>
      <c r="BN38" s="106">
        <v>53</v>
      </c>
      <c r="BO38" s="106">
        <v>65826</v>
      </c>
      <c r="BP38" s="106">
        <v>24</v>
      </c>
      <c r="BQ38" s="106">
        <v>29808</v>
      </c>
      <c r="BR38" s="106">
        <v>26</v>
      </c>
      <c r="BS38" s="106">
        <v>32292</v>
      </c>
      <c r="BT38" s="106">
        <v>23</v>
      </c>
      <c r="BU38" s="106">
        <v>28566</v>
      </c>
      <c r="BV38" s="106">
        <v>39</v>
      </c>
      <c r="BW38" s="106">
        <v>48438</v>
      </c>
      <c r="BX38" s="106">
        <v>6</v>
      </c>
      <c r="BY38" s="106">
        <v>7452</v>
      </c>
      <c r="BZ38" s="106">
        <v>8</v>
      </c>
      <c r="CA38" s="106">
        <v>9936</v>
      </c>
      <c r="CB38" s="106">
        <v>6</v>
      </c>
      <c r="CC38" s="106">
        <v>7452</v>
      </c>
      <c r="CD38" s="106">
        <v>10</v>
      </c>
      <c r="CE38" s="106">
        <v>12420</v>
      </c>
      <c r="CF38" s="106">
        <v>3</v>
      </c>
      <c r="CG38" s="106">
        <v>3726</v>
      </c>
      <c r="CH38" s="106">
        <v>5</v>
      </c>
      <c r="CI38" s="106">
        <v>6210</v>
      </c>
      <c r="CJ38" s="106">
        <v>6</v>
      </c>
      <c r="CK38" s="106">
        <v>7452</v>
      </c>
      <c r="CL38" s="106">
        <v>4</v>
      </c>
      <c r="CM38" s="106">
        <v>4968</v>
      </c>
      <c r="CN38" s="106">
        <v>6</v>
      </c>
      <c r="CO38" s="106">
        <v>7452</v>
      </c>
      <c r="CP38" s="106">
        <v>5</v>
      </c>
      <c r="CQ38" s="106">
        <v>6210</v>
      </c>
      <c r="CR38" s="106">
        <v>8</v>
      </c>
      <c r="CS38" s="106">
        <v>9936</v>
      </c>
      <c r="CT38" s="106">
        <v>5</v>
      </c>
      <c r="CU38" s="106">
        <v>6210</v>
      </c>
    </row>
    <row r="39" spans="2:99" x14ac:dyDescent="0.2">
      <c r="C39" s="105" t="s">
        <v>206</v>
      </c>
      <c r="D39" s="106">
        <v>14</v>
      </c>
      <c r="E39" s="106">
        <v>19924.8</v>
      </c>
      <c r="F39" s="106">
        <v>13</v>
      </c>
      <c r="G39" s="106">
        <v>18501.600000000002</v>
      </c>
      <c r="H39" s="106">
        <v>11</v>
      </c>
      <c r="I39" s="106">
        <v>15655.2</v>
      </c>
      <c r="J39" s="106">
        <v>13</v>
      </c>
      <c r="K39" s="106">
        <v>18501.600000000002</v>
      </c>
      <c r="L39" s="106">
        <v>88</v>
      </c>
      <c r="M39" s="106">
        <v>125241.60000000001</v>
      </c>
      <c r="N39" s="106">
        <v>84</v>
      </c>
      <c r="O39" s="106">
        <v>119548.8</v>
      </c>
      <c r="P39" s="106">
        <v>50</v>
      </c>
      <c r="Q39" s="106">
        <v>71160</v>
      </c>
      <c r="R39" s="106">
        <v>49</v>
      </c>
      <c r="S39" s="106">
        <v>69736.800000000003</v>
      </c>
      <c r="T39" s="106">
        <v>4</v>
      </c>
      <c r="U39" s="106">
        <v>5692.8</v>
      </c>
      <c r="V39" s="106">
        <v>4</v>
      </c>
      <c r="W39" s="106">
        <v>5692.8</v>
      </c>
      <c r="X39" s="106">
        <v>3</v>
      </c>
      <c r="Y39" s="106">
        <v>4269.6000000000004</v>
      </c>
      <c r="Z39" s="106">
        <v>4</v>
      </c>
      <c r="AA39" s="106">
        <v>5692.8</v>
      </c>
      <c r="AB39" s="106">
        <v>49</v>
      </c>
      <c r="AC39" s="106">
        <v>69736.800000000003</v>
      </c>
      <c r="AD39" s="106">
        <v>49</v>
      </c>
      <c r="AE39" s="106">
        <v>69736.800000000003</v>
      </c>
      <c r="AF39" s="106">
        <v>58</v>
      </c>
      <c r="AG39" s="106">
        <v>82545.600000000006</v>
      </c>
      <c r="AH39" s="106">
        <v>83</v>
      </c>
      <c r="AI39" s="106">
        <v>118125.6</v>
      </c>
      <c r="AJ39" s="106">
        <v>40</v>
      </c>
      <c r="AK39" s="106">
        <v>56928</v>
      </c>
      <c r="AL39" s="106">
        <v>44</v>
      </c>
      <c r="AM39" s="106">
        <v>62620.800000000003</v>
      </c>
      <c r="AN39" s="106">
        <v>36</v>
      </c>
      <c r="AO39" s="106">
        <v>51235.200000000004</v>
      </c>
      <c r="AP39" s="106">
        <v>60</v>
      </c>
      <c r="AQ39" s="106">
        <v>85392</v>
      </c>
      <c r="AR39" s="106">
        <v>25</v>
      </c>
      <c r="AS39" s="106">
        <v>35580</v>
      </c>
      <c r="AT39" s="106">
        <v>17</v>
      </c>
      <c r="AU39" s="106">
        <v>24194.400000000001</v>
      </c>
      <c r="AV39" s="106">
        <v>19</v>
      </c>
      <c r="AW39" s="106">
        <v>27040.799999999999</v>
      </c>
      <c r="AX39" s="106">
        <v>27</v>
      </c>
      <c r="AY39" s="106">
        <v>38426.400000000001</v>
      </c>
      <c r="AZ39" s="106">
        <v>7</v>
      </c>
      <c r="BA39" s="106">
        <v>9962.4</v>
      </c>
      <c r="BB39" s="106">
        <v>7</v>
      </c>
      <c r="BC39" s="106">
        <v>9962.4</v>
      </c>
      <c r="BD39" s="106">
        <v>7</v>
      </c>
      <c r="BE39" s="106">
        <v>9962.4</v>
      </c>
      <c r="BF39" s="106">
        <v>6</v>
      </c>
      <c r="BG39" s="106">
        <v>8539.2000000000007</v>
      </c>
      <c r="BH39" s="106">
        <v>63</v>
      </c>
      <c r="BI39" s="106">
        <v>89661.6</v>
      </c>
      <c r="BJ39" s="106">
        <v>39</v>
      </c>
      <c r="BK39" s="106">
        <v>55504.800000000003</v>
      </c>
      <c r="BL39" s="106">
        <v>54</v>
      </c>
      <c r="BM39" s="106">
        <v>76852.800000000003</v>
      </c>
      <c r="BN39" s="106">
        <v>55</v>
      </c>
      <c r="BO39" s="106">
        <v>78276</v>
      </c>
      <c r="BP39" s="106">
        <v>22</v>
      </c>
      <c r="BQ39" s="106">
        <v>31310.400000000001</v>
      </c>
      <c r="BR39" s="106">
        <v>25</v>
      </c>
      <c r="BS39" s="106">
        <v>35580</v>
      </c>
      <c r="BT39" s="106">
        <v>21</v>
      </c>
      <c r="BU39" s="106">
        <v>29887.200000000001</v>
      </c>
      <c r="BV39" s="106">
        <v>37</v>
      </c>
      <c r="BW39" s="106">
        <v>52658.400000000001</v>
      </c>
      <c r="BX39" s="106">
        <v>6</v>
      </c>
      <c r="BY39" s="106">
        <v>8539.2000000000007</v>
      </c>
      <c r="BZ39" s="106">
        <v>8</v>
      </c>
      <c r="CA39" s="106">
        <v>11385.6</v>
      </c>
      <c r="CB39" s="106">
        <v>7</v>
      </c>
      <c r="CC39" s="106">
        <v>9962.4</v>
      </c>
      <c r="CD39" s="106">
        <v>11</v>
      </c>
      <c r="CE39" s="106">
        <v>15655.2</v>
      </c>
      <c r="CF39" s="106">
        <v>4</v>
      </c>
      <c r="CG39" s="106">
        <v>5692.8</v>
      </c>
      <c r="CH39" s="106">
        <v>6</v>
      </c>
      <c r="CI39" s="106">
        <v>8539.2000000000007</v>
      </c>
      <c r="CJ39" s="106">
        <v>6</v>
      </c>
      <c r="CK39" s="106">
        <v>8539.2000000000007</v>
      </c>
      <c r="CL39" s="106">
        <v>3</v>
      </c>
      <c r="CM39" s="106">
        <v>4269.6000000000004</v>
      </c>
      <c r="CN39" s="106">
        <v>7</v>
      </c>
      <c r="CO39" s="106">
        <v>9962.4</v>
      </c>
      <c r="CP39" s="106">
        <v>4</v>
      </c>
      <c r="CQ39" s="106">
        <v>5692.8</v>
      </c>
      <c r="CR39" s="106">
        <v>7</v>
      </c>
      <c r="CS39" s="106">
        <v>9962.4</v>
      </c>
      <c r="CT39" s="106">
        <v>4</v>
      </c>
      <c r="CU39" s="106">
        <v>5692.8</v>
      </c>
    </row>
    <row r="40" spans="2:99" x14ac:dyDescent="0.2">
      <c r="C40" s="105" t="s">
        <v>207</v>
      </c>
      <c r="D40" s="106">
        <v>16</v>
      </c>
      <c r="E40" s="106">
        <v>11596.8</v>
      </c>
      <c r="F40" s="106">
        <v>14</v>
      </c>
      <c r="G40" s="106">
        <v>10147.199999999999</v>
      </c>
      <c r="H40" s="106">
        <v>12</v>
      </c>
      <c r="I40" s="106">
        <v>8697.5999999999985</v>
      </c>
      <c r="J40" s="106">
        <v>15</v>
      </c>
      <c r="K40" s="106">
        <v>10872</v>
      </c>
      <c r="L40" s="106">
        <v>98</v>
      </c>
      <c r="M40" s="106">
        <v>71030.399999999994</v>
      </c>
      <c r="N40" s="106">
        <v>99</v>
      </c>
      <c r="O40" s="106">
        <v>71755.199999999997</v>
      </c>
      <c r="P40" s="106">
        <v>58</v>
      </c>
      <c r="Q40" s="106">
        <v>42038.399999999994</v>
      </c>
      <c r="R40" s="106">
        <v>56</v>
      </c>
      <c r="S40" s="106">
        <v>40588.799999999996</v>
      </c>
      <c r="T40" s="106">
        <v>5</v>
      </c>
      <c r="U40" s="106">
        <v>3624</v>
      </c>
      <c r="V40" s="106">
        <v>4</v>
      </c>
      <c r="W40" s="106">
        <v>2899.2</v>
      </c>
      <c r="X40" s="106">
        <v>4</v>
      </c>
      <c r="Y40" s="106">
        <v>2899.2</v>
      </c>
      <c r="Z40" s="106">
        <v>5</v>
      </c>
      <c r="AA40" s="106">
        <v>3624</v>
      </c>
      <c r="AB40" s="106">
        <v>52</v>
      </c>
      <c r="AC40" s="106">
        <v>37689.599999999999</v>
      </c>
      <c r="AD40" s="106">
        <v>56</v>
      </c>
      <c r="AE40" s="106">
        <v>40588.799999999996</v>
      </c>
      <c r="AF40" s="106">
        <v>79</v>
      </c>
      <c r="AG40" s="106">
        <v>57259.199999999997</v>
      </c>
      <c r="AH40" s="106">
        <v>94</v>
      </c>
      <c r="AI40" s="106">
        <v>68131.199999999997</v>
      </c>
      <c r="AJ40" s="106">
        <v>50</v>
      </c>
      <c r="AK40" s="106">
        <v>36240</v>
      </c>
      <c r="AL40" s="106">
        <v>49</v>
      </c>
      <c r="AM40" s="106">
        <v>35515.199999999997</v>
      </c>
      <c r="AN40" s="106">
        <v>42</v>
      </c>
      <c r="AO40" s="106">
        <v>30441.599999999999</v>
      </c>
      <c r="AP40" s="106">
        <v>63</v>
      </c>
      <c r="AQ40" s="106">
        <v>45662.399999999994</v>
      </c>
      <c r="AR40" s="106">
        <v>26</v>
      </c>
      <c r="AS40" s="106">
        <v>18844.8</v>
      </c>
      <c r="AT40" s="106">
        <v>22</v>
      </c>
      <c r="AU40" s="106">
        <v>15945.599999999999</v>
      </c>
      <c r="AV40" s="106">
        <v>23</v>
      </c>
      <c r="AW40" s="106">
        <v>16670.399999999998</v>
      </c>
      <c r="AX40" s="106">
        <v>29</v>
      </c>
      <c r="AY40" s="106">
        <v>21019.199999999997</v>
      </c>
      <c r="AZ40" s="106">
        <v>7</v>
      </c>
      <c r="BA40" s="106">
        <v>5073.5999999999995</v>
      </c>
      <c r="BB40" s="106">
        <v>7</v>
      </c>
      <c r="BC40" s="106">
        <v>5073.5999999999995</v>
      </c>
      <c r="BD40" s="106">
        <v>6</v>
      </c>
      <c r="BE40" s="106">
        <v>4348.7999999999993</v>
      </c>
      <c r="BF40" s="106">
        <v>6</v>
      </c>
      <c r="BG40" s="106">
        <v>4348.7999999999993</v>
      </c>
      <c r="BH40" s="106">
        <v>68</v>
      </c>
      <c r="BI40" s="106">
        <v>49286.399999999994</v>
      </c>
      <c r="BJ40" s="106">
        <v>49</v>
      </c>
      <c r="BK40" s="106">
        <v>35515.199999999997</v>
      </c>
      <c r="BL40" s="106">
        <v>64</v>
      </c>
      <c r="BM40" s="106">
        <v>46387.199999999997</v>
      </c>
      <c r="BN40" s="106">
        <v>68</v>
      </c>
      <c r="BO40" s="106">
        <v>49286.399999999994</v>
      </c>
      <c r="BP40" s="106">
        <v>29</v>
      </c>
      <c r="BQ40" s="106">
        <v>21019.199999999997</v>
      </c>
      <c r="BR40" s="106">
        <v>29</v>
      </c>
      <c r="BS40" s="106">
        <v>21019.199999999997</v>
      </c>
      <c r="BT40" s="106">
        <v>26</v>
      </c>
      <c r="BU40" s="106">
        <v>18844.8</v>
      </c>
      <c r="BV40" s="106">
        <v>42</v>
      </c>
      <c r="BW40" s="106">
        <v>30441.599999999999</v>
      </c>
      <c r="BX40" s="106">
        <v>6</v>
      </c>
      <c r="BY40" s="106">
        <v>4348.7999999999993</v>
      </c>
      <c r="BZ40" s="106">
        <v>8</v>
      </c>
      <c r="CA40" s="106">
        <v>5798.4</v>
      </c>
      <c r="CB40" s="106">
        <v>7</v>
      </c>
      <c r="CC40" s="106">
        <v>5073.5999999999995</v>
      </c>
      <c r="CD40" s="106">
        <v>10</v>
      </c>
      <c r="CE40" s="106">
        <v>7248</v>
      </c>
      <c r="CF40" s="106">
        <v>3</v>
      </c>
      <c r="CG40" s="106">
        <v>2174.3999999999996</v>
      </c>
      <c r="CH40" s="106">
        <v>6</v>
      </c>
      <c r="CI40" s="106">
        <v>4348.7999999999993</v>
      </c>
      <c r="CJ40" s="106">
        <v>7</v>
      </c>
      <c r="CK40" s="106">
        <v>5073.5999999999995</v>
      </c>
      <c r="CL40" s="106">
        <v>4</v>
      </c>
      <c r="CM40" s="106">
        <v>2899.2</v>
      </c>
      <c r="CN40" s="106">
        <v>6</v>
      </c>
      <c r="CO40" s="106">
        <v>4348.7999999999993</v>
      </c>
      <c r="CP40" s="106">
        <v>5</v>
      </c>
      <c r="CQ40" s="106">
        <v>3624</v>
      </c>
      <c r="CR40" s="106">
        <v>8</v>
      </c>
      <c r="CS40" s="106">
        <v>5798.4</v>
      </c>
      <c r="CT40" s="106">
        <v>5</v>
      </c>
      <c r="CU40" s="106">
        <v>3624</v>
      </c>
    </row>
    <row r="41" spans="2:99" x14ac:dyDescent="0.2">
      <c r="C41" s="105" t="s">
        <v>208</v>
      </c>
      <c r="D41" s="106">
        <v>15</v>
      </c>
      <c r="E41" s="106">
        <v>9900</v>
      </c>
      <c r="F41" s="106">
        <v>14</v>
      </c>
      <c r="G41" s="106">
        <v>9240</v>
      </c>
      <c r="H41" s="106">
        <v>12</v>
      </c>
      <c r="I41" s="106">
        <v>7920</v>
      </c>
      <c r="J41" s="106">
        <v>13</v>
      </c>
      <c r="K41" s="106">
        <v>8580</v>
      </c>
      <c r="L41" s="106">
        <v>110</v>
      </c>
      <c r="M41" s="106">
        <v>72600</v>
      </c>
      <c r="N41" s="106">
        <v>88</v>
      </c>
      <c r="O41" s="106">
        <v>58080</v>
      </c>
      <c r="P41" s="106">
        <v>64</v>
      </c>
      <c r="Q41" s="106">
        <v>42240</v>
      </c>
      <c r="R41" s="106">
        <v>53</v>
      </c>
      <c r="S41" s="106">
        <v>34980</v>
      </c>
      <c r="T41" s="106">
        <v>5</v>
      </c>
      <c r="U41" s="106">
        <v>3300</v>
      </c>
      <c r="V41" s="106">
        <v>4</v>
      </c>
      <c r="W41" s="106">
        <v>2640</v>
      </c>
      <c r="X41" s="106">
        <v>4</v>
      </c>
      <c r="Y41" s="106">
        <v>2640</v>
      </c>
      <c r="Z41" s="106">
        <v>4</v>
      </c>
      <c r="AA41" s="106">
        <v>2640</v>
      </c>
      <c r="AB41" s="106">
        <v>54</v>
      </c>
      <c r="AC41" s="106">
        <v>35640</v>
      </c>
      <c r="AD41" s="106">
        <v>63</v>
      </c>
      <c r="AE41" s="106">
        <v>41580</v>
      </c>
      <c r="AF41" s="106">
        <v>77</v>
      </c>
      <c r="AG41" s="106">
        <v>50820</v>
      </c>
      <c r="AH41" s="106">
        <v>100</v>
      </c>
      <c r="AI41" s="106">
        <v>66000</v>
      </c>
      <c r="AJ41" s="106">
        <v>46</v>
      </c>
      <c r="AK41" s="106">
        <v>30360</v>
      </c>
      <c r="AL41" s="106">
        <v>53</v>
      </c>
      <c r="AM41" s="106">
        <v>34980</v>
      </c>
      <c r="AN41" s="106">
        <v>44</v>
      </c>
      <c r="AO41" s="106">
        <v>29040</v>
      </c>
      <c r="AP41" s="106">
        <v>69</v>
      </c>
      <c r="AQ41" s="106">
        <v>45540</v>
      </c>
      <c r="AR41" s="106">
        <v>24</v>
      </c>
      <c r="AS41" s="106">
        <v>15840</v>
      </c>
      <c r="AT41" s="106">
        <v>23</v>
      </c>
      <c r="AU41" s="106">
        <v>15180</v>
      </c>
      <c r="AV41" s="106">
        <v>20</v>
      </c>
      <c r="AW41" s="106">
        <v>13200</v>
      </c>
      <c r="AX41" s="106">
        <v>31</v>
      </c>
      <c r="AY41" s="106">
        <v>20460</v>
      </c>
      <c r="AZ41" s="106">
        <v>8</v>
      </c>
      <c r="BA41" s="106">
        <v>5280</v>
      </c>
      <c r="BB41" s="106">
        <v>8</v>
      </c>
      <c r="BC41" s="106">
        <v>5280</v>
      </c>
      <c r="BD41" s="106">
        <v>6</v>
      </c>
      <c r="BE41" s="106">
        <v>3960</v>
      </c>
      <c r="BF41" s="106">
        <v>7</v>
      </c>
      <c r="BG41" s="106">
        <v>4620</v>
      </c>
      <c r="BH41" s="106">
        <v>83</v>
      </c>
      <c r="BI41" s="106">
        <v>54780</v>
      </c>
      <c r="BJ41" s="106">
        <v>43</v>
      </c>
      <c r="BK41" s="106">
        <v>28380</v>
      </c>
      <c r="BL41" s="106">
        <v>59</v>
      </c>
      <c r="BM41" s="106">
        <v>38940</v>
      </c>
      <c r="BN41" s="106">
        <v>65</v>
      </c>
      <c r="BO41" s="106">
        <v>42900</v>
      </c>
      <c r="BP41" s="106">
        <v>30</v>
      </c>
      <c r="BQ41" s="106">
        <v>19800</v>
      </c>
      <c r="BR41" s="106">
        <v>27</v>
      </c>
      <c r="BS41" s="106">
        <v>17820</v>
      </c>
      <c r="BT41" s="106">
        <v>26</v>
      </c>
      <c r="BU41" s="106">
        <v>17160</v>
      </c>
      <c r="BV41" s="106">
        <v>41</v>
      </c>
      <c r="BW41" s="106">
        <v>27060</v>
      </c>
      <c r="BX41" s="106">
        <v>7</v>
      </c>
      <c r="BY41" s="106">
        <v>4620</v>
      </c>
      <c r="BZ41" s="106">
        <v>9</v>
      </c>
      <c r="CA41" s="106">
        <v>5940</v>
      </c>
      <c r="CB41" s="106">
        <v>7</v>
      </c>
      <c r="CC41" s="106">
        <v>4620</v>
      </c>
      <c r="CD41" s="106">
        <v>11</v>
      </c>
      <c r="CE41" s="106">
        <v>7260</v>
      </c>
      <c r="CF41" s="106">
        <v>3</v>
      </c>
      <c r="CG41" s="106">
        <v>1980</v>
      </c>
      <c r="CH41" s="106">
        <v>5</v>
      </c>
      <c r="CI41" s="106">
        <v>3300</v>
      </c>
      <c r="CJ41" s="106">
        <v>6</v>
      </c>
      <c r="CK41" s="106">
        <v>3960</v>
      </c>
      <c r="CL41" s="106">
        <v>3</v>
      </c>
      <c r="CM41" s="106">
        <v>1980</v>
      </c>
      <c r="CN41" s="106">
        <v>7</v>
      </c>
      <c r="CO41" s="106">
        <v>4620</v>
      </c>
      <c r="CP41" s="106">
        <v>4</v>
      </c>
      <c r="CQ41" s="106">
        <v>2640</v>
      </c>
      <c r="CR41" s="106">
        <v>7</v>
      </c>
      <c r="CS41" s="106">
        <v>4620</v>
      </c>
      <c r="CT41" s="106">
        <v>5</v>
      </c>
      <c r="CU41" s="106">
        <v>3300</v>
      </c>
    </row>
    <row r="42" spans="2:99" x14ac:dyDescent="0.2">
      <c r="C42" s="105" t="s">
        <v>209</v>
      </c>
      <c r="D42" s="106">
        <v>16</v>
      </c>
      <c r="E42" s="106">
        <v>13536</v>
      </c>
      <c r="F42" s="106">
        <v>14</v>
      </c>
      <c r="G42" s="106">
        <v>11844</v>
      </c>
      <c r="H42" s="106">
        <v>11</v>
      </c>
      <c r="I42" s="106">
        <v>9306</v>
      </c>
      <c r="J42" s="106">
        <v>15</v>
      </c>
      <c r="K42" s="106">
        <v>12690</v>
      </c>
      <c r="L42" s="106">
        <v>96</v>
      </c>
      <c r="M42" s="106">
        <v>81216</v>
      </c>
      <c r="N42" s="106">
        <v>81</v>
      </c>
      <c r="O42" s="106">
        <v>68526</v>
      </c>
      <c r="P42" s="106">
        <v>56</v>
      </c>
      <c r="Q42" s="106">
        <v>47376</v>
      </c>
      <c r="R42" s="106">
        <v>57</v>
      </c>
      <c r="S42" s="106">
        <v>48222</v>
      </c>
      <c r="T42" s="106">
        <v>5</v>
      </c>
      <c r="U42" s="106">
        <v>4230</v>
      </c>
      <c r="V42" s="106">
        <v>4</v>
      </c>
      <c r="W42" s="106">
        <v>3384</v>
      </c>
      <c r="X42" s="106">
        <v>4</v>
      </c>
      <c r="Y42" s="106">
        <v>3384</v>
      </c>
      <c r="Z42" s="106">
        <v>5</v>
      </c>
      <c r="AA42" s="106">
        <v>4230</v>
      </c>
      <c r="AB42" s="106">
        <v>60</v>
      </c>
      <c r="AC42" s="106">
        <v>50760</v>
      </c>
      <c r="AD42" s="106">
        <v>59</v>
      </c>
      <c r="AE42" s="106">
        <v>49914</v>
      </c>
      <c r="AF42" s="106">
        <v>69</v>
      </c>
      <c r="AG42" s="106">
        <v>58374</v>
      </c>
      <c r="AH42" s="106">
        <v>83</v>
      </c>
      <c r="AI42" s="106">
        <v>70218</v>
      </c>
      <c r="AJ42" s="106">
        <v>46</v>
      </c>
      <c r="AK42" s="106">
        <v>38916</v>
      </c>
      <c r="AL42" s="106">
        <v>46</v>
      </c>
      <c r="AM42" s="106">
        <v>38916</v>
      </c>
      <c r="AN42" s="106">
        <v>36</v>
      </c>
      <c r="AO42" s="106">
        <v>30456</v>
      </c>
      <c r="AP42" s="106">
        <v>60</v>
      </c>
      <c r="AQ42" s="106">
        <v>50760</v>
      </c>
      <c r="AR42" s="106">
        <v>27</v>
      </c>
      <c r="AS42" s="106">
        <v>22842</v>
      </c>
      <c r="AT42" s="106">
        <v>22</v>
      </c>
      <c r="AU42" s="106">
        <v>18612</v>
      </c>
      <c r="AV42" s="106">
        <v>22</v>
      </c>
      <c r="AW42" s="106">
        <v>18612</v>
      </c>
      <c r="AX42" s="106">
        <v>28</v>
      </c>
      <c r="AY42" s="106">
        <v>23688</v>
      </c>
      <c r="AZ42" s="106">
        <v>8</v>
      </c>
      <c r="BA42" s="106">
        <v>6768</v>
      </c>
      <c r="BB42" s="106">
        <v>7</v>
      </c>
      <c r="BC42" s="106">
        <v>5922</v>
      </c>
      <c r="BD42" s="106">
        <v>7</v>
      </c>
      <c r="BE42" s="106">
        <v>5922</v>
      </c>
      <c r="BF42" s="106">
        <v>6</v>
      </c>
      <c r="BG42" s="106">
        <v>5076</v>
      </c>
      <c r="BH42" s="106">
        <v>68</v>
      </c>
      <c r="BI42" s="106">
        <v>57528</v>
      </c>
      <c r="BJ42" s="106">
        <v>48</v>
      </c>
      <c r="BK42" s="106">
        <v>40608</v>
      </c>
      <c r="BL42" s="106">
        <v>59</v>
      </c>
      <c r="BM42" s="106">
        <v>49914</v>
      </c>
      <c r="BN42" s="106">
        <v>65</v>
      </c>
      <c r="BO42" s="106">
        <v>54990</v>
      </c>
      <c r="BP42" s="106">
        <v>27</v>
      </c>
      <c r="BQ42" s="106">
        <v>22842</v>
      </c>
      <c r="BR42" s="106">
        <v>26</v>
      </c>
      <c r="BS42" s="106">
        <v>21996</v>
      </c>
      <c r="BT42" s="106">
        <v>26</v>
      </c>
      <c r="BU42" s="106">
        <v>21996</v>
      </c>
      <c r="BV42" s="106">
        <v>38</v>
      </c>
      <c r="BW42" s="106">
        <v>32148</v>
      </c>
      <c r="BX42" s="106">
        <v>6</v>
      </c>
      <c r="BY42" s="106">
        <v>5076</v>
      </c>
      <c r="BZ42" s="106">
        <v>9</v>
      </c>
      <c r="CA42" s="106">
        <v>7614</v>
      </c>
      <c r="CB42" s="106">
        <v>7</v>
      </c>
      <c r="CC42" s="106">
        <v>5922</v>
      </c>
      <c r="CD42" s="106">
        <v>11</v>
      </c>
      <c r="CE42" s="106">
        <v>9306</v>
      </c>
      <c r="CF42" s="106">
        <v>3</v>
      </c>
      <c r="CG42" s="106">
        <v>2538</v>
      </c>
      <c r="CH42" s="106">
        <v>6</v>
      </c>
      <c r="CI42" s="106">
        <v>5076</v>
      </c>
      <c r="CJ42" s="106">
        <v>7</v>
      </c>
      <c r="CK42" s="106">
        <v>5922</v>
      </c>
      <c r="CL42" s="106">
        <v>4</v>
      </c>
      <c r="CM42" s="106">
        <v>3384</v>
      </c>
      <c r="CN42" s="106">
        <v>7</v>
      </c>
      <c r="CO42" s="106">
        <v>5922</v>
      </c>
      <c r="CP42" s="106">
        <v>4</v>
      </c>
      <c r="CQ42" s="106">
        <v>3384</v>
      </c>
      <c r="CR42" s="106">
        <v>8</v>
      </c>
      <c r="CS42" s="106">
        <v>6768</v>
      </c>
      <c r="CT42" s="106">
        <v>4</v>
      </c>
      <c r="CU42" s="106">
        <v>3384</v>
      </c>
    </row>
    <row r="43" spans="2:99" x14ac:dyDescent="0.2">
      <c r="C43" s="105" t="s">
        <v>210</v>
      </c>
      <c r="D43" s="106">
        <v>15</v>
      </c>
      <c r="E43" s="106">
        <v>15336</v>
      </c>
      <c r="F43" s="106">
        <v>15</v>
      </c>
      <c r="G43" s="106">
        <v>15336</v>
      </c>
      <c r="H43" s="106">
        <v>12</v>
      </c>
      <c r="I43" s="106">
        <v>12268.8</v>
      </c>
      <c r="J43" s="106">
        <v>14</v>
      </c>
      <c r="K43" s="106">
        <v>14313.6</v>
      </c>
      <c r="L43" s="106">
        <v>94</v>
      </c>
      <c r="M43" s="106">
        <v>96105.599999999991</v>
      </c>
      <c r="N43" s="106">
        <v>90</v>
      </c>
      <c r="O43" s="106">
        <v>92016</v>
      </c>
      <c r="P43" s="106">
        <v>58</v>
      </c>
      <c r="Q43" s="106">
        <v>59299.199999999997</v>
      </c>
      <c r="R43" s="106">
        <v>55</v>
      </c>
      <c r="S43" s="106">
        <v>56232</v>
      </c>
      <c r="T43" s="106">
        <v>5</v>
      </c>
      <c r="U43" s="106">
        <v>5112</v>
      </c>
      <c r="V43" s="106">
        <v>4</v>
      </c>
      <c r="W43" s="106">
        <v>4089.6</v>
      </c>
      <c r="X43" s="106">
        <v>4</v>
      </c>
      <c r="Y43" s="106">
        <v>4089.6</v>
      </c>
      <c r="Z43" s="106">
        <v>5</v>
      </c>
      <c r="AA43" s="106">
        <v>5112</v>
      </c>
      <c r="AB43" s="106">
        <v>54</v>
      </c>
      <c r="AC43" s="106">
        <v>55209.599999999999</v>
      </c>
      <c r="AD43" s="106">
        <v>55</v>
      </c>
      <c r="AE43" s="106">
        <v>56232</v>
      </c>
      <c r="AF43" s="106">
        <v>75</v>
      </c>
      <c r="AG43" s="106">
        <v>76680</v>
      </c>
      <c r="AH43" s="106">
        <v>79</v>
      </c>
      <c r="AI43" s="106">
        <v>80769.599999999991</v>
      </c>
      <c r="AJ43" s="106">
        <v>41</v>
      </c>
      <c r="AK43" s="106">
        <v>41918.400000000001</v>
      </c>
      <c r="AL43" s="106">
        <v>50</v>
      </c>
      <c r="AM43" s="106">
        <v>51120</v>
      </c>
      <c r="AN43" s="106">
        <v>39</v>
      </c>
      <c r="AO43" s="106">
        <v>39873.599999999999</v>
      </c>
      <c r="AP43" s="106">
        <v>60</v>
      </c>
      <c r="AQ43" s="106">
        <v>61344</v>
      </c>
      <c r="AR43" s="106">
        <v>24</v>
      </c>
      <c r="AS43" s="106">
        <v>24537.599999999999</v>
      </c>
      <c r="AT43" s="106">
        <v>22</v>
      </c>
      <c r="AU43" s="106">
        <v>22492.799999999999</v>
      </c>
      <c r="AV43" s="106">
        <v>19</v>
      </c>
      <c r="AW43" s="106">
        <v>19425.599999999999</v>
      </c>
      <c r="AX43" s="106">
        <v>26</v>
      </c>
      <c r="AY43" s="106">
        <v>26582.399999999998</v>
      </c>
      <c r="AZ43" s="106">
        <v>7</v>
      </c>
      <c r="BA43" s="106">
        <v>7156.8</v>
      </c>
      <c r="BB43" s="106">
        <v>7</v>
      </c>
      <c r="BC43" s="106">
        <v>7156.8</v>
      </c>
      <c r="BD43" s="106">
        <v>7</v>
      </c>
      <c r="BE43" s="106">
        <v>7156.8</v>
      </c>
      <c r="BF43" s="106">
        <v>7</v>
      </c>
      <c r="BG43" s="106">
        <v>7156.8</v>
      </c>
      <c r="BH43" s="106">
        <v>69</v>
      </c>
      <c r="BI43" s="106">
        <v>70545.599999999991</v>
      </c>
      <c r="BJ43" s="106">
        <v>42</v>
      </c>
      <c r="BK43" s="106">
        <v>42940.799999999996</v>
      </c>
      <c r="BL43" s="106">
        <v>60</v>
      </c>
      <c r="BM43" s="106">
        <v>61344</v>
      </c>
      <c r="BN43" s="106">
        <v>60</v>
      </c>
      <c r="BO43" s="106">
        <v>61344</v>
      </c>
      <c r="BP43" s="106">
        <v>25</v>
      </c>
      <c r="BQ43" s="106">
        <v>25560</v>
      </c>
      <c r="BR43" s="106">
        <v>26</v>
      </c>
      <c r="BS43" s="106">
        <v>26582.399999999998</v>
      </c>
      <c r="BT43" s="106">
        <v>24</v>
      </c>
      <c r="BU43" s="106">
        <v>24537.599999999999</v>
      </c>
      <c r="BV43" s="106">
        <v>41</v>
      </c>
      <c r="BW43" s="106">
        <v>41918.400000000001</v>
      </c>
      <c r="BX43" s="106">
        <v>7</v>
      </c>
      <c r="BY43" s="106">
        <v>7156.8</v>
      </c>
      <c r="BZ43" s="106">
        <v>8</v>
      </c>
      <c r="CA43" s="106">
        <v>8179.2</v>
      </c>
      <c r="CB43" s="106">
        <v>7</v>
      </c>
      <c r="CC43" s="106">
        <v>7156.8</v>
      </c>
      <c r="CD43" s="106">
        <v>10</v>
      </c>
      <c r="CE43" s="106">
        <v>10224</v>
      </c>
      <c r="CF43" s="106">
        <v>3</v>
      </c>
      <c r="CG43" s="106">
        <v>3067.2</v>
      </c>
      <c r="CH43" s="106">
        <v>6</v>
      </c>
      <c r="CI43" s="106">
        <v>6134.4</v>
      </c>
      <c r="CJ43" s="106">
        <v>7</v>
      </c>
      <c r="CK43" s="106">
        <v>7156.8</v>
      </c>
      <c r="CL43" s="106">
        <v>3</v>
      </c>
      <c r="CM43" s="106">
        <v>3067.2</v>
      </c>
      <c r="CN43" s="106">
        <v>7</v>
      </c>
      <c r="CO43" s="106">
        <v>7156.8</v>
      </c>
      <c r="CP43" s="106">
        <v>5</v>
      </c>
      <c r="CQ43" s="106">
        <v>5112</v>
      </c>
      <c r="CR43" s="106">
        <v>7</v>
      </c>
      <c r="CS43" s="106">
        <v>7156.8</v>
      </c>
      <c r="CT43" s="106">
        <v>5</v>
      </c>
      <c r="CU43" s="106">
        <v>5112</v>
      </c>
    </row>
    <row r="44" spans="2:99" x14ac:dyDescent="0.2">
      <c r="C44" s="105" t="s">
        <v>211</v>
      </c>
      <c r="D44" s="106">
        <v>16</v>
      </c>
      <c r="E44" s="106">
        <v>16358.4</v>
      </c>
      <c r="F44" s="106">
        <v>14</v>
      </c>
      <c r="G44" s="106">
        <v>14313.6</v>
      </c>
      <c r="H44" s="106">
        <v>12</v>
      </c>
      <c r="I44" s="106">
        <v>12268.8</v>
      </c>
      <c r="J44" s="106">
        <v>15</v>
      </c>
      <c r="K44" s="106">
        <v>15336</v>
      </c>
      <c r="L44" s="106">
        <v>86</v>
      </c>
      <c r="M44" s="106">
        <v>87926.399999999994</v>
      </c>
      <c r="N44" s="106">
        <v>77</v>
      </c>
      <c r="O44" s="106">
        <v>78724.800000000003</v>
      </c>
      <c r="P44" s="106">
        <v>60</v>
      </c>
      <c r="Q44" s="106">
        <v>61344</v>
      </c>
      <c r="R44" s="106">
        <v>45</v>
      </c>
      <c r="S44" s="106">
        <v>46008</v>
      </c>
      <c r="T44" s="106">
        <v>5</v>
      </c>
      <c r="U44" s="106">
        <v>5112</v>
      </c>
      <c r="V44" s="106">
        <v>4</v>
      </c>
      <c r="W44" s="106">
        <v>4089.6</v>
      </c>
      <c r="X44" s="106">
        <v>4</v>
      </c>
      <c r="Y44" s="106">
        <v>4089.6</v>
      </c>
      <c r="Z44" s="106">
        <v>5</v>
      </c>
      <c r="AA44" s="106">
        <v>5112</v>
      </c>
      <c r="AB44" s="106">
        <v>58</v>
      </c>
      <c r="AC44" s="106">
        <v>59299.199999999997</v>
      </c>
      <c r="AD44" s="106">
        <v>60</v>
      </c>
      <c r="AE44" s="106">
        <v>61344</v>
      </c>
      <c r="AF44" s="106">
        <v>72</v>
      </c>
      <c r="AG44" s="106">
        <v>73612.800000000003</v>
      </c>
      <c r="AH44" s="106">
        <v>81</v>
      </c>
      <c r="AI44" s="106">
        <v>82814.399999999994</v>
      </c>
      <c r="AJ44" s="106">
        <v>45</v>
      </c>
      <c r="AK44" s="106">
        <v>46008</v>
      </c>
      <c r="AL44" s="106">
        <v>44</v>
      </c>
      <c r="AM44" s="106">
        <v>44985.599999999999</v>
      </c>
      <c r="AN44" s="106">
        <v>36</v>
      </c>
      <c r="AO44" s="106">
        <v>36806.400000000001</v>
      </c>
      <c r="AP44" s="106">
        <v>67</v>
      </c>
      <c r="AQ44" s="106">
        <v>68500.800000000003</v>
      </c>
      <c r="AR44" s="106">
        <v>23</v>
      </c>
      <c r="AS44" s="106">
        <v>23515.200000000001</v>
      </c>
      <c r="AT44" s="106">
        <v>22</v>
      </c>
      <c r="AU44" s="106">
        <v>22492.799999999999</v>
      </c>
      <c r="AV44" s="106">
        <v>22</v>
      </c>
      <c r="AW44" s="106">
        <v>22492.799999999999</v>
      </c>
      <c r="AX44" s="106">
        <v>27</v>
      </c>
      <c r="AY44" s="106">
        <v>27604.799999999999</v>
      </c>
      <c r="AZ44" s="106">
        <v>7</v>
      </c>
      <c r="BA44" s="106">
        <v>7156.8</v>
      </c>
      <c r="BB44" s="106">
        <v>7</v>
      </c>
      <c r="BC44" s="106">
        <v>7156.8</v>
      </c>
      <c r="BD44" s="106">
        <v>6</v>
      </c>
      <c r="BE44" s="106">
        <v>6134.4</v>
      </c>
      <c r="BF44" s="106">
        <v>6</v>
      </c>
      <c r="BG44" s="106">
        <v>6134.4</v>
      </c>
      <c r="BH44" s="106">
        <v>74</v>
      </c>
      <c r="BI44" s="106">
        <v>75657.599999999991</v>
      </c>
      <c r="BJ44" s="106">
        <v>41</v>
      </c>
      <c r="BK44" s="106">
        <v>41918.400000000001</v>
      </c>
      <c r="BL44" s="106">
        <v>53</v>
      </c>
      <c r="BM44" s="106">
        <v>54187.199999999997</v>
      </c>
      <c r="BN44" s="106">
        <v>57</v>
      </c>
      <c r="BO44" s="106">
        <v>58276.799999999996</v>
      </c>
      <c r="BP44" s="106">
        <v>25</v>
      </c>
      <c r="BQ44" s="106">
        <v>25560</v>
      </c>
      <c r="BR44" s="106">
        <v>26</v>
      </c>
      <c r="BS44" s="106">
        <v>26582.399999999998</v>
      </c>
      <c r="BT44" s="106">
        <v>22</v>
      </c>
      <c r="BU44" s="106">
        <v>22492.799999999999</v>
      </c>
      <c r="BV44" s="106">
        <v>39</v>
      </c>
      <c r="BW44" s="106">
        <v>39873.599999999999</v>
      </c>
      <c r="BX44" s="106">
        <v>7</v>
      </c>
      <c r="BY44" s="106">
        <v>7156.8</v>
      </c>
      <c r="BZ44" s="106">
        <v>9</v>
      </c>
      <c r="CA44" s="106">
        <v>9201.6</v>
      </c>
      <c r="CB44" s="106">
        <v>6</v>
      </c>
      <c r="CC44" s="106">
        <v>6134.4</v>
      </c>
      <c r="CD44" s="106">
        <v>11</v>
      </c>
      <c r="CE44" s="106">
        <v>11246.4</v>
      </c>
      <c r="CF44" s="106">
        <v>3</v>
      </c>
      <c r="CG44" s="106">
        <v>3067.2</v>
      </c>
      <c r="CH44" s="106">
        <v>6</v>
      </c>
      <c r="CI44" s="106">
        <v>6134.4</v>
      </c>
      <c r="CJ44" s="106">
        <v>7</v>
      </c>
      <c r="CK44" s="106">
        <v>7156.8</v>
      </c>
      <c r="CL44" s="106">
        <v>4</v>
      </c>
      <c r="CM44" s="106">
        <v>4089.6</v>
      </c>
      <c r="CN44" s="106">
        <v>7</v>
      </c>
      <c r="CO44" s="106">
        <v>7156.8</v>
      </c>
      <c r="CP44" s="106">
        <v>4</v>
      </c>
      <c r="CQ44" s="106">
        <v>4089.6</v>
      </c>
      <c r="CR44" s="106">
        <v>7</v>
      </c>
      <c r="CS44" s="106">
        <v>7156.8</v>
      </c>
      <c r="CT44" s="106">
        <v>5</v>
      </c>
      <c r="CU44" s="106">
        <v>5112</v>
      </c>
    </row>
    <row r="45" spans="2:99" x14ac:dyDescent="0.2">
      <c r="C45" s="105" t="s">
        <v>212</v>
      </c>
      <c r="D45" s="106">
        <v>16</v>
      </c>
      <c r="E45" s="106">
        <v>19987.2</v>
      </c>
      <c r="F45" s="106">
        <v>15</v>
      </c>
      <c r="G45" s="106">
        <v>18738</v>
      </c>
      <c r="H45" s="106">
        <v>10</v>
      </c>
      <c r="I45" s="106">
        <v>12492</v>
      </c>
      <c r="J45" s="106">
        <v>12</v>
      </c>
      <c r="K45" s="106">
        <v>14990.400000000001</v>
      </c>
      <c r="L45" s="106">
        <v>95</v>
      </c>
      <c r="M45" s="106">
        <v>118674</v>
      </c>
      <c r="N45" s="106">
        <v>76</v>
      </c>
      <c r="O45" s="106">
        <v>94939.199999999997</v>
      </c>
      <c r="P45" s="106">
        <v>56</v>
      </c>
      <c r="Q45" s="106">
        <v>69955.199999999997</v>
      </c>
      <c r="R45" s="106">
        <v>44</v>
      </c>
      <c r="S45" s="106">
        <v>54964.800000000003</v>
      </c>
      <c r="T45" s="106">
        <v>5</v>
      </c>
      <c r="U45" s="106">
        <v>6246</v>
      </c>
      <c r="V45" s="106">
        <v>4</v>
      </c>
      <c r="W45" s="106">
        <v>4996.8</v>
      </c>
      <c r="X45" s="106">
        <v>4</v>
      </c>
      <c r="Y45" s="106">
        <v>4996.8</v>
      </c>
      <c r="Z45" s="106">
        <v>5</v>
      </c>
      <c r="AA45" s="106">
        <v>6246</v>
      </c>
      <c r="AB45" s="106">
        <v>53</v>
      </c>
      <c r="AC45" s="106">
        <v>66207.600000000006</v>
      </c>
      <c r="AD45" s="106">
        <v>50</v>
      </c>
      <c r="AE45" s="106">
        <v>62460</v>
      </c>
      <c r="AF45" s="106">
        <v>72</v>
      </c>
      <c r="AG45" s="106">
        <v>89942.400000000009</v>
      </c>
      <c r="AH45" s="106">
        <v>81</v>
      </c>
      <c r="AI45" s="106">
        <v>101185.2</v>
      </c>
      <c r="AJ45" s="106">
        <v>38</v>
      </c>
      <c r="AK45" s="106">
        <v>47469.599999999999</v>
      </c>
      <c r="AL45" s="106">
        <v>45</v>
      </c>
      <c r="AM45" s="106">
        <v>56214</v>
      </c>
      <c r="AN45" s="106">
        <v>36</v>
      </c>
      <c r="AO45" s="106">
        <v>44971.200000000004</v>
      </c>
      <c r="AP45" s="106">
        <v>59</v>
      </c>
      <c r="AQ45" s="106">
        <v>73702.8</v>
      </c>
      <c r="AR45" s="106">
        <v>26</v>
      </c>
      <c r="AS45" s="106">
        <v>32479.200000000001</v>
      </c>
      <c r="AT45" s="106">
        <v>19</v>
      </c>
      <c r="AU45" s="106">
        <v>23734.799999999999</v>
      </c>
      <c r="AV45" s="106">
        <v>19</v>
      </c>
      <c r="AW45" s="106">
        <v>23734.799999999999</v>
      </c>
      <c r="AX45" s="106">
        <v>27</v>
      </c>
      <c r="AY45" s="106">
        <v>33728.400000000001</v>
      </c>
      <c r="AZ45" s="106">
        <v>7</v>
      </c>
      <c r="BA45" s="106">
        <v>8744.4</v>
      </c>
      <c r="BB45" s="106">
        <v>7</v>
      </c>
      <c r="BC45" s="106">
        <v>8744.4</v>
      </c>
      <c r="BD45" s="106">
        <v>6</v>
      </c>
      <c r="BE45" s="106">
        <v>7495.2000000000007</v>
      </c>
      <c r="BF45" s="106">
        <v>5</v>
      </c>
      <c r="BG45" s="106">
        <v>6246</v>
      </c>
      <c r="BH45" s="106">
        <v>71</v>
      </c>
      <c r="BI45" s="106">
        <v>88693.2</v>
      </c>
      <c r="BJ45" s="106">
        <v>41</v>
      </c>
      <c r="BK45" s="106">
        <v>51217.200000000004</v>
      </c>
      <c r="BL45" s="106">
        <v>54</v>
      </c>
      <c r="BM45" s="106">
        <v>67456.800000000003</v>
      </c>
      <c r="BN45" s="106">
        <v>54</v>
      </c>
      <c r="BO45" s="106">
        <v>67456.800000000003</v>
      </c>
      <c r="BP45" s="106">
        <v>25</v>
      </c>
      <c r="BQ45" s="106">
        <v>31230</v>
      </c>
      <c r="BR45" s="106">
        <v>23</v>
      </c>
      <c r="BS45" s="106">
        <v>28731.600000000002</v>
      </c>
      <c r="BT45" s="106">
        <v>25</v>
      </c>
      <c r="BU45" s="106">
        <v>31230</v>
      </c>
      <c r="BV45" s="106">
        <v>37</v>
      </c>
      <c r="BW45" s="106">
        <v>46220.4</v>
      </c>
      <c r="BX45" s="106">
        <v>7</v>
      </c>
      <c r="BY45" s="106">
        <v>8744.4</v>
      </c>
      <c r="BZ45" s="106">
        <v>9</v>
      </c>
      <c r="CA45" s="106">
        <v>11242.800000000001</v>
      </c>
      <c r="CB45" s="106">
        <v>6</v>
      </c>
      <c r="CC45" s="106">
        <v>7495.2000000000007</v>
      </c>
      <c r="CD45" s="106">
        <v>10</v>
      </c>
      <c r="CE45" s="106">
        <v>12492</v>
      </c>
      <c r="CF45" s="106">
        <v>3</v>
      </c>
      <c r="CG45" s="106">
        <v>3747.6000000000004</v>
      </c>
      <c r="CH45" s="106">
        <v>6</v>
      </c>
      <c r="CI45" s="106">
        <v>7495.2000000000007</v>
      </c>
      <c r="CJ45" s="106">
        <v>7</v>
      </c>
      <c r="CK45" s="106">
        <v>8744.4</v>
      </c>
      <c r="CL45" s="106">
        <v>3</v>
      </c>
      <c r="CM45" s="106">
        <v>3747.6000000000004</v>
      </c>
      <c r="CN45" s="106">
        <v>7</v>
      </c>
      <c r="CO45" s="106">
        <v>8744.4</v>
      </c>
      <c r="CP45" s="106">
        <v>5</v>
      </c>
      <c r="CQ45" s="106">
        <v>6246</v>
      </c>
      <c r="CR45" s="106">
        <v>7</v>
      </c>
      <c r="CS45" s="106">
        <v>8744.4</v>
      </c>
      <c r="CT45" s="106">
        <v>4</v>
      </c>
      <c r="CU45" s="106">
        <v>4996.8</v>
      </c>
    </row>
    <row r="46" spans="2:99" x14ac:dyDescent="0.2">
      <c r="C46" s="105" t="s">
        <v>213</v>
      </c>
      <c r="D46" s="106">
        <v>14</v>
      </c>
      <c r="E46" s="106">
        <v>16968</v>
      </c>
      <c r="F46" s="106">
        <v>15</v>
      </c>
      <c r="G46" s="106">
        <v>18180</v>
      </c>
      <c r="H46" s="106">
        <v>10</v>
      </c>
      <c r="I46" s="106">
        <v>12120</v>
      </c>
      <c r="J46" s="106">
        <v>14</v>
      </c>
      <c r="K46" s="106">
        <v>16968</v>
      </c>
      <c r="L46" s="106">
        <v>95</v>
      </c>
      <c r="M46" s="106">
        <v>115140</v>
      </c>
      <c r="N46" s="106">
        <v>84</v>
      </c>
      <c r="O46" s="106">
        <v>101808</v>
      </c>
      <c r="P46" s="106">
        <v>58</v>
      </c>
      <c r="Q46" s="106">
        <v>70296</v>
      </c>
      <c r="R46" s="106">
        <v>48</v>
      </c>
      <c r="S46" s="106">
        <v>58176</v>
      </c>
      <c r="T46" s="106">
        <v>5</v>
      </c>
      <c r="U46" s="106">
        <v>6060</v>
      </c>
      <c r="V46" s="106">
        <v>4</v>
      </c>
      <c r="W46" s="106">
        <v>4848</v>
      </c>
      <c r="X46" s="106">
        <v>4</v>
      </c>
      <c r="Y46" s="106">
        <v>4848</v>
      </c>
      <c r="Z46" s="106">
        <v>5</v>
      </c>
      <c r="AA46" s="106">
        <v>6060</v>
      </c>
      <c r="AB46" s="106">
        <v>50</v>
      </c>
      <c r="AC46" s="106">
        <v>60600</v>
      </c>
      <c r="AD46" s="106">
        <v>53</v>
      </c>
      <c r="AE46" s="106">
        <v>64236</v>
      </c>
      <c r="AF46" s="106">
        <v>69</v>
      </c>
      <c r="AG46" s="106">
        <v>83628</v>
      </c>
      <c r="AH46" s="106">
        <v>89</v>
      </c>
      <c r="AI46" s="106">
        <v>107868</v>
      </c>
      <c r="AJ46" s="106">
        <v>46</v>
      </c>
      <c r="AK46" s="106">
        <v>55752</v>
      </c>
      <c r="AL46" s="106">
        <v>46</v>
      </c>
      <c r="AM46" s="106">
        <v>55752</v>
      </c>
      <c r="AN46" s="106">
        <v>38</v>
      </c>
      <c r="AO46" s="106">
        <v>46056</v>
      </c>
      <c r="AP46" s="106">
        <v>54</v>
      </c>
      <c r="AQ46" s="106">
        <v>65448</v>
      </c>
      <c r="AR46" s="106">
        <v>25</v>
      </c>
      <c r="AS46" s="106">
        <v>30300</v>
      </c>
      <c r="AT46" s="106">
        <v>20</v>
      </c>
      <c r="AU46" s="106">
        <v>24240</v>
      </c>
      <c r="AV46" s="106">
        <v>20</v>
      </c>
      <c r="AW46" s="106">
        <v>24240</v>
      </c>
      <c r="AX46" s="106">
        <v>27</v>
      </c>
      <c r="AY46" s="106">
        <v>32724</v>
      </c>
      <c r="AZ46" s="106">
        <v>8</v>
      </c>
      <c r="BA46" s="106">
        <v>9696</v>
      </c>
      <c r="BB46" s="106">
        <v>8</v>
      </c>
      <c r="BC46" s="106">
        <v>9696</v>
      </c>
      <c r="BD46" s="106">
        <v>6</v>
      </c>
      <c r="BE46" s="106">
        <v>7272</v>
      </c>
      <c r="BF46" s="106">
        <v>5</v>
      </c>
      <c r="BG46" s="106">
        <v>6060</v>
      </c>
      <c r="BH46" s="106">
        <v>64</v>
      </c>
      <c r="BI46" s="106">
        <v>77568</v>
      </c>
      <c r="BJ46" s="106">
        <v>40</v>
      </c>
      <c r="BK46" s="106">
        <v>48480</v>
      </c>
      <c r="BL46" s="106">
        <v>50</v>
      </c>
      <c r="BM46" s="106">
        <v>60600</v>
      </c>
      <c r="BN46" s="106">
        <v>62</v>
      </c>
      <c r="BO46" s="106">
        <v>75144</v>
      </c>
      <c r="BP46" s="106">
        <v>27</v>
      </c>
      <c r="BQ46" s="106">
        <v>32724</v>
      </c>
      <c r="BR46" s="106">
        <v>24</v>
      </c>
      <c r="BS46" s="106">
        <v>29088</v>
      </c>
      <c r="BT46" s="106">
        <v>25</v>
      </c>
      <c r="BU46" s="106">
        <v>30300</v>
      </c>
      <c r="BV46" s="106">
        <v>39</v>
      </c>
      <c r="BW46" s="106">
        <v>47268</v>
      </c>
      <c r="BX46" s="106">
        <v>6</v>
      </c>
      <c r="BY46" s="106">
        <v>7272</v>
      </c>
      <c r="BZ46" s="106">
        <v>8</v>
      </c>
      <c r="CA46" s="106">
        <v>9696</v>
      </c>
      <c r="CB46" s="106">
        <v>7</v>
      </c>
      <c r="CC46" s="106">
        <v>8484</v>
      </c>
      <c r="CD46" s="106">
        <v>9</v>
      </c>
      <c r="CE46" s="106">
        <v>10908</v>
      </c>
      <c r="CF46" s="106">
        <v>3</v>
      </c>
      <c r="CG46" s="106">
        <v>3636</v>
      </c>
      <c r="CH46" s="106">
        <v>6</v>
      </c>
      <c r="CI46" s="106">
        <v>7272</v>
      </c>
      <c r="CJ46" s="106">
        <v>6</v>
      </c>
      <c r="CK46" s="106">
        <v>7272</v>
      </c>
      <c r="CL46" s="106">
        <v>3</v>
      </c>
      <c r="CM46" s="106">
        <v>3636</v>
      </c>
      <c r="CN46" s="106">
        <v>7</v>
      </c>
      <c r="CO46" s="106">
        <v>8484</v>
      </c>
      <c r="CP46" s="106">
        <v>4</v>
      </c>
      <c r="CQ46" s="106">
        <v>4848</v>
      </c>
      <c r="CR46" s="106">
        <v>7</v>
      </c>
      <c r="CS46" s="106">
        <v>8484</v>
      </c>
      <c r="CT46" s="106">
        <v>5</v>
      </c>
      <c r="CU46" s="106">
        <v>6060</v>
      </c>
    </row>
    <row r="47" spans="2:99" x14ac:dyDescent="0.2">
      <c r="C47" s="105" t="s">
        <v>214</v>
      </c>
      <c r="D47" s="106">
        <v>13</v>
      </c>
      <c r="E47" s="106">
        <v>19858.8</v>
      </c>
      <c r="F47" s="106">
        <v>13</v>
      </c>
      <c r="G47" s="106">
        <v>19858.8</v>
      </c>
      <c r="H47" s="106">
        <v>11</v>
      </c>
      <c r="I47" s="106">
        <v>16803.599999999999</v>
      </c>
      <c r="J47" s="106">
        <v>13</v>
      </c>
      <c r="K47" s="106">
        <v>19858.8</v>
      </c>
      <c r="L47" s="106">
        <v>80</v>
      </c>
      <c r="M47" s="106">
        <v>122208</v>
      </c>
      <c r="N47" s="106">
        <v>78</v>
      </c>
      <c r="O47" s="106">
        <v>119152.79999999999</v>
      </c>
      <c r="P47" s="106">
        <v>56</v>
      </c>
      <c r="Q47" s="106">
        <v>85545.599999999991</v>
      </c>
      <c r="R47" s="106">
        <v>49</v>
      </c>
      <c r="S47" s="106">
        <v>74852.399999999994</v>
      </c>
      <c r="T47" s="106">
        <v>5</v>
      </c>
      <c r="U47" s="106">
        <v>7638</v>
      </c>
      <c r="V47" s="106">
        <v>4</v>
      </c>
      <c r="W47" s="106">
        <v>6110.4</v>
      </c>
      <c r="X47" s="106">
        <v>4</v>
      </c>
      <c r="Y47" s="106">
        <v>6110.4</v>
      </c>
      <c r="Z47" s="106">
        <v>5</v>
      </c>
      <c r="AA47" s="106">
        <v>7638</v>
      </c>
      <c r="AB47" s="106">
        <v>49</v>
      </c>
      <c r="AC47" s="106">
        <v>74852.399999999994</v>
      </c>
      <c r="AD47" s="106">
        <v>56</v>
      </c>
      <c r="AE47" s="106">
        <v>85545.599999999991</v>
      </c>
      <c r="AF47" s="106">
        <v>66</v>
      </c>
      <c r="AG47" s="106">
        <v>100821.59999999999</v>
      </c>
      <c r="AH47" s="106">
        <v>70</v>
      </c>
      <c r="AI47" s="106">
        <v>106932</v>
      </c>
      <c r="AJ47" s="106">
        <v>39</v>
      </c>
      <c r="AK47" s="106">
        <v>59576.399999999994</v>
      </c>
      <c r="AL47" s="106">
        <v>41</v>
      </c>
      <c r="AM47" s="106">
        <v>62631.6</v>
      </c>
      <c r="AN47" s="106">
        <v>32</v>
      </c>
      <c r="AO47" s="106">
        <v>48883.199999999997</v>
      </c>
      <c r="AP47" s="106">
        <v>55</v>
      </c>
      <c r="AQ47" s="106">
        <v>84018</v>
      </c>
      <c r="AR47" s="106">
        <v>25</v>
      </c>
      <c r="AS47" s="106">
        <v>38190</v>
      </c>
      <c r="AT47" s="106">
        <v>18</v>
      </c>
      <c r="AU47" s="106">
        <v>27496.799999999999</v>
      </c>
      <c r="AV47" s="106">
        <v>20</v>
      </c>
      <c r="AW47" s="106">
        <v>30552</v>
      </c>
      <c r="AX47" s="106">
        <v>25</v>
      </c>
      <c r="AY47" s="106">
        <v>38190</v>
      </c>
      <c r="AZ47" s="106">
        <v>8</v>
      </c>
      <c r="BA47" s="106">
        <v>12220.8</v>
      </c>
      <c r="BB47" s="106">
        <v>8</v>
      </c>
      <c r="BC47" s="106">
        <v>12220.8</v>
      </c>
      <c r="BD47" s="106">
        <v>6</v>
      </c>
      <c r="BE47" s="106">
        <v>9165.5999999999985</v>
      </c>
      <c r="BF47" s="106">
        <v>6</v>
      </c>
      <c r="BG47" s="106">
        <v>9165.5999999999985</v>
      </c>
      <c r="BH47" s="106">
        <v>64</v>
      </c>
      <c r="BI47" s="106">
        <v>97766.399999999994</v>
      </c>
      <c r="BJ47" s="106">
        <v>42</v>
      </c>
      <c r="BK47" s="106">
        <v>64159.199999999997</v>
      </c>
      <c r="BL47" s="106">
        <v>56</v>
      </c>
      <c r="BM47" s="106">
        <v>85545.599999999991</v>
      </c>
      <c r="BN47" s="106">
        <v>49</v>
      </c>
      <c r="BO47" s="106">
        <v>74852.399999999994</v>
      </c>
      <c r="BP47" s="106">
        <v>24</v>
      </c>
      <c r="BQ47" s="106">
        <v>36662.399999999994</v>
      </c>
      <c r="BR47" s="106">
        <v>26</v>
      </c>
      <c r="BS47" s="106">
        <v>39717.599999999999</v>
      </c>
      <c r="BT47" s="106">
        <v>24</v>
      </c>
      <c r="BU47" s="106">
        <v>36662.399999999994</v>
      </c>
      <c r="BV47" s="106">
        <v>35</v>
      </c>
      <c r="BW47" s="106">
        <v>53466</v>
      </c>
      <c r="BX47" s="106">
        <v>6</v>
      </c>
      <c r="BY47" s="106">
        <v>9165.5999999999985</v>
      </c>
      <c r="BZ47" s="106">
        <v>9</v>
      </c>
      <c r="CA47" s="106">
        <v>13748.4</v>
      </c>
      <c r="CB47" s="106">
        <v>7</v>
      </c>
      <c r="CC47" s="106">
        <v>10693.199999999999</v>
      </c>
      <c r="CD47" s="106">
        <v>10</v>
      </c>
      <c r="CE47" s="106">
        <v>15276</v>
      </c>
      <c r="CF47" s="106">
        <v>3</v>
      </c>
      <c r="CG47" s="106">
        <v>4582.7999999999993</v>
      </c>
      <c r="CH47" s="106">
        <v>6</v>
      </c>
      <c r="CI47" s="106">
        <v>9165.5999999999985</v>
      </c>
      <c r="CJ47" s="106">
        <v>6</v>
      </c>
      <c r="CK47" s="106">
        <v>9165.5999999999985</v>
      </c>
      <c r="CL47" s="106">
        <v>4</v>
      </c>
      <c r="CM47" s="106">
        <v>6110.4</v>
      </c>
      <c r="CN47" s="106">
        <v>6</v>
      </c>
      <c r="CO47" s="106">
        <v>9165.5999999999985</v>
      </c>
      <c r="CP47" s="106">
        <v>4</v>
      </c>
      <c r="CQ47" s="106">
        <v>6110.4</v>
      </c>
      <c r="CR47" s="106">
        <v>7</v>
      </c>
      <c r="CS47" s="106">
        <v>10693.199999999999</v>
      </c>
      <c r="CT47" s="106">
        <v>4</v>
      </c>
      <c r="CU47" s="106">
        <v>6110.4</v>
      </c>
    </row>
    <row r="48" spans="2:99" x14ac:dyDescent="0.2">
      <c r="C48" s="105" t="s">
        <v>215</v>
      </c>
      <c r="D48" s="106">
        <v>16</v>
      </c>
      <c r="E48" s="106">
        <v>13881.6</v>
      </c>
      <c r="F48" s="106">
        <v>15</v>
      </c>
      <c r="G48" s="106">
        <v>13014</v>
      </c>
      <c r="H48" s="106">
        <v>10</v>
      </c>
      <c r="I48" s="106">
        <v>8676</v>
      </c>
      <c r="J48" s="106">
        <v>13</v>
      </c>
      <c r="K48" s="106">
        <v>11278.800000000001</v>
      </c>
      <c r="L48" s="106">
        <v>103</v>
      </c>
      <c r="M48" s="106">
        <v>89362.8</v>
      </c>
      <c r="N48" s="106">
        <v>80</v>
      </c>
      <c r="O48" s="106">
        <v>69408</v>
      </c>
      <c r="P48" s="106">
        <v>54</v>
      </c>
      <c r="Q48" s="106">
        <v>46850.400000000001</v>
      </c>
      <c r="R48" s="106">
        <v>50</v>
      </c>
      <c r="S48" s="106">
        <v>43380</v>
      </c>
      <c r="T48" s="106">
        <v>5</v>
      </c>
      <c r="U48" s="106">
        <v>4338</v>
      </c>
      <c r="V48" s="106">
        <v>4</v>
      </c>
      <c r="W48" s="106">
        <v>3470.4</v>
      </c>
      <c r="X48" s="106">
        <v>4</v>
      </c>
      <c r="Y48" s="106">
        <v>3470.4</v>
      </c>
      <c r="Z48" s="106">
        <v>5</v>
      </c>
      <c r="AA48" s="106">
        <v>4338</v>
      </c>
      <c r="AB48" s="106">
        <v>55</v>
      </c>
      <c r="AC48" s="106">
        <v>47718</v>
      </c>
      <c r="AD48" s="106">
        <v>64</v>
      </c>
      <c r="AE48" s="106">
        <v>55526.400000000001</v>
      </c>
      <c r="AF48" s="106">
        <v>70</v>
      </c>
      <c r="AG48" s="106">
        <v>60732</v>
      </c>
      <c r="AH48" s="106">
        <v>98</v>
      </c>
      <c r="AI48" s="106">
        <v>85024.8</v>
      </c>
      <c r="AJ48" s="106">
        <v>48</v>
      </c>
      <c r="AK48" s="106">
        <v>41644.800000000003</v>
      </c>
      <c r="AL48" s="106">
        <v>49</v>
      </c>
      <c r="AM48" s="106">
        <v>42512.4</v>
      </c>
      <c r="AN48" s="106">
        <v>37</v>
      </c>
      <c r="AO48" s="106">
        <v>32101.200000000001</v>
      </c>
      <c r="AP48" s="106">
        <v>58</v>
      </c>
      <c r="AQ48" s="106">
        <v>50320.800000000003</v>
      </c>
      <c r="AR48" s="106">
        <v>27</v>
      </c>
      <c r="AS48" s="106">
        <v>23425.200000000001</v>
      </c>
      <c r="AT48" s="106">
        <v>22</v>
      </c>
      <c r="AU48" s="106">
        <v>19087.2</v>
      </c>
      <c r="AV48" s="106">
        <v>21</v>
      </c>
      <c r="AW48" s="106">
        <v>18219.600000000002</v>
      </c>
      <c r="AX48" s="106">
        <v>29</v>
      </c>
      <c r="AY48" s="106">
        <v>25160.400000000001</v>
      </c>
      <c r="AZ48" s="106">
        <v>7</v>
      </c>
      <c r="BA48" s="106">
        <v>6073.2</v>
      </c>
      <c r="BB48" s="106">
        <v>7</v>
      </c>
      <c r="BC48" s="106">
        <v>6073.2</v>
      </c>
      <c r="BD48" s="106">
        <v>6</v>
      </c>
      <c r="BE48" s="106">
        <v>5205.6000000000004</v>
      </c>
      <c r="BF48" s="106">
        <v>6</v>
      </c>
      <c r="BG48" s="106">
        <v>5205.6000000000004</v>
      </c>
      <c r="BH48" s="106">
        <v>76</v>
      </c>
      <c r="BI48" s="106">
        <v>65937.600000000006</v>
      </c>
      <c r="BJ48" s="106">
        <v>47</v>
      </c>
      <c r="BK48" s="106">
        <v>40777.200000000004</v>
      </c>
      <c r="BL48" s="106">
        <v>54</v>
      </c>
      <c r="BM48" s="106">
        <v>46850.400000000001</v>
      </c>
      <c r="BN48" s="106">
        <v>57</v>
      </c>
      <c r="BO48" s="106">
        <v>49453.200000000004</v>
      </c>
      <c r="BP48" s="106">
        <v>29</v>
      </c>
      <c r="BQ48" s="106">
        <v>25160.400000000001</v>
      </c>
      <c r="BR48" s="106">
        <v>26</v>
      </c>
      <c r="BS48" s="106">
        <v>22557.600000000002</v>
      </c>
      <c r="BT48" s="106">
        <v>23</v>
      </c>
      <c r="BU48" s="106">
        <v>19954.8</v>
      </c>
      <c r="BV48" s="106">
        <v>37</v>
      </c>
      <c r="BW48" s="106">
        <v>32101.200000000001</v>
      </c>
      <c r="BX48" s="106">
        <v>6</v>
      </c>
      <c r="BY48" s="106">
        <v>5205.6000000000004</v>
      </c>
      <c r="BZ48" s="106">
        <v>8</v>
      </c>
      <c r="CA48" s="106">
        <v>6940.8</v>
      </c>
      <c r="CB48" s="106">
        <v>7</v>
      </c>
      <c r="CC48" s="106">
        <v>6073.2</v>
      </c>
      <c r="CD48" s="106">
        <v>11</v>
      </c>
      <c r="CE48" s="106">
        <v>9543.6</v>
      </c>
      <c r="CF48" s="106">
        <v>4</v>
      </c>
      <c r="CG48" s="106">
        <v>3470.4</v>
      </c>
      <c r="CH48" s="106">
        <v>6</v>
      </c>
      <c r="CI48" s="106">
        <v>5205.6000000000004</v>
      </c>
      <c r="CJ48" s="106">
        <v>7</v>
      </c>
      <c r="CK48" s="106">
        <v>6073.2</v>
      </c>
      <c r="CL48" s="106">
        <v>4</v>
      </c>
      <c r="CM48" s="106">
        <v>3470.4</v>
      </c>
      <c r="CN48" s="106">
        <v>7</v>
      </c>
      <c r="CO48" s="106">
        <v>6073.2</v>
      </c>
      <c r="CP48" s="106">
        <v>5</v>
      </c>
      <c r="CQ48" s="106">
        <v>4338</v>
      </c>
      <c r="CR48" s="106">
        <v>7</v>
      </c>
      <c r="CS48" s="106">
        <v>6073.2</v>
      </c>
      <c r="CT48" s="106">
        <v>5</v>
      </c>
      <c r="CU48" s="106">
        <v>4338</v>
      </c>
    </row>
    <row r="49" spans="2:99" x14ac:dyDescent="0.2">
      <c r="B49" s="105" t="s">
        <v>129</v>
      </c>
      <c r="C49" s="105" t="s">
        <v>216</v>
      </c>
      <c r="D49" s="106">
        <v>5.1011328384929273</v>
      </c>
      <c r="E49" s="106">
        <v>5025.6360724832321</v>
      </c>
      <c r="F49" s="106">
        <v>8.0962784763313618</v>
      </c>
      <c r="G49" s="106">
        <v>7976.4535548816575</v>
      </c>
      <c r="H49" s="106">
        <v>6.1204552308693509</v>
      </c>
      <c r="I49" s="106">
        <v>6029.8724934524844</v>
      </c>
      <c r="J49" s="106">
        <v>5.0096334972684797</v>
      </c>
      <c r="K49" s="106">
        <v>4935.4909215089056</v>
      </c>
      <c r="L49" s="106">
        <v>31.001976282651466</v>
      </c>
      <c r="M49" s="106">
        <v>30543.147033668221</v>
      </c>
      <c r="N49" s="106">
        <v>34</v>
      </c>
      <c r="O49" s="106">
        <v>33496.799999999996</v>
      </c>
      <c r="P49" s="106">
        <v>37</v>
      </c>
      <c r="Q49" s="106">
        <v>36452.399999999994</v>
      </c>
      <c r="R49" s="106">
        <v>35.00294598226283</v>
      </c>
      <c r="S49" s="106">
        <v>34484.90238172534</v>
      </c>
      <c r="T49" s="106">
        <v>4.0019099555077791</v>
      </c>
      <c r="U49" s="106">
        <v>3942.6816881662635</v>
      </c>
      <c r="V49" s="106">
        <v>3.0018534106452743</v>
      </c>
      <c r="W49" s="106">
        <v>2957.425980167724</v>
      </c>
      <c r="X49" s="106">
        <v>3.0016992341154149</v>
      </c>
      <c r="Y49" s="106">
        <v>2957.2740854505064</v>
      </c>
      <c r="Z49" s="106">
        <v>3.0014274376417234</v>
      </c>
      <c r="AA49" s="106">
        <v>2957.0063115646258</v>
      </c>
      <c r="AB49" s="106">
        <v>6.0022778924542859</v>
      </c>
      <c r="AC49" s="106">
        <v>5913.4441796459623</v>
      </c>
      <c r="AD49" s="106">
        <v>7.0027538644470866</v>
      </c>
      <c r="AE49" s="106">
        <v>6899.1131072532689</v>
      </c>
      <c r="AF49" s="106">
        <v>8.0015408283798202</v>
      </c>
      <c r="AG49" s="106">
        <v>7883.1180241197981</v>
      </c>
      <c r="AH49" s="106">
        <v>6.0031188964843754</v>
      </c>
      <c r="AI49" s="106">
        <v>5914.272736816406</v>
      </c>
      <c r="AJ49" s="106">
        <v>8.00647481081268</v>
      </c>
      <c r="AK49" s="106">
        <v>7887.978983612652</v>
      </c>
      <c r="AL49" s="106">
        <v>6</v>
      </c>
      <c r="AM49" s="106">
        <v>5911.2</v>
      </c>
      <c r="AN49" s="106">
        <v>7.0102818953433186</v>
      </c>
      <c r="AO49" s="106">
        <v>6906.5297232922367</v>
      </c>
      <c r="AP49" s="106">
        <v>7</v>
      </c>
      <c r="AQ49" s="106">
        <v>6896.4</v>
      </c>
      <c r="AR49" s="106">
        <v>3.0032700412834776</v>
      </c>
      <c r="AS49" s="106">
        <v>2958.8216446724819</v>
      </c>
      <c r="AT49" s="106">
        <v>3.0021026584403492</v>
      </c>
      <c r="AU49" s="106">
        <v>2957.6715390954319</v>
      </c>
      <c r="AV49" s="106">
        <v>3.0076165331210087</v>
      </c>
      <c r="AW49" s="106">
        <v>2963.1038084308175</v>
      </c>
      <c r="AX49" s="106">
        <v>4.0024653306278779</v>
      </c>
      <c r="AY49" s="106">
        <v>3943.2288437345851</v>
      </c>
      <c r="AZ49" s="106">
        <v>7</v>
      </c>
      <c r="BA49" s="106">
        <v>6896.4</v>
      </c>
      <c r="BB49" s="106">
        <v>7.0042064855184156</v>
      </c>
      <c r="BC49" s="106">
        <v>6900.544229532743</v>
      </c>
      <c r="BD49" s="106">
        <v>7.0066777213818954</v>
      </c>
      <c r="BE49" s="106">
        <v>6902.9788911054429</v>
      </c>
      <c r="BF49" s="106">
        <v>8.0048695504376646</v>
      </c>
      <c r="BG49" s="106">
        <v>7886.3974810911868</v>
      </c>
      <c r="BH49" s="106">
        <v>5.0021849951975792</v>
      </c>
      <c r="BI49" s="106">
        <v>4928.1526572686544</v>
      </c>
      <c r="BJ49" s="106">
        <v>3</v>
      </c>
      <c r="BK49" s="106">
        <v>2955.6</v>
      </c>
      <c r="BL49" s="106">
        <v>5.0054644626778195</v>
      </c>
      <c r="BM49" s="106">
        <v>4931.3835886301877</v>
      </c>
      <c r="BN49" s="106">
        <v>5.0040404006271624</v>
      </c>
      <c r="BO49" s="106">
        <v>4929.9806026978804</v>
      </c>
      <c r="BP49" s="106">
        <v>2.004251203753241</v>
      </c>
      <c r="BQ49" s="106">
        <v>1974.5882859376929</v>
      </c>
      <c r="BR49" s="106">
        <v>3</v>
      </c>
      <c r="BS49" s="106">
        <v>2955.6</v>
      </c>
      <c r="BT49" s="106">
        <v>3.0067460050828232</v>
      </c>
      <c r="BU49" s="106">
        <v>2962.2461642075973</v>
      </c>
      <c r="BV49" s="106">
        <v>2</v>
      </c>
      <c r="BW49" s="106">
        <v>1970.3999999999999</v>
      </c>
      <c r="BX49" s="106">
        <v>57</v>
      </c>
      <c r="BY49" s="106">
        <v>56156.399999999994</v>
      </c>
      <c r="BZ49" s="106">
        <v>73.011725260123413</v>
      </c>
      <c r="CA49" s="106">
        <v>71931.151726273587</v>
      </c>
      <c r="CB49" s="106">
        <v>39.004639599129831</v>
      </c>
      <c r="CC49" s="106">
        <v>38427.37093306271</v>
      </c>
      <c r="CD49" s="106">
        <v>64.006638293055957</v>
      </c>
      <c r="CE49" s="106">
        <v>63059.340046318721</v>
      </c>
      <c r="CF49" s="106">
        <v>18.005925912881157</v>
      </c>
      <c r="CG49" s="106">
        <v>17739.438209370514</v>
      </c>
      <c r="CH49" s="106">
        <v>22.00809966876054</v>
      </c>
      <c r="CI49" s="106">
        <v>21682.379793662883</v>
      </c>
      <c r="CJ49" s="106">
        <v>14.014973070362679</v>
      </c>
      <c r="CK49" s="106">
        <v>13807.551468921311</v>
      </c>
      <c r="CL49" s="106">
        <v>28.006593390293105</v>
      </c>
      <c r="CM49" s="106">
        <v>27592.095808116766</v>
      </c>
      <c r="CN49" s="106">
        <v>4.0047263608293306</v>
      </c>
      <c r="CO49" s="106">
        <v>3945.4564106890562</v>
      </c>
      <c r="CP49" s="106">
        <v>3</v>
      </c>
      <c r="CQ49" s="106">
        <v>2955.6</v>
      </c>
      <c r="CR49" s="106">
        <v>3</v>
      </c>
      <c r="CS49" s="106">
        <v>2955.6</v>
      </c>
      <c r="CT49" s="106">
        <v>2.0098886908079705</v>
      </c>
      <c r="CU49" s="106">
        <v>1980.1423381840125</v>
      </c>
    </row>
    <row r="50" spans="2:99" x14ac:dyDescent="0.2">
      <c r="C50" s="105" t="s">
        <v>217</v>
      </c>
      <c r="D50" s="106">
        <v>5</v>
      </c>
      <c r="E50" s="106">
        <v>1410</v>
      </c>
      <c r="F50" s="106">
        <v>8</v>
      </c>
      <c r="G50" s="106">
        <v>2256</v>
      </c>
      <c r="H50" s="106">
        <v>8</v>
      </c>
      <c r="I50" s="106">
        <v>2256</v>
      </c>
      <c r="J50" s="106">
        <v>5</v>
      </c>
      <c r="K50" s="106">
        <v>1410</v>
      </c>
      <c r="L50" s="106">
        <v>35</v>
      </c>
      <c r="M50" s="106">
        <v>9870</v>
      </c>
      <c r="N50" s="106">
        <v>38</v>
      </c>
      <c r="O50" s="106">
        <v>10716</v>
      </c>
      <c r="P50" s="106">
        <v>37</v>
      </c>
      <c r="Q50" s="106">
        <v>10434</v>
      </c>
      <c r="R50" s="106">
        <v>35</v>
      </c>
      <c r="S50" s="106">
        <v>9870</v>
      </c>
      <c r="T50" s="106">
        <v>5</v>
      </c>
      <c r="U50" s="106">
        <v>1410</v>
      </c>
      <c r="V50" s="106">
        <v>4</v>
      </c>
      <c r="W50" s="106">
        <v>1128</v>
      </c>
      <c r="X50" s="106">
        <v>4</v>
      </c>
      <c r="Y50" s="106">
        <v>1128</v>
      </c>
      <c r="Z50" s="106">
        <v>3</v>
      </c>
      <c r="AA50" s="106">
        <v>846</v>
      </c>
      <c r="AB50" s="106">
        <v>8</v>
      </c>
      <c r="AC50" s="106">
        <v>2256</v>
      </c>
      <c r="AD50" s="106">
        <v>9</v>
      </c>
      <c r="AE50" s="106">
        <v>2538</v>
      </c>
      <c r="AF50" s="106">
        <v>9</v>
      </c>
      <c r="AG50" s="106">
        <v>2538</v>
      </c>
      <c r="AH50" s="106">
        <v>6</v>
      </c>
      <c r="AI50" s="106">
        <v>1692</v>
      </c>
      <c r="AJ50" s="106">
        <v>9</v>
      </c>
      <c r="AK50" s="106">
        <v>2538</v>
      </c>
      <c r="AL50" s="106">
        <v>7</v>
      </c>
      <c r="AM50" s="106">
        <v>1974</v>
      </c>
      <c r="AN50" s="106">
        <v>6</v>
      </c>
      <c r="AO50" s="106">
        <v>1692</v>
      </c>
      <c r="AP50" s="106">
        <v>8</v>
      </c>
      <c r="AQ50" s="106">
        <v>2256</v>
      </c>
      <c r="AR50" s="106">
        <v>4</v>
      </c>
      <c r="AS50" s="106">
        <v>1128</v>
      </c>
      <c r="AT50" s="106">
        <v>3</v>
      </c>
      <c r="AU50" s="106">
        <v>846</v>
      </c>
      <c r="AV50" s="106">
        <v>3</v>
      </c>
      <c r="AW50" s="106">
        <v>846</v>
      </c>
      <c r="AX50" s="106">
        <v>4</v>
      </c>
      <c r="AY50" s="106">
        <v>1128</v>
      </c>
      <c r="AZ50" s="106">
        <v>8</v>
      </c>
      <c r="BA50" s="106">
        <v>2256</v>
      </c>
      <c r="BB50" s="106">
        <v>8</v>
      </c>
      <c r="BC50" s="106">
        <v>2256</v>
      </c>
      <c r="BD50" s="106">
        <v>9</v>
      </c>
      <c r="BE50" s="106">
        <v>2538</v>
      </c>
      <c r="BF50" s="106">
        <v>10</v>
      </c>
      <c r="BG50" s="106">
        <v>2820</v>
      </c>
      <c r="BH50" s="106">
        <v>4</v>
      </c>
      <c r="BI50" s="106">
        <v>1128</v>
      </c>
      <c r="BJ50" s="106">
        <v>4</v>
      </c>
      <c r="BK50" s="106">
        <v>1128</v>
      </c>
      <c r="BL50" s="106">
        <v>6</v>
      </c>
      <c r="BM50" s="106">
        <v>1692</v>
      </c>
      <c r="BN50" s="106">
        <v>6</v>
      </c>
      <c r="BO50" s="106">
        <v>1692</v>
      </c>
      <c r="BP50" s="106">
        <v>3</v>
      </c>
      <c r="BQ50" s="106">
        <v>846</v>
      </c>
      <c r="BR50" s="106">
        <v>4</v>
      </c>
      <c r="BS50" s="106">
        <v>1128</v>
      </c>
      <c r="BT50" s="106">
        <v>4</v>
      </c>
      <c r="BU50" s="106">
        <v>1128</v>
      </c>
      <c r="BV50" s="106">
        <v>2</v>
      </c>
      <c r="BW50" s="106">
        <v>564</v>
      </c>
      <c r="BX50" s="106">
        <v>64</v>
      </c>
      <c r="BY50" s="106">
        <v>18048</v>
      </c>
      <c r="BZ50" s="106">
        <v>81</v>
      </c>
      <c r="CA50" s="106">
        <v>22842</v>
      </c>
      <c r="CB50" s="106">
        <v>54</v>
      </c>
      <c r="CC50" s="106">
        <v>15228</v>
      </c>
      <c r="CD50" s="106">
        <v>80</v>
      </c>
      <c r="CE50" s="106">
        <v>22560</v>
      </c>
      <c r="CF50" s="106">
        <v>20</v>
      </c>
      <c r="CG50" s="106">
        <v>5640</v>
      </c>
      <c r="CH50" s="106">
        <v>25</v>
      </c>
      <c r="CI50" s="106">
        <v>7050</v>
      </c>
      <c r="CJ50" s="106">
        <v>16</v>
      </c>
      <c r="CK50" s="106">
        <v>4512</v>
      </c>
      <c r="CL50" s="106">
        <v>32</v>
      </c>
      <c r="CM50" s="106">
        <v>9024</v>
      </c>
      <c r="CN50" s="106">
        <v>4</v>
      </c>
      <c r="CO50" s="106">
        <v>1128</v>
      </c>
      <c r="CP50" s="106">
        <v>4</v>
      </c>
      <c r="CQ50" s="106">
        <v>1128</v>
      </c>
      <c r="CR50" s="106">
        <v>3</v>
      </c>
      <c r="CS50" s="106">
        <v>846</v>
      </c>
      <c r="CT50" s="106">
        <v>2</v>
      </c>
      <c r="CU50" s="106">
        <v>564</v>
      </c>
    </row>
    <row r="51" spans="2:99" x14ac:dyDescent="0.2">
      <c r="C51" s="105" t="s">
        <v>218</v>
      </c>
      <c r="D51" s="106">
        <v>5</v>
      </c>
      <c r="E51" s="106">
        <v>4272</v>
      </c>
      <c r="F51" s="106">
        <v>8</v>
      </c>
      <c r="G51" s="106">
        <v>6835.2</v>
      </c>
      <c r="H51" s="106">
        <v>7</v>
      </c>
      <c r="I51" s="106">
        <v>5980.8</v>
      </c>
      <c r="J51" s="106">
        <v>6</v>
      </c>
      <c r="K51" s="106">
        <v>5126.3999999999996</v>
      </c>
      <c r="L51" s="106">
        <v>32</v>
      </c>
      <c r="M51" s="106">
        <v>27340.799999999999</v>
      </c>
      <c r="N51" s="106">
        <v>39</v>
      </c>
      <c r="O51" s="106">
        <v>33321.599999999999</v>
      </c>
      <c r="P51" s="106">
        <v>38</v>
      </c>
      <c r="Q51" s="106">
        <v>32467.200000000001</v>
      </c>
      <c r="R51" s="106">
        <v>33</v>
      </c>
      <c r="S51" s="106">
        <v>28195.200000000001</v>
      </c>
      <c r="T51" s="106">
        <v>4</v>
      </c>
      <c r="U51" s="106">
        <v>3417.6</v>
      </c>
      <c r="V51" s="106">
        <v>3</v>
      </c>
      <c r="W51" s="106">
        <v>2563.1999999999998</v>
      </c>
      <c r="X51" s="106">
        <v>4</v>
      </c>
      <c r="Y51" s="106">
        <v>3417.6</v>
      </c>
      <c r="Z51" s="106">
        <v>3</v>
      </c>
      <c r="AA51" s="106">
        <v>2563.1999999999998</v>
      </c>
      <c r="AB51" s="106">
        <v>6</v>
      </c>
      <c r="AC51" s="106">
        <v>5126.3999999999996</v>
      </c>
      <c r="AD51" s="106">
        <v>8</v>
      </c>
      <c r="AE51" s="106">
        <v>6835.2</v>
      </c>
      <c r="AF51" s="106">
        <v>8</v>
      </c>
      <c r="AG51" s="106">
        <v>6835.2</v>
      </c>
      <c r="AH51" s="106">
        <v>6</v>
      </c>
      <c r="AI51" s="106">
        <v>5126.3999999999996</v>
      </c>
      <c r="AJ51" s="106">
        <v>8</v>
      </c>
      <c r="AK51" s="106">
        <v>6835.2</v>
      </c>
      <c r="AL51" s="106">
        <v>7</v>
      </c>
      <c r="AM51" s="106">
        <v>5980.8</v>
      </c>
      <c r="AN51" s="106">
        <v>6</v>
      </c>
      <c r="AO51" s="106">
        <v>5126.3999999999996</v>
      </c>
      <c r="AP51" s="106">
        <v>7</v>
      </c>
      <c r="AQ51" s="106">
        <v>5980.8</v>
      </c>
      <c r="AR51" s="106">
        <v>4</v>
      </c>
      <c r="AS51" s="106">
        <v>3417.6</v>
      </c>
      <c r="AT51" s="106">
        <v>3</v>
      </c>
      <c r="AU51" s="106">
        <v>2563.1999999999998</v>
      </c>
      <c r="AV51" s="106">
        <v>3</v>
      </c>
      <c r="AW51" s="106">
        <v>2563.1999999999998</v>
      </c>
      <c r="AX51" s="106">
        <v>4</v>
      </c>
      <c r="AY51" s="106">
        <v>3417.6</v>
      </c>
      <c r="AZ51" s="106">
        <v>8</v>
      </c>
      <c r="BA51" s="106">
        <v>6835.2</v>
      </c>
      <c r="BB51" s="106">
        <v>8</v>
      </c>
      <c r="BC51" s="106">
        <v>6835.2</v>
      </c>
      <c r="BD51" s="106">
        <v>7</v>
      </c>
      <c r="BE51" s="106">
        <v>5980.8</v>
      </c>
      <c r="BF51" s="106">
        <v>9</v>
      </c>
      <c r="BG51" s="106">
        <v>7689.5999999999995</v>
      </c>
      <c r="BH51" s="106">
        <v>4</v>
      </c>
      <c r="BI51" s="106">
        <v>3417.6</v>
      </c>
      <c r="BJ51" s="106">
        <v>3</v>
      </c>
      <c r="BK51" s="106">
        <v>2563.1999999999998</v>
      </c>
      <c r="BL51" s="106">
        <v>6</v>
      </c>
      <c r="BM51" s="106">
        <v>5126.3999999999996</v>
      </c>
      <c r="BN51" s="106">
        <v>6</v>
      </c>
      <c r="BO51" s="106">
        <v>5126.3999999999996</v>
      </c>
      <c r="BP51" s="106">
        <v>2</v>
      </c>
      <c r="BQ51" s="106">
        <v>1708.8</v>
      </c>
      <c r="BR51" s="106">
        <v>4</v>
      </c>
      <c r="BS51" s="106">
        <v>3417.6</v>
      </c>
      <c r="BT51" s="106">
        <v>3</v>
      </c>
      <c r="BU51" s="106">
        <v>2563.1999999999998</v>
      </c>
      <c r="BV51" s="106">
        <v>2</v>
      </c>
      <c r="BW51" s="106">
        <v>1708.8</v>
      </c>
      <c r="BX51" s="106">
        <v>55</v>
      </c>
      <c r="BY51" s="106">
        <v>46992</v>
      </c>
      <c r="BZ51" s="106">
        <v>69</v>
      </c>
      <c r="CA51" s="106">
        <v>58953.599999999999</v>
      </c>
      <c r="CB51" s="106">
        <v>40</v>
      </c>
      <c r="CC51" s="106">
        <v>34176</v>
      </c>
      <c r="CD51" s="106">
        <v>71</v>
      </c>
      <c r="CE51" s="106">
        <v>60662.400000000001</v>
      </c>
      <c r="CF51" s="106">
        <v>19</v>
      </c>
      <c r="CG51" s="106">
        <v>16233.6</v>
      </c>
      <c r="CH51" s="106">
        <v>21</v>
      </c>
      <c r="CI51" s="106">
        <v>17942.399999999998</v>
      </c>
      <c r="CJ51" s="106">
        <v>16</v>
      </c>
      <c r="CK51" s="106">
        <v>13670.4</v>
      </c>
      <c r="CL51" s="106">
        <v>31</v>
      </c>
      <c r="CM51" s="106">
        <v>26486.399999999998</v>
      </c>
      <c r="CN51" s="106">
        <v>4</v>
      </c>
      <c r="CO51" s="106">
        <v>3417.6</v>
      </c>
      <c r="CP51" s="106">
        <v>3</v>
      </c>
      <c r="CQ51" s="106">
        <v>2563.1999999999998</v>
      </c>
      <c r="CR51" s="106">
        <v>3</v>
      </c>
      <c r="CS51" s="106">
        <v>2563.1999999999998</v>
      </c>
      <c r="CT51" s="106">
        <v>2</v>
      </c>
      <c r="CU51" s="106">
        <v>1708.8</v>
      </c>
    </row>
    <row r="52" spans="2:99" x14ac:dyDescent="0.2">
      <c r="C52" s="105" t="s">
        <v>219</v>
      </c>
      <c r="D52" s="106">
        <v>5</v>
      </c>
      <c r="E52" s="106">
        <v>2700</v>
      </c>
      <c r="F52" s="106">
        <v>8</v>
      </c>
      <c r="G52" s="106">
        <v>4320</v>
      </c>
      <c r="H52" s="106">
        <v>7</v>
      </c>
      <c r="I52" s="106">
        <v>3780</v>
      </c>
      <c r="J52" s="106">
        <v>6</v>
      </c>
      <c r="K52" s="106">
        <v>3240</v>
      </c>
      <c r="L52" s="106">
        <v>33</v>
      </c>
      <c r="M52" s="106">
        <v>17820</v>
      </c>
      <c r="N52" s="106">
        <v>39</v>
      </c>
      <c r="O52" s="106">
        <v>21060</v>
      </c>
      <c r="P52" s="106">
        <v>38</v>
      </c>
      <c r="Q52" s="106">
        <v>20520</v>
      </c>
      <c r="R52" s="106">
        <v>35</v>
      </c>
      <c r="S52" s="106">
        <v>18900</v>
      </c>
      <c r="T52" s="106">
        <v>5</v>
      </c>
      <c r="U52" s="106">
        <v>2700</v>
      </c>
      <c r="V52" s="106">
        <v>3</v>
      </c>
      <c r="W52" s="106">
        <v>1620</v>
      </c>
      <c r="X52" s="106">
        <v>4</v>
      </c>
      <c r="Y52" s="106">
        <v>2160</v>
      </c>
      <c r="Z52" s="106">
        <v>3</v>
      </c>
      <c r="AA52" s="106">
        <v>1620</v>
      </c>
      <c r="AB52" s="106">
        <v>7</v>
      </c>
      <c r="AC52" s="106">
        <v>3780</v>
      </c>
      <c r="AD52" s="106">
        <v>7</v>
      </c>
      <c r="AE52" s="106">
        <v>3780</v>
      </c>
      <c r="AF52" s="106">
        <v>9</v>
      </c>
      <c r="AG52" s="106">
        <v>4860</v>
      </c>
      <c r="AH52" s="106">
        <v>6</v>
      </c>
      <c r="AI52" s="106">
        <v>3240</v>
      </c>
      <c r="AJ52" s="106">
        <v>9</v>
      </c>
      <c r="AK52" s="106">
        <v>4860</v>
      </c>
      <c r="AL52" s="106">
        <v>7</v>
      </c>
      <c r="AM52" s="106">
        <v>3780</v>
      </c>
      <c r="AN52" s="106">
        <v>6</v>
      </c>
      <c r="AO52" s="106">
        <v>3240</v>
      </c>
      <c r="AP52" s="106">
        <v>7</v>
      </c>
      <c r="AQ52" s="106">
        <v>3780</v>
      </c>
      <c r="AR52" s="106">
        <v>3</v>
      </c>
      <c r="AS52" s="106">
        <v>1620</v>
      </c>
      <c r="AT52" s="106">
        <v>3</v>
      </c>
      <c r="AU52" s="106">
        <v>1620</v>
      </c>
      <c r="AV52" s="106">
        <v>3</v>
      </c>
      <c r="AW52" s="106">
        <v>1620</v>
      </c>
      <c r="AX52" s="106">
        <v>4</v>
      </c>
      <c r="AY52" s="106">
        <v>2160</v>
      </c>
      <c r="AZ52" s="106">
        <v>8</v>
      </c>
      <c r="BA52" s="106">
        <v>4320</v>
      </c>
      <c r="BB52" s="106">
        <v>8</v>
      </c>
      <c r="BC52" s="106">
        <v>4320</v>
      </c>
      <c r="BD52" s="106">
        <v>7</v>
      </c>
      <c r="BE52" s="106">
        <v>3780</v>
      </c>
      <c r="BF52" s="106">
        <v>9</v>
      </c>
      <c r="BG52" s="106">
        <v>4860</v>
      </c>
      <c r="BH52" s="106">
        <v>4</v>
      </c>
      <c r="BI52" s="106">
        <v>2160</v>
      </c>
      <c r="BJ52" s="106">
        <v>4</v>
      </c>
      <c r="BK52" s="106">
        <v>2160</v>
      </c>
      <c r="BL52" s="106">
        <v>6</v>
      </c>
      <c r="BM52" s="106">
        <v>3240</v>
      </c>
      <c r="BN52" s="106">
        <v>5</v>
      </c>
      <c r="BO52" s="106">
        <v>2700</v>
      </c>
      <c r="BP52" s="106">
        <v>2</v>
      </c>
      <c r="BQ52" s="106">
        <v>1080</v>
      </c>
      <c r="BR52" s="106">
        <v>4</v>
      </c>
      <c r="BS52" s="106">
        <v>2160</v>
      </c>
      <c r="BT52" s="106">
        <v>4</v>
      </c>
      <c r="BU52" s="106">
        <v>2160</v>
      </c>
      <c r="BV52" s="106">
        <v>2</v>
      </c>
      <c r="BW52" s="106">
        <v>1080</v>
      </c>
      <c r="BX52" s="106">
        <v>59</v>
      </c>
      <c r="BY52" s="106">
        <v>31860</v>
      </c>
      <c r="BZ52" s="106">
        <v>85</v>
      </c>
      <c r="CA52" s="106">
        <v>45900</v>
      </c>
      <c r="CB52" s="106">
        <v>44</v>
      </c>
      <c r="CC52" s="106">
        <v>23760</v>
      </c>
      <c r="CD52" s="106">
        <v>71</v>
      </c>
      <c r="CE52" s="106">
        <v>38340</v>
      </c>
      <c r="CF52" s="106">
        <v>19</v>
      </c>
      <c r="CG52" s="106">
        <v>10260</v>
      </c>
      <c r="CH52" s="106">
        <v>25</v>
      </c>
      <c r="CI52" s="106">
        <v>13500</v>
      </c>
      <c r="CJ52" s="106">
        <v>17</v>
      </c>
      <c r="CK52" s="106">
        <v>9180</v>
      </c>
      <c r="CL52" s="106">
        <v>28</v>
      </c>
      <c r="CM52" s="106">
        <v>15120</v>
      </c>
      <c r="CN52" s="106">
        <v>4</v>
      </c>
      <c r="CO52" s="106">
        <v>2160</v>
      </c>
      <c r="CP52" s="106">
        <v>3</v>
      </c>
      <c r="CQ52" s="106">
        <v>1620</v>
      </c>
      <c r="CR52" s="106">
        <v>3</v>
      </c>
      <c r="CS52" s="106">
        <v>1620</v>
      </c>
      <c r="CT52" s="106">
        <v>2</v>
      </c>
      <c r="CU52" s="106">
        <v>1080</v>
      </c>
    </row>
    <row r="53" spans="2:99" x14ac:dyDescent="0.2">
      <c r="C53" s="105" t="s">
        <v>220</v>
      </c>
      <c r="D53" s="106">
        <v>5</v>
      </c>
      <c r="E53" s="106">
        <v>2034</v>
      </c>
      <c r="F53" s="106">
        <v>7</v>
      </c>
      <c r="G53" s="106">
        <v>2847.6</v>
      </c>
      <c r="H53" s="106">
        <v>6</v>
      </c>
      <c r="I53" s="106">
        <v>2440.8000000000002</v>
      </c>
      <c r="J53" s="106">
        <v>6</v>
      </c>
      <c r="K53" s="106">
        <v>2440.8000000000002</v>
      </c>
      <c r="L53" s="106">
        <v>31</v>
      </c>
      <c r="M53" s="106">
        <v>12610.800000000001</v>
      </c>
      <c r="N53" s="106">
        <v>45</v>
      </c>
      <c r="O53" s="106">
        <v>18306</v>
      </c>
      <c r="P53" s="106">
        <v>42</v>
      </c>
      <c r="Q53" s="106">
        <v>17085.600000000002</v>
      </c>
      <c r="R53" s="106">
        <v>39</v>
      </c>
      <c r="S53" s="106">
        <v>15865.2</v>
      </c>
      <c r="T53" s="106">
        <v>5</v>
      </c>
      <c r="U53" s="106">
        <v>2034</v>
      </c>
      <c r="V53" s="106">
        <v>4</v>
      </c>
      <c r="W53" s="106">
        <v>1627.2</v>
      </c>
      <c r="X53" s="106">
        <v>4</v>
      </c>
      <c r="Y53" s="106">
        <v>1627.2</v>
      </c>
      <c r="Z53" s="106">
        <v>3</v>
      </c>
      <c r="AA53" s="106">
        <v>1220.4000000000001</v>
      </c>
      <c r="AB53" s="106">
        <v>7</v>
      </c>
      <c r="AC53" s="106">
        <v>2847.6</v>
      </c>
      <c r="AD53" s="106">
        <v>8</v>
      </c>
      <c r="AE53" s="106">
        <v>3254.4</v>
      </c>
      <c r="AF53" s="106">
        <v>9</v>
      </c>
      <c r="AG53" s="106">
        <v>3661.2000000000003</v>
      </c>
      <c r="AH53" s="106">
        <v>6</v>
      </c>
      <c r="AI53" s="106">
        <v>2440.8000000000002</v>
      </c>
      <c r="AJ53" s="106">
        <v>10</v>
      </c>
      <c r="AK53" s="106">
        <v>4068</v>
      </c>
      <c r="AL53" s="106">
        <v>8</v>
      </c>
      <c r="AM53" s="106">
        <v>3254.4</v>
      </c>
      <c r="AN53" s="106">
        <v>7</v>
      </c>
      <c r="AO53" s="106">
        <v>2847.6</v>
      </c>
      <c r="AP53" s="106">
        <v>8</v>
      </c>
      <c r="AQ53" s="106">
        <v>3254.4</v>
      </c>
      <c r="AR53" s="106">
        <v>3</v>
      </c>
      <c r="AS53" s="106">
        <v>1220.4000000000001</v>
      </c>
      <c r="AT53" s="106">
        <v>3</v>
      </c>
      <c r="AU53" s="106">
        <v>1220.4000000000001</v>
      </c>
      <c r="AV53" s="106">
        <v>3</v>
      </c>
      <c r="AW53" s="106">
        <v>1220.4000000000001</v>
      </c>
      <c r="AX53" s="106">
        <v>4</v>
      </c>
      <c r="AY53" s="106">
        <v>1627.2</v>
      </c>
      <c r="AZ53" s="106">
        <v>8</v>
      </c>
      <c r="BA53" s="106">
        <v>3254.4</v>
      </c>
      <c r="BB53" s="106">
        <v>9</v>
      </c>
      <c r="BC53" s="106">
        <v>3661.2000000000003</v>
      </c>
      <c r="BD53" s="106">
        <v>8</v>
      </c>
      <c r="BE53" s="106">
        <v>3254.4</v>
      </c>
      <c r="BF53" s="106">
        <v>9</v>
      </c>
      <c r="BG53" s="106">
        <v>3661.2000000000003</v>
      </c>
      <c r="BH53" s="106">
        <v>5</v>
      </c>
      <c r="BI53" s="106">
        <v>2034</v>
      </c>
      <c r="BJ53" s="106">
        <v>4</v>
      </c>
      <c r="BK53" s="106">
        <v>1627.2</v>
      </c>
      <c r="BL53" s="106">
        <v>5</v>
      </c>
      <c r="BM53" s="106">
        <v>2034</v>
      </c>
      <c r="BN53" s="106">
        <v>6</v>
      </c>
      <c r="BO53" s="106">
        <v>2440.8000000000002</v>
      </c>
      <c r="BP53" s="106">
        <v>2</v>
      </c>
      <c r="BQ53" s="106">
        <v>813.6</v>
      </c>
      <c r="BR53" s="106">
        <v>3</v>
      </c>
      <c r="BS53" s="106">
        <v>1220.4000000000001</v>
      </c>
      <c r="BT53" s="106">
        <v>3</v>
      </c>
      <c r="BU53" s="106">
        <v>1220.4000000000001</v>
      </c>
      <c r="BV53" s="106">
        <v>3</v>
      </c>
      <c r="BW53" s="106">
        <v>1220.4000000000001</v>
      </c>
      <c r="BX53" s="106">
        <v>65</v>
      </c>
      <c r="BY53" s="106">
        <v>26442</v>
      </c>
      <c r="BZ53" s="106">
        <v>87</v>
      </c>
      <c r="CA53" s="106">
        <v>35391.599999999999</v>
      </c>
      <c r="CB53" s="106">
        <v>47</v>
      </c>
      <c r="CC53" s="106">
        <v>19119.600000000002</v>
      </c>
      <c r="CD53" s="106">
        <v>71</v>
      </c>
      <c r="CE53" s="106">
        <v>28882.799999999999</v>
      </c>
      <c r="CF53" s="106">
        <v>19</v>
      </c>
      <c r="CG53" s="106">
        <v>7729.2</v>
      </c>
      <c r="CH53" s="106">
        <v>25</v>
      </c>
      <c r="CI53" s="106">
        <v>10170</v>
      </c>
      <c r="CJ53" s="106">
        <v>18</v>
      </c>
      <c r="CK53" s="106">
        <v>7322.4000000000005</v>
      </c>
      <c r="CL53" s="106">
        <v>31</v>
      </c>
      <c r="CM53" s="106">
        <v>12610.800000000001</v>
      </c>
      <c r="CN53" s="106">
        <v>4</v>
      </c>
      <c r="CO53" s="106">
        <v>1627.2</v>
      </c>
      <c r="CP53" s="106">
        <v>4</v>
      </c>
      <c r="CQ53" s="106">
        <v>1627.2</v>
      </c>
      <c r="CR53" s="106">
        <v>4</v>
      </c>
      <c r="CS53" s="106">
        <v>1627.2</v>
      </c>
      <c r="CT53" s="106">
        <v>2</v>
      </c>
      <c r="CU53" s="106">
        <v>813.6</v>
      </c>
    </row>
    <row r="54" spans="2:99" x14ac:dyDescent="0.2">
      <c r="C54" s="105" t="s">
        <v>221</v>
      </c>
      <c r="D54" s="106">
        <v>5</v>
      </c>
      <c r="E54" s="106">
        <v>1674</v>
      </c>
      <c r="F54" s="106">
        <v>8</v>
      </c>
      <c r="G54" s="106">
        <v>2678.4</v>
      </c>
      <c r="H54" s="106">
        <v>7</v>
      </c>
      <c r="I54" s="106">
        <v>2343.6</v>
      </c>
      <c r="J54" s="106">
        <v>5</v>
      </c>
      <c r="K54" s="106">
        <v>1674</v>
      </c>
      <c r="L54" s="106">
        <v>32</v>
      </c>
      <c r="M54" s="106">
        <v>10713.6</v>
      </c>
      <c r="N54" s="106">
        <v>43</v>
      </c>
      <c r="O54" s="106">
        <v>14396.4</v>
      </c>
      <c r="P54" s="106">
        <v>38</v>
      </c>
      <c r="Q54" s="106">
        <v>12722.4</v>
      </c>
      <c r="R54" s="106">
        <v>37</v>
      </c>
      <c r="S54" s="106">
        <v>12387.6</v>
      </c>
      <c r="T54" s="106">
        <v>5</v>
      </c>
      <c r="U54" s="106">
        <v>1674</v>
      </c>
      <c r="V54" s="106">
        <v>4</v>
      </c>
      <c r="W54" s="106">
        <v>1339.2</v>
      </c>
      <c r="X54" s="106">
        <v>4</v>
      </c>
      <c r="Y54" s="106">
        <v>1339.2</v>
      </c>
      <c r="Z54" s="106">
        <v>3</v>
      </c>
      <c r="AA54" s="106">
        <v>1004.4000000000001</v>
      </c>
      <c r="AB54" s="106">
        <v>7</v>
      </c>
      <c r="AC54" s="106">
        <v>2343.6</v>
      </c>
      <c r="AD54" s="106">
        <v>8</v>
      </c>
      <c r="AE54" s="106">
        <v>2678.4</v>
      </c>
      <c r="AF54" s="106">
        <v>9</v>
      </c>
      <c r="AG54" s="106">
        <v>3013.2000000000003</v>
      </c>
      <c r="AH54" s="106">
        <v>6</v>
      </c>
      <c r="AI54" s="106">
        <v>2008.8000000000002</v>
      </c>
      <c r="AJ54" s="106">
        <v>8</v>
      </c>
      <c r="AK54" s="106">
        <v>2678.4</v>
      </c>
      <c r="AL54" s="106">
        <v>8</v>
      </c>
      <c r="AM54" s="106">
        <v>2678.4</v>
      </c>
      <c r="AN54" s="106">
        <v>6</v>
      </c>
      <c r="AO54" s="106">
        <v>2008.8000000000002</v>
      </c>
      <c r="AP54" s="106">
        <v>7</v>
      </c>
      <c r="AQ54" s="106">
        <v>2343.6</v>
      </c>
      <c r="AR54" s="106">
        <v>3</v>
      </c>
      <c r="AS54" s="106">
        <v>1004.4000000000001</v>
      </c>
      <c r="AT54" s="106">
        <v>3</v>
      </c>
      <c r="AU54" s="106">
        <v>1004.4000000000001</v>
      </c>
      <c r="AV54" s="106">
        <v>3</v>
      </c>
      <c r="AW54" s="106">
        <v>1004.4000000000001</v>
      </c>
      <c r="AX54" s="106">
        <v>4</v>
      </c>
      <c r="AY54" s="106">
        <v>1339.2</v>
      </c>
      <c r="AZ54" s="106">
        <v>8</v>
      </c>
      <c r="BA54" s="106">
        <v>2678.4</v>
      </c>
      <c r="BB54" s="106">
        <v>8</v>
      </c>
      <c r="BC54" s="106">
        <v>2678.4</v>
      </c>
      <c r="BD54" s="106">
        <v>8</v>
      </c>
      <c r="BE54" s="106">
        <v>2678.4</v>
      </c>
      <c r="BF54" s="106">
        <v>9</v>
      </c>
      <c r="BG54" s="106">
        <v>3013.2000000000003</v>
      </c>
      <c r="BH54" s="106">
        <v>5</v>
      </c>
      <c r="BI54" s="106">
        <v>1674</v>
      </c>
      <c r="BJ54" s="106">
        <v>4</v>
      </c>
      <c r="BK54" s="106">
        <v>1339.2</v>
      </c>
      <c r="BL54" s="106">
        <v>5</v>
      </c>
      <c r="BM54" s="106">
        <v>1674</v>
      </c>
      <c r="BN54" s="106">
        <v>6</v>
      </c>
      <c r="BO54" s="106">
        <v>2008.8000000000002</v>
      </c>
      <c r="BP54" s="106">
        <v>2</v>
      </c>
      <c r="BQ54" s="106">
        <v>669.6</v>
      </c>
      <c r="BR54" s="106">
        <v>4</v>
      </c>
      <c r="BS54" s="106">
        <v>1339.2</v>
      </c>
      <c r="BT54" s="106">
        <v>4</v>
      </c>
      <c r="BU54" s="106">
        <v>1339.2</v>
      </c>
      <c r="BV54" s="106">
        <v>3</v>
      </c>
      <c r="BW54" s="106">
        <v>1004.4000000000001</v>
      </c>
      <c r="BX54" s="106">
        <v>63</v>
      </c>
      <c r="BY54" s="106">
        <v>21092.400000000001</v>
      </c>
      <c r="BZ54" s="106">
        <v>80</v>
      </c>
      <c r="CA54" s="106">
        <v>26784</v>
      </c>
      <c r="CB54" s="106">
        <v>54</v>
      </c>
      <c r="CC54" s="106">
        <v>18079.2</v>
      </c>
      <c r="CD54" s="106">
        <v>87</v>
      </c>
      <c r="CE54" s="106">
        <v>29127.600000000002</v>
      </c>
      <c r="CF54" s="106">
        <v>22</v>
      </c>
      <c r="CG54" s="106">
        <v>7365.6</v>
      </c>
      <c r="CH54" s="106">
        <v>24</v>
      </c>
      <c r="CI54" s="106">
        <v>8035.2000000000007</v>
      </c>
      <c r="CJ54" s="106">
        <v>16</v>
      </c>
      <c r="CK54" s="106">
        <v>5356.8</v>
      </c>
      <c r="CL54" s="106">
        <v>31</v>
      </c>
      <c r="CM54" s="106">
        <v>10378.800000000001</v>
      </c>
      <c r="CN54" s="106">
        <v>4</v>
      </c>
      <c r="CO54" s="106">
        <v>1339.2</v>
      </c>
      <c r="CP54" s="106">
        <v>4</v>
      </c>
      <c r="CQ54" s="106">
        <v>1339.2</v>
      </c>
      <c r="CR54" s="106">
        <v>4</v>
      </c>
      <c r="CS54" s="106">
        <v>1339.2</v>
      </c>
      <c r="CT54" s="106">
        <v>2</v>
      </c>
      <c r="CU54" s="106">
        <v>669.6</v>
      </c>
    </row>
    <row r="55" spans="2:99" x14ac:dyDescent="0.2">
      <c r="C55" s="105" t="s">
        <v>222</v>
      </c>
      <c r="D55" s="106">
        <v>5</v>
      </c>
      <c r="E55" s="106">
        <v>3318</v>
      </c>
      <c r="F55" s="106">
        <v>8</v>
      </c>
      <c r="G55" s="106">
        <v>5308.8</v>
      </c>
      <c r="H55" s="106">
        <v>6</v>
      </c>
      <c r="I55" s="106">
        <v>3981.6000000000004</v>
      </c>
      <c r="J55" s="106">
        <v>6</v>
      </c>
      <c r="K55" s="106">
        <v>3981.6000000000004</v>
      </c>
      <c r="L55" s="106">
        <v>33</v>
      </c>
      <c r="M55" s="106">
        <v>21898.799999999999</v>
      </c>
      <c r="N55" s="106">
        <v>40</v>
      </c>
      <c r="O55" s="106">
        <v>26544</v>
      </c>
      <c r="P55" s="106">
        <v>36</v>
      </c>
      <c r="Q55" s="106">
        <v>23889.600000000002</v>
      </c>
      <c r="R55" s="106">
        <v>32</v>
      </c>
      <c r="S55" s="106">
        <v>21235.200000000001</v>
      </c>
      <c r="T55" s="106">
        <v>5</v>
      </c>
      <c r="U55" s="106">
        <v>3318</v>
      </c>
      <c r="V55" s="106">
        <v>3</v>
      </c>
      <c r="W55" s="106">
        <v>1990.8000000000002</v>
      </c>
      <c r="X55" s="106">
        <v>4</v>
      </c>
      <c r="Y55" s="106">
        <v>2654.4</v>
      </c>
      <c r="Z55" s="106">
        <v>3</v>
      </c>
      <c r="AA55" s="106">
        <v>1990.8000000000002</v>
      </c>
      <c r="AB55" s="106">
        <v>7</v>
      </c>
      <c r="AC55" s="106">
        <v>4645.2</v>
      </c>
      <c r="AD55" s="106">
        <v>8</v>
      </c>
      <c r="AE55" s="106">
        <v>5308.8</v>
      </c>
      <c r="AF55" s="106">
        <v>9</v>
      </c>
      <c r="AG55" s="106">
        <v>5972.4000000000005</v>
      </c>
      <c r="AH55" s="106">
        <v>6</v>
      </c>
      <c r="AI55" s="106">
        <v>3981.6000000000004</v>
      </c>
      <c r="AJ55" s="106">
        <v>10</v>
      </c>
      <c r="AK55" s="106">
        <v>6636</v>
      </c>
      <c r="AL55" s="106">
        <v>8</v>
      </c>
      <c r="AM55" s="106">
        <v>5308.8</v>
      </c>
      <c r="AN55" s="106">
        <v>6</v>
      </c>
      <c r="AO55" s="106">
        <v>3981.6000000000004</v>
      </c>
      <c r="AP55" s="106">
        <v>7</v>
      </c>
      <c r="AQ55" s="106">
        <v>4645.2</v>
      </c>
      <c r="AR55" s="106">
        <v>3</v>
      </c>
      <c r="AS55" s="106">
        <v>1990.8000000000002</v>
      </c>
      <c r="AT55" s="106">
        <v>3</v>
      </c>
      <c r="AU55" s="106">
        <v>1990.8000000000002</v>
      </c>
      <c r="AV55" s="106">
        <v>3</v>
      </c>
      <c r="AW55" s="106">
        <v>1990.8000000000002</v>
      </c>
      <c r="AX55" s="106">
        <v>4</v>
      </c>
      <c r="AY55" s="106">
        <v>2654.4</v>
      </c>
      <c r="AZ55" s="106">
        <v>7</v>
      </c>
      <c r="BA55" s="106">
        <v>4645.2</v>
      </c>
      <c r="BB55" s="106">
        <v>8</v>
      </c>
      <c r="BC55" s="106">
        <v>5308.8</v>
      </c>
      <c r="BD55" s="106">
        <v>7</v>
      </c>
      <c r="BE55" s="106">
        <v>4645.2</v>
      </c>
      <c r="BF55" s="106">
        <v>10</v>
      </c>
      <c r="BG55" s="106">
        <v>6636</v>
      </c>
      <c r="BH55" s="106">
        <v>4</v>
      </c>
      <c r="BI55" s="106">
        <v>2654.4</v>
      </c>
      <c r="BJ55" s="106">
        <v>4</v>
      </c>
      <c r="BK55" s="106">
        <v>2654.4</v>
      </c>
      <c r="BL55" s="106">
        <v>5</v>
      </c>
      <c r="BM55" s="106">
        <v>3318</v>
      </c>
      <c r="BN55" s="106">
        <v>6</v>
      </c>
      <c r="BO55" s="106">
        <v>3981.6000000000004</v>
      </c>
      <c r="BP55" s="106">
        <v>2</v>
      </c>
      <c r="BQ55" s="106">
        <v>1327.2</v>
      </c>
      <c r="BR55" s="106">
        <v>4</v>
      </c>
      <c r="BS55" s="106">
        <v>2654.4</v>
      </c>
      <c r="BT55" s="106">
        <v>3</v>
      </c>
      <c r="BU55" s="106">
        <v>1990.8000000000002</v>
      </c>
      <c r="BV55" s="106">
        <v>3</v>
      </c>
      <c r="BW55" s="106">
        <v>1990.8000000000002</v>
      </c>
      <c r="BX55" s="106">
        <v>61</v>
      </c>
      <c r="BY55" s="106">
        <v>40479.599999999999</v>
      </c>
      <c r="BZ55" s="106">
        <v>78</v>
      </c>
      <c r="CA55" s="106">
        <v>51760.800000000003</v>
      </c>
      <c r="CB55" s="106">
        <v>46</v>
      </c>
      <c r="CC55" s="106">
        <v>30525.600000000002</v>
      </c>
      <c r="CD55" s="106">
        <v>81</v>
      </c>
      <c r="CE55" s="106">
        <v>53751.6</v>
      </c>
      <c r="CF55" s="106">
        <v>21</v>
      </c>
      <c r="CG55" s="106">
        <v>13935.6</v>
      </c>
      <c r="CH55" s="106">
        <v>23</v>
      </c>
      <c r="CI55" s="106">
        <v>15262.800000000001</v>
      </c>
      <c r="CJ55" s="106">
        <v>18</v>
      </c>
      <c r="CK55" s="106">
        <v>11944.800000000001</v>
      </c>
      <c r="CL55" s="106">
        <v>29</v>
      </c>
      <c r="CM55" s="106">
        <v>19244.400000000001</v>
      </c>
      <c r="CN55" s="106">
        <v>4</v>
      </c>
      <c r="CO55" s="106">
        <v>2654.4</v>
      </c>
      <c r="CP55" s="106">
        <v>4</v>
      </c>
      <c r="CQ55" s="106">
        <v>2654.4</v>
      </c>
      <c r="CR55" s="106">
        <v>3</v>
      </c>
      <c r="CS55" s="106">
        <v>1990.8000000000002</v>
      </c>
      <c r="CT55" s="106">
        <v>3</v>
      </c>
      <c r="CU55" s="106">
        <v>1990.8000000000002</v>
      </c>
    </row>
    <row r="56" spans="2:99" x14ac:dyDescent="0.2">
      <c r="C56" s="105" t="s">
        <v>223</v>
      </c>
      <c r="D56" s="106">
        <v>5.098604517530605</v>
      </c>
      <c r="E56" s="106">
        <v>5867.4740787742203</v>
      </c>
      <c r="F56" s="106">
        <v>7.0941854659763317</v>
      </c>
      <c r="G56" s="106">
        <v>8163.988634245562</v>
      </c>
      <c r="H56" s="106">
        <v>6.1110077617815595</v>
      </c>
      <c r="I56" s="106">
        <v>7032.5477322582183</v>
      </c>
      <c r="J56" s="106">
        <v>5.0092146495611551</v>
      </c>
      <c r="K56" s="106">
        <v>5764.6042187149769</v>
      </c>
      <c r="L56" s="106">
        <v>31.001976282651466</v>
      </c>
      <c r="M56" s="106">
        <v>35677.074306075308</v>
      </c>
      <c r="N56" s="106">
        <v>34</v>
      </c>
      <c r="O56" s="106">
        <v>39127.199999999997</v>
      </c>
      <c r="P56" s="106">
        <v>34</v>
      </c>
      <c r="Q56" s="106">
        <v>39127.199999999997</v>
      </c>
      <c r="R56" s="106">
        <v>30.002945982262833</v>
      </c>
      <c r="S56" s="106">
        <v>34527.39023638807</v>
      </c>
      <c r="T56" s="106">
        <v>4.0019099555077791</v>
      </c>
      <c r="U56" s="106">
        <v>4605.3979767983519</v>
      </c>
      <c r="V56" s="106">
        <v>3.0016849187684311</v>
      </c>
      <c r="W56" s="106">
        <v>3454.3390045187102</v>
      </c>
      <c r="X56" s="106">
        <v>4.001529310703873</v>
      </c>
      <c r="Y56" s="106">
        <v>4604.9599307580165</v>
      </c>
      <c r="Z56" s="106">
        <v>3.0015860418241371</v>
      </c>
      <c r="AA56" s="106">
        <v>3454.2252169312169</v>
      </c>
      <c r="AB56" s="106">
        <v>7.0022778924542859</v>
      </c>
      <c r="AC56" s="106">
        <v>8058.2213986363922</v>
      </c>
      <c r="AD56" s="106">
        <v>7.0030980975029724</v>
      </c>
      <c r="AE56" s="106">
        <v>8059.1652906064201</v>
      </c>
      <c r="AF56" s="106">
        <v>9.0015408283798202</v>
      </c>
      <c r="AG56" s="106">
        <v>10358.973185299497</v>
      </c>
      <c r="AH56" s="106">
        <v>6.0027290344238278</v>
      </c>
      <c r="AI56" s="106">
        <v>6907.9405728149404</v>
      </c>
      <c r="AJ56" s="106">
        <v>8.006714618620558</v>
      </c>
      <c r="AK56" s="106">
        <v>9214.1271831085378</v>
      </c>
      <c r="AL56" s="106">
        <v>7</v>
      </c>
      <c r="AM56" s="106">
        <v>8055.5999999999995</v>
      </c>
      <c r="AN56" s="106">
        <v>6.0089551991699874</v>
      </c>
      <c r="AO56" s="106">
        <v>6915.1056432048217</v>
      </c>
      <c r="AP56" s="106">
        <v>7</v>
      </c>
      <c r="AQ56" s="106">
        <v>8055.5999999999995</v>
      </c>
      <c r="AR56" s="106">
        <v>3.0034810116888631</v>
      </c>
      <c r="AS56" s="106">
        <v>3456.4059482515436</v>
      </c>
      <c r="AT56" s="106">
        <v>3.0019789726497401</v>
      </c>
      <c r="AU56" s="106">
        <v>3454.6774017253206</v>
      </c>
      <c r="AV56" s="106">
        <v>3.0073538940478706</v>
      </c>
      <c r="AW56" s="106">
        <v>3460.8628612702892</v>
      </c>
      <c r="AX56" s="106">
        <v>4.0026707748468677</v>
      </c>
      <c r="AY56" s="106">
        <v>4606.2735276937756</v>
      </c>
      <c r="AZ56" s="106">
        <v>7</v>
      </c>
      <c r="BA56" s="106">
        <v>8055.5999999999995</v>
      </c>
      <c r="BB56" s="106">
        <v>8.0038240777440137</v>
      </c>
      <c r="BC56" s="106">
        <v>9210.8007486678107</v>
      </c>
      <c r="BD56" s="106">
        <v>8.0066777213818963</v>
      </c>
      <c r="BE56" s="106">
        <v>9214.0847217662867</v>
      </c>
      <c r="BF56" s="106">
        <v>8.0045217254064021</v>
      </c>
      <c r="BG56" s="106">
        <v>9211.6036015976879</v>
      </c>
      <c r="BH56" s="106">
        <v>4.0024763278905899</v>
      </c>
      <c r="BI56" s="106">
        <v>4606.0497581364907</v>
      </c>
      <c r="BJ56" s="106">
        <v>3</v>
      </c>
      <c r="BK56" s="106">
        <v>3452.3999999999996</v>
      </c>
      <c r="BL56" s="106">
        <v>5.005100165165965</v>
      </c>
      <c r="BM56" s="106">
        <v>5759.8692700729925</v>
      </c>
      <c r="BN56" s="106">
        <v>5.0040404006271624</v>
      </c>
      <c r="BO56" s="106">
        <v>5758.6496930417379</v>
      </c>
      <c r="BP56" s="106">
        <v>2.0040579672190026</v>
      </c>
      <c r="BQ56" s="106">
        <v>2306.2699086756284</v>
      </c>
      <c r="BR56" s="106">
        <v>4</v>
      </c>
      <c r="BS56" s="106">
        <v>4603.2</v>
      </c>
      <c r="BT56" s="106">
        <v>4.0059523574260201</v>
      </c>
      <c r="BU56" s="106">
        <v>4610.0499729258636</v>
      </c>
      <c r="BV56" s="106">
        <v>2</v>
      </c>
      <c r="BW56" s="106">
        <v>2301.6</v>
      </c>
      <c r="BX56" s="106">
        <v>45</v>
      </c>
      <c r="BY56" s="106">
        <v>51786</v>
      </c>
      <c r="BZ56" s="106">
        <v>66.011055245259229</v>
      </c>
      <c r="CA56" s="106">
        <v>75965.52237624432</v>
      </c>
      <c r="CB56" s="106">
        <v>37.004639599129831</v>
      </c>
      <c r="CC56" s="106">
        <v>42584.93925067861</v>
      </c>
      <c r="CD56" s="106">
        <v>59.005787229843662</v>
      </c>
      <c r="CE56" s="106">
        <v>67903.859944104086</v>
      </c>
      <c r="CF56" s="106">
        <v>18.005037025948983</v>
      </c>
      <c r="CG56" s="106">
        <v>20720.196609462088</v>
      </c>
      <c r="CH56" s="106">
        <v>20.007165091595862</v>
      </c>
      <c r="CI56" s="106">
        <v>23024.245587408517</v>
      </c>
      <c r="CJ56" s="106">
        <v>15.014973070362679</v>
      </c>
      <c r="CK56" s="106">
        <v>17279.231009373369</v>
      </c>
      <c r="CL56" s="106">
        <v>28.006593390293105</v>
      </c>
      <c r="CM56" s="106">
        <v>32229.987673549305</v>
      </c>
      <c r="CN56" s="106">
        <v>4.0039800933299627</v>
      </c>
      <c r="CO56" s="106">
        <v>4607.7802914041213</v>
      </c>
      <c r="CP56" s="106">
        <v>4</v>
      </c>
      <c r="CQ56" s="106">
        <v>4603.2</v>
      </c>
      <c r="CR56" s="106">
        <v>3</v>
      </c>
      <c r="CS56" s="106">
        <v>3452.3999999999996</v>
      </c>
      <c r="CT56" s="106">
        <v>2.0098886908079705</v>
      </c>
      <c r="CU56" s="106">
        <v>2312.9799053818124</v>
      </c>
    </row>
    <row r="57" spans="2:99" x14ac:dyDescent="0.2">
      <c r="C57" s="105" t="s">
        <v>224</v>
      </c>
      <c r="D57" s="106">
        <v>5</v>
      </c>
      <c r="E57" s="106">
        <v>7056</v>
      </c>
      <c r="F57" s="106">
        <v>7</v>
      </c>
      <c r="G57" s="106">
        <v>9878.4</v>
      </c>
      <c r="H57" s="106">
        <v>6</v>
      </c>
      <c r="I57" s="106">
        <v>8467.2000000000007</v>
      </c>
      <c r="J57" s="106">
        <v>5</v>
      </c>
      <c r="K57" s="106">
        <v>7056</v>
      </c>
      <c r="L57" s="106">
        <v>29</v>
      </c>
      <c r="M57" s="106">
        <v>40924.800000000003</v>
      </c>
      <c r="N57" s="106">
        <v>36</v>
      </c>
      <c r="O57" s="106">
        <v>50803.200000000004</v>
      </c>
      <c r="P57" s="106">
        <v>36</v>
      </c>
      <c r="Q57" s="106">
        <v>50803.200000000004</v>
      </c>
      <c r="R57" s="106">
        <v>30</v>
      </c>
      <c r="S57" s="106">
        <v>42336</v>
      </c>
      <c r="T57" s="106">
        <v>4</v>
      </c>
      <c r="U57" s="106">
        <v>5644.8</v>
      </c>
      <c r="V57" s="106">
        <v>3</v>
      </c>
      <c r="W57" s="106">
        <v>4233.6000000000004</v>
      </c>
      <c r="X57" s="106">
        <v>4</v>
      </c>
      <c r="Y57" s="106">
        <v>5644.8</v>
      </c>
      <c r="Z57" s="106">
        <v>2</v>
      </c>
      <c r="AA57" s="106">
        <v>2822.4</v>
      </c>
      <c r="AB57" s="106">
        <v>6</v>
      </c>
      <c r="AC57" s="106">
        <v>8467.2000000000007</v>
      </c>
      <c r="AD57" s="106">
        <v>8</v>
      </c>
      <c r="AE57" s="106">
        <v>11289.6</v>
      </c>
      <c r="AF57" s="106">
        <v>8</v>
      </c>
      <c r="AG57" s="106">
        <v>11289.6</v>
      </c>
      <c r="AH57" s="106">
        <v>5</v>
      </c>
      <c r="AI57" s="106">
        <v>7056</v>
      </c>
      <c r="AJ57" s="106">
        <v>8</v>
      </c>
      <c r="AK57" s="106">
        <v>11289.6</v>
      </c>
      <c r="AL57" s="106">
        <v>7</v>
      </c>
      <c r="AM57" s="106">
        <v>9878.4</v>
      </c>
      <c r="AN57" s="106">
        <v>6</v>
      </c>
      <c r="AO57" s="106">
        <v>8467.2000000000007</v>
      </c>
      <c r="AP57" s="106">
        <v>7</v>
      </c>
      <c r="AQ57" s="106">
        <v>9878.4</v>
      </c>
      <c r="AR57" s="106">
        <v>3</v>
      </c>
      <c r="AS57" s="106">
        <v>4233.6000000000004</v>
      </c>
      <c r="AT57" s="106">
        <v>3</v>
      </c>
      <c r="AU57" s="106">
        <v>4233.6000000000004</v>
      </c>
      <c r="AV57" s="106">
        <v>2</v>
      </c>
      <c r="AW57" s="106">
        <v>2822.4</v>
      </c>
      <c r="AX57" s="106">
        <v>4</v>
      </c>
      <c r="AY57" s="106">
        <v>5644.8</v>
      </c>
      <c r="AZ57" s="106">
        <v>7</v>
      </c>
      <c r="BA57" s="106">
        <v>9878.4</v>
      </c>
      <c r="BB57" s="106">
        <v>7</v>
      </c>
      <c r="BC57" s="106">
        <v>9878.4</v>
      </c>
      <c r="BD57" s="106">
        <v>7</v>
      </c>
      <c r="BE57" s="106">
        <v>9878.4</v>
      </c>
      <c r="BF57" s="106">
        <v>8</v>
      </c>
      <c r="BG57" s="106">
        <v>11289.6</v>
      </c>
      <c r="BH57" s="106">
        <v>4</v>
      </c>
      <c r="BI57" s="106">
        <v>5644.8</v>
      </c>
      <c r="BJ57" s="106">
        <v>3</v>
      </c>
      <c r="BK57" s="106">
        <v>4233.6000000000004</v>
      </c>
      <c r="BL57" s="106">
        <v>5</v>
      </c>
      <c r="BM57" s="106">
        <v>7056</v>
      </c>
      <c r="BN57" s="106">
        <v>6</v>
      </c>
      <c r="BO57" s="106">
        <v>8467.2000000000007</v>
      </c>
      <c r="BP57" s="106">
        <v>2</v>
      </c>
      <c r="BQ57" s="106">
        <v>2822.4</v>
      </c>
      <c r="BR57" s="106">
        <v>3</v>
      </c>
      <c r="BS57" s="106">
        <v>4233.6000000000004</v>
      </c>
      <c r="BT57" s="106">
        <v>4</v>
      </c>
      <c r="BU57" s="106">
        <v>5644.8</v>
      </c>
      <c r="BV57" s="106">
        <v>2</v>
      </c>
      <c r="BW57" s="106">
        <v>2822.4</v>
      </c>
      <c r="BX57" s="106">
        <v>47</v>
      </c>
      <c r="BY57" s="106">
        <v>66326.400000000009</v>
      </c>
      <c r="BZ57" s="106">
        <v>66</v>
      </c>
      <c r="CA57" s="106">
        <v>93139.199999999997</v>
      </c>
      <c r="CB57" s="106">
        <v>40</v>
      </c>
      <c r="CC57" s="106">
        <v>56448</v>
      </c>
      <c r="CD57" s="106">
        <v>60</v>
      </c>
      <c r="CE57" s="106">
        <v>84672</v>
      </c>
      <c r="CF57" s="106">
        <v>19</v>
      </c>
      <c r="CG57" s="106">
        <v>26812.799999999999</v>
      </c>
      <c r="CH57" s="106">
        <v>20</v>
      </c>
      <c r="CI57" s="106">
        <v>28224</v>
      </c>
      <c r="CJ57" s="106">
        <v>14</v>
      </c>
      <c r="CK57" s="106">
        <v>19756.8</v>
      </c>
      <c r="CL57" s="106">
        <v>27</v>
      </c>
      <c r="CM57" s="106">
        <v>38102.400000000001</v>
      </c>
      <c r="CN57" s="106">
        <v>4</v>
      </c>
      <c r="CO57" s="106">
        <v>5644.8</v>
      </c>
      <c r="CP57" s="106">
        <v>3</v>
      </c>
      <c r="CQ57" s="106">
        <v>4233.6000000000004</v>
      </c>
      <c r="CR57" s="106">
        <v>3</v>
      </c>
      <c r="CS57" s="106">
        <v>4233.6000000000004</v>
      </c>
      <c r="CT57" s="106">
        <v>2</v>
      </c>
      <c r="CU57" s="106">
        <v>2822.4</v>
      </c>
    </row>
    <row r="58" spans="2:99" x14ac:dyDescent="0.2">
      <c r="C58" s="105" t="s">
        <v>225</v>
      </c>
      <c r="D58" s="106">
        <v>4.098604517530605</v>
      </c>
      <c r="E58" s="106">
        <v>4824.8772380370283</v>
      </c>
      <c r="F58" s="106">
        <v>7.0858134245562132</v>
      </c>
      <c r="G58" s="106">
        <v>8341.4195633875752</v>
      </c>
      <c r="H58" s="106">
        <v>6.122817098141299</v>
      </c>
      <c r="I58" s="106">
        <v>7207.7802879319379</v>
      </c>
      <c r="J58" s="106">
        <v>5.0094240734148174</v>
      </c>
      <c r="K58" s="106">
        <v>5897.0940192239232</v>
      </c>
      <c r="L58" s="106">
        <v>31.001976282651466</v>
      </c>
      <c r="M58" s="106">
        <v>36495.526479937304</v>
      </c>
      <c r="N58" s="106">
        <v>33</v>
      </c>
      <c r="O58" s="106">
        <v>38847.599999999999</v>
      </c>
      <c r="P58" s="106">
        <v>32</v>
      </c>
      <c r="Q58" s="106">
        <v>37670.400000000001</v>
      </c>
      <c r="R58" s="106">
        <v>33.00294598226283</v>
      </c>
      <c r="S58" s="106">
        <v>38851.068010319803</v>
      </c>
      <c r="T58" s="106">
        <v>4.0019099555077791</v>
      </c>
      <c r="U58" s="106">
        <v>4711.0483996237581</v>
      </c>
      <c r="V58" s="106">
        <v>3.0018534106452743</v>
      </c>
      <c r="W58" s="106">
        <v>3533.7818350116172</v>
      </c>
      <c r="X58" s="106">
        <v>4.0013593872923323</v>
      </c>
      <c r="Y58" s="106">
        <v>4710.4002707205336</v>
      </c>
      <c r="Z58" s="106">
        <v>3.0014274376417234</v>
      </c>
      <c r="AA58" s="106">
        <v>3533.2803795918371</v>
      </c>
      <c r="AB58" s="106">
        <v>6.0022778924542859</v>
      </c>
      <c r="AC58" s="106">
        <v>7065.8815349971856</v>
      </c>
      <c r="AD58" s="106">
        <v>7.0030980975029724</v>
      </c>
      <c r="AE58" s="106">
        <v>8244.0470803805001</v>
      </c>
      <c r="AF58" s="106">
        <v>9.0015408283798202</v>
      </c>
      <c r="AG58" s="106">
        <v>10596.613863168724</v>
      </c>
      <c r="AH58" s="106">
        <v>5.0027290344238278</v>
      </c>
      <c r="AI58" s="106">
        <v>5889.21261932373</v>
      </c>
      <c r="AJ58" s="106">
        <v>9.0062350030048037</v>
      </c>
      <c r="AK58" s="106">
        <v>10602.139845537255</v>
      </c>
      <c r="AL58" s="106">
        <v>6</v>
      </c>
      <c r="AM58" s="106">
        <v>7063.2000000000007</v>
      </c>
      <c r="AN58" s="106">
        <v>6.0102818953433186</v>
      </c>
      <c r="AO58" s="106">
        <v>7075.3038471981545</v>
      </c>
      <c r="AP58" s="106">
        <v>7</v>
      </c>
      <c r="AQ58" s="106">
        <v>8240.4</v>
      </c>
      <c r="AR58" s="106">
        <v>3.0029535856753991</v>
      </c>
      <c r="AS58" s="106">
        <v>3535.0769610570801</v>
      </c>
      <c r="AT58" s="106">
        <v>3.0021026584403492</v>
      </c>
      <c r="AU58" s="106">
        <v>3534.0752495159791</v>
      </c>
      <c r="AV58" s="106">
        <v>3.0076165331210087</v>
      </c>
      <c r="AW58" s="106">
        <v>3540.5661827900517</v>
      </c>
      <c r="AX58" s="106">
        <v>4.002362608518383</v>
      </c>
      <c r="AY58" s="106">
        <v>4711.5812627478408</v>
      </c>
      <c r="AZ58" s="106">
        <v>7</v>
      </c>
      <c r="BA58" s="106">
        <v>8240.4</v>
      </c>
      <c r="BB58" s="106">
        <v>7.0038240777440146</v>
      </c>
      <c r="BC58" s="106">
        <v>8244.9017043202548</v>
      </c>
      <c r="BD58" s="106">
        <v>8.0066777213818963</v>
      </c>
      <c r="BE58" s="106">
        <v>9425.4610136107694</v>
      </c>
      <c r="BF58" s="106">
        <v>8.0048695504376646</v>
      </c>
      <c r="BG58" s="106">
        <v>9423.3324347752186</v>
      </c>
      <c r="BH58" s="106">
        <v>4.0023306615440841</v>
      </c>
      <c r="BI58" s="106">
        <v>4711.5436547696963</v>
      </c>
      <c r="BJ58" s="106">
        <v>3</v>
      </c>
      <c r="BK58" s="106">
        <v>3531.6000000000004</v>
      </c>
      <c r="BL58" s="106">
        <v>5.005828760189674</v>
      </c>
      <c r="BM58" s="106">
        <v>5892.8616164952846</v>
      </c>
      <c r="BN58" s="106">
        <v>5.0042240552011243</v>
      </c>
      <c r="BO58" s="106">
        <v>5890.9725577827639</v>
      </c>
      <c r="BP58" s="106">
        <v>2.0040579672190026</v>
      </c>
      <c r="BQ58" s="106">
        <v>2359.1770390102101</v>
      </c>
      <c r="BR58" s="106">
        <v>3</v>
      </c>
      <c r="BS58" s="106">
        <v>3531.6000000000004</v>
      </c>
      <c r="BT58" s="106">
        <v>4.0071428289112241</v>
      </c>
      <c r="BU58" s="106">
        <v>4717.2085381942934</v>
      </c>
      <c r="BV58" s="106">
        <v>3</v>
      </c>
      <c r="BW58" s="106">
        <v>3531.6000000000004</v>
      </c>
      <c r="BX58" s="106">
        <v>53</v>
      </c>
      <c r="BY58" s="106">
        <v>62391.600000000006</v>
      </c>
      <c r="BZ58" s="106">
        <v>68.01072023782713</v>
      </c>
      <c r="CA58" s="106">
        <v>80062.219863970095</v>
      </c>
      <c r="CB58" s="106">
        <v>37.003976799254147</v>
      </c>
      <c r="CC58" s="106">
        <v>43561.081488081982</v>
      </c>
      <c r="CD58" s="106">
        <v>71.00680850569843</v>
      </c>
      <c r="CE58" s="106">
        <v>83589.214972908201</v>
      </c>
      <c r="CF58" s="106">
        <v>19.005333321593039</v>
      </c>
      <c r="CG58" s="106">
        <v>22373.078386179324</v>
      </c>
      <c r="CH58" s="106">
        <v>21.007165091595862</v>
      </c>
      <c r="CI58" s="106">
        <v>24729.63474582665</v>
      </c>
      <c r="CJ58" s="106">
        <v>14.01354706366147</v>
      </c>
      <c r="CK58" s="106">
        <v>16496.747603342283</v>
      </c>
      <c r="CL58" s="106">
        <v>29.006593390293105</v>
      </c>
      <c r="CM58" s="106">
        <v>34146.561739053046</v>
      </c>
      <c r="CN58" s="106">
        <v>4.0039800933299627</v>
      </c>
      <c r="CO58" s="106">
        <v>4713.4853658680322</v>
      </c>
      <c r="CP58" s="106">
        <v>3</v>
      </c>
      <c r="CQ58" s="106">
        <v>3531.6000000000004</v>
      </c>
      <c r="CR58" s="106">
        <v>3</v>
      </c>
      <c r="CS58" s="106">
        <v>3531.6000000000004</v>
      </c>
      <c r="CT58" s="106">
        <v>2.0084053871867749</v>
      </c>
      <c r="CU58" s="106">
        <v>2364.2948217962717</v>
      </c>
    </row>
    <row r="59" spans="2:99" x14ac:dyDescent="0.2">
      <c r="C59" s="105" t="s">
        <v>226</v>
      </c>
      <c r="D59" s="106">
        <v>5</v>
      </c>
      <c r="E59" s="106">
        <v>1517.9999999999998</v>
      </c>
      <c r="F59" s="106">
        <v>8</v>
      </c>
      <c r="G59" s="106">
        <v>2428.7999999999997</v>
      </c>
      <c r="H59" s="106">
        <v>7</v>
      </c>
      <c r="I59" s="106">
        <v>2125.1999999999998</v>
      </c>
      <c r="J59" s="106">
        <v>5</v>
      </c>
      <c r="K59" s="106">
        <v>1517.9999999999998</v>
      </c>
      <c r="L59" s="106">
        <v>30</v>
      </c>
      <c r="M59" s="106">
        <v>9107.9999999999982</v>
      </c>
      <c r="N59" s="106">
        <v>38</v>
      </c>
      <c r="O59" s="106">
        <v>11536.8</v>
      </c>
      <c r="P59" s="106">
        <v>43</v>
      </c>
      <c r="Q59" s="106">
        <v>13054.8</v>
      </c>
      <c r="R59" s="106">
        <v>35</v>
      </c>
      <c r="S59" s="106">
        <v>10625.999999999998</v>
      </c>
      <c r="T59" s="106">
        <v>5</v>
      </c>
      <c r="U59" s="106">
        <v>1517.9999999999998</v>
      </c>
      <c r="V59" s="106">
        <v>3</v>
      </c>
      <c r="W59" s="106">
        <v>910.8</v>
      </c>
      <c r="X59" s="106">
        <v>4</v>
      </c>
      <c r="Y59" s="106">
        <v>1214.3999999999999</v>
      </c>
      <c r="Z59" s="106">
        <v>3</v>
      </c>
      <c r="AA59" s="106">
        <v>910.8</v>
      </c>
      <c r="AB59" s="106">
        <v>7</v>
      </c>
      <c r="AC59" s="106">
        <v>2125.1999999999998</v>
      </c>
      <c r="AD59" s="106">
        <v>8</v>
      </c>
      <c r="AE59" s="106">
        <v>2428.7999999999997</v>
      </c>
      <c r="AF59" s="106">
        <v>10</v>
      </c>
      <c r="AG59" s="106">
        <v>3035.9999999999995</v>
      </c>
      <c r="AH59" s="106">
        <v>6</v>
      </c>
      <c r="AI59" s="106">
        <v>1821.6</v>
      </c>
      <c r="AJ59" s="106">
        <v>8</v>
      </c>
      <c r="AK59" s="106">
        <v>2428.7999999999997</v>
      </c>
      <c r="AL59" s="106">
        <v>7</v>
      </c>
      <c r="AM59" s="106">
        <v>2125.1999999999998</v>
      </c>
      <c r="AN59" s="106">
        <v>6</v>
      </c>
      <c r="AO59" s="106">
        <v>1821.6</v>
      </c>
      <c r="AP59" s="106">
        <v>8</v>
      </c>
      <c r="AQ59" s="106">
        <v>2428.7999999999997</v>
      </c>
      <c r="AR59" s="106">
        <v>3</v>
      </c>
      <c r="AS59" s="106">
        <v>910.8</v>
      </c>
      <c r="AT59" s="106">
        <v>3</v>
      </c>
      <c r="AU59" s="106">
        <v>910.8</v>
      </c>
      <c r="AV59" s="106">
        <v>3</v>
      </c>
      <c r="AW59" s="106">
        <v>910.8</v>
      </c>
      <c r="AX59" s="106">
        <v>4</v>
      </c>
      <c r="AY59" s="106">
        <v>1214.3999999999999</v>
      </c>
      <c r="AZ59" s="106">
        <v>8</v>
      </c>
      <c r="BA59" s="106">
        <v>2428.7999999999997</v>
      </c>
      <c r="BB59" s="106">
        <v>9</v>
      </c>
      <c r="BC59" s="106">
        <v>2732.3999999999996</v>
      </c>
      <c r="BD59" s="106">
        <v>8</v>
      </c>
      <c r="BE59" s="106">
        <v>2428.7999999999997</v>
      </c>
      <c r="BF59" s="106">
        <v>10</v>
      </c>
      <c r="BG59" s="106">
        <v>3035.9999999999995</v>
      </c>
      <c r="BH59" s="106">
        <v>5</v>
      </c>
      <c r="BI59" s="106">
        <v>1517.9999999999998</v>
      </c>
      <c r="BJ59" s="106">
        <v>3</v>
      </c>
      <c r="BK59" s="106">
        <v>910.8</v>
      </c>
      <c r="BL59" s="106">
        <v>6</v>
      </c>
      <c r="BM59" s="106">
        <v>1821.6</v>
      </c>
      <c r="BN59" s="106">
        <v>6</v>
      </c>
      <c r="BO59" s="106">
        <v>1821.6</v>
      </c>
      <c r="BP59" s="106">
        <v>2</v>
      </c>
      <c r="BQ59" s="106">
        <v>607.19999999999993</v>
      </c>
      <c r="BR59" s="106">
        <v>4</v>
      </c>
      <c r="BS59" s="106">
        <v>1214.3999999999999</v>
      </c>
      <c r="BT59" s="106">
        <v>4</v>
      </c>
      <c r="BU59" s="106">
        <v>1214.3999999999999</v>
      </c>
      <c r="BV59" s="106">
        <v>2</v>
      </c>
      <c r="BW59" s="106">
        <v>607.19999999999993</v>
      </c>
      <c r="BX59" s="106">
        <v>63</v>
      </c>
      <c r="BY59" s="106">
        <v>19126.8</v>
      </c>
      <c r="BZ59" s="106">
        <v>82</v>
      </c>
      <c r="CA59" s="106">
        <v>24895.199999999997</v>
      </c>
      <c r="CB59" s="106">
        <v>52</v>
      </c>
      <c r="CC59" s="106">
        <v>15787.199999999999</v>
      </c>
      <c r="CD59" s="106">
        <v>80</v>
      </c>
      <c r="CE59" s="106">
        <v>24287.999999999996</v>
      </c>
      <c r="CF59" s="106">
        <v>21</v>
      </c>
      <c r="CG59" s="106">
        <v>6375.5999999999995</v>
      </c>
      <c r="CH59" s="106">
        <v>23</v>
      </c>
      <c r="CI59" s="106">
        <v>6982.7999999999993</v>
      </c>
      <c r="CJ59" s="106">
        <v>19</v>
      </c>
      <c r="CK59" s="106">
        <v>5768.4</v>
      </c>
      <c r="CL59" s="106">
        <v>29</v>
      </c>
      <c r="CM59" s="106">
        <v>8804.4</v>
      </c>
      <c r="CN59" s="106">
        <v>4</v>
      </c>
      <c r="CO59" s="106">
        <v>1214.3999999999999</v>
      </c>
      <c r="CP59" s="106">
        <v>3</v>
      </c>
      <c r="CQ59" s="106">
        <v>910.8</v>
      </c>
      <c r="CR59" s="106">
        <v>3</v>
      </c>
      <c r="CS59" s="106">
        <v>910.8</v>
      </c>
      <c r="CT59" s="106">
        <v>2</v>
      </c>
      <c r="CU59" s="106">
        <v>607.19999999999993</v>
      </c>
    </row>
    <row r="60" spans="2:99" x14ac:dyDescent="0.2">
      <c r="C60" s="105" t="s">
        <v>227</v>
      </c>
      <c r="D60" s="106">
        <v>5</v>
      </c>
      <c r="E60" s="106">
        <v>3258</v>
      </c>
      <c r="F60" s="106">
        <v>8</v>
      </c>
      <c r="G60" s="106">
        <v>5212.8</v>
      </c>
      <c r="H60" s="106">
        <v>6</v>
      </c>
      <c r="I60" s="106">
        <v>3909.6000000000004</v>
      </c>
      <c r="J60" s="106">
        <v>5</v>
      </c>
      <c r="K60" s="106">
        <v>3258</v>
      </c>
      <c r="L60" s="106">
        <v>32</v>
      </c>
      <c r="M60" s="106">
        <v>20851.2</v>
      </c>
      <c r="N60" s="106">
        <v>36</v>
      </c>
      <c r="O60" s="106">
        <v>23457.600000000002</v>
      </c>
      <c r="P60" s="106">
        <v>42</v>
      </c>
      <c r="Q60" s="106">
        <v>27367.200000000001</v>
      </c>
      <c r="R60" s="106">
        <v>33</v>
      </c>
      <c r="S60" s="106">
        <v>21502.799999999999</v>
      </c>
      <c r="T60" s="106">
        <v>5</v>
      </c>
      <c r="U60" s="106">
        <v>3258</v>
      </c>
      <c r="V60" s="106">
        <v>3</v>
      </c>
      <c r="W60" s="106">
        <v>1954.8000000000002</v>
      </c>
      <c r="X60" s="106">
        <v>4</v>
      </c>
      <c r="Y60" s="106">
        <v>2606.4</v>
      </c>
      <c r="Z60" s="106">
        <v>3</v>
      </c>
      <c r="AA60" s="106">
        <v>1954.8000000000002</v>
      </c>
      <c r="AB60" s="106">
        <v>7</v>
      </c>
      <c r="AC60" s="106">
        <v>4561.2</v>
      </c>
      <c r="AD60" s="106">
        <v>7</v>
      </c>
      <c r="AE60" s="106">
        <v>4561.2</v>
      </c>
      <c r="AF60" s="106">
        <v>8</v>
      </c>
      <c r="AG60" s="106">
        <v>5212.8</v>
      </c>
      <c r="AH60" s="106">
        <v>6</v>
      </c>
      <c r="AI60" s="106">
        <v>3909.6000000000004</v>
      </c>
      <c r="AJ60" s="106">
        <v>9</v>
      </c>
      <c r="AK60" s="106">
        <v>5864.4000000000005</v>
      </c>
      <c r="AL60" s="106">
        <v>8</v>
      </c>
      <c r="AM60" s="106">
        <v>5212.8</v>
      </c>
      <c r="AN60" s="106">
        <v>7</v>
      </c>
      <c r="AO60" s="106">
        <v>4561.2</v>
      </c>
      <c r="AP60" s="106">
        <v>7</v>
      </c>
      <c r="AQ60" s="106">
        <v>4561.2</v>
      </c>
      <c r="AR60" s="106">
        <v>4</v>
      </c>
      <c r="AS60" s="106">
        <v>2606.4</v>
      </c>
      <c r="AT60" s="106">
        <v>3</v>
      </c>
      <c r="AU60" s="106">
        <v>1954.8000000000002</v>
      </c>
      <c r="AV60" s="106">
        <v>3</v>
      </c>
      <c r="AW60" s="106">
        <v>1954.8000000000002</v>
      </c>
      <c r="AX60" s="106">
        <v>4</v>
      </c>
      <c r="AY60" s="106">
        <v>2606.4</v>
      </c>
      <c r="AZ60" s="106">
        <v>7</v>
      </c>
      <c r="BA60" s="106">
        <v>4561.2</v>
      </c>
      <c r="BB60" s="106">
        <v>9</v>
      </c>
      <c r="BC60" s="106">
        <v>5864.4000000000005</v>
      </c>
      <c r="BD60" s="106">
        <v>8</v>
      </c>
      <c r="BE60" s="106">
        <v>5212.8</v>
      </c>
      <c r="BF60" s="106">
        <v>9</v>
      </c>
      <c r="BG60" s="106">
        <v>5864.4000000000005</v>
      </c>
      <c r="BH60" s="106">
        <v>5</v>
      </c>
      <c r="BI60" s="106">
        <v>3258</v>
      </c>
      <c r="BJ60" s="106">
        <v>4</v>
      </c>
      <c r="BK60" s="106">
        <v>2606.4</v>
      </c>
      <c r="BL60" s="106">
        <v>5</v>
      </c>
      <c r="BM60" s="106">
        <v>3258</v>
      </c>
      <c r="BN60" s="106">
        <v>5</v>
      </c>
      <c r="BO60" s="106">
        <v>3258</v>
      </c>
      <c r="BP60" s="106">
        <v>2</v>
      </c>
      <c r="BQ60" s="106">
        <v>1303.2</v>
      </c>
      <c r="BR60" s="106">
        <v>4</v>
      </c>
      <c r="BS60" s="106">
        <v>2606.4</v>
      </c>
      <c r="BT60" s="106">
        <v>3</v>
      </c>
      <c r="BU60" s="106">
        <v>1954.8000000000002</v>
      </c>
      <c r="BV60" s="106">
        <v>3</v>
      </c>
      <c r="BW60" s="106">
        <v>1954.8000000000002</v>
      </c>
      <c r="BX60" s="106">
        <v>58</v>
      </c>
      <c r="BY60" s="106">
        <v>37792.800000000003</v>
      </c>
      <c r="BZ60" s="106">
        <v>84</v>
      </c>
      <c r="CA60" s="106">
        <v>54734.400000000001</v>
      </c>
      <c r="CB60" s="106">
        <v>47</v>
      </c>
      <c r="CC60" s="106">
        <v>30625.200000000001</v>
      </c>
      <c r="CD60" s="106">
        <v>76</v>
      </c>
      <c r="CE60" s="106">
        <v>49521.599999999999</v>
      </c>
      <c r="CF60" s="106">
        <v>20</v>
      </c>
      <c r="CG60" s="106">
        <v>13032</v>
      </c>
      <c r="CH60" s="106">
        <v>25</v>
      </c>
      <c r="CI60" s="106">
        <v>16290</v>
      </c>
      <c r="CJ60" s="106">
        <v>17</v>
      </c>
      <c r="CK60" s="106">
        <v>11077.2</v>
      </c>
      <c r="CL60" s="106">
        <v>31</v>
      </c>
      <c r="CM60" s="106">
        <v>20199.600000000002</v>
      </c>
      <c r="CN60" s="106">
        <v>5</v>
      </c>
      <c r="CO60" s="106">
        <v>3258</v>
      </c>
      <c r="CP60" s="106">
        <v>3</v>
      </c>
      <c r="CQ60" s="106">
        <v>1954.8000000000002</v>
      </c>
      <c r="CR60" s="106">
        <v>3</v>
      </c>
      <c r="CS60" s="106">
        <v>1954.8000000000002</v>
      </c>
      <c r="CT60" s="106">
        <v>2</v>
      </c>
      <c r="CU60" s="106">
        <v>1303.2</v>
      </c>
    </row>
    <row r="61" spans="2:99" x14ac:dyDescent="0.2">
      <c r="C61" s="105" t="s">
        <v>228</v>
      </c>
      <c r="D61" s="106">
        <v>5</v>
      </c>
      <c r="E61" s="106">
        <v>4758</v>
      </c>
      <c r="F61" s="106">
        <v>7</v>
      </c>
      <c r="G61" s="106">
        <v>6661.1999999999989</v>
      </c>
      <c r="H61" s="106">
        <v>6</v>
      </c>
      <c r="I61" s="106">
        <v>5709.5999999999995</v>
      </c>
      <c r="J61" s="106">
        <v>5</v>
      </c>
      <c r="K61" s="106">
        <v>4758</v>
      </c>
      <c r="L61" s="106">
        <v>30</v>
      </c>
      <c r="M61" s="106">
        <v>28547.999999999996</v>
      </c>
      <c r="N61" s="106">
        <v>35</v>
      </c>
      <c r="O61" s="106">
        <v>33306</v>
      </c>
      <c r="P61" s="106">
        <v>38</v>
      </c>
      <c r="Q61" s="106">
        <v>36160.799999999996</v>
      </c>
      <c r="R61" s="106">
        <v>30</v>
      </c>
      <c r="S61" s="106">
        <v>28547.999999999996</v>
      </c>
      <c r="T61" s="106">
        <v>4</v>
      </c>
      <c r="U61" s="106">
        <v>3806.3999999999996</v>
      </c>
      <c r="V61" s="106">
        <v>3</v>
      </c>
      <c r="W61" s="106">
        <v>2854.7999999999997</v>
      </c>
      <c r="X61" s="106">
        <v>4</v>
      </c>
      <c r="Y61" s="106">
        <v>3806.3999999999996</v>
      </c>
      <c r="Z61" s="106">
        <v>3</v>
      </c>
      <c r="AA61" s="106">
        <v>2854.7999999999997</v>
      </c>
      <c r="AB61" s="106">
        <v>6</v>
      </c>
      <c r="AC61" s="106">
        <v>5709.5999999999995</v>
      </c>
      <c r="AD61" s="106">
        <v>8</v>
      </c>
      <c r="AE61" s="106">
        <v>7612.7999999999993</v>
      </c>
      <c r="AF61" s="106">
        <v>9</v>
      </c>
      <c r="AG61" s="106">
        <v>8564.4</v>
      </c>
      <c r="AH61" s="106">
        <v>5</v>
      </c>
      <c r="AI61" s="106">
        <v>4758</v>
      </c>
      <c r="AJ61" s="106">
        <v>8</v>
      </c>
      <c r="AK61" s="106">
        <v>7612.7999999999993</v>
      </c>
      <c r="AL61" s="106">
        <v>7</v>
      </c>
      <c r="AM61" s="106">
        <v>6661.1999999999989</v>
      </c>
      <c r="AN61" s="106">
        <v>7</v>
      </c>
      <c r="AO61" s="106">
        <v>6661.1999999999989</v>
      </c>
      <c r="AP61" s="106">
        <v>8</v>
      </c>
      <c r="AQ61" s="106">
        <v>7612.7999999999993</v>
      </c>
      <c r="AR61" s="106">
        <v>3</v>
      </c>
      <c r="AS61" s="106">
        <v>2854.7999999999997</v>
      </c>
      <c r="AT61" s="106">
        <v>3</v>
      </c>
      <c r="AU61" s="106">
        <v>2854.7999999999997</v>
      </c>
      <c r="AV61" s="106">
        <v>3</v>
      </c>
      <c r="AW61" s="106">
        <v>2854.7999999999997</v>
      </c>
      <c r="AX61" s="106">
        <v>4</v>
      </c>
      <c r="AY61" s="106">
        <v>3806.3999999999996</v>
      </c>
      <c r="AZ61" s="106">
        <v>7</v>
      </c>
      <c r="BA61" s="106">
        <v>6661.1999999999989</v>
      </c>
      <c r="BB61" s="106">
        <v>8</v>
      </c>
      <c r="BC61" s="106">
        <v>7612.7999999999993</v>
      </c>
      <c r="BD61" s="106">
        <v>7</v>
      </c>
      <c r="BE61" s="106">
        <v>6661.1999999999989</v>
      </c>
      <c r="BF61" s="106">
        <v>8</v>
      </c>
      <c r="BG61" s="106">
        <v>7612.7999999999993</v>
      </c>
      <c r="BH61" s="106">
        <v>4</v>
      </c>
      <c r="BI61" s="106">
        <v>3806.3999999999996</v>
      </c>
      <c r="BJ61" s="106">
        <v>4</v>
      </c>
      <c r="BK61" s="106">
        <v>3806.3999999999996</v>
      </c>
      <c r="BL61" s="106">
        <v>5</v>
      </c>
      <c r="BM61" s="106">
        <v>4758</v>
      </c>
      <c r="BN61" s="106">
        <v>5</v>
      </c>
      <c r="BO61" s="106">
        <v>4758</v>
      </c>
      <c r="BP61" s="106">
        <v>2</v>
      </c>
      <c r="BQ61" s="106">
        <v>1903.1999999999998</v>
      </c>
      <c r="BR61" s="106">
        <v>4</v>
      </c>
      <c r="BS61" s="106">
        <v>3806.3999999999996</v>
      </c>
      <c r="BT61" s="106">
        <v>3</v>
      </c>
      <c r="BU61" s="106">
        <v>2854.7999999999997</v>
      </c>
      <c r="BV61" s="106">
        <v>3</v>
      </c>
      <c r="BW61" s="106">
        <v>2854.7999999999997</v>
      </c>
      <c r="BX61" s="106">
        <v>50</v>
      </c>
      <c r="BY61" s="106">
        <v>47579.999999999993</v>
      </c>
      <c r="BZ61" s="106">
        <v>66</v>
      </c>
      <c r="CA61" s="106">
        <v>62805.599999999991</v>
      </c>
      <c r="CB61" s="106">
        <v>42</v>
      </c>
      <c r="CC61" s="106">
        <v>39967.199999999997</v>
      </c>
      <c r="CD61" s="106">
        <v>70</v>
      </c>
      <c r="CE61" s="106">
        <v>66612</v>
      </c>
      <c r="CF61" s="106">
        <v>20</v>
      </c>
      <c r="CG61" s="106">
        <v>19032</v>
      </c>
      <c r="CH61" s="106">
        <v>23</v>
      </c>
      <c r="CI61" s="106">
        <v>21886.799999999999</v>
      </c>
      <c r="CJ61" s="106">
        <v>16</v>
      </c>
      <c r="CK61" s="106">
        <v>15225.599999999999</v>
      </c>
      <c r="CL61" s="106">
        <v>26</v>
      </c>
      <c r="CM61" s="106">
        <v>24741.599999999999</v>
      </c>
      <c r="CN61" s="106">
        <v>4</v>
      </c>
      <c r="CO61" s="106">
        <v>3806.3999999999996</v>
      </c>
      <c r="CP61" s="106">
        <v>4</v>
      </c>
      <c r="CQ61" s="106">
        <v>3806.3999999999996</v>
      </c>
      <c r="CR61" s="106">
        <v>3</v>
      </c>
      <c r="CS61" s="106">
        <v>2854.7999999999997</v>
      </c>
      <c r="CT61" s="106">
        <v>2</v>
      </c>
      <c r="CU61" s="106">
        <v>1903.1999999999998</v>
      </c>
    </row>
    <row r="62" spans="2:99" x14ac:dyDescent="0.2">
      <c r="C62" s="105" t="s">
        <v>229</v>
      </c>
      <c r="D62" s="106">
        <v>4</v>
      </c>
      <c r="E62" s="106">
        <v>6820.8</v>
      </c>
      <c r="F62" s="106">
        <v>7</v>
      </c>
      <c r="G62" s="106">
        <v>11936.4</v>
      </c>
      <c r="H62" s="106">
        <v>6</v>
      </c>
      <c r="I62" s="106">
        <v>10231.200000000001</v>
      </c>
      <c r="J62" s="106">
        <v>4</v>
      </c>
      <c r="K62" s="106">
        <v>6820.8</v>
      </c>
      <c r="L62" s="106">
        <v>24</v>
      </c>
      <c r="M62" s="106">
        <v>40924.800000000003</v>
      </c>
      <c r="N62" s="106">
        <v>35</v>
      </c>
      <c r="O62" s="106">
        <v>59682</v>
      </c>
      <c r="P62" s="106">
        <v>29</v>
      </c>
      <c r="Q62" s="106">
        <v>49450.8</v>
      </c>
      <c r="R62" s="106">
        <v>28</v>
      </c>
      <c r="S62" s="106">
        <v>47745.599999999999</v>
      </c>
      <c r="T62" s="106">
        <v>4</v>
      </c>
      <c r="U62" s="106">
        <v>6820.8</v>
      </c>
      <c r="V62" s="106">
        <v>3</v>
      </c>
      <c r="W62" s="106">
        <v>5115.6000000000004</v>
      </c>
      <c r="X62" s="106">
        <v>4</v>
      </c>
      <c r="Y62" s="106">
        <v>6820.8</v>
      </c>
      <c r="Z62" s="106">
        <v>3</v>
      </c>
      <c r="AA62" s="106">
        <v>5115.6000000000004</v>
      </c>
      <c r="AB62" s="106">
        <v>6</v>
      </c>
      <c r="AC62" s="106">
        <v>10231.200000000001</v>
      </c>
      <c r="AD62" s="106">
        <v>7</v>
      </c>
      <c r="AE62" s="106">
        <v>11936.4</v>
      </c>
      <c r="AF62" s="106">
        <v>7</v>
      </c>
      <c r="AG62" s="106">
        <v>11936.4</v>
      </c>
      <c r="AH62" s="106">
        <v>5</v>
      </c>
      <c r="AI62" s="106">
        <v>8526</v>
      </c>
      <c r="AJ62" s="106">
        <v>8</v>
      </c>
      <c r="AK62" s="106">
        <v>13641.6</v>
      </c>
      <c r="AL62" s="106">
        <v>7</v>
      </c>
      <c r="AM62" s="106">
        <v>11936.4</v>
      </c>
      <c r="AN62" s="106">
        <v>5</v>
      </c>
      <c r="AO62" s="106">
        <v>8526</v>
      </c>
      <c r="AP62" s="106">
        <v>7</v>
      </c>
      <c r="AQ62" s="106">
        <v>11936.4</v>
      </c>
      <c r="AR62" s="106">
        <v>3</v>
      </c>
      <c r="AS62" s="106">
        <v>5115.6000000000004</v>
      </c>
      <c r="AT62" s="106">
        <v>3</v>
      </c>
      <c r="AU62" s="106">
        <v>5115.6000000000004</v>
      </c>
      <c r="AV62" s="106">
        <v>2</v>
      </c>
      <c r="AW62" s="106">
        <v>3410.4</v>
      </c>
      <c r="AX62" s="106">
        <v>4</v>
      </c>
      <c r="AY62" s="106">
        <v>6820.8</v>
      </c>
      <c r="AZ62" s="106">
        <v>6</v>
      </c>
      <c r="BA62" s="106">
        <v>10231.200000000001</v>
      </c>
      <c r="BB62" s="106">
        <v>7</v>
      </c>
      <c r="BC62" s="106">
        <v>11936.4</v>
      </c>
      <c r="BD62" s="106">
        <v>7</v>
      </c>
      <c r="BE62" s="106">
        <v>11936.4</v>
      </c>
      <c r="BF62" s="106">
        <v>8</v>
      </c>
      <c r="BG62" s="106">
        <v>13641.6</v>
      </c>
      <c r="BH62" s="106">
        <v>4</v>
      </c>
      <c r="BI62" s="106">
        <v>6820.8</v>
      </c>
      <c r="BJ62" s="106">
        <v>3</v>
      </c>
      <c r="BK62" s="106">
        <v>5115.6000000000004</v>
      </c>
      <c r="BL62" s="106">
        <v>5</v>
      </c>
      <c r="BM62" s="106">
        <v>8526</v>
      </c>
      <c r="BN62" s="106">
        <v>5</v>
      </c>
      <c r="BO62" s="106">
        <v>8526</v>
      </c>
      <c r="BP62" s="106">
        <v>2</v>
      </c>
      <c r="BQ62" s="106">
        <v>3410.4</v>
      </c>
      <c r="BR62" s="106">
        <v>4</v>
      </c>
      <c r="BS62" s="106">
        <v>6820.8</v>
      </c>
      <c r="BT62" s="106">
        <v>3</v>
      </c>
      <c r="BU62" s="106">
        <v>5115.6000000000004</v>
      </c>
      <c r="BV62" s="106">
        <v>2</v>
      </c>
      <c r="BW62" s="106">
        <v>3410.4</v>
      </c>
      <c r="BX62" s="106">
        <v>44</v>
      </c>
      <c r="BY62" s="106">
        <v>75028.800000000003</v>
      </c>
      <c r="BZ62" s="106">
        <v>61</v>
      </c>
      <c r="CA62" s="106">
        <v>104017.2</v>
      </c>
      <c r="CB62" s="106">
        <v>35</v>
      </c>
      <c r="CC62" s="106">
        <v>59682</v>
      </c>
      <c r="CD62" s="106">
        <v>57</v>
      </c>
      <c r="CE62" s="106">
        <v>97196.400000000009</v>
      </c>
      <c r="CF62" s="106">
        <v>18</v>
      </c>
      <c r="CG62" s="106">
        <v>30693.600000000002</v>
      </c>
      <c r="CH62" s="106">
        <v>18</v>
      </c>
      <c r="CI62" s="106">
        <v>30693.600000000002</v>
      </c>
      <c r="CJ62" s="106">
        <v>15</v>
      </c>
      <c r="CK62" s="106">
        <v>25578</v>
      </c>
      <c r="CL62" s="106">
        <v>25</v>
      </c>
      <c r="CM62" s="106">
        <v>42630</v>
      </c>
      <c r="CN62" s="106">
        <v>4</v>
      </c>
      <c r="CO62" s="106">
        <v>6820.8</v>
      </c>
      <c r="CP62" s="106">
        <v>3</v>
      </c>
      <c r="CQ62" s="106">
        <v>5115.6000000000004</v>
      </c>
      <c r="CR62" s="106">
        <v>3</v>
      </c>
      <c r="CS62" s="106">
        <v>5115.6000000000004</v>
      </c>
      <c r="CT62" s="106">
        <v>2</v>
      </c>
      <c r="CU62" s="106">
        <v>3410.4</v>
      </c>
    </row>
    <row r="63" spans="2:99" x14ac:dyDescent="0.2">
      <c r="C63" s="105" t="s">
        <v>230</v>
      </c>
      <c r="D63" s="106">
        <v>5</v>
      </c>
      <c r="E63" s="106">
        <v>3978</v>
      </c>
      <c r="F63" s="106">
        <v>7</v>
      </c>
      <c r="G63" s="106">
        <v>5569.2</v>
      </c>
      <c r="H63" s="106">
        <v>7</v>
      </c>
      <c r="I63" s="106">
        <v>5569.2</v>
      </c>
      <c r="J63" s="106">
        <v>5</v>
      </c>
      <c r="K63" s="106">
        <v>3978</v>
      </c>
      <c r="L63" s="106">
        <v>28</v>
      </c>
      <c r="M63" s="106">
        <v>22276.799999999999</v>
      </c>
      <c r="N63" s="106">
        <v>38</v>
      </c>
      <c r="O63" s="106">
        <v>30232.799999999999</v>
      </c>
      <c r="P63" s="106">
        <v>39</v>
      </c>
      <c r="Q63" s="106">
        <v>31028.400000000001</v>
      </c>
      <c r="R63" s="106">
        <v>36</v>
      </c>
      <c r="S63" s="106">
        <v>28641.600000000002</v>
      </c>
      <c r="T63" s="106">
        <v>5</v>
      </c>
      <c r="U63" s="106">
        <v>3978</v>
      </c>
      <c r="V63" s="106">
        <v>3</v>
      </c>
      <c r="W63" s="106">
        <v>2386.8000000000002</v>
      </c>
      <c r="X63" s="106">
        <v>4</v>
      </c>
      <c r="Y63" s="106">
        <v>3182.4</v>
      </c>
      <c r="Z63" s="106">
        <v>3</v>
      </c>
      <c r="AA63" s="106">
        <v>2386.8000000000002</v>
      </c>
      <c r="AB63" s="106">
        <v>6</v>
      </c>
      <c r="AC63" s="106">
        <v>4773.6000000000004</v>
      </c>
      <c r="AD63" s="106">
        <v>7</v>
      </c>
      <c r="AE63" s="106">
        <v>5569.2</v>
      </c>
      <c r="AF63" s="106">
        <v>8</v>
      </c>
      <c r="AG63" s="106">
        <v>6364.8</v>
      </c>
      <c r="AH63" s="106">
        <v>5</v>
      </c>
      <c r="AI63" s="106">
        <v>3978</v>
      </c>
      <c r="AJ63" s="106">
        <v>10</v>
      </c>
      <c r="AK63" s="106">
        <v>7956</v>
      </c>
      <c r="AL63" s="106">
        <v>7</v>
      </c>
      <c r="AM63" s="106">
        <v>5569.2</v>
      </c>
      <c r="AN63" s="106">
        <v>7</v>
      </c>
      <c r="AO63" s="106">
        <v>5569.2</v>
      </c>
      <c r="AP63" s="106">
        <v>8</v>
      </c>
      <c r="AQ63" s="106">
        <v>6364.8</v>
      </c>
      <c r="AR63" s="106">
        <v>3</v>
      </c>
      <c r="AS63" s="106">
        <v>2386.8000000000002</v>
      </c>
      <c r="AT63" s="106">
        <v>3</v>
      </c>
      <c r="AU63" s="106">
        <v>2386.8000000000002</v>
      </c>
      <c r="AV63" s="106">
        <v>3</v>
      </c>
      <c r="AW63" s="106">
        <v>2386.8000000000002</v>
      </c>
      <c r="AX63" s="106">
        <v>4</v>
      </c>
      <c r="AY63" s="106">
        <v>3182.4</v>
      </c>
      <c r="AZ63" s="106">
        <v>7</v>
      </c>
      <c r="BA63" s="106">
        <v>5569.2</v>
      </c>
      <c r="BB63" s="106">
        <v>8</v>
      </c>
      <c r="BC63" s="106">
        <v>6364.8</v>
      </c>
      <c r="BD63" s="106">
        <v>8</v>
      </c>
      <c r="BE63" s="106">
        <v>6364.8</v>
      </c>
      <c r="BF63" s="106">
        <v>10</v>
      </c>
      <c r="BG63" s="106">
        <v>7956</v>
      </c>
      <c r="BH63" s="106">
        <v>5</v>
      </c>
      <c r="BI63" s="106">
        <v>3978</v>
      </c>
      <c r="BJ63" s="106">
        <v>3</v>
      </c>
      <c r="BK63" s="106">
        <v>2386.8000000000002</v>
      </c>
      <c r="BL63" s="106">
        <v>5</v>
      </c>
      <c r="BM63" s="106">
        <v>3978</v>
      </c>
      <c r="BN63" s="106">
        <v>5</v>
      </c>
      <c r="BO63" s="106">
        <v>3978</v>
      </c>
      <c r="BP63" s="106">
        <v>2</v>
      </c>
      <c r="BQ63" s="106">
        <v>1591.2</v>
      </c>
      <c r="BR63" s="106">
        <v>3</v>
      </c>
      <c r="BS63" s="106">
        <v>2386.8000000000002</v>
      </c>
      <c r="BT63" s="106">
        <v>3</v>
      </c>
      <c r="BU63" s="106">
        <v>2386.8000000000002</v>
      </c>
      <c r="BV63" s="106">
        <v>3</v>
      </c>
      <c r="BW63" s="106">
        <v>2386.8000000000002</v>
      </c>
      <c r="BX63" s="106">
        <v>50</v>
      </c>
      <c r="BY63" s="106">
        <v>39780</v>
      </c>
      <c r="BZ63" s="106">
        <v>71</v>
      </c>
      <c r="CA63" s="106">
        <v>56487.6</v>
      </c>
      <c r="CB63" s="106">
        <v>42</v>
      </c>
      <c r="CC63" s="106">
        <v>33415.200000000004</v>
      </c>
      <c r="CD63" s="106">
        <v>75</v>
      </c>
      <c r="CE63" s="106">
        <v>59670</v>
      </c>
      <c r="CF63" s="106">
        <v>20</v>
      </c>
      <c r="CG63" s="106">
        <v>15912</v>
      </c>
      <c r="CH63" s="106">
        <v>25</v>
      </c>
      <c r="CI63" s="106">
        <v>19890</v>
      </c>
      <c r="CJ63" s="106">
        <v>17</v>
      </c>
      <c r="CK63" s="106">
        <v>13525.2</v>
      </c>
      <c r="CL63" s="106">
        <v>27</v>
      </c>
      <c r="CM63" s="106">
        <v>21481.200000000001</v>
      </c>
      <c r="CN63" s="106">
        <v>4</v>
      </c>
      <c r="CO63" s="106">
        <v>3182.4</v>
      </c>
      <c r="CP63" s="106">
        <v>4</v>
      </c>
      <c r="CQ63" s="106">
        <v>3182.4</v>
      </c>
      <c r="CR63" s="106">
        <v>4</v>
      </c>
      <c r="CS63" s="106">
        <v>3182.4</v>
      </c>
      <c r="CT63" s="106">
        <v>3</v>
      </c>
      <c r="CU63" s="106">
        <v>2386.8000000000002</v>
      </c>
    </row>
    <row r="64" spans="2:99" x14ac:dyDescent="0.2">
      <c r="C64" s="105" t="s">
        <v>231</v>
      </c>
      <c r="D64" s="106">
        <v>5</v>
      </c>
      <c r="E64" s="106">
        <v>5045.9999999999991</v>
      </c>
      <c r="F64" s="106">
        <v>7</v>
      </c>
      <c r="G64" s="106">
        <v>7064.3999999999987</v>
      </c>
      <c r="H64" s="106">
        <v>6</v>
      </c>
      <c r="I64" s="106">
        <v>6055.1999999999989</v>
      </c>
      <c r="J64" s="106">
        <v>5</v>
      </c>
      <c r="K64" s="106">
        <v>5045.9999999999991</v>
      </c>
      <c r="L64" s="106">
        <v>28</v>
      </c>
      <c r="M64" s="106">
        <v>28257.599999999995</v>
      </c>
      <c r="N64" s="106">
        <v>37</v>
      </c>
      <c r="O64" s="106">
        <v>37340.399999999994</v>
      </c>
      <c r="P64" s="106">
        <v>36</v>
      </c>
      <c r="Q64" s="106">
        <v>36331.199999999997</v>
      </c>
      <c r="R64" s="106">
        <v>33</v>
      </c>
      <c r="S64" s="106">
        <v>33303.599999999991</v>
      </c>
      <c r="T64" s="106">
        <v>5</v>
      </c>
      <c r="U64" s="106">
        <v>5045.9999999999991</v>
      </c>
      <c r="V64" s="106">
        <v>3</v>
      </c>
      <c r="W64" s="106">
        <v>3027.5999999999995</v>
      </c>
      <c r="X64" s="106">
        <v>3</v>
      </c>
      <c r="Y64" s="106">
        <v>3027.5999999999995</v>
      </c>
      <c r="Z64" s="106">
        <v>3</v>
      </c>
      <c r="AA64" s="106">
        <v>3027.5999999999995</v>
      </c>
      <c r="AB64" s="106">
        <v>7</v>
      </c>
      <c r="AC64" s="106">
        <v>7064.3999999999987</v>
      </c>
      <c r="AD64" s="106">
        <v>7</v>
      </c>
      <c r="AE64" s="106">
        <v>7064.3999999999987</v>
      </c>
      <c r="AF64" s="106">
        <v>8</v>
      </c>
      <c r="AG64" s="106">
        <v>8073.5999999999985</v>
      </c>
      <c r="AH64" s="106">
        <v>5</v>
      </c>
      <c r="AI64" s="106">
        <v>5045.9999999999991</v>
      </c>
      <c r="AJ64" s="106">
        <v>8</v>
      </c>
      <c r="AK64" s="106">
        <v>8073.5999999999985</v>
      </c>
      <c r="AL64" s="106">
        <v>7</v>
      </c>
      <c r="AM64" s="106">
        <v>7064.3999999999987</v>
      </c>
      <c r="AN64" s="106">
        <v>6</v>
      </c>
      <c r="AO64" s="106">
        <v>6055.1999999999989</v>
      </c>
      <c r="AP64" s="106">
        <v>8</v>
      </c>
      <c r="AQ64" s="106">
        <v>8073.5999999999985</v>
      </c>
      <c r="AR64" s="106">
        <v>3</v>
      </c>
      <c r="AS64" s="106">
        <v>3027.5999999999995</v>
      </c>
      <c r="AT64" s="106">
        <v>3</v>
      </c>
      <c r="AU64" s="106">
        <v>3027.5999999999995</v>
      </c>
      <c r="AV64" s="106">
        <v>3</v>
      </c>
      <c r="AW64" s="106">
        <v>3027.5999999999995</v>
      </c>
      <c r="AX64" s="106">
        <v>4</v>
      </c>
      <c r="AY64" s="106">
        <v>4036.7999999999993</v>
      </c>
      <c r="AZ64" s="106">
        <v>7</v>
      </c>
      <c r="BA64" s="106">
        <v>7064.3999999999987</v>
      </c>
      <c r="BB64" s="106">
        <v>9</v>
      </c>
      <c r="BC64" s="106">
        <v>9082.7999999999993</v>
      </c>
      <c r="BD64" s="106">
        <v>8</v>
      </c>
      <c r="BE64" s="106">
        <v>8073.5999999999985</v>
      </c>
      <c r="BF64" s="106">
        <v>9</v>
      </c>
      <c r="BG64" s="106">
        <v>9082.7999999999993</v>
      </c>
      <c r="BH64" s="106">
        <v>4</v>
      </c>
      <c r="BI64" s="106">
        <v>4036.7999999999993</v>
      </c>
      <c r="BJ64" s="106">
        <v>3</v>
      </c>
      <c r="BK64" s="106">
        <v>3027.5999999999995</v>
      </c>
      <c r="BL64" s="106">
        <v>5</v>
      </c>
      <c r="BM64" s="106">
        <v>5045.9999999999991</v>
      </c>
      <c r="BN64" s="106">
        <v>6</v>
      </c>
      <c r="BO64" s="106">
        <v>6055.1999999999989</v>
      </c>
      <c r="BP64" s="106">
        <v>2</v>
      </c>
      <c r="BQ64" s="106">
        <v>2018.3999999999996</v>
      </c>
      <c r="BR64" s="106">
        <v>4</v>
      </c>
      <c r="BS64" s="106">
        <v>4036.7999999999993</v>
      </c>
      <c r="BT64" s="106">
        <v>3</v>
      </c>
      <c r="BU64" s="106">
        <v>3027.5999999999995</v>
      </c>
      <c r="BV64" s="106">
        <v>2</v>
      </c>
      <c r="BW64" s="106">
        <v>2018.3999999999996</v>
      </c>
      <c r="BX64" s="106">
        <v>53</v>
      </c>
      <c r="BY64" s="106">
        <v>53487.599999999991</v>
      </c>
      <c r="BZ64" s="106">
        <v>76</v>
      </c>
      <c r="CA64" s="106">
        <v>76699.199999999983</v>
      </c>
      <c r="CB64" s="106">
        <v>45</v>
      </c>
      <c r="CC64" s="106">
        <v>45413.999999999993</v>
      </c>
      <c r="CD64" s="106">
        <v>69</v>
      </c>
      <c r="CE64" s="106">
        <v>69634.799999999988</v>
      </c>
      <c r="CF64" s="106">
        <v>17</v>
      </c>
      <c r="CG64" s="106">
        <v>17156.399999999998</v>
      </c>
      <c r="CH64" s="106">
        <v>23</v>
      </c>
      <c r="CI64" s="106">
        <v>23211.599999999995</v>
      </c>
      <c r="CJ64" s="106">
        <v>16</v>
      </c>
      <c r="CK64" s="106">
        <v>16147.199999999997</v>
      </c>
      <c r="CL64" s="106">
        <v>27</v>
      </c>
      <c r="CM64" s="106">
        <v>27248.399999999994</v>
      </c>
      <c r="CN64" s="106">
        <v>4</v>
      </c>
      <c r="CO64" s="106">
        <v>4036.7999999999993</v>
      </c>
      <c r="CP64" s="106">
        <v>3</v>
      </c>
      <c r="CQ64" s="106">
        <v>3027.5999999999995</v>
      </c>
      <c r="CR64" s="106">
        <v>3</v>
      </c>
      <c r="CS64" s="106">
        <v>3027.5999999999995</v>
      </c>
      <c r="CT64" s="106">
        <v>2</v>
      </c>
      <c r="CU64" s="106">
        <v>2018.3999999999996</v>
      </c>
    </row>
    <row r="65" spans="2:99" x14ac:dyDescent="0.2">
      <c r="C65" s="105" t="s">
        <v>232</v>
      </c>
      <c r="D65" s="106">
        <v>5</v>
      </c>
      <c r="E65" s="106">
        <v>5130</v>
      </c>
      <c r="F65" s="106">
        <v>8</v>
      </c>
      <c r="G65" s="106">
        <v>8208</v>
      </c>
      <c r="H65" s="106">
        <v>6</v>
      </c>
      <c r="I65" s="106">
        <v>6156</v>
      </c>
      <c r="J65" s="106">
        <v>5</v>
      </c>
      <c r="K65" s="106">
        <v>5130</v>
      </c>
      <c r="L65" s="106">
        <v>30</v>
      </c>
      <c r="M65" s="106">
        <v>30780</v>
      </c>
      <c r="N65" s="106">
        <v>37</v>
      </c>
      <c r="O65" s="106">
        <v>37962</v>
      </c>
      <c r="P65" s="106">
        <v>39</v>
      </c>
      <c r="Q65" s="106">
        <v>40014</v>
      </c>
      <c r="R65" s="106">
        <v>29</v>
      </c>
      <c r="S65" s="106">
        <v>29754</v>
      </c>
      <c r="T65" s="106">
        <v>4</v>
      </c>
      <c r="U65" s="106">
        <v>4104</v>
      </c>
      <c r="V65" s="106">
        <v>3</v>
      </c>
      <c r="W65" s="106">
        <v>3078</v>
      </c>
      <c r="X65" s="106">
        <v>4</v>
      </c>
      <c r="Y65" s="106">
        <v>4104</v>
      </c>
      <c r="Z65" s="106">
        <v>3</v>
      </c>
      <c r="AA65" s="106">
        <v>3078</v>
      </c>
      <c r="AB65" s="106">
        <v>7</v>
      </c>
      <c r="AC65" s="106">
        <v>7182</v>
      </c>
      <c r="AD65" s="106">
        <v>8</v>
      </c>
      <c r="AE65" s="106">
        <v>8208</v>
      </c>
      <c r="AF65" s="106">
        <v>8</v>
      </c>
      <c r="AG65" s="106">
        <v>8208</v>
      </c>
      <c r="AH65" s="106">
        <v>6</v>
      </c>
      <c r="AI65" s="106">
        <v>6156</v>
      </c>
      <c r="AJ65" s="106">
        <v>9</v>
      </c>
      <c r="AK65" s="106">
        <v>9234</v>
      </c>
      <c r="AL65" s="106">
        <v>8</v>
      </c>
      <c r="AM65" s="106">
        <v>8208</v>
      </c>
      <c r="AN65" s="106">
        <v>6</v>
      </c>
      <c r="AO65" s="106">
        <v>6156</v>
      </c>
      <c r="AP65" s="106">
        <v>7</v>
      </c>
      <c r="AQ65" s="106">
        <v>7182</v>
      </c>
      <c r="AR65" s="106">
        <v>3</v>
      </c>
      <c r="AS65" s="106">
        <v>3078</v>
      </c>
      <c r="AT65" s="106">
        <v>3</v>
      </c>
      <c r="AU65" s="106">
        <v>3078</v>
      </c>
      <c r="AV65" s="106">
        <v>3</v>
      </c>
      <c r="AW65" s="106">
        <v>3078</v>
      </c>
      <c r="AX65" s="106">
        <v>4</v>
      </c>
      <c r="AY65" s="106">
        <v>4104</v>
      </c>
      <c r="AZ65" s="106">
        <v>8</v>
      </c>
      <c r="BA65" s="106">
        <v>8208</v>
      </c>
      <c r="BB65" s="106">
        <v>8</v>
      </c>
      <c r="BC65" s="106">
        <v>8208</v>
      </c>
      <c r="BD65" s="106">
        <v>7</v>
      </c>
      <c r="BE65" s="106">
        <v>7182</v>
      </c>
      <c r="BF65" s="106">
        <v>9</v>
      </c>
      <c r="BG65" s="106">
        <v>9234</v>
      </c>
      <c r="BH65" s="106">
        <v>4</v>
      </c>
      <c r="BI65" s="106">
        <v>4104</v>
      </c>
      <c r="BJ65" s="106">
        <v>3</v>
      </c>
      <c r="BK65" s="106">
        <v>3078</v>
      </c>
      <c r="BL65" s="106">
        <v>5</v>
      </c>
      <c r="BM65" s="106">
        <v>5130</v>
      </c>
      <c r="BN65" s="106">
        <v>5</v>
      </c>
      <c r="BO65" s="106">
        <v>5130</v>
      </c>
      <c r="BP65" s="106">
        <v>2</v>
      </c>
      <c r="BQ65" s="106">
        <v>2052</v>
      </c>
      <c r="BR65" s="106">
        <v>4</v>
      </c>
      <c r="BS65" s="106">
        <v>4104</v>
      </c>
      <c r="BT65" s="106">
        <v>3</v>
      </c>
      <c r="BU65" s="106">
        <v>3078</v>
      </c>
      <c r="BV65" s="106">
        <v>2</v>
      </c>
      <c r="BW65" s="106">
        <v>2052</v>
      </c>
      <c r="BX65" s="106">
        <v>56</v>
      </c>
      <c r="BY65" s="106">
        <v>57456</v>
      </c>
      <c r="BZ65" s="106">
        <v>74</v>
      </c>
      <c r="CA65" s="106">
        <v>75924</v>
      </c>
      <c r="CB65" s="106">
        <v>43</v>
      </c>
      <c r="CC65" s="106">
        <v>44118</v>
      </c>
      <c r="CD65" s="106">
        <v>69</v>
      </c>
      <c r="CE65" s="106">
        <v>70794</v>
      </c>
      <c r="CF65" s="106">
        <v>17</v>
      </c>
      <c r="CG65" s="106">
        <v>17442</v>
      </c>
      <c r="CH65" s="106">
        <v>24</v>
      </c>
      <c r="CI65" s="106">
        <v>24624</v>
      </c>
      <c r="CJ65" s="106">
        <v>14</v>
      </c>
      <c r="CK65" s="106">
        <v>14364</v>
      </c>
      <c r="CL65" s="106">
        <v>27</v>
      </c>
      <c r="CM65" s="106">
        <v>27702</v>
      </c>
      <c r="CN65" s="106">
        <v>4</v>
      </c>
      <c r="CO65" s="106">
        <v>4104</v>
      </c>
      <c r="CP65" s="106">
        <v>4</v>
      </c>
      <c r="CQ65" s="106">
        <v>4104</v>
      </c>
      <c r="CR65" s="106">
        <v>3</v>
      </c>
      <c r="CS65" s="106">
        <v>3078</v>
      </c>
      <c r="CT65" s="106">
        <v>3</v>
      </c>
      <c r="CU65" s="106">
        <v>3078</v>
      </c>
    </row>
    <row r="66" spans="2:99" x14ac:dyDescent="0.2">
      <c r="C66" s="105" t="s">
        <v>233</v>
      </c>
      <c r="D66" s="106">
        <v>5</v>
      </c>
      <c r="E66" s="106">
        <v>5951.9999999999991</v>
      </c>
      <c r="F66" s="106">
        <v>6</v>
      </c>
      <c r="G66" s="106">
        <v>7142.4</v>
      </c>
      <c r="H66" s="106">
        <v>6</v>
      </c>
      <c r="I66" s="106">
        <v>7142.4</v>
      </c>
      <c r="J66" s="106">
        <v>5</v>
      </c>
      <c r="K66" s="106">
        <v>5951.9999999999991</v>
      </c>
      <c r="L66" s="106">
        <v>30</v>
      </c>
      <c r="M66" s="106">
        <v>35711.999999999993</v>
      </c>
      <c r="N66" s="106">
        <v>32</v>
      </c>
      <c r="O66" s="106">
        <v>38092.799999999996</v>
      </c>
      <c r="P66" s="106">
        <v>32</v>
      </c>
      <c r="Q66" s="106">
        <v>38092.799999999996</v>
      </c>
      <c r="R66" s="106">
        <v>29</v>
      </c>
      <c r="S66" s="106">
        <v>34521.599999999999</v>
      </c>
      <c r="T66" s="106">
        <v>5</v>
      </c>
      <c r="U66" s="106">
        <v>5951.9999999999991</v>
      </c>
      <c r="V66" s="106">
        <v>3</v>
      </c>
      <c r="W66" s="106">
        <v>3571.2</v>
      </c>
      <c r="X66" s="106">
        <v>3</v>
      </c>
      <c r="Y66" s="106">
        <v>3571.2</v>
      </c>
      <c r="Z66" s="106">
        <v>3</v>
      </c>
      <c r="AA66" s="106">
        <v>3571.2</v>
      </c>
      <c r="AB66" s="106">
        <v>6</v>
      </c>
      <c r="AC66" s="106">
        <v>7142.4</v>
      </c>
      <c r="AD66" s="106">
        <v>7</v>
      </c>
      <c r="AE66" s="106">
        <v>8332.7999999999993</v>
      </c>
      <c r="AF66" s="106">
        <v>9</v>
      </c>
      <c r="AG66" s="106">
        <v>10713.599999999999</v>
      </c>
      <c r="AH66" s="106">
        <v>5</v>
      </c>
      <c r="AI66" s="106">
        <v>5951.9999999999991</v>
      </c>
      <c r="AJ66" s="106">
        <v>9</v>
      </c>
      <c r="AK66" s="106">
        <v>10713.599999999999</v>
      </c>
      <c r="AL66" s="106">
        <v>6</v>
      </c>
      <c r="AM66" s="106">
        <v>7142.4</v>
      </c>
      <c r="AN66" s="106">
        <v>6</v>
      </c>
      <c r="AO66" s="106">
        <v>7142.4</v>
      </c>
      <c r="AP66" s="106">
        <v>7</v>
      </c>
      <c r="AQ66" s="106">
        <v>8332.7999999999993</v>
      </c>
      <c r="AR66" s="106">
        <v>3</v>
      </c>
      <c r="AS66" s="106">
        <v>3571.2</v>
      </c>
      <c r="AT66" s="106">
        <v>3</v>
      </c>
      <c r="AU66" s="106">
        <v>3571.2</v>
      </c>
      <c r="AV66" s="106">
        <v>3</v>
      </c>
      <c r="AW66" s="106">
        <v>3571.2</v>
      </c>
      <c r="AX66" s="106">
        <v>4</v>
      </c>
      <c r="AY66" s="106">
        <v>4761.5999999999995</v>
      </c>
      <c r="AZ66" s="106">
        <v>6</v>
      </c>
      <c r="BA66" s="106">
        <v>7142.4</v>
      </c>
      <c r="BB66" s="106">
        <v>7</v>
      </c>
      <c r="BC66" s="106">
        <v>8332.7999999999993</v>
      </c>
      <c r="BD66" s="106">
        <v>7</v>
      </c>
      <c r="BE66" s="106">
        <v>8332.7999999999993</v>
      </c>
      <c r="BF66" s="106">
        <v>9</v>
      </c>
      <c r="BG66" s="106">
        <v>10713.599999999999</v>
      </c>
      <c r="BH66" s="106">
        <v>4</v>
      </c>
      <c r="BI66" s="106">
        <v>4761.5999999999995</v>
      </c>
      <c r="BJ66" s="106">
        <v>4</v>
      </c>
      <c r="BK66" s="106">
        <v>4761.5999999999995</v>
      </c>
      <c r="BL66" s="106">
        <v>5</v>
      </c>
      <c r="BM66" s="106">
        <v>5951.9999999999991</v>
      </c>
      <c r="BN66" s="106">
        <v>5</v>
      </c>
      <c r="BO66" s="106">
        <v>5951.9999999999991</v>
      </c>
      <c r="BP66" s="106">
        <v>2</v>
      </c>
      <c r="BQ66" s="106">
        <v>2380.7999999999997</v>
      </c>
      <c r="BR66" s="106">
        <v>4</v>
      </c>
      <c r="BS66" s="106">
        <v>4761.5999999999995</v>
      </c>
      <c r="BT66" s="106">
        <v>4</v>
      </c>
      <c r="BU66" s="106">
        <v>4761.5999999999995</v>
      </c>
      <c r="BV66" s="106">
        <v>2</v>
      </c>
      <c r="BW66" s="106">
        <v>2380.7999999999997</v>
      </c>
      <c r="BX66" s="106">
        <v>46</v>
      </c>
      <c r="BY66" s="106">
        <v>54758.399999999994</v>
      </c>
      <c r="BZ66" s="106">
        <v>71</v>
      </c>
      <c r="CA66" s="106">
        <v>84518.399999999994</v>
      </c>
      <c r="CB66" s="106">
        <v>44</v>
      </c>
      <c r="CC66" s="106">
        <v>52377.599999999991</v>
      </c>
      <c r="CD66" s="106">
        <v>71</v>
      </c>
      <c r="CE66" s="106">
        <v>84518.399999999994</v>
      </c>
      <c r="CF66" s="106">
        <v>17</v>
      </c>
      <c r="CG66" s="106">
        <v>20236.8</v>
      </c>
      <c r="CH66" s="106">
        <v>21</v>
      </c>
      <c r="CI66" s="106">
        <v>24998.399999999998</v>
      </c>
      <c r="CJ66" s="106">
        <v>16</v>
      </c>
      <c r="CK66" s="106">
        <v>19046.399999999998</v>
      </c>
      <c r="CL66" s="106">
        <v>25</v>
      </c>
      <c r="CM66" s="106">
        <v>29759.999999999996</v>
      </c>
      <c r="CN66" s="106">
        <v>4</v>
      </c>
      <c r="CO66" s="106">
        <v>4761.5999999999995</v>
      </c>
      <c r="CP66" s="106">
        <v>3</v>
      </c>
      <c r="CQ66" s="106">
        <v>3571.2</v>
      </c>
      <c r="CR66" s="106">
        <v>3</v>
      </c>
      <c r="CS66" s="106">
        <v>3571.2</v>
      </c>
      <c r="CT66" s="106">
        <v>2</v>
      </c>
      <c r="CU66" s="106">
        <v>2380.7999999999997</v>
      </c>
    </row>
    <row r="67" spans="2:99" x14ac:dyDescent="0.2">
      <c r="C67" s="105" t="s">
        <v>234</v>
      </c>
      <c r="D67" s="106">
        <v>5</v>
      </c>
      <c r="E67" s="106">
        <v>5616</v>
      </c>
      <c r="F67" s="106">
        <v>7</v>
      </c>
      <c r="G67" s="106">
        <v>7862.4000000000005</v>
      </c>
      <c r="H67" s="106">
        <v>6</v>
      </c>
      <c r="I67" s="106">
        <v>6739.2000000000007</v>
      </c>
      <c r="J67" s="106">
        <v>5</v>
      </c>
      <c r="K67" s="106">
        <v>5616</v>
      </c>
      <c r="L67" s="106">
        <v>30</v>
      </c>
      <c r="M67" s="106">
        <v>33696</v>
      </c>
      <c r="N67" s="106">
        <v>37</v>
      </c>
      <c r="O67" s="106">
        <v>41558.400000000001</v>
      </c>
      <c r="P67" s="106">
        <v>38</v>
      </c>
      <c r="Q67" s="106">
        <v>42681.599999999999</v>
      </c>
      <c r="R67" s="106">
        <v>31</v>
      </c>
      <c r="S67" s="106">
        <v>34819.200000000004</v>
      </c>
      <c r="T67" s="106">
        <v>4</v>
      </c>
      <c r="U67" s="106">
        <v>4492.8</v>
      </c>
      <c r="V67" s="106">
        <v>3</v>
      </c>
      <c r="W67" s="106">
        <v>3369.6000000000004</v>
      </c>
      <c r="X67" s="106">
        <v>3</v>
      </c>
      <c r="Y67" s="106">
        <v>3369.6000000000004</v>
      </c>
      <c r="Z67" s="106">
        <v>3</v>
      </c>
      <c r="AA67" s="106">
        <v>3369.6000000000004</v>
      </c>
      <c r="AB67" s="106">
        <v>7</v>
      </c>
      <c r="AC67" s="106">
        <v>7862.4000000000005</v>
      </c>
      <c r="AD67" s="106">
        <v>8</v>
      </c>
      <c r="AE67" s="106">
        <v>8985.6</v>
      </c>
      <c r="AF67" s="106">
        <v>9</v>
      </c>
      <c r="AG67" s="106">
        <v>10108.800000000001</v>
      </c>
      <c r="AH67" s="106">
        <v>5</v>
      </c>
      <c r="AI67" s="106">
        <v>5616</v>
      </c>
      <c r="AJ67" s="106">
        <v>9</v>
      </c>
      <c r="AK67" s="106">
        <v>10108.800000000001</v>
      </c>
      <c r="AL67" s="106">
        <v>7</v>
      </c>
      <c r="AM67" s="106">
        <v>7862.4000000000005</v>
      </c>
      <c r="AN67" s="106">
        <v>6</v>
      </c>
      <c r="AO67" s="106">
        <v>6739.2000000000007</v>
      </c>
      <c r="AP67" s="106">
        <v>8</v>
      </c>
      <c r="AQ67" s="106">
        <v>8985.6</v>
      </c>
      <c r="AR67" s="106">
        <v>3</v>
      </c>
      <c r="AS67" s="106">
        <v>3369.6000000000004</v>
      </c>
      <c r="AT67" s="106">
        <v>3</v>
      </c>
      <c r="AU67" s="106">
        <v>3369.6000000000004</v>
      </c>
      <c r="AV67" s="106">
        <v>3</v>
      </c>
      <c r="AW67" s="106">
        <v>3369.6000000000004</v>
      </c>
      <c r="AX67" s="106">
        <v>3</v>
      </c>
      <c r="AY67" s="106">
        <v>3369.6000000000004</v>
      </c>
      <c r="AZ67" s="106">
        <v>7</v>
      </c>
      <c r="BA67" s="106">
        <v>7862.4000000000005</v>
      </c>
      <c r="BB67" s="106">
        <v>8</v>
      </c>
      <c r="BC67" s="106">
        <v>8985.6</v>
      </c>
      <c r="BD67" s="106">
        <v>7</v>
      </c>
      <c r="BE67" s="106">
        <v>7862.4000000000005</v>
      </c>
      <c r="BF67" s="106">
        <v>8</v>
      </c>
      <c r="BG67" s="106">
        <v>8985.6</v>
      </c>
      <c r="BH67" s="106">
        <v>4</v>
      </c>
      <c r="BI67" s="106">
        <v>4492.8</v>
      </c>
      <c r="BJ67" s="106">
        <v>3</v>
      </c>
      <c r="BK67" s="106">
        <v>3369.6000000000004</v>
      </c>
      <c r="BL67" s="106">
        <v>5</v>
      </c>
      <c r="BM67" s="106">
        <v>5616</v>
      </c>
      <c r="BN67" s="106">
        <v>5</v>
      </c>
      <c r="BO67" s="106">
        <v>5616</v>
      </c>
      <c r="BP67" s="106">
        <v>2</v>
      </c>
      <c r="BQ67" s="106">
        <v>2246.4</v>
      </c>
      <c r="BR67" s="106">
        <v>3</v>
      </c>
      <c r="BS67" s="106">
        <v>3369.6000000000004</v>
      </c>
      <c r="BT67" s="106">
        <v>3</v>
      </c>
      <c r="BU67" s="106">
        <v>3369.6000000000004</v>
      </c>
      <c r="BV67" s="106">
        <v>2</v>
      </c>
      <c r="BW67" s="106">
        <v>2246.4</v>
      </c>
      <c r="BX67" s="106">
        <v>53</v>
      </c>
      <c r="BY67" s="106">
        <v>59529.600000000006</v>
      </c>
      <c r="BZ67" s="106">
        <v>69</v>
      </c>
      <c r="CA67" s="106">
        <v>77500.800000000003</v>
      </c>
      <c r="CB67" s="106">
        <v>44</v>
      </c>
      <c r="CC67" s="106">
        <v>49420.800000000003</v>
      </c>
      <c r="CD67" s="106">
        <v>65</v>
      </c>
      <c r="CE67" s="106">
        <v>73008</v>
      </c>
      <c r="CF67" s="106">
        <v>19</v>
      </c>
      <c r="CG67" s="106">
        <v>21340.799999999999</v>
      </c>
      <c r="CH67" s="106">
        <v>23</v>
      </c>
      <c r="CI67" s="106">
        <v>25833.600000000002</v>
      </c>
      <c r="CJ67" s="106">
        <v>17</v>
      </c>
      <c r="CK67" s="106">
        <v>19094.400000000001</v>
      </c>
      <c r="CL67" s="106">
        <v>26</v>
      </c>
      <c r="CM67" s="106">
        <v>29203.200000000001</v>
      </c>
      <c r="CN67" s="106">
        <v>4</v>
      </c>
      <c r="CO67" s="106">
        <v>4492.8</v>
      </c>
      <c r="CP67" s="106">
        <v>3</v>
      </c>
      <c r="CQ67" s="106">
        <v>3369.6000000000004</v>
      </c>
      <c r="CR67" s="106">
        <v>3</v>
      </c>
      <c r="CS67" s="106">
        <v>3369.6000000000004</v>
      </c>
      <c r="CT67" s="106">
        <v>2</v>
      </c>
      <c r="CU67" s="106">
        <v>2246.4</v>
      </c>
    </row>
    <row r="68" spans="2:99" x14ac:dyDescent="0.2">
      <c r="C68" s="105" t="s">
        <v>235</v>
      </c>
      <c r="D68" s="106">
        <v>5</v>
      </c>
      <c r="E68" s="106">
        <v>5166</v>
      </c>
      <c r="F68" s="106">
        <v>7</v>
      </c>
      <c r="G68" s="106">
        <v>7232.4000000000005</v>
      </c>
      <c r="H68" s="106">
        <v>6</v>
      </c>
      <c r="I68" s="106">
        <v>6199.2000000000007</v>
      </c>
      <c r="J68" s="106">
        <v>5</v>
      </c>
      <c r="K68" s="106">
        <v>5166</v>
      </c>
      <c r="L68" s="106">
        <v>28</v>
      </c>
      <c r="M68" s="106">
        <v>28929.600000000002</v>
      </c>
      <c r="N68" s="106">
        <v>34</v>
      </c>
      <c r="O68" s="106">
        <v>35128.800000000003</v>
      </c>
      <c r="P68" s="106">
        <v>32</v>
      </c>
      <c r="Q68" s="106">
        <v>33062.400000000001</v>
      </c>
      <c r="R68" s="106">
        <v>31</v>
      </c>
      <c r="S68" s="106">
        <v>32029.200000000001</v>
      </c>
      <c r="T68" s="106">
        <v>5</v>
      </c>
      <c r="U68" s="106">
        <v>5166</v>
      </c>
      <c r="V68" s="106">
        <v>3</v>
      </c>
      <c r="W68" s="106">
        <v>3099.6000000000004</v>
      </c>
      <c r="X68" s="106">
        <v>3</v>
      </c>
      <c r="Y68" s="106">
        <v>3099.6000000000004</v>
      </c>
      <c r="Z68" s="106">
        <v>3</v>
      </c>
      <c r="AA68" s="106">
        <v>3099.6000000000004</v>
      </c>
      <c r="AB68" s="106">
        <v>7</v>
      </c>
      <c r="AC68" s="106">
        <v>7232.4000000000005</v>
      </c>
      <c r="AD68" s="106">
        <v>7</v>
      </c>
      <c r="AE68" s="106">
        <v>7232.4000000000005</v>
      </c>
      <c r="AF68" s="106">
        <v>8</v>
      </c>
      <c r="AG68" s="106">
        <v>8265.6</v>
      </c>
      <c r="AH68" s="106">
        <v>6</v>
      </c>
      <c r="AI68" s="106">
        <v>6199.2000000000007</v>
      </c>
      <c r="AJ68" s="106">
        <v>8</v>
      </c>
      <c r="AK68" s="106">
        <v>8265.6</v>
      </c>
      <c r="AL68" s="106">
        <v>7</v>
      </c>
      <c r="AM68" s="106">
        <v>7232.4000000000005</v>
      </c>
      <c r="AN68" s="106">
        <v>7</v>
      </c>
      <c r="AO68" s="106">
        <v>7232.4000000000005</v>
      </c>
      <c r="AP68" s="106">
        <v>8</v>
      </c>
      <c r="AQ68" s="106">
        <v>8265.6</v>
      </c>
      <c r="AR68" s="106">
        <v>3</v>
      </c>
      <c r="AS68" s="106">
        <v>3099.6000000000004</v>
      </c>
      <c r="AT68" s="106">
        <v>3</v>
      </c>
      <c r="AU68" s="106">
        <v>3099.6000000000004</v>
      </c>
      <c r="AV68" s="106">
        <v>3</v>
      </c>
      <c r="AW68" s="106">
        <v>3099.6000000000004</v>
      </c>
      <c r="AX68" s="106">
        <v>4</v>
      </c>
      <c r="AY68" s="106">
        <v>4132.8</v>
      </c>
      <c r="AZ68" s="106">
        <v>8</v>
      </c>
      <c r="BA68" s="106">
        <v>8265.6</v>
      </c>
      <c r="BB68" s="106">
        <v>8</v>
      </c>
      <c r="BC68" s="106">
        <v>8265.6</v>
      </c>
      <c r="BD68" s="106">
        <v>7</v>
      </c>
      <c r="BE68" s="106">
        <v>7232.4000000000005</v>
      </c>
      <c r="BF68" s="106">
        <v>8</v>
      </c>
      <c r="BG68" s="106">
        <v>8265.6</v>
      </c>
      <c r="BH68" s="106">
        <v>4</v>
      </c>
      <c r="BI68" s="106">
        <v>4132.8</v>
      </c>
      <c r="BJ68" s="106">
        <v>3</v>
      </c>
      <c r="BK68" s="106">
        <v>3099.6000000000004</v>
      </c>
      <c r="BL68" s="106">
        <v>5</v>
      </c>
      <c r="BM68" s="106">
        <v>5166</v>
      </c>
      <c r="BN68" s="106">
        <v>6</v>
      </c>
      <c r="BO68" s="106">
        <v>6199.2000000000007</v>
      </c>
      <c r="BP68" s="106">
        <v>2</v>
      </c>
      <c r="BQ68" s="106">
        <v>2066.4</v>
      </c>
      <c r="BR68" s="106">
        <v>3</v>
      </c>
      <c r="BS68" s="106">
        <v>3099.6000000000004</v>
      </c>
      <c r="BT68" s="106">
        <v>4</v>
      </c>
      <c r="BU68" s="106">
        <v>4132.8</v>
      </c>
      <c r="BV68" s="106">
        <v>2</v>
      </c>
      <c r="BW68" s="106">
        <v>2066.4</v>
      </c>
      <c r="BX68" s="106">
        <v>51</v>
      </c>
      <c r="BY68" s="106">
        <v>52693.200000000004</v>
      </c>
      <c r="BZ68" s="106">
        <v>73</v>
      </c>
      <c r="CA68" s="106">
        <v>75423.600000000006</v>
      </c>
      <c r="CB68" s="106">
        <v>39</v>
      </c>
      <c r="CC68" s="106">
        <v>40294.800000000003</v>
      </c>
      <c r="CD68" s="106">
        <v>71</v>
      </c>
      <c r="CE68" s="106">
        <v>73357.2</v>
      </c>
      <c r="CF68" s="106">
        <v>19</v>
      </c>
      <c r="CG68" s="106">
        <v>19630.8</v>
      </c>
      <c r="CH68" s="106">
        <v>21</v>
      </c>
      <c r="CI68" s="106">
        <v>21697.200000000001</v>
      </c>
      <c r="CJ68" s="106">
        <v>16</v>
      </c>
      <c r="CK68" s="106">
        <v>16531.2</v>
      </c>
      <c r="CL68" s="106">
        <v>28</v>
      </c>
      <c r="CM68" s="106">
        <v>28929.600000000002</v>
      </c>
      <c r="CN68" s="106">
        <v>4</v>
      </c>
      <c r="CO68" s="106">
        <v>4132.8</v>
      </c>
      <c r="CP68" s="106">
        <v>4</v>
      </c>
      <c r="CQ68" s="106">
        <v>4132.8</v>
      </c>
      <c r="CR68" s="106">
        <v>3</v>
      </c>
      <c r="CS68" s="106">
        <v>3099.6000000000004</v>
      </c>
      <c r="CT68" s="106">
        <v>2</v>
      </c>
      <c r="CU68" s="106">
        <v>2066.4</v>
      </c>
    </row>
    <row r="69" spans="2:99" x14ac:dyDescent="0.2">
      <c r="C69" s="105" t="s">
        <v>236</v>
      </c>
      <c r="D69" s="106">
        <v>4</v>
      </c>
      <c r="E69" s="106">
        <v>3033.6</v>
      </c>
      <c r="F69" s="106">
        <v>7</v>
      </c>
      <c r="G69" s="106">
        <v>5308.8</v>
      </c>
      <c r="H69" s="106">
        <v>7</v>
      </c>
      <c r="I69" s="106">
        <v>5308.8</v>
      </c>
      <c r="J69" s="106">
        <v>5</v>
      </c>
      <c r="K69" s="106">
        <v>3792</v>
      </c>
      <c r="L69" s="106">
        <v>28</v>
      </c>
      <c r="M69" s="106">
        <v>21235.200000000001</v>
      </c>
      <c r="N69" s="106">
        <v>35</v>
      </c>
      <c r="O69" s="106">
        <v>26544</v>
      </c>
      <c r="P69" s="106">
        <v>39</v>
      </c>
      <c r="Q69" s="106">
        <v>29577.599999999999</v>
      </c>
      <c r="R69" s="106">
        <v>33</v>
      </c>
      <c r="S69" s="106">
        <v>25027.200000000001</v>
      </c>
      <c r="T69" s="106">
        <v>4</v>
      </c>
      <c r="U69" s="106">
        <v>3033.6</v>
      </c>
      <c r="V69" s="106">
        <v>3</v>
      </c>
      <c r="W69" s="106">
        <v>2275.1999999999998</v>
      </c>
      <c r="X69" s="106">
        <v>4</v>
      </c>
      <c r="Y69" s="106">
        <v>3033.6</v>
      </c>
      <c r="Z69" s="106">
        <v>3</v>
      </c>
      <c r="AA69" s="106">
        <v>2275.1999999999998</v>
      </c>
      <c r="AB69" s="106">
        <v>7</v>
      </c>
      <c r="AC69" s="106">
        <v>5308.8</v>
      </c>
      <c r="AD69" s="106">
        <v>8</v>
      </c>
      <c r="AE69" s="106">
        <v>6067.2</v>
      </c>
      <c r="AF69" s="106">
        <v>9</v>
      </c>
      <c r="AG69" s="106">
        <v>6825.5999999999995</v>
      </c>
      <c r="AH69" s="106">
        <v>6</v>
      </c>
      <c r="AI69" s="106">
        <v>4550.3999999999996</v>
      </c>
      <c r="AJ69" s="106">
        <v>8</v>
      </c>
      <c r="AK69" s="106">
        <v>6067.2</v>
      </c>
      <c r="AL69" s="106">
        <v>8</v>
      </c>
      <c r="AM69" s="106">
        <v>6067.2</v>
      </c>
      <c r="AN69" s="106">
        <v>7</v>
      </c>
      <c r="AO69" s="106">
        <v>5308.8</v>
      </c>
      <c r="AP69" s="106">
        <v>7</v>
      </c>
      <c r="AQ69" s="106">
        <v>5308.8</v>
      </c>
      <c r="AR69" s="106">
        <v>3</v>
      </c>
      <c r="AS69" s="106">
        <v>2275.1999999999998</v>
      </c>
      <c r="AT69" s="106">
        <v>3</v>
      </c>
      <c r="AU69" s="106">
        <v>2275.1999999999998</v>
      </c>
      <c r="AV69" s="106">
        <v>3</v>
      </c>
      <c r="AW69" s="106">
        <v>2275.1999999999998</v>
      </c>
      <c r="AX69" s="106">
        <v>4</v>
      </c>
      <c r="AY69" s="106">
        <v>3033.6</v>
      </c>
      <c r="AZ69" s="106">
        <v>7</v>
      </c>
      <c r="BA69" s="106">
        <v>5308.8</v>
      </c>
      <c r="BB69" s="106">
        <v>8</v>
      </c>
      <c r="BC69" s="106">
        <v>6067.2</v>
      </c>
      <c r="BD69" s="106">
        <v>7</v>
      </c>
      <c r="BE69" s="106">
        <v>5308.8</v>
      </c>
      <c r="BF69" s="106">
        <v>9</v>
      </c>
      <c r="BG69" s="106">
        <v>6825.5999999999995</v>
      </c>
      <c r="BH69" s="106">
        <v>5</v>
      </c>
      <c r="BI69" s="106">
        <v>3792</v>
      </c>
      <c r="BJ69" s="106">
        <v>3</v>
      </c>
      <c r="BK69" s="106">
        <v>2275.1999999999998</v>
      </c>
      <c r="BL69" s="106">
        <v>6</v>
      </c>
      <c r="BM69" s="106">
        <v>4550.3999999999996</v>
      </c>
      <c r="BN69" s="106">
        <v>5</v>
      </c>
      <c r="BO69" s="106">
        <v>3792</v>
      </c>
      <c r="BP69" s="106">
        <v>2</v>
      </c>
      <c r="BQ69" s="106">
        <v>1516.8</v>
      </c>
      <c r="BR69" s="106">
        <v>4</v>
      </c>
      <c r="BS69" s="106">
        <v>3033.6</v>
      </c>
      <c r="BT69" s="106">
        <v>4</v>
      </c>
      <c r="BU69" s="106">
        <v>3033.6</v>
      </c>
      <c r="BV69" s="106">
        <v>2</v>
      </c>
      <c r="BW69" s="106">
        <v>1516.8</v>
      </c>
      <c r="BX69" s="106">
        <v>53</v>
      </c>
      <c r="BY69" s="106">
        <v>40195.199999999997</v>
      </c>
      <c r="BZ69" s="106">
        <v>78</v>
      </c>
      <c r="CA69" s="106">
        <v>59155.199999999997</v>
      </c>
      <c r="CB69" s="106">
        <v>46</v>
      </c>
      <c r="CC69" s="106">
        <v>34886.400000000001</v>
      </c>
      <c r="CD69" s="106">
        <v>67</v>
      </c>
      <c r="CE69" s="106">
        <v>50812.799999999996</v>
      </c>
      <c r="CF69" s="106">
        <v>20</v>
      </c>
      <c r="CG69" s="106">
        <v>15168</v>
      </c>
      <c r="CH69" s="106">
        <v>24</v>
      </c>
      <c r="CI69" s="106">
        <v>18201.599999999999</v>
      </c>
      <c r="CJ69" s="106">
        <v>14</v>
      </c>
      <c r="CK69" s="106">
        <v>10617.6</v>
      </c>
      <c r="CL69" s="106">
        <v>30</v>
      </c>
      <c r="CM69" s="106">
        <v>22752</v>
      </c>
      <c r="CN69" s="106">
        <v>4</v>
      </c>
      <c r="CO69" s="106">
        <v>3033.6</v>
      </c>
      <c r="CP69" s="106">
        <v>4</v>
      </c>
      <c r="CQ69" s="106">
        <v>3033.6</v>
      </c>
      <c r="CR69" s="106">
        <v>3</v>
      </c>
      <c r="CS69" s="106">
        <v>2275.1999999999998</v>
      </c>
      <c r="CT69" s="106">
        <v>3</v>
      </c>
      <c r="CU69" s="106">
        <v>2275.1999999999998</v>
      </c>
    </row>
    <row r="70" spans="2:99" x14ac:dyDescent="0.2">
      <c r="C70" s="105" t="s">
        <v>237</v>
      </c>
      <c r="D70" s="106">
        <v>5</v>
      </c>
      <c r="E70" s="106">
        <v>2675.9999999999995</v>
      </c>
      <c r="F70" s="106">
        <v>8</v>
      </c>
      <c r="G70" s="106">
        <v>4281.5999999999995</v>
      </c>
      <c r="H70" s="106">
        <v>6</v>
      </c>
      <c r="I70" s="106">
        <v>3211.2</v>
      </c>
      <c r="J70" s="106">
        <v>5</v>
      </c>
      <c r="K70" s="106">
        <v>2675.9999999999995</v>
      </c>
      <c r="L70" s="106">
        <v>32</v>
      </c>
      <c r="M70" s="106">
        <v>17126.399999999998</v>
      </c>
      <c r="N70" s="106">
        <v>42</v>
      </c>
      <c r="O70" s="106">
        <v>22478.399999999998</v>
      </c>
      <c r="P70" s="106">
        <v>36</v>
      </c>
      <c r="Q70" s="106">
        <v>19267.199999999997</v>
      </c>
      <c r="R70" s="106">
        <v>38</v>
      </c>
      <c r="S70" s="106">
        <v>20337.599999999999</v>
      </c>
      <c r="T70" s="106">
        <v>5</v>
      </c>
      <c r="U70" s="106">
        <v>2675.9999999999995</v>
      </c>
      <c r="V70" s="106">
        <v>4</v>
      </c>
      <c r="W70" s="106">
        <v>2140.7999999999997</v>
      </c>
      <c r="X70" s="106">
        <v>4</v>
      </c>
      <c r="Y70" s="106">
        <v>2140.7999999999997</v>
      </c>
      <c r="Z70" s="106">
        <v>3</v>
      </c>
      <c r="AA70" s="106">
        <v>1605.6</v>
      </c>
      <c r="AB70" s="106">
        <v>7</v>
      </c>
      <c r="AC70" s="106">
        <v>3746.3999999999996</v>
      </c>
      <c r="AD70" s="106">
        <v>7</v>
      </c>
      <c r="AE70" s="106">
        <v>3746.3999999999996</v>
      </c>
      <c r="AF70" s="106">
        <v>9</v>
      </c>
      <c r="AG70" s="106">
        <v>4816.7999999999993</v>
      </c>
      <c r="AH70" s="106">
        <v>6</v>
      </c>
      <c r="AI70" s="106">
        <v>3211.2</v>
      </c>
      <c r="AJ70" s="106">
        <v>8</v>
      </c>
      <c r="AK70" s="106">
        <v>4281.5999999999995</v>
      </c>
      <c r="AL70" s="106">
        <v>7</v>
      </c>
      <c r="AM70" s="106">
        <v>3746.3999999999996</v>
      </c>
      <c r="AN70" s="106">
        <v>7</v>
      </c>
      <c r="AO70" s="106">
        <v>3746.3999999999996</v>
      </c>
      <c r="AP70" s="106">
        <v>7</v>
      </c>
      <c r="AQ70" s="106">
        <v>3746.3999999999996</v>
      </c>
      <c r="AR70" s="106">
        <v>3</v>
      </c>
      <c r="AS70" s="106">
        <v>1605.6</v>
      </c>
      <c r="AT70" s="106">
        <v>3</v>
      </c>
      <c r="AU70" s="106">
        <v>1605.6</v>
      </c>
      <c r="AV70" s="106">
        <v>3</v>
      </c>
      <c r="AW70" s="106">
        <v>1605.6</v>
      </c>
      <c r="AX70" s="106">
        <v>4</v>
      </c>
      <c r="AY70" s="106">
        <v>2140.7999999999997</v>
      </c>
      <c r="AZ70" s="106">
        <v>8</v>
      </c>
      <c r="BA70" s="106">
        <v>4281.5999999999995</v>
      </c>
      <c r="BB70" s="106">
        <v>8</v>
      </c>
      <c r="BC70" s="106">
        <v>4281.5999999999995</v>
      </c>
      <c r="BD70" s="106">
        <v>7</v>
      </c>
      <c r="BE70" s="106">
        <v>3746.3999999999996</v>
      </c>
      <c r="BF70" s="106">
        <v>10</v>
      </c>
      <c r="BG70" s="106">
        <v>5351.9999999999991</v>
      </c>
      <c r="BH70" s="106">
        <v>5</v>
      </c>
      <c r="BI70" s="106">
        <v>2675.9999999999995</v>
      </c>
      <c r="BJ70" s="106">
        <v>3</v>
      </c>
      <c r="BK70" s="106">
        <v>1605.6</v>
      </c>
      <c r="BL70" s="106">
        <v>6</v>
      </c>
      <c r="BM70" s="106">
        <v>3211.2</v>
      </c>
      <c r="BN70" s="106">
        <v>5</v>
      </c>
      <c r="BO70" s="106">
        <v>2675.9999999999995</v>
      </c>
      <c r="BP70" s="106">
        <v>2</v>
      </c>
      <c r="BQ70" s="106">
        <v>1070.3999999999999</v>
      </c>
      <c r="BR70" s="106">
        <v>4</v>
      </c>
      <c r="BS70" s="106">
        <v>2140.7999999999997</v>
      </c>
      <c r="BT70" s="106">
        <v>3</v>
      </c>
      <c r="BU70" s="106">
        <v>1605.6</v>
      </c>
      <c r="BV70" s="106">
        <v>3</v>
      </c>
      <c r="BW70" s="106">
        <v>1605.6</v>
      </c>
      <c r="BX70" s="106">
        <v>54</v>
      </c>
      <c r="BY70" s="106">
        <v>28900.799999999996</v>
      </c>
      <c r="BZ70" s="106">
        <v>79</v>
      </c>
      <c r="CA70" s="106">
        <v>42280.799999999996</v>
      </c>
      <c r="CB70" s="106">
        <v>49</v>
      </c>
      <c r="CC70" s="106">
        <v>26224.799999999996</v>
      </c>
      <c r="CD70" s="106">
        <v>80</v>
      </c>
      <c r="CE70" s="106">
        <v>42815.999999999993</v>
      </c>
      <c r="CF70" s="106">
        <v>19</v>
      </c>
      <c r="CG70" s="106">
        <v>10168.799999999999</v>
      </c>
      <c r="CH70" s="106">
        <v>25</v>
      </c>
      <c r="CI70" s="106">
        <v>13379.999999999998</v>
      </c>
      <c r="CJ70" s="106">
        <v>16</v>
      </c>
      <c r="CK70" s="106">
        <v>8563.1999999999989</v>
      </c>
      <c r="CL70" s="106">
        <v>31</v>
      </c>
      <c r="CM70" s="106">
        <v>16591.199999999997</v>
      </c>
      <c r="CN70" s="106">
        <v>4</v>
      </c>
      <c r="CO70" s="106">
        <v>2140.7999999999997</v>
      </c>
      <c r="CP70" s="106">
        <v>4</v>
      </c>
      <c r="CQ70" s="106">
        <v>2140.7999999999997</v>
      </c>
      <c r="CR70" s="106">
        <v>3</v>
      </c>
      <c r="CS70" s="106">
        <v>1605.6</v>
      </c>
      <c r="CT70" s="106">
        <v>2</v>
      </c>
      <c r="CU70" s="106">
        <v>1070.3999999999999</v>
      </c>
    </row>
    <row r="71" spans="2:99" x14ac:dyDescent="0.2">
      <c r="B71" s="105" t="s">
        <v>130</v>
      </c>
      <c r="C71" s="105" t="s">
        <v>238</v>
      </c>
      <c r="D71" s="106">
        <v>21.045509777321818</v>
      </c>
      <c r="E71" s="106">
        <v>11869.667514409506</v>
      </c>
      <c r="F71" s="106">
        <v>12.039767196745562</v>
      </c>
      <c r="G71" s="106">
        <v>6790.428698964497</v>
      </c>
      <c r="H71" s="106">
        <v>15.037789876351169</v>
      </c>
      <c r="I71" s="106">
        <v>8481.3134902620604</v>
      </c>
      <c r="J71" s="106">
        <v>22.003141357804939</v>
      </c>
      <c r="K71" s="106">
        <v>12409.771725801986</v>
      </c>
      <c r="L71" s="106">
        <v>20.004743078363521</v>
      </c>
      <c r="M71" s="106">
        <v>11282.675096197027</v>
      </c>
      <c r="N71" s="106">
        <v>23</v>
      </c>
      <c r="O71" s="106">
        <v>12972</v>
      </c>
      <c r="P71" s="106">
        <v>22</v>
      </c>
      <c r="Q71" s="106">
        <v>12408</v>
      </c>
      <c r="R71" s="106">
        <v>22.010147272238644</v>
      </c>
      <c r="S71" s="106">
        <v>12413.723061542596</v>
      </c>
      <c r="T71" s="106">
        <v>5.0046384633760344</v>
      </c>
      <c r="U71" s="106">
        <v>2822.6160933440833</v>
      </c>
      <c r="V71" s="106">
        <v>5.0025273781526467</v>
      </c>
      <c r="W71" s="106">
        <v>2821.4254412780929</v>
      </c>
      <c r="X71" s="106">
        <v>5.0030586214077468</v>
      </c>
      <c r="Y71" s="106">
        <v>2821.725062473969</v>
      </c>
      <c r="Z71" s="106">
        <v>6.0023790627362059</v>
      </c>
      <c r="AA71" s="106">
        <v>3385.34179138322</v>
      </c>
      <c r="AB71" s="106">
        <v>10.005922520381143</v>
      </c>
      <c r="AC71" s="106">
        <v>5643.3403014949645</v>
      </c>
      <c r="AD71" s="106">
        <v>10.005851961950059</v>
      </c>
      <c r="AE71" s="106">
        <v>5643.3005065398329</v>
      </c>
      <c r="AF71" s="106">
        <v>8.0064714791952447</v>
      </c>
      <c r="AG71" s="106">
        <v>4515.6499142661178</v>
      </c>
      <c r="AH71" s="106">
        <v>6.0062377929687498</v>
      </c>
      <c r="AI71" s="106">
        <v>3387.5181152343748</v>
      </c>
      <c r="AJ71" s="106">
        <v>5.0019184624630162</v>
      </c>
      <c r="AK71" s="106">
        <v>2821.0820128291411</v>
      </c>
      <c r="AL71" s="106">
        <v>4</v>
      </c>
      <c r="AM71" s="106">
        <v>2256</v>
      </c>
      <c r="AN71" s="106">
        <v>5.0043117625633275</v>
      </c>
      <c r="AO71" s="106">
        <v>2822.4318340857167</v>
      </c>
      <c r="AP71" s="106">
        <v>3</v>
      </c>
      <c r="AQ71" s="106">
        <v>1692</v>
      </c>
      <c r="AR71" s="106">
        <v>23.008755271823503</v>
      </c>
      <c r="AS71" s="106">
        <v>12976.937973308455</v>
      </c>
      <c r="AT71" s="106">
        <v>26.008534319552005</v>
      </c>
      <c r="AU71" s="106">
        <v>14668.813356227331</v>
      </c>
      <c r="AV71" s="106">
        <v>30.016808900680847</v>
      </c>
      <c r="AW71" s="106">
        <v>16929.480219983998</v>
      </c>
      <c r="AX71" s="106">
        <v>24.009347711964036</v>
      </c>
      <c r="AY71" s="106">
        <v>13541.272109547717</v>
      </c>
      <c r="AZ71" s="106">
        <v>60</v>
      </c>
      <c r="BA71" s="106">
        <v>33840</v>
      </c>
      <c r="BB71" s="106">
        <v>48.004588893292819</v>
      </c>
      <c r="BC71" s="106">
        <v>27074.58813581715</v>
      </c>
      <c r="BD71" s="106">
        <v>60.009348809934657</v>
      </c>
      <c r="BE71" s="106">
        <v>33845.272728803146</v>
      </c>
      <c r="BF71" s="106">
        <v>56.002434775218831</v>
      </c>
      <c r="BG71" s="106">
        <v>31585.373213223422</v>
      </c>
      <c r="BH71" s="106">
        <v>6.0081573154042962</v>
      </c>
      <c r="BI71" s="106">
        <v>3388.6007258880231</v>
      </c>
      <c r="BJ71" s="106">
        <v>5</v>
      </c>
      <c r="BK71" s="106">
        <v>2820</v>
      </c>
      <c r="BL71" s="106">
        <v>6.0160290905216049</v>
      </c>
      <c r="BM71" s="106">
        <v>3393.0404070541854</v>
      </c>
      <c r="BN71" s="106">
        <v>4.005876946366782</v>
      </c>
      <c r="BO71" s="106">
        <v>2259.3145977508652</v>
      </c>
      <c r="BP71" s="106">
        <v>6.0027053114793354</v>
      </c>
      <c r="BQ71" s="106">
        <v>3385.5257956743453</v>
      </c>
      <c r="BR71" s="106">
        <v>4</v>
      </c>
      <c r="BS71" s="106">
        <v>2256</v>
      </c>
      <c r="BT71" s="106">
        <v>5.0055555335976187</v>
      </c>
      <c r="BU71" s="106">
        <v>2823.1333209490572</v>
      </c>
      <c r="BV71" s="106">
        <v>5</v>
      </c>
      <c r="BW71" s="106">
        <v>2820</v>
      </c>
      <c r="BX71" s="106">
        <v>5</v>
      </c>
      <c r="BY71" s="106">
        <v>2820</v>
      </c>
      <c r="BZ71" s="106">
        <v>6.0056951263456604</v>
      </c>
      <c r="CA71" s="106">
        <v>3387.2120512589527</v>
      </c>
      <c r="CB71" s="106">
        <v>5.0024854995338401</v>
      </c>
      <c r="CC71" s="106">
        <v>2821.4018217370858</v>
      </c>
      <c r="CD71" s="106">
        <v>6.0025531896369086</v>
      </c>
      <c r="CE71" s="106">
        <v>3385.4399989552167</v>
      </c>
      <c r="CF71" s="106">
        <v>25.002666660796521</v>
      </c>
      <c r="CG71" s="106">
        <v>14101.503996689238</v>
      </c>
      <c r="CH71" s="106">
        <v>32.004361360101832</v>
      </c>
      <c r="CI71" s="106">
        <v>18050.459807097432</v>
      </c>
      <c r="CJ71" s="106">
        <v>25.007130033506037</v>
      </c>
      <c r="CK71" s="106">
        <v>14104.021338897404</v>
      </c>
      <c r="CL71" s="106">
        <v>27.005023535461415</v>
      </c>
      <c r="CM71" s="106">
        <v>15230.833274000239</v>
      </c>
      <c r="CN71" s="106">
        <v>3.0032338258305948</v>
      </c>
      <c r="CO71" s="106">
        <v>1693.8238777684555</v>
      </c>
      <c r="CP71" s="106">
        <v>4</v>
      </c>
      <c r="CQ71" s="106">
        <v>2256</v>
      </c>
      <c r="CR71" s="106">
        <v>3</v>
      </c>
      <c r="CS71" s="106">
        <v>1692</v>
      </c>
      <c r="CT71" s="106">
        <v>4.0069220835655797</v>
      </c>
      <c r="CU71" s="106">
        <v>2259.9040551309868</v>
      </c>
    </row>
    <row r="72" spans="2:99" x14ac:dyDescent="0.2">
      <c r="C72" s="105" t="s">
        <v>239</v>
      </c>
      <c r="D72" s="106">
        <v>20.045509777321818</v>
      </c>
      <c r="E72" s="106">
        <v>1491.3859274327431</v>
      </c>
      <c r="F72" s="106">
        <v>14.041860207100592</v>
      </c>
      <c r="G72" s="106">
        <v>1044.714399408284</v>
      </c>
      <c r="H72" s="106">
        <v>18.037789876351169</v>
      </c>
      <c r="I72" s="106">
        <v>1342.0115668005269</v>
      </c>
      <c r="J72" s="106">
        <v>20.0033507816586</v>
      </c>
      <c r="K72" s="106">
        <v>1488.2492981553996</v>
      </c>
      <c r="L72" s="106">
        <v>21.005533591424108</v>
      </c>
      <c r="M72" s="106">
        <v>1562.8116992019534</v>
      </c>
      <c r="N72" s="106">
        <v>23</v>
      </c>
      <c r="O72" s="106">
        <v>1711.1999999999998</v>
      </c>
      <c r="P72" s="106">
        <v>23</v>
      </c>
      <c r="Q72" s="106">
        <v>1711.1999999999998</v>
      </c>
      <c r="R72" s="106">
        <v>25.010147272238644</v>
      </c>
      <c r="S72" s="106">
        <v>1860.754957054555</v>
      </c>
      <c r="T72" s="106">
        <v>5.0057298665233363</v>
      </c>
      <c r="U72" s="106">
        <v>372.4263020693362</v>
      </c>
      <c r="V72" s="106">
        <v>7.0025273781526467</v>
      </c>
      <c r="W72" s="106">
        <v>520.98803693455682</v>
      </c>
      <c r="X72" s="106">
        <v>6.0030586214077468</v>
      </c>
      <c r="Y72" s="106">
        <v>446.62756143273629</v>
      </c>
      <c r="Z72" s="106">
        <v>6.0025376669186192</v>
      </c>
      <c r="AA72" s="106">
        <v>446.58880241874522</v>
      </c>
      <c r="AB72" s="106">
        <v>12.005922520381143</v>
      </c>
      <c r="AC72" s="106">
        <v>893.24063551635686</v>
      </c>
      <c r="AD72" s="106">
        <v>11.006196195005945</v>
      </c>
      <c r="AE72" s="106">
        <v>818.86099690844219</v>
      </c>
      <c r="AF72" s="106">
        <v>7.0061633135192807</v>
      </c>
      <c r="AG72" s="106">
        <v>521.25855052583438</v>
      </c>
      <c r="AH72" s="106">
        <v>6.0062377929687498</v>
      </c>
      <c r="AI72" s="106">
        <v>446.86409179687496</v>
      </c>
      <c r="AJ72" s="106">
        <v>5.0021582702708933</v>
      </c>
      <c r="AK72" s="106">
        <v>372.16057530815442</v>
      </c>
      <c r="AL72" s="106">
        <v>4</v>
      </c>
      <c r="AM72" s="106">
        <v>297.59999999999997</v>
      </c>
      <c r="AN72" s="106">
        <v>5.0046434366066599</v>
      </c>
      <c r="AO72" s="106">
        <v>372.34547168353544</v>
      </c>
      <c r="AP72" s="106">
        <v>4</v>
      </c>
      <c r="AQ72" s="106">
        <v>297.59999999999997</v>
      </c>
      <c r="AR72" s="106">
        <v>27.00896624222889</v>
      </c>
      <c r="AS72" s="106">
        <v>2009.4670884218292</v>
      </c>
      <c r="AT72" s="106">
        <v>24.008905376923831</v>
      </c>
      <c r="AU72" s="106">
        <v>1786.2625600431329</v>
      </c>
      <c r="AV72" s="106">
        <v>31.01812209604654</v>
      </c>
      <c r="AW72" s="106">
        <v>2307.7482839458621</v>
      </c>
      <c r="AX72" s="106">
        <v>29.010169488839995</v>
      </c>
      <c r="AY72" s="106">
        <v>2158.3566099696955</v>
      </c>
      <c r="AZ72" s="106">
        <v>65</v>
      </c>
      <c r="BA72" s="106">
        <v>4835.9999999999991</v>
      </c>
      <c r="BB72" s="106">
        <v>55.004206485518417</v>
      </c>
      <c r="BC72" s="106">
        <v>4092.3129625225697</v>
      </c>
      <c r="BD72" s="106">
        <v>66.008013265658278</v>
      </c>
      <c r="BE72" s="106">
        <v>4910.9961869649751</v>
      </c>
      <c r="BF72" s="106">
        <v>67.0027826002501</v>
      </c>
      <c r="BG72" s="106">
        <v>4985.0070254586071</v>
      </c>
      <c r="BH72" s="106">
        <v>6.0077203163647797</v>
      </c>
      <c r="BI72" s="106">
        <v>446.97439153753953</v>
      </c>
      <c r="BJ72" s="106">
        <v>5</v>
      </c>
      <c r="BK72" s="106">
        <v>371.99999999999994</v>
      </c>
      <c r="BL72" s="106">
        <v>6.0149361979860405</v>
      </c>
      <c r="BM72" s="106">
        <v>447.51125313016138</v>
      </c>
      <c r="BN72" s="106">
        <v>5.005876946366782</v>
      </c>
      <c r="BO72" s="106">
        <v>372.43724480968854</v>
      </c>
      <c r="BP72" s="106">
        <v>6.0028985480135733</v>
      </c>
      <c r="BQ72" s="106">
        <v>446.61565197220978</v>
      </c>
      <c r="BR72" s="106">
        <v>5</v>
      </c>
      <c r="BS72" s="106">
        <v>371.99999999999994</v>
      </c>
      <c r="BT72" s="106">
        <v>5.0055555335976187</v>
      </c>
      <c r="BU72" s="106">
        <v>372.41333169966276</v>
      </c>
      <c r="BV72" s="106">
        <v>5</v>
      </c>
      <c r="BW72" s="106">
        <v>371.99999999999994</v>
      </c>
      <c r="BX72" s="106">
        <v>5</v>
      </c>
      <c r="BY72" s="106">
        <v>371.99999999999994</v>
      </c>
      <c r="BZ72" s="106">
        <v>6.0067001486419533</v>
      </c>
      <c r="CA72" s="106">
        <v>446.89849105896127</v>
      </c>
      <c r="CB72" s="106">
        <v>6.0023197995649173</v>
      </c>
      <c r="CC72" s="106">
        <v>446.5725930876298</v>
      </c>
      <c r="CD72" s="106">
        <v>6.0028936149218302</v>
      </c>
      <c r="CE72" s="106">
        <v>446.6152849501841</v>
      </c>
      <c r="CF72" s="106">
        <v>25.002962956440577</v>
      </c>
      <c r="CG72" s="106">
        <v>1860.2204439591787</v>
      </c>
      <c r="CH72" s="106">
        <v>34.004984411544946</v>
      </c>
      <c r="CI72" s="106">
        <v>2529.9708402189435</v>
      </c>
      <c r="CJ72" s="106">
        <v>28.008556040207246</v>
      </c>
      <c r="CK72" s="106">
        <v>2083.8365693914188</v>
      </c>
      <c r="CL72" s="106">
        <v>29.004709564495077</v>
      </c>
      <c r="CM72" s="106">
        <v>2157.9503915984333</v>
      </c>
      <c r="CN72" s="106">
        <v>3.0032338258305948</v>
      </c>
      <c r="CO72" s="106">
        <v>223.44059664179622</v>
      </c>
      <c r="CP72" s="106">
        <v>4</v>
      </c>
      <c r="CQ72" s="106">
        <v>297.59999999999997</v>
      </c>
      <c r="CR72" s="106">
        <v>3</v>
      </c>
      <c r="CS72" s="106">
        <v>223.2</v>
      </c>
      <c r="CT72" s="106">
        <v>5.0074165181059778</v>
      </c>
      <c r="CU72" s="106">
        <v>372.55178894708473</v>
      </c>
    </row>
    <row r="73" spans="2:99" x14ac:dyDescent="0.2">
      <c r="C73" s="105" t="s">
        <v>240</v>
      </c>
      <c r="D73" s="106">
        <v>21.040453135397172</v>
      </c>
      <c r="E73" s="106">
        <v>11765.821393314098</v>
      </c>
      <c r="F73" s="106">
        <v>12.041860207100592</v>
      </c>
      <c r="G73" s="106">
        <v>6733.8082278106504</v>
      </c>
      <c r="H73" s="106">
        <v>15.035428009079221</v>
      </c>
      <c r="I73" s="106">
        <v>8407.8113426770997</v>
      </c>
      <c r="J73" s="106">
        <v>20.003141357804939</v>
      </c>
      <c r="K73" s="106">
        <v>11185.756647284521</v>
      </c>
      <c r="L73" s="106">
        <v>22.004940706628666</v>
      </c>
      <c r="M73" s="106">
        <v>12305.162843146749</v>
      </c>
      <c r="N73" s="106">
        <v>20</v>
      </c>
      <c r="O73" s="106">
        <v>11183.999999999998</v>
      </c>
      <c r="P73" s="106">
        <v>22</v>
      </c>
      <c r="Q73" s="106">
        <v>12302.399999999998</v>
      </c>
      <c r="R73" s="106">
        <v>23.009492609513572</v>
      </c>
      <c r="S73" s="106">
        <v>12866.908267239987</v>
      </c>
      <c r="T73" s="106">
        <v>5.0051841649496849</v>
      </c>
      <c r="U73" s="106">
        <v>2798.8989850398634</v>
      </c>
      <c r="V73" s="106">
        <v>6.0025273781526467</v>
      </c>
      <c r="W73" s="106">
        <v>3356.6133098629598</v>
      </c>
      <c r="X73" s="106">
        <v>5.0032285448192884</v>
      </c>
      <c r="Y73" s="106">
        <v>2797.8054022629458</v>
      </c>
      <c r="Z73" s="106">
        <v>6.0026962711010334</v>
      </c>
      <c r="AA73" s="106">
        <v>3356.7077547996973</v>
      </c>
      <c r="AB73" s="106">
        <v>10.005466941890285</v>
      </c>
      <c r="AC73" s="106">
        <v>5595.0571139050471</v>
      </c>
      <c r="AD73" s="106">
        <v>10.005851961950059</v>
      </c>
      <c r="AE73" s="106">
        <v>5595.2724171224727</v>
      </c>
      <c r="AF73" s="106">
        <v>7.0061633135192807</v>
      </c>
      <c r="AG73" s="106">
        <v>3917.8465249199812</v>
      </c>
      <c r="AH73" s="106">
        <v>6.0058479309082031</v>
      </c>
      <c r="AI73" s="106">
        <v>3358.4701629638666</v>
      </c>
      <c r="AJ73" s="106">
        <v>5.0021582702708933</v>
      </c>
      <c r="AK73" s="106">
        <v>2797.206904735483</v>
      </c>
      <c r="AL73" s="106">
        <v>4</v>
      </c>
      <c r="AM73" s="106">
        <v>2236.7999999999997</v>
      </c>
      <c r="AN73" s="106">
        <v>4.0043117625633275</v>
      </c>
      <c r="AO73" s="106">
        <v>2239.2111376254124</v>
      </c>
      <c r="AP73" s="106">
        <v>3</v>
      </c>
      <c r="AQ73" s="106">
        <v>1677.6</v>
      </c>
      <c r="AR73" s="106">
        <v>24.008649786620811</v>
      </c>
      <c r="AS73" s="106">
        <v>13425.636960678356</v>
      </c>
      <c r="AT73" s="106">
        <v>23.007915890598962</v>
      </c>
      <c r="AU73" s="106">
        <v>12866.026566022938</v>
      </c>
      <c r="AV73" s="106">
        <v>28.016546261607708</v>
      </c>
      <c r="AW73" s="106">
        <v>15666.852669491029</v>
      </c>
      <c r="AX73" s="106">
        <v>28.008217768759593</v>
      </c>
      <c r="AY73" s="106">
        <v>15662.195376290363</v>
      </c>
      <c r="AZ73" s="106">
        <v>59</v>
      </c>
      <c r="BA73" s="106">
        <v>32992.799999999996</v>
      </c>
      <c r="BB73" s="106">
        <v>48.004206485518417</v>
      </c>
      <c r="BC73" s="106">
        <v>26843.952266701894</v>
      </c>
      <c r="BD73" s="106">
        <v>60.008681037796464</v>
      </c>
      <c r="BE73" s="106">
        <v>33556.85443633578</v>
      </c>
      <c r="BF73" s="106">
        <v>57.002782600250093</v>
      </c>
      <c r="BG73" s="106">
        <v>31875.95603005985</v>
      </c>
      <c r="BH73" s="106">
        <v>6.0075746500182747</v>
      </c>
      <c r="BI73" s="106">
        <v>3359.4357442902187</v>
      </c>
      <c r="BJ73" s="106">
        <v>5</v>
      </c>
      <c r="BK73" s="106">
        <v>2795.9999999999995</v>
      </c>
      <c r="BL73" s="106">
        <v>6.014571900474186</v>
      </c>
      <c r="BM73" s="106">
        <v>3363.3486067451645</v>
      </c>
      <c r="BN73" s="106">
        <v>4.0051423280709342</v>
      </c>
      <c r="BO73" s="106">
        <v>2239.675589857266</v>
      </c>
      <c r="BP73" s="106">
        <v>6.0027053114793354</v>
      </c>
      <c r="BQ73" s="106">
        <v>3356.7128101792441</v>
      </c>
      <c r="BR73" s="106">
        <v>4</v>
      </c>
      <c r="BS73" s="106">
        <v>2236.7999999999997</v>
      </c>
      <c r="BT73" s="106">
        <v>5.0051587097692174</v>
      </c>
      <c r="BU73" s="106">
        <v>2798.8847505029462</v>
      </c>
      <c r="BV73" s="106">
        <v>5</v>
      </c>
      <c r="BW73" s="106">
        <v>2795.9999999999995</v>
      </c>
      <c r="BX73" s="106">
        <v>5</v>
      </c>
      <c r="BY73" s="106">
        <v>2795.9999999999995</v>
      </c>
      <c r="BZ73" s="106">
        <v>5.0063651412098551</v>
      </c>
      <c r="CA73" s="106">
        <v>2799.5593869645504</v>
      </c>
      <c r="CB73" s="106">
        <v>6.0023197995649173</v>
      </c>
      <c r="CC73" s="106">
        <v>3356.4972319167014</v>
      </c>
      <c r="CD73" s="106">
        <v>6.0023829769944479</v>
      </c>
      <c r="CE73" s="106">
        <v>3356.5325607352947</v>
      </c>
      <c r="CF73" s="106">
        <v>26.002962956440577</v>
      </c>
      <c r="CG73" s="106">
        <v>14540.856885241568</v>
      </c>
      <c r="CH73" s="106">
        <v>34.004984411544946</v>
      </c>
      <c r="CI73" s="106">
        <v>19015.587282935932</v>
      </c>
      <c r="CJ73" s="106">
        <v>27.007843036856642</v>
      </c>
      <c r="CK73" s="106">
        <v>15102.785826210233</v>
      </c>
      <c r="CL73" s="106">
        <v>27.004395593528738</v>
      </c>
      <c r="CM73" s="106">
        <v>15100.858015901269</v>
      </c>
      <c r="CN73" s="106">
        <v>3.0032338258305948</v>
      </c>
      <c r="CO73" s="106">
        <v>1679.4083554044685</v>
      </c>
      <c r="CP73" s="106">
        <v>3</v>
      </c>
      <c r="CQ73" s="106">
        <v>1677.6</v>
      </c>
      <c r="CR73" s="106">
        <v>4</v>
      </c>
      <c r="CS73" s="106">
        <v>2236.7999999999997</v>
      </c>
      <c r="CT73" s="106">
        <v>5.0074165181059778</v>
      </c>
      <c r="CU73" s="106">
        <v>2800.1473169248625</v>
      </c>
    </row>
    <row r="74" spans="2:99" x14ac:dyDescent="0.2">
      <c r="C74" s="105" t="s">
        <v>241</v>
      </c>
      <c r="D74" s="106">
        <v>21.042981456359495</v>
      </c>
      <c r="E74" s="106">
        <v>8484.5301232041475</v>
      </c>
      <c r="F74" s="106">
        <v>13.037674186390532</v>
      </c>
      <c r="G74" s="106">
        <v>5256.7902319526629</v>
      </c>
      <c r="H74" s="106">
        <v>17.037789876351169</v>
      </c>
      <c r="I74" s="106">
        <v>6869.6368781447909</v>
      </c>
      <c r="J74" s="106">
        <v>19.003141357804939</v>
      </c>
      <c r="K74" s="106">
        <v>7662.0665954669512</v>
      </c>
      <c r="L74" s="106">
        <v>22.005335963158959</v>
      </c>
      <c r="M74" s="106">
        <v>8872.5514603456922</v>
      </c>
      <c r="N74" s="106">
        <v>24</v>
      </c>
      <c r="O74" s="106">
        <v>9676.7999999999993</v>
      </c>
      <c r="P74" s="106">
        <v>19</v>
      </c>
      <c r="Q74" s="106">
        <v>7660.8</v>
      </c>
      <c r="R74" s="106">
        <v>21.009492609513572</v>
      </c>
      <c r="S74" s="106">
        <v>8471.0274201558714</v>
      </c>
      <c r="T74" s="106">
        <v>5.0051841649496849</v>
      </c>
      <c r="U74" s="106">
        <v>2018.0902553077128</v>
      </c>
      <c r="V74" s="106">
        <v>6.0025273781526467</v>
      </c>
      <c r="W74" s="106">
        <v>2420.2190388711469</v>
      </c>
      <c r="X74" s="106">
        <v>5.0030586214077468</v>
      </c>
      <c r="Y74" s="106">
        <v>2017.2332361516035</v>
      </c>
      <c r="Z74" s="106">
        <v>7.0026962711010334</v>
      </c>
      <c r="AA74" s="106">
        <v>2823.4871365079366</v>
      </c>
      <c r="AB74" s="106">
        <v>10.005466941890285</v>
      </c>
      <c r="AC74" s="106">
        <v>4034.2042709701627</v>
      </c>
      <c r="AD74" s="106">
        <v>9.0061961950059448</v>
      </c>
      <c r="AE74" s="106">
        <v>3631.2983058263967</v>
      </c>
      <c r="AF74" s="106">
        <v>7.0055469821673526</v>
      </c>
      <c r="AG74" s="106">
        <v>2824.6365432098764</v>
      </c>
      <c r="AH74" s="106">
        <v>6.0070175170898441</v>
      </c>
      <c r="AI74" s="106">
        <v>2422.0294628906249</v>
      </c>
      <c r="AJ74" s="106">
        <v>5.0019184624630162</v>
      </c>
      <c r="AK74" s="106">
        <v>2016.7735240650882</v>
      </c>
      <c r="AL74" s="106">
        <v>4</v>
      </c>
      <c r="AM74" s="106">
        <v>1612.8</v>
      </c>
      <c r="AN74" s="106">
        <v>4.0046434366066599</v>
      </c>
      <c r="AO74" s="106">
        <v>1614.6722336398052</v>
      </c>
      <c r="AP74" s="106">
        <v>4</v>
      </c>
      <c r="AQ74" s="106">
        <v>1612.8</v>
      </c>
      <c r="AR74" s="106">
        <v>24.00896624222889</v>
      </c>
      <c r="AS74" s="106">
        <v>9680.4151888666875</v>
      </c>
      <c r="AT74" s="106">
        <v>24.008163262180179</v>
      </c>
      <c r="AU74" s="106">
        <v>9680.0914273110484</v>
      </c>
      <c r="AV74" s="106">
        <v>30.015758344388296</v>
      </c>
      <c r="AW74" s="106">
        <v>12102.353764457361</v>
      </c>
      <c r="AX74" s="106">
        <v>26.008217768759593</v>
      </c>
      <c r="AY74" s="106">
        <v>10486.513404363868</v>
      </c>
      <c r="AZ74" s="106">
        <v>61</v>
      </c>
      <c r="BA74" s="106">
        <v>24595.200000000001</v>
      </c>
      <c r="BB74" s="106">
        <v>49.004588893292819</v>
      </c>
      <c r="BC74" s="106">
        <v>19758.650241775664</v>
      </c>
      <c r="BD74" s="106">
        <v>68.008013265658278</v>
      </c>
      <c r="BE74" s="106">
        <v>27420.830948713417</v>
      </c>
      <c r="BF74" s="106">
        <v>60.002782600250093</v>
      </c>
      <c r="BG74" s="106">
        <v>24193.121944420836</v>
      </c>
      <c r="BH74" s="106">
        <v>6.0075746500182747</v>
      </c>
      <c r="BI74" s="106">
        <v>2422.2540988873684</v>
      </c>
      <c r="BJ74" s="106">
        <v>5</v>
      </c>
      <c r="BK74" s="106">
        <v>2016</v>
      </c>
      <c r="BL74" s="106">
        <v>7.0149361979860405</v>
      </c>
      <c r="BM74" s="106">
        <v>2828.4222750279714</v>
      </c>
      <c r="BN74" s="106">
        <v>5.0053259826448961</v>
      </c>
      <c r="BO74" s="106">
        <v>2018.1474362024221</v>
      </c>
      <c r="BP74" s="106">
        <v>6.0028985480135733</v>
      </c>
      <c r="BQ74" s="106">
        <v>2420.3686945590725</v>
      </c>
      <c r="BR74" s="106">
        <v>4</v>
      </c>
      <c r="BS74" s="106">
        <v>1612.8</v>
      </c>
      <c r="BT74" s="106">
        <v>5.0051587097692174</v>
      </c>
      <c r="BU74" s="106">
        <v>2018.0799917789484</v>
      </c>
      <c r="BV74" s="106">
        <v>5</v>
      </c>
      <c r="BW74" s="106">
        <v>2016</v>
      </c>
      <c r="BX74" s="106">
        <v>5</v>
      </c>
      <c r="BY74" s="106">
        <v>2016</v>
      </c>
      <c r="BZ74" s="106">
        <v>6.0060301337777577</v>
      </c>
      <c r="CA74" s="106">
        <v>2421.6313499391918</v>
      </c>
      <c r="CB74" s="106">
        <v>5.0023197995649173</v>
      </c>
      <c r="CC74" s="106">
        <v>2016.9353431845745</v>
      </c>
      <c r="CD74" s="106">
        <v>5.0023829769944479</v>
      </c>
      <c r="CE74" s="106">
        <v>2016.9608163241614</v>
      </c>
      <c r="CF74" s="106">
        <v>27.002666660796521</v>
      </c>
      <c r="CG74" s="106">
        <v>10887.475197633157</v>
      </c>
      <c r="CH74" s="106">
        <v>34.004984411544946</v>
      </c>
      <c r="CI74" s="106">
        <v>13710.809714734922</v>
      </c>
      <c r="CJ74" s="106">
        <v>25.009269043557847</v>
      </c>
      <c r="CK74" s="106">
        <v>10083.737278362523</v>
      </c>
      <c r="CL74" s="106">
        <v>26.004395593528738</v>
      </c>
      <c r="CM74" s="106">
        <v>10484.972303310788</v>
      </c>
      <c r="CN74" s="106">
        <v>3.0027363141643493</v>
      </c>
      <c r="CO74" s="106">
        <v>1210.7032818710657</v>
      </c>
      <c r="CP74" s="106">
        <v>4</v>
      </c>
      <c r="CQ74" s="106">
        <v>1612.8</v>
      </c>
      <c r="CR74" s="106">
        <v>3</v>
      </c>
      <c r="CS74" s="106">
        <v>1209.5999999999999</v>
      </c>
      <c r="CT74" s="106">
        <v>5.0074165181059778</v>
      </c>
      <c r="CU74" s="106">
        <v>2018.9903401003303</v>
      </c>
    </row>
    <row r="75" spans="2:99" x14ac:dyDescent="0.2">
      <c r="C75" s="105" t="s">
        <v>242</v>
      </c>
      <c r="D75" s="106">
        <v>20.042981456359495</v>
      </c>
      <c r="E75" s="106">
        <v>12891.645672730427</v>
      </c>
      <c r="F75" s="106">
        <v>12.039767196745562</v>
      </c>
      <c r="G75" s="106">
        <v>7743.9782609467447</v>
      </c>
      <c r="H75" s="106">
        <v>17.040151743623117</v>
      </c>
      <c r="I75" s="106">
        <v>10960.225601498387</v>
      </c>
      <c r="J75" s="106">
        <v>19.002931933951277</v>
      </c>
      <c r="K75" s="106">
        <v>12222.68581991746</v>
      </c>
      <c r="L75" s="106">
        <v>22.005335963158959</v>
      </c>
      <c r="M75" s="106">
        <v>14153.83209150384</v>
      </c>
      <c r="N75" s="106">
        <v>23</v>
      </c>
      <c r="O75" s="106">
        <v>14793.599999999999</v>
      </c>
      <c r="P75" s="106">
        <v>19</v>
      </c>
      <c r="Q75" s="106">
        <v>12220.8</v>
      </c>
      <c r="R75" s="106">
        <v>22.01080193496372</v>
      </c>
      <c r="S75" s="106">
        <v>14157.347804568662</v>
      </c>
      <c r="T75" s="106">
        <v>5.0049113141628592</v>
      </c>
      <c r="U75" s="106">
        <v>3219.1589572695507</v>
      </c>
      <c r="V75" s="106">
        <v>6.0025273781526467</v>
      </c>
      <c r="W75" s="106">
        <v>3860.8256096277819</v>
      </c>
      <c r="X75" s="106">
        <v>6.0032285448192884</v>
      </c>
      <c r="Y75" s="106">
        <v>3861.2766000277657</v>
      </c>
      <c r="Z75" s="106">
        <v>7.0025376669186192</v>
      </c>
      <c r="AA75" s="106">
        <v>4504.032227362055</v>
      </c>
      <c r="AB75" s="106">
        <v>10.005466941890285</v>
      </c>
      <c r="AC75" s="106">
        <v>6435.5163370238306</v>
      </c>
      <c r="AD75" s="106">
        <v>10.006540428061831</v>
      </c>
      <c r="AE75" s="106">
        <v>6436.206803329369</v>
      </c>
      <c r="AF75" s="106">
        <v>7.0061633135192807</v>
      </c>
      <c r="AG75" s="106">
        <v>4506.3642432556007</v>
      </c>
      <c r="AH75" s="106">
        <v>6.0066276550292965</v>
      </c>
      <c r="AI75" s="106">
        <v>3863.4629077148429</v>
      </c>
      <c r="AJ75" s="106">
        <v>5.0021582702708933</v>
      </c>
      <c r="AK75" s="106">
        <v>3217.3881994382382</v>
      </c>
      <c r="AL75" s="106">
        <v>3</v>
      </c>
      <c r="AM75" s="106">
        <v>1929.6</v>
      </c>
      <c r="AN75" s="106">
        <v>4.0049751106499931</v>
      </c>
      <c r="AO75" s="106">
        <v>2575.9999911700752</v>
      </c>
      <c r="AP75" s="106">
        <v>3</v>
      </c>
      <c r="AQ75" s="106">
        <v>1929.6</v>
      </c>
      <c r="AR75" s="106">
        <v>23.008544301418119</v>
      </c>
      <c r="AS75" s="106">
        <v>14799.095694672133</v>
      </c>
      <c r="AT75" s="106">
        <v>25.008039576389571</v>
      </c>
      <c r="AU75" s="106">
        <v>16085.17105553377</v>
      </c>
      <c r="AV75" s="106">
        <v>27.015758344388296</v>
      </c>
      <c r="AW75" s="106">
        <v>17376.535767110548</v>
      </c>
      <c r="AX75" s="106">
        <v>25.008320490869089</v>
      </c>
      <c r="AY75" s="106">
        <v>16085.351739726997</v>
      </c>
      <c r="AZ75" s="106">
        <v>55</v>
      </c>
      <c r="BA75" s="106">
        <v>35375.999999999993</v>
      </c>
      <c r="BB75" s="106">
        <v>45.003824077744014</v>
      </c>
      <c r="BC75" s="106">
        <v>28946.459646804946</v>
      </c>
      <c r="BD75" s="106">
        <v>67.007345493520091</v>
      </c>
      <c r="BE75" s="106">
        <v>43099.124621432122</v>
      </c>
      <c r="BF75" s="106">
        <v>54.002434775218831</v>
      </c>
      <c r="BG75" s="106">
        <v>34734.36604742075</v>
      </c>
      <c r="BH75" s="106">
        <v>6.0087399807903168</v>
      </c>
      <c r="BI75" s="106">
        <v>3864.8215556443315</v>
      </c>
      <c r="BJ75" s="106">
        <v>5</v>
      </c>
      <c r="BK75" s="106">
        <v>3215.9999999999995</v>
      </c>
      <c r="BL75" s="106">
        <v>6.0142076029623315</v>
      </c>
      <c r="BM75" s="106">
        <v>3868.338330225371</v>
      </c>
      <c r="BN75" s="106">
        <v>4.0053259826448961</v>
      </c>
      <c r="BO75" s="106">
        <v>2576.225672037197</v>
      </c>
      <c r="BP75" s="106">
        <v>6.0027053114793354</v>
      </c>
      <c r="BQ75" s="106">
        <v>3860.9400563435083</v>
      </c>
      <c r="BR75" s="106">
        <v>5</v>
      </c>
      <c r="BS75" s="106">
        <v>3215.9999999999995</v>
      </c>
      <c r="BT75" s="106">
        <v>5.0047618859408161</v>
      </c>
      <c r="BU75" s="106">
        <v>3219.0628450371323</v>
      </c>
      <c r="BV75" s="106">
        <v>5</v>
      </c>
      <c r="BW75" s="106">
        <v>3215.9999999999995</v>
      </c>
      <c r="BX75" s="106">
        <v>5</v>
      </c>
      <c r="BY75" s="106">
        <v>3215.9999999999995</v>
      </c>
      <c r="BZ75" s="106">
        <v>5.0063651412098551</v>
      </c>
      <c r="CA75" s="106">
        <v>3220.0940588261783</v>
      </c>
      <c r="CB75" s="106">
        <v>6.0026511995027629</v>
      </c>
      <c r="CC75" s="106">
        <v>3860.9052515201765</v>
      </c>
      <c r="CD75" s="106">
        <v>6.0025531896369086</v>
      </c>
      <c r="CE75" s="106">
        <v>3860.8422115744593</v>
      </c>
      <c r="CF75" s="106">
        <v>25.002666660796521</v>
      </c>
      <c r="CG75" s="106">
        <v>16081.715196224321</v>
      </c>
      <c r="CH75" s="106">
        <v>32.004361360101832</v>
      </c>
      <c r="CI75" s="106">
        <v>20585.205226817496</v>
      </c>
      <c r="CJ75" s="106">
        <v>23.007843036856642</v>
      </c>
      <c r="CK75" s="106">
        <v>14798.644641306189</v>
      </c>
      <c r="CL75" s="106">
        <v>28.004395593528738</v>
      </c>
      <c r="CM75" s="106">
        <v>18012.427245757681</v>
      </c>
      <c r="CN75" s="106">
        <v>3.0029850699974721</v>
      </c>
      <c r="CO75" s="106">
        <v>1931.5199970223739</v>
      </c>
      <c r="CP75" s="106">
        <v>3</v>
      </c>
      <c r="CQ75" s="106">
        <v>1929.6</v>
      </c>
      <c r="CR75" s="106">
        <v>3</v>
      </c>
      <c r="CS75" s="106">
        <v>1929.6</v>
      </c>
      <c r="CT75" s="106">
        <v>5.0074165181059778</v>
      </c>
      <c r="CU75" s="106">
        <v>3220.7703044457644</v>
      </c>
    </row>
    <row r="76" spans="2:99" x14ac:dyDescent="0.2">
      <c r="C76" s="105" t="s">
        <v>243</v>
      </c>
      <c r="D76" s="106">
        <v>20.042981456359495</v>
      </c>
      <c r="E76" s="106">
        <v>15609.473958212773</v>
      </c>
      <c r="F76" s="106">
        <v>12.043953217455622</v>
      </c>
      <c r="G76" s="106">
        <v>9379.8307657544374</v>
      </c>
      <c r="H76" s="106">
        <v>17.033066141807272</v>
      </c>
      <c r="I76" s="106">
        <v>13265.351911239502</v>
      </c>
      <c r="J76" s="106">
        <v>18.0033507816586</v>
      </c>
      <c r="K76" s="106">
        <v>14021.009588755716</v>
      </c>
      <c r="L76" s="106">
        <v>18.004743078363521</v>
      </c>
      <c r="M76" s="106">
        <v>14022.09390942951</v>
      </c>
      <c r="N76" s="106">
        <v>23</v>
      </c>
      <c r="O76" s="106">
        <v>17912.399999999998</v>
      </c>
      <c r="P76" s="106">
        <v>19</v>
      </c>
      <c r="Q76" s="106">
        <v>14797.199999999999</v>
      </c>
      <c r="R76" s="106">
        <v>20.01080193496372</v>
      </c>
      <c r="S76" s="106">
        <v>15584.412546949743</v>
      </c>
      <c r="T76" s="106">
        <v>5.0054570157365106</v>
      </c>
      <c r="U76" s="106">
        <v>3898.2499238555943</v>
      </c>
      <c r="V76" s="106">
        <v>5.0023588862758031</v>
      </c>
      <c r="W76" s="106">
        <v>3895.8371006315951</v>
      </c>
      <c r="X76" s="106">
        <v>5.0030586214077468</v>
      </c>
      <c r="Y76" s="106">
        <v>3896.382054352353</v>
      </c>
      <c r="Z76" s="106">
        <v>7.0025376669186192</v>
      </c>
      <c r="AA76" s="106">
        <v>5453.5763349962199</v>
      </c>
      <c r="AB76" s="106">
        <v>9.0054669418902851</v>
      </c>
      <c r="AC76" s="106">
        <v>7013.4576543441535</v>
      </c>
      <c r="AD76" s="106">
        <v>9.0061961950059448</v>
      </c>
      <c r="AE76" s="106">
        <v>7014.0255966706291</v>
      </c>
      <c r="AF76" s="106">
        <v>6.0061633135192807</v>
      </c>
      <c r="AG76" s="106">
        <v>4677.5999885688152</v>
      </c>
      <c r="AH76" s="106">
        <v>6.0066276550292965</v>
      </c>
      <c r="AI76" s="106">
        <v>4677.9616177368162</v>
      </c>
      <c r="AJ76" s="106">
        <v>5.0019184624630162</v>
      </c>
      <c r="AK76" s="106">
        <v>3895.494098566197</v>
      </c>
      <c r="AL76" s="106">
        <v>4</v>
      </c>
      <c r="AM76" s="106">
        <v>3115.2</v>
      </c>
      <c r="AN76" s="106">
        <v>4.0049751106499931</v>
      </c>
      <c r="AO76" s="106">
        <v>3119.0746161742145</v>
      </c>
      <c r="AP76" s="106">
        <v>4</v>
      </c>
      <c r="AQ76" s="106">
        <v>3115.2</v>
      </c>
      <c r="AR76" s="106">
        <v>23.00822784581004</v>
      </c>
      <c r="AS76" s="106">
        <v>17918.807846316857</v>
      </c>
      <c r="AT76" s="106">
        <v>21.008658005342614</v>
      </c>
      <c r="AU76" s="106">
        <v>16361.542854560827</v>
      </c>
      <c r="AV76" s="106">
        <v>29.013657231803187</v>
      </c>
      <c r="AW76" s="106">
        <v>22595.83625212832</v>
      </c>
      <c r="AX76" s="106">
        <v>24.008525935088077</v>
      </c>
      <c r="AY76" s="106">
        <v>18697.839998246593</v>
      </c>
      <c r="AZ76" s="106">
        <v>56</v>
      </c>
      <c r="BA76" s="106">
        <v>43612.799999999996</v>
      </c>
      <c r="BB76" s="106">
        <v>41.004206485518417</v>
      </c>
      <c r="BC76" s="106">
        <v>31934.076010921741</v>
      </c>
      <c r="BD76" s="106">
        <v>63.008681037796464</v>
      </c>
      <c r="BE76" s="106">
        <v>49071.160792235882</v>
      </c>
      <c r="BF76" s="106">
        <v>59.002434775218831</v>
      </c>
      <c r="BG76" s="106">
        <v>45951.096202940425</v>
      </c>
      <c r="BH76" s="106">
        <v>5.0075746500182747</v>
      </c>
      <c r="BI76" s="106">
        <v>3899.8991374342322</v>
      </c>
      <c r="BJ76" s="106">
        <v>5</v>
      </c>
      <c r="BK76" s="106">
        <v>3894</v>
      </c>
      <c r="BL76" s="106">
        <v>6.015300495497895</v>
      </c>
      <c r="BM76" s="106">
        <v>4684.7160258937602</v>
      </c>
      <c r="BN76" s="106">
        <v>4.0051423280709342</v>
      </c>
      <c r="BO76" s="106">
        <v>3119.2048451016435</v>
      </c>
      <c r="BP76" s="106">
        <v>5.0027053114793354</v>
      </c>
      <c r="BQ76" s="106">
        <v>3896.106896580106</v>
      </c>
      <c r="BR76" s="106">
        <v>4</v>
      </c>
      <c r="BS76" s="106">
        <v>3115.2</v>
      </c>
      <c r="BT76" s="106">
        <v>5.0047618859408161</v>
      </c>
      <c r="BU76" s="106">
        <v>3897.7085567707072</v>
      </c>
      <c r="BV76" s="106">
        <v>5</v>
      </c>
      <c r="BW76" s="106">
        <v>3894</v>
      </c>
      <c r="BX76" s="106">
        <v>5</v>
      </c>
      <c r="BY76" s="106">
        <v>3894</v>
      </c>
      <c r="BZ76" s="106">
        <v>6.0063651412098551</v>
      </c>
      <c r="CA76" s="106">
        <v>4677.7571719742346</v>
      </c>
      <c r="CB76" s="106">
        <v>6.0026511995027629</v>
      </c>
      <c r="CC76" s="106">
        <v>4674.8647541727514</v>
      </c>
      <c r="CD76" s="106">
        <v>5.0025531896369086</v>
      </c>
      <c r="CE76" s="106">
        <v>3895.9884240892243</v>
      </c>
      <c r="CF76" s="106">
        <v>26.002666660796521</v>
      </c>
      <c r="CG76" s="106">
        <v>20250.876795428328</v>
      </c>
      <c r="CH76" s="106">
        <v>29.00498441154495</v>
      </c>
      <c r="CI76" s="106">
        <v>22589.081859711205</v>
      </c>
      <c r="CJ76" s="106">
        <v>22.007843036856642</v>
      </c>
      <c r="CK76" s="106">
        <v>17139.708157103953</v>
      </c>
      <c r="CL76" s="106">
        <v>24.004395593528738</v>
      </c>
      <c r="CM76" s="106">
        <v>18694.623288240178</v>
      </c>
      <c r="CN76" s="106">
        <v>3.0027363141643493</v>
      </c>
      <c r="CO76" s="106">
        <v>2338.5310414711953</v>
      </c>
      <c r="CP76" s="106">
        <v>3</v>
      </c>
      <c r="CQ76" s="106">
        <v>2336.3999999999996</v>
      </c>
      <c r="CR76" s="106">
        <v>3</v>
      </c>
      <c r="CS76" s="106">
        <v>2336.3999999999996</v>
      </c>
      <c r="CT76" s="106">
        <v>4.0059332144847826</v>
      </c>
      <c r="CU76" s="106">
        <v>3119.8207874407485</v>
      </c>
    </row>
    <row r="77" spans="2:99" x14ac:dyDescent="0.2">
      <c r="C77" s="105" t="s">
        <v>244</v>
      </c>
      <c r="D77" s="106">
        <v>22.045509777321818</v>
      </c>
      <c r="E77" s="106">
        <v>6137.469922006394</v>
      </c>
      <c r="F77" s="106">
        <v>13.043953217455622</v>
      </c>
      <c r="G77" s="106">
        <v>3631.4365757396449</v>
      </c>
      <c r="H77" s="106">
        <v>15.040151743623117</v>
      </c>
      <c r="I77" s="106">
        <v>4187.178245424675</v>
      </c>
      <c r="J77" s="106">
        <v>23.003560205512265</v>
      </c>
      <c r="K77" s="106">
        <v>6404.1911612146141</v>
      </c>
      <c r="L77" s="106">
        <v>20.005335963158959</v>
      </c>
      <c r="M77" s="106">
        <v>5569.4855321434534</v>
      </c>
      <c r="N77" s="106">
        <v>23</v>
      </c>
      <c r="O77" s="106">
        <v>6403.2</v>
      </c>
      <c r="P77" s="106">
        <v>21</v>
      </c>
      <c r="Q77" s="106">
        <v>5846.4</v>
      </c>
      <c r="R77" s="106">
        <v>24.011456597688792</v>
      </c>
      <c r="S77" s="106">
        <v>6684.7895167965589</v>
      </c>
      <c r="T77" s="106">
        <v>6.0049113141628592</v>
      </c>
      <c r="U77" s="106">
        <v>1671.7673098629398</v>
      </c>
      <c r="V77" s="106">
        <v>6.0026958700294895</v>
      </c>
      <c r="W77" s="106">
        <v>1671.1505302162097</v>
      </c>
      <c r="X77" s="106">
        <v>5.0032285448192884</v>
      </c>
      <c r="Y77" s="106">
        <v>1392.8988268776898</v>
      </c>
      <c r="Z77" s="106">
        <v>6.0026962711010334</v>
      </c>
      <c r="AA77" s="106">
        <v>1671.1506418745275</v>
      </c>
      <c r="AB77" s="106">
        <v>12.005922520381143</v>
      </c>
      <c r="AC77" s="106">
        <v>3342.4488296741097</v>
      </c>
      <c r="AD77" s="106">
        <v>10.006540428061831</v>
      </c>
      <c r="AE77" s="106">
        <v>2785.8208551724133</v>
      </c>
      <c r="AF77" s="106">
        <v>8.0064714791952447</v>
      </c>
      <c r="AG77" s="106">
        <v>2229.001659807956</v>
      </c>
      <c r="AH77" s="106">
        <v>6.0066276550292965</v>
      </c>
      <c r="AI77" s="106">
        <v>1672.245139160156</v>
      </c>
      <c r="AJ77" s="106">
        <v>5.0021582702708933</v>
      </c>
      <c r="AK77" s="106">
        <v>1392.6008624434166</v>
      </c>
      <c r="AL77" s="106">
        <v>4</v>
      </c>
      <c r="AM77" s="106">
        <v>1113.5999999999999</v>
      </c>
      <c r="AN77" s="106">
        <v>4.0049751106499931</v>
      </c>
      <c r="AO77" s="106">
        <v>1114.985070804958</v>
      </c>
      <c r="AP77" s="106">
        <v>3</v>
      </c>
      <c r="AQ77" s="106">
        <v>835.19999999999993</v>
      </c>
      <c r="AR77" s="106">
        <v>27.008333331012732</v>
      </c>
      <c r="AS77" s="106">
        <v>7519.119999353944</v>
      </c>
      <c r="AT77" s="106">
        <v>23.00902906271444</v>
      </c>
      <c r="AU77" s="106">
        <v>6405.7136910596992</v>
      </c>
      <c r="AV77" s="106">
        <v>28.01497042716888</v>
      </c>
      <c r="AW77" s="106">
        <v>7799.3677669238159</v>
      </c>
      <c r="AX77" s="106">
        <v>27.008628657197573</v>
      </c>
      <c r="AY77" s="106">
        <v>7519.202218163804</v>
      </c>
      <c r="AZ77" s="106">
        <v>56</v>
      </c>
      <c r="BA77" s="106">
        <v>15590.399999999998</v>
      </c>
      <c r="BB77" s="106">
        <v>48.004206485518417</v>
      </c>
      <c r="BC77" s="106">
        <v>13364.371085568326</v>
      </c>
      <c r="BD77" s="106">
        <v>63.008681037796464</v>
      </c>
      <c r="BE77" s="106">
        <v>17541.616800922533</v>
      </c>
      <c r="BF77" s="106">
        <v>68.0027826002501</v>
      </c>
      <c r="BG77" s="106">
        <v>18931.974675909627</v>
      </c>
      <c r="BH77" s="106">
        <v>6.0080116490577904</v>
      </c>
      <c r="BI77" s="106">
        <v>1672.6304430976886</v>
      </c>
      <c r="BJ77" s="106">
        <v>5</v>
      </c>
      <c r="BK77" s="106">
        <v>1392</v>
      </c>
      <c r="BL77" s="106">
        <v>6.015300495497895</v>
      </c>
      <c r="BM77" s="106">
        <v>1674.6596579466138</v>
      </c>
      <c r="BN77" s="106">
        <v>4.0053259826448961</v>
      </c>
      <c r="BO77" s="106">
        <v>1115.0827535683391</v>
      </c>
      <c r="BP77" s="106">
        <v>6.0028985480135733</v>
      </c>
      <c r="BQ77" s="106">
        <v>1671.2069557669786</v>
      </c>
      <c r="BR77" s="106">
        <v>5</v>
      </c>
      <c r="BS77" s="106">
        <v>1392</v>
      </c>
      <c r="BT77" s="106">
        <v>6.0055555335976187</v>
      </c>
      <c r="BU77" s="106">
        <v>1671.946660553577</v>
      </c>
      <c r="BV77" s="106">
        <v>5</v>
      </c>
      <c r="BW77" s="106">
        <v>1392</v>
      </c>
      <c r="BX77" s="106">
        <v>5</v>
      </c>
      <c r="BY77" s="106">
        <v>1392</v>
      </c>
      <c r="BZ77" s="106">
        <v>6.0063651412098551</v>
      </c>
      <c r="CA77" s="106">
        <v>1672.1720553128234</v>
      </c>
      <c r="CB77" s="106">
        <v>6.0024854995338401</v>
      </c>
      <c r="CC77" s="106">
        <v>1671.091963070221</v>
      </c>
      <c r="CD77" s="106">
        <v>6.0025531896369086</v>
      </c>
      <c r="CE77" s="106">
        <v>1671.1108079949151</v>
      </c>
      <c r="CF77" s="106">
        <v>27.002962956440577</v>
      </c>
      <c r="CG77" s="106">
        <v>7517.624887073056</v>
      </c>
      <c r="CH77" s="106">
        <v>31.004672885823389</v>
      </c>
      <c r="CI77" s="106">
        <v>8631.7009314132301</v>
      </c>
      <c r="CJ77" s="106">
        <v>27.008556040207246</v>
      </c>
      <c r="CK77" s="106">
        <v>7519.1820015936964</v>
      </c>
      <c r="CL77" s="106">
        <v>26.004395593528738</v>
      </c>
      <c r="CM77" s="106">
        <v>7239.6237332383998</v>
      </c>
      <c r="CN77" s="106">
        <v>3.0027363141643493</v>
      </c>
      <c r="CO77" s="106">
        <v>835.96178986335474</v>
      </c>
      <c r="CP77" s="106">
        <v>4</v>
      </c>
      <c r="CQ77" s="106">
        <v>1113.5999999999999</v>
      </c>
      <c r="CR77" s="106">
        <v>4</v>
      </c>
      <c r="CS77" s="106">
        <v>1113.5999999999999</v>
      </c>
      <c r="CT77" s="106">
        <v>5.0074165181059778</v>
      </c>
      <c r="CU77" s="106">
        <v>1394.064758640704</v>
      </c>
    </row>
    <row r="78" spans="2:99" x14ac:dyDescent="0.2">
      <c r="C78" s="105" t="s">
        <v>245</v>
      </c>
      <c r="D78" s="106">
        <v>21.042981456359495</v>
      </c>
      <c r="E78" s="106">
        <v>11615.725763910441</v>
      </c>
      <c r="F78" s="106">
        <v>11.041860207100592</v>
      </c>
      <c r="G78" s="106">
        <v>6095.1068343195275</v>
      </c>
      <c r="H78" s="106">
        <v>16.035428009079222</v>
      </c>
      <c r="I78" s="106">
        <v>8851.5562610117304</v>
      </c>
      <c r="J78" s="106">
        <v>20.003560205512265</v>
      </c>
      <c r="K78" s="106">
        <v>11041.96523344277</v>
      </c>
      <c r="L78" s="106">
        <v>22.005335963158959</v>
      </c>
      <c r="M78" s="106">
        <v>12146.945451663745</v>
      </c>
      <c r="N78" s="106">
        <v>23</v>
      </c>
      <c r="O78" s="106">
        <v>12696</v>
      </c>
      <c r="P78" s="106">
        <v>19</v>
      </c>
      <c r="Q78" s="106">
        <v>10488</v>
      </c>
      <c r="R78" s="106">
        <v>21.01080193496372</v>
      </c>
      <c r="S78" s="106">
        <v>11597.962668099974</v>
      </c>
      <c r="T78" s="106">
        <v>5.0049113141628592</v>
      </c>
      <c r="U78" s="106">
        <v>2762.7110454178983</v>
      </c>
      <c r="V78" s="106">
        <v>6.0025273781526467</v>
      </c>
      <c r="W78" s="106">
        <v>3313.3951127402611</v>
      </c>
      <c r="X78" s="106">
        <v>5.0032285448192884</v>
      </c>
      <c r="Y78" s="106">
        <v>2761.782156740247</v>
      </c>
      <c r="Z78" s="106">
        <v>7.0026962711010334</v>
      </c>
      <c r="AA78" s="106">
        <v>3865.4883416477705</v>
      </c>
      <c r="AB78" s="106">
        <v>11.005922520381143</v>
      </c>
      <c r="AC78" s="106">
        <v>6075.2692312503905</v>
      </c>
      <c r="AD78" s="106">
        <v>9.0061961950059448</v>
      </c>
      <c r="AE78" s="106">
        <v>4971.4202996432814</v>
      </c>
      <c r="AF78" s="106">
        <v>7.0055469821673526</v>
      </c>
      <c r="AG78" s="106">
        <v>3867.0619341563788</v>
      </c>
      <c r="AH78" s="106">
        <v>6.0062377929687498</v>
      </c>
      <c r="AI78" s="106">
        <v>3315.4432617187499</v>
      </c>
      <c r="AJ78" s="106">
        <v>6.0021582702708933</v>
      </c>
      <c r="AK78" s="106">
        <v>3313.1913651895329</v>
      </c>
      <c r="AL78" s="106">
        <v>4</v>
      </c>
      <c r="AM78" s="106">
        <v>2208</v>
      </c>
      <c r="AN78" s="106">
        <v>5.0049751106499931</v>
      </c>
      <c r="AO78" s="106">
        <v>2762.7462610787961</v>
      </c>
      <c r="AP78" s="106">
        <v>3</v>
      </c>
      <c r="AQ78" s="106">
        <v>1656</v>
      </c>
      <c r="AR78" s="106">
        <v>24.007700419796578</v>
      </c>
      <c r="AS78" s="106">
        <v>13252.250631727711</v>
      </c>
      <c r="AT78" s="106">
        <v>26.009152748505048</v>
      </c>
      <c r="AU78" s="106">
        <v>14357.052317174786</v>
      </c>
      <c r="AV78" s="106">
        <v>29.015758344388296</v>
      </c>
      <c r="AW78" s="106">
        <v>16016.69860610234</v>
      </c>
      <c r="AX78" s="106">
        <v>27.008525935088077</v>
      </c>
      <c r="AY78" s="106">
        <v>14908.706316168618</v>
      </c>
      <c r="AZ78" s="106">
        <v>53</v>
      </c>
      <c r="BA78" s="106">
        <v>29256</v>
      </c>
      <c r="BB78" s="106">
        <v>44.003824077744014</v>
      </c>
      <c r="BC78" s="106">
        <v>24290.110890914697</v>
      </c>
      <c r="BD78" s="106">
        <v>64.008013265658278</v>
      </c>
      <c r="BE78" s="106">
        <v>35332.423322643372</v>
      </c>
      <c r="BF78" s="106">
        <v>53.002782600250093</v>
      </c>
      <c r="BG78" s="106">
        <v>29257.53599533805</v>
      </c>
      <c r="BH78" s="106">
        <v>6.0075746500182747</v>
      </c>
      <c r="BI78" s="106">
        <v>3316.1812068100876</v>
      </c>
      <c r="BJ78" s="106">
        <v>5</v>
      </c>
      <c r="BK78" s="106">
        <v>2760</v>
      </c>
      <c r="BL78" s="106">
        <v>6.0160290905216049</v>
      </c>
      <c r="BM78" s="106">
        <v>3320.8480579679258</v>
      </c>
      <c r="BN78" s="106">
        <v>4.0053259826448961</v>
      </c>
      <c r="BO78" s="106">
        <v>2210.9399424199828</v>
      </c>
      <c r="BP78" s="106">
        <v>6.0025120749450966</v>
      </c>
      <c r="BQ78" s="106">
        <v>3313.3866653696932</v>
      </c>
      <c r="BR78" s="106">
        <v>5</v>
      </c>
      <c r="BS78" s="106">
        <v>2760</v>
      </c>
      <c r="BT78" s="106">
        <v>5.0047618859408161</v>
      </c>
      <c r="BU78" s="106">
        <v>2762.6285610393306</v>
      </c>
      <c r="BV78" s="106">
        <v>5</v>
      </c>
      <c r="BW78" s="106">
        <v>2760</v>
      </c>
      <c r="BX78" s="106">
        <v>5</v>
      </c>
      <c r="BY78" s="106">
        <v>2760</v>
      </c>
      <c r="BZ78" s="106">
        <v>5.0063651412098551</v>
      </c>
      <c r="CA78" s="106">
        <v>2763.5135579478401</v>
      </c>
      <c r="CB78" s="106">
        <v>6.0026511995027629</v>
      </c>
      <c r="CC78" s="106">
        <v>3313.463462125525</v>
      </c>
      <c r="CD78" s="106">
        <v>6.0025531896369086</v>
      </c>
      <c r="CE78" s="106">
        <v>3313.4093606795736</v>
      </c>
      <c r="CF78" s="106">
        <v>25.002962956440577</v>
      </c>
      <c r="CG78" s="106">
        <v>13801.635551955198</v>
      </c>
      <c r="CH78" s="106">
        <v>33.004672885823389</v>
      </c>
      <c r="CI78" s="106">
        <v>18218.579432974511</v>
      </c>
      <c r="CJ78" s="106">
        <v>24.008556040207246</v>
      </c>
      <c r="CK78" s="106">
        <v>13252.7229341944</v>
      </c>
      <c r="CL78" s="106">
        <v>25.004395593528738</v>
      </c>
      <c r="CM78" s="106">
        <v>13802.426367627862</v>
      </c>
      <c r="CN78" s="106">
        <v>3.0029850699974721</v>
      </c>
      <c r="CO78" s="106">
        <v>1657.6477586386045</v>
      </c>
      <c r="CP78" s="106">
        <v>4</v>
      </c>
      <c r="CQ78" s="106">
        <v>2208</v>
      </c>
      <c r="CR78" s="106">
        <v>3</v>
      </c>
      <c r="CS78" s="106">
        <v>1656</v>
      </c>
      <c r="CT78" s="106">
        <v>5.0069220835655797</v>
      </c>
      <c r="CU78" s="106">
        <v>2763.8209901281998</v>
      </c>
    </row>
    <row r="79" spans="2:99" x14ac:dyDescent="0.2">
      <c r="C79" s="105" t="s">
        <v>246</v>
      </c>
      <c r="D79" s="106">
        <v>21.037924814434849</v>
      </c>
      <c r="E79" s="106">
        <v>15929.916669490067</v>
      </c>
      <c r="F79" s="106">
        <v>11.039767196745562</v>
      </c>
      <c r="G79" s="106">
        <v>8359.3117213757378</v>
      </c>
      <c r="H79" s="106">
        <v>16.040151743623117</v>
      </c>
      <c r="I79" s="106">
        <v>12145.602900271422</v>
      </c>
      <c r="J79" s="106">
        <v>20.002931933951277</v>
      </c>
      <c r="K79" s="106">
        <v>15146.220060387906</v>
      </c>
      <c r="L79" s="106">
        <v>20.004743078363521</v>
      </c>
      <c r="M79" s="106">
        <v>15147.591458936857</v>
      </c>
      <c r="N79" s="106">
        <v>23</v>
      </c>
      <c r="O79" s="106">
        <v>17415.599999999999</v>
      </c>
      <c r="P79" s="106">
        <v>20</v>
      </c>
      <c r="Q79" s="106">
        <v>15143.999999999998</v>
      </c>
      <c r="R79" s="106">
        <v>21.00981994087611</v>
      </c>
      <c r="S79" s="106">
        <v>15908.63565923139</v>
      </c>
      <c r="T79" s="106">
        <v>5.0046384633760344</v>
      </c>
      <c r="U79" s="106">
        <v>3789.5122444683329</v>
      </c>
      <c r="V79" s="106">
        <v>6.0023588862758031</v>
      </c>
      <c r="W79" s="106">
        <v>4544.9861486880372</v>
      </c>
      <c r="X79" s="106">
        <v>5.0028886979962053</v>
      </c>
      <c r="Y79" s="106">
        <v>3788.1873221227261</v>
      </c>
      <c r="Z79" s="106">
        <v>6.0026962711010334</v>
      </c>
      <c r="AA79" s="106">
        <v>4545.2416164777023</v>
      </c>
      <c r="AB79" s="106">
        <v>10.005011363399429</v>
      </c>
      <c r="AC79" s="106">
        <v>7575.7946043660468</v>
      </c>
      <c r="AD79" s="106">
        <v>9.0055077288941732</v>
      </c>
      <c r="AE79" s="106">
        <v>6818.9704523186674</v>
      </c>
      <c r="AF79" s="106">
        <v>8.0061633135192807</v>
      </c>
      <c r="AG79" s="106">
        <v>6062.2668609967986</v>
      </c>
      <c r="AH79" s="106">
        <v>6.0062377929687498</v>
      </c>
      <c r="AI79" s="106">
        <v>4547.9232568359366</v>
      </c>
      <c r="AJ79" s="106">
        <v>6.0019184624630162</v>
      </c>
      <c r="AK79" s="106">
        <v>4544.6526597769953</v>
      </c>
      <c r="AL79" s="106">
        <v>4</v>
      </c>
      <c r="AM79" s="106">
        <v>3028.7999999999997</v>
      </c>
      <c r="AN79" s="106">
        <v>4.0043117625633275</v>
      </c>
      <c r="AO79" s="106">
        <v>3032.0648666129514</v>
      </c>
      <c r="AP79" s="106">
        <v>3</v>
      </c>
      <c r="AQ79" s="106">
        <v>2271.6</v>
      </c>
      <c r="AR79" s="106">
        <v>23.008122360607349</v>
      </c>
      <c r="AS79" s="106">
        <v>17421.750251451882</v>
      </c>
      <c r="AT79" s="106">
        <v>23.008534319552005</v>
      </c>
      <c r="AU79" s="106">
        <v>17422.062186764775</v>
      </c>
      <c r="AV79" s="106">
        <v>30.014445149022603</v>
      </c>
      <c r="AW79" s="106">
        <v>22726.937866839911</v>
      </c>
      <c r="AX79" s="106">
        <v>25.008731379307068</v>
      </c>
      <c r="AY79" s="106">
        <v>18936.611400411311</v>
      </c>
      <c r="AZ79" s="106">
        <v>56</v>
      </c>
      <c r="BA79" s="106">
        <v>42403.199999999997</v>
      </c>
      <c r="BB79" s="106">
        <v>39.003824077744014</v>
      </c>
      <c r="BC79" s="106">
        <v>29533.695591667765</v>
      </c>
      <c r="BD79" s="106">
        <v>58.008681037796464</v>
      </c>
      <c r="BE79" s="106">
        <v>43924.17328181948</v>
      </c>
      <c r="BF79" s="106">
        <v>50.002434775218831</v>
      </c>
      <c r="BG79" s="106">
        <v>37861.843611795695</v>
      </c>
      <c r="BH79" s="106">
        <v>6.0080116490577904</v>
      </c>
      <c r="BI79" s="106">
        <v>4549.2664206665586</v>
      </c>
      <c r="BJ79" s="106">
        <v>5</v>
      </c>
      <c r="BK79" s="106">
        <v>3785.9999999999995</v>
      </c>
      <c r="BL79" s="106">
        <v>6.014571900474186</v>
      </c>
      <c r="BM79" s="106">
        <v>4554.2338430390528</v>
      </c>
      <c r="BN79" s="106">
        <v>4.0051423280709342</v>
      </c>
      <c r="BO79" s="106">
        <v>3032.6937708153109</v>
      </c>
      <c r="BP79" s="106">
        <v>5.0027053114793354</v>
      </c>
      <c r="BQ79" s="106">
        <v>3788.0484618521523</v>
      </c>
      <c r="BR79" s="106">
        <v>4</v>
      </c>
      <c r="BS79" s="106">
        <v>3028.7999999999997</v>
      </c>
      <c r="BT79" s="106">
        <v>5.0055555335976187</v>
      </c>
      <c r="BU79" s="106">
        <v>3790.2066500401165</v>
      </c>
      <c r="BV79" s="106">
        <v>5</v>
      </c>
      <c r="BW79" s="106">
        <v>3785.9999999999995</v>
      </c>
      <c r="BX79" s="106">
        <v>5</v>
      </c>
      <c r="BY79" s="106">
        <v>3785.9999999999995</v>
      </c>
      <c r="BZ79" s="106">
        <v>5.0063651412098551</v>
      </c>
      <c r="CA79" s="106">
        <v>3790.8196849241021</v>
      </c>
      <c r="CB79" s="106">
        <v>6.0024854995338401</v>
      </c>
      <c r="CC79" s="106">
        <v>4545.0820202470231</v>
      </c>
      <c r="CD79" s="106">
        <v>6.0027234022793694</v>
      </c>
      <c r="CE79" s="106">
        <v>4545.262160205938</v>
      </c>
      <c r="CF79" s="106">
        <v>23.002666660796521</v>
      </c>
      <c r="CG79" s="106">
        <v>17417.619195555126</v>
      </c>
      <c r="CH79" s="106">
        <v>31.004672885823389</v>
      </c>
      <c r="CI79" s="106">
        <v>23476.738309145469</v>
      </c>
      <c r="CJ79" s="106">
        <v>23.007843036856642</v>
      </c>
      <c r="CK79" s="106">
        <v>17421.538747507846</v>
      </c>
      <c r="CL79" s="106">
        <v>27.005023535461415</v>
      </c>
      <c r="CM79" s="106">
        <v>20448.203821051382</v>
      </c>
      <c r="CN79" s="106">
        <v>3.0029850699974721</v>
      </c>
      <c r="CO79" s="106">
        <v>2273.8602950020854</v>
      </c>
      <c r="CP79" s="106">
        <v>4</v>
      </c>
      <c r="CQ79" s="106">
        <v>3028.7999999999997</v>
      </c>
      <c r="CR79" s="106">
        <v>3</v>
      </c>
      <c r="CS79" s="106">
        <v>2271.6</v>
      </c>
      <c r="CT79" s="106">
        <v>5.0064276490251807</v>
      </c>
      <c r="CU79" s="106">
        <v>3790.8670158418663</v>
      </c>
    </row>
    <row r="80" spans="2:99" x14ac:dyDescent="0.2">
      <c r="C80" s="105" t="s">
        <v>247</v>
      </c>
      <c r="D80" s="106">
        <v>19.037924814434849</v>
      </c>
      <c r="E80" s="106">
        <v>15329.337060582939</v>
      </c>
      <c r="F80" s="106">
        <v>11.039767196745562</v>
      </c>
      <c r="G80" s="106">
        <v>8889.2205468195261</v>
      </c>
      <c r="H80" s="106">
        <v>14.040151743623117</v>
      </c>
      <c r="I80" s="106">
        <v>11305.130183965333</v>
      </c>
      <c r="J80" s="106">
        <v>19.002931933951277</v>
      </c>
      <c r="K80" s="106">
        <v>15301.160793217567</v>
      </c>
      <c r="L80" s="106">
        <v>20.004347821833228</v>
      </c>
      <c r="M80" s="106">
        <v>16107.500866140113</v>
      </c>
      <c r="N80" s="106">
        <v>21</v>
      </c>
      <c r="O80" s="106">
        <v>16909.199999999997</v>
      </c>
      <c r="P80" s="106">
        <v>20</v>
      </c>
      <c r="Q80" s="106">
        <v>16103.999999999998</v>
      </c>
      <c r="R80" s="106">
        <v>21.009492609513572</v>
      </c>
      <c r="S80" s="106">
        <v>16916.843449180327</v>
      </c>
      <c r="T80" s="106">
        <v>5.0051841649496849</v>
      </c>
      <c r="U80" s="106">
        <v>4030.174289617486</v>
      </c>
      <c r="V80" s="106">
        <v>6.0023588862758031</v>
      </c>
      <c r="W80" s="106">
        <v>4833.0993752292761</v>
      </c>
      <c r="X80" s="106">
        <v>5.0030586214077468</v>
      </c>
      <c r="Y80" s="106">
        <v>4028.4628019575175</v>
      </c>
      <c r="Z80" s="106">
        <v>6.0026962711010334</v>
      </c>
      <c r="AA80" s="106">
        <v>4833.3710374905513</v>
      </c>
      <c r="AB80" s="106">
        <v>9.0059225203811426</v>
      </c>
      <c r="AC80" s="106">
        <v>7251.568813410895</v>
      </c>
      <c r="AD80" s="106">
        <v>10.006196195005945</v>
      </c>
      <c r="AE80" s="106">
        <v>8056.9891762187863</v>
      </c>
      <c r="AF80" s="106">
        <v>7.0061633135192807</v>
      </c>
      <c r="AG80" s="106">
        <v>5641.3627000457245</v>
      </c>
      <c r="AH80" s="106">
        <v>6.0058479309082031</v>
      </c>
      <c r="AI80" s="106">
        <v>4835.9087539672846</v>
      </c>
      <c r="AJ80" s="106">
        <v>5.0019184624630162</v>
      </c>
      <c r="AK80" s="106">
        <v>4027.5447459752204</v>
      </c>
      <c r="AL80" s="106">
        <v>4</v>
      </c>
      <c r="AM80" s="106">
        <v>3220.7999999999997</v>
      </c>
      <c r="AN80" s="106">
        <v>5.0049751106499931</v>
      </c>
      <c r="AO80" s="106">
        <v>4030.0059590953742</v>
      </c>
      <c r="AP80" s="106">
        <v>3</v>
      </c>
      <c r="AQ80" s="106">
        <v>2415.6</v>
      </c>
      <c r="AR80" s="106">
        <v>24.00706750858042</v>
      </c>
      <c r="AS80" s="106">
        <v>19330.490757908952</v>
      </c>
      <c r="AT80" s="106">
        <v>25.008039576389571</v>
      </c>
      <c r="AU80" s="106">
        <v>20136.473466908879</v>
      </c>
      <c r="AV80" s="106">
        <v>30.01497042716888</v>
      </c>
      <c r="AW80" s="106">
        <v>24168.054187956379</v>
      </c>
      <c r="AX80" s="106">
        <v>27.008423212978581</v>
      </c>
      <c r="AY80" s="106">
        <v>21747.182371090352</v>
      </c>
      <c r="AZ80" s="106">
        <v>50</v>
      </c>
      <c r="BA80" s="106">
        <v>40260</v>
      </c>
      <c r="BB80" s="106">
        <v>38.004206485518417</v>
      </c>
      <c r="BC80" s="106">
        <v>30600.987062139426</v>
      </c>
      <c r="BD80" s="106">
        <v>55.008681037796464</v>
      </c>
      <c r="BE80" s="106">
        <v>44292.98997163371</v>
      </c>
      <c r="BF80" s="106">
        <v>60.002434775218831</v>
      </c>
      <c r="BG80" s="106">
        <v>48313.960481006201</v>
      </c>
      <c r="BH80" s="106">
        <v>6.0078659827112855</v>
      </c>
      <c r="BI80" s="106">
        <v>4837.5336892791265</v>
      </c>
      <c r="BJ80" s="106">
        <v>5</v>
      </c>
      <c r="BK80" s="106">
        <v>4025.9999999999995</v>
      </c>
      <c r="BL80" s="106">
        <v>6.0134790079386224</v>
      </c>
      <c r="BM80" s="106">
        <v>4842.0532971921784</v>
      </c>
      <c r="BN80" s="106">
        <v>4.0047750189230102</v>
      </c>
      <c r="BO80" s="106">
        <v>3224.6448452368077</v>
      </c>
      <c r="BP80" s="106">
        <v>5.0027053114793354</v>
      </c>
      <c r="BQ80" s="106">
        <v>4028.1783168031607</v>
      </c>
      <c r="BR80" s="106">
        <v>4</v>
      </c>
      <c r="BS80" s="106">
        <v>3220.7999999999997</v>
      </c>
      <c r="BT80" s="106">
        <v>4.0051587097692174</v>
      </c>
      <c r="BU80" s="106">
        <v>3224.9537931061736</v>
      </c>
      <c r="BV80" s="106">
        <v>5</v>
      </c>
      <c r="BW80" s="106">
        <v>4025.9999999999995</v>
      </c>
      <c r="BX80" s="106">
        <v>5</v>
      </c>
      <c r="BY80" s="106">
        <v>4025.9999999999995</v>
      </c>
      <c r="BZ80" s="106">
        <v>6.0056951263456604</v>
      </c>
      <c r="CA80" s="106">
        <v>4835.7857157335256</v>
      </c>
      <c r="CB80" s="106">
        <v>6.0023197995649173</v>
      </c>
      <c r="CC80" s="106">
        <v>4833.0679026096714</v>
      </c>
      <c r="CD80" s="106">
        <v>5.0023829769944479</v>
      </c>
      <c r="CE80" s="106">
        <v>4027.918773075929</v>
      </c>
      <c r="CF80" s="106">
        <v>26.002666660796521</v>
      </c>
      <c r="CG80" s="106">
        <v>20937.347195273356</v>
      </c>
      <c r="CH80" s="106">
        <v>28.00498441154495</v>
      </c>
      <c r="CI80" s="106">
        <v>22549.613448175991</v>
      </c>
      <c r="CJ80" s="106">
        <v>23.007843036856642</v>
      </c>
      <c r="CK80" s="106">
        <v>18525.915213276967</v>
      </c>
      <c r="CL80" s="106">
        <v>25.004395593528738</v>
      </c>
      <c r="CM80" s="106">
        <v>20133.539331909338</v>
      </c>
      <c r="CN80" s="106">
        <v>3.0027363141643493</v>
      </c>
      <c r="CO80" s="106">
        <v>2417.8032801651339</v>
      </c>
      <c r="CP80" s="106">
        <v>4</v>
      </c>
      <c r="CQ80" s="106">
        <v>3220.7999999999997</v>
      </c>
      <c r="CR80" s="106">
        <v>4</v>
      </c>
      <c r="CS80" s="106">
        <v>3220.7999999999997</v>
      </c>
      <c r="CT80" s="106">
        <v>5.0069220835655797</v>
      </c>
      <c r="CU80" s="106">
        <v>4031.5736616870045</v>
      </c>
    </row>
    <row r="81" spans="2:99" x14ac:dyDescent="0.2">
      <c r="C81" s="105" t="s">
        <v>248</v>
      </c>
      <c r="D81" s="106">
        <v>21.042981456359495</v>
      </c>
      <c r="E81" s="106">
        <v>15857.990825512516</v>
      </c>
      <c r="F81" s="106">
        <v>12.039767196745562</v>
      </c>
      <c r="G81" s="106">
        <v>9073.1685594674545</v>
      </c>
      <c r="H81" s="106">
        <v>15.035428009079221</v>
      </c>
      <c r="I81" s="106">
        <v>11330.698547642101</v>
      </c>
      <c r="J81" s="106">
        <v>21.002931933951277</v>
      </c>
      <c r="K81" s="106">
        <v>15827.809505425683</v>
      </c>
      <c r="L81" s="106">
        <v>20.005138334893815</v>
      </c>
      <c r="M81" s="106">
        <v>15075.87224917598</v>
      </c>
      <c r="N81" s="106">
        <v>21</v>
      </c>
      <c r="O81" s="106">
        <v>15825.6</v>
      </c>
      <c r="P81" s="106">
        <v>18</v>
      </c>
      <c r="Q81" s="106">
        <v>13564.800000000001</v>
      </c>
      <c r="R81" s="106">
        <v>22.009492609513572</v>
      </c>
      <c r="S81" s="106">
        <v>16586.353630529429</v>
      </c>
      <c r="T81" s="106">
        <v>5.0049113141628592</v>
      </c>
      <c r="U81" s="106">
        <v>3771.7011663531307</v>
      </c>
      <c r="V81" s="106">
        <v>5.0026958700294895</v>
      </c>
      <c r="W81" s="106">
        <v>3770.0316076542235</v>
      </c>
      <c r="X81" s="106">
        <v>5.0030586214077468</v>
      </c>
      <c r="Y81" s="106">
        <v>3770.3049770928783</v>
      </c>
      <c r="Z81" s="106">
        <v>7.0026962711010334</v>
      </c>
      <c r="AA81" s="106">
        <v>5277.2319099017386</v>
      </c>
      <c r="AB81" s="106">
        <v>10.005466941890285</v>
      </c>
      <c r="AC81" s="106">
        <v>7540.1198874085194</v>
      </c>
      <c r="AD81" s="106">
        <v>9.0061961950059448</v>
      </c>
      <c r="AE81" s="106">
        <v>6787.0694525564804</v>
      </c>
      <c r="AF81" s="106">
        <v>7.0052388164913886</v>
      </c>
      <c r="AG81" s="106">
        <v>5279.1479721079104</v>
      </c>
      <c r="AH81" s="106">
        <v>6.0066276550292965</v>
      </c>
      <c r="AI81" s="106">
        <v>4526.594600830078</v>
      </c>
      <c r="AJ81" s="106">
        <v>5.0021582702708933</v>
      </c>
      <c r="AK81" s="106">
        <v>3769.6264724761454</v>
      </c>
      <c r="AL81" s="106">
        <v>4</v>
      </c>
      <c r="AM81" s="106">
        <v>3014.4</v>
      </c>
      <c r="AN81" s="106">
        <v>4.0046434366066599</v>
      </c>
      <c r="AO81" s="106">
        <v>3017.8992938267788</v>
      </c>
      <c r="AP81" s="106">
        <v>3</v>
      </c>
      <c r="AQ81" s="106">
        <v>2260.8000000000002</v>
      </c>
      <c r="AR81" s="106">
        <v>22.007700419796578</v>
      </c>
      <c r="AS81" s="106">
        <v>16585.003036358703</v>
      </c>
      <c r="AT81" s="106">
        <v>24.007544833227133</v>
      </c>
      <c r="AU81" s="106">
        <v>18092.085786319967</v>
      </c>
      <c r="AV81" s="106">
        <v>29.014707788095741</v>
      </c>
      <c r="AW81" s="106">
        <v>21865.483789108952</v>
      </c>
      <c r="AX81" s="106">
        <v>24.008834101416561</v>
      </c>
      <c r="AY81" s="106">
        <v>18093.057378827521</v>
      </c>
      <c r="AZ81" s="106">
        <v>50</v>
      </c>
      <c r="BA81" s="106">
        <v>37680</v>
      </c>
      <c r="BB81" s="106">
        <v>46.004206485518417</v>
      </c>
      <c r="BC81" s="106">
        <v>34668.770007486681</v>
      </c>
      <c r="BD81" s="106">
        <v>60.008013265658278</v>
      </c>
      <c r="BE81" s="106">
        <v>45222.038797000081</v>
      </c>
      <c r="BF81" s="106">
        <v>54.002434775218831</v>
      </c>
      <c r="BG81" s="106">
        <v>40696.234846604915</v>
      </c>
      <c r="BH81" s="106">
        <v>5.0084486480973061</v>
      </c>
      <c r="BI81" s="106">
        <v>3774.36690120613</v>
      </c>
      <c r="BJ81" s="106">
        <v>5</v>
      </c>
      <c r="BK81" s="106">
        <v>3768</v>
      </c>
      <c r="BL81" s="106">
        <v>6.013843305450477</v>
      </c>
      <c r="BM81" s="106">
        <v>4532.0323149874794</v>
      </c>
      <c r="BN81" s="106">
        <v>5.0055096372188581</v>
      </c>
      <c r="BO81" s="106">
        <v>3772.1520626081315</v>
      </c>
      <c r="BP81" s="106">
        <v>6.0028985480135733</v>
      </c>
      <c r="BQ81" s="106">
        <v>4523.7843457830286</v>
      </c>
      <c r="BR81" s="106">
        <v>5</v>
      </c>
      <c r="BS81" s="106">
        <v>3768</v>
      </c>
      <c r="BT81" s="106">
        <v>5.0047618859408161</v>
      </c>
      <c r="BU81" s="106">
        <v>3771.5885572449993</v>
      </c>
      <c r="BV81" s="106">
        <v>5</v>
      </c>
      <c r="BW81" s="106">
        <v>3768</v>
      </c>
      <c r="BX81" s="106">
        <v>4</v>
      </c>
      <c r="BY81" s="106">
        <v>3014.4</v>
      </c>
      <c r="BZ81" s="106">
        <v>6.0067001486419533</v>
      </c>
      <c r="CA81" s="106">
        <v>4526.6492320165762</v>
      </c>
      <c r="CB81" s="106">
        <v>5.0024854995338401</v>
      </c>
      <c r="CC81" s="106">
        <v>3769.8730724487023</v>
      </c>
      <c r="CD81" s="106">
        <v>5.0025531896369086</v>
      </c>
      <c r="CE81" s="106">
        <v>3769.9240837103744</v>
      </c>
      <c r="CF81" s="106">
        <v>22.002666660796521</v>
      </c>
      <c r="CG81" s="106">
        <v>16581.20959557626</v>
      </c>
      <c r="CH81" s="106">
        <v>34.004672885823389</v>
      </c>
      <c r="CI81" s="106">
        <v>25625.921486756506</v>
      </c>
      <c r="CJ81" s="106">
        <v>22.007843036856642</v>
      </c>
      <c r="CK81" s="106">
        <v>16585.110512575167</v>
      </c>
      <c r="CL81" s="106">
        <v>23.004395593528738</v>
      </c>
      <c r="CM81" s="106">
        <v>17336.112519283259</v>
      </c>
      <c r="CN81" s="106">
        <v>3.0027363141643493</v>
      </c>
      <c r="CO81" s="106">
        <v>2262.8620863542537</v>
      </c>
      <c r="CP81" s="106">
        <v>3</v>
      </c>
      <c r="CQ81" s="106">
        <v>2260.8000000000002</v>
      </c>
      <c r="CR81" s="106">
        <v>3</v>
      </c>
      <c r="CS81" s="106">
        <v>2260.8000000000002</v>
      </c>
      <c r="CT81" s="106">
        <v>5.0069220835655797</v>
      </c>
      <c r="CU81" s="106">
        <v>3773.2164821750212</v>
      </c>
    </row>
    <row r="82" spans="2:99" x14ac:dyDescent="0.2">
      <c r="C82" s="105" t="s">
        <v>249</v>
      </c>
      <c r="D82" s="106">
        <v>19.042981456359495</v>
      </c>
      <c r="E82" s="106">
        <v>9689.0689649957094</v>
      </c>
      <c r="F82" s="106">
        <v>12.043953217455622</v>
      </c>
      <c r="G82" s="106">
        <v>6127.9633970414188</v>
      </c>
      <c r="H82" s="106">
        <v>15.035428009079221</v>
      </c>
      <c r="I82" s="106">
        <v>7650.0257710195056</v>
      </c>
      <c r="J82" s="106">
        <v>22.003141357804939</v>
      </c>
      <c r="K82" s="106">
        <v>11195.198322851151</v>
      </c>
      <c r="L82" s="106">
        <v>22.004940706628666</v>
      </c>
      <c r="M82" s="106">
        <v>11196.113831532663</v>
      </c>
      <c r="N82" s="106">
        <v>22</v>
      </c>
      <c r="O82" s="106">
        <v>11193.599999999999</v>
      </c>
      <c r="P82" s="106">
        <v>21</v>
      </c>
      <c r="Q82" s="106">
        <v>10684.799999999997</v>
      </c>
      <c r="R82" s="106">
        <v>22.011129266326257</v>
      </c>
      <c r="S82" s="106">
        <v>11199.262570706798</v>
      </c>
      <c r="T82" s="106">
        <v>6.0049113141628592</v>
      </c>
      <c r="U82" s="106">
        <v>3055.2988766460621</v>
      </c>
      <c r="V82" s="106">
        <v>6.0025273781526467</v>
      </c>
      <c r="W82" s="106">
        <v>3054.0859300040661</v>
      </c>
      <c r="X82" s="106">
        <v>5.0030586214077468</v>
      </c>
      <c r="Y82" s="106">
        <v>2545.556226572261</v>
      </c>
      <c r="Z82" s="106">
        <v>7.0026962711010334</v>
      </c>
      <c r="AA82" s="106">
        <v>3562.9718627362049</v>
      </c>
      <c r="AB82" s="106">
        <v>11.005922520381143</v>
      </c>
      <c r="AC82" s="106">
        <v>5599.8133783699241</v>
      </c>
      <c r="AD82" s="106">
        <v>9.0055077288941732</v>
      </c>
      <c r="AE82" s="106">
        <v>4582.0023324613539</v>
      </c>
      <c r="AF82" s="106">
        <v>8.0061633135192807</v>
      </c>
      <c r="AG82" s="106">
        <v>4073.535893918609</v>
      </c>
      <c r="AH82" s="106">
        <v>5.0058479309082031</v>
      </c>
      <c r="AI82" s="106">
        <v>2546.9754272460932</v>
      </c>
      <c r="AJ82" s="106">
        <v>5.0019184624630162</v>
      </c>
      <c r="AK82" s="106">
        <v>2544.9761137011819</v>
      </c>
      <c r="AL82" s="106">
        <v>4</v>
      </c>
      <c r="AM82" s="106">
        <v>2035.1999999999996</v>
      </c>
      <c r="AN82" s="106">
        <v>4.0046434366066599</v>
      </c>
      <c r="AO82" s="106">
        <v>2037.5625805454681</v>
      </c>
      <c r="AP82" s="106">
        <v>3</v>
      </c>
      <c r="AQ82" s="106">
        <v>1526.3999999999996</v>
      </c>
      <c r="AR82" s="106">
        <v>26.008860757026198</v>
      </c>
      <c r="AS82" s="106">
        <v>13233.308353174927</v>
      </c>
      <c r="AT82" s="106">
        <v>23.008658005342614</v>
      </c>
      <c r="AU82" s="106">
        <v>11706.80519311832</v>
      </c>
      <c r="AV82" s="106">
        <v>32.014707788095741</v>
      </c>
      <c r="AW82" s="106">
        <v>16289.08332258311</v>
      </c>
      <c r="AX82" s="106">
        <v>29.009347711964036</v>
      </c>
      <c r="AY82" s="106">
        <v>14759.956115847299</v>
      </c>
      <c r="AZ82" s="106">
        <v>53</v>
      </c>
      <c r="BA82" s="106">
        <v>26966.399999999994</v>
      </c>
      <c r="BB82" s="106">
        <v>43.003824077744014</v>
      </c>
      <c r="BC82" s="106">
        <v>21880.345690756149</v>
      </c>
      <c r="BD82" s="106">
        <v>69.008681037796464</v>
      </c>
      <c r="BE82" s="106">
        <v>35111.616912030833</v>
      </c>
      <c r="BF82" s="106">
        <v>62.002782600250093</v>
      </c>
      <c r="BG82" s="106">
        <v>31547.01578700724</v>
      </c>
      <c r="BH82" s="106">
        <v>6.0088856471368226</v>
      </c>
      <c r="BI82" s="106">
        <v>3057.3210172632148</v>
      </c>
      <c r="BJ82" s="106">
        <v>5</v>
      </c>
      <c r="BK82" s="106">
        <v>2543.9999999999995</v>
      </c>
      <c r="BL82" s="106">
        <v>6.0149361979860405</v>
      </c>
      <c r="BM82" s="106">
        <v>3060.399537535297</v>
      </c>
      <c r="BN82" s="106">
        <v>4.0053259826448961</v>
      </c>
      <c r="BO82" s="106">
        <v>2037.9098599697227</v>
      </c>
      <c r="BP82" s="106">
        <v>5.0028985480135733</v>
      </c>
      <c r="BQ82" s="106">
        <v>2545.4747812293053</v>
      </c>
      <c r="BR82" s="106">
        <v>5</v>
      </c>
      <c r="BS82" s="106">
        <v>2543.9999999999995</v>
      </c>
      <c r="BT82" s="106">
        <v>5.0055555335976187</v>
      </c>
      <c r="BU82" s="106">
        <v>2546.826655494468</v>
      </c>
      <c r="BV82" s="106">
        <v>5</v>
      </c>
      <c r="BW82" s="106">
        <v>2543.9999999999995</v>
      </c>
      <c r="BX82" s="106">
        <v>5</v>
      </c>
      <c r="BY82" s="106">
        <v>2543.9999999999995</v>
      </c>
      <c r="BZ82" s="106">
        <v>5.0063651412098551</v>
      </c>
      <c r="CA82" s="106">
        <v>2547.2385838475739</v>
      </c>
      <c r="CB82" s="106">
        <v>6.0024854995338401</v>
      </c>
      <c r="CC82" s="106">
        <v>3054.0646221628172</v>
      </c>
      <c r="CD82" s="106">
        <v>6.0027234022793694</v>
      </c>
      <c r="CE82" s="106">
        <v>3054.1856670797424</v>
      </c>
      <c r="CF82" s="106">
        <v>27.002666660796521</v>
      </c>
      <c r="CG82" s="106">
        <v>13738.956797013267</v>
      </c>
      <c r="CH82" s="106">
        <v>35.004672885823389</v>
      </c>
      <c r="CI82" s="106">
        <v>17810.377564306938</v>
      </c>
      <c r="CJ82" s="106">
        <v>25.009269043557847</v>
      </c>
      <c r="CK82" s="106">
        <v>12724.716089362229</v>
      </c>
      <c r="CL82" s="106">
        <v>29.004709564495077</v>
      </c>
      <c r="CM82" s="106">
        <v>14757.596226415091</v>
      </c>
      <c r="CN82" s="106">
        <v>3.0027363141643493</v>
      </c>
      <c r="CO82" s="106">
        <v>1527.7922366468206</v>
      </c>
      <c r="CP82" s="106">
        <v>3</v>
      </c>
      <c r="CQ82" s="106">
        <v>1526.3999999999996</v>
      </c>
      <c r="CR82" s="106">
        <v>3</v>
      </c>
      <c r="CS82" s="106">
        <v>1526.3999999999996</v>
      </c>
      <c r="CT82" s="106">
        <v>5.0069220835655797</v>
      </c>
      <c r="CU82" s="106">
        <v>2547.5219561181666</v>
      </c>
    </row>
    <row r="83" spans="2:99" x14ac:dyDescent="0.2">
      <c r="C83" s="105" t="s">
        <v>250</v>
      </c>
      <c r="D83" s="106">
        <v>21.037924814434849</v>
      </c>
      <c r="E83" s="106">
        <v>18101.030510339744</v>
      </c>
      <c r="F83" s="106">
        <v>11.043953217455622</v>
      </c>
      <c r="G83" s="106">
        <v>9502.2173482988164</v>
      </c>
      <c r="H83" s="106">
        <v>16.040151743623117</v>
      </c>
      <c r="I83" s="106">
        <v>13800.94656021333</v>
      </c>
      <c r="J83" s="106">
        <v>19.0033507816586</v>
      </c>
      <c r="K83" s="106">
        <v>16350.48301253906</v>
      </c>
      <c r="L83" s="106">
        <v>22.004545450098373</v>
      </c>
      <c r="M83" s="106">
        <v>18932.710905264641</v>
      </c>
      <c r="N83" s="106">
        <v>22</v>
      </c>
      <c r="O83" s="106">
        <v>18928.8</v>
      </c>
      <c r="P83" s="106">
        <v>21</v>
      </c>
      <c r="Q83" s="106">
        <v>18068.399999999998</v>
      </c>
      <c r="R83" s="106">
        <v>23.009165278151034</v>
      </c>
      <c r="S83" s="106">
        <v>19797.085805321149</v>
      </c>
      <c r="T83" s="106">
        <v>5.0054570157365106</v>
      </c>
      <c r="U83" s="106">
        <v>4306.6952163396936</v>
      </c>
      <c r="V83" s="106">
        <v>6.0026958700294895</v>
      </c>
      <c r="W83" s="106">
        <v>5164.7195265733726</v>
      </c>
      <c r="X83" s="106">
        <v>5.0030586214077468</v>
      </c>
      <c r="Y83" s="106">
        <v>4304.6316378592255</v>
      </c>
      <c r="Z83" s="106">
        <v>7.0025376669186192</v>
      </c>
      <c r="AA83" s="106">
        <v>6024.9834086167803</v>
      </c>
      <c r="AB83" s="106">
        <v>10.005922520381143</v>
      </c>
      <c r="AC83" s="106">
        <v>8609.0957365359354</v>
      </c>
      <c r="AD83" s="106">
        <v>8.005851961950059</v>
      </c>
      <c r="AE83" s="106">
        <v>6888.2350280618302</v>
      </c>
      <c r="AF83" s="106">
        <v>7.0061633135192807</v>
      </c>
      <c r="AG83" s="106">
        <v>6028.1029149519891</v>
      </c>
      <c r="AH83" s="106">
        <v>6.0062377929687498</v>
      </c>
      <c r="AI83" s="106">
        <v>5167.7669970703118</v>
      </c>
      <c r="AJ83" s="106">
        <v>5.0021582702708933</v>
      </c>
      <c r="AK83" s="106">
        <v>4303.8569757410769</v>
      </c>
      <c r="AL83" s="106">
        <v>3</v>
      </c>
      <c r="AM83" s="106">
        <v>2581.1999999999998</v>
      </c>
      <c r="AN83" s="106">
        <v>4.0046434366066599</v>
      </c>
      <c r="AO83" s="106">
        <v>3445.5952128563699</v>
      </c>
      <c r="AP83" s="106">
        <v>3</v>
      </c>
      <c r="AQ83" s="106">
        <v>2581.1999999999998</v>
      </c>
      <c r="AR83" s="106">
        <v>24.008544301418119</v>
      </c>
      <c r="AS83" s="106">
        <v>20656.951516940149</v>
      </c>
      <c r="AT83" s="106">
        <v>23.007544833227133</v>
      </c>
      <c r="AU83" s="106">
        <v>19795.691574508626</v>
      </c>
      <c r="AV83" s="106">
        <v>26.014707788095741</v>
      </c>
      <c r="AW83" s="106">
        <v>22383.054580877575</v>
      </c>
      <c r="AX83" s="106">
        <v>26.008936823526057</v>
      </c>
      <c r="AY83" s="106">
        <v>22378.089242961818</v>
      </c>
      <c r="AZ83" s="106">
        <v>50</v>
      </c>
      <c r="BA83" s="106">
        <v>43020</v>
      </c>
      <c r="BB83" s="106">
        <v>43.004206485518417</v>
      </c>
      <c r="BC83" s="106">
        <v>37000.819260140044</v>
      </c>
      <c r="BD83" s="106">
        <v>65.008681037796464</v>
      </c>
      <c r="BE83" s="106">
        <v>55933.469164920076</v>
      </c>
      <c r="BF83" s="106">
        <v>54.002782600250093</v>
      </c>
      <c r="BG83" s="106">
        <v>46463.994149255181</v>
      </c>
      <c r="BH83" s="106">
        <v>5.0084486480973061</v>
      </c>
      <c r="BI83" s="106">
        <v>4309.2692168229223</v>
      </c>
      <c r="BJ83" s="106">
        <v>5</v>
      </c>
      <c r="BK83" s="106">
        <v>4302</v>
      </c>
      <c r="BL83" s="106">
        <v>7.0142076029623315</v>
      </c>
      <c r="BM83" s="106">
        <v>6035.0242215887902</v>
      </c>
      <c r="BN83" s="106">
        <v>4.0053259826448961</v>
      </c>
      <c r="BO83" s="106">
        <v>3446.1824754676686</v>
      </c>
      <c r="BP83" s="106">
        <v>5.0027053114793354</v>
      </c>
      <c r="BQ83" s="106">
        <v>4304.3276499968197</v>
      </c>
      <c r="BR83" s="106">
        <v>4</v>
      </c>
      <c r="BS83" s="106">
        <v>3441.6</v>
      </c>
      <c r="BT83" s="106">
        <v>5.0047618859408161</v>
      </c>
      <c r="BU83" s="106">
        <v>4306.0971266634779</v>
      </c>
      <c r="BV83" s="106">
        <v>5</v>
      </c>
      <c r="BW83" s="106">
        <v>4302</v>
      </c>
      <c r="BX83" s="106">
        <v>5</v>
      </c>
      <c r="BY83" s="106">
        <v>4302</v>
      </c>
      <c r="BZ83" s="106">
        <v>5.0063651412098551</v>
      </c>
      <c r="CA83" s="106">
        <v>4307.4765674969594</v>
      </c>
      <c r="CB83" s="106">
        <v>5.0023197995649173</v>
      </c>
      <c r="CC83" s="106">
        <v>4303.9959555456544</v>
      </c>
      <c r="CD83" s="106">
        <v>6.0023829769944479</v>
      </c>
      <c r="CE83" s="106">
        <v>5164.4503134060233</v>
      </c>
      <c r="CF83" s="106">
        <v>24.002666660796521</v>
      </c>
      <c r="CG83" s="106">
        <v>20651.894394949326</v>
      </c>
      <c r="CH83" s="106">
        <v>29.004672885823389</v>
      </c>
      <c r="CI83" s="106">
        <v>24955.620550962445</v>
      </c>
      <c r="CJ83" s="106">
        <v>22.007843036856642</v>
      </c>
      <c r="CK83" s="106">
        <v>18935.548148911454</v>
      </c>
      <c r="CL83" s="106">
        <v>27.004709564495077</v>
      </c>
      <c r="CM83" s="106">
        <v>23234.852109291562</v>
      </c>
      <c r="CN83" s="106">
        <v>3.0029850699974721</v>
      </c>
      <c r="CO83" s="106">
        <v>2583.7683542258251</v>
      </c>
      <c r="CP83" s="106">
        <v>4</v>
      </c>
      <c r="CQ83" s="106">
        <v>3441.6</v>
      </c>
      <c r="CR83" s="106">
        <v>3</v>
      </c>
      <c r="CS83" s="106">
        <v>2581.1999999999998</v>
      </c>
      <c r="CT83" s="106">
        <v>4.0069220835655797</v>
      </c>
      <c r="CU83" s="106">
        <v>3447.5557606998245</v>
      </c>
    </row>
    <row r="84" spans="2:99" x14ac:dyDescent="0.2">
      <c r="C84" s="105" t="s">
        <v>251</v>
      </c>
      <c r="D84" s="106">
        <v>19.040453135397172</v>
      </c>
      <c r="E84" s="106">
        <v>14874.401989372269</v>
      </c>
      <c r="F84" s="106">
        <v>12.043953217455622</v>
      </c>
      <c r="G84" s="106">
        <v>9408.7362534763306</v>
      </c>
      <c r="H84" s="106">
        <v>16.037789876351169</v>
      </c>
      <c r="I84" s="106">
        <v>12528.721451405532</v>
      </c>
      <c r="J84" s="106">
        <v>21.0033507816586</v>
      </c>
      <c r="K84" s="106">
        <v>16407.817630631696</v>
      </c>
      <c r="L84" s="106">
        <v>20.004940706628666</v>
      </c>
      <c r="M84" s="106">
        <v>15627.859680018313</v>
      </c>
      <c r="N84" s="106">
        <v>20</v>
      </c>
      <c r="O84" s="106">
        <v>15623.999999999998</v>
      </c>
      <c r="P84" s="106">
        <v>21</v>
      </c>
      <c r="Q84" s="106">
        <v>16405.199999999997</v>
      </c>
      <c r="R84" s="106">
        <v>23.010474603601182</v>
      </c>
      <c r="S84" s="106">
        <v>17975.782760333241</v>
      </c>
      <c r="T84" s="106">
        <v>5.0051841649496849</v>
      </c>
      <c r="U84" s="106">
        <v>3910.0498696586933</v>
      </c>
      <c r="V84" s="106">
        <v>6.0025273781526467</v>
      </c>
      <c r="W84" s="106">
        <v>4689.1743878128473</v>
      </c>
      <c r="X84" s="106">
        <v>5.0030586214077468</v>
      </c>
      <c r="Y84" s="106">
        <v>3908.3893950437314</v>
      </c>
      <c r="Z84" s="106">
        <v>7.0022204585537917</v>
      </c>
      <c r="AA84" s="106">
        <v>5470.1346222222219</v>
      </c>
      <c r="AB84" s="106">
        <v>10.005922520381143</v>
      </c>
      <c r="AC84" s="106">
        <v>7816.6266729217477</v>
      </c>
      <c r="AD84" s="106">
        <v>9.0055077288941732</v>
      </c>
      <c r="AE84" s="106">
        <v>7035.1026378121278</v>
      </c>
      <c r="AF84" s="106">
        <v>7.0058551478433166</v>
      </c>
      <c r="AG84" s="106">
        <v>5472.9740414951984</v>
      </c>
      <c r="AH84" s="106">
        <v>6.0066276550292965</v>
      </c>
      <c r="AI84" s="106">
        <v>4692.3775241088861</v>
      </c>
      <c r="AJ84" s="106">
        <v>5.0021582702708933</v>
      </c>
      <c r="AK84" s="106">
        <v>3907.6860407356216</v>
      </c>
      <c r="AL84" s="106">
        <v>4</v>
      </c>
      <c r="AM84" s="106">
        <v>3124.7999999999997</v>
      </c>
      <c r="AN84" s="106">
        <v>5.0043117625633275</v>
      </c>
      <c r="AO84" s="106">
        <v>3909.368348914471</v>
      </c>
      <c r="AP84" s="106">
        <v>3</v>
      </c>
      <c r="AQ84" s="106">
        <v>2343.6</v>
      </c>
      <c r="AR84" s="106">
        <v>26.007700419796578</v>
      </c>
      <c r="AS84" s="106">
        <v>20317.215567945084</v>
      </c>
      <c r="AT84" s="106">
        <v>22.007668519017745</v>
      </c>
      <c r="AU84" s="106">
        <v>17192.390647056662</v>
      </c>
      <c r="AV84" s="106">
        <v>26.013657231803187</v>
      </c>
      <c r="AW84" s="106">
        <v>20321.869029484649</v>
      </c>
      <c r="AX84" s="106">
        <v>25.007806880321613</v>
      </c>
      <c r="AY84" s="106">
        <v>19536.098734907242</v>
      </c>
      <c r="AZ84" s="106">
        <v>57</v>
      </c>
      <c r="BA84" s="106">
        <v>44528.399999999994</v>
      </c>
      <c r="BB84" s="106">
        <v>40.003824077744014</v>
      </c>
      <c r="BC84" s="106">
        <v>31250.987369533621</v>
      </c>
      <c r="BD84" s="106">
        <v>65.008013265658278</v>
      </c>
      <c r="BE84" s="106">
        <v>50784.259963132245</v>
      </c>
      <c r="BF84" s="106">
        <v>53.002434775218831</v>
      </c>
      <c r="BG84" s="106">
        <v>41405.50204640095</v>
      </c>
      <c r="BH84" s="106">
        <v>6.0085943144438119</v>
      </c>
      <c r="BI84" s="106">
        <v>4693.9138784435054</v>
      </c>
      <c r="BJ84" s="106">
        <v>5</v>
      </c>
      <c r="BK84" s="106">
        <v>3905.9999999999995</v>
      </c>
      <c r="BL84" s="106">
        <v>7.0149361979860405</v>
      </c>
      <c r="BM84" s="106">
        <v>5480.0681578666945</v>
      </c>
      <c r="BN84" s="106">
        <v>4.0051423280709342</v>
      </c>
      <c r="BO84" s="106">
        <v>3128.8171866890134</v>
      </c>
      <c r="BP84" s="106">
        <v>5.0027053114793354</v>
      </c>
      <c r="BQ84" s="106">
        <v>3908.1133893276565</v>
      </c>
      <c r="BR84" s="106">
        <v>4</v>
      </c>
      <c r="BS84" s="106">
        <v>3124.7999999999997</v>
      </c>
      <c r="BT84" s="106">
        <v>5.0051587097692174</v>
      </c>
      <c r="BU84" s="106">
        <v>3910.0299840717121</v>
      </c>
      <c r="BV84" s="106">
        <v>6</v>
      </c>
      <c r="BW84" s="106">
        <v>4687.2</v>
      </c>
      <c r="BX84" s="106">
        <v>5</v>
      </c>
      <c r="BY84" s="106">
        <v>3905.9999999999995</v>
      </c>
      <c r="BZ84" s="106">
        <v>6.0060301337777577</v>
      </c>
      <c r="CA84" s="106">
        <v>4691.9107405071836</v>
      </c>
      <c r="CB84" s="106">
        <v>5.0024854995338401</v>
      </c>
      <c r="CC84" s="106">
        <v>3907.9416722358355</v>
      </c>
      <c r="CD84" s="106">
        <v>6.0025531896369086</v>
      </c>
      <c r="CE84" s="106">
        <v>4689.1945517443528</v>
      </c>
      <c r="CF84" s="106">
        <v>22.002962956440577</v>
      </c>
      <c r="CG84" s="106">
        <v>17188.714661571375</v>
      </c>
      <c r="CH84" s="106">
        <v>29.004672885823389</v>
      </c>
      <c r="CI84" s="106">
        <v>22658.45045840523</v>
      </c>
      <c r="CJ84" s="106">
        <v>22.008556040207246</v>
      </c>
      <c r="CK84" s="106">
        <v>17193.083978609899</v>
      </c>
      <c r="CL84" s="106">
        <v>26.004395593528738</v>
      </c>
      <c r="CM84" s="106">
        <v>20314.633837664649</v>
      </c>
      <c r="CN84" s="106">
        <v>3.0032338258305948</v>
      </c>
      <c r="CO84" s="106">
        <v>2346.1262647388603</v>
      </c>
      <c r="CP84" s="106">
        <v>3</v>
      </c>
      <c r="CQ84" s="106">
        <v>2343.6</v>
      </c>
      <c r="CR84" s="106">
        <v>3</v>
      </c>
      <c r="CS84" s="106">
        <v>2343.6</v>
      </c>
      <c r="CT84" s="106">
        <v>4.0064276490251807</v>
      </c>
      <c r="CU84" s="106">
        <v>3129.821279418471</v>
      </c>
    </row>
    <row r="85" spans="2:99" x14ac:dyDescent="0.2">
      <c r="C85" s="105" t="s">
        <v>252</v>
      </c>
      <c r="D85" s="106">
        <v>20.040453135397172</v>
      </c>
      <c r="E85" s="106">
        <v>3006.0679703095757</v>
      </c>
      <c r="F85" s="106">
        <v>13.046046227810651</v>
      </c>
      <c r="G85" s="106">
        <v>1956.9069341715976</v>
      </c>
      <c r="H85" s="106">
        <v>16.035428009079222</v>
      </c>
      <c r="I85" s="106">
        <v>2405.3142013618835</v>
      </c>
      <c r="J85" s="106">
        <v>22.003769629365927</v>
      </c>
      <c r="K85" s="106">
        <v>3300.5654444048891</v>
      </c>
      <c r="L85" s="106">
        <v>23.004940706628666</v>
      </c>
      <c r="M85" s="106">
        <v>3450.7411059943001</v>
      </c>
      <c r="N85" s="106">
        <v>26</v>
      </c>
      <c r="O85" s="106">
        <v>3900</v>
      </c>
      <c r="P85" s="106">
        <v>23</v>
      </c>
      <c r="Q85" s="106">
        <v>3450</v>
      </c>
      <c r="R85" s="106">
        <v>22.010147272238644</v>
      </c>
      <c r="S85" s="106">
        <v>3301.5220908357965</v>
      </c>
      <c r="T85" s="106">
        <v>6.0051841649496849</v>
      </c>
      <c r="U85" s="106">
        <v>900.77762474245276</v>
      </c>
      <c r="V85" s="106">
        <v>7.0026958700294895</v>
      </c>
      <c r="W85" s="106">
        <v>1050.4043805044234</v>
      </c>
      <c r="X85" s="106">
        <v>5.0033984682308299</v>
      </c>
      <c r="Y85" s="106">
        <v>750.50977023462451</v>
      </c>
      <c r="Z85" s="106">
        <v>7.0025376669186192</v>
      </c>
      <c r="AA85" s="106">
        <v>1050.380650037793</v>
      </c>
      <c r="AB85" s="106">
        <v>11.005922520381143</v>
      </c>
      <c r="AC85" s="106">
        <v>1650.8883780571714</v>
      </c>
      <c r="AD85" s="106">
        <v>11.006196195005945</v>
      </c>
      <c r="AE85" s="106">
        <v>1650.9294292508916</v>
      </c>
      <c r="AF85" s="106">
        <v>8.0055469821673526</v>
      </c>
      <c r="AG85" s="106">
        <v>1200.8320473251028</v>
      </c>
      <c r="AH85" s="106">
        <v>6.0070175170898441</v>
      </c>
      <c r="AI85" s="106">
        <v>901.05262756347656</v>
      </c>
      <c r="AJ85" s="106">
        <v>5.0023980780787705</v>
      </c>
      <c r="AK85" s="106">
        <v>750.35971171181552</v>
      </c>
      <c r="AL85" s="106">
        <v>4</v>
      </c>
      <c r="AM85" s="106">
        <v>600</v>
      </c>
      <c r="AN85" s="106">
        <v>5.0049751106499931</v>
      </c>
      <c r="AO85" s="106">
        <v>750.74626659749902</v>
      </c>
      <c r="AP85" s="106">
        <v>4</v>
      </c>
      <c r="AQ85" s="106">
        <v>600</v>
      </c>
      <c r="AR85" s="106">
        <v>26.008649786620811</v>
      </c>
      <c r="AS85" s="106">
        <v>3901.2974679931217</v>
      </c>
      <c r="AT85" s="106">
        <v>25.009400120086266</v>
      </c>
      <c r="AU85" s="106">
        <v>3751.4100180129399</v>
      </c>
      <c r="AV85" s="106">
        <v>33.015495705315153</v>
      </c>
      <c r="AW85" s="106">
        <v>4952.3243557972728</v>
      </c>
      <c r="AX85" s="106">
        <v>30.008628657197573</v>
      </c>
      <c r="AY85" s="106">
        <v>4501.2942985796362</v>
      </c>
      <c r="AZ85" s="106">
        <v>66</v>
      </c>
      <c r="BA85" s="106">
        <v>9900</v>
      </c>
      <c r="BB85" s="106">
        <v>45.004206485518417</v>
      </c>
      <c r="BC85" s="106">
        <v>6750.6309728277629</v>
      </c>
      <c r="BD85" s="106">
        <v>76.008013265658278</v>
      </c>
      <c r="BE85" s="106">
        <v>11401.201989848742</v>
      </c>
      <c r="BF85" s="106">
        <v>70.002434775218831</v>
      </c>
      <c r="BG85" s="106">
        <v>10500.365216282824</v>
      </c>
      <c r="BH85" s="106">
        <v>6.0087399807903168</v>
      </c>
      <c r="BI85" s="106">
        <v>901.31099711854756</v>
      </c>
      <c r="BJ85" s="106">
        <v>5</v>
      </c>
      <c r="BK85" s="106">
        <v>750</v>
      </c>
      <c r="BL85" s="106">
        <v>6.0171219830571685</v>
      </c>
      <c r="BM85" s="106">
        <v>902.56829745857533</v>
      </c>
      <c r="BN85" s="106">
        <v>4.006060600940744</v>
      </c>
      <c r="BO85" s="106">
        <v>600.90909014111162</v>
      </c>
      <c r="BP85" s="106">
        <v>5.0028985480135733</v>
      </c>
      <c r="BQ85" s="106">
        <v>750.43478220203599</v>
      </c>
      <c r="BR85" s="106">
        <v>5</v>
      </c>
      <c r="BS85" s="106">
        <v>750</v>
      </c>
      <c r="BT85" s="106">
        <v>5.0047618859408161</v>
      </c>
      <c r="BU85" s="106">
        <v>750.71428289112237</v>
      </c>
      <c r="BV85" s="106">
        <v>5</v>
      </c>
      <c r="BW85" s="106">
        <v>750</v>
      </c>
      <c r="BX85" s="106">
        <v>6</v>
      </c>
      <c r="BY85" s="106">
        <v>900</v>
      </c>
      <c r="BZ85" s="106">
        <v>6.0063651412098551</v>
      </c>
      <c r="CA85" s="106">
        <v>900.95477118147824</v>
      </c>
      <c r="CB85" s="106">
        <v>6.0026511995027629</v>
      </c>
      <c r="CC85" s="106">
        <v>900.39767992541442</v>
      </c>
      <c r="CD85" s="106">
        <v>6.0027234022793694</v>
      </c>
      <c r="CE85" s="106">
        <v>900.40851034190541</v>
      </c>
      <c r="CF85" s="106">
        <v>29.002666660796521</v>
      </c>
      <c r="CG85" s="106">
        <v>4350.3999991194778</v>
      </c>
      <c r="CH85" s="106">
        <v>37.004984411544946</v>
      </c>
      <c r="CI85" s="106">
        <v>5550.7476617317416</v>
      </c>
      <c r="CJ85" s="106">
        <v>25.007843036856642</v>
      </c>
      <c r="CK85" s="106">
        <v>3751.1764555284963</v>
      </c>
      <c r="CL85" s="106">
        <v>30.005023535461415</v>
      </c>
      <c r="CM85" s="106">
        <v>4500.7535303192126</v>
      </c>
      <c r="CN85" s="106">
        <v>3.0032338258305948</v>
      </c>
      <c r="CO85" s="106">
        <v>450.4850738745892</v>
      </c>
      <c r="CP85" s="106">
        <v>3</v>
      </c>
      <c r="CQ85" s="106">
        <v>450</v>
      </c>
      <c r="CR85" s="106">
        <v>3</v>
      </c>
      <c r="CS85" s="106">
        <v>450</v>
      </c>
      <c r="CT85" s="106">
        <v>5.0069220835655797</v>
      </c>
      <c r="CU85" s="106">
        <v>751.0383125348369</v>
      </c>
    </row>
    <row r="86" spans="2:99" x14ac:dyDescent="0.2">
      <c r="C86" s="105" t="s">
        <v>253</v>
      </c>
      <c r="D86" s="106">
        <v>19.042981456359495</v>
      </c>
      <c r="E86" s="106">
        <v>10283.209986434127</v>
      </c>
      <c r="F86" s="106">
        <v>12.039767196745562</v>
      </c>
      <c r="G86" s="106">
        <v>6501.4742862426028</v>
      </c>
      <c r="H86" s="106">
        <v>16.037789876351169</v>
      </c>
      <c r="I86" s="106">
        <v>8660.4065332296323</v>
      </c>
      <c r="J86" s="106">
        <v>18.0033507816586</v>
      </c>
      <c r="K86" s="106">
        <v>9721.8094220956445</v>
      </c>
      <c r="L86" s="106">
        <v>19.004940706628666</v>
      </c>
      <c r="M86" s="106">
        <v>10262.66798157948</v>
      </c>
      <c r="N86" s="106">
        <v>21</v>
      </c>
      <c r="O86" s="106">
        <v>11340</v>
      </c>
      <c r="P86" s="106">
        <v>23</v>
      </c>
      <c r="Q86" s="106">
        <v>12420</v>
      </c>
      <c r="R86" s="106">
        <v>20.011129266326257</v>
      </c>
      <c r="S86" s="106">
        <v>10806.00980381618</v>
      </c>
      <c r="T86" s="106">
        <v>5.0051841649496849</v>
      </c>
      <c r="U86" s="106">
        <v>2702.7994490728297</v>
      </c>
      <c r="V86" s="106">
        <v>6.0026958700294895</v>
      </c>
      <c r="W86" s="106">
        <v>3241.4557698159242</v>
      </c>
      <c r="X86" s="106">
        <v>5.0028886979962053</v>
      </c>
      <c r="Y86" s="106">
        <v>2701.5598969179509</v>
      </c>
      <c r="Z86" s="106">
        <v>7.0025376669186192</v>
      </c>
      <c r="AA86" s="106">
        <v>3781.3703401360544</v>
      </c>
      <c r="AB86" s="106">
        <v>10.005011363399429</v>
      </c>
      <c r="AC86" s="106">
        <v>5402.7061362356917</v>
      </c>
      <c r="AD86" s="106">
        <v>9.005851961950059</v>
      </c>
      <c r="AE86" s="106">
        <v>4863.1600594530319</v>
      </c>
      <c r="AF86" s="106">
        <v>7.0058551478433166</v>
      </c>
      <c r="AG86" s="106">
        <v>3783.1617798353909</v>
      </c>
      <c r="AH86" s="106">
        <v>6.0070175170898441</v>
      </c>
      <c r="AI86" s="106">
        <v>3243.7894592285156</v>
      </c>
      <c r="AJ86" s="106">
        <v>5.0019184624630162</v>
      </c>
      <c r="AK86" s="106">
        <v>2701.0359697300287</v>
      </c>
      <c r="AL86" s="106">
        <v>4</v>
      </c>
      <c r="AM86" s="106">
        <v>2160</v>
      </c>
      <c r="AN86" s="106">
        <v>5.0043117625633275</v>
      </c>
      <c r="AO86" s="106">
        <v>2702.3283517841969</v>
      </c>
      <c r="AP86" s="106">
        <v>4</v>
      </c>
      <c r="AQ86" s="106">
        <v>2160</v>
      </c>
      <c r="AR86" s="106">
        <v>23.007594934593882</v>
      </c>
      <c r="AS86" s="106">
        <v>12424.101264680696</v>
      </c>
      <c r="AT86" s="106">
        <v>26.007915890598962</v>
      </c>
      <c r="AU86" s="106">
        <v>14044.27458092344</v>
      </c>
      <c r="AV86" s="106">
        <v>29.015495705315157</v>
      </c>
      <c r="AW86" s="106">
        <v>15668.367680870184</v>
      </c>
      <c r="AX86" s="106">
        <v>26.007909602431109</v>
      </c>
      <c r="AY86" s="106">
        <v>14044.271185312798</v>
      </c>
      <c r="AZ86" s="106">
        <v>61</v>
      </c>
      <c r="BA86" s="106">
        <v>32940</v>
      </c>
      <c r="BB86" s="106">
        <v>42.004206485518417</v>
      </c>
      <c r="BC86" s="106">
        <v>22682.271502179945</v>
      </c>
      <c r="BD86" s="106">
        <v>57.008013265658278</v>
      </c>
      <c r="BE86" s="106">
        <v>30784.327163455469</v>
      </c>
      <c r="BF86" s="106">
        <v>60.002434775218831</v>
      </c>
      <c r="BG86" s="106">
        <v>32401.314778618169</v>
      </c>
      <c r="BH86" s="106">
        <v>6.0087399807903168</v>
      </c>
      <c r="BI86" s="106">
        <v>3244.7195896267713</v>
      </c>
      <c r="BJ86" s="106">
        <v>6</v>
      </c>
      <c r="BK86" s="106">
        <v>3240</v>
      </c>
      <c r="BL86" s="106">
        <v>7.0142076029623315</v>
      </c>
      <c r="BM86" s="106">
        <v>3787.6721055996591</v>
      </c>
      <c r="BN86" s="106">
        <v>5.0051423280709342</v>
      </c>
      <c r="BO86" s="106">
        <v>2702.7768571583047</v>
      </c>
      <c r="BP86" s="106">
        <v>6.0028985480135733</v>
      </c>
      <c r="BQ86" s="106">
        <v>3241.5652159273295</v>
      </c>
      <c r="BR86" s="106">
        <v>5</v>
      </c>
      <c r="BS86" s="106">
        <v>2700</v>
      </c>
      <c r="BT86" s="106">
        <v>5.0055555335976187</v>
      </c>
      <c r="BU86" s="106">
        <v>2702.9999881427143</v>
      </c>
      <c r="BV86" s="106">
        <v>5</v>
      </c>
      <c r="BW86" s="106">
        <v>2700</v>
      </c>
      <c r="BX86" s="106">
        <v>5</v>
      </c>
      <c r="BY86" s="106">
        <v>2700</v>
      </c>
      <c r="BZ86" s="106">
        <v>5.0067001486419533</v>
      </c>
      <c r="CA86" s="106">
        <v>2703.6180802666549</v>
      </c>
      <c r="CB86" s="106">
        <v>5.0024854995338401</v>
      </c>
      <c r="CC86" s="106">
        <v>2701.3421697482736</v>
      </c>
      <c r="CD86" s="106">
        <v>6.0027234022793694</v>
      </c>
      <c r="CE86" s="106">
        <v>3241.4706372308597</v>
      </c>
      <c r="CF86" s="106">
        <v>26.002666660796521</v>
      </c>
      <c r="CG86" s="106">
        <v>14041.439996830122</v>
      </c>
      <c r="CH86" s="106">
        <v>34.004672885823389</v>
      </c>
      <c r="CI86" s="106">
        <v>18362.523358344632</v>
      </c>
      <c r="CJ86" s="106">
        <v>23.007843036856642</v>
      </c>
      <c r="CK86" s="106">
        <v>12424.235239902586</v>
      </c>
      <c r="CL86" s="106">
        <v>28.00533750642775</v>
      </c>
      <c r="CM86" s="106">
        <v>15122.882253470985</v>
      </c>
      <c r="CN86" s="106">
        <v>3.0027363141643493</v>
      </c>
      <c r="CO86" s="106">
        <v>1621.4776096487485</v>
      </c>
      <c r="CP86" s="106">
        <v>4</v>
      </c>
      <c r="CQ86" s="106">
        <v>2160</v>
      </c>
      <c r="CR86" s="106">
        <v>3</v>
      </c>
      <c r="CS86" s="106">
        <v>1620</v>
      </c>
      <c r="CT86" s="106">
        <v>5.0069220835655797</v>
      </c>
      <c r="CU86" s="106">
        <v>2703.7379251254129</v>
      </c>
    </row>
    <row r="87" spans="2:99" x14ac:dyDescent="0.2">
      <c r="B87" s="105" t="s">
        <v>131</v>
      </c>
      <c r="C87" s="105" t="s">
        <v>254</v>
      </c>
      <c r="D87" s="106">
        <v>4.0303398515478781</v>
      </c>
      <c r="E87" s="106">
        <v>7878.508341805792</v>
      </c>
      <c r="F87" s="106">
        <v>4.0230231139053254</v>
      </c>
      <c r="G87" s="106">
        <v>7864.2055830621302</v>
      </c>
      <c r="H87" s="106">
        <v>5.0307042745353252</v>
      </c>
      <c r="I87" s="106">
        <v>9834.020715861654</v>
      </c>
      <c r="J87" s="106">
        <v>4.0023036623902888</v>
      </c>
      <c r="K87" s="106">
        <v>7823.7031992405364</v>
      </c>
      <c r="L87" s="106">
        <v>9.0053359631589611</v>
      </c>
      <c r="M87" s="106">
        <v>17603.630740783137</v>
      </c>
      <c r="N87" s="106">
        <v>8</v>
      </c>
      <c r="O87" s="106">
        <v>15638.4</v>
      </c>
      <c r="P87" s="106">
        <v>7</v>
      </c>
      <c r="Q87" s="106">
        <v>13683.6</v>
      </c>
      <c r="R87" s="106">
        <v>5.0170212308519213</v>
      </c>
      <c r="S87" s="106">
        <v>9807.2731020693354</v>
      </c>
      <c r="T87" s="106">
        <v>7.0199181074382633</v>
      </c>
      <c r="U87" s="106">
        <v>13722.535916420316</v>
      </c>
      <c r="V87" s="106">
        <v>7.0067396750737245</v>
      </c>
      <c r="W87" s="106">
        <v>13696.774716834116</v>
      </c>
      <c r="X87" s="106">
        <v>9.0064570896385767</v>
      </c>
      <c r="Y87" s="106">
        <v>17605.822318825489</v>
      </c>
      <c r="Z87" s="106">
        <v>9.009040438397582</v>
      </c>
      <c r="AA87" s="106">
        <v>17610.872248979595</v>
      </c>
      <c r="AB87" s="106">
        <v>12.008200412835428</v>
      </c>
      <c r="AC87" s="106">
        <v>23473.630167010695</v>
      </c>
      <c r="AD87" s="106">
        <v>15.006884661117716</v>
      </c>
      <c r="AE87" s="106">
        <v>29335.458135552912</v>
      </c>
      <c r="AF87" s="106">
        <v>24.007704141899101</v>
      </c>
      <c r="AG87" s="106">
        <v>46930.26005658436</v>
      </c>
      <c r="AH87" s="106">
        <v>17.007017517089842</v>
      </c>
      <c r="AI87" s="106">
        <v>33245.317842407225</v>
      </c>
      <c r="AJ87" s="106">
        <v>2.0112709669702213</v>
      </c>
      <c r="AK87" s="106">
        <v>3931.6324862333886</v>
      </c>
      <c r="AL87" s="106">
        <v>3</v>
      </c>
      <c r="AM87" s="106">
        <v>5864.4</v>
      </c>
      <c r="AN87" s="106">
        <v>3.0208954647299699</v>
      </c>
      <c r="AO87" s="106">
        <v>5905.2464544541454</v>
      </c>
      <c r="AP87" s="106">
        <v>3</v>
      </c>
      <c r="AQ87" s="106">
        <v>5864.4</v>
      </c>
      <c r="AR87" s="106">
        <v>37.001054852026925</v>
      </c>
      <c r="AS87" s="106">
        <v>72329.662024742225</v>
      </c>
      <c r="AT87" s="106">
        <v>31.001978972649741</v>
      </c>
      <c r="AU87" s="106">
        <v>60602.668495735714</v>
      </c>
      <c r="AV87" s="106">
        <v>24.003676947023937</v>
      </c>
      <c r="AW87" s="106">
        <v>46922.387696042388</v>
      </c>
      <c r="AX87" s="106">
        <v>34.001129943204447</v>
      </c>
      <c r="AY87" s="106">
        <v>66465.408812976049</v>
      </c>
      <c r="AZ87" s="106">
        <v>21</v>
      </c>
      <c r="BA87" s="106">
        <v>41050.799999999996</v>
      </c>
      <c r="BB87" s="106">
        <v>37.008412971036833</v>
      </c>
      <c r="BC87" s="106">
        <v>72344.045675782792</v>
      </c>
      <c r="BD87" s="106">
        <v>40.020700936283873</v>
      </c>
      <c r="BE87" s="106">
        <v>78232.466190247709</v>
      </c>
      <c r="BF87" s="106">
        <v>23.010086925906592</v>
      </c>
      <c r="BG87" s="106">
        <v>44980.117922762205</v>
      </c>
      <c r="BH87" s="106">
        <v>3.0033503259696217</v>
      </c>
      <c r="BI87" s="106">
        <v>5870.9492172054161</v>
      </c>
      <c r="BJ87" s="106">
        <v>3</v>
      </c>
      <c r="BK87" s="106">
        <v>5864.4</v>
      </c>
      <c r="BL87" s="106">
        <v>4.0076502477489475</v>
      </c>
      <c r="BM87" s="106">
        <v>7834.1547042996426</v>
      </c>
      <c r="BN87" s="106">
        <v>4.0053259826448961</v>
      </c>
      <c r="BO87" s="106">
        <v>7829.6112308742431</v>
      </c>
      <c r="BP87" s="106">
        <v>12.007342988301053</v>
      </c>
      <c r="BQ87" s="106">
        <v>23471.954073530898</v>
      </c>
      <c r="BR87" s="106">
        <v>16</v>
      </c>
      <c r="BS87" s="106">
        <v>31276.799999999999</v>
      </c>
      <c r="BT87" s="106">
        <v>16.021031662905273</v>
      </c>
      <c r="BU87" s="106">
        <v>31317.912694647228</v>
      </c>
      <c r="BV87" s="106">
        <v>14</v>
      </c>
      <c r="BW87" s="106">
        <v>27367.200000000001</v>
      </c>
      <c r="BX87" s="106">
        <v>7</v>
      </c>
      <c r="BY87" s="106">
        <v>13683.6</v>
      </c>
      <c r="BZ87" s="106">
        <v>10.00569512634566</v>
      </c>
      <c r="CA87" s="106">
        <v>19559.132832980496</v>
      </c>
      <c r="CB87" s="106">
        <v>7.0019883996270718</v>
      </c>
      <c r="CC87" s="106">
        <v>13687.486923590999</v>
      </c>
      <c r="CD87" s="106">
        <v>7.0034042528492115</v>
      </c>
      <c r="CE87" s="106">
        <v>13690.254633469638</v>
      </c>
      <c r="CF87" s="106">
        <v>11.012148121406369</v>
      </c>
      <c r="CG87" s="106">
        <v>21526.54714772517</v>
      </c>
      <c r="CH87" s="106">
        <v>7.0084111944821004</v>
      </c>
      <c r="CI87" s="106">
        <v>13700.042202973609</v>
      </c>
      <c r="CJ87" s="106">
        <v>7.0171120804144893</v>
      </c>
      <c r="CK87" s="106">
        <v>13717.050694794243</v>
      </c>
      <c r="CL87" s="106">
        <v>6.0075353031921201</v>
      </c>
      <c r="CM87" s="106">
        <v>11743.530010679957</v>
      </c>
      <c r="CN87" s="106">
        <v>30.002238802498105</v>
      </c>
      <c r="CO87" s="106">
        <v>58648.376411123296</v>
      </c>
      <c r="CP87" s="106">
        <v>23</v>
      </c>
      <c r="CQ87" s="106">
        <v>44960.4</v>
      </c>
      <c r="CR87" s="106">
        <v>27</v>
      </c>
      <c r="CS87" s="106">
        <v>52779.6</v>
      </c>
      <c r="CT87" s="106">
        <v>16.003461041782788</v>
      </c>
      <c r="CU87" s="106">
        <v>31283.565644476996</v>
      </c>
    </row>
    <row r="88" spans="2:99" x14ac:dyDescent="0.2">
      <c r="C88" s="105" t="s">
        <v>255</v>
      </c>
      <c r="D88" s="106">
        <v>4.0328681725102014</v>
      </c>
      <c r="E88" s="106">
        <v>7631.7997296583044</v>
      </c>
      <c r="F88" s="106">
        <v>4.0251161242603546</v>
      </c>
      <c r="G88" s="106">
        <v>7617.1297535502945</v>
      </c>
      <c r="H88" s="106">
        <v>6.025980539991429</v>
      </c>
      <c r="I88" s="106">
        <v>11403.56557387978</v>
      </c>
      <c r="J88" s="106">
        <v>4.0025130862439511</v>
      </c>
      <c r="K88" s="106">
        <v>7574.3557644080529</v>
      </c>
      <c r="L88" s="106">
        <v>9.0065217327498406</v>
      </c>
      <c r="M88" s="106">
        <v>17043.941727055797</v>
      </c>
      <c r="N88" s="106">
        <v>7</v>
      </c>
      <c r="O88" s="106">
        <v>13246.8</v>
      </c>
      <c r="P88" s="106">
        <v>8</v>
      </c>
      <c r="Q88" s="106">
        <v>15139.199999999999</v>
      </c>
      <c r="R88" s="106">
        <v>5.0147299113141628</v>
      </c>
      <c r="S88" s="106">
        <v>9489.8748841709203</v>
      </c>
      <c r="T88" s="106">
        <v>7.0196452566514376</v>
      </c>
      <c r="U88" s="106">
        <v>13283.976683687179</v>
      </c>
      <c r="V88" s="106">
        <v>8.0065711831968809</v>
      </c>
      <c r="W88" s="106">
        <v>15151.635307081777</v>
      </c>
      <c r="X88" s="106">
        <v>9.0071367832847429</v>
      </c>
      <c r="Y88" s="106">
        <v>17045.105648688048</v>
      </c>
      <c r="Z88" s="106">
        <v>9.0087232300327535</v>
      </c>
      <c r="AA88" s="106">
        <v>17048.107840513982</v>
      </c>
      <c r="AB88" s="106">
        <v>13.007744834344571</v>
      </c>
      <c r="AC88" s="106">
        <v>24615.856324513665</v>
      </c>
      <c r="AD88" s="106">
        <v>15.006884661117716</v>
      </c>
      <c r="AE88" s="106">
        <v>28399.028532699165</v>
      </c>
      <c r="AF88" s="106">
        <v>20.007704141899101</v>
      </c>
      <c r="AG88" s="106">
        <v>37862.579318129858</v>
      </c>
      <c r="AH88" s="106">
        <v>16.007017517089842</v>
      </c>
      <c r="AI88" s="106">
        <v>30291.679949340814</v>
      </c>
      <c r="AJ88" s="106">
        <v>2.009832120122959</v>
      </c>
      <c r="AK88" s="106">
        <v>3803.4063041206873</v>
      </c>
      <c r="AL88" s="106">
        <v>3</v>
      </c>
      <c r="AM88" s="106">
        <v>5677.2</v>
      </c>
      <c r="AN88" s="106">
        <v>3.0238805311199655</v>
      </c>
      <c r="AO88" s="106">
        <v>5722.3915170914224</v>
      </c>
      <c r="AP88" s="106">
        <v>3</v>
      </c>
      <c r="AQ88" s="106">
        <v>5677.2</v>
      </c>
      <c r="AR88" s="106">
        <v>40.000949366824237</v>
      </c>
      <c r="AS88" s="106">
        <v>75697.796581778181</v>
      </c>
      <c r="AT88" s="106">
        <v>28.001855286859133</v>
      </c>
      <c r="AU88" s="106">
        <v>52990.710944852217</v>
      </c>
      <c r="AV88" s="106">
        <v>24.003939586097072</v>
      </c>
      <c r="AW88" s="106">
        <v>45425.055272730096</v>
      </c>
      <c r="AX88" s="106">
        <v>28.001335387423435</v>
      </c>
      <c r="AY88" s="106">
        <v>52989.727087160107</v>
      </c>
      <c r="AZ88" s="106">
        <v>25</v>
      </c>
      <c r="BA88" s="106">
        <v>47310</v>
      </c>
      <c r="BB88" s="106">
        <v>35.007265747713625</v>
      </c>
      <c r="BC88" s="106">
        <v>66247.749700973261</v>
      </c>
      <c r="BD88" s="106">
        <v>42.019365392007494</v>
      </c>
      <c r="BE88" s="106">
        <v>79517.447067834975</v>
      </c>
      <c r="BF88" s="106">
        <v>27.011826051062901</v>
      </c>
      <c r="BG88" s="106">
        <v>51117.179619031427</v>
      </c>
      <c r="BH88" s="106">
        <v>3.0034959923161266</v>
      </c>
      <c r="BI88" s="106">
        <v>5683.8158158590377</v>
      </c>
      <c r="BJ88" s="106">
        <v>3</v>
      </c>
      <c r="BK88" s="106">
        <v>5677.2</v>
      </c>
      <c r="BL88" s="106">
        <v>4.007285950237093</v>
      </c>
      <c r="BM88" s="106">
        <v>7583.3879322286739</v>
      </c>
      <c r="BN88" s="106">
        <v>3.0055096372188581</v>
      </c>
      <c r="BO88" s="106">
        <v>5687.6264374729662</v>
      </c>
      <c r="BP88" s="106">
        <v>11.008115934438006</v>
      </c>
      <c r="BQ88" s="106">
        <v>20831.75859433048</v>
      </c>
      <c r="BR88" s="106">
        <v>17</v>
      </c>
      <c r="BS88" s="106">
        <v>32170.799999999999</v>
      </c>
      <c r="BT88" s="106">
        <v>16.019444367591667</v>
      </c>
      <c r="BU88" s="106">
        <v>30315.196521230468</v>
      </c>
      <c r="BV88" s="106">
        <v>15</v>
      </c>
      <c r="BW88" s="106">
        <v>28385.999999999996</v>
      </c>
      <c r="BX88" s="106">
        <v>6</v>
      </c>
      <c r="BY88" s="106">
        <v>11354.4</v>
      </c>
      <c r="BZ88" s="106">
        <v>10.006700148641952</v>
      </c>
      <c r="CA88" s="106">
        <v>18936.679361290029</v>
      </c>
      <c r="CB88" s="106">
        <v>7.0021540995959946</v>
      </c>
      <c r="CC88" s="106">
        <v>13250.876418075459</v>
      </c>
      <c r="CD88" s="106">
        <v>7.0034042528492115</v>
      </c>
      <c r="CE88" s="106">
        <v>13253.242208091848</v>
      </c>
      <c r="CF88" s="106">
        <v>10.011259234474196</v>
      </c>
      <c r="CG88" s="106">
        <v>18945.306975318967</v>
      </c>
      <c r="CH88" s="106">
        <v>7.0084111944821004</v>
      </c>
      <c r="CI88" s="106">
        <v>13262.717344437926</v>
      </c>
      <c r="CJ88" s="106">
        <v>7.0156860737132813</v>
      </c>
      <c r="CK88" s="106">
        <v>13276.484325895013</v>
      </c>
      <c r="CL88" s="106">
        <v>6.0078492741584588</v>
      </c>
      <c r="CM88" s="106">
        <v>11369.253966417467</v>
      </c>
      <c r="CN88" s="106">
        <v>29.002487558331225</v>
      </c>
      <c r="CO88" s="106">
        <v>54884.307455386006</v>
      </c>
      <c r="CP88" s="106">
        <v>22</v>
      </c>
      <c r="CQ88" s="106">
        <v>41632.799999999996</v>
      </c>
      <c r="CR88" s="106">
        <v>30</v>
      </c>
      <c r="CS88" s="106">
        <v>56771.999999999993</v>
      </c>
      <c r="CT88" s="106">
        <v>16.003955476323188</v>
      </c>
      <c r="CU88" s="106">
        <v>30285.885343393998</v>
      </c>
    </row>
    <row r="89" spans="2:99" x14ac:dyDescent="0.2">
      <c r="C89" s="105" t="s">
        <v>256</v>
      </c>
      <c r="D89" s="106">
        <v>4.0303398515478781</v>
      </c>
      <c r="E89" s="106">
        <v>9663.1428280711916</v>
      </c>
      <c r="F89" s="106">
        <v>4.0230231139053254</v>
      </c>
      <c r="G89" s="106">
        <v>9645.6002178994077</v>
      </c>
      <c r="H89" s="106">
        <v>6.0236186727194809</v>
      </c>
      <c r="I89" s="106">
        <v>14442.228129712226</v>
      </c>
      <c r="J89" s="106">
        <v>4.0023036623902888</v>
      </c>
      <c r="K89" s="106">
        <v>9595.9232609469564</v>
      </c>
      <c r="L89" s="106">
        <v>9.0059288479544009</v>
      </c>
      <c r="M89" s="106">
        <v>21592.61500585547</v>
      </c>
      <c r="N89" s="106">
        <v>7</v>
      </c>
      <c r="O89" s="106">
        <v>16783.2</v>
      </c>
      <c r="P89" s="106">
        <v>8</v>
      </c>
      <c r="Q89" s="106">
        <v>19180.8</v>
      </c>
      <c r="R89" s="106">
        <v>5.0166938994893844</v>
      </c>
      <c r="S89" s="106">
        <v>12028.025293415747</v>
      </c>
      <c r="T89" s="106">
        <v>6.0177353011436594</v>
      </c>
      <c r="U89" s="106">
        <v>14428.122158022037</v>
      </c>
      <c r="V89" s="106">
        <v>8.0065711831968809</v>
      </c>
      <c r="W89" s="106">
        <v>19196.55506883284</v>
      </c>
      <c r="X89" s="106">
        <v>8.0062871662270343</v>
      </c>
      <c r="Y89" s="106">
        <v>19195.874109745935</v>
      </c>
      <c r="Z89" s="106">
        <v>8.0098334593096503</v>
      </c>
      <c r="AA89" s="106">
        <v>19204.376702040816</v>
      </c>
      <c r="AB89" s="106">
        <v>12.007289255853715</v>
      </c>
      <c r="AC89" s="106">
        <v>28788.676719834868</v>
      </c>
      <c r="AD89" s="106">
        <v>14.006196195005945</v>
      </c>
      <c r="AE89" s="106">
        <v>33581.255997146254</v>
      </c>
      <c r="AF89" s="106">
        <v>19.007087810547173</v>
      </c>
      <c r="AG89" s="106">
        <v>45571.393734567901</v>
      </c>
      <c r="AH89" s="106">
        <v>15.006237792968751</v>
      </c>
      <c r="AI89" s="106">
        <v>35978.955732421877</v>
      </c>
      <c r="AJ89" s="106">
        <v>2.009112696699328</v>
      </c>
      <c r="AK89" s="106">
        <v>4817.0486016063087</v>
      </c>
      <c r="AL89" s="106">
        <v>3</v>
      </c>
      <c r="AM89" s="106">
        <v>7192.7999999999993</v>
      </c>
      <c r="AN89" s="106">
        <v>3.0215588128166355</v>
      </c>
      <c r="AO89" s="106">
        <v>7244.4894096091648</v>
      </c>
      <c r="AP89" s="106">
        <v>3</v>
      </c>
      <c r="AQ89" s="106">
        <v>7192.7999999999993</v>
      </c>
      <c r="AR89" s="106">
        <v>34.000949366824237</v>
      </c>
      <c r="AS89" s="106">
        <v>81520.67620189779</v>
      </c>
      <c r="AT89" s="106">
        <v>27.00210265844035</v>
      </c>
      <c r="AU89" s="106">
        <v>64740.241333876584</v>
      </c>
      <c r="AV89" s="106">
        <v>19.003414307950798</v>
      </c>
      <c r="AW89" s="106">
        <v>45562.586144742832</v>
      </c>
      <c r="AX89" s="106">
        <v>26.001232665313939</v>
      </c>
      <c r="AY89" s="106">
        <v>62340.5554383567</v>
      </c>
      <c r="AZ89" s="106">
        <v>20</v>
      </c>
      <c r="BA89" s="106">
        <v>47952</v>
      </c>
      <c r="BB89" s="106">
        <v>34.006883339939229</v>
      </c>
      <c r="BC89" s="106">
        <v>81534.903495838298</v>
      </c>
      <c r="BD89" s="106">
        <v>36.020033164145687</v>
      </c>
      <c r="BE89" s="106">
        <v>86361.6315143557</v>
      </c>
      <c r="BF89" s="106">
        <v>21.011130401000376</v>
      </c>
      <c r="BG89" s="106">
        <v>50376.286249438497</v>
      </c>
      <c r="BH89" s="106">
        <v>3.003058993276611</v>
      </c>
      <c r="BI89" s="106">
        <v>7200.1342422800026</v>
      </c>
      <c r="BJ89" s="106">
        <v>3</v>
      </c>
      <c r="BK89" s="106">
        <v>7192.7999999999993</v>
      </c>
      <c r="BL89" s="106">
        <v>4.0083788427726574</v>
      </c>
      <c r="BM89" s="106">
        <v>9610.4891134317222</v>
      </c>
      <c r="BN89" s="106">
        <v>4.0049586734969722</v>
      </c>
      <c r="BO89" s="106">
        <v>9602.2889155763405</v>
      </c>
      <c r="BP89" s="106">
        <v>11.006376805629861</v>
      </c>
      <c r="BQ89" s="106">
        <v>26388.889029178154</v>
      </c>
      <c r="BR89" s="106">
        <v>14</v>
      </c>
      <c r="BS89" s="106">
        <v>33566.400000000001</v>
      </c>
      <c r="BT89" s="106">
        <v>16.017460248449659</v>
      </c>
      <c r="BU89" s="106">
        <v>38403.4626916829</v>
      </c>
      <c r="BV89" s="106">
        <v>13</v>
      </c>
      <c r="BW89" s="106">
        <v>31168.799999999999</v>
      </c>
      <c r="BX89" s="106">
        <v>6</v>
      </c>
      <c r="BY89" s="106">
        <v>14385.599999999999</v>
      </c>
      <c r="BZ89" s="106">
        <v>9.0063651412098551</v>
      </c>
      <c r="CA89" s="106">
        <v>21593.661062564748</v>
      </c>
      <c r="CB89" s="106">
        <v>7.0021540995959946</v>
      </c>
      <c r="CC89" s="106">
        <v>16788.364669191356</v>
      </c>
      <c r="CD89" s="106">
        <v>6.00306382756429</v>
      </c>
      <c r="CE89" s="106">
        <v>14392.945832968142</v>
      </c>
      <c r="CF89" s="106">
        <v>9.0121481214063692</v>
      </c>
      <c r="CG89" s="106">
        <v>21607.526335883911</v>
      </c>
      <c r="CH89" s="106">
        <v>8.0087227202036608</v>
      </c>
      <c r="CI89" s="106">
        <v>19201.713593960296</v>
      </c>
      <c r="CJ89" s="106">
        <v>6.0171120804144893</v>
      </c>
      <c r="CK89" s="106">
        <v>14426.627924001779</v>
      </c>
      <c r="CL89" s="106">
        <v>6.0075353031921201</v>
      </c>
      <c r="CM89" s="106">
        <v>14403.666642933427</v>
      </c>
      <c r="CN89" s="106">
        <v>26.001990046664982</v>
      </c>
      <c r="CO89" s="106">
        <v>62342.37133588396</v>
      </c>
      <c r="CP89" s="106">
        <v>23</v>
      </c>
      <c r="CQ89" s="106">
        <v>55144.799999999996</v>
      </c>
      <c r="CR89" s="106">
        <v>27</v>
      </c>
      <c r="CS89" s="106">
        <v>64735.199999999997</v>
      </c>
      <c r="CT89" s="106">
        <v>15.00346104178279</v>
      </c>
      <c r="CU89" s="106">
        <v>35972.298193778413</v>
      </c>
    </row>
    <row r="90" spans="2:99" x14ac:dyDescent="0.2">
      <c r="C90" s="105" t="s">
        <v>257</v>
      </c>
      <c r="D90" s="106">
        <v>4.0328681725102014</v>
      </c>
      <c r="E90" s="106">
        <v>8861.0179486394136</v>
      </c>
      <c r="F90" s="106">
        <v>4.0209301035502962</v>
      </c>
      <c r="G90" s="106">
        <v>8834.7876235207095</v>
      </c>
      <c r="H90" s="106">
        <v>5.025980539991429</v>
      </c>
      <c r="I90" s="106">
        <v>11043.084442469168</v>
      </c>
      <c r="J90" s="106">
        <v>4.0025130862439511</v>
      </c>
      <c r="K90" s="106">
        <v>8794.3217530952079</v>
      </c>
      <c r="L90" s="106">
        <v>9.0055335914241077</v>
      </c>
      <c r="M90" s="106">
        <v>19786.958407077047</v>
      </c>
      <c r="N90" s="106">
        <v>8</v>
      </c>
      <c r="O90" s="106">
        <v>17577.599999999999</v>
      </c>
      <c r="P90" s="106">
        <v>7</v>
      </c>
      <c r="Q90" s="106">
        <v>15380.399999999998</v>
      </c>
      <c r="R90" s="106">
        <v>5.0140752485890889</v>
      </c>
      <c r="S90" s="106">
        <v>11016.926136199945</v>
      </c>
      <c r="T90" s="106">
        <v>7.0180081519304842</v>
      </c>
      <c r="U90" s="106">
        <v>15419.967511421659</v>
      </c>
      <c r="V90" s="106">
        <v>7.0065711831968809</v>
      </c>
      <c r="W90" s="106">
        <v>15394.838203720185</v>
      </c>
      <c r="X90" s="106">
        <v>9.0061172428154936</v>
      </c>
      <c r="Y90" s="106">
        <v>19788.2408059142</v>
      </c>
      <c r="Z90" s="106">
        <v>8.0091990425799953</v>
      </c>
      <c r="AA90" s="106">
        <v>17597.812136356762</v>
      </c>
      <c r="AB90" s="106">
        <v>11.007289255853715</v>
      </c>
      <c r="AC90" s="106">
        <v>24185.215952961782</v>
      </c>
      <c r="AD90" s="106">
        <v>14.006540428061831</v>
      </c>
      <c r="AE90" s="106">
        <v>30775.170628537453</v>
      </c>
      <c r="AF90" s="106">
        <v>20.007087810547173</v>
      </c>
      <c r="AG90" s="106">
        <v>43959.573337334245</v>
      </c>
      <c r="AH90" s="106">
        <v>15.005847930908203</v>
      </c>
      <c r="AI90" s="106">
        <v>32970.849073791498</v>
      </c>
      <c r="AJ90" s="106">
        <v>2.0095923123150823</v>
      </c>
      <c r="AK90" s="106">
        <v>4415.4762286186988</v>
      </c>
      <c r="AL90" s="106">
        <v>3</v>
      </c>
      <c r="AM90" s="106">
        <v>6591.5999999999995</v>
      </c>
      <c r="AN90" s="106">
        <v>3.0215588128166355</v>
      </c>
      <c r="AO90" s="106">
        <v>6638.9690235207108</v>
      </c>
      <c r="AP90" s="106">
        <v>3</v>
      </c>
      <c r="AQ90" s="106">
        <v>6591.5999999999995</v>
      </c>
      <c r="AR90" s="106">
        <v>35.000843881621542</v>
      </c>
      <c r="AS90" s="106">
        <v>76903.854176698849</v>
      </c>
      <c r="AT90" s="106">
        <v>28.001855286859133</v>
      </c>
      <c r="AU90" s="106">
        <v>61525.676436286878</v>
      </c>
      <c r="AV90" s="106">
        <v>20.003676947023937</v>
      </c>
      <c r="AW90" s="106">
        <v>43952.078988000991</v>
      </c>
      <c r="AX90" s="106">
        <v>27.001129943204443</v>
      </c>
      <c r="AY90" s="106">
        <v>59326.882711208797</v>
      </c>
      <c r="AZ90" s="106">
        <v>23</v>
      </c>
      <c r="BA90" s="106">
        <v>50535.6</v>
      </c>
      <c r="BB90" s="106">
        <v>36.00803056326243</v>
      </c>
      <c r="BC90" s="106">
        <v>79116.844753600206</v>
      </c>
      <c r="BD90" s="106">
        <v>35.022704252698446</v>
      </c>
      <c r="BE90" s="106">
        <v>76951.885784029015</v>
      </c>
      <c r="BF90" s="106">
        <v>24.011478226031638</v>
      </c>
      <c r="BG90" s="106">
        <v>52758.019958236713</v>
      </c>
      <c r="BH90" s="106">
        <v>3.003058993276611</v>
      </c>
      <c r="BI90" s="106">
        <v>6598.3212200273692</v>
      </c>
      <c r="BJ90" s="106">
        <v>3</v>
      </c>
      <c r="BK90" s="106">
        <v>6591.5999999999995</v>
      </c>
      <c r="BL90" s="106">
        <v>4.007285950237093</v>
      </c>
      <c r="BM90" s="106">
        <v>8804.8086898609399</v>
      </c>
      <c r="BN90" s="106">
        <v>3.0047750189230102</v>
      </c>
      <c r="BO90" s="106">
        <v>6602.0916715776375</v>
      </c>
      <c r="BP90" s="106">
        <v>12.006376805629861</v>
      </c>
      <c r="BQ90" s="106">
        <v>26380.411117329928</v>
      </c>
      <c r="BR90" s="106">
        <v>15</v>
      </c>
      <c r="BS90" s="106">
        <v>32958</v>
      </c>
      <c r="BT90" s="106">
        <v>16.017460248449659</v>
      </c>
      <c r="BU90" s="106">
        <v>35193.563657893588</v>
      </c>
      <c r="BV90" s="106">
        <v>14</v>
      </c>
      <c r="BW90" s="106">
        <v>30760.799999999996</v>
      </c>
      <c r="BX90" s="106">
        <v>6</v>
      </c>
      <c r="BY90" s="106">
        <v>13183.199999999999</v>
      </c>
      <c r="BZ90" s="106">
        <v>11.00569512634566</v>
      </c>
      <c r="CA90" s="106">
        <v>24181.713331606683</v>
      </c>
      <c r="CB90" s="106">
        <v>6.0023197995649173</v>
      </c>
      <c r="CC90" s="106">
        <v>13188.297063604035</v>
      </c>
      <c r="CD90" s="106">
        <v>6.0032340402067508</v>
      </c>
      <c r="CE90" s="106">
        <v>13190.305833142273</v>
      </c>
      <c r="CF90" s="106">
        <v>10.012740712694486</v>
      </c>
      <c r="CG90" s="106">
        <v>21999.993893932322</v>
      </c>
      <c r="CH90" s="106">
        <v>7.0093457716467782</v>
      </c>
      <c r="CI90" s="106">
        <v>15400.9345294623</v>
      </c>
      <c r="CJ90" s="106">
        <v>6.0178250837650928</v>
      </c>
      <c r="CK90" s="106">
        <v>13222.365274048661</v>
      </c>
      <c r="CL90" s="106">
        <v>6.0078492741584588</v>
      </c>
      <c r="CM90" s="106">
        <v>13200.446425180964</v>
      </c>
      <c r="CN90" s="106">
        <v>27.001990046664982</v>
      </c>
      <c r="CO90" s="106">
        <v>59328.772530532297</v>
      </c>
      <c r="CP90" s="106">
        <v>21</v>
      </c>
      <c r="CQ90" s="106">
        <v>46141.2</v>
      </c>
      <c r="CR90" s="106">
        <v>29</v>
      </c>
      <c r="CS90" s="106">
        <v>63718.799999999996</v>
      </c>
      <c r="CT90" s="106">
        <v>17.003461041782788</v>
      </c>
      <c r="CU90" s="106">
        <v>37360.004601005137</v>
      </c>
    </row>
    <row r="91" spans="2:99" x14ac:dyDescent="0.2">
      <c r="C91" s="105" t="s">
        <v>258</v>
      </c>
      <c r="D91" s="106">
        <v>4.0303398515478781</v>
      </c>
      <c r="E91" s="106">
        <v>9256.8845710351652</v>
      </c>
      <c r="F91" s="106">
        <v>4.0230231139053254</v>
      </c>
      <c r="G91" s="106">
        <v>9240.0794880177509</v>
      </c>
      <c r="H91" s="106">
        <v>5.025980539991429</v>
      </c>
      <c r="I91" s="106">
        <v>11543.672104252313</v>
      </c>
      <c r="J91" s="106">
        <v>4.0023036623902888</v>
      </c>
      <c r="K91" s="106">
        <v>9192.4910517780136</v>
      </c>
      <c r="L91" s="106">
        <v>9.0055335914241077</v>
      </c>
      <c r="M91" s="106">
        <v>20683.909552782887</v>
      </c>
      <c r="N91" s="106">
        <v>8</v>
      </c>
      <c r="O91" s="106">
        <v>18374.399999999998</v>
      </c>
      <c r="P91" s="106">
        <v>7</v>
      </c>
      <c r="Q91" s="106">
        <v>16077.599999999999</v>
      </c>
      <c r="R91" s="106">
        <v>5.0147299113141628</v>
      </c>
      <c r="S91" s="106">
        <v>11517.831660306369</v>
      </c>
      <c r="T91" s="106">
        <v>6.0182810027173099</v>
      </c>
      <c r="U91" s="106">
        <v>13822.787807041115</v>
      </c>
      <c r="V91" s="106">
        <v>7.0057287238126653</v>
      </c>
      <c r="W91" s="106">
        <v>16090.757732852928</v>
      </c>
      <c r="X91" s="106">
        <v>9.0069668598732004</v>
      </c>
      <c r="Y91" s="106">
        <v>20687.201483756766</v>
      </c>
      <c r="Z91" s="106">
        <v>8.0095162509448219</v>
      </c>
      <c r="AA91" s="106">
        <v>18396.256925170066</v>
      </c>
      <c r="AB91" s="106">
        <v>11.007744834344571</v>
      </c>
      <c r="AC91" s="106">
        <v>25282.588335522607</v>
      </c>
      <c r="AD91" s="106">
        <v>13.006884661117716</v>
      </c>
      <c r="AE91" s="106">
        <v>29874.212689655167</v>
      </c>
      <c r="AF91" s="106">
        <v>19.007087810547173</v>
      </c>
      <c r="AG91" s="106">
        <v>43655.479283264744</v>
      </c>
      <c r="AH91" s="106">
        <v>14.005847930908203</v>
      </c>
      <c r="AI91" s="106">
        <v>32168.631527709957</v>
      </c>
      <c r="AJ91" s="106">
        <v>2.009832120122959</v>
      </c>
      <c r="AK91" s="106">
        <v>4616.1824134984117</v>
      </c>
      <c r="AL91" s="106">
        <v>3</v>
      </c>
      <c r="AM91" s="106">
        <v>6890.4</v>
      </c>
      <c r="AN91" s="106">
        <v>3.0222221609033011</v>
      </c>
      <c r="AO91" s="106">
        <v>6941.4398591627014</v>
      </c>
      <c r="AP91" s="106">
        <v>3</v>
      </c>
      <c r="AQ91" s="106">
        <v>6890.4</v>
      </c>
      <c r="AR91" s="106">
        <v>37.001054852026925</v>
      </c>
      <c r="AS91" s="106">
        <v>84984.022784135435</v>
      </c>
      <c r="AT91" s="106">
        <v>30.001855286859133</v>
      </c>
      <c r="AU91" s="106">
        <v>68908.261222858055</v>
      </c>
      <c r="AV91" s="106">
        <v>22.003414307950798</v>
      </c>
      <c r="AW91" s="106">
        <v>50537.44198250139</v>
      </c>
      <c r="AX91" s="106">
        <v>28.001129943204443</v>
      </c>
      <c r="AY91" s="106">
        <v>64312.995253551955</v>
      </c>
      <c r="AZ91" s="106">
        <v>20</v>
      </c>
      <c r="BA91" s="106">
        <v>45935.999999999993</v>
      </c>
      <c r="BB91" s="106">
        <v>32.006883339939229</v>
      </c>
      <c r="BC91" s="106">
        <v>73513.409655172407</v>
      </c>
      <c r="BD91" s="106">
        <v>37.018697619869307</v>
      </c>
      <c r="BE91" s="106">
        <v>85024.544693315809</v>
      </c>
      <c r="BF91" s="106">
        <v>23.010782575969113</v>
      </c>
      <c r="BG91" s="106">
        <v>52851.16542048585</v>
      </c>
      <c r="BH91" s="106">
        <v>3.0033503259696217</v>
      </c>
      <c r="BI91" s="106">
        <v>6898.0950286870266</v>
      </c>
      <c r="BJ91" s="106">
        <v>3</v>
      </c>
      <c r="BK91" s="106">
        <v>6890.4</v>
      </c>
      <c r="BL91" s="106">
        <v>4.007285950237093</v>
      </c>
      <c r="BM91" s="106">
        <v>9203.934370504554</v>
      </c>
      <c r="BN91" s="106">
        <v>4.0047750189230102</v>
      </c>
      <c r="BO91" s="106">
        <v>9198.1672634623683</v>
      </c>
      <c r="BP91" s="106">
        <v>11.006956515232575</v>
      </c>
      <c r="BQ91" s="106">
        <v>25280.777724186177</v>
      </c>
      <c r="BR91" s="106">
        <v>14</v>
      </c>
      <c r="BS91" s="106">
        <v>32155.199999999997</v>
      </c>
      <c r="BT91" s="106">
        <v>17.019841191420067</v>
      </c>
      <c r="BU91" s="106">
        <v>39091.171248453604</v>
      </c>
      <c r="BV91" s="106">
        <v>13</v>
      </c>
      <c r="BW91" s="106">
        <v>29858.399999999998</v>
      </c>
      <c r="BX91" s="106">
        <v>6</v>
      </c>
      <c r="BY91" s="106">
        <v>13780.8</v>
      </c>
      <c r="BZ91" s="106">
        <v>10.006365141209855</v>
      </c>
      <c r="CA91" s="106">
        <v>22982.619456330791</v>
      </c>
      <c r="CB91" s="106">
        <v>6.0023197995649173</v>
      </c>
      <c r="CC91" s="106">
        <v>13786.1281156407</v>
      </c>
      <c r="CD91" s="106">
        <v>6.0028936149218302</v>
      </c>
      <c r="CE91" s="106">
        <v>13787.446054752458</v>
      </c>
      <c r="CF91" s="106">
        <v>10.011555530118255</v>
      </c>
      <c r="CG91" s="106">
        <v>22994.540741575605</v>
      </c>
      <c r="CH91" s="106">
        <v>8.0096572973683386</v>
      </c>
      <c r="CI91" s="106">
        <v>18396.580880595597</v>
      </c>
      <c r="CJ91" s="106">
        <v>7.0171120804144893</v>
      </c>
      <c r="CK91" s="106">
        <v>16116.903026295997</v>
      </c>
      <c r="CL91" s="106">
        <v>6.0072213322257824</v>
      </c>
      <c r="CM91" s="106">
        <v>13797.385955856174</v>
      </c>
      <c r="CN91" s="106">
        <v>25.002487558331225</v>
      </c>
      <c r="CO91" s="106">
        <v>57425.713423975154</v>
      </c>
      <c r="CP91" s="106">
        <v>22</v>
      </c>
      <c r="CQ91" s="106">
        <v>50529.599999999991</v>
      </c>
      <c r="CR91" s="106">
        <v>26</v>
      </c>
      <c r="CS91" s="106">
        <v>59716.799999999996</v>
      </c>
      <c r="CT91" s="106">
        <v>15.00346104178279</v>
      </c>
      <c r="CU91" s="106">
        <v>34459.949320766711</v>
      </c>
    </row>
    <row r="92" spans="2:99" x14ac:dyDescent="0.2">
      <c r="C92" s="105" t="s">
        <v>259</v>
      </c>
      <c r="D92" s="106">
        <v>4.0328681725102014</v>
      </c>
      <c r="E92" s="106">
        <v>5729.8990995024942</v>
      </c>
      <c r="F92" s="106">
        <v>4.0209301035502962</v>
      </c>
      <c r="G92" s="106">
        <v>5712.9374911242603</v>
      </c>
      <c r="H92" s="106">
        <v>5.0307042745353252</v>
      </c>
      <c r="I92" s="106">
        <v>7147.6246332597902</v>
      </c>
      <c r="J92" s="106">
        <v>4.0023036623902888</v>
      </c>
      <c r="K92" s="106">
        <v>5686.4730435241217</v>
      </c>
      <c r="L92" s="106">
        <v>9.006324104484694</v>
      </c>
      <c r="M92" s="106">
        <v>12796.185287651853</v>
      </c>
      <c r="N92" s="106">
        <v>9</v>
      </c>
      <c r="O92" s="106">
        <v>12787.199999999999</v>
      </c>
      <c r="P92" s="106">
        <v>8</v>
      </c>
      <c r="Q92" s="106">
        <v>11366.4</v>
      </c>
      <c r="R92" s="106">
        <v>7.0189852190271429</v>
      </c>
      <c r="S92" s="106">
        <v>9972.5741991937648</v>
      </c>
      <c r="T92" s="106">
        <v>7.0226466153065186</v>
      </c>
      <c r="U92" s="106">
        <v>9977.7763110275009</v>
      </c>
      <c r="V92" s="106">
        <v>8.0074136425810973</v>
      </c>
      <c r="W92" s="106">
        <v>11376.933303379223</v>
      </c>
      <c r="X92" s="106">
        <v>9.0069668598732004</v>
      </c>
      <c r="Y92" s="106">
        <v>12797.098514507843</v>
      </c>
      <c r="Z92" s="106">
        <v>8.0111022927689586</v>
      </c>
      <c r="AA92" s="106">
        <v>11382.174137566137</v>
      </c>
      <c r="AB92" s="106">
        <v>13.009111569817144</v>
      </c>
      <c r="AC92" s="106">
        <v>18483.345718396198</v>
      </c>
      <c r="AD92" s="106">
        <v>17.007917360285376</v>
      </c>
      <c r="AE92" s="106">
        <v>24164.84898549346</v>
      </c>
      <c r="AF92" s="106">
        <v>22.007395976223137</v>
      </c>
      <c r="AG92" s="106">
        <v>31268.108203017833</v>
      </c>
      <c r="AH92" s="106">
        <v>16.00740737915039</v>
      </c>
      <c r="AI92" s="106">
        <v>22743.324404296873</v>
      </c>
      <c r="AJ92" s="106">
        <v>2.0115107747780985</v>
      </c>
      <c r="AK92" s="106">
        <v>2857.9545088047221</v>
      </c>
      <c r="AL92" s="106">
        <v>3</v>
      </c>
      <c r="AM92" s="106">
        <v>4262.3999999999996</v>
      </c>
      <c r="AN92" s="106">
        <v>3.0238805311199655</v>
      </c>
      <c r="AO92" s="106">
        <v>4296.3294586152469</v>
      </c>
      <c r="AP92" s="106">
        <v>3</v>
      </c>
      <c r="AQ92" s="106">
        <v>4262.3999999999996</v>
      </c>
      <c r="AR92" s="106">
        <v>45.000949366824237</v>
      </c>
      <c r="AS92" s="106">
        <v>63937.34886038387</v>
      </c>
      <c r="AT92" s="106">
        <v>36.00210265844035</v>
      </c>
      <c r="AU92" s="106">
        <v>51151.787457112048</v>
      </c>
      <c r="AV92" s="106">
        <v>26.003939586097072</v>
      </c>
      <c r="AW92" s="106">
        <v>36946.397363926721</v>
      </c>
      <c r="AX92" s="106">
        <v>34.001232665313935</v>
      </c>
      <c r="AY92" s="106">
        <v>48308.951370878036</v>
      </c>
      <c r="AZ92" s="106">
        <v>25</v>
      </c>
      <c r="BA92" s="106">
        <v>35520</v>
      </c>
      <c r="BB92" s="106">
        <v>46.007648155488027</v>
      </c>
      <c r="BC92" s="106">
        <v>65367.666499317391</v>
      </c>
      <c r="BD92" s="106">
        <v>46.020700936283873</v>
      </c>
      <c r="BE92" s="106">
        <v>65386.211890272127</v>
      </c>
      <c r="BF92" s="106">
        <v>30.012869526156685</v>
      </c>
      <c r="BG92" s="106">
        <v>42642.285022763419</v>
      </c>
      <c r="BH92" s="106">
        <v>3.0034959923161266</v>
      </c>
      <c r="BI92" s="106">
        <v>4267.3671058827522</v>
      </c>
      <c r="BJ92" s="106">
        <v>3</v>
      </c>
      <c r="BK92" s="106">
        <v>4262.3999999999996</v>
      </c>
      <c r="BL92" s="106">
        <v>4.008014545260802</v>
      </c>
      <c r="BM92" s="106">
        <v>5694.5870659065477</v>
      </c>
      <c r="BN92" s="106">
        <v>4.0051423280709342</v>
      </c>
      <c r="BO92" s="106">
        <v>5690.5062197231828</v>
      </c>
      <c r="BP92" s="106">
        <v>12.008695644040721</v>
      </c>
      <c r="BQ92" s="106">
        <v>17061.954771053057</v>
      </c>
      <c r="BR92" s="106">
        <v>18</v>
      </c>
      <c r="BS92" s="106">
        <v>25574.399999999998</v>
      </c>
      <c r="BT92" s="106">
        <v>18.02063483907687</v>
      </c>
      <c r="BU92" s="106">
        <v>25603.717979360415</v>
      </c>
      <c r="BV92" s="106">
        <v>15</v>
      </c>
      <c r="BW92" s="106">
        <v>21312</v>
      </c>
      <c r="BX92" s="106">
        <v>6</v>
      </c>
      <c r="BY92" s="106">
        <v>8524.7999999999993</v>
      </c>
      <c r="BZ92" s="106">
        <v>10.006365141209855</v>
      </c>
      <c r="CA92" s="106">
        <v>14217.043592630962</v>
      </c>
      <c r="CB92" s="106">
        <v>8.0023197995649173</v>
      </c>
      <c r="CC92" s="106">
        <v>11369.695971221834</v>
      </c>
      <c r="CD92" s="106">
        <v>7.0035744654916723</v>
      </c>
      <c r="CE92" s="106">
        <v>9950.6786005705671</v>
      </c>
      <c r="CF92" s="106">
        <v>10.014222190914774</v>
      </c>
      <c r="CG92" s="106">
        <v>14228.20688885171</v>
      </c>
      <c r="CH92" s="106">
        <v>8.0090342459252195</v>
      </c>
      <c r="CI92" s="106">
        <v>11379.235856610552</v>
      </c>
      <c r="CJ92" s="106">
        <v>8.0192510904662999</v>
      </c>
      <c r="CK92" s="106">
        <v>11393.751949334519</v>
      </c>
      <c r="CL92" s="106">
        <v>7.0078492741584588</v>
      </c>
      <c r="CM92" s="106">
        <v>9956.7522487243386</v>
      </c>
      <c r="CN92" s="106">
        <v>29.002487558331225</v>
      </c>
      <c r="CO92" s="106">
        <v>41206.734322877004</v>
      </c>
      <c r="CP92" s="106">
        <v>26</v>
      </c>
      <c r="CQ92" s="106">
        <v>36940.799999999996</v>
      </c>
      <c r="CR92" s="106">
        <v>33</v>
      </c>
      <c r="CS92" s="106">
        <v>46886.400000000001</v>
      </c>
      <c r="CT92" s="106">
        <v>18.003461041782788</v>
      </c>
      <c r="CU92" s="106">
        <v>25579.317448164984</v>
      </c>
    </row>
    <row r="93" spans="2:99" x14ac:dyDescent="0.2">
      <c r="C93" s="105" t="s">
        <v>260</v>
      </c>
      <c r="D93" s="106">
        <v>4.0303398515478781</v>
      </c>
      <c r="E93" s="106">
        <v>7143.3743528834584</v>
      </c>
      <c r="F93" s="106">
        <v>4.0230231139053254</v>
      </c>
      <c r="G93" s="106">
        <v>7130.4061670857982</v>
      </c>
      <c r="H93" s="106">
        <v>5.0283424072633771</v>
      </c>
      <c r="I93" s="106">
        <v>8912.2340826336094</v>
      </c>
      <c r="J93" s="106">
        <v>4.0025130862439511</v>
      </c>
      <c r="K93" s="106">
        <v>7094.0541940587782</v>
      </c>
      <c r="L93" s="106">
        <v>9.006324104484694</v>
      </c>
      <c r="M93" s="106">
        <v>15962.808842788671</v>
      </c>
      <c r="N93" s="106">
        <v>8</v>
      </c>
      <c r="O93" s="106">
        <v>14179.199999999999</v>
      </c>
      <c r="P93" s="106">
        <v>8</v>
      </c>
      <c r="Q93" s="106">
        <v>14179.199999999999</v>
      </c>
      <c r="R93" s="106">
        <v>6.0176758935769952</v>
      </c>
      <c r="S93" s="106">
        <v>10665.728753775866</v>
      </c>
      <c r="T93" s="106">
        <v>6.0207366597987395</v>
      </c>
      <c r="U93" s="106">
        <v>10671.153655827286</v>
      </c>
      <c r="V93" s="106">
        <v>8.0067396750737245</v>
      </c>
      <c r="W93" s="106">
        <v>14191.145400100668</v>
      </c>
      <c r="X93" s="106">
        <v>9.0071367832847429</v>
      </c>
      <c r="Y93" s="106">
        <v>15964.249234693878</v>
      </c>
      <c r="Z93" s="106">
        <v>9.0098334593096503</v>
      </c>
      <c r="AA93" s="106">
        <v>15969.028823280423</v>
      </c>
      <c r="AB93" s="106">
        <v>12.008200412835428</v>
      </c>
      <c r="AC93" s="106">
        <v>21283.334411709511</v>
      </c>
      <c r="AD93" s="106">
        <v>15.007228894173602</v>
      </c>
      <c r="AE93" s="106">
        <v>26598.812492033292</v>
      </c>
      <c r="AF93" s="106">
        <v>23.007395976223137</v>
      </c>
      <c r="AG93" s="106">
        <v>40778.308628257888</v>
      </c>
      <c r="AH93" s="106">
        <v>17.006627655029298</v>
      </c>
      <c r="AI93" s="106">
        <v>30142.546855773926</v>
      </c>
      <c r="AJ93" s="106">
        <v>2.0119903903938527</v>
      </c>
      <c r="AK93" s="106">
        <v>3566.0517679340642</v>
      </c>
      <c r="AL93" s="106">
        <v>3</v>
      </c>
      <c r="AM93" s="106">
        <v>5317.2</v>
      </c>
      <c r="AN93" s="106">
        <v>3.0205637906866372</v>
      </c>
      <c r="AO93" s="106">
        <v>5353.6472626129953</v>
      </c>
      <c r="AP93" s="106">
        <v>3</v>
      </c>
      <c r="AQ93" s="106">
        <v>5317.2</v>
      </c>
      <c r="AR93" s="106">
        <v>44.000949366824237</v>
      </c>
      <c r="AS93" s="106">
        <v>77987.282657759279</v>
      </c>
      <c r="AT93" s="106">
        <v>31.00210265844035</v>
      </c>
      <c r="AU93" s="106">
        <v>54948.126751819669</v>
      </c>
      <c r="AV93" s="106">
        <v>25.003676947023937</v>
      </c>
      <c r="AW93" s="106">
        <v>44316.517020905223</v>
      </c>
      <c r="AX93" s="106">
        <v>35.001129943204447</v>
      </c>
      <c r="AY93" s="106">
        <v>62036.002711335554</v>
      </c>
      <c r="AZ93" s="106">
        <v>24</v>
      </c>
      <c r="BA93" s="106">
        <v>42537.599999999999</v>
      </c>
      <c r="BB93" s="106">
        <v>38.007265747713625</v>
      </c>
      <c r="BC93" s="106">
        <v>67364.077811247626</v>
      </c>
      <c r="BD93" s="106">
        <v>44.021368708422067</v>
      </c>
      <c r="BE93" s="106">
        <v>78023.473898807264</v>
      </c>
      <c r="BF93" s="106">
        <v>26.010434750937854</v>
      </c>
      <c r="BG93" s="106">
        <v>46100.894552562248</v>
      </c>
      <c r="BH93" s="106">
        <v>4.0033503259696213</v>
      </c>
      <c r="BI93" s="106">
        <v>7095.538117748556</v>
      </c>
      <c r="BJ93" s="106">
        <v>3</v>
      </c>
      <c r="BK93" s="106">
        <v>5317.2</v>
      </c>
      <c r="BL93" s="106">
        <v>4.008014545260802</v>
      </c>
      <c r="BM93" s="106">
        <v>7103.8049800202452</v>
      </c>
      <c r="BN93" s="106">
        <v>4.0049586734969722</v>
      </c>
      <c r="BO93" s="106">
        <v>7098.388752906033</v>
      </c>
      <c r="BP93" s="106">
        <v>11.006956515232575</v>
      </c>
      <c r="BQ93" s="106">
        <v>19508.729727598216</v>
      </c>
      <c r="BR93" s="106">
        <v>18</v>
      </c>
      <c r="BS93" s="106">
        <v>31903.199999999997</v>
      </c>
      <c r="BT93" s="106">
        <v>19.02023801524847</v>
      </c>
      <c r="BU93" s="106">
        <v>33711.469858226388</v>
      </c>
      <c r="BV93" s="106">
        <v>14</v>
      </c>
      <c r="BW93" s="106">
        <v>24813.599999999999</v>
      </c>
      <c r="BX93" s="106">
        <v>7</v>
      </c>
      <c r="BY93" s="106">
        <v>12406.8</v>
      </c>
      <c r="BZ93" s="106">
        <v>10.00569512634566</v>
      </c>
      <c r="CA93" s="106">
        <v>17734.094041935048</v>
      </c>
      <c r="CB93" s="106">
        <v>7.0019883996270718</v>
      </c>
      <c r="CC93" s="106">
        <v>12410.324239499021</v>
      </c>
      <c r="CD93" s="106">
        <v>7.00306382756429</v>
      </c>
      <c r="CE93" s="106">
        <v>12412.230327974947</v>
      </c>
      <c r="CF93" s="106">
        <v>10.012444417050428</v>
      </c>
      <c r="CG93" s="106">
        <v>17746.056484780176</v>
      </c>
      <c r="CH93" s="106">
        <v>8.0093457716467782</v>
      </c>
      <c r="CI93" s="106">
        <v>14195.764445666749</v>
      </c>
      <c r="CJ93" s="106">
        <v>6.0156860737132813</v>
      </c>
      <c r="CK93" s="106">
        <v>10662.201997049418</v>
      </c>
      <c r="CL93" s="106">
        <v>6.0078492741584588</v>
      </c>
      <c r="CM93" s="106">
        <v>10648.312053518452</v>
      </c>
      <c r="CN93" s="106">
        <v>26.002238802498105</v>
      </c>
      <c r="CO93" s="106">
        <v>46086.368053547638</v>
      </c>
      <c r="CP93" s="106">
        <v>24</v>
      </c>
      <c r="CQ93" s="106">
        <v>42537.599999999999</v>
      </c>
      <c r="CR93" s="106">
        <v>33</v>
      </c>
      <c r="CS93" s="106">
        <v>58489.2</v>
      </c>
      <c r="CT93" s="106">
        <v>18.003955476323188</v>
      </c>
      <c r="CU93" s="106">
        <v>31910.210686235216</v>
      </c>
    </row>
    <row r="94" spans="2:99" x14ac:dyDescent="0.2">
      <c r="C94" s="105" t="s">
        <v>261</v>
      </c>
      <c r="D94" s="106">
        <v>3.0328681725102014</v>
      </c>
      <c r="E94" s="106">
        <v>7264.3258467964333</v>
      </c>
      <c r="F94" s="106">
        <v>4.0230231139053254</v>
      </c>
      <c r="G94" s="106">
        <v>9635.9449624260342</v>
      </c>
      <c r="H94" s="106">
        <v>5.0283424072633771</v>
      </c>
      <c r="I94" s="106">
        <v>12043.88573387724</v>
      </c>
      <c r="J94" s="106">
        <v>3.0023036623902888</v>
      </c>
      <c r="K94" s="106">
        <v>7191.1177321572195</v>
      </c>
      <c r="L94" s="106">
        <v>9.0059288479544009</v>
      </c>
      <c r="M94" s="106">
        <v>21571.000776620378</v>
      </c>
      <c r="N94" s="106">
        <v>7</v>
      </c>
      <c r="O94" s="106">
        <v>16766.399999999998</v>
      </c>
      <c r="P94" s="106">
        <v>7</v>
      </c>
      <c r="Q94" s="106">
        <v>16766.399999999998</v>
      </c>
      <c r="R94" s="106">
        <v>6.0160392367643105</v>
      </c>
      <c r="S94" s="106">
        <v>14409.617179897876</v>
      </c>
      <c r="T94" s="106">
        <v>6.0185538535041356</v>
      </c>
      <c r="U94" s="106">
        <v>14415.640189913105</v>
      </c>
      <c r="V94" s="106">
        <v>7.0062341994431945</v>
      </c>
      <c r="W94" s="106">
        <v>16781.332154506337</v>
      </c>
      <c r="X94" s="106">
        <v>9.0062871662270343</v>
      </c>
      <c r="Y94" s="106">
        <v>21571.859020546992</v>
      </c>
      <c r="Z94" s="106">
        <v>8.0096748551272352</v>
      </c>
      <c r="AA94" s="106">
        <v>19184.773213000753</v>
      </c>
      <c r="AB94" s="106">
        <v>12.007289255853715</v>
      </c>
      <c r="AC94" s="106">
        <v>28759.859225620818</v>
      </c>
      <c r="AD94" s="106">
        <v>14.007228894173602</v>
      </c>
      <c r="AE94" s="106">
        <v>33550.114647324612</v>
      </c>
      <c r="AF94" s="106">
        <v>18.007395976223137</v>
      </c>
      <c r="AG94" s="106">
        <v>43131.314842249652</v>
      </c>
      <c r="AH94" s="106">
        <v>15.006237792968751</v>
      </c>
      <c r="AI94" s="106">
        <v>35942.940761718746</v>
      </c>
      <c r="AJ94" s="106">
        <v>2.0107913513544675</v>
      </c>
      <c r="AK94" s="106">
        <v>4816.2474447642198</v>
      </c>
      <c r="AL94" s="106">
        <v>3</v>
      </c>
      <c r="AM94" s="106">
        <v>7185.5999999999995</v>
      </c>
      <c r="AN94" s="106">
        <v>3.0189054204699728</v>
      </c>
      <c r="AO94" s="106">
        <v>7230.8822631096782</v>
      </c>
      <c r="AP94" s="106">
        <v>3</v>
      </c>
      <c r="AQ94" s="106">
        <v>7185.5999999999995</v>
      </c>
      <c r="AR94" s="106">
        <v>39.000843881621542</v>
      </c>
      <c r="AS94" s="106">
        <v>93414.821265259903</v>
      </c>
      <c r="AT94" s="106">
        <v>27.001978972649741</v>
      </c>
      <c r="AU94" s="106">
        <v>64675.140035290657</v>
      </c>
      <c r="AV94" s="106">
        <v>21.003676947023937</v>
      </c>
      <c r="AW94" s="106">
        <v>50308.007023511731</v>
      </c>
      <c r="AX94" s="106">
        <v>30.001232665313939</v>
      </c>
      <c r="AY94" s="106">
        <v>71858.952479959946</v>
      </c>
      <c r="AZ94" s="106">
        <v>22</v>
      </c>
      <c r="BA94" s="106">
        <v>52694.399999999994</v>
      </c>
      <c r="BB94" s="106">
        <v>39.00803056326243</v>
      </c>
      <c r="BC94" s="106">
        <v>93432.034805126168</v>
      </c>
      <c r="BD94" s="106">
        <v>36.018697619869307</v>
      </c>
      <c r="BE94" s="106">
        <v>86271.984539110956</v>
      </c>
      <c r="BF94" s="106">
        <v>21.010434750937854</v>
      </c>
      <c r="BG94" s="106">
        <v>50324.193315446348</v>
      </c>
      <c r="BH94" s="106">
        <v>3.0032046596231163</v>
      </c>
      <c r="BI94" s="106">
        <v>7193.2758007292878</v>
      </c>
      <c r="BJ94" s="106">
        <v>3</v>
      </c>
      <c r="BK94" s="106">
        <v>7185.5999999999995</v>
      </c>
      <c r="BL94" s="106">
        <v>4.008014545260802</v>
      </c>
      <c r="BM94" s="106">
        <v>9599.9964388086719</v>
      </c>
      <c r="BN94" s="106">
        <v>4.0049586734969722</v>
      </c>
      <c r="BO94" s="106">
        <v>9592.6770147599473</v>
      </c>
      <c r="BP94" s="106">
        <v>10.0065700421641</v>
      </c>
      <c r="BQ94" s="106">
        <v>23967.73656499145</v>
      </c>
      <c r="BR94" s="106">
        <v>15</v>
      </c>
      <c r="BS94" s="106">
        <v>35928</v>
      </c>
      <c r="BT94" s="106">
        <v>17.019841191420067</v>
      </c>
      <c r="BU94" s="106">
        <v>40765.923621689341</v>
      </c>
      <c r="BV94" s="106">
        <v>15</v>
      </c>
      <c r="BW94" s="106">
        <v>35928</v>
      </c>
      <c r="BX94" s="106">
        <v>7</v>
      </c>
      <c r="BY94" s="106">
        <v>16766.399999999998</v>
      </c>
      <c r="BZ94" s="106">
        <v>9.005360118913563</v>
      </c>
      <c r="CA94" s="106">
        <v>21569.638556821763</v>
      </c>
      <c r="CB94" s="106">
        <v>6.0021540995959946</v>
      </c>
      <c r="CC94" s="106">
        <v>14376.359499352326</v>
      </c>
      <c r="CD94" s="106">
        <v>7.0028936149218302</v>
      </c>
      <c r="CE94" s="106">
        <v>16773.330786460767</v>
      </c>
      <c r="CF94" s="106">
        <v>10.011851825762312</v>
      </c>
      <c r="CG94" s="106">
        <v>23980.387493065889</v>
      </c>
      <c r="CH94" s="106">
        <v>8.0087227202036608</v>
      </c>
      <c r="CI94" s="106">
        <v>19182.492659431806</v>
      </c>
      <c r="CJ94" s="106">
        <v>7.0163990770638858</v>
      </c>
      <c r="CK94" s="106">
        <v>16805.679069383419</v>
      </c>
      <c r="CL94" s="106">
        <v>5.0075353031921201</v>
      </c>
      <c r="CM94" s="106">
        <v>11994.048558205764</v>
      </c>
      <c r="CN94" s="106">
        <v>28.001990046664982</v>
      </c>
      <c r="CO94" s="106">
        <v>67070.366559771966</v>
      </c>
      <c r="CP94" s="106">
        <v>20</v>
      </c>
      <c r="CQ94" s="106">
        <v>47904</v>
      </c>
      <c r="CR94" s="106">
        <v>26</v>
      </c>
      <c r="CS94" s="106">
        <v>62275.199999999997</v>
      </c>
      <c r="CT94" s="106">
        <v>17.003955476323188</v>
      </c>
      <c r="CU94" s="106">
        <v>40727.874156889295</v>
      </c>
    </row>
    <row r="95" spans="2:99" x14ac:dyDescent="0.2">
      <c r="B95" s="105" t="s">
        <v>132</v>
      </c>
      <c r="C95" s="105" t="s">
        <v>262</v>
      </c>
      <c r="D95" s="106">
        <v>7.0809062707943422</v>
      </c>
      <c r="E95" s="106">
        <v>12269.794386032436</v>
      </c>
      <c r="F95" s="106">
        <v>4.0879064349112424</v>
      </c>
      <c r="G95" s="106">
        <v>7083.5242704142011</v>
      </c>
      <c r="H95" s="106">
        <v>3.1086458945096109</v>
      </c>
      <c r="I95" s="106">
        <v>5386.6616060062534</v>
      </c>
      <c r="J95" s="106">
        <v>4.0092146495611551</v>
      </c>
      <c r="K95" s="106">
        <v>6947.1671447595691</v>
      </c>
      <c r="L95" s="106">
        <v>3.006324104484694</v>
      </c>
      <c r="M95" s="106">
        <v>5209.3584082510779</v>
      </c>
      <c r="N95" s="106">
        <v>4</v>
      </c>
      <c r="O95" s="106">
        <v>6931.2</v>
      </c>
      <c r="P95" s="106">
        <v>4</v>
      </c>
      <c r="Q95" s="106">
        <v>6931.2</v>
      </c>
      <c r="R95" s="106">
        <v>3.0094926095135714</v>
      </c>
      <c r="S95" s="106">
        <v>5214.8487937651162</v>
      </c>
      <c r="T95" s="106">
        <v>7.0152796440622298</v>
      </c>
      <c r="U95" s="106">
        <v>12156.076567231032</v>
      </c>
      <c r="V95" s="106">
        <v>11.008256101965312</v>
      </c>
      <c r="W95" s="106">
        <v>19075.106173485492</v>
      </c>
      <c r="X95" s="106">
        <v>12.009345787634782</v>
      </c>
      <c r="Y95" s="106">
        <v>20809.79438081355</v>
      </c>
      <c r="Z95" s="106">
        <v>9.0071371882086169</v>
      </c>
      <c r="AA95" s="106">
        <v>15607.56731972789</v>
      </c>
      <c r="AB95" s="106">
        <v>4.0036446279268576</v>
      </c>
      <c r="AC95" s="106">
        <v>6937.5154112716591</v>
      </c>
      <c r="AD95" s="106">
        <v>7.0037865636147441</v>
      </c>
      <c r="AE95" s="106">
        <v>12136.161357431629</v>
      </c>
      <c r="AF95" s="106">
        <v>4.0036979881115684</v>
      </c>
      <c r="AG95" s="106">
        <v>6937.6078737997259</v>
      </c>
      <c r="AH95" s="106">
        <v>4.0031188964843754</v>
      </c>
      <c r="AI95" s="106">
        <v>6936.6044238281256</v>
      </c>
      <c r="AJ95" s="106">
        <v>38.005995195196924</v>
      </c>
      <c r="AK95" s="106">
        <v>65856.788474237226</v>
      </c>
      <c r="AL95" s="106">
        <v>29</v>
      </c>
      <c r="AM95" s="106">
        <v>50251.199999999997</v>
      </c>
      <c r="AN95" s="106">
        <v>29.010945243429983</v>
      </c>
      <c r="AO95" s="106">
        <v>50270.165917815473</v>
      </c>
      <c r="AP95" s="106">
        <v>29</v>
      </c>
      <c r="AQ95" s="106">
        <v>50251.199999999997</v>
      </c>
      <c r="AR95" s="106">
        <v>3.0044303785130988</v>
      </c>
      <c r="AS95" s="106">
        <v>5206.0769598874977</v>
      </c>
      <c r="AT95" s="106">
        <v>2.0038342595088716</v>
      </c>
      <c r="AU95" s="106">
        <v>3472.2440048769727</v>
      </c>
      <c r="AV95" s="106">
        <v>3.0099802847792532</v>
      </c>
      <c r="AW95" s="106">
        <v>5215.6938374654901</v>
      </c>
      <c r="AX95" s="106">
        <v>3.0044170507082808</v>
      </c>
      <c r="AY95" s="106">
        <v>5206.0538654673092</v>
      </c>
      <c r="AZ95" s="106">
        <v>8</v>
      </c>
      <c r="BA95" s="106">
        <v>13862.4</v>
      </c>
      <c r="BB95" s="106">
        <v>11.005736116616022</v>
      </c>
      <c r="BC95" s="106">
        <v>19070.739542872245</v>
      </c>
      <c r="BD95" s="106">
        <v>7.008013265658275</v>
      </c>
      <c r="BE95" s="106">
        <v>12143.485386732658</v>
      </c>
      <c r="BF95" s="106">
        <v>8.0052173754689271</v>
      </c>
      <c r="BG95" s="106">
        <v>13871.440668212557</v>
      </c>
      <c r="BH95" s="106">
        <v>10.003350325969622</v>
      </c>
      <c r="BI95" s="106">
        <v>17333.80544484016</v>
      </c>
      <c r="BJ95" s="106">
        <v>10</v>
      </c>
      <c r="BK95" s="106">
        <v>17328</v>
      </c>
      <c r="BL95" s="106">
        <v>8.0076502477489484</v>
      </c>
      <c r="BM95" s="106">
        <v>13875.656349299377</v>
      </c>
      <c r="BN95" s="106">
        <v>12.006060600940744</v>
      </c>
      <c r="BO95" s="106">
        <v>20804.101809310119</v>
      </c>
      <c r="BP95" s="106">
        <v>5.0086956440407198</v>
      </c>
      <c r="BQ95" s="106">
        <v>8679.0678119937584</v>
      </c>
      <c r="BR95" s="106">
        <v>5</v>
      </c>
      <c r="BS95" s="106">
        <v>8664</v>
      </c>
      <c r="BT95" s="106">
        <v>6.013095186337245</v>
      </c>
      <c r="BU95" s="106">
        <v>10419.491338885178</v>
      </c>
      <c r="BV95" s="106">
        <v>3</v>
      </c>
      <c r="BW95" s="106">
        <v>5198.3999999999996</v>
      </c>
      <c r="BX95" s="106">
        <v>12</v>
      </c>
      <c r="BY95" s="106">
        <v>20793.599999999999</v>
      </c>
      <c r="BZ95" s="106">
        <v>15.022445497950542</v>
      </c>
      <c r="CA95" s="106">
        <v>26030.8935588487</v>
      </c>
      <c r="CB95" s="106">
        <v>14.012096097731355</v>
      </c>
      <c r="CC95" s="106">
        <v>24280.160118148891</v>
      </c>
      <c r="CD95" s="106">
        <v>17.011234034402399</v>
      </c>
      <c r="CE95" s="106">
        <v>29477.066334812476</v>
      </c>
      <c r="CF95" s="106">
        <v>2.0038518433727512</v>
      </c>
      <c r="CG95" s="106">
        <v>3472.2744741963033</v>
      </c>
      <c r="CH95" s="106">
        <v>3.0024922057724743</v>
      </c>
      <c r="CI95" s="106">
        <v>5202.7184941625437</v>
      </c>
      <c r="CJ95" s="106">
        <v>4.0078430368566407</v>
      </c>
      <c r="CK95" s="106">
        <v>6944.7904142651869</v>
      </c>
      <c r="CL95" s="106">
        <v>3.0040816225623987</v>
      </c>
      <c r="CM95" s="106">
        <v>5205.472635576124</v>
      </c>
      <c r="CN95" s="106">
        <v>5.0119402799898882</v>
      </c>
      <c r="CO95" s="106">
        <v>8684.6901171664776</v>
      </c>
      <c r="CP95" s="106">
        <v>4</v>
      </c>
      <c r="CQ95" s="106">
        <v>6931.2</v>
      </c>
      <c r="CR95" s="106">
        <v>4</v>
      </c>
      <c r="CS95" s="106">
        <v>6931.2</v>
      </c>
      <c r="CT95" s="106">
        <v>4.0192829470755429</v>
      </c>
      <c r="CU95" s="106">
        <v>6964.6134906925008</v>
      </c>
    </row>
    <row r="96" spans="2:99" x14ac:dyDescent="0.2">
      <c r="C96" s="105" t="s">
        <v>263</v>
      </c>
      <c r="D96" s="106">
        <v>7.0960761965682817</v>
      </c>
      <c r="E96" s="106">
        <v>5841.4899250150092</v>
      </c>
      <c r="F96" s="106">
        <v>4.115115569526627</v>
      </c>
      <c r="G96" s="106">
        <v>3387.5631368343193</v>
      </c>
      <c r="H96" s="106">
        <v>4.1133696290535067</v>
      </c>
      <c r="I96" s="106">
        <v>3386.1258786368462</v>
      </c>
      <c r="J96" s="106">
        <v>4.010680616536793</v>
      </c>
      <c r="K96" s="106">
        <v>3301.5922835330875</v>
      </c>
      <c r="L96" s="106">
        <v>3.0067193610149876</v>
      </c>
      <c r="M96" s="106">
        <v>2475.1313779875377</v>
      </c>
      <c r="N96" s="106">
        <v>4</v>
      </c>
      <c r="O96" s="106">
        <v>3292.7999999999997</v>
      </c>
      <c r="P96" s="106">
        <v>4</v>
      </c>
      <c r="Q96" s="106">
        <v>3292.7999999999997</v>
      </c>
      <c r="R96" s="106">
        <v>3.0094926095135714</v>
      </c>
      <c r="S96" s="106">
        <v>2477.4143161515717</v>
      </c>
      <c r="T96" s="106">
        <v>9.0160981964227052</v>
      </c>
      <c r="U96" s="106">
        <v>7422.0520352951698</v>
      </c>
      <c r="V96" s="106">
        <v>12.011288955748487</v>
      </c>
      <c r="W96" s="106">
        <v>9887.693068372153</v>
      </c>
      <c r="X96" s="106">
        <v>13.009685634457865</v>
      </c>
      <c r="Y96" s="106">
        <v>10709.573214285714</v>
      </c>
      <c r="Z96" s="106">
        <v>11.008088813303099</v>
      </c>
      <c r="AA96" s="106">
        <v>9061.8587111111101</v>
      </c>
      <c r="AB96" s="106">
        <v>4.0036446279268576</v>
      </c>
      <c r="AC96" s="106">
        <v>3295.8002577093889</v>
      </c>
      <c r="AD96" s="106">
        <v>9.0037865636147441</v>
      </c>
      <c r="AE96" s="106">
        <v>7411.9170991676565</v>
      </c>
      <c r="AF96" s="106">
        <v>4.0036979881115684</v>
      </c>
      <c r="AG96" s="106">
        <v>3295.8441838134427</v>
      </c>
      <c r="AH96" s="106">
        <v>5.0035087585449221</v>
      </c>
      <c r="AI96" s="106">
        <v>4118.8884100341793</v>
      </c>
      <c r="AJ96" s="106">
        <v>46.005995195196924</v>
      </c>
      <c r="AK96" s="106">
        <v>37872.135244686106</v>
      </c>
      <c r="AL96" s="106">
        <v>34</v>
      </c>
      <c r="AM96" s="106">
        <v>27988.799999999999</v>
      </c>
      <c r="AN96" s="106">
        <v>32.012603613646647</v>
      </c>
      <c r="AO96" s="106">
        <v>26352.775294753916</v>
      </c>
      <c r="AP96" s="106">
        <v>35</v>
      </c>
      <c r="AQ96" s="106">
        <v>28811.999999999996</v>
      </c>
      <c r="AR96" s="106">
        <v>3.0052742601346414</v>
      </c>
      <c r="AS96" s="106">
        <v>2473.9417709428367</v>
      </c>
      <c r="AT96" s="106">
        <v>2.0044526884619156</v>
      </c>
      <c r="AU96" s="106">
        <v>1650.0654531418488</v>
      </c>
      <c r="AV96" s="106">
        <v>3.0110308410718059</v>
      </c>
      <c r="AW96" s="106">
        <v>2478.6805883703105</v>
      </c>
      <c r="AX96" s="106">
        <v>2.0046224949272706</v>
      </c>
      <c r="AY96" s="106">
        <v>1650.205237824129</v>
      </c>
      <c r="AZ96" s="106">
        <v>9</v>
      </c>
      <c r="BA96" s="106">
        <v>7408.7999999999993</v>
      </c>
      <c r="BB96" s="106">
        <v>11.006118524390423</v>
      </c>
      <c r="BC96" s="106">
        <v>9060.2367692781954</v>
      </c>
      <c r="BD96" s="106">
        <v>8.0080132656582741</v>
      </c>
      <c r="BE96" s="106">
        <v>6592.1965202898909</v>
      </c>
      <c r="BF96" s="106">
        <v>8.0059130255314503</v>
      </c>
      <c r="BG96" s="106">
        <v>6590.4676026174893</v>
      </c>
      <c r="BH96" s="106">
        <v>11.003350325969622</v>
      </c>
      <c r="BI96" s="106">
        <v>9057.9579883381921</v>
      </c>
      <c r="BJ96" s="106">
        <v>13</v>
      </c>
      <c r="BK96" s="106">
        <v>10701.599999999999</v>
      </c>
      <c r="BL96" s="106">
        <v>8.008743140284512</v>
      </c>
      <c r="BM96" s="106">
        <v>6592.7973530822101</v>
      </c>
      <c r="BN96" s="106">
        <v>14.006427910088668</v>
      </c>
      <c r="BO96" s="106">
        <v>11530.09145558499</v>
      </c>
      <c r="BP96" s="106">
        <v>6.0079226979037674</v>
      </c>
      <c r="BQ96" s="106">
        <v>4945.7219649143808</v>
      </c>
      <c r="BR96" s="106">
        <v>6</v>
      </c>
      <c r="BS96" s="106">
        <v>4939.2</v>
      </c>
      <c r="BT96" s="106">
        <v>5.0138888339940477</v>
      </c>
      <c r="BU96" s="106">
        <v>4127.4332881438995</v>
      </c>
      <c r="BV96" s="106">
        <v>4</v>
      </c>
      <c r="BW96" s="106">
        <v>3292.7999999999997</v>
      </c>
      <c r="BX96" s="106">
        <v>14</v>
      </c>
      <c r="BY96" s="106">
        <v>11524.8</v>
      </c>
      <c r="BZ96" s="106">
        <v>16.022110490518447</v>
      </c>
      <c r="CA96" s="106">
        <v>13189.401355794784</v>
      </c>
      <c r="CB96" s="106">
        <v>16.015078697171962</v>
      </c>
      <c r="CC96" s="106">
        <v>13183.612783511959</v>
      </c>
      <c r="CD96" s="106">
        <v>19.010893609117478</v>
      </c>
      <c r="CE96" s="106">
        <v>15649.767619025506</v>
      </c>
      <c r="CF96" s="106">
        <v>3.0038518433727512</v>
      </c>
      <c r="CG96" s="106">
        <v>2472.7708374644485</v>
      </c>
      <c r="CH96" s="106">
        <v>3.0028037314940335</v>
      </c>
      <c r="CI96" s="106">
        <v>2471.9080317658882</v>
      </c>
      <c r="CJ96" s="106">
        <v>4.0078430368566407</v>
      </c>
      <c r="CK96" s="106">
        <v>3299.2563879403865</v>
      </c>
      <c r="CL96" s="106">
        <v>4.004395593528737</v>
      </c>
      <c r="CM96" s="106">
        <v>3296.4184525928558</v>
      </c>
      <c r="CN96" s="106">
        <v>5.0119402799898882</v>
      </c>
      <c r="CO96" s="106">
        <v>4125.8292384876759</v>
      </c>
      <c r="CP96" s="106">
        <v>4</v>
      </c>
      <c r="CQ96" s="106">
        <v>3292.7999999999997</v>
      </c>
      <c r="CR96" s="106">
        <v>4</v>
      </c>
      <c r="CS96" s="106">
        <v>3292.7999999999997</v>
      </c>
      <c r="CT96" s="106">
        <v>4.0252161615603246</v>
      </c>
      <c r="CU96" s="106">
        <v>3313.5579441964587</v>
      </c>
    </row>
    <row r="97" spans="2:99" x14ac:dyDescent="0.2">
      <c r="C97" s="105" t="s">
        <v>264</v>
      </c>
      <c r="D97" s="106">
        <v>7.0910195546436352</v>
      </c>
      <c r="E97" s="106">
        <v>12968.056561532279</v>
      </c>
      <c r="F97" s="106">
        <v>4.1025575073964493</v>
      </c>
      <c r="G97" s="106">
        <v>7502.7571695266261</v>
      </c>
      <c r="H97" s="106">
        <v>3.1157314963254552</v>
      </c>
      <c r="I97" s="106">
        <v>5698.0497604799921</v>
      </c>
      <c r="J97" s="106">
        <v>4.0094240734148174</v>
      </c>
      <c r="K97" s="106">
        <v>7332.4347454610179</v>
      </c>
      <c r="L97" s="106">
        <v>3.0057312196892538</v>
      </c>
      <c r="M97" s="106">
        <v>5496.8812545677074</v>
      </c>
      <c r="N97" s="106">
        <v>4</v>
      </c>
      <c r="O97" s="106">
        <v>7315.2</v>
      </c>
      <c r="P97" s="106">
        <v>3</v>
      </c>
      <c r="Q97" s="106">
        <v>5486.4</v>
      </c>
      <c r="R97" s="106">
        <v>3.0091652781510345</v>
      </c>
      <c r="S97" s="106">
        <v>5503.1614606826115</v>
      </c>
      <c r="T97" s="106">
        <v>8.0136425393412765</v>
      </c>
      <c r="U97" s="106">
        <v>14655.349475947325</v>
      </c>
      <c r="V97" s="106">
        <v>11.00926705322637</v>
      </c>
      <c r="W97" s="106">
        <v>20133.747586940386</v>
      </c>
      <c r="X97" s="106">
        <v>10.00798640034245</v>
      </c>
      <c r="Y97" s="106">
        <v>18302.605528946271</v>
      </c>
      <c r="Z97" s="106">
        <v>9.0071371882086169</v>
      </c>
      <c r="AA97" s="106">
        <v>16472.252489795919</v>
      </c>
      <c r="AB97" s="106">
        <v>4.0036446279268576</v>
      </c>
      <c r="AC97" s="106">
        <v>7321.8652955526368</v>
      </c>
      <c r="AD97" s="106">
        <v>7.0034423305588582</v>
      </c>
      <c r="AE97" s="106">
        <v>12807.89533412604</v>
      </c>
      <c r="AF97" s="106">
        <v>4.0040061537875324</v>
      </c>
      <c r="AG97" s="106">
        <v>7322.5264540466387</v>
      </c>
      <c r="AH97" s="106">
        <v>4.0031188964843754</v>
      </c>
      <c r="AI97" s="106">
        <v>7320.9038378906253</v>
      </c>
      <c r="AJ97" s="106">
        <v>37.006235003004804</v>
      </c>
      <c r="AK97" s="106">
        <v>67677.002573495178</v>
      </c>
      <c r="AL97" s="106">
        <v>32</v>
      </c>
      <c r="AM97" s="106">
        <v>58521.599999999999</v>
      </c>
      <c r="AN97" s="106">
        <v>25.010945243429983</v>
      </c>
      <c r="AO97" s="106">
        <v>45740.016661184753</v>
      </c>
      <c r="AP97" s="106">
        <v>30</v>
      </c>
      <c r="AQ97" s="106">
        <v>54864</v>
      </c>
      <c r="AR97" s="106">
        <v>2.0048523193238701</v>
      </c>
      <c r="AS97" s="106">
        <v>3666.4739215794934</v>
      </c>
      <c r="AT97" s="106">
        <v>2.0042053168806979</v>
      </c>
      <c r="AU97" s="106">
        <v>3665.2906835114204</v>
      </c>
      <c r="AV97" s="106">
        <v>3.009717645706115</v>
      </c>
      <c r="AW97" s="106">
        <v>5504.1716304673428</v>
      </c>
      <c r="AX97" s="106">
        <v>2.0041088843797961</v>
      </c>
      <c r="AY97" s="106">
        <v>3665.1143277537708</v>
      </c>
      <c r="AZ97" s="106">
        <v>7</v>
      </c>
      <c r="BA97" s="106">
        <v>12801.6</v>
      </c>
      <c r="BB97" s="106">
        <v>10.005736116616022</v>
      </c>
      <c r="BC97" s="106">
        <v>18298.490210067383</v>
      </c>
      <c r="BD97" s="106">
        <v>8.0073454935200843</v>
      </c>
      <c r="BE97" s="106">
        <v>14643.833438549529</v>
      </c>
      <c r="BF97" s="106">
        <v>7.0048695504376646</v>
      </c>
      <c r="BG97" s="106">
        <v>12810.505433840401</v>
      </c>
      <c r="BH97" s="106">
        <v>10.003495992316127</v>
      </c>
      <c r="BI97" s="106">
        <v>18294.393470747731</v>
      </c>
      <c r="BJ97" s="106">
        <v>10</v>
      </c>
      <c r="BK97" s="106">
        <v>18288</v>
      </c>
      <c r="BL97" s="106">
        <v>7.007285950237093</v>
      </c>
      <c r="BM97" s="106">
        <v>12814.924545793596</v>
      </c>
      <c r="BN97" s="106">
        <v>12.006060600940744</v>
      </c>
      <c r="BO97" s="106">
        <v>21956.683627000431</v>
      </c>
      <c r="BP97" s="106">
        <v>6.0071497517668142</v>
      </c>
      <c r="BQ97" s="106">
        <v>10985.87546603115</v>
      </c>
      <c r="BR97" s="106">
        <v>5</v>
      </c>
      <c r="BS97" s="106">
        <v>9144</v>
      </c>
      <c r="BT97" s="106">
        <v>5.013095186337245</v>
      </c>
      <c r="BU97" s="106">
        <v>9167.9484767735539</v>
      </c>
      <c r="BV97" s="106">
        <v>3</v>
      </c>
      <c r="BW97" s="106">
        <v>5486.4</v>
      </c>
      <c r="BX97" s="106">
        <v>12</v>
      </c>
      <c r="BY97" s="106">
        <v>21945.599999999999</v>
      </c>
      <c r="BZ97" s="106">
        <v>14.020770460790054</v>
      </c>
      <c r="CA97" s="106">
        <v>25641.18501869285</v>
      </c>
      <c r="CB97" s="106">
        <v>14.011433297855664</v>
      </c>
      <c r="CC97" s="106">
        <v>25624.109215118438</v>
      </c>
      <c r="CD97" s="106">
        <v>17.010893609117478</v>
      </c>
      <c r="CE97" s="106">
        <v>31109.522232354044</v>
      </c>
      <c r="CF97" s="106">
        <v>2.0038518433727512</v>
      </c>
      <c r="CG97" s="106">
        <v>3664.6442511600872</v>
      </c>
      <c r="CH97" s="106">
        <v>3.0024922057724743</v>
      </c>
      <c r="CI97" s="106">
        <v>5490.9577459167012</v>
      </c>
      <c r="CJ97" s="106">
        <v>4.0085560402072442</v>
      </c>
      <c r="CK97" s="106">
        <v>7330.847286331008</v>
      </c>
      <c r="CL97" s="106">
        <v>4.0040816225623983</v>
      </c>
      <c r="CM97" s="106">
        <v>7322.6644713421138</v>
      </c>
      <c r="CN97" s="106">
        <v>4.0116915241567659</v>
      </c>
      <c r="CO97" s="106">
        <v>7336.5814593778932</v>
      </c>
      <c r="CP97" s="106">
        <v>4</v>
      </c>
      <c r="CQ97" s="106">
        <v>7315.2</v>
      </c>
      <c r="CR97" s="106">
        <v>3</v>
      </c>
      <c r="CS97" s="106">
        <v>5486.4</v>
      </c>
      <c r="CT97" s="106">
        <v>4.0232384233987304</v>
      </c>
      <c r="CU97" s="106">
        <v>7357.6984287115984</v>
      </c>
    </row>
    <row r="98" spans="2:99" x14ac:dyDescent="0.2">
      <c r="C98" s="105" t="s">
        <v>265</v>
      </c>
      <c r="D98" s="106">
        <v>7.098604517530605</v>
      </c>
      <c r="E98" s="106">
        <v>8969.7966683516715</v>
      </c>
      <c r="F98" s="106">
        <v>4.1004644970414201</v>
      </c>
      <c r="G98" s="106">
        <v>5181.3469384615382</v>
      </c>
      <c r="H98" s="106">
        <v>3.1251789654132476</v>
      </c>
      <c r="I98" s="106">
        <v>3948.9761406961793</v>
      </c>
      <c r="J98" s="106">
        <v>4.0102617688294675</v>
      </c>
      <c r="K98" s="106">
        <v>5067.3667710929149</v>
      </c>
      <c r="L98" s="106">
        <v>3.006324104484694</v>
      </c>
      <c r="M98" s="106">
        <v>3798.7911384268591</v>
      </c>
      <c r="N98" s="106">
        <v>4</v>
      </c>
      <c r="O98" s="106">
        <v>5054.3999999999996</v>
      </c>
      <c r="P98" s="106">
        <v>4</v>
      </c>
      <c r="Q98" s="106">
        <v>5054.3999999999996</v>
      </c>
      <c r="R98" s="106">
        <v>3.0098199408761084</v>
      </c>
      <c r="S98" s="106">
        <v>3803.2084772910503</v>
      </c>
      <c r="T98" s="106">
        <v>8.0147339424885775</v>
      </c>
      <c r="U98" s="106">
        <v>10127.417809728566</v>
      </c>
      <c r="V98" s="106">
        <v>10.010446496364272</v>
      </c>
      <c r="W98" s="106">
        <v>12649.200192805894</v>
      </c>
      <c r="X98" s="106">
        <v>11.008496170577075</v>
      </c>
      <c r="Y98" s="106">
        <v>13910.335761141192</v>
      </c>
      <c r="Z98" s="106">
        <v>10.00856462585034</v>
      </c>
      <c r="AA98" s="106">
        <v>12646.822261224488</v>
      </c>
      <c r="AB98" s="106">
        <v>4.0036446279268576</v>
      </c>
      <c r="AC98" s="106">
        <v>5059.0053518483764</v>
      </c>
      <c r="AD98" s="106">
        <v>8.0034423305588582</v>
      </c>
      <c r="AE98" s="106">
        <v>10113.149728894172</v>
      </c>
      <c r="AF98" s="106">
        <v>4.0036979881115684</v>
      </c>
      <c r="AG98" s="106">
        <v>5059.0727777777774</v>
      </c>
      <c r="AH98" s="106">
        <v>5.0035087585449221</v>
      </c>
      <c r="AI98" s="106">
        <v>6322.4336672973632</v>
      </c>
      <c r="AJ98" s="106">
        <v>39.005515579581171</v>
      </c>
      <c r="AK98" s="106">
        <v>49287.369486358766</v>
      </c>
      <c r="AL98" s="106">
        <v>36</v>
      </c>
      <c r="AM98" s="106">
        <v>45489.599999999999</v>
      </c>
      <c r="AN98" s="106">
        <v>27.011276917473317</v>
      </c>
      <c r="AO98" s="106">
        <v>34131.44951291928</v>
      </c>
      <c r="AP98" s="106">
        <v>31</v>
      </c>
      <c r="AQ98" s="106">
        <v>39171.599999999999</v>
      </c>
      <c r="AR98" s="106">
        <v>2.0050632897292555</v>
      </c>
      <c r="AS98" s="106">
        <v>2533.5979729018873</v>
      </c>
      <c r="AT98" s="106">
        <v>2.0039579452994802</v>
      </c>
      <c r="AU98" s="106">
        <v>2532.2012596804229</v>
      </c>
      <c r="AV98" s="106">
        <v>3.009717645706115</v>
      </c>
      <c r="AW98" s="106">
        <v>3803.0792171142466</v>
      </c>
      <c r="AX98" s="106">
        <v>3.0043143285987859</v>
      </c>
      <c r="AY98" s="106">
        <v>3796.2515856174255</v>
      </c>
      <c r="AZ98" s="106">
        <v>9</v>
      </c>
      <c r="BA98" s="106">
        <v>11372.4</v>
      </c>
      <c r="BB98" s="106">
        <v>10.006118524390423</v>
      </c>
      <c r="BC98" s="106">
        <v>12643.731367419738</v>
      </c>
      <c r="BD98" s="106">
        <v>7.0086810377964639</v>
      </c>
      <c r="BE98" s="106">
        <v>8856.1693593596119</v>
      </c>
      <c r="BF98" s="106">
        <v>7.0052173754689262</v>
      </c>
      <c r="BG98" s="106">
        <v>8851.792675642535</v>
      </c>
      <c r="BH98" s="106">
        <v>10.003495992316127</v>
      </c>
      <c r="BI98" s="106">
        <v>12640.417535890658</v>
      </c>
      <c r="BJ98" s="106">
        <v>11</v>
      </c>
      <c r="BK98" s="106">
        <v>13899.599999999999</v>
      </c>
      <c r="BL98" s="106">
        <v>7.0083788427726574</v>
      </c>
      <c r="BM98" s="106">
        <v>8855.7875057275287</v>
      </c>
      <c r="BN98" s="106">
        <v>13.006060600940744</v>
      </c>
      <c r="BO98" s="106">
        <v>16434.458175348722</v>
      </c>
      <c r="BP98" s="106">
        <v>6.0083091709722432</v>
      </c>
      <c r="BQ98" s="106">
        <v>7592.0994684405259</v>
      </c>
      <c r="BR98" s="106">
        <v>5</v>
      </c>
      <c r="BS98" s="106">
        <v>6318</v>
      </c>
      <c r="BT98" s="106">
        <v>6.0150793054792517</v>
      </c>
      <c r="BU98" s="106">
        <v>7600.6542104035816</v>
      </c>
      <c r="BV98" s="106">
        <v>4</v>
      </c>
      <c r="BW98" s="106">
        <v>5054.3999999999996</v>
      </c>
      <c r="BX98" s="106">
        <v>12</v>
      </c>
      <c r="BY98" s="106">
        <v>15163.199999999999</v>
      </c>
      <c r="BZ98" s="106">
        <v>14.021105468222153</v>
      </c>
      <c r="CA98" s="106">
        <v>17717.068869645511</v>
      </c>
      <c r="CB98" s="106">
        <v>15.012261797700276</v>
      </c>
      <c r="CC98" s="106">
        <v>18969.494007574067</v>
      </c>
      <c r="CD98" s="106">
        <v>17.010893609117478</v>
      </c>
      <c r="CE98" s="106">
        <v>21494.965164480844</v>
      </c>
      <c r="CF98" s="106">
        <v>2.0035555477286935</v>
      </c>
      <c r="CG98" s="106">
        <v>2531.6927901099771</v>
      </c>
      <c r="CH98" s="106">
        <v>3.0028037314940335</v>
      </c>
      <c r="CI98" s="106">
        <v>3794.3427951158606</v>
      </c>
      <c r="CJ98" s="106">
        <v>4.0092690435578486</v>
      </c>
      <c r="CK98" s="106">
        <v>5066.1123634396972</v>
      </c>
      <c r="CL98" s="106">
        <v>4.0040816225623983</v>
      </c>
      <c r="CM98" s="106">
        <v>5059.5575382698462</v>
      </c>
      <c r="CN98" s="106">
        <v>5.0126865474892561</v>
      </c>
      <c r="CO98" s="106">
        <v>6334.0307214074237</v>
      </c>
      <c r="CP98" s="106">
        <v>4</v>
      </c>
      <c r="CQ98" s="106">
        <v>5054.3999999999996</v>
      </c>
      <c r="CR98" s="106">
        <v>3</v>
      </c>
      <c r="CS98" s="106">
        <v>3790.7999999999997</v>
      </c>
      <c r="CT98" s="106">
        <v>4.02027181615634</v>
      </c>
      <c r="CU98" s="106">
        <v>5080.0154668951509</v>
      </c>
    </row>
    <row r="99" spans="2:99" x14ac:dyDescent="0.2">
      <c r="C99" s="105" t="s">
        <v>266</v>
      </c>
      <c r="D99" s="106">
        <v>4.0530947402087873</v>
      </c>
      <c r="E99" s="106">
        <v>22217.444127928487</v>
      </c>
      <c r="F99" s="106">
        <v>3.0606973002958582</v>
      </c>
      <c r="G99" s="106">
        <v>16777.518321301774</v>
      </c>
      <c r="H99" s="106">
        <v>3.0755797527023381</v>
      </c>
      <c r="I99" s="106">
        <v>16859.097972413136</v>
      </c>
      <c r="J99" s="106">
        <v>3.0058638679025531</v>
      </c>
      <c r="K99" s="106">
        <v>16476.943378294633</v>
      </c>
      <c r="L99" s="106">
        <v>2.0039525653029338</v>
      </c>
      <c r="M99" s="106">
        <v>10984.866381964561</v>
      </c>
      <c r="N99" s="106">
        <v>3</v>
      </c>
      <c r="O99" s="106">
        <v>16444.8</v>
      </c>
      <c r="P99" s="106">
        <v>3</v>
      </c>
      <c r="Q99" s="106">
        <v>16444.8</v>
      </c>
      <c r="R99" s="106">
        <v>3.0062192958882021</v>
      </c>
      <c r="S99" s="106">
        <v>16478.891692340767</v>
      </c>
      <c r="T99" s="106">
        <v>5.0084583743915916</v>
      </c>
      <c r="U99" s="106">
        <v>27454.365425064945</v>
      </c>
      <c r="V99" s="106">
        <v>7.005897215689509</v>
      </c>
      <c r="W99" s="106">
        <v>38403.526177523607</v>
      </c>
      <c r="X99" s="106">
        <v>7.0045879321116198</v>
      </c>
      <c r="Y99" s="106">
        <v>38396.34920866305</v>
      </c>
      <c r="Z99" s="106">
        <v>6.0041237087427568</v>
      </c>
      <c r="AA99" s="106">
        <v>32912.204521844295</v>
      </c>
      <c r="AB99" s="106">
        <v>3.0031890494360001</v>
      </c>
      <c r="AC99" s="106">
        <v>16462.281093388377</v>
      </c>
      <c r="AD99" s="106">
        <v>5.0027538644470866</v>
      </c>
      <c r="AE99" s="106">
        <v>27423.095583353148</v>
      </c>
      <c r="AF99" s="106">
        <v>3.0033898224356044</v>
      </c>
      <c r="AG99" s="106">
        <v>16463.381650663006</v>
      </c>
      <c r="AH99" s="106">
        <v>3.0027290344238282</v>
      </c>
      <c r="AI99" s="106">
        <v>16459.759475097657</v>
      </c>
      <c r="AJ99" s="106">
        <v>20.004316540541787</v>
      </c>
      <c r="AK99" s="106">
        <v>109655.66154863384</v>
      </c>
      <c r="AL99" s="106">
        <v>19</v>
      </c>
      <c r="AM99" s="106">
        <v>104150.39999999999</v>
      </c>
      <c r="AN99" s="106">
        <v>15.008291851083321</v>
      </c>
      <c r="AO99" s="106">
        <v>82269.452610898326</v>
      </c>
      <c r="AP99" s="106">
        <v>16</v>
      </c>
      <c r="AQ99" s="106">
        <v>87705.599999999991</v>
      </c>
      <c r="AR99" s="106">
        <v>2.0031645560807849</v>
      </c>
      <c r="AS99" s="106">
        <v>10980.546830612429</v>
      </c>
      <c r="AT99" s="106">
        <v>2.0028447731840018</v>
      </c>
      <c r="AU99" s="106">
        <v>10978.793908685424</v>
      </c>
      <c r="AV99" s="106">
        <v>2.0060406986821793</v>
      </c>
      <c r="AW99" s="106">
        <v>10996.312693896232</v>
      </c>
      <c r="AX99" s="106">
        <v>2.0026707748468673</v>
      </c>
      <c r="AY99" s="106">
        <v>10977.840119400587</v>
      </c>
      <c r="AZ99" s="106">
        <v>5</v>
      </c>
      <c r="BA99" s="106">
        <v>27407.999999999996</v>
      </c>
      <c r="BB99" s="106">
        <v>7.0042064855184156</v>
      </c>
      <c r="BC99" s="106">
        <v>38394.258271017745</v>
      </c>
      <c r="BD99" s="106">
        <v>5.0060099492437056</v>
      </c>
      <c r="BE99" s="106">
        <v>27440.944137774295</v>
      </c>
      <c r="BF99" s="106">
        <v>5.0038260753438797</v>
      </c>
      <c r="BG99" s="106">
        <v>27428.97301460501</v>
      </c>
      <c r="BH99" s="106">
        <v>8.0021849951975792</v>
      </c>
      <c r="BI99" s="106">
        <v>43864.777269675047</v>
      </c>
      <c r="BJ99" s="106">
        <v>8</v>
      </c>
      <c r="BK99" s="106">
        <v>43852.799999999996</v>
      </c>
      <c r="BL99" s="106">
        <v>6.0054644626778195</v>
      </c>
      <c r="BM99" s="106">
        <v>32919.553998614734</v>
      </c>
      <c r="BN99" s="106">
        <v>8.0038567460532004</v>
      </c>
      <c r="BO99" s="106">
        <v>43873.941139165217</v>
      </c>
      <c r="BP99" s="106">
        <v>5.0054106229586699</v>
      </c>
      <c r="BQ99" s="106">
        <v>27437.658870810243</v>
      </c>
      <c r="BR99" s="106">
        <v>3</v>
      </c>
      <c r="BS99" s="106">
        <v>16444.8</v>
      </c>
      <c r="BT99" s="106">
        <v>4.0091269480532317</v>
      </c>
      <c r="BU99" s="106">
        <v>21976.430278448592</v>
      </c>
      <c r="BV99" s="106">
        <v>2</v>
      </c>
      <c r="BW99" s="106">
        <v>10963.199999999999</v>
      </c>
      <c r="BX99" s="106">
        <v>8</v>
      </c>
      <c r="BY99" s="106">
        <v>43852.799999999996</v>
      </c>
      <c r="BZ99" s="106">
        <v>9.0120602675555155</v>
      </c>
      <c r="CA99" s="106">
        <v>49400.509562632309</v>
      </c>
      <c r="CB99" s="106">
        <v>9.006959398694752</v>
      </c>
      <c r="CC99" s="106">
        <v>49372.54863988515</v>
      </c>
      <c r="CD99" s="106">
        <v>10.006638293055962</v>
      </c>
      <c r="CE99" s="106">
        <v>54852.388467215555</v>
      </c>
      <c r="CF99" s="106">
        <v>2.0032592520846357</v>
      </c>
      <c r="CG99" s="106">
        <v>10981.065916227139</v>
      </c>
      <c r="CH99" s="106">
        <v>3.0024922057724743</v>
      </c>
      <c r="CI99" s="106">
        <v>16458.461275162394</v>
      </c>
      <c r="CJ99" s="106">
        <v>3.0071300335060371</v>
      </c>
      <c r="CK99" s="106">
        <v>16483.883991666691</v>
      </c>
      <c r="CL99" s="106">
        <v>3.0034536806297218</v>
      </c>
      <c r="CM99" s="106">
        <v>16463.731695739883</v>
      </c>
      <c r="CN99" s="106">
        <v>4.0074626749936799</v>
      </c>
      <c r="CO99" s="106">
        <v>21967.307399245354</v>
      </c>
      <c r="CP99" s="106">
        <v>3</v>
      </c>
      <c r="CQ99" s="106">
        <v>16444.8</v>
      </c>
      <c r="CR99" s="106">
        <v>3</v>
      </c>
      <c r="CS99" s="106">
        <v>16444.8</v>
      </c>
      <c r="CT99" s="106">
        <v>3.0143386016715574</v>
      </c>
      <c r="CU99" s="106">
        <v>16523.398478922809</v>
      </c>
    </row>
    <row r="100" spans="2:99" x14ac:dyDescent="0.2">
      <c r="C100" s="105" t="s">
        <v>267</v>
      </c>
      <c r="D100" s="106">
        <v>6.0809062707943422</v>
      </c>
      <c r="E100" s="106">
        <v>9865.66233373674</v>
      </c>
      <c r="F100" s="106">
        <v>4.0899994452662725</v>
      </c>
      <c r="G100" s="106">
        <v>6635.6151</v>
      </c>
      <c r="H100" s="106">
        <v>3.1062840272376628</v>
      </c>
      <c r="I100" s="106">
        <v>5039.6352057903841</v>
      </c>
      <c r="J100" s="106">
        <v>4.0085863780001674</v>
      </c>
      <c r="K100" s="106">
        <v>6503.5305396674712</v>
      </c>
      <c r="L100" s="106">
        <v>3.0067193610149876</v>
      </c>
      <c r="M100" s="106">
        <v>4878.1014913107156</v>
      </c>
      <c r="N100" s="106">
        <v>4</v>
      </c>
      <c r="O100" s="106">
        <v>6489.5999999999995</v>
      </c>
      <c r="P100" s="106">
        <v>3</v>
      </c>
      <c r="Q100" s="106">
        <v>4867.2</v>
      </c>
      <c r="R100" s="106">
        <v>3.0098199408761084</v>
      </c>
      <c r="S100" s="106">
        <v>4883.1318720773979</v>
      </c>
      <c r="T100" s="106">
        <v>7.0139153901281022</v>
      </c>
      <c r="U100" s="106">
        <v>11379.376328943832</v>
      </c>
      <c r="V100" s="106">
        <v>12.009772528856899</v>
      </c>
      <c r="W100" s="106">
        <v>19484.654950817432</v>
      </c>
      <c r="X100" s="106">
        <v>11.00917586422324</v>
      </c>
      <c r="Y100" s="106">
        <v>17861.286922115782</v>
      </c>
      <c r="Z100" s="106">
        <v>9.0071371882086169</v>
      </c>
      <c r="AA100" s="106">
        <v>14613.179374149659</v>
      </c>
      <c r="AB100" s="106">
        <v>4.0036446279268576</v>
      </c>
      <c r="AC100" s="106">
        <v>6495.5130443485332</v>
      </c>
      <c r="AD100" s="106">
        <v>7.0037865636147441</v>
      </c>
      <c r="AE100" s="106">
        <v>11362.943320808559</v>
      </c>
      <c r="AF100" s="106">
        <v>4.0036979881115684</v>
      </c>
      <c r="AG100" s="106">
        <v>6495.5996159122078</v>
      </c>
      <c r="AH100" s="106">
        <v>5.0035087585449221</v>
      </c>
      <c r="AI100" s="106">
        <v>8117.6926098632812</v>
      </c>
      <c r="AJ100" s="106">
        <v>39.006235003004804</v>
      </c>
      <c r="AK100" s="106">
        <v>63283.715668874989</v>
      </c>
      <c r="AL100" s="106">
        <v>32</v>
      </c>
      <c r="AM100" s="106">
        <v>51916.799999999996</v>
      </c>
      <c r="AN100" s="106">
        <v>25.012603613646647</v>
      </c>
      <c r="AO100" s="106">
        <v>40580.448102780319</v>
      </c>
      <c r="AP100" s="106">
        <v>26</v>
      </c>
      <c r="AQ100" s="106">
        <v>42182.399999999994</v>
      </c>
      <c r="AR100" s="106">
        <v>2.0049578045265628</v>
      </c>
      <c r="AS100" s="106">
        <v>3252.8435420638953</v>
      </c>
      <c r="AT100" s="106">
        <v>2.0039579452994802</v>
      </c>
      <c r="AU100" s="106">
        <v>3251.2213704538763</v>
      </c>
      <c r="AV100" s="106">
        <v>3.0084044503404237</v>
      </c>
      <c r="AW100" s="106">
        <v>4880.8353802323027</v>
      </c>
      <c r="AX100" s="106">
        <v>2.0041088843797961</v>
      </c>
      <c r="AY100" s="106">
        <v>3251.466254017781</v>
      </c>
      <c r="AZ100" s="106">
        <v>8</v>
      </c>
      <c r="BA100" s="106">
        <v>12979.199999999999</v>
      </c>
      <c r="BB100" s="106">
        <v>9.0049713010672185</v>
      </c>
      <c r="BC100" s="106">
        <v>14609.665438851454</v>
      </c>
      <c r="BD100" s="106">
        <v>8.0073454935200843</v>
      </c>
      <c r="BE100" s="106">
        <v>12991.117328686983</v>
      </c>
      <c r="BF100" s="106">
        <v>8.0048695504376646</v>
      </c>
      <c r="BG100" s="106">
        <v>12987.100358630067</v>
      </c>
      <c r="BH100" s="106">
        <v>10.003058993276611</v>
      </c>
      <c r="BI100" s="106">
        <v>16228.962910691971</v>
      </c>
      <c r="BJ100" s="106">
        <v>10</v>
      </c>
      <c r="BK100" s="106">
        <v>16223.999999999998</v>
      </c>
      <c r="BL100" s="106">
        <v>7.008014545260802</v>
      </c>
      <c r="BM100" s="106">
        <v>11369.802798231125</v>
      </c>
      <c r="BN100" s="106">
        <v>12.006244255514705</v>
      </c>
      <c r="BO100" s="106">
        <v>19478.930680147056</v>
      </c>
      <c r="BP100" s="106">
        <v>5.0086956440407198</v>
      </c>
      <c r="BQ100" s="106">
        <v>8126.1078128916633</v>
      </c>
      <c r="BR100" s="106">
        <v>5</v>
      </c>
      <c r="BS100" s="106">
        <v>8111.9999999999991</v>
      </c>
      <c r="BT100" s="106">
        <v>5.0123015386804424</v>
      </c>
      <c r="BU100" s="106">
        <v>8131.9580163551491</v>
      </c>
      <c r="BV100" s="106">
        <v>4</v>
      </c>
      <c r="BW100" s="106">
        <v>6489.5999999999995</v>
      </c>
      <c r="BX100" s="106">
        <v>13</v>
      </c>
      <c r="BY100" s="106">
        <v>21091.199999999997</v>
      </c>
      <c r="BZ100" s="106">
        <v>14.019430431061664</v>
      </c>
      <c r="CA100" s="106">
        <v>22745.123931354443</v>
      </c>
      <c r="CB100" s="106">
        <v>14.013255997513813</v>
      </c>
      <c r="CC100" s="106">
        <v>22735.106530366407</v>
      </c>
      <c r="CD100" s="106">
        <v>18.011404247044858</v>
      </c>
      <c r="CE100" s="106">
        <v>29221.702250405575</v>
      </c>
      <c r="CF100" s="106">
        <v>3.0035555477286935</v>
      </c>
      <c r="CG100" s="106">
        <v>4872.9685206350323</v>
      </c>
      <c r="CH100" s="106">
        <v>4.0028037314940335</v>
      </c>
      <c r="CI100" s="106">
        <v>6494.1487739759195</v>
      </c>
      <c r="CJ100" s="106">
        <v>4.0085560402072442</v>
      </c>
      <c r="CK100" s="106">
        <v>6503.481319632232</v>
      </c>
      <c r="CL100" s="106">
        <v>4.004395593528737</v>
      </c>
      <c r="CM100" s="106">
        <v>6496.7314109410227</v>
      </c>
      <c r="CN100" s="106">
        <v>4.0119402799898882</v>
      </c>
      <c r="CO100" s="106">
        <v>6508.9719102555937</v>
      </c>
      <c r="CP100" s="106">
        <v>4</v>
      </c>
      <c r="CQ100" s="106">
        <v>6489.5999999999995</v>
      </c>
      <c r="CR100" s="106">
        <v>3</v>
      </c>
      <c r="CS100" s="106">
        <v>4867.2</v>
      </c>
      <c r="CT100" s="106">
        <v>4.02027181615634</v>
      </c>
      <c r="CU100" s="106">
        <v>6522.4889945320456</v>
      </c>
    </row>
    <row r="101" spans="2:99" x14ac:dyDescent="0.2">
      <c r="C101" s="105" t="s">
        <v>268</v>
      </c>
      <c r="D101" s="106">
        <v>7.098604517530605</v>
      </c>
      <c r="E101" s="106">
        <v>8450.1788176684313</v>
      </c>
      <c r="F101" s="106">
        <v>5.098371486686391</v>
      </c>
      <c r="G101" s="106">
        <v>6069.1014177514789</v>
      </c>
      <c r="H101" s="106">
        <v>4.122817098141299</v>
      </c>
      <c r="I101" s="106">
        <v>4907.8014736274017</v>
      </c>
      <c r="J101" s="106">
        <v>4.0102617688294675</v>
      </c>
      <c r="K101" s="106">
        <v>4773.8156096145976</v>
      </c>
      <c r="L101" s="106">
        <v>3.0071146175452808</v>
      </c>
      <c r="M101" s="106">
        <v>3579.669240725902</v>
      </c>
      <c r="N101" s="106">
        <v>4</v>
      </c>
      <c r="O101" s="106">
        <v>4761.5999999999995</v>
      </c>
      <c r="P101" s="106">
        <v>4</v>
      </c>
      <c r="Q101" s="106">
        <v>4761.5999999999995</v>
      </c>
      <c r="R101" s="106">
        <v>3.0088379467884976</v>
      </c>
      <c r="S101" s="106">
        <v>3581.7206918570273</v>
      </c>
      <c r="T101" s="106">
        <v>8.017189599570008</v>
      </c>
      <c r="U101" s="106">
        <v>9543.6624993281366</v>
      </c>
      <c r="V101" s="106">
        <v>11.010614988241116</v>
      </c>
      <c r="W101" s="106">
        <v>13107.036082002223</v>
      </c>
      <c r="X101" s="106">
        <v>12.00917586422324</v>
      </c>
      <c r="Y101" s="106">
        <v>14295.722948771343</v>
      </c>
      <c r="Z101" s="106">
        <v>11.007454396573443</v>
      </c>
      <c r="AA101" s="106">
        <v>13103.273713681026</v>
      </c>
      <c r="AB101" s="106">
        <v>4.0041002064177142</v>
      </c>
      <c r="AC101" s="106">
        <v>4766.4808857196467</v>
      </c>
      <c r="AD101" s="106">
        <v>8.0034423305588582</v>
      </c>
      <c r="AE101" s="106">
        <v>9527.2977502972644</v>
      </c>
      <c r="AF101" s="106">
        <v>4.0040061537875324</v>
      </c>
      <c r="AG101" s="106">
        <v>4766.3689254686778</v>
      </c>
      <c r="AH101" s="106">
        <v>5.0031188964843754</v>
      </c>
      <c r="AI101" s="106">
        <v>5955.7127343749999</v>
      </c>
      <c r="AJ101" s="106">
        <v>41.005995195196924</v>
      </c>
      <c r="AK101" s="106">
        <v>48813.536680362413</v>
      </c>
      <c r="AL101" s="106">
        <v>34</v>
      </c>
      <c r="AM101" s="106">
        <v>40473.599999999999</v>
      </c>
      <c r="AN101" s="106">
        <v>31.012603613646647</v>
      </c>
      <c r="AO101" s="106">
        <v>36917.403341684963</v>
      </c>
      <c r="AP101" s="106">
        <v>32</v>
      </c>
      <c r="AQ101" s="106">
        <v>38092.799999999996</v>
      </c>
      <c r="AR101" s="106">
        <v>3.0051687749319482</v>
      </c>
      <c r="AS101" s="106">
        <v>3577.3529096789907</v>
      </c>
      <c r="AT101" s="106">
        <v>3.0045763742525242</v>
      </c>
      <c r="AU101" s="106">
        <v>3576.6477159102046</v>
      </c>
      <c r="AV101" s="106">
        <v>3.0102429238523913</v>
      </c>
      <c r="AW101" s="106">
        <v>3583.3931765538864</v>
      </c>
      <c r="AX101" s="106">
        <v>2.004211606489291</v>
      </c>
      <c r="AY101" s="106">
        <v>2385.8134963648517</v>
      </c>
      <c r="AZ101" s="106">
        <v>9</v>
      </c>
      <c r="BA101" s="106">
        <v>10713.599999999999</v>
      </c>
      <c r="BB101" s="106">
        <v>10.005736116616022</v>
      </c>
      <c r="BC101" s="106">
        <v>11910.828273219711</v>
      </c>
      <c r="BD101" s="106">
        <v>8.0080132656582741</v>
      </c>
      <c r="BE101" s="106">
        <v>9532.7389914396081</v>
      </c>
      <c r="BF101" s="106">
        <v>8.0048695504376646</v>
      </c>
      <c r="BG101" s="106">
        <v>9528.9967128409953</v>
      </c>
      <c r="BH101" s="106">
        <v>12.003350325969622</v>
      </c>
      <c r="BI101" s="106">
        <v>14288.788228034236</v>
      </c>
      <c r="BJ101" s="106">
        <v>12</v>
      </c>
      <c r="BK101" s="106">
        <v>14284.8</v>
      </c>
      <c r="BL101" s="106">
        <v>8.0072859502370939</v>
      </c>
      <c r="BM101" s="106">
        <v>9531.8731951622358</v>
      </c>
      <c r="BN101" s="106">
        <v>13.005325982644896</v>
      </c>
      <c r="BO101" s="106">
        <v>15481.540049740483</v>
      </c>
      <c r="BP101" s="106">
        <v>5.0083091709722432</v>
      </c>
      <c r="BQ101" s="106">
        <v>5961.8912371253573</v>
      </c>
      <c r="BR101" s="106">
        <v>6</v>
      </c>
      <c r="BS101" s="106">
        <v>7142.4</v>
      </c>
      <c r="BT101" s="106">
        <v>5.013095186337245</v>
      </c>
      <c r="BU101" s="106">
        <v>5967.588509815856</v>
      </c>
      <c r="BV101" s="106">
        <v>4</v>
      </c>
      <c r="BW101" s="106">
        <v>4761.5999999999995</v>
      </c>
      <c r="BX101" s="106">
        <v>12</v>
      </c>
      <c r="BY101" s="106">
        <v>14284.8</v>
      </c>
      <c r="BZ101" s="106">
        <v>15.021775483086348</v>
      </c>
      <c r="CA101" s="106">
        <v>17881.921535065987</v>
      </c>
      <c r="CB101" s="106">
        <v>13.012096097731355</v>
      </c>
      <c r="CC101" s="106">
        <v>15489.599194739403</v>
      </c>
      <c r="CD101" s="106">
        <v>17.010382971190097</v>
      </c>
      <c r="CE101" s="106">
        <v>20249.159888904691</v>
      </c>
      <c r="CF101" s="106">
        <v>2.004148139016809</v>
      </c>
      <c r="CG101" s="106">
        <v>2385.7379446856094</v>
      </c>
      <c r="CH101" s="106">
        <v>4.0028037314940335</v>
      </c>
      <c r="CI101" s="106">
        <v>4764.937561970497</v>
      </c>
      <c r="CJ101" s="106">
        <v>4.0085560402072442</v>
      </c>
      <c r="CK101" s="106">
        <v>4771.7851102627028</v>
      </c>
      <c r="CL101" s="106">
        <v>3.0040816225623987</v>
      </c>
      <c r="CM101" s="106">
        <v>3576.0587634982789</v>
      </c>
      <c r="CN101" s="106">
        <v>5.0119402799898882</v>
      </c>
      <c r="CO101" s="106">
        <v>5966.2137092999619</v>
      </c>
      <c r="CP101" s="106">
        <v>4</v>
      </c>
      <c r="CQ101" s="106">
        <v>4761.5999999999995</v>
      </c>
      <c r="CR101" s="106">
        <v>4</v>
      </c>
      <c r="CS101" s="106">
        <v>4761.5999999999995</v>
      </c>
      <c r="CT101" s="106">
        <v>4.0222495543179333</v>
      </c>
      <c r="CU101" s="106">
        <v>4788.0858694600674</v>
      </c>
    </row>
    <row r="102" spans="2:99" x14ac:dyDescent="0.2">
      <c r="C102" s="105" t="s">
        <v>269</v>
      </c>
      <c r="D102" s="106">
        <v>6.088491233681312</v>
      </c>
      <c r="E102" s="106">
        <v>11806.802200354799</v>
      </c>
      <c r="F102" s="106">
        <v>4.098371486686391</v>
      </c>
      <c r="G102" s="106">
        <v>7947.5619869822485</v>
      </c>
      <c r="H102" s="106">
        <v>4.0968365581498709</v>
      </c>
      <c r="I102" s="106">
        <v>7944.5854535642293</v>
      </c>
      <c r="J102" s="106">
        <v>4.0081675302928419</v>
      </c>
      <c r="K102" s="106">
        <v>7772.6384747438779</v>
      </c>
      <c r="L102" s="106">
        <v>3.0059288479544009</v>
      </c>
      <c r="M102" s="106">
        <v>5829.0972219531732</v>
      </c>
      <c r="N102" s="106">
        <v>3</v>
      </c>
      <c r="O102" s="106">
        <v>5817.5999999999995</v>
      </c>
      <c r="P102" s="106">
        <v>4</v>
      </c>
      <c r="Q102" s="106">
        <v>7756.7999999999993</v>
      </c>
      <c r="R102" s="106">
        <v>3.0085106154259607</v>
      </c>
      <c r="S102" s="106">
        <v>5834.103785434022</v>
      </c>
      <c r="T102" s="106">
        <v>8.0136425393412765</v>
      </c>
      <c r="U102" s="106">
        <v>15540.055612290602</v>
      </c>
      <c r="V102" s="106">
        <v>10.008930069472685</v>
      </c>
      <c r="W102" s="106">
        <v>19409.317190721427</v>
      </c>
      <c r="X102" s="106">
        <v>12.008836017400156</v>
      </c>
      <c r="Y102" s="106">
        <v>23287.534804942381</v>
      </c>
      <c r="Z102" s="106">
        <v>9.0068199798437902</v>
      </c>
      <c r="AA102" s="106">
        <v>17466.025304913077</v>
      </c>
      <c r="AB102" s="106">
        <v>4.0036446279268576</v>
      </c>
      <c r="AC102" s="106">
        <v>7763.8676624757618</v>
      </c>
      <c r="AD102" s="106">
        <v>7.0034423305588582</v>
      </c>
      <c r="AE102" s="106">
        <v>13581.075367419737</v>
      </c>
      <c r="AF102" s="106">
        <v>4.0033898224356044</v>
      </c>
      <c r="AG102" s="106">
        <v>7763.3735436671232</v>
      </c>
      <c r="AH102" s="106">
        <v>4.0031188964843754</v>
      </c>
      <c r="AI102" s="106">
        <v>7762.8481640624996</v>
      </c>
      <c r="AJ102" s="106">
        <v>39.005275771773292</v>
      </c>
      <c r="AK102" s="106">
        <v>75639.030776622763</v>
      </c>
      <c r="AL102" s="106">
        <v>28</v>
      </c>
      <c r="AM102" s="106">
        <v>54297.599999999991</v>
      </c>
      <c r="AN102" s="106">
        <v>26.010281895343319</v>
      </c>
      <c r="AO102" s="106">
        <v>50439.138651449757</v>
      </c>
      <c r="AP102" s="106">
        <v>29</v>
      </c>
      <c r="AQ102" s="106">
        <v>56236.799999999996</v>
      </c>
      <c r="AR102" s="106">
        <v>2.0047468341211769</v>
      </c>
      <c r="AS102" s="106">
        <v>3887.6050607277862</v>
      </c>
      <c r="AT102" s="106">
        <v>2.0043290026713065</v>
      </c>
      <c r="AU102" s="106">
        <v>3886.7948019801975</v>
      </c>
      <c r="AV102" s="106">
        <v>2.0099802847792532</v>
      </c>
      <c r="AW102" s="106">
        <v>3897.7537682439274</v>
      </c>
      <c r="AX102" s="106">
        <v>2.004211606489291</v>
      </c>
      <c r="AY102" s="106">
        <v>3886.5671473040329</v>
      </c>
      <c r="AZ102" s="106">
        <v>7</v>
      </c>
      <c r="BA102" s="106">
        <v>13574.399999999998</v>
      </c>
      <c r="BB102" s="106">
        <v>10.005736116616022</v>
      </c>
      <c r="BC102" s="106">
        <v>19403.123477341789</v>
      </c>
      <c r="BD102" s="106">
        <v>8.0073454935200843</v>
      </c>
      <c r="BE102" s="106">
        <v>15527.844381034147</v>
      </c>
      <c r="BF102" s="106">
        <v>7.0055652005001878</v>
      </c>
      <c r="BG102" s="106">
        <v>13585.192036809964</v>
      </c>
      <c r="BH102" s="106">
        <v>10.003495992316127</v>
      </c>
      <c r="BI102" s="106">
        <v>19398.779428299433</v>
      </c>
      <c r="BJ102" s="106">
        <v>10</v>
      </c>
      <c r="BK102" s="106">
        <v>19392</v>
      </c>
      <c r="BL102" s="106">
        <v>8.0076502477489484</v>
      </c>
      <c r="BM102" s="106">
        <v>15528.43536043476</v>
      </c>
      <c r="BN102" s="106">
        <v>11.005509637218859</v>
      </c>
      <c r="BO102" s="106">
        <v>21341.88428849481</v>
      </c>
      <c r="BP102" s="106">
        <v>6.0077294613695287</v>
      </c>
      <c r="BQ102" s="106">
        <v>11650.188971487789</v>
      </c>
      <c r="BR102" s="106">
        <v>5</v>
      </c>
      <c r="BS102" s="106">
        <v>9696</v>
      </c>
      <c r="BT102" s="106">
        <v>5.0123015386804424</v>
      </c>
      <c r="BU102" s="106">
        <v>9719.8551438091126</v>
      </c>
      <c r="BV102" s="106">
        <v>4</v>
      </c>
      <c r="BW102" s="106">
        <v>7756.7999999999993</v>
      </c>
      <c r="BX102" s="106">
        <v>11</v>
      </c>
      <c r="BY102" s="106">
        <v>21331.199999999997</v>
      </c>
      <c r="BZ102" s="106">
        <v>15.021105468222153</v>
      </c>
      <c r="CA102" s="106">
        <v>29128.927723976398</v>
      </c>
      <c r="CB102" s="106">
        <v>14.01176469779351</v>
      </c>
      <c r="CC102" s="106">
        <v>27171.614101961171</v>
      </c>
      <c r="CD102" s="106">
        <v>16.010893609117478</v>
      </c>
      <c r="CE102" s="106">
        <v>31048.324886800609</v>
      </c>
      <c r="CF102" s="106">
        <v>2.0038518433727512</v>
      </c>
      <c r="CG102" s="106">
        <v>3885.8694946684386</v>
      </c>
      <c r="CH102" s="106">
        <v>3.0028037314940335</v>
      </c>
      <c r="CI102" s="106">
        <v>5823.0369961132292</v>
      </c>
      <c r="CJ102" s="106">
        <v>4.0078430368566407</v>
      </c>
      <c r="CK102" s="106">
        <v>7772.0092170723965</v>
      </c>
      <c r="CL102" s="106">
        <v>4.0040816225623983</v>
      </c>
      <c r="CM102" s="106">
        <v>7764.7150824730024</v>
      </c>
      <c r="CN102" s="106">
        <v>4.0114427683236435</v>
      </c>
      <c r="CO102" s="106">
        <v>7778.9898163332091</v>
      </c>
      <c r="CP102" s="106">
        <v>4</v>
      </c>
      <c r="CQ102" s="106">
        <v>7756.7999999999993</v>
      </c>
      <c r="CR102" s="106">
        <v>3</v>
      </c>
      <c r="CS102" s="106">
        <v>5817.5999999999995</v>
      </c>
      <c r="CT102" s="106">
        <v>4.0227439888583323</v>
      </c>
      <c r="CU102" s="106">
        <v>7800.905143194077</v>
      </c>
    </row>
    <row r="103" spans="2:99" x14ac:dyDescent="0.2">
      <c r="C103" s="105" t="s">
        <v>270</v>
      </c>
      <c r="D103" s="106">
        <v>7.088491233681312</v>
      </c>
      <c r="E103" s="106">
        <v>14375.460221905701</v>
      </c>
      <c r="F103" s="106">
        <v>4.1004644970414201</v>
      </c>
      <c r="G103" s="106">
        <v>8315.7420000000002</v>
      </c>
      <c r="H103" s="106">
        <v>3.111007761781559</v>
      </c>
      <c r="I103" s="106">
        <v>6309.1237408930019</v>
      </c>
      <c r="J103" s="106">
        <v>4.0092146495611551</v>
      </c>
      <c r="K103" s="106">
        <v>8130.687309310023</v>
      </c>
      <c r="L103" s="106">
        <v>3.0057312196892538</v>
      </c>
      <c r="M103" s="106">
        <v>6095.6229135298072</v>
      </c>
      <c r="N103" s="106">
        <v>4</v>
      </c>
      <c r="O103" s="106">
        <v>8112</v>
      </c>
      <c r="P103" s="106">
        <v>4</v>
      </c>
      <c r="Q103" s="106">
        <v>8112</v>
      </c>
      <c r="R103" s="106">
        <v>3.0085106154259607</v>
      </c>
      <c r="S103" s="106">
        <v>6101.2595280838486</v>
      </c>
      <c r="T103" s="106">
        <v>7.0150067932754041</v>
      </c>
      <c r="U103" s="106">
        <v>14226.43377676252</v>
      </c>
      <c r="V103" s="106">
        <v>9.0084245938421557</v>
      </c>
      <c r="W103" s="106">
        <v>18269.085076311891</v>
      </c>
      <c r="X103" s="106">
        <v>11.007646553519367</v>
      </c>
      <c r="Y103" s="106">
        <v>22323.507210537275</v>
      </c>
      <c r="Z103" s="106">
        <v>9.0069785840262035</v>
      </c>
      <c r="AA103" s="106">
        <v>18266.152568405141</v>
      </c>
      <c r="AB103" s="106">
        <v>4.0031890494360001</v>
      </c>
      <c r="AC103" s="106">
        <v>8118.4673922562079</v>
      </c>
      <c r="AD103" s="106">
        <v>7.0030980975029724</v>
      </c>
      <c r="AE103" s="106">
        <v>14202.282941736028</v>
      </c>
      <c r="AF103" s="106">
        <v>4.0033898224356044</v>
      </c>
      <c r="AG103" s="106">
        <v>8118.8745598994055</v>
      </c>
      <c r="AH103" s="106">
        <v>4.0035087585449221</v>
      </c>
      <c r="AI103" s="106">
        <v>8119.1157623291019</v>
      </c>
      <c r="AJ103" s="106">
        <v>39.006235003004804</v>
      </c>
      <c r="AK103" s="106">
        <v>79104.644586093738</v>
      </c>
      <c r="AL103" s="106">
        <v>32</v>
      </c>
      <c r="AM103" s="106">
        <v>64896</v>
      </c>
      <c r="AN103" s="106">
        <v>28.010281895343319</v>
      </c>
      <c r="AO103" s="106">
        <v>56804.851683756249</v>
      </c>
      <c r="AP103" s="106">
        <v>25</v>
      </c>
      <c r="AQ103" s="106">
        <v>50700</v>
      </c>
      <c r="AR103" s="106">
        <v>2.0040084377023275</v>
      </c>
      <c r="AS103" s="106">
        <v>4064.1291116603202</v>
      </c>
      <c r="AT103" s="106">
        <v>2.0040816310900893</v>
      </c>
      <c r="AU103" s="106">
        <v>4064.277547850701</v>
      </c>
      <c r="AV103" s="106">
        <v>3.0089297284867</v>
      </c>
      <c r="AW103" s="106">
        <v>6102.1094893710278</v>
      </c>
      <c r="AX103" s="106">
        <v>2.004211606489291</v>
      </c>
      <c r="AY103" s="106">
        <v>4064.541137960282</v>
      </c>
      <c r="AZ103" s="106">
        <v>7</v>
      </c>
      <c r="BA103" s="106">
        <v>14196</v>
      </c>
      <c r="BB103" s="106">
        <v>9.0053537088416196</v>
      </c>
      <c r="BC103" s="106">
        <v>18262.857321530806</v>
      </c>
      <c r="BD103" s="106">
        <v>8.0080132656582741</v>
      </c>
      <c r="BE103" s="106">
        <v>16240.25090275498</v>
      </c>
      <c r="BF103" s="106">
        <v>7.0045217254064029</v>
      </c>
      <c r="BG103" s="106">
        <v>14205.170059124184</v>
      </c>
      <c r="BH103" s="106">
        <v>10.003495992316127</v>
      </c>
      <c r="BI103" s="106">
        <v>20287.089872417106</v>
      </c>
      <c r="BJ103" s="106">
        <v>10</v>
      </c>
      <c r="BK103" s="106">
        <v>20280</v>
      </c>
      <c r="BL103" s="106">
        <v>7.006557355213384</v>
      </c>
      <c r="BM103" s="106">
        <v>14209.298316372742</v>
      </c>
      <c r="BN103" s="106">
        <v>12.004958673496972</v>
      </c>
      <c r="BO103" s="106">
        <v>24346.056189851861</v>
      </c>
      <c r="BP103" s="106">
        <v>5.0073429883010521</v>
      </c>
      <c r="BQ103" s="106">
        <v>10154.891580274534</v>
      </c>
      <c r="BR103" s="106">
        <v>5</v>
      </c>
      <c r="BS103" s="106">
        <v>10140</v>
      </c>
      <c r="BT103" s="106">
        <v>5.0134920101656464</v>
      </c>
      <c r="BU103" s="106">
        <v>10167.361796615931</v>
      </c>
      <c r="BV103" s="106">
        <v>3</v>
      </c>
      <c r="BW103" s="106">
        <v>6084</v>
      </c>
      <c r="BX103" s="106">
        <v>12</v>
      </c>
      <c r="BY103" s="106">
        <v>24336</v>
      </c>
      <c r="BZ103" s="106">
        <v>14.020435453357956</v>
      </c>
      <c r="CA103" s="106">
        <v>28433.443099409935</v>
      </c>
      <c r="CB103" s="106">
        <v>14.010936197948896</v>
      </c>
      <c r="CC103" s="106">
        <v>28414.178609440361</v>
      </c>
      <c r="CD103" s="106">
        <v>14.010723396475017</v>
      </c>
      <c r="CE103" s="106">
        <v>28413.747048051333</v>
      </c>
      <c r="CF103" s="106">
        <v>2.0038518433727512</v>
      </c>
      <c r="CG103" s="106">
        <v>4063.8115383599397</v>
      </c>
      <c r="CH103" s="106">
        <v>4.0028037314940335</v>
      </c>
      <c r="CI103" s="106">
        <v>8117.6859674698999</v>
      </c>
      <c r="CJ103" s="106">
        <v>4.0071300335060371</v>
      </c>
      <c r="CK103" s="106">
        <v>8126.4597079502437</v>
      </c>
      <c r="CL103" s="106">
        <v>4.0037676515960605</v>
      </c>
      <c r="CM103" s="106">
        <v>8119.6407974368103</v>
      </c>
      <c r="CN103" s="106">
        <v>4.0101989891580301</v>
      </c>
      <c r="CO103" s="106">
        <v>8132.6835500124853</v>
      </c>
      <c r="CP103" s="106">
        <v>3</v>
      </c>
      <c r="CQ103" s="106">
        <v>6084</v>
      </c>
      <c r="CR103" s="106">
        <v>3</v>
      </c>
      <c r="CS103" s="106">
        <v>6084</v>
      </c>
      <c r="CT103" s="106">
        <v>4.0227439888583323</v>
      </c>
      <c r="CU103" s="106">
        <v>8158.1248094046978</v>
      </c>
    </row>
    <row r="104" spans="2:99" x14ac:dyDescent="0.2">
      <c r="C104" s="105" t="s">
        <v>271</v>
      </c>
      <c r="D104" s="106">
        <v>6.0859629127189887</v>
      </c>
      <c r="E104" s="106">
        <v>12612.549540318832</v>
      </c>
      <c r="F104" s="106">
        <v>5.1004644970414201</v>
      </c>
      <c r="G104" s="106">
        <v>10570.20262366864</v>
      </c>
      <c r="H104" s="106">
        <v>3.1086458945096109</v>
      </c>
      <c r="I104" s="106">
        <v>6442.3577517817175</v>
      </c>
      <c r="J104" s="106">
        <v>4.0094240734148174</v>
      </c>
      <c r="K104" s="106">
        <v>8309.1304497448673</v>
      </c>
      <c r="L104" s="106">
        <v>3.0057312196892538</v>
      </c>
      <c r="M104" s="106">
        <v>6229.0773796840103</v>
      </c>
      <c r="N104" s="106">
        <v>4</v>
      </c>
      <c r="O104" s="106">
        <v>8289.6</v>
      </c>
      <c r="P104" s="106">
        <v>4</v>
      </c>
      <c r="Q104" s="106">
        <v>8289.6</v>
      </c>
      <c r="R104" s="106">
        <v>3.0075286213383499</v>
      </c>
      <c r="S104" s="106">
        <v>6232.8023148615966</v>
      </c>
      <c r="T104" s="106">
        <v>7.0150067932754041</v>
      </c>
      <c r="U104" s="106">
        <v>14537.900078383947</v>
      </c>
      <c r="V104" s="106">
        <v>11.008761577595841</v>
      </c>
      <c r="W104" s="106">
        <v>22814.557493409622</v>
      </c>
      <c r="X104" s="106">
        <v>10.008496170577075</v>
      </c>
      <c r="Y104" s="106">
        <v>20741.607463903933</v>
      </c>
      <c r="Z104" s="106">
        <v>9.0066613756613751</v>
      </c>
      <c r="AA104" s="106">
        <v>18665.405034920634</v>
      </c>
      <c r="AB104" s="106">
        <v>4.0031890494360001</v>
      </c>
      <c r="AC104" s="106">
        <v>8296.2089860511678</v>
      </c>
      <c r="AD104" s="106">
        <v>8.0037865636147441</v>
      </c>
      <c r="AE104" s="106">
        <v>16587.047274435197</v>
      </c>
      <c r="AF104" s="106">
        <v>4.0036979881115684</v>
      </c>
      <c r="AG104" s="106">
        <v>8297.2637105624144</v>
      </c>
      <c r="AH104" s="106">
        <v>4.0031188964843754</v>
      </c>
      <c r="AI104" s="106">
        <v>8296.0636010742201</v>
      </c>
      <c r="AJ104" s="106">
        <v>39.005755387389051</v>
      </c>
      <c r="AK104" s="106">
        <v>80835.527464825078</v>
      </c>
      <c r="AL104" s="106">
        <v>28</v>
      </c>
      <c r="AM104" s="106">
        <v>58027.200000000004</v>
      </c>
      <c r="AN104" s="106">
        <v>25.011276917473317</v>
      </c>
      <c r="AO104" s="106">
        <v>51833.370283771706</v>
      </c>
      <c r="AP104" s="106">
        <v>25</v>
      </c>
      <c r="AQ104" s="106">
        <v>51810</v>
      </c>
      <c r="AR104" s="106">
        <v>3.0045358637157915</v>
      </c>
      <c r="AS104" s="106">
        <v>6226.6001239646066</v>
      </c>
      <c r="AT104" s="106">
        <v>2.003710573718263</v>
      </c>
      <c r="AU104" s="106">
        <v>4152.4897929737281</v>
      </c>
      <c r="AV104" s="106">
        <v>3.0089297284867</v>
      </c>
      <c r="AW104" s="106">
        <v>6235.7059693158371</v>
      </c>
      <c r="AX104" s="106">
        <v>2.0036979959418164</v>
      </c>
      <c r="AY104" s="106">
        <v>4152.4637267898206</v>
      </c>
      <c r="AZ104" s="106">
        <v>8</v>
      </c>
      <c r="BA104" s="106">
        <v>16579.2</v>
      </c>
      <c r="BB104" s="106">
        <v>11.00535370884162</v>
      </c>
      <c r="BC104" s="106">
        <v>22807.495026203374</v>
      </c>
      <c r="BD104" s="106">
        <v>8.0073454935200843</v>
      </c>
      <c r="BE104" s="106">
        <v>16594.422800771023</v>
      </c>
      <c r="BF104" s="106">
        <v>7.0048695504376646</v>
      </c>
      <c r="BG104" s="106">
        <v>14516.891656327016</v>
      </c>
      <c r="BH104" s="106">
        <v>11.003058993276611</v>
      </c>
      <c r="BI104" s="106">
        <v>22802.739457666448</v>
      </c>
      <c r="BJ104" s="106">
        <v>9</v>
      </c>
      <c r="BK104" s="106">
        <v>18651.600000000002</v>
      </c>
      <c r="BL104" s="106">
        <v>8.0076502477489484</v>
      </c>
      <c r="BM104" s="106">
        <v>16595.054373434923</v>
      </c>
      <c r="BN104" s="106">
        <v>12.005142328070935</v>
      </c>
      <c r="BO104" s="106">
        <v>24879.456960694206</v>
      </c>
      <c r="BP104" s="106">
        <v>5.0079226979037674</v>
      </c>
      <c r="BQ104" s="106">
        <v>10378.418999135769</v>
      </c>
      <c r="BR104" s="106">
        <v>5</v>
      </c>
      <c r="BS104" s="106">
        <v>10362</v>
      </c>
      <c r="BT104" s="106">
        <v>5.011904714852041</v>
      </c>
      <c r="BU104" s="106">
        <v>10386.67133105937</v>
      </c>
      <c r="BV104" s="106">
        <v>3</v>
      </c>
      <c r="BW104" s="106">
        <v>6217.2000000000007</v>
      </c>
      <c r="BX104" s="106">
        <v>12</v>
      </c>
      <c r="BY104" s="106">
        <v>24868.800000000003</v>
      </c>
      <c r="BZ104" s="106">
        <v>15.017755393901176</v>
      </c>
      <c r="CA104" s="106">
        <v>31122.796278320799</v>
      </c>
      <c r="CB104" s="106">
        <v>13.012096097731355</v>
      </c>
      <c r="CC104" s="106">
        <v>26966.267952938462</v>
      </c>
      <c r="CD104" s="106">
        <v>17.00919148269287</v>
      </c>
      <c r="CE104" s="106">
        <v>35249.848428732708</v>
      </c>
      <c r="CF104" s="106">
        <v>2.0035555477286935</v>
      </c>
      <c r="CG104" s="106">
        <v>4152.1685171129448</v>
      </c>
      <c r="CH104" s="106">
        <v>3.0028037314940335</v>
      </c>
      <c r="CI104" s="106">
        <v>6223.0104531482348</v>
      </c>
      <c r="CJ104" s="106">
        <v>4.0071300335060371</v>
      </c>
      <c r="CK104" s="106">
        <v>8304.3762814379115</v>
      </c>
      <c r="CL104" s="106">
        <v>3.0040816225623987</v>
      </c>
      <c r="CM104" s="106">
        <v>6225.6587545983157</v>
      </c>
      <c r="CN104" s="106">
        <v>5.0099502333249069</v>
      </c>
      <c r="CO104" s="106">
        <v>10382.620863542537</v>
      </c>
      <c r="CP104" s="106">
        <v>3</v>
      </c>
      <c r="CQ104" s="106">
        <v>6217.2000000000007</v>
      </c>
      <c r="CR104" s="106">
        <v>3</v>
      </c>
      <c r="CS104" s="106">
        <v>6217.2000000000007</v>
      </c>
      <c r="CT104" s="106">
        <v>3.0187885125351439</v>
      </c>
      <c r="CU104" s="106">
        <v>6256.1373133778325</v>
      </c>
    </row>
    <row r="105" spans="2:99" x14ac:dyDescent="0.2">
      <c r="C105" s="105" t="s">
        <v>272</v>
      </c>
      <c r="D105" s="106">
        <v>6.0859629127189887</v>
      </c>
      <c r="E105" s="106">
        <v>12159.753899612539</v>
      </c>
      <c r="F105" s="106">
        <v>5.0962784763313609</v>
      </c>
      <c r="G105" s="106">
        <v>10182.364395710059</v>
      </c>
      <c r="H105" s="106">
        <v>3.1133696290535071</v>
      </c>
      <c r="I105" s="106">
        <v>6220.5125188489073</v>
      </c>
      <c r="J105" s="106">
        <v>4.0094240734148174</v>
      </c>
      <c r="K105" s="106">
        <v>8010.8292986828055</v>
      </c>
      <c r="L105" s="106">
        <v>3.006324104484694</v>
      </c>
      <c r="M105" s="106">
        <v>6006.6355607604182</v>
      </c>
      <c r="N105" s="106">
        <v>4</v>
      </c>
      <c r="O105" s="106">
        <v>7992</v>
      </c>
      <c r="P105" s="106">
        <v>4</v>
      </c>
      <c r="Q105" s="106">
        <v>7992</v>
      </c>
      <c r="R105" s="106">
        <v>3.0091652781510345</v>
      </c>
      <c r="S105" s="106">
        <v>6012.3122257457671</v>
      </c>
      <c r="T105" s="106">
        <v>7.0136425393412765</v>
      </c>
      <c r="U105" s="106">
        <v>14013.257793603871</v>
      </c>
      <c r="V105" s="106">
        <v>11.009435545103214</v>
      </c>
      <c r="W105" s="106">
        <v>21996.852219116223</v>
      </c>
      <c r="X105" s="106">
        <v>11.008836017400156</v>
      </c>
      <c r="Y105" s="106">
        <v>21995.654362765512</v>
      </c>
      <c r="Z105" s="106">
        <v>8.0069785840262035</v>
      </c>
      <c r="AA105" s="106">
        <v>15997.943210884354</v>
      </c>
      <c r="AB105" s="106">
        <v>4.0036446279268576</v>
      </c>
      <c r="AC105" s="106">
        <v>7999.2819665978614</v>
      </c>
      <c r="AD105" s="106">
        <v>7.0037865636147441</v>
      </c>
      <c r="AE105" s="106">
        <v>13993.565554102259</v>
      </c>
      <c r="AF105" s="106">
        <v>4.0036979881115684</v>
      </c>
      <c r="AG105" s="106">
        <v>7999.388580246914</v>
      </c>
      <c r="AH105" s="106">
        <v>5.0035087585449221</v>
      </c>
      <c r="AI105" s="106">
        <v>9997.0104995727543</v>
      </c>
      <c r="AJ105" s="106">
        <v>36.005755387389051</v>
      </c>
      <c r="AK105" s="106">
        <v>71939.499264003331</v>
      </c>
      <c r="AL105" s="106">
        <v>30</v>
      </c>
      <c r="AM105" s="106">
        <v>59940</v>
      </c>
      <c r="AN105" s="106">
        <v>27.010613569386653</v>
      </c>
      <c r="AO105" s="106">
        <v>53967.205911634534</v>
      </c>
      <c r="AP105" s="106">
        <v>26</v>
      </c>
      <c r="AQ105" s="106">
        <v>51948</v>
      </c>
      <c r="AR105" s="106">
        <v>3.0040084377023275</v>
      </c>
      <c r="AS105" s="106">
        <v>6002.0088585292506</v>
      </c>
      <c r="AT105" s="106">
        <v>3.0042053168806979</v>
      </c>
      <c r="AU105" s="106">
        <v>6002.402223127634</v>
      </c>
      <c r="AV105" s="106">
        <v>3.0089297284867</v>
      </c>
      <c r="AW105" s="106">
        <v>6011.8415975164271</v>
      </c>
      <c r="AX105" s="106">
        <v>2.0036979959418164</v>
      </c>
      <c r="AY105" s="106">
        <v>4003.388595891749</v>
      </c>
      <c r="AZ105" s="106">
        <v>7</v>
      </c>
      <c r="BA105" s="106">
        <v>13986</v>
      </c>
      <c r="BB105" s="106">
        <v>10.006118524390423</v>
      </c>
      <c r="BC105" s="106">
        <v>19992.224811732067</v>
      </c>
      <c r="BD105" s="106">
        <v>8.0066777213818963</v>
      </c>
      <c r="BE105" s="106">
        <v>15997.342087321029</v>
      </c>
      <c r="BF105" s="106">
        <v>8.0052173754689271</v>
      </c>
      <c r="BG105" s="106">
        <v>15994.424316186916</v>
      </c>
      <c r="BH105" s="106">
        <v>9.0034959923161271</v>
      </c>
      <c r="BI105" s="106">
        <v>17988.984992647624</v>
      </c>
      <c r="BJ105" s="106">
        <v>10</v>
      </c>
      <c r="BK105" s="106">
        <v>19980</v>
      </c>
      <c r="BL105" s="106">
        <v>7.0076502477489475</v>
      </c>
      <c r="BM105" s="106">
        <v>14001.285195002398</v>
      </c>
      <c r="BN105" s="106">
        <v>11.00569329179282</v>
      </c>
      <c r="BO105" s="106">
        <v>21989.375197002053</v>
      </c>
      <c r="BP105" s="106">
        <v>5.0081159344380053</v>
      </c>
      <c r="BQ105" s="106">
        <v>10006.215637007135</v>
      </c>
      <c r="BR105" s="106">
        <v>5</v>
      </c>
      <c r="BS105" s="106">
        <v>9990</v>
      </c>
      <c r="BT105" s="106">
        <v>5.0134920101656464</v>
      </c>
      <c r="BU105" s="106">
        <v>10016.957036310961</v>
      </c>
      <c r="BV105" s="106">
        <v>3</v>
      </c>
      <c r="BW105" s="106">
        <v>5994</v>
      </c>
      <c r="BX105" s="106">
        <v>13</v>
      </c>
      <c r="BY105" s="106">
        <v>25974</v>
      </c>
      <c r="BZ105" s="106">
        <v>14.017755393901176</v>
      </c>
      <c r="CA105" s="106">
        <v>28007.47527701455</v>
      </c>
      <c r="CB105" s="106">
        <v>13.011598997824587</v>
      </c>
      <c r="CC105" s="106">
        <v>25997.174797653523</v>
      </c>
      <c r="CD105" s="106">
        <v>17.010723396475015</v>
      </c>
      <c r="CE105" s="106">
        <v>33987.425346157077</v>
      </c>
      <c r="CF105" s="106">
        <v>2.0035555477286935</v>
      </c>
      <c r="CG105" s="106">
        <v>4003.1039843619296</v>
      </c>
      <c r="CH105" s="106">
        <v>3.0024922057724743</v>
      </c>
      <c r="CI105" s="106">
        <v>5998.979427133404</v>
      </c>
      <c r="CJ105" s="106">
        <v>4.0085560402072442</v>
      </c>
      <c r="CK105" s="106">
        <v>8009.0949683340741</v>
      </c>
      <c r="CL105" s="106">
        <v>3.0040816225623987</v>
      </c>
      <c r="CM105" s="106">
        <v>6002.1550818796723</v>
      </c>
      <c r="CN105" s="106">
        <v>5.0106965008242748</v>
      </c>
      <c r="CO105" s="106">
        <v>10011.371608646901</v>
      </c>
      <c r="CP105" s="106">
        <v>4</v>
      </c>
      <c r="CQ105" s="106">
        <v>7992</v>
      </c>
      <c r="CR105" s="106">
        <v>3</v>
      </c>
      <c r="CS105" s="106">
        <v>5994</v>
      </c>
      <c r="CT105" s="106">
        <v>4.0212606852371362</v>
      </c>
      <c r="CU105" s="106">
        <v>8034.478849103798</v>
      </c>
    </row>
    <row r="107" spans="2:99" x14ac:dyDescent="0.2">
      <c r="B107" s="110" t="s">
        <v>277</v>
      </c>
    </row>
    <row r="108" spans="2:99" x14ac:dyDescent="0.2">
      <c r="C108" s="105" t="s">
        <v>278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159</v>
      </c>
      <c r="E109" s="106">
        <f>SUM(L$6:L$19)+SUM(N$6:N$19)+SUM(P$6:P$19)+SUM(R$6:R$19)</f>
        <v>164</v>
      </c>
      <c r="F109" s="106">
        <f>SUM(T$6:T$19)+SUM(V$6:V$19)+SUM(X$6:X$19)+SUM(Z$6:Z$19)</f>
        <v>329</v>
      </c>
      <c r="G109" s="106">
        <f>SUM(AB$6:AB$19)+SUM(AD$6:AD$19)+SUM(AF$6:AF$19)+SUM(AH$6:AH$19)</f>
        <v>1322</v>
      </c>
      <c r="H109" s="106">
        <f>SUM(AJ$6:AJ$19)+SUM(AL$6:AL$19)+SUM(AN$6:AN$19)+SUM(AP$6:AP$19)</f>
        <v>212</v>
      </c>
      <c r="I109" s="106">
        <f>SUM(AR$6:AR$19)+SUM(AT$6:AT$19)+SUM(AV$6:AV$19)+SUM(AX$6:AX$19)</f>
        <v>755</v>
      </c>
      <c r="J109" s="106">
        <f>SUM(AZ$6:AZ$19)+SUM(BB$6:BB$19)+SUM(BD$6:BD$19)+SUM(BF$6:BF$19)</f>
        <v>265</v>
      </c>
      <c r="K109" s="106">
        <f>SUM(BH$6:BH$19)+SUM(BJ$6:BJ$19)+SUM(BL$6:BL$19)+SUM(BN$6:BN$19)</f>
        <v>336</v>
      </c>
      <c r="L109" s="106">
        <f>SUM(BP$6:BP$19)+SUM(BR$6:BR$19)+SUM(BT$6:BT$19)+SUM(BV$6:BV$19)</f>
        <v>2019</v>
      </c>
      <c r="M109" s="106">
        <f>SUM(BX$6:BX$19)+SUM(BZ$6:BZ$19)+SUM(CB$6:CB$19)+SUM(CD$6:CD$19)</f>
        <v>196</v>
      </c>
      <c r="N109" s="106">
        <f>SUM(CF$6:CF$19)+SUM(CH$6:CH$19)+SUM(CJ$6:CJ$19)+SUM(CL$6:CL$19)</f>
        <v>1638</v>
      </c>
      <c r="O109" s="106">
        <f>SUM(CN$6:CN$19)+SUM(CP$6:CP$19)+SUM(CR$6:CR$19)+SUM(CT$6:CT$19)</f>
        <v>423</v>
      </c>
    </row>
    <row r="110" spans="2:99" x14ac:dyDescent="0.2">
      <c r="C110" s="105" t="s">
        <v>127</v>
      </c>
      <c r="D110" s="106">
        <f>SUM(D$20:D$36)+SUM(F$20:F$36)+SUM(H$20:H$36)+SUM(J$20:J$36)</f>
        <v>169</v>
      </c>
      <c r="E110" s="106">
        <f>SUM(L$20:L$36)+SUM(N$20:N$36)+SUM(P$20:P$36)+SUM(R$20:R$36)</f>
        <v>1563</v>
      </c>
      <c r="F110" s="106">
        <f>SUM(T$20:T$36)+SUM(V$20:V$36)+SUM(X$20:X$36)+SUM(Z$20:Z$36)</f>
        <v>255</v>
      </c>
      <c r="G110" s="106">
        <f>SUM(AB$20:AB$36)+SUM(AD$20:AD$36)+SUM(AF$20:AF$36)+SUM(AH$20:AH$36)</f>
        <v>218</v>
      </c>
      <c r="H110" s="106">
        <f>SUM(AJ$20:AJ$36)+SUM(AL$20:AL$36)+SUM(AN$20:AN$36)+SUM(AP$20:AP$36)</f>
        <v>803</v>
      </c>
      <c r="I110" s="106">
        <f>SUM(AR$20:AR$36)+SUM(AT$20:AT$36)+SUM(AV$20:AV$36)+SUM(AX$20:AX$36)</f>
        <v>1915</v>
      </c>
      <c r="J110" s="106">
        <f>SUM(AZ$20:AZ$36)+SUM(BB$20:BB$36)+SUM(BD$20:BD$36)+SUM(BF$20:BF$36)</f>
        <v>214</v>
      </c>
      <c r="K110" s="106">
        <f>SUM(BH$20:BH$36)+SUM(BJ$20:BJ$36)+SUM(BL$20:BL$36)+SUM(BN$20:BN$36)</f>
        <v>826</v>
      </c>
      <c r="L110" s="106">
        <f>SUM(BP$20:BP$36)+SUM(BR$20:BR$36)+SUM(BT$20:BT$36)+SUM(BV$20:BV$36)</f>
        <v>173</v>
      </c>
      <c r="M110" s="106">
        <f>SUM(BX$20:BX$36)+SUM(BZ$20:BZ$36)+SUM(CB$20:CB$36)+SUM(CD$20:CD$36)</f>
        <v>1445</v>
      </c>
      <c r="N110" s="106">
        <f>SUM(CF$20:CF$36)+SUM(CH$20:CH$36)+SUM(CJ$20:CJ$36)+SUM(CL$20:CL$36)</f>
        <v>1785</v>
      </c>
      <c r="O110" s="106">
        <f>SUM(CN$20:CN$36)+SUM(CP$20:CP$36)+SUM(CR$20:CR$36)+SUM(CT$20:CT$36)</f>
        <v>1560</v>
      </c>
    </row>
    <row r="111" spans="2:99" x14ac:dyDescent="0.2">
      <c r="C111" s="105" t="s">
        <v>128</v>
      </c>
      <c r="D111" s="106">
        <f>SUM(D$37:D$48)+SUM(F$37:F$48)+SUM(H$37:H$48)+SUM(J$37:J$48)</f>
        <v>651</v>
      </c>
      <c r="E111" s="106">
        <f>SUM(L$37:L$48)+SUM(N$37:N$48)+SUM(P$37:P$48)+SUM(R$37:R$48)</f>
        <v>3439</v>
      </c>
      <c r="F111" s="106">
        <f>SUM(T$37:T$48)+SUM(V$37:V$48)+SUM(X$37:X$48)+SUM(Z$37:Z$48)</f>
        <v>211</v>
      </c>
      <c r="G111" s="106">
        <f>SUM(AB$37:AB$48)+SUM(AD$37:AD$48)+SUM(AF$37:AF$48)+SUM(AH$37:AH$48)</f>
        <v>3197</v>
      </c>
      <c r="H111" s="106">
        <f>SUM(AJ$37:AJ$48)+SUM(AL$37:AL$48)+SUM(AN$37:AN$48)+SUM(AP$37:AP$48)</f>
        <v>2263</v>
      </c>
      <c r="I111" s="106">
        <f>SUM(AR$37:AR$48)+SUM(AT$37:AT$48)+SUM(AV$37:AV$48)+SUM(AX$37:AX$48)</f>
        <v>1127</v>
      </c>
      <c r="J111" s="106">
        <f>SUM(AZ$37:AZ$48)+SUM(BB$37:BB$48)+SUM(BD$37:BD$48)+SUM(BF$37:BF$48)</f>
        <v>326</v>
      </c>
      <c r="K111" s="106">
        <f>SUM(BH$37:BH$48)+SUM(BJ$37:BJ$48)+SUM(BL$37:BL$48)+SUM(BN$37:BN$48)</f>
        <v>2733</v>
      </c>
      <c r="L111" s="106">
        <f>SUM(BP$37:BP$48)+SUM(BR$37:BR$48)+SUM(BT$37:BT$48)+SUM(BV$37:BV$48)</f>
        <v>1379</v>
      </c>
      <c r="M111" s="106">
        <f>SUM(BX$37:BX$48)+SUM(BZ$37:BZ$48)+SUM(CB$37:CB$48)+SUM(CD$37:CD$48)</f>
        <v>383</v>
      </c>
      <c r="N111" s="106">
        <f>SUM(CF$37:CF$48)+SUM(CH$37:CH$48)+SUM(CJ$37:CJ$48)+SUM(CL$37:CL$48)</f>
        <v>229</v>
      </c>
      <c r="O111" s="106">
        <f>SUM(CN$37:CN$48)+SUM(CP$37:CP$48)+SUM(CR$37:CR$48)+SUM(CT$37:CT$48)</f>
        <v>277</v>
      </c>
    </row>
    <row r="112" spans="2:99" x14ac:dyDescent="0.2">
      <c r="C112" s="105" t="s">
        <v>129</v>
      </c>
      <c r="D112" s="106">
        <f>SUM(D$49:D$70)+SUM(F$49:F$70)+SUM(H$49:H$70)+SUM(J$49:J$70)</f>
        <v>523.95717155145473</v>
      </c>
      <c r="E112" s="106">
        <f>SUM(L$49:L$70)+SUM(N$49:N$70)+SUM(P$49:P$70)+SUM(R$49:R$70)</f>
        <v>3021.0147667947426</v>
      </c>
      <c r="F112" s="106">
        <f>SUM(T$49:T$70)+SUM(V$49:V$70)+SUM(X$49:X$70)+SUM(Z$49:Z$70)</f>
        <v>318.02015045580151</v>
      </c>
      <c r="G112" s="106">
        <f>SUM(AB$49:AB$70)+SUM(AD$49:AD$70)+SUM(AF$49:AF$70)+SUM(AH$49:AH$70)</f>
        <v>626.02898318728739</v>
      </c>
      <c r="H112" s="106">
        <f>SUM(AJ$49:AJ$70)+SUM(AL$49:AL$70)+SUM(AN$49:AN$70)+SUM(AP$49:AP$70)</f>
        <v>647.04894342229466</v>
      </c>
      <c r="I112" s="106">
        <f>SUM(AR$49:AR$70)+SUM(AT$49:AT$70)+SUM(AV$49:AV$70)+SUM(AX$49:AX$70)</f>
        <v>286.04597460246123</v>
      </c>
      <c r="J112" s="106">
        <f>SUM(AZ$49:AZ$70)+SUM(BB$49:BB$70)+SUM(BD$49:BD$70)+SUM(BF$49:BF$70)</f>
        <v>695.04614863143388</v>
      </c>
      <c r="K112" s="106">
        <f>SUM(BH$49:BH$70)+SUM(BJ$49:BJ$70)+SUM(BL$49:BL$70)+SUM(BN$49:BN$70)</f>
        <v>405.0356902291212</v>
      </c>
      <c r="L112" s="106">
        <f>SUM(BP$49:BP$70)+SUM(BR$49:BR$70)+SUM(BT$49:BT$70)+SUM(BV$49:BV$70)</f>
        <v>254.03220832961131</v>
      </c>
      <c r="M112" s="106">
        <f>SUM(BX$49:BX$70)+SUM(BZ$49:BZ$70)+SUM(CB$49:CB$70)+SUM(CD$49:CD$70)</f>
        <v>5368.0659907693207</v>
      </c>
      <c r="N112" s="106">
        <f>SUM(CF$49:CF$70)+SUM(CH$49:CH$70)+SUM(CJ$49:CJ$70)+SUM(CL$49:CL$70)</f>
        <v>1899.1019994876415</v>
      </c>
      <c r="O112" s="106">
        <f>SUM(CN$49:CN$70)+SUM(CP$49:CP$70)+SUM(CR$49:CR$70)+SUM(CT$49:CT$70)</f>
        <v>283.040869316292</v>
      </c>
    </row>
    <row r="113" spans="2:15" x14ac:dyDescent="0.2">
      <c r="C113" s="105" t="s">
        <v>130</v>
      </c>
      <c r="D113" s="106">
        <f>SUM(D$71:D$86)+SUM(F$71:F$86)+SUM(H$71:H$86)+SUM(J$71:J$86)</f>
        <v>1096.9920550820157</v>
      </c>
      <c r="E113" s="106">
        <f>SUM(L$71:L$86)+SUM(N$71:N$86)+SUM(P$71:P$86)+SUM(R$71:R$86)</f>
        <v>1374.2438348317503</v>
      </c>
      <c r="F113" s="106">
        <f>SUM(T$71:T$86)+SUM(V$71:V$86)+SUM(X$71:X$86)+SUM(Z$71:Z$86)</f>
        <v>366.21337074723692</v>
      </c>
      <c r="G113" s="106">
        <f>SUM(AB$71:AB$86)+SUM(AD$71:AD$86)+SUM(AF$71:AF$86)+SUM(AH$71:AH$86)</f>
        <v>528.38580848453773</v>
      </c>
      <c r="H113" s="106">
        <f>SUM(AJ$71:AJ$86)+SUM(AL$71:AL$86)+SUM(AN$71:AN$86)+SUM(AP$71:AP$86)</f>
        <v>268.10772013723692</v>
      </c>
      <c r="I113" s="106">
        <f>SUM(AR$71:AR$86)+SUM(AT$71:AT$86)+SUM(AV$71:AV$86)+SUM(AX$71:AX$86)</f>
        <v>1661.6502279281203</v>
      </c>
      <c r="J113" s="106">
        <f>SUM(AZ$71:AZ$86)+SUM(BB$71:BB$86)+SUM(BD$71:BD$86)+SUM(BF$71:BF$86)</f>
        <v>3575.2411021513299</v>
      </c>
      <c r="K113" s="106">
        <f>SUM(BH$71:BH$86)+SUM(BJ$71:BJ$86)+SUM(BL$71:BL$86)+SUM(BN$71:BN$86)</f>
        <v>342.45504426912026</v>
      </c>
      <c r="L113" s="106">
        <f>SUM(BP$71:BP$86)+SUM(BR$71:BR$86)+SUM(BT$71:BT$86)+SUM(BV$71:BV$86)</f>
        <v>322.12698375918228</v>
      </c>
      <c r="M113" s="106">
        <f>SUM(BX$71:BX$86)+SUM(BZ$71:BZ$86)+SUM(CB$71:CB$86)+SUM(CD$71:CD$86)</f>
        <v>351.18163098910941</v>
      </c>
      <c r="N113" s="106">
        <f>SUM(CF$71:CF$86)+SUM(CH$71:CH$86)+SUM(CJ$71:CJ$86)+SUM(CL$71:CL$86)</f>
        <v>1734.3247370882414</v>
      </c>
      <c r="O113" s="106">
        <f>SUM(CN$71:CN$86)+SUM(CP$71:CP$86)+SUM(CR$71:CR$86)+SUM(CT$71:CT$86)</f>
        <v>232.15851137988295</v>
      </c>
    </row>
    <row r="114" spans="2:15" x14ac:dyDescent="0.2">
      <c r="C114" s="105" t="s">
        <v>131</v>
      </c>
      <c r="D114" s="106">
        <f>SUM(D$87:D$94)+SUM(F$87:F$94)+SUM(H$87:H$94)+SUM(J$87:J$94)</f>
        <v>136.67363522409437</v>
      </c>
      <c r="E114" s="106">
        <f>SUM(L$87:L$94)+SUM(N$87:N$94)+SUM(P$87:P$94)+SUM(R$87:R$94)</f>
        <v>238.17738133456237</v>
      </c>
      <c r="F114" s="106">
        <f>SUM(T$87:T$94)+SUM(V$87:V$94)+SUM(X$87:X$94)+SUM(Z$87:Z$94)</f>
        <v>250.33837339376029</v>
      </c>
      <c r="G114" s="106">
        <f>SUM(AB$87:AB$94)+SUM(AD$87:AD$94)+SUM(AF$87:AF$94)+SUM(AH$87:AH$94)</f>
        <v>503.22973674701421</v>
      </c>
      <c r="H114" s="106">
        <f>SUM(AJ$87:AJ$94)+SUM(AL$87:AL$94)+SUM(AN$87:AN$94)+SUM(AP$87:AP$94)</f>
        <v>88.25739825742005</v>
      </c>
      <c r="I114" s="106">
        <f>SUM(AR$87:AR$94)+SUM(AT$87:AT$94)+SUM(AV$87:AV$94)+SUM(AX$87:AX$94)</f>
        <v>972.0623954481664</v>
      </c>
      <c r="J114" s="106">
        <f>SUM(AZ$87:AZ$94)+SUM(BB$87:BB$94)+SUM(BD$87:BD$94)+SUM(BF$87:BF$94)</f>
        <v>988.31173226593842</v>
      </c>
      <c r="K114" s="106">
        <f>SUM(BH$87:BH$94)+SUM(BJ$87:BJ$94)+SUM(BL$87:BL$94)+SUM(BN$87:BN$94)</f>
        <v>111.12870019200437</v>
      </c>
      <c r="L114" s="106">
        <f>SUM(BP$87:BP$94)+SUM(BR$87:BR$94)+SUM(BT$87:BT$94)+SUM(BV$87:BV$94)</f>
        <v>465.21334301523046</v>
      </c>
      <c r="M114" s="106">
        <f>SUM(BX$87:BX$94)+SUM(BZ$87:BZ$94)+SUM(CB$87:CB$94)+SUM(CD$87:CD$94)</f>
        <v>237.09117146332801</v>
      </c>
      <c r="N114" s="106">
        <f>SUM(CF$87:CF$94)+SUM(CH$87:CH$94)+SUM(CJ$87:CJ$94)+SUM(CL$87:CL$94)</f>
        <v>243.36742904818712</v>
      </c>
      <c r="O114" s="106">
        <f>SUM(CN$87:CN$94)+SUM(CP$87:CP$94)+SUM(CR$87:CR$94)+SUM(CT$87:CT$94)</f>
        <v>764.04708205786847</v>
      </c>
    </row>
    <row r="115" spans="2:15" x14ac:dyDescent="0.2">
      <c r="C115" s="105" t="s">
        <v>132</v>
      </c>
      <c r="D115" s="106">
        <f>SUM(D$95:D$105)+SUM(F$95:F$105)+SUM(H$95:H$105)+SUM(J$95:J$105)</f>
        <v>198.29680171573176</v>
      </c>
      <c r="E115" s="106">
        <f>SUM(L$95:L$105)+SUM(N$95:N$105)+SUM(P$95:P$105)+SUM(R$95:R$105)</f>
        <v>148.16316347730285</v>
      </c>
      <c r="F115" s="106">
        <f>SUM(T$95:T$105)+SUM(V$95:V$105)+SUM(X$95:X$105)+SUM(Z$95:Z$105)</f>
        <v>416.42706152286382</v>
      </c>
      <c r="G115" s="106">
        <f>SUM(AB$95:AB$105)+SUM(AD$95:AD$105)+SUM(AF$95:AF$105)+SUM(AH$95:AH$105)</f>
        <v>214.15397086559454</v>
      </c>
      <c r="H115" s="106">
        <f>SUM(AJ$95:AJ$105)+SUM(AL$95:AL$105)+SUM(AN$95:AN$105)+SUM(AP$95:AP$105)</f>
        <v>1341.1850336351827</v>
      </c>
      <c r="I115" s="106">
        <f>SUM(AR$95:AR$105)+SUM(AT$95:AT$105)+SUM(AV$95:AV$105)+SUM(AX$95:AX$105)</f>
        <v>106.24054397329905</v>
      </c>
      <c r="J115" s="106">
        <f>SUM(AZ$95:AZ$105)+SUM(BB$95:BB$105)+SUM(BD$95:BD$105)+SUM(BF$95:BF$105)</f>
        <v>355.19894534397906</v>
      </c>
      <c r="K115" s="106">
        <f>SUM(BH$95:BH$105)+SUM(BJ$95:BJ$105)+SUM(BL$95:BL$105)+SUM(BN$95:BN$105)</f>
        <v>435.17950578662283</v>
      </c>
      <c r="L115" s="106">
        <f>SUM(BP$95:BP$105)+SUM(BR$95:BR$105)+SUM(BT$95:BT$105)+SUM(BV$95:BV$105)</f>
        <v>207.22647624375003</v>
      </c>
      <c r="M115" s="106">
        <f>SUM(BX$95:BX$105)+SUM(BZ$95:BZ$105)+SUM(CB$95:CB$105)+SUM(CD$95:CD$105)</f>
        <v>614.46019944207092</v>
      </c>
      <c r="N115" s="106">
        <f>SUM(CF$95:CF$105)+SUM(CH$95:CH$105)+SUM(CJ$95:CJ$105)+SUM(CL$95:CL$105)</f>
        <v>142.20348003512302</v>
      </c>
      <c r="O115" s="106">
        <f>SUM(CN$95:CN$105)+SUM(CP$95:CP$105)+SUM(CR$95:CR$105)+SUM(CT$95:CT$105)</f>
        <v>169.35229685405582</v>
      </c>
    </row>
    <row r="116" spans="2:15" x14ac:dyDescent="0.2">
      <c r="C116" s="105" t="s">
        <v>279</v>
      </c>
      <c r="D116" s="106">
        <f t="shared" ref="D116:O116" si="0">SUM(D$109:D$115)</f>
        <v>2934.9196635732969</v>
      </c>
      <c r="E116" s="106">
        <f t="shared" si="0"/>
        <v>9947.5991464383569</v>
      </c>
      <c r="F116" s="106">
        <f t="shared" si="0"/>
        <v>2145.9989561196626</v>
      </c>
      <c r="G116" s="106">
        <f t="shared" si="0"/>
        <v>6608.798499284434</v>
      </c>
      <c r="H116" s="106">
        <f t="shared" si="0"/>
        <v>5622.5990954521349</v>
      </c>
      <c r="I116" s="106">
        <f t="shared" si="0"/>
        <v>6822.9991419520475</v>
      </c>
      <c r="J116" s="106">
        <f t="shared" si="0"/>
        <v>6418.7979283926807</v>
      </c>
      <c r="K116" s="106">
        <f t="shared" si="0"/>
        <v>5188.7989404768696</v>
      </c>
      <c r="L116" s="106">
        <f t="shared" si="0"/>
        <v>4819.5990113477746</v>
      </c>
      <c r="M116" s="106">
        <f t="shared" si="0"/>
        <v>8594.7989926638293</v>
      </c>
      <c r="N116" s="106">
        <f t="shared" si="0"/>
        <v>7670.9976456591921</v>
      </c>
      <c r="O116" s="106">
        <f t="shared" si="0"/>
        <v>3708.5987596080995</v>
      </c>
    </row>
    <row r="118" spans="2:15" x14ac:dyDescent="0.2">
      <c r="B118" s="109" t="s">
        <v>280</v>
      </c>
    </row>
    <row r="119" spans="2:15" x14ac:dyDescent="0.2">
      <c r="C119" s="105" t="s">
        <v>278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1073577.3804428463</v>
      </c>
      <c r="E120" s="106">
        <f>E109*pricing!E33*2000</f>
        <v>1123526.180556858</v>
      </c>
      <c r="F120" s="106">
        <f>F109*pricing!F33*2000</f>
        <v>1713044.8867084985</v>
      </c>
      <c r="G120" s="106">
        <f>G109*pricing!G33*2000</f>
        <v>3793643.3776972857</v>
      </c>
      <c r="H120" s="106">
        <f>H109*pricing!H33*2000</f>
        <v>1368458.1346235448</v>
      </c>
      <c r="I120" s="106">
        <f>I109*pricing!I33*2000</f>
        <v>3084018.8653519894</v>
      </c>
      <c r="J120" s="106">
        <f>J109*pricing!J33*2000</f>
        <v>1538891.3871806746</v>
      </c>
      <c r="K120" s="106">
        <f>K109*pricing!K33*2000</f>
        <v>1727257.5460619133</v>
      </c>
      <c r="L120" s="106">
        <f>L109*pricing!L33*2000</f>
        <v>5526807.1745862821</v>
      </c>
      <c r="M120" s="106">
        <f>M109*pricing!M33*2000</f>
        <v>1277075.1494973325</v>
      </c>
      <c r="N120" s="106">
        <f>N109*pricing!N33*2000</f>
        <v>4732256.7117707478</v>
      </c>
      <c r="O120" s="106">
        <f>O109*pricing!O33*2000</f>
        <v>2014620.2965556125</v>
      </c>
    </row>
    <row r="121" spans="2:15" x14ac:dyDescent="0.2">
      <c r="C121" s="105" t="s">
        <v>127</v>
      </c>
      <c r="D121" s="106">
        <f>D110*pricing!D34*2000</f>
        <v>1054132.5758497524</v>
      </c>
      <c r="E121" s="106">
        <f>E110*pricing!E34*2000</f>
        <v>4834182.1364129269</v>
      </c>
      <c r="F121" s="106">
        <f>F110*pricing!F34*2000</f>
        <v>1535884.8956206653</v>
      </c>
      <c r="G121" s="106">
        <f>G110*pricing!G34*2000</f>
        <v>1372888.8314609246</v>
      </c>
      <c r="H121" s="106">
        <f>H110*pricing!H34*2000</f>
        <v>3103368.5355848158</v>
      </c>
      <c r="I121" s="106">
        <f>I110*pricing!I34*2000</f>
        <v>5083507.253822064</v>
      </c>
      <c r="J121" s="106">
        <f>J110*pricing!J34*2000</f>
        <v>1411344.7154864501</v>
      </c>
      <c r="K121" s="106">
        <f>K110*pricing!K34*2000</f>
        <v>3098380.1557830754</v>
      </c>
      <c r="L121" s="106">
        <f>L110*pricing!L34*2000</f>
        <v>1154857.2706873454</v>
      </c>
      <c r="M121" s="106">
        <f>M110*pricing!M34*2000</f>
        <v>4473010.5141595602</v>
      </c>
      <c r="N121" s="106">
        <f>N110*pricing!N34*2000</f>
        <v>5132978.2517380249</v>
      </c>
      <c r="O121" s="106">
        <f>O110*pricing!O34*2000</f>
        <v>4762327.842580284</v>
      </c>
    </row>
    <row r="122" spans="2:15" x14ac:dyDescent="0.2">
      <c r="C122" s="105" t="s">
        <v>128</v>
      </c>
      <c r="D122" s="106">
        <f>D111*pricing!D35*2000</f>
        <v>2973513.7377382801</v>
      </c>
      <c r="E122" s="106">
        <f>E111*pricing!E35*2000</f>
        <v>7463441.9189923173</v>
      </c>
      <c r="F122" s="106">
        <f>F111*pricing!F35*2000</f>
        <v>1390696.6388296483</v>
      </c>
      <c r="G122" s="106">
        <f>G111*pricing!G35*2000</f>
        <v>7102839.4643357331</v>
      </c>
      <c r="H122" s="106">
        <f>H111*pricing!H35*2000</f>
        <v>5437115.6057300493</v>
      </c>
      <c r="I122" s="106">
        <f>I111*pricing!I35*2000</f>
        <v>3989212.1885918113</v>
      </c>
      <c r="J122" s="106">
        <f>J111*pricing!J35*2000</f>
        <v>1985404.0369649315</v>
      </c>
      <c r="K122" s="106">
        <f>K111*pricing!K35*2000</f>
        <v>6743536.8918520641</v>
      </c>
      <c r="L122" s="106">
        <f>L111*pricing!L35*2000</f>
        <v>4316055.7392134136</v>
      </c>
      <c r="M122" s="106">
        <f>M111*pricing!M35*2000</f>
        <v>1973841.8029399896</v>
      </c>
      <c r="N122" s="106">
        <f>N111*pricing!N35*2000</f>
        <v>1488164.9059756408</v>
      </c>
      <c r="O122" s="106">
        <f>O111*pricing!O35*2000</f>
        <v>1667393.3860899713</v>
      </c>
    </row>
    <row r="123" spans="2:15" x14ac:dyDescent="0.2">
      <c r="C123" s="105" t="s">
        <v>129</v>
      </c>
      <c r="D123" s="106">
        <f>D112*pricing!D36*2000</f>
        <v>2751137.3384715919</v>
      </c>
      <c r="E123" s="106">
        <f>E112*pricing!E36*2000</f>
        <v>8139408.300406226</v>
      </c>
      <c r="F123" s="106">
        <f>F112*pricing!F36*2000</f>
        <v>1990052.5733029256</v>
      </c>
      <c r="G123" s="106">
        <f>G112*pricing!G36*2000</f>
        <v>2929846.7613188438</v>
      </c>
      <c r="H123" s="106">
        <f>H112*pricing!H36*2000</f>
        <v>3188041.2214453849</v>
      </c>
      <c r="I123" s="106">
        <f>I112*pricing!I36*2000</f>
        <v>1744294.4276280978</v>
      </c>
      <c r="J123" s="106">
        <f>J112*pricing!J36*2000</f>
        <v>3395056.7519477387</v>
      </c>
      <c r="K123" s="106">
        <f>K112*pricing!K36*2000</f>
        <v>2379228.9556671977</v>
      </c>
      <c r="L123" s="106">
        <f>L112*pricing!L36*2000</f>
        <v>1704261.0139941669</v>
      </c>
      <c r="M123" s="106">
        <f>M112*pricing!M36*2000</f>
        <v>10881320.935502615</v>
      </c>
      <c r="N123" s="106">
        <f>N112*pricing!N36*2000</f>
        <v>5762476.1856136629</v>
      </c>
      <c r="O123" s="106">
        <f>O112*pricing!O36*2000</f>
        <v>1870834.5000508395</v>
      </c>
    </row>
    <row r="124" spans="2:15" x14ac:dyDescent="0.2">
      <c r="C124" s="105" t="s">
        <v>130</v>
      </c>
      <c r="D124" s="106">
        <f>D113*pricing!D37*2000</f>
        <v>3612599.0056442511</v>
      </c>
      <c r="E124" s="106">
        <f>E113*pricing!E37*2000</f>
        <v>4429357.6248832429</v>
      </c>
      <c r="F124" s="106">
        <f>F113*pricing!F37*2000</f>
        <v>1808648.8376111407</v>
      </c>
      <c r="G124" s="106">
        <f>G113*pricing!G37*2000</f>
        <v>2244925.0859378465</v>
      </c>
      <c r="H124" s="106">
        <f>H113*pricing!H37*2000</f>
        <v>1477005.1583007809</v>
      </c>
      <c r="I124" s="106">
        <f>I113*pricing!I37*2000</f>
        <v>4074457.6556603792</v>
      </c>
      <c r="J124" s="106">
        <f>J113*pricing!J37*2000</f>
        <v>7364154.4791490193</v>
      </c>
      <c r="K124" s="106">
        <f>K113*pricing!K37*2000</f>
        <v>1831923.2533928556</v>
      </c>
      <c r="L124" s="106">
        <f>L113*pricing!L37*2000</f>
        <v>1844506.6533163912</v>
      </c>
      <c r="M124" s="106">
        <f>M113*pricing!M37*2000</f>
        <v>1935652.2931563861</v>
      </c>
      <c r="N124" s="106">
        <f>N113*pricing!N37*2000</f>
        <v>4948608.7382478854</v>
      </c>
      <c r="O124" s="106">
        <f>O113*pricing!O37*2000</f>
        <v>1429124.1554837907</v>
      </c>
    </row>
    <row r="125" spans="2:15" x14ac:dyDescent="0.2">
      <c r="C125" s="105" t="s">
        <v>131</v>
      </c>
      <c r="D125" s="106">
        <f>D114*pricing!D38*2000</f>
        <v>703176.71771977877</v>
      </c>
      <c r="E125" s="106">
        <f>E114*pricing!E38*2000</f>
        <v>1056016.8203491361</v>
      </c>
      <c r="F125" s="106">
        <f>F114*pricing!F38*2000</f>
        <v>1122534.0884269418</v>
      </c>
      <c r="G125" s="106">
        <f>G114*pricing!G38*2000</f>
        <v>1578757.8799349414</v>
      </c>
      <c r="H125" s="106">
        <f>H114*pricing!H38*2000</f>
        <v>598382.925730524</v>
      </c>
      <c r="I125" s="106">
        <f>I114*pricing!I38*2000</f>
        <v>2315597.3977056951</v>
      </c>
      <c r="J125" s="106">
        <f>J114*pricing!J38*2000</f>
        <v>2446727.3808843754</v>
      </c>
      <c r="K125" s="106">
        <f>K114*pricing!K38*2000</f>
        <v>660029.06931162975</v>
      </c>
      <c r="L125" s="106">
        <f>L114*pricing!L38*2000</f>
        <v>1625024.2583961082</v>
      </c>
      <c r="M125" s="106">
        <f>M114*pricing!M38*2000</f>
        <v>1070988.941523514</v>
      </c>
      <c r="N125" s="106">
        <f>N114*pricing!N38*2000</f>
        <v>1068475.3160259204</v>
      </c>
      <c r="O125" s="106">
        <f>O114*pricing!O38*2000</f>
        <v>2204719.6400449472</v>
      </c>
    </row>
    <row r="126" spans="2:15" x14ac:dyDescent="0.2">
      <c r="C126" s="105" t="s">
        <v>132</v>
      </c>
      <c r="D126" s="106">
        <f>D115*pricing!D39*2000</f>
        <v>1135554.0335087341</v>
      </c>
      <c r="E126" s="106">
        <f>E115*pricing!E39*2000</f>
        <v>1034041.3639793117</v>
      </c>
      <c r="F126" s="106">
        <f>F115*pricing!F39*2000</f>
        <v>1851488.6082784443</v>
      </c>
      <c r="G126" s="106">
        <f>G115*pricing!G39*2000</f>
        <v>1155853.6882816937</v>
      </c>
      <c r="H126" s="106">
        <f>H115*pricing!H39*2000</f>
        <v>3395129.6286325515</v>
      </c>
      <c r="I126" s="106">
        <f>I115*pricing!I39*2000</f>
        <v>738617.95338489651</v>
      </c>
      <c r="J126" s="106">
        <f>J115*pricing!J39*2000</f>
        <v>1661139.392513844</v>
      </c>
      <c r="K126" s="106">
        <f>K115*pricing!K39*2000</f>
        <v>1866901.2896507466</v>
      </c>
      <c r="L126" s="106">
        <f>L115*pricing!L39*2000</f>
        <v>1259753.7973566079</v>
      </c>
      <c r="M126" s="106">
        <f>M115*pricing!M39*2000</f>
        <v>2465257.7090007835</v>
      </c>
      <c r="N126" s="106">
        <f>N115*pricing!N39*2000</f>
        <v>991275.73820127349</v>
      </c>
      <c r="O126" s="106">
        <f>O115*pricing!O39*2000</f>
        <v>1115194.9715254509</v>
      </c>
    </row>
    <row r="127" spans="2:15" x14ac:dyDescent="0.2">
      <c r="C127" s="105" t="s">
        <v>279</v>
      </c>
      <c r="D127" s="106">
        <f>SUM(D$120:D$126)</f>
        <v>13303690.789375234</v>
      </c>
      <c r="E127" s="106">
        <f t="shared" ref="E127:O127" si="1">SUM(E$120:E$126)</f>
        <v>28079974.345580019</v>
      </c>
      <c r="F127" s="106">
        <f t="shared" si="1"/>
        <v>11412350.528778264</v>
      </c>
      <c r="G127" s="106">
        <f t="shared" si="1"/>
        <v>20178755.088967267</v>
      </c>
      <c r="H127" s="106">
        <f t="shared" si="1"/>
        <v>18567501.210047655</v>
      </c>
      <c r="I127" s="106">
        <f t="shared" si="1"/>
        <v>21029705.742144935</v>
      </c>
      <c r="J127" s="106">
        <f t="shared" si="1"/>
        <v>19802718.144127037</v>
      </c>
      <c r="K127" s="106">
        <f t="shared" si="1"/>
        <v>18307257.161719482</v>
      </c>
      <c r="L127" s="106">
        <f t="shared" si="1"/>
        <v>17431265.907550316</v>
      </c>
      <c r="M127" s="106">
        <f t="shared" si="1"/>
        <v>24077147.345780183</v>
      </c>
      <c r="N127" s="106">
        <f t="shared" si="1"/>
        <v>24124235.847573154</v>
      </c>
      <c r="O127" s="106">
        <f t="shared" si="1"/>
        <v>15064214.792330893</v>
      </c>
    </row>
    <row r="129" spans="2:15" x14ac:dyDescent="0.2">
      <c r="B129" s="109" t="s">
        <v>281</v>
      </c>
    </row>
    <row r="130" spans="2:15" x14ac:dyDescent="0.2">
      <c r="C130" s="111" t="s">
        <v>278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79903.199999999997</v>
      </c>
      <c r="E131" s="112">
        <f>SUM(M$6:M$19)+SUM(O$6:O$19)+SUM(Q$6:Q$19)+SUM(S$6:S$19)</f>
        <v>82543.200000000012</v>
      </c>
      <c r="F131" s="112">
        <f>SUM(U$6:U$19)+SUM(W$6:W$19)+SUM(Y$6:Y$19)+SUM(AA$6:AA$19)</f>
        <v>166135.20000000001</v>
      </c>
      <c r="G131" s="112">
        <f>SUM(AC$6:AC$19)+SUM(AE$6:AE$19)+SUM(AG$6:AG$19)+SUM(AI$6:AI$19)</f>
        <v>661262.39999999991</v>
      </c>
      <c r="H131" s="112">
        <f>SUM(AK$6:AK$19)+SUM(AM$6:AM$19)+SUM(AO$6:AO$19)+SUM(AQ$6:AQ$19)</f>
        <v>107289.60000000001</v>
      </c>
      <c r="I131" s="112">
        <f>SUM(AS$6:AS$19)+SUM(AU$6:AU$19)+SUM(AW$6:AW$19)+SUM(AY$6:AY$19)</f>
        <v>380426.39999999997</v>
      </c>
      <c r="J131" s="112">
        <f>SUM(BA$6:BA$19)+SUM(BC$6:BC$19)+SUM(BE$6:BE$19)+SUM(BG$6:BG$19)</f>
        <v>134962.79999999999</v>
      </c>
      <c r="K131" s="112">
        <f>SUM(BI$6:BI$19)+SUM(BK$6:BK$19)+SUM(BM$6:BM$19)+SUM(BO$6:BO$19)</f>
        <v>169266</v>
      </c>
      <c r="L131" s="112">
        <f>SUM(BQ$6:BQ$19)+SUM(BS$6:BS$19)+SUM(BU$6:BU$19)+SUM(BW$6:BW$19)</f>
        <v>1008598.7999999998</v>
      </c>
      <c r="M131" s="112">
        <f>SUM(BY$6:BY$19)+SUM(CA$6:CA$19)+SUM(CC$6:CC$19)+SUM(CE$6:CE$19)</f>
        <v>99348</v>
      </c>
      <c r="N131" s="112">
        <f>SUM(CG$6:CG$19)+SUM(CI$6:CI$19)+SUM(CK$6:CK$19)+SUM(CM$6:CM$19)</f>
        <v>820711.2</v>
      </c>
      <c r="O131" s="112">
        <f>SUM(CO$6:CO$19)+SUM(CQ$6:CQ$19)+SUM(CS$6:CS$19)+SUM(CU$6:CU$19)</f>
        <v>213472.8</v>
      </c>
    </row>
    <row r="132" spans="2:15" x14ac:dyDescent="0.2">
      <c r="C132" s="111" t="s">
        <v>127</v>
      </c>
      <c r="D132" s="112">
        <f>SUM(E$20:E$36)+SUM(G$20:G$36)+SUM(I$20:I$36)+SUM(K$20:K$36)</f>
        <v>72032.399999999994</v>
      </c>
      <c r="E132" s="112">
        <f>SUM(M$20:M$36)+SUM(O$20:O$36)+SUM(Q$20:Q$36)+SUM(S$20:S$36)</f>
        <v>660699.60000000009</v>
      </c>
      <c r="F132" s="112">
        <f>SUM(U$20:U$36)+SUM(W$20:W$36)+SUM(Y$20:Y$36)+SUM(AA$20:AA$36)</f>
        <v>108484.8</v>
      </c>
      <c r="G132" s="112">
        <f>SUM(AC$20:AC$36)+SUM(AE$20:AE$36)+SUM(AG$20:AG$36)+SUM(AI$20:AI$36)</f>
        <v>92828.4</v>
      </c>
      <c r="H132" s="112">
        <f>SUM(AK$20:AK$36)+SUM(AM$20:AM$36)+SUM(AO$20:AO$36)+SUM(AQ$20:AQ$36)</f>
        <v>340253.99999999994</v>
      </c>
      <c r="I132" s="112">
        <f>SUM(AS$20:AS$36)+SUM(AU$20:AU$36)+SUM(AW$20:AW$36)+SUM(AY$20:AY$36)</f>
        <v>808408.79999999981</v>
      </c>
      <c r="J132" s="112">
        <f>SUM(BA$20:BA$36)+SUM(BC$20:BC$36)+SUM(BE$20:BE$36)+SUM(BG$20:BG$36)</f>
        <v>92420.400000000009</v>
      </c>
      <c r="K132" s="112">
        <f>SUM(BI$20:BI$36)+SUM(BK$20:BK$36)+SUM(BM$20:BM$36)+SUM(BO$20:BO$36)</f>
        <v>350308.8</v>
      </c>
      <c r="L132" s="112">
        <f>SUM(BQ$20:BQ$36)+SUM(BS$20:BS$36)+SUM(BU$20:BU$36)+SUM(BW$20:BW$36)</f>
        <v>72998.399999999994</v>
      </c>
      <c r="M132" s="112">
        <f>SUM(BY$20:BY$36)+SUM(CA$20:CA$36)+SUM(CC$20:CC$36)+SUM(CE$20:CE$36)</f>
        <v>611912.4</v>
      </c>
      <c r="N132" s="112">
        <f>SUM(CG$20:CG$36)+SUM(CI$20:CI$36)+SUM(CK$20:CK$36)+SUM(CM$20:CM$36)</f>
        <v>758508</v>
      </c>
      <c r="O132" s="112">
        <f>SUM(CO$20:CO$36)+SUM(CQ$20:CQ$36)+SUM(CS$20:CS$36)+SUM(CU$20:CU$36)</f>
        <v>660702</v>
      </c>
    </row>
    <row r="133" spans="2:15" x14ac:dyDescent="0.2">
      <c r="C133" s="111" t="s">
        <v>128</v>
      </c>
      <c r="D133" s="112">
        <f>SUM(E$37:E$48)+SUM(G$37:G$48)+SUM(I$37:I$48)+SUM(K$37:K$48)</f>
        <v>680986.79999999993</v>
      </c>
      <c r="E133" s="112">
        <f>SUM(M$37:M$48)+SUM(O$37:O$48)+SUM(Q$37:Q$48)+SUM(S$37:S$48)</f>
        <v>3581541.6</v>
      </c>
      <c r="F133" s="112">
        <f>SUM(U$37:U$48)+SUM(W$37:W$48)+SUM(Y$37:Y$48)+SUM(AA$37:AA$48)</f>
        <v>221665.2</v>
      </c>
      <c r="G133" s="112">
        <f>SUM(AC$37:AC$48)+SUM(AE$37:AE$48)+SUM(AG$37:AG$48)+SUM(AI$37:AI$48)</f>
        <v>3323788.8</v>
      </c>
      <c r="H133" s="112">
        <f>SUM(AK$37:AK$48)+SUM(AM$37:AM$48)+SUM(AO$37:AO$48)+SUM(AQ$37:AQ$48)</f>
        <v>2353957.2000000002</v>
      </c>
      <c r="I133" s="112">
        <f>SUM(AS$37:AS$48)+SUM(AU$37:AU$48)+SUM(AW$37:AW$48)+SUM(AY$37:AY$48)</f>
        <v>1175277.5999999999</v>
      </c>
      <c r="J133" s="112">
        <f>SUM(BA$37:BA$48)+SUM(BC$37:BC$48)+SUM(BE$37:BE$48)+SUM(BG$37:BG$48)</f>
        <v>343078.8</v>
      </c>
      <c r="K133" s="112">
        <f>SUM(BI$37:BI$48)+SUM(BK$37:BK$48)+SUM(BM$37:BM$48)+SUM(BO$37:BO$48)</f>
        <v>2840475.5999999996</v>
      </c>
      <c r="L133" s="112">
        <f>SUM(BQ$37:BQ$48)+SUM(BS$37:BS$48)+SUM(BU$37:BU$48)+SUM(BW$37:BW$48)</f>
        <v>1438395.6</v>
      </c>
      <c r="M133" s="112">
        <f>SUM(BY$37:BY$48)+SUM(CA$37:CA$48)+SUM(CC$37:CC$48)+SUM(CE$37:CE$48)</f>
        <v>402598.80000000005</v>
      </c>
      <c r="N133" s="112">
        <f>SUM(CG$37:CG$48)+SUM(CI$37:CI$48)+SUM(CK$37:CK$48)+SUM(CM$37:CM$48)</f>
        <v>241048.80000000002</v>
      </c>
      <c r="O133" s="112">
        <f>SUM(CO$37:CO$48)+SUM(CQ$37:CQ$48)+SUM(CS$37:CS$48)+SUM(CU$37:CU$48)</f>
        <v>290503.2</v>
      </c>
    </row>
    <row r="134" spans="2:15" x14ac:dyDescent="0.2">
      <c r="C134" s="111" t="s">
        <v>129</v>
      </c>
      <c r="D134" s="112">
        <f>SUM(E$49:E$70)+SUM(G$49:G$70)+SUM(I$49:I$70)+SUM(K$49:K$70)</f>
        <v>441762.83881489967</v>
      </c>
      <c r="E134" s="112">
        <f>SUM(M$49:M$70)+SUM(O$49:O$70)+SUM(Q$49:Q$70)+SUM(S$49:S$70)</f>
        <v>2526048.7084481139</v>
      </c>
      <c r="F134" s="112">
        <f>SUM(U$49:U$70)+SUM(W$49:W$70)+SUM(Y$49:Y$70)+SUM(AA$49:AA$70)</f>
        <v>267023.4210793032</v>
      </c>
      <c r="G134" s="112">
        <f>SUM(AC$49:AC$70)+SUM(AE$49:AE$70)+SUM(AG$49:AG$70)+SUM(AI$49:AI$70)</f>
        <v>527190.8035930628</v>
      </c>
      <c r="H134" s="112">
        <f>SUM(AK$49:AK$70)+SUM(AM$49:AM$70)+SUM(AO$49:AO$70)+SUM(AQ$49:AQ$70)</f>
        <v>549479.98522595363</v>
      </c>
      <c r="I134" s="112">
        <f>SUM(AS$49:AS$70)+SUM(AU$49:AU$70)+SUM(AW$49:AW$70)+SUM(AY$49:AY$70)</f>
        <v>243158.74523098517</v>
      </c>
      <c r="J134" s="112">
        <f>SUM(BA$49:BA$70)+SUM(BC$49:BC$70)+SUM(BE$49:BE$70)+SUM(BG$49:BG$70)</f>
        <v>583374.50482646737</v>
      </c>
      <c r="K134" s="112">
        <f>SUM(BI$49:BI$70)+SUM(BK$49:BK$70)+SUM(BM$49:BM$70)+SUM(BO$49:BO$70)</f>
        <v>340520.26339889568</v>
      </c>
      <c r="L134" s="112">
        <f>SUM(BQ$49:BQ$70)+SUM(BS$49:BS$70)+SUM(BU$49:BU$70)+SUM(BW$49:BW$70)</f>
        <v>214864.33990895131</v>
      </c>
      <c r="M134" s="112">
        <f>SUM(BY$49:BY$70)+SUM(CA$49:CA$70)+SUM(CC$49:CC$70)+SUM(CE$49:CE$70)</f>
        <v>4433976.700601642</v>
      </c>
      <c r="N134" s="112">
        <f>SUM(CG$49:CG$70)+SUM(CI$49:CI$70)+SUM(CK$49:CK$70)+SUM(CM$49:CM$70)</f>
        <v>1592152.3486342663</v>
      </c>
      <c r="O134" s="112">
        <f>SUM(CO$49:CO$70)+SUM(CQ$49:CQ$70)+SUM(CS$49:CS$70)+SUM(CU$49:CU$70)</f>
        <v>240085.73913332331</v>
      </c>
    </row>
    <row r="135" spans="2:15" x14ac:dyDescent="0.2">
      <c r="C135" s="111" t="s">
        <v>130</v>
      </c>
      <c r="D135" s="112">
        <f>SUM(E$71:E$86)+SUM(G$71:G$86)+SUM(I$71:I$86)+SUM(K$71:K$86)</f>
        <v>611310.52900180791</v>
      </c>
      <c r="E135" s="112">
        <f>SUM(M$71:M$86)+SUM(O$71:O$86)+SUM(Q$71:Q$86)+SUM(S$71:S$86)</f>
        <v>763607.03817463655</v>
      </c>
      <c r="F135" s="112">
        <f>SUM(U$71:U$86)+SUM(W$71:W$86)+SUM(Y$71:Y$86)+SUM(AA$71:AA$86)</f>
        <v>204084.73032223989</v>
      </c>
      <c r="G135" s="112">
        <f>SUM(AC$71:AC$86)+SUM(AE$71:AE$86)+SUM(AG$71:AG$86)+SUM(AI$71:AI$86)</f>
        <v>292264.99930628517</v>
      </c>
      <c r="H135" s="112">
        <f>SUM(AK$71:AK$86)+SUM(AM$71:AM$86)+SUM(AO$71:AO$86)+SUM(AQ$71:AQ$86)</f>
        <v>149432.67372891898</v>
      </c>
      <c r="I135" s="112">
        <f>SUM(AS$71:AS$86)+SUM(AU$71:AU$86)+SUM(AW$71:AW$86)+SUM(AY$71:AY$86)</f>
        <v>922029.76352542359</v>
      </c>
      <c r="J135" s="112">
        <f>SUM(BA$71:BA$86)+SUM(BC$71:BC$86)+SUM(BE$71:BE$86)+SUM(BG$71:BG$86)</f>
        <v>1961407.2478313928</v>
      </c>
      <c r="K135" s="112">
        <f>SUM(BI$71:BI$86)+SUM(BK$71:BK$86)+SUM(BM$71:BM$86)+SUM(BO$71:BO$86)</f>
        <v>191958.54963310863</v>
      </c>
      <c r="L135" s="112">
        <f>SUM(BQ$71:BQ$86)+SUM(BS$71:BS$86)+SUM(BU$71:BU$86)+SUM(BW$71:BW$86)</f>
        <v>179376.06552555278</v>
      </c>
      <c r="M135" s="112">
        <f>SUM(BY$71:BY$86)+SUM(CA$71:CA$86)+SUM(CC$71:CC$86)+SUM(CE$71:CE$86)</f>
        <v>195654.90317709299</v>
      </c>
      <c r="N135" s="112">
        <f>SUM(CG$71:CG$86)+SUM(CI$71:CI$86)+SUM(CK$71:CK$86)+SUM(CM$71:CM$86)</f>
        <v>956489.13010563981</v>
      </c>
      <c r="O135" s="112">
        <f>SUM(CO$71:CO$86)+SUM(CQ$71:CQ$86)+SUM(CS$71:CS$86)+SUM(CU$71:CU$86)</f>
        <v>129715.81463469692</v>
      </c>
    </row>
    <row r="136" spans="2:15" x14ac:dyDescent="0.2">
      <c r="C136" s="111" t="s">
        <v>131</v>
      </c>
      <c r="D136" s="112">
        <f>SUM(E$87:E$94)+SUM(G$87:G$94)+SUM(I$87:I$94)+SUM(K$87:K$94)</f>
        <v>278432.79942023329</v>
      </c>
      <c r="E136" s="112">
        <f>SUM(M$87:M$94)+SUM(O$87:O$94)+SUM(Q$87:Q$94)+SUM(S$87:S$94)</f>
        <v>483075.70154964505</v>
      </c>
      <c r="F136" s="112">
        <f>SUM(U$87:U$94)+SUM(W$87:W$94)+SUM(Y$87:Y$94)+SUM(AA$87:AA$94)</f>
        <v>508670.78528425592</v>
      </c>
      <c r="G136" s="112">
        <f>SUM(AC$87:AC$94)+SUM(AE$87:AE$94)+SUM(AG$87:AG$94)+SUM(AI$87:AI$94)</f>
        <v>1017792.6725148798</v>
      </c>
      <c r="H136" s="112">
        <f>SUM(AK$87:AK$94)+SUM(AM$87:AM$94)+SUM(AO$87:AO$94)+SUM(AQ$87:AQ$94)</f>
        <v>180120.59500375658</v>
      </c>
      <c r="I136" s="112">
        <f>SUM(AS$87:AS$94)+SUM(AU$87:AU$94)+SUM(AW$87:AW$94)+SUM(AY$87:AY$94)</f>
        <v>1957928.0245882759</v>
      </c>
      <c r="J136" s="112">
        <f>SUM(BA$87:BA$94)+SUM(BC$87:BC$94)+SUM(BE$87:BE$94)+SUM(BG$87:BG$94)</f>
        <v>1989376.9200357585</v>
      </c>
      <c r="K136" s="112">
        <f>SUM(BI$87:BI$94)+SUM(BK$87:BK$94)+SUM(BM$87:BM$94)+SUM(BO$87:BO$94)</f>
        <v>226525.61734983316</v>
      </c>
      <c r="L136" s="112">
        <f>SUM(BQ$87:BQ$94)+SUM(BS$87:BS$94)+SUM(BU$87:BU$94)+SUM(BW$87:BW$94)</f>
        <v>942422.22987538227</v>
      </c>
      <c r="M136" s="112">
        <f>SUM(BY$87:BY$94)+SUM(CA$87:CA$94)+SUM(CC$87:CC$94)+SUM(CE$87:CE$94)</f>
        <v>481168.14941376686</v>
      </c>
      <c r="N136" s="112">
        <f>SUM(CG$87:CG$94)+SUM(CI$87:CI$94)+SUM(CK$87:CK$94)+SUM(CM$87:CM$94)</f>
        <v>494482.50759659219</v>
      </c>
      <c r="O136" s="112">
        <f>SUM(CO$87:CO$94)+SUM(CQ$87:CQ$94)+SUM(CS$87:CS$94)+SUM(CU$87:CU$94)</f>
        <v>1545736.515487808</v>
      </c>
    </row>
    <row r="137" spans="2:15" x14ac:dyDescent="0.2">
      <c r="C137" s="111" t="s">
        <v>132</v>
      </c>
      <c r="D137" s="112">
        <f>SUM(E$95:E$105)+SUM(G$95:G$105)+SUM(I$95:I$105)+SUM(K$95:K$105)</f>
        <v>375959.34955075069</v>
      </c>
      <c r="E137" s="112">
        <f>SUM(M$95:M$105)+SUM(O$95:O$105)+SUM(Q$95:Q$105)+SUM(S$95:S$105)</f>
        <v>286195.6875274526</v>
      </c>
      <c r="F137" s="112">
        <f>SUM(U$95:U$105)+SUM(W$95:W$105)+SUM(Y$95:Y$105)+SUM(AA$95:AA$105)</f>
        <v>773733.37993162998</v>
      </c>
      <c r="G137" s="112">
        <f>SUM(AC$95:AC$105)+SUM(AE$95:AE$105)+SUM(AG$95:AG$105)+SUM(AI$95:AI$105)</f>
        <v>403589.05372027348</v>
      </c>
      <c r="H137" s="112">
        <f>SUM(AK$95:AK$105)+SUM(AM$95:AM$105)+SUM(AO$95:AO$105)+SUM(AQ$95:AQ$105)</f>
        <v>2446998.3897408429</v>
      </c>
      <c r="I137" s="112">
        <f>SUM(AS$95:AS$105)+SUM(AU$95:AU$105)+SUM(AW$95:AW$105)+SUM(AY$95:AY$105)</f>
        <v>204852.88866768018</v>
      </c>
      <c r="J137" s="112">
        <f>SUM(BA$95:BA$105)+SUM(BC$95:BC$105)+SUM(BE$95:BE$105)+SUM(BG$95:BG$105)</f>
        <v>666266.55037908547</v>
      </c>
      <c r="K137" s="112">
        <f>SUM(BI$95:BI$105)+SUM(BK$95:BK$105)+SUM(BM$95:BM$105)+SUM(BO$95:BO$105)</f>
        <v>823480.08516274416</v>
      </c>
      <c r="L137" s="112">
        <f>SUM(BQ$95:BQ$105)+SUM(BS$95:BS$105)+SUM(BU$95:BU$105)+SUM(BW$95:BW$105)</f>
        <v>391851.28724673355</v>
      </c>
      <c r="M137" s="112">
        <f>SUM(BY$95:BY$105)+SUM(CA$95:CA$105)+SUM(CC$95:CC$105)+SUM(CE$95:CE$105)</f>
        <v>1143422.5298290346</v>
      </c>
      <c r="N137" s="112">
        <f>SUM(CG$95:CG$105)+SUM(CI$95:CI$105)+SUM(CK$95:CK$105)+SUM(CM$95:CM$105)</f>
        <v>275471.19752359687</v>
      </c>
      <c r="O137" s="112">
        <f>SUM(CO$95:CO$105)+SUM(CQ$95:CQ$105)+SUM(CS$95:CS$105)+SUM(CU$95:CU$105)</f>
        <v>326055.99518226658</v>
      </c>
    </row>
    <row r="138" spans="2:15" x14ac:dyDescent="0.2">
      <c r="C138" s="111" t="s">
        <v>279</v>
      </c>
      <c r="D138" s="106">
        <f t="shared" ref="D138:O138" si="2">SUM(D$131:D$137)</f>
        <v>2540387.9167876914</v>
      </c>
      <c r="E138" s="106">
        <f t="shared" si="2"/>
        <v>8383711.535699849</v>
      </c>
      <c r="F138" s="106">
        <f t="shared" si="2"/>
        <v>2249797.516617429</v>
      </c>
      <c r="G138" s="106">
        <f t="shared" si="2"/>
        <v>6318717.1291345004</v>
      </c>
      <c r="H138" s="106">
        <f t="shared" si="2"/>
        <v>6127532.4436994726</v>
      </c>
      <c r="I138" s="106">
        <f t="shared" si="2"/>
        <v>5692082.2220123652</v>
      </c>
      <c r="J138" s="106">
        <f t="shared" si="2"/>
        <v>5770887.2230727049</v>
      </c>
      <c r="K138" s="106">
        <f t="shared" si="2"/>
        <v>4942534.9155445807</v>
      </c>
      <c r="L138" s="106">
        <f t="shared" si="2"/>
        <v>4248506.7225566199</v>
      </c>
      <c r="M138" s="106">
        <f t="shared" si="2"/>
        <v>7368081.4830215368</v>
      </c>
      <c r="N138" s="106">
        <f t="shared" si="2"/>
        <v>5138863.1838600952</v>
      </c>
      <c r="O138" s="106">
        <f t="shared" si="2"/>
        <v>3406272.0644380944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168</v>
      </c>
      <c r="B1" s="105" t="s">
        <v>169</v>
      </c>
      <c r="C1" s="105" t="s">
        <v>170</v>
      </c>
      <c r="D1" s="105" t="s">
        <v>171</v>
      </c>
      <c r="E1" s="105" t="s">
        <v>172</v>
      </c>
    </row>
    <row r="2" spans="1:5" x14ac:dyDescent="0.2">
      <c r="A2" s="105" t="s">
        <v>126</v>
      </c>
      <c r="B2" s="105" t="s">
        <v>173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174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175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176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177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178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179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180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181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182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183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184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185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186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187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188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189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190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191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192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193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194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195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196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197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198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199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200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201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202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203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204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205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206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207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208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209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210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211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212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213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214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215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216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217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218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219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220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221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222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223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224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225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226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227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228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229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230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231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232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233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234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235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236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237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238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239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240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241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242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243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244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245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246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247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248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249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250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251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252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253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254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255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256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257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258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259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260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261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262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263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264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265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266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267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268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269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270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271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272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</vt:i4>
      </vt:variant>
    </vt:vector>
  </HeadingPairs>
  <TitlesOfParts>
    <vt:vector size="25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2016-10-10T15:34:01Z</dcterms:modified>
</cp:coreProperties>
</file>